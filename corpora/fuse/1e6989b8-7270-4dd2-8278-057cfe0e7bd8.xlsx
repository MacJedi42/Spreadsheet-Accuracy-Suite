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7905" windowHeight="8340" tabRatio="819"/>
  </bookViews>
  <sheets>
    <sheet name="2010-11" sheetId="18" r:id="rId1"/>
    <sheet name="2009-10" sheetId="17" r:id="rId2"/>
    <sheet name="2008-09" sheetId="16" r:id="rId3"/>
    <sheet name="2007-08" sheetId="15" r:id="rId4"/>
    <sheet name="2006-07" sheetId="14" r:id="rId5"/>
    <sheet name="2005-06" sheetId="13" r:id="rId6"/>
    <sheet name="2004-05" sheetId="12" r:id="rId7"/>
    <sheet name="2003-04" sheetId="11" r:id="rId8"/>
    <sheet name="2002-03" sheetId="10" r:id="rId9"/>
    <sheet name="2001-02" sheetId="9" r:id="rId10"/>
    <sheet name="2000-01" sheetId="8" r:id="rId11"/>
    <sheet name="1999-00" sheetId="7" r:id="rId12"/>
    <sheet name="1998-99" sheetId="6" r:id="rId13"/>
    <sheet name="1997-98" sheetId="5" r:id="rId14"/>
    <sheet name="1996-97" sheetId="4" r:id="rId15"/>
    <sheet name="1995-96" sheetId="1" r:id="rId16"/>
  </sheets>
  <calcPr calcId="145621"/>
</workbook>
</file>

<file path=xl/calcChain.xml><?xml version="1.0" encoding="utf-8"?>
<calcChain xmlns="http://schemas.openxmlformats.org/spreadsheetml/2006/main">
  <c r="G14" i="18" l="1"/>
  <c r="F14" i="18"/>
  <c r="E14" i="18"/>
  <c r="D14" i="18"/>
  <c r="C14" i="18"/>
  <c r="B14" i="18"/>
  <c r="H13" i="18"/>
  <c r="H12" i="18"/>
  <c r="H11" i="18"/>
  <c r="H10" i="18"/>
  <c r="H9" i="18"/>
  <c r="H8" i="18"/>
  <c r="H7" i="18"/>
  <c r="H6" i="18"/>
  <c r="G14" i="17"/>
  <c r="F14" i="17"/>
  <c r="E14" i="17"/>
  <c r="D14" i="17"/>
  <c r="C14" i="17"/>
  <c r="B14" i="17"/>
  <c r="H13" i="17"/>
  <c r="H12" i="17"/>
  <c r="H11" i="17"/>
  <c r="H10" i="17"/>
  <c r="H9" i="17"/>
  <c r="H8" i="17"/>
  <c r="H7" i="17"/>
  <c r="H6" i="17"/>
  <c r="G14" i="16"/>
  <c r="F14" i="16"/>
  <c r="E14" i="16"/>
  <c r="D14" i="16"/>
  <c r="C14" i="16"/>
  <c r="B14" i="16"/>
  <c r="H13" i="16"/>
  <c r="H12" i="16"/>
  <c r="H11" i="16"/>
  <c r="H10" i="16"/>
  <c r="H9" i="16"/>
  <c r="H8" i="16"/>
  <c r="H7" i="16"/>
  <c r="H6" i="16"/>
  <c r="G14" i="15"/>
  <c r="F14" i="15"/>
  <c r="E14" i="15"/>
  <c r="D14" i="15"/>
  <c r="C14" i="15"/>
  <c r="B14" i="15"/>
  <c r="H13" i="15"/>
  <c r="H12" i="15"/>
  <c r="H11" i="15"/>
  <c r="H10" i="15"/>
  <c r="H9" i="15"/>
  <c r="H8" i="15"/>
  <c r="H7" i="15"/>
  <c r="H6" i="15"/>
  <c r="G14" i="14"/>
  <c r="F14" i="14"/>
  <c r="E14" i="14"/>
  <c r="D14" i="14"/>
  <c r="C14" i="14"/>
  <c r="B14" i="14"/>
  <c r="H13" i="14"/>
  <c r="H12" i="14"/>
  <c r="H11" i="14"/>
  <c r="H10" i="14"/>
  <c r="H9" i="14"/>
  <c r="H8" i="14"/>
  <c r="H7" i="14"/>
  <c r="H6" i="14"/>
  <c r="G15" i="13"/>
  <c r="F15" i="13"/>
  <c r="E15" i="13"/>
  <c r="D15" i="13"/>
  <c r="C15" i="13"/>
  <c r="B15" i="13"/>
  <c r="H14" i="13"/>
  <c r="H13" i="13"/>
  <c r="H12" i="13"/>
  <c r="H11" i="13"/>
  <c r="H10" i="13"/>
  <c r="H9" i="13"/>
  <c r="H8" i="13"/>
  <c r="H7" i="13"/>
  <c r="H6" i="13"/>
  <c r="G15" i="12"/>
  <c r="F15" i="12"/>
  <c r="E15" i="12"/>
  <c r="D15" i="12"/>
  <c r="C15" i="12"/>
  <c r="B15" i="12"/>
  <c r="H14" i="12"/>
  <c r="H13" i="12"/>
  <c r="H12" i="12"/>
  <c r="H11" i="12"/>
  <c r="H10" i="12"/>
  <c r="H9" i="12"/>
  <c r="H8" i="12"/>
  <c r="H7" i="12"/>
  <c r="H6" i="12"/>
  <c r="G16" i="11"/>
  <c r="H7" i="11"/>
  <c r="H8" i="11"/>
  <c r="H9" i="11"/>
  <c r="H10" i="11"/>
  <c r="H11" i="11"/>
  <c r="H12" i="11"/>
  <c r="H13" i="11"/>
  <c r="H14" i="11"/>
  <c r="H15" i="11"/>
  <c r="F16" i="11"/>
  <c r="E16" i="11"/>
  <c r="D16" i="11"/>
  <c r="C16" i="11"/>
  <c r="B16" i="11"/>
  <c r="G7" i="10"/>
  <c r="G8" i="10"/>
  <c r="G9" i="10"/>
  <c r="G10" i="10"/>
  <c r="G11" i="10"/>
  <c r="F16" i="10"/>
  <c r="E16" i="10"/>
  <c r="D16" i="10"/>
  <c r="C16" i="10"/>
  <c r="B16" i="10"/>
  <c r="G15" i="10"/>
  <c r="G14" i="10"/>
  <c r="G13" i="10"/>
  <c r="G12" i="10"/>
  <c r="F16" i="9"/>
  <c r="E16" i="9"/>
  <c r="D16" i="9"/>
  <c r="C16" i="9"/>
  <c r="B16" i="9"/>
  <c r="G15" i="9"/>
  <c r="G14" i="9"/>
  <c r="G13" i="9"/>
  <c r="G12" i="9"/>
  <c r="G11" i="9"/>
  <c r="G10" i="9"/>
  <c r="G9" i="9"/>
  <c r="G8" i="9"/>
  <c r="G7" i="9"/>
  <c r="G10" i="8"/>
  <c r="G10" i="7"/>
  <c r="B18" i="7"/>
  <c r="C18" i="7"/>
  <c r="D18" i="7"/>
  <c r="E18" i="7"/>
  <c r="F18" i="7"/>
  <c r="G16" i="7"/>
  <c r="G17" i="7"/>
  <c r="G15" i="7"/>
  <c r="G14" i="7"/>
  <c r="G13" i="7"/>
  <c r="G12" i="7"/>
  <c r="G11" i="7"/>
  <c r="G9" i="7"/>
  <c r="G8" i="7"/>
  <c r="G7" i="7"/>
  <c r="G14" i="6"/>
  <c r="B16" i="6"/>
  <c r="C16" i="6"/>
  <c r="D16" i="6"/>
  <c r="E16" i="6"/>
  <c r="F16" i="6"/>
  <c r="F15" i="4"/>
  <c r="E15" i="4"/>
  <c r="D15" i="4"/>
  <c r="C15" i="4"/>
  <c r="B15" i="4"/>
  <c r="G14" i="4"/>
  <c r="G13" i="4"/>
  <c r="G12" i="4"/>
  <c r="G11" i="4"/>
  <c r="G10" i="4"/>
  <c r="G9" i="4"/>
  <c r="G8" i="4"/>
  <c r="G7" i="4"/>
  <c r="F15" i="5"/>
  <c r="E15" i="5"/>
  <c r="D15" i="5"/>
  <c r="C15" i="5"/>
  <c r="B15" i="5"/>
  <c r="G14" i="5"/>
  <c r="G13" i="5"/>
  <c r="G12" i="5"/>
  <c r="G11" i="5"/>
  <c r="G10" i="5"/>
  <c r="G9" i="5"/>
  <c r="G8" i="5"/>
  <c r="G7" i="5"/>
  <c r="G15" i="5" s="1"/>
  <c r="G15" i="6"/>
  <c r="G13" i="6"/>
  <c r="G12" i="6"/>
  <c r="G11" i="6"/>
  <c r="G10" i="6"/>
  <c r="G9" i="6"/>
  <c r="G8" i="6"/>
  <c r="G7" i="6"/>
  <c r="F16" i="8"/>
  <c r="E16" i="8"/>
  <c r="D16" i="8"/>
  <c r="C16" i="8"/>
  <c r="B16" i="8"/>
  <c r="G15" i="8"/>
  <c r="G14" i="8"/>
  <c r="G13" i="8"/>
  <c r="G12" i="8"/>
  <c r="G11" i="8"/>
  <c r="G9" i="8"/>
  <c r="G8" i="8"/>
  <c r="G7" i="8"/>
  <c r="H14" i="18" l="1"/>
  <c r="H14" i="17"/>
  <c r="H14" i="16"/>
  <c r="H14" i="15"/>
  <c r="H14" i="14"/>
  <c r="H15" i="13"/>
  <c r="H15" i="12"/>
  <c r="H16" i="11"/>
  <c r="G16" i="10"/>
  <c r="G16" i="9"/>
  <c r="G16" i="8"/>
  <c r="G18" i="7"/>
  <c r="G16" i="6"/>
  <c r="G15" i="4"/>
  <c r="F15" i="1"/>
  <c r="E15" i="1"/>
  <c r="D15" i="1"/>
  <c r="C15" i="1"/>
  <c r="B15" i="1"/>
  <c r="G14" i="1"/>
  <c r="G13" i="1"/>
  <c r="G12" i="1"/>
  <c r="G11" i="1"/>
  <c r="G10" i="1"/>
  <c r="G9" i="1"/>
  <c r="G8" i="1"/>
  <c r="G7" i="1"/>
  <c r="G15" i="1" l="1"/>
</calcChain>
</file>

<file path=xl/sharedStrings.xml><?xml version="1.0" encoding="utf-8"?>
<sst xmlns="http://schemas.openxmlformats.org/spreadsheetml/2006/main" count="338" uniqueCount="41">
  <si>
    <t>Table C</t>
  </si>
  <si>
    <t>Faculty</t>
  </si>
  <si>
    <t>Year 1</t>
  </si>
  <si>
    <t>Year 2</t>
  </si>
  <si>
    <t>Year 3</t>
  </si>
  <si>
    <t>Year 4</t>
  </si>
  <si>
    <t>Total</t>
  </si>
  <si>
    <t>Arts and Humanities</t>
  </si>
  <si>
    <t>Built Environment</t>
  </si>
  <si>
    <t>Engineering</t>
  </si>
  <si>
    <t>Laws</t>
  </si>
  <si>
    <t>Life Sciences</t>
  </si>
  <si>
    <t>Mathematical and Physical Sciences</t>
  </si>
  <si>
    <t>Social and Historical Sciences</t>
  </si>
  <si>
    <t>Graduate Student Numbers by Faculty and Year Group</t>
  </si>
  <si>
    <t>1995-96</t>
  </si>
  <si>
    <t>Clinical Sciences</t>
  </si>
  <si>
    <t>Year 5+</t>
  </si>
  <si>
    <t>The Biomedical Sciences total includes the Graduate Institutes of Child Health, Neurology and Ophthalmology and the Eastman Dental Institute.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</si>
  <si>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</si>
  <si>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</si>
  <si>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</si>
  <si>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</si>
  <si>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</si>
  <si>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</si>
  <si>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</si>
  <si>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</si>
  <si>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</si>
  <si>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</si>
  <si>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</si>
  <si>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1999-00</t>
  </si>
  <si>
    <t>1998-99</t>
  </si>
  <si>
    <t>1997-98</t>
  </si>
  <si>
    <t>1996-97</t>
  </si>
  <si>
    <t>Royal Free Hospital School of Medicine</t>
  </si>
  <si>
    <t>Eastman Dental Institute</t>
  </si>
  <si>
    <t>School of Slavonic &amp; East European Studies</t>
  </si>
  <si>
    <t>Engineering Sciences</t>
  </si>
  <si>
    <t>Biomedical Sciences</t>
  </si>
  <si>
    <t>Year 6+</t>
  </si>
  <si>
    <t>The Clinical Sciences total includes the Graduate Institutes of Child Health, Neurology and Ophthalmology and the Eastman Dental Institute.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</si>
</sst>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3.5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6" fillId="0" borderId="0" xfId="0" applyFont="1"/>
    <xf numFmtId="0" fontId="3" fillId="2" borderId="6" xfId="0" applyFont="1" applyFill="1" applyBorder="1" applyAlignment="1">
      <alignment horizontal="center"/>
    </xf>
    <xf numFmtId="0" fontId="7" fillId="0" borderId="7" xfId="0" applyFont="1" applyBorder="1"/>
    <xf numFmtId="0" fontId="7" fillId="0" borderId="0" xfId="0" applyNumberFormat="1" applyFont="1" applyBorder="1"/>
    <xf numFmtId="0" fontId="4" fillId="0" borderId="0" xfId="0" applyFont="1" applyBorder="1"/>
    <xf numFmtId="0" fontId="7" fillId="0" borderId="0" xfId="0" applyFont="1" applyBorder="1"/>
    <xf numFmtId="0" fontId="4" fillId="0" borderId="8" xfId="0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 applyBorder="1"/>
    <xf numFmtId="0" fontId="8" fillId="0" borderId="0" xfId="0" applyFont="1" applyAlignment="1">
      <alignment vertical="center"/>
    </xf>
    <xf numFmtId="0" fontId="4" fillId="0" borderId="0" xfId="0" applyNumberFormat="1" applyFont="1" applyBorder="1"/>
    <xf numFmtId="0" fontId="7" fillId="0" borderId="9" xfId="0" applyFont="1" applyBorder="1"/>
    <xf numFmtId="0" fontId="7" fillId="0" borderId="5" xfId="0" applyFont="1" applyBorder="1"/>
    <xf numFmtId="0" fontId="9" fillId="0" borderId="4" xfId="0" applyFont="1" applyBorder="1"/>
    <xf numFmtId="0" fontId="9" fillId="0" borderId="0" xfId="0" applyFont="1" applyBorder="1"/>
    <xf numFmtId="0" fontId="7" fillId="0" borderId="8" xfId="0" applyNumberFormat="1" applyFont="1" applyBorder="1"/>
    <xf numFmtId="0" fontId="2" fillId="0" borderId="0" xfId="0" applyFont="1" applyAlignment="1">
      <alignment horizontal="left"/>
    </xf>
    <xf numFmtId="0" fontId="7" fillId="0" borderId="0" xfId="0" applyFont="1" applyBorder="1" applyAlignment="1">
      <alignment horizontal="left" wrapText="1"/>
    </xf>
  </cellXfs>
  <cellStyles count="1">
    <cellStyle name="Normal" xfId="0" builtinId="0"/>
  </cellStyles>
  <dxfs count="3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border diagonalUp="0" diagonalDown="0">
        <left/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font>
        <b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66CC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45" name="TableB789121819202223242526272831920303637383946" displayName="TableB789121819202223242526272831920303637383946" ref="A5:H14" totalsRowCount="1" headerRowDxfId="335" dataDxfId="333" totalsRowDxfId="331" headerRowBorderDxfId="334" tableBorderDxfId="332" totalsRowBorderDxfId="330">
  <tableColumns count="8">
    <tableColumn id="1" name="Faculty" totalsRowLabel="Total" dataDxfId="329" totalsRowDxfId="328"/>
    <tableColumn id="2" name="Year 1" totalsRowFunction="custom" dataDxfId="327" totalsRowDxfId="326">
      <totalsRowFormula>SUM(B6:B13)</totalsRowFormula>
    </tableColumn>
    <tableColumn id="3" name="Year 2" totalsRowFunction="custom" dataDxfId="325" totalsRowDxfId="324">
      <totalsRowFormula>SUM(C6:C13)</totalsRowFormula>
    </tableColumn>
    <tableColumn id="4" name="Year 3" totalsRowFunction="custom" dataDxfId="323" totalsRowDxfId="322">
      <totalsRowFormula>SUM(D6:D13)</totalsRowFormula>
    </tableColumn>
    <tableColumn id="5" name="Year 4" totalsRowFunction="custom" dataDxfId="321" totalsRowDxfId="320">
      <totalsRowFormula>SUM(E6:E13)</totalsRowFormula>
    </tableColumn>
    <tableColumn id="6" name="Year 5+" totalsRowFunction="custom" dataDxfId="319" totalsRowDxfId="318">
      <totalsRowFormula>SUM(F6:F13)</totalsRowFormula>
    </tableColumn>
    <tableColumn id="8" name="Year 6+" totalsRowFunction="custom" dataDxfId="317" totalsRowDxfId="316">
      <totalsRowFormula>SUM(G6:G13)</totalsRowFormula>
    </tableColumn>
    <tableColumn id="7" name="Total" totalsRowFunction="custom" dataDxfId="315" totalsRowDxfId="314">
      <calculatedColumnFormula>SUM(B6:G6)</calculatedColumnFormula>
      <totalsRowFormula>SUM(H6:H13)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4" name="TableB789121819202223242526272831920303637383945" displayName="TableB789121819202223242526272831920303637383945" ref="A5:H14" totalsRowCount="1" headerRowDxfId="313" dataDxfId="311" totalsRowDxfId="309" headerRowBorderDxfId="312" tableBorderDxfId="310" totalsRowBorderDxfId="308">
  <tableColumns count="8">
    <tableColumn id="1" name="Faculty" totalsRowLabel="Total" dataDxfId="307" totalsRowDxfId="306"/>
    <tableColumn id="2" name="Year 1" totalsRowFunction="custom" dataDxfId="305" totalsRowDxfId="304">
      <totalsRowFormula>SUM(B6:B13)</totalsRowFormula>
    </tableColumn>
    <tableColumn id="3" name="Year 2" totalsRowFunction="custom" dataDxfId="303" totalsRowDxfId="302">
      <totalsRowFormula>SUM(C6:C13)</totalsRowFormula>
    </tableColumn>
    <tableColumn id="4" name="Year 3" totalsRowFunction="custom" dataDxfId="301" totalsRowDxfId="300">
      <totalsRowFormula>SUM(D6:D13)</totalsRowFormula>
    </tableColumn>
    <tableColumn id="5" name="Year 4" totalsRowFunction="custom" dataDxfId="299" totalsRowDxfId="298">
      <totalsRowFormula>SUM(E6:E13)</totalsRowFormula>
    </tableColumn>
    <tableColumn id="6" name="Year 5+" totalsRowFunction="custom" dataDxfId="297" totalsRowDxfId="296">
      <totalsRowFormula>SUM(F6:F13)</totalsRowFormula>
    </tableColumn>
    <tableColumn id="8" name="Year 6+" totalsRowFunction="custom" dataDxfId="295" totalsRowDxfId="294">
      <totalsRowFormula>SUM(G6:G13)</totalsRowFormula>
    </tableColumn>
    <tableColumn id="7" name="Total" totalsRowFunction="custom" dataDxfId="293" totalsRowDxfId="292">
      <calculatedColumnFormula>SUM(B6:G6)</calculatedColumnFormula>
      <totalsRowFormula>SUM(H6:H13)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3" name="TableB789121819202223242526272831920303637383944" displayName="TableB789121819202223242526272831920303637383944" ref="A5:H14" totalsRowCount="1" headerRowDxfId="291" dataDxfId="289" totalsRowDxfId="287" headerRowBorderDxfId="290" tableBorderDxfId="288" totalsRowBorderDxfId="286">
  <tableColumns count="8">
    <tableColumn id="1" name="Faculty" totalsRowLabel="Total" dataDxfId="285" totalsRowDxfId="284"/>
    <tableColumn id="2" name="Year 1" totalsRowFunction="custom" dataDxfId="283" totalsRowDxfId="282">
      <totalsRowFormula>SUM(B6:B13)</totalsRowFormula>
    </tableColumn>
    <tableColumn id="3" name="Year 2" totalsRowFunction="custom" dataDxfId="281" totalsRowDxfId="280">
      <totalsRowFormula>SUM(C6:C13)</totalsRowFormula>
    </tableColumn>
    <tableColumn id="4" name="Year 3" totalsRowFunction="custom" dataDxfId="279" totalsRowDxfId="278">
      <totalsRowFormula>SUM(D6:D13)</totalsRowFormula>
    </tableColumn>
    <tableColumn id="5" name="Year 4" totalsRowFunction="custom" dataDxfId="277" totalsRowDxfId="276">
      <totalsRowFormula>SUM(E6:E13)</totalsRowFormula>
    </tableColumn>
    <tableColumn id="6" name="Year 5+" totalsRowFunction="custom" dataDxfId="275" totalsRowDxfId="274">
      <totalsRowFormula>SUM(F6:F13)</totalsRowFormula>
    </tableColumn>
    <tableColumn id="8" name="Year 6+" totalsRowFunction="custom" dataDxfId="273" totalsRowDxfId="272">
      <totalsRowFormula>SUM(G6:G13)</totalsRowFormula>
    </tableColumn>
    <tableColumn id="7" name="Total" totalsRowFunction="custom" dataDxfId="271" totalsRowDxfId="270">
      <calculatedColumnFormula>SUM(B6:G6)</calculatedColumnFormula>
      <totalsRowFormula>SUM(H6:H13)</totalsRow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2" name="TableB789121819202223242526272831920303637383943" displayName="TableB789121819202223242526272831920303637383943" ref="A5:H14" totalsRowCount="1" headerRowDxfId="269" dataDxfId="267" totalsRowDxfId="265" headerRowBorderDxfId="268" tableBorderDxfId="266" totalsRowBorderDxfId="264">
  <tableColumns count="8">
    <tableColumn id="1" name="Faculty" totalsRowLabel="Total" dataDxfId="263" totalsRowDxfId="262"/>
    <tableColumn id="2" name="Year 1" totalsRowFunction="custom" dataDxfId="261" totalsRowDxfId="260">
      <totalsRowFormula>SUM(B6:B13)</totalsRowFormula>
    </tableColumn>
    <tableColumn id="3" name="Year 2" totalsRowFunction="custom" dataDxfId="259" totalsRowDxfId="258">
      <totalsRowFormula>SUM(C6:C13)</totalsRowFormula>
    </tableColumn>
    <tableColumn id="4" name="Year 3" totalsRowFunction="custom" dataDxfId="257" totalsRowDxfId="256">
      <totalsRowFormula>SUM(D6:D13)</totalsRowFormula>
    </tableColumn>
    <tableColumn id="5" name="Year 4" totalsRowFunction="custom" dataDxfId="255" totalsRowDxfId="254">
      <totalsRowFormula>SUM(E6:E13)</totalsRowFormula>
    </tableColumn>
    <tableColumn id="6" name="Year 5+" totalsRowFunction="custom" dataDxfId="253" totalsRowDxfId="252">
      <totalsRowFormula>SUM(F6:F13)</totalsRowFormula>
    </tableColumn>
    <tableColumn id="8" name="Year 6+" totalsRowFunction="custom" dataDxfId="251" totalsRowDxfId="250">
      <totalsRowFormula>SUM(G6:G13)</totalsRowFormula>
    </tableColumn>
    <tableColumn id="7" name="Total" totalsRowFunction="custom" dataDxfId="249" totalsRowDxfId="248">
      <calculatedColumnFormula>SUM(B6:G6)</calculatedColumnFormula>
      <totalsRowFormula>SUM(H6:H13)</totalsRow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41" name="TableB789121819202223242526272831920303637383942" displayName="TableB789121819202223242526272831920303637383942" ref="A5:H14" totalsRowCount="1" headerRowDxfId="247" dataDxfId="245" totalsRowDxfId="243" headerRowBorderDxfId="246" tableBorderDxfId="244" totalsRowBorderDxfId="242">
  <tableColumns count="8">
    <tableColumn id="1" name="Faculty" totalsRowLabel="Total" dataDxfId="241" totalsRowDxfId="240"/>
    <tableColumn id="2" name="Year 1" totalsRowFunction="custom" dataDxfId="239" totalsRowDxfId="238">
      <totalsRowFormula>SUM(B6:B13)</totalsRowFormula>
    </tableColumn>
    <tableColumn id="3" name="Year 2" totalsRowFunction="custom" dataDxfId="237" totalsRowDxfId="236">
      <totalsRowFormula>SUM(C6:C13)</totalsRowFormula>
    </tableColumn>
    <tableColumn id="4" name="Year 3" totalsRowFunction="custom" dataDxfId="235" totalsRowDxfId="234">
      <totalsRowFormula>SUM(D6:D13)</totalsRowFormula>
    </tableColumn>
    <tableColumn id="5" name="Year 4" totalsRowFunction="custom" dataDxfId="233" totalsRowDxfId="232">
      <totalsRowFormula>SUM(E6:E13)</totalsRowFormula>
    </tableColumn>
    <tableColumn id="6" name="Year 5+" totalsRowFunction="custom" dataDxfId="231" totalsRowDxfId="230">
      <totalsRowFormula>SUM(F6:F13)</totalsRowFormula>
    </tableColumn>
    <tableColumn id="8" name="Year 6+" totalsRowFunction="custom" dataDxfId="229" totalsRowDxfId="228">
      <totalsRowFormula>SUM(G6:G13)</totalsRowFormula>
    </tableColumn>
    <tableColumn id="7" name="Total" totalsRowFunction="custom" dataDxfId="227" totalsRowDxfId="226">
      <calculatedColumnFormula>SUM(B6:G6)</calculatedColumnFormula>
      <totalsRowFormula>SUM(H6:H13)</totalsRow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0" name="TableB789121819202223242526272831920303637383941" displayName="TableB789121819202223242526272831920303637383941" ref="A5:H15" totalsRowCount="1" headerRowDxfId="225" dataDxfId="223" totalsRowDxfId="221" headerRowBorderDxfId="224" tableBorderDxfId="222" totalsRowBorderDxfId="220">
  <tableColumns count="8">
    <tableColumn id="1" name="Faculty" totalsRowLabel="Total" dataDxfId="219" totalsRowDxfId="218"/>
    <tableColumn id="2" name="Year 1" totalsRowFunction="custom" dataDxfId="217" totalsRowDxfId="216">
      <totalsRowFormula>SUM(B6:B14)</totalsRowFormula>
    </tableColumn>
    <tableColumn id="3" name="Year 2" totalsRowFunction="custom" dataDxfId="215" totalsRowDxfId="214">
      <totalsRowFormula>SUM(C6:C14)</totalsRowFormula>
    </tableColumn>
    <tableColumn id="4" name="Year 3" totalsRowFunction="custom" dataDxfId="213" totalsRowDxfId="212">
      <totalsRowFormula>SUM(D6:D14)</totalsRowFormula>
    </tableColumn>
    <tableColumn id="5" name="Year 4" totalsRowFunction="custom" dataDxfId="211" totalsRowDxfId="210">
      <totalsRowFormula>SUM(E6:E14)</totalsRowFormula>
    </tableColumn>
    <tableColumn id="6" name="Year 5+" totalsRowFunction="custom" dataDxfId="209" totalsRowDxfId="208">
      <totalsRowFormula>SUM(F6:F14)</totalsRowFormula>
    </tableColumn>
    <tableColumn id="8" name="Year 6+" totalsRowFunction="custom" dataDxfId="207" totalsRowDxfId="206">
      <totalsRowFormula>SUM(G6:G14)</totalsRowFormula>
    </tableColumn>
    <tableColumn id="7" name="Total" totalsRowFunction="custom" dataDxfId="205" totalsRowDxfId="204">
      <calculatedColumnFormula>SUM(B6:G6)</calculatedColumnFormula>
      <totalsRowFormula>SUM(H6:H14)</totalsRow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38" name="TableB7891218192022232425262728319203036373839" displayName="TableB7891218192022232425262728319203036373839" ref="A5:H15" totalsRowCount="1" headerRowDxfId="203" dataDxfId="201" totalsRowDxfId="199" headerRowBorderDxfId="202" tableBorderDxfId="200" totalsRowBorderDxfId="198">
  <tableColumns count="8">
    <tableColumn id="1" name="Faculty" totalsRowLabel="Total" dataDxfId="197" totalsRowDxfId="196"/>
    <tableColumn id="2" name="Year 1" totalsRowFunction="custom" dataDxfId="195" totalsRowDxfId="194">
      <totalsRowFormula>SUM(B6:B14)</totalsRowFormula>
    </tableColumn>
    <tableColumn id="3" name="Year 2" totalsRowFunction="custom" dataDxfId="193" totalsRowDxfId="192">
      <totalsRowFormula>SUM(C6:C14)</totalsRowFormula>
    </tableColumn>
    <tableColumn id="4" name="Year 3" totalsRowFunction="custom" dataDxfId="191" totalsRowDxfId="190">
      <totalsRowFormula>SUM(D6:D14)</totalsRowFormula>
    </tableColumn>
    <tableColumn id="5" name="Year 4" totalsRowFunction="custom" dataDxfId="189" totalsRowDxfId="188">
      <totalsRowFormula>SUM(E6:E14)</totalsRowFormula>
    </tableColumn>
    <tableColumn id="6" name="Year 5+" totalsRowFunction="custom" dataDxfId="187" totalsRowDxfId="186">
      <totalsRowFormula>SUM(F6:F14)</totalsRowFormula>
    </tableColumn>
    <tableColumn id="8" name="Year 6+" totalsRowFunction="custom" dataDxfId="185" totalsRowDxfId="184">
      <totalsRowFormula>SUM(G6:G14)</totalsRowFormula>
    </tableColumn>
    <tableColumn id="7" name="Total" totalsRowFunction="custom" dataDxfId="183" totalsRowDxfId="182">
      <calculatedColumnFormula>SUM(B6:G6)</calculatedColumnFormula>
      <totalsRowFormula>SUM(H6:H14)</totalsRow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7" name="TableB78912181920222324252627283192030363738" displayName="TableB78912181920222324252627283192030363738" ref="A6:H16" totalsRowCount="1" headerRowDxfId="181" dataDxfId="179" totalsRowDxfId="177" headerRowBorderDxfId="180" tableBorderDxfId="178" totalsRowBorderDxfId="176">
  <tableColumns count="8">
    <tableColumn id="1" name="Faculty" totalsRowLabel="Total" dataDxfId="175" totalsRowDxfId="174"/>
    <tableColumn id="2" name="Year 1" totalsRowFunction="custom" dataDxfId="173" totalsRowDxfId="172">
      <totalsRowFormula>SUM(B7:B15)</totalsRowFormula>
    </tableColumn>
    <tableColumn id="3" name="Year 2" totalsRowFunction="custom" dataDxfId="171" totalsRowDxfId="170">
      <totalsRowFormula>SUM(C7:C15)</totalsRowFormula>
    </tableColumn>
    <tableColumn id="4" name="Year 3" totalsRowFunction="custom" dataDxfId="169" totalsRowDxfId="168">
      <totalsRowFormula>SUM(D7:D15)</totalsRowFormula>
    </tableColumn>
    <tableColumn id="5" name="Year 4" totalsRowFunction="custom" dataDxfId="167" totalsRowDxfId="166">
      <totalsRowFormula>SUM(E7:E15)</totalsRowFormula>
    </tableColumn>
    <tableColumn id="6" name="Year 5+" totalsRowFunction="custom" dataDxfId="165" totalsRowDxfId="164">
      <totalsRowFormula>SUM(F7:F15)</totalsRowFormula>
    </tableColumn>
    <tableColumn id="8" name="Year 6+" totalsRowFunction="custom" dataDxfId="163" totalsRowDxfId="162">
      <totalsRowFormula>SUM(G7:G15)</totalsRowFormula>
    </tableColumn>
    <tableColumn id="7" name="Total" totalsRowFunction="custom" dataDxfId="161" totalsRowDxfId="160">
      <calculatedColumnFormula>SUM(B7:G7)</calculatedColumnFormula>
      <totalsRowFormula>SUM(H7:H15)</totalsRow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36" name="TableB789121819202223242526272831920303637" displayName="TableB789121819202223242526272831920303637" ref="A6:G16" totalsRowCount="1" headerRowDxfId="159" dataDxfId="157" totalsRowDxfId="155" headerRowBorderDxfId="158" tableBorderDxfId="156" totalsRowBorderDxfId="154">
  <tableColumns count="7">
    <tableColumn id="1" name="Faculty" totalsRowLabel="Total" dataDxfId="153" totalsRowDxfId="152"/>
    <tableColumn id="2" name="Year 1" totalsRowFunction="custom" dataDxfId="151" totalsRowDxfId="150">
      <totalsRowFormula>SUM(B7:B15)</totalsRowFormula>
    </tableColumn>
    <tableColumn id="3" name="Year 2" totalsRowFunction="custom" dataDxfId="149" totalsRowDxfId="148">
      <totalsRowFormula>SUM(C7:C15)</totalsRowFormula>
    </tableColumn>
    <tableColumn id="4" name="Year 3" totalsRowFunction="custom" dataDxfId="147" totalsRowDxfId="146">
      <totalsRowFormula>SUM(D7:D15)</totalsRowFormula>
    </tableColumn>
    <tableColumn id="5" name="Year 4" totalsRowFunction="custom" dataDxfId="145" totalsRowDxfId="144">
      <totalsRowFormula>SUM(E7:E15)</totalsRowFormula>
    </tableColumn>
    <tableColumn id="6" name="Year 5+" totalsRowFunction="custom" dataDxfId="143" totalsRowDxfId="142">
      <totalsRowFormula>SUM(F7:F15)</totalsRowFormula>
    </tableColumn>
    <tableColumn id="7" name="Total" totalsRowFunction="custom" dataDxfId="141" totalsRowDxfId="140">
      <calculatedColumnFormula>SUM(B7:F7)</calculatedColumnFormula>
      <totalsRowFormula>SUM(G7:G15)</totalsRow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35" name="TableB7891218192022232425262728319203036" displayName="TableB7891218192022232425262728319203036" ref="A6:G16" totalsRowCount="1" headerRowDxfId="139" dataDxfId="137" totalsRowDxfId="135" headerRowBorderDxfId="138" tableBorderDxfId="136" totalsRowBorderDxfId="134">
  <tableColumns count="7">
    <tableColumn id="1" name="Faculty" totalsRowLabel="Total" dataDxfId="133" totalsRowDxfId="132"/>
    <tableColumn id="2" name="Year 1" totalsRowFunction="custom" dataDxfId="131" totalsRowDxfId="130">
      <totalsRowFormula>SUM(B7:B15)</totalsRowFormula>
    </tableColumn>
    <tableColumn id="3" name="Year 2" totalsRowFunction="custom" dataDxfId="129" totalsRowDxfId="128">
      <totalsRowFormula>SUM(C7:C15)</totalsRowFormula>
    </tableColumn>
    <tableColumn id="4" name="Year 3" totalsRowFunction="custom" dataDxfId="127" totalsRowDxfId="126">
      <totalsRowFormula>SUM(D7:D15)</totalsRowFormula>
    </tableColumn>
    <tableColumn id="5" name="Year 4" totalsRowFunction="custom" dataDxfId="125" totalsRowDxfId="124">
      <totalsRowFormula>SUM(E7:E15)</totalsRowFormula>
    </tableColumn>
    <tableColumn id="6" name="Year 5+" totalsRowFunction="custom" dataDxfId="123" totalsRowDxfId="122">
      <totalsRowFormula>SUM(F7:F15)</totalsRowFormula>
    </tableColumn>
    <tableColumn id="7" name="Total" totalsRowFunction="custom" dataDxfId="121" totalsRowDxfId="120">
      <calculatedColumnFormula>SUM(B7:F7)</calculatedColumnFormula>
      <totalsRowFormula>SUM(G7:G15)</totalsRow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29" name="TableB78912181920222324252627283192030" displayName="TableB78912181920222324252627283192030" ref="A6:G16" totalsRowCount="1" headerRowDxfId="119" dataDxfId="117" totalsRowDxfId="115" headerRowBorderDxfId="118" tableBorderDxfId="116" totalsRowBorderDxfId="114">
  <tableColumns count="7">
    <tableColumn id="1" name="Faculty" totalsRowLabel="Total" dataDxfId="113" totalsRowDxfId="112"/>
    <tableColumn id="2" name="Year 1" totalsRowFunction="custom" dataDxfId="111" totalsRowDxfId="110">
      <totalsRowFormula>SUM(B7:B15)</totalsRowFormula>
    </tableColumn>
    <tableColumn id="3" name="Year 2" totalsRowFunction="custom" dataDxfId="109" totalsRowDxfId="108">
      <totalsRowFormula>SUM(C7:C15)</totalsRowFormula>
    </tableColumn>
    <tableColumn id="4" name="Year 3" totalsRowFunction="custom" dataDxfId="107" totalsRowDxfId="106">
      <totalsRowFormula>SUM(D7:D15)</totalsRowFormula>
    </tableColumn>
    <tableColumn id="5" name="Year 4" totalsRowFunction="custom" dataDxfId="105" totalsRowDxfId="104">
      <totalsRowFormula>SUM(E7:E15)</totalsRowFormula>
    </tableColumn>
    <tableColumn id="6" name="Year 5+" totalsRowFunction="custom" dataDxfId="103" totalsRowDxfId="102">
      <totalsRowFormula>SUM(F7:F15)</totalsRowFormula>
    </tableColumn>
    <tableColumn id="7" name="Total" totalsRowFunction="custom" dataDxfId="101" totalsRowDxfId="100">
      <calculatedColumnFormula>SUM(B7:F7)</calculatedColumnFormula>
      <totalsRowFormula>SUM(G7:G15)</totalsRow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34" name="TableB789121819202223242526272831920303235" displayName="TableB789121819202223242526272831920303235" ref="A6:G18" totalsRowCount="1" headerRowDxfId="99" dataDxfId="97" totalsRowDxfId="95" headerRowBorderDxfId="98" tableBorderDxfId="96" totalsRowBorderDxfId="94">
  <tableColumns count="7">
    <tableColumn id="1" name="Faculty" totalsRowLabel="Total" dataDxfId="93" totalsRowDxfId="92"/>
    <tableColumn id="2" name="Year 1" totalsRowFunction="custom" dataDxfId="91" totalsRowDxfId="90">
      <totalsRowFormula>SUM(B7:B17)</totalsRowFormula>
    </tableColumn>
    <tableColumn id="3" name="Year 2" totalsRowFunction="custom" dataDxfId="89" totalsRowDxfId="88">
      <totalsRowFormula>SUM(C7:C17)</totalsRowFormula>
    </tableColumn>
    <tableColumn id="4" name="Year 3" totalsRowFunction="custom" dataDxfId="87" totalsRowDxfId="86">
      <totalsRowFormula>SUM(D7:D17)</totalsRowFormula>
    </tableColumn>
    <tableColumn id="5" name="Year 4" totalsRowFunction="custom" dataDxfId="85" totalsRowDxfId="84">
      <totalsRowFormula>SUM(E7:E17)</totalsRowFormula>
    </tableColumn>
    <tableColumn id="6" name="Year 5+" totalsRowFunction="custom" dataDxfId="83" totalsRowDxfId="82">
      <totalsRowFormula>SUM(F7:F17)</totalsRowFormula>
    </tableColumn>
    <tableColumn id="7" name="Total" totalsRowFunction="custom" dataDxfId="81" totalsRowDxfId="80">
      <calculatedColumnFormula>SUM(B7:F7)</calculatedColumnFormula>
      <totalsRowFormula>SUM(G7:G17)</totalsRowFormula>
    </tableColumn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31" name="TableB7891218192022232425262728319203032" displayName="TableB7891218192022232425262728319203032" ref="A6:G16" totalsRowCount="1" headerRowDxfId="79" dataDxfId="77" totalsRowDxfId="75" headerRowBorderDxfId="78" tableBorderDxfId="76" totalsRowBorderDxfId="74">
  <tableColumns count="7">
    <tableColumn id="1" name="Faculty" totalsRowLabel="Total" dataDxfId="73" totalsRowDxfId="72"/>
    <tableColumn id="2" name="Year 1" totalsRowFunction="custom" dataDxfId="71" totalsRowDxfId="70">
      <totalsRowFormula>SUM(B7:B15)</totalsRowFormula>
    </tableColumn>
    <tableColumn id="3" name="Year 2" totalsRowFunction="custom" dataDxfId="69" totalsRowDxfId="68">
      <totalsRowFormula>SUM(C7:C15)</totalsRowFormula>
    </tableColumn>
    <tableColumn id="4" name="Year 3" totalsRowFunction="custom" dataDxfId="67" totalsRowDxfId="66">
      <totalsRowFormula>SUM(D7:D15)</totalsRowFormula>
    </tableColumn>
    <tableColumn id="5" name="Year 4" totalsRowFunction="custom" dataDxfId="65" totalsRowDxfId="64">
      <totalsRowFormula>SUM(E7:E15)</totalsRowFormula>
    </tableColumn>
    <tableColumn id="6" name="Year 5+" totalsRowFunction="custom" dataDxfId="63" totalsRowDxfId="62">
      <totalsRowFormula>SUM(F7:F15)</totalsRowFormula>
    </tableColumn>
    <tableColumn id="7" name="Total" totalsRowFunction="custom" dataDxfId="61" totalsRowDxfId="60">
      <calculatedColumnFormula>SUM(B7:F7)</calculatedColumnFormula>
      <totalsRowFormula>SUM(G7:G15)</totalsRow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32" name="TableB7891218192022232425262728319203033" displayName="TableB7891218192022232425262728319203033" ref="A6:G15" totalsRowCount="1" headerRowDxfId="59" dataDxfId="57" totalsRowDxfId="55" headerRowBorderDxfId="58" tableBorderDxfId="56" totalsRowBorderDxfId="54">
  <tableColumns count="7">
    <tableColumn id="1" name="Faculty" totalsRowLabel="Total" dataDxfId="53" totalsRowDxfId="52"/>
    <tableColumn id="2" name="Year 1" totalsRowFunction="custom" dataDxfId="51" totalsRowDxfId="50">
      <totalsRowFormula>SUM(B7:B14)</totalsRowFormula>
    </tableColumn>
    <tableColumn id="3" name="Year 2" totalsRowFunction="custom" dataDxfId="49" totalsRowDxfId="48">
      <totalsRowFormula>SUM(C7:C14)</totalsRowFormula>
    </tableColumn>
    <tableColumn id="4" name="Year 3" totalsRowFunction="custom" dataDxfId="47" totalsRowDxfId="46">
      <totalsRowFormula>SUM(D7:D14)</totalsRowFormula>
    </tableColumn>
    <tableColumn id="5" name="Year 4" totalsRowFunction="custom" dataDxfId="45" totalsRowDxfId="44">
      <totalsRowFormula>SUM(E7:E14)</totalsRowFormula>
    </tableColumn>
    <tableColumn id="6" name="Year 5+" totalsRowFunction="custom" dataDxfId="43" totalsRowDxfId="42">
      <totalsRowFormula>SUM(F7:F14)</totalsRowFormula>
    </tableColumn>
    <tableColumn id="7" name="Total" totalsRowFunction="custom" dataDxfId="41" totalsRowDxfId="40">
      <calculatedColumnFormula>SUM(B7:F7)</calculatedColumnFormula>
      <totalsRowFormula>SUM(G7:G14)</totalsRow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33" name="TableB7891218192022232425262728319203034" displayName="TableB7891218192022232425262728319203034" ref="A6:G15" totalsRowCount="1" headerRowDxfId="39" dataDxfId="37" totalsRowDxfId="35" headerRowBorderDxfId="38" tableBorderDxfId="36" totalsRowBorderDxfId="34">
  <tableColumns count="7">
    <tableColumn id="1" name="Faculty" totalsRowLabel="Total" dataDxfId="33" totalsRowDxfId="32"/>
    <tableColumn id="2" name="Year 1" totalsRowFunction="custom" dataDxfId="31" totalsRowDxfId="30">
      <totalsRowFormula>SUM(B7:B14)</totalsRowFormula>
    </tableColumn>
    <tableColumn id="3" name="Year 2" totalsRowFunction="custom" dataDxfId="29" totalsRowDxfId="28">
      <totalsRowFormula>SUM(C7:C14)</totalsRowFormula>
    </tableColumn>
    <tableColumn id="4" name="Year 3" totalsRowFunction="custom" dataDxfId="27" totalsRowDxfId="26">
      <totalsRowFormula>SUM(D7:D14)</totalsRowFormula>
    </tableColumn>
    <tableColumn id="5" name="Year 4" totalsRowFunction="custom" dataDxfId="25" totalsRowDxfId="24">
      <totalsRowFormula>SUM(E7:E14)</totalsRowFormula>
    </tableColumn>
    <tableColumn id="6" name="Year 5+" totalsRowFunction="custom" dataDxfId="23" totalsRowDxfId="22">
      <totalsRowFormula>SUM(F7:F14)</totalsRowFormula>
    </tableColumn>
    <tableColumn id="7" name="Total" totalsRowFunction="custom" dataDxfId="21" totalsRowDxfId="20">
      <calculatedColumnFormula>SUM(B7:F7)</calculatedColumnFormula>
      <totalsRowFormula>SUM(G7:G14)</totalsRow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" name="TableB7891218192022232425262728" displayName="TableB7891218192022232425262728" ref="A6:G15" totalsRowCount="1" headerRowDxfId="19" dataDxfId="17" totalsRowDxfId="15" headerRowBorderDxfId="18" tableBorderDxfId="16" totalsRowBorderDxfId="14">
  <tableColumns count="7">
    <tableColumn id="1" name="Faculty" totalsRowLabel="Total" dataDxfId="13" totalsRowDxfId="12"/>
    <tableColumn id="2" name="Year 1" totalsRowFunction="custom" dataDxfId="11" totalsRowDxfId="10">
      <totalsRowFormula>SUM(B7:B14)</totalsRowFormula>
    </tableColumn>
    <tableColumn id="3" name="Year 2" totalsRowFunction="custom" dataDxfId="9" totalsRowDxfId="8">
      <totalsRowFormula>SUM(C7:C14)</totalsRowFormula>
    </tableColumn>
    <tableColumn id="4" name="Year 3" totalsRowFunction="custom" dataDxfId="7" totalsRowDxfId="6">
      <totalsRowFormula>SUM(D7:D14)</totalsRowFormula>
    </tableColumn>
    <tableColumn id="5" name="Year 4" totalsRowFunction="custom" dataDxfId="5" totalsRowDxfId="4">
      <totalsRowFormula>SUM(E7:E14)</totalsRowFormula>
    </tableColumn>
    <tableColumn id="6" name="Year 5+" totalsRowFunction="custom" dataDxfId="3" totalsRowDxfId="2">
      <totalsRowFormula>SUM(F7:F14)</totalsRowFormula>
    </tableColumn>
    <tableColumn id="7" name="Total" totalsRowFunction="custom" dataDxfId="1" totalsRowDxfId="0">
      <calculatedColumnFormula>SUM(B7:F7)</calculatedColumnFormula>
      <totalsRowFormula>SUM(G7:G14)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7"/>
  <sheetViews>
    <sheetView tabSelected="1" view="pageLayout" zoomScaleNormal="100" workbookViewId="0">
      <selection activeCell="A30" sqref="A30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19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729</v>
      </c>
      <c r="C6" s="7">
        <v>193</v>
      </c>
      <c r="D6" s="8">
        <v>48</v>
      </c>
      <c r="E6" s="7">
        <v>26</v>
      </c>
      <c r="F6" s="7">
        <v>14</v>
      </c>
      <c r="G6" s="7">
        <v>6</v>
      </c>
      <c r="H6" s="11">
        <f t="shared" ref="H6:H13" si="0">SUM(B6:G6)</f>
        <v>1016</v>
      </c>
    </row>
    <row r="7" spans="1:8" x14ac:dyDescent="0.25">
      <c r="A7" s="8" t="s">
        <v>38</v>
      </c>
      <c r="B7" s="8">
        <v>1334</v>
      </c>
      <c r="C7" s="8">
        <v>608</v>
      </c>
      <c r="D7" s="8">
        <v>239</v>
      </c>
      <c r="E7" s="8">
        <v>151</v>
      </c>
      <c r="F7" s="8">
        <v>90</v>
      </c>
      <c r="G7" s="8">
        <v>14</v>
      </c>
      <c r="H7" s="12">
        <f t="shared" si="0"/>
        <v>2436</v>
      </c>
    </row>
    <row r="8" spans="1:8" x14ac:dyDescent="0.25">
      <c r="A8" s="8" t="s">
        <v>8</v>
      </c>
      <c r="B8" s="8">
        <v>833</v>
      </c>
      <c r="C8" s="8">
        <v>131</v>
      </c>
      <c r="D8" s="8">
        <v>62</v>
      </c>
      <c r="E8" s="5">
        <v>25</v>
      </c>
      <c r="F8" s="5">
        <v>10</v>
      </c>
      <c r="G8" s="5">
        <v>14</v>
      </c>
      <c r="H8" s="13">
        <f t="shared" si="0"/>
        <v>1075</v>
      </c>
    </row>
    <row r="9" spans="1:8" x14ac:dyDescent="0.25">
      <c r="A9" s="8" t="s">
        <v>37</v>
      </c>
      <c r="B9" s="8">
        <v>1187</v>
      </c>
      <c r="C9" s="8">
        <v>173</v>
      </c>
      <c r="D9" s="8">
        <v>120</v>
      </c>
      <c r="E9" s="5">
        <v>57</v>
      </c>
      <c r="F9" s="5">
        <v>23</v>
      </c>
      <c r="G9" s="5">
        <v>5</v>
      </c>
      <c r="H9" s="20">
        <f t="shared" si="0"/>
        <v>1565</v>
      </c>
    </row>
    <row r="10" spans="1:8" x14ac:dyDescent="0.25">
      <c r="A10" s="8" t="s">
        <v>10</v>
      </c>
      <c r="B10" s="8">
        <v>515</v>
      </c>
      <c r="C10" s="8">
        <v>23</v>
      </c>
      <c r="D10" s="8">
        <v>8</v>
      </c>
      <c r="E10" s="8">
        <v>4</v>
      </c>
      <c r="F10" s="8">
        <v>1</v>
      </c>
      <c r="G10" s="8">
        <v>2</v>
      </c>
      <c r="H10" s="14">
        <f t="shared" si="0"/>
        <v>553</v>
      </c>
    </row>
    <row r="11" spans="1:8" x14ac:dyDescent="0.25">
      <c r="A11" s="8" t="s">
        <v>11</v>
      </c>
      <c r="B11" s="8">
        <v>801</v>
      </c>
      <c r="C11" s="8">
        <v>240</v>
      </c>
      <c r="D11" s="8">
        <v>182</v>
      </c>
      <c r="E11" s="8">
        <v>54</v>
      </c>
      <c r="F11" s="8">
        <v>12</v>
      </c>
      <c r="G11" s="8">
        <v>5</v>
      </c>
      <c r="H11" s="14">
        <f t="shared" si="0"/>
        <v>1294</v>
      </c>
    </row>
    <row r="12" spans="1:8" x14ac:dyDescent="0.25">
      <c r="A12" s="8" t="s">
        <v>12</v>
      </c>
      <c r="B12" s="8">
        <v>339</v>
      </c>
      <c r="C12" s="8">
        <v>101</v>
      </c>
      <c r="D12" s="8">
        <v>108</v>
      </c>
      <c r="E12" s="8">
        <v>50</v>
      </c>
      <c r="F12" s="8">
        <v>12</v>
      </c>
      <c r="G12" s="8">
        <v>2</v>
      </c>
      <c r="H12" s="12">
        <f t="shared" si="0"/>
        <v>612</v>
      </c>
    </row>
    <row r="13" spans="1:8" ht="15.75" thickBot="1" x14ac:dyDescent="0.3">
      <c r="A13" s="6" t="s">
        <v>13</v>
      </c>
      <c r="B13" s="6">
        <v>1487</v>
      </c>
      <c r="C13" s="6">
        <v>252</v>
      </c>
      <c r="D13" s="6">
        <v>87</v>
      </c>
      <c r="E13" s="6">
        <v>50</v>
      </c>
      <c r="F13" s="6">
        <v>21</v>
      </c>
      <c r="G13" s="6">
        <v>17</v>
      </c>
      <c r="H13" s="15">
        <f t="shared" si="0"/>
        <v>1914</v>
      </c>
    </row>
    <row r="14" spans="1:8" ht="15.75" thickTop="1" x14ac:dyDescent="0.25">
      <c r="A14" s="23" t="s">
        <v>6</v>
      </c>
      <c r="B14" s="23">
        <f t="shared" ref="B14:H14" si="1">SUM(B6:B13)</f>
        <v>7225</v>
      </c>
      <c r="C14" s="23">
        <f t="shared" si="1"/>
        <v>1721</v>
      </c>
      <c r="D14" s="23">
        <f t="shared" si="1"/>
        <v>854</v>
      </c>
      <c r="E14" s="23">
        <f t="shared" si="1"/>
        <v>417</v>
      </c>
      <c r="F14" s="23">
        <f t="shared" si="1"/>
        <v>183</v>
      </c>
      <c r="G14" s="23">
        <f t="shared" si="1"/>
        <v>65</v>
      </c>
      <c r="H14" s="24">
        <f t="shared" si="1"/>
        <v>10465</v>
      </c>
    </row>
    <row r="15" spans="1:8" x14ac:dyDescent="0.25">
      <c r="A15" s="9"/>
      <c r="B15" s="9"/>
    </row>
    <row r="16" spans="1:8" x14ac:dyDescent="0.25">
      <c r="A16" s="18"/>
      <c r="B16" s="9"/>
    </row>
    <row r="17" spans="1:7" ht="30" customHeight="1" x14ac:dyDescent="0.25">
      <c r="A17" s="27" t="s">
        <v>18</v>
      </c>
      <c r="B17" s="27"/>
      <c r="C17" s="27"/>
      <c r="D17" s="27"/>
      <c r="E17" s="27"/>
      <c r="F17" s="27"/>
      <c r="G17" s="27"/>
    </row>
  </sheetData>
  <mergeCells count="2">
    <mergeCell ref="A2:G2"/>
    <mergeCell ref="A17:G17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7"/>
  <sheetViews>
    <sheetView view="pageLayout" topLeftCell="A4" zoomScaleNormal="100" workbookViewId="0">
      <selection activeCell="C21" sqref="C21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20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648</v>
      </c>
      <c r="C6" s="7">
        <v>181</v>
      </c>
      <c r="D6" s="8">
        <v>55</v>
      </c>
      <c r="E6" s="7">
        <v>23</v>
      </c>
      <c r="F6" s="7">
        <v>9</v>
      </c>
      <c r="G6" s="7">
        <v>5</v>
      </c>
      <c r="H6" s="11">
        <f t="shared" ref="H6:H13" si="0">SUM(B6:G6)</f>
        <v>921</v>
      </c>
    </row>
    <row r="7" spans="1:8" x14ac:dyDescent="0.25">
      <c r="A7" s="8" t="s">
        <v>38</v>
      </c>
      <c r="B7" s="8">
        <v>1225</v>
      </c>
      <c r="C7" s="8">
        <v>387</v>
      </c>
      <c r="D7" s="8">
        <v>296</v>
      </c>
      <c r="E7" s="8">
        <v>139</v>
      </c>
      <c r="F7" s="8">
        <v>180</v>
      </c>
      <c r="G7" s="8">
        <v>12</v>
      </c>
      <c r="H7" s="12">
        <f t="shared" si="0"/>
        <v>2239</v>
      </c>
    </row>
    <row r="8" spans="1:8" x14ac:dyDescent="0.25">
      <c r="A8" s="8" t="s">
        <v>8</v>
      </c>
      <c r="B8" s="8">
        <v>762</v>
      </c>
      <c r="C8" s="8">
        <v>143</v>
      </c>
      <c r="D8" s="8">
        <v>44</v>
      </c>
      <c r="E8" s="5">
        <v>21</v>
      </c>
      <c r="F8" s="5">
        <v>10</v>
      </c>
      <c r="G8" s="5">
        <v>18</v>
      </c>
      <c r="H8" s="13">
        <f t="shared" si="0"/>
        <v>998</v>
      </c>
    </row>
    <row r="9" spans="1:8" x14ac:dyDescent="0.25">
      <c r="A9" s="8" t="s">
        <v>37</v>
      </c>
      <c r="B9" s="8">
        <v>1037</v>
      </c>
      <c r="C9" s="8">
        <v>166</v>
      </c>
      <c r="D9" s="8">
        <v>105</v>
      </c>
      <c r="E9" s="5">
        <v>51</v>
      </c>
      <c r="F9" s="5">
        <v>32</v>
      </c>
      <c r="G9" s="5">
        <v>4</v>
      </c>
      <c r="H9" s="20">
        <f t="shared" si="0"/>
        <v>1395</v>
      </c>
    </row>
    <row r="10" spans="1:8" x14ac:dyDescent="0.25">
      <c r="A10" s="8" t="s">
        <v>10</v>
      </c>
      <c r="B10" s="8">
        <v>468</v>
      </c>
      <c r="C10" s="8">
        <v>23</v>
      </c>
      <c r="D10" s="8">
        <v>7</v>
      </c>
      <c r="E10" s="8">
        <v>0</v>
      </c>
      <c r="F10" s="8">
        <v>2</v>
      </c>
      <c r="G10" s="8">
        <v>0</v>
      </c>
      <c r="H10" s="14">
        <f t="shared" si="0"/>
        <v>500</v>
      </c>
    </row>
    <row r="11" spans="1:8" x14ac:dyDescent="0.25">
      <c r="A11" s="8" t="s">
        <v>11</v>
      </c>
      <c r="B11" s="8">
        <v>679</v>
      </c>
      <c r="C11" s="8">
        <v>260</v>
      </c>
      <c r="D11" s="8">
        <v>157</v>
      </c>
      <c r="E11" s="8">
        <v>48</v>
      </c>
      <c r="F11" s="8">
        <v>10</v>
      </c>
      <c r="G11" s="8">
        <v>8</v>
      </c>
      <c r="H11" s="14">
        <f t="shared" si="0"/>
        <v>1162</v>
      </c>
    </row>
    <row r="12" spans="1:8" x14ac:dyDescent="0.25">
      <c r="A12" s="8" t="s">
        <v>12</v>
      </c>
      <c r="B12" s="8">
        <v>294</v>
      </c>
      <c r="C12" s="8">
        <v>119</v>
      </c>
      <c r="D12" s="8">
        <v>102</v>
      </c>
      <c r="E12" s="8">
        <v>50</v>
      </c>
      <c r="F12" s="8">
        <v>22</v>
      </c>
      <c r="G12" s="8">
        <v>5</v>
      </c>
      <c r="H12" s="12">
        <f t="shared" si="0"/>
        <v>592</v>
      </c>
    </row>
    <row r="13" spans="1:8" ht="15.75" thickBot="1" x14ac:dyDescent="0.3">
      <c r="A13" s="6" t="s">
        <v>13</v>
      </c>
      <c r="B13" s="6">
        <v>1413</v>
      </c>
      <c r="C13" s="6">
        <v>232</v>
      </c>
      <c r="D13" s="6">
        <v>71</v>
      </c>
      <c r="E13" s="6">
        <v>38</v>
      </c>
      <c r="F13" s="6">
        <v>24</v>
      </c>
      <c r="G13" s="6">
        <v>11</v>
      </c>
      <c r="H13" s="15">
        <f t="shared" si="0"/>
        <v>1789</v>
      </c>
    </row>
    <row r="14" spans="1:8" ht="15.75" thickTop="1" x14ac:dyDescent="0.25">
      <c r="A14" s="23" t="s">
        <v>6</v>
      </c>
      <c r="B14" s="23">
        <f t="shared" ref="B14:H14" si="1">SUM(B6:B13)</f>
        <v>6526</v>
      </c>
      <c r="C14" s="23">
        <f t="shared" si="1"/>
        <v>1511</v>
      </c>
      <c r="D14" s="23">
        <f t="shared" si="1"/>
        <v>837</v>
      </c>
      <c r="E14" s="23">
        <f t="shared" si="1"/>
        <v>370</v>
      </c>
      <c r="F14" s="23">
        <f t="shared" si="1"/>
        <v>289</v>
      </c>
      <c r="G14" s="23">
        <f t="shared" si="1"/>
        <v>63</v>
      </c>
      <c r="H14" s="24">
        <f t="shared" si="1"/>
        <v>9596</v>
      </c>
    </row>
    <row r="15" spans="1:8" x14ac:dyDescent="0.25">
      <c r="A15" s="9"/>
      <c r="B15" s="9"/>
    </row>
    <row r="16" spans="1:8" x14ac:dyDescent="0.25">
      <c r="A16" s="18"/>
      <c r="B16" s="9"/>
    </row>
    <row r="17" spans="1:7" ht="30" customHeight="1" x14ac:dyDescent="0.25">
      <c r="A17" s="27" t="s">
        <v>18</v>
      </c>
      <c r="B17" s="27"/>
      <c r="C17" s="27"/>
      <c r="D17" s="27"/>
      <c r="E17" s="27"/>
      <c r="F17" s="27"/>
      <c r="G17" s="27"/>
    </row>
  </sheetData>
  <mergeCells count="2">
    <mergeCell ref="A2:G2"/>
    <mergeCell ref="A17:G17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H17"/>
  <sheetViews>
    <sheetView view="pageLayout" zoomScaleNormal="100" workbookViewId="0">
      <selection activeCell="B7" sqref="B7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21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528</v>
      </c>
      <c r="C6" s="7">
        <v>172</v>
      </c>
      <c r="D6" s="8">
        <v>88</v>
      </c>
      <c r="E6" s="7">
        <v>21</v>
      </c>
      <c r="F6" s="7">
        <v>10</v>
      </c>
      <c r="G6" s="7">
        <v>9</v>
      </c>
      <c r="H6" s="11">
        <f t="shared" ref="H6:H13" si="0">SUM(B6:G6)</f>
        <v>828</v>
      </c>
    </row>
    <row r="7" spans="1:8" x14ac:dyDescent="0.25">
      <c r="A7" s="8" t="s">
        <v>38</v>
      </c>
      <c r="B7" s="8">
        <v>891</v>
      </c>
      <c r="C7" s="8">
        <v>462</v>
      </c>
      <c r="D7" s="8">
        <v>261</v>
      </c>
      <c r="E7" s="8">
        <v>150</v>
      </c>
      <c r="F7" s="8">
        <v>185</v>
      </c>
      <c r="G7" s="8">
        <v>13</v>
      </c>
      <c r="H7" s="12">
        <f t="shared" si="0"/>
        <v>1962</v>
      </c>
    </row>
    <row r="8" spans="1:8" x14ac:dyDescent="0.25">
      <c r="A8" s="8" t="s">
        <v>8</v>
      </c>
      <c r="B8" s="8">
        <v>661</v>
      </c>
      <c r="C8" s="8">
        <v>134</v>
      </c>
      <c r="D8" s="8">
        <v>96</v>
      </c>
      <c r="E8" s="5">
        <v>28</v>
      </c>
      <c r="F8" s="5">
        <v>12</v>
      </c>
      <c r="G8" s="5">
        <v>11</v>
      </c>
      <c r="H8" s="13">
        <f t="shared" si="0"/>
        <v>942</v>
      </c>
    </row>
    <row r="9" spans="1:8" x14ac:dyDescent="0.25">
      <c r="A9" s="8" t="s">
        <v>37</v>
      </c>
      <c r="B9" s="8">
        <v>817</v>
      </c>
      <c r="C9" s="8">
        <v>137</v>
      </c>
      <c r="D9" s="8">
        <v>104</v>
      </c>
      <c r="E9" s="5">
        <v>56</v>
      </c>
      <c r="F9" s="5">
        <v>62</v>
      </c>
      <c r="G9" s="5">
        <v>5</v>
      </c>
      <c r="H9" s="20">
        <f t="shared" si="0"/>
        <v>1181</v>
      </c>
    </row>
    <row r="10" spans="1:8" x14ac:dyDescent="0.25">
      <c r="A10" s="8" t="s">
        <v>10</v>
      </c>
      <c r="B10" s="8">
        <v>462</v>
      </c>
      <c r="C10" s="8">
        <v>22</v>
      </c>
      <c r="D10" s="8">
        <v>1</v>
      </c>
      <c r="E10" s="8">
        <v>2</v>
      </c>
      <c r="F10" s="8">
        <v>2</v>
      </c>
      <c r="G10" s="8">
        <v>0</v>
      </c>
      <c r="H10" s="14">
        <f t="shared" si="0"/>
        <v>489</v>
      </c>
    </row>
    <row r="11" spans="1:8" x14ac:dyDescent="0.25">
      <c r="A11" s="8" t="s">
        <v>11</v>
      </c>
      <c r="B11" s="8">
        <v>612</v>
      </c>
      <c r="C11" s="8">
        <v>235</v>
      </c>
      <c r="D11" s="8">
        <v>169</v>
      </c>
      <c r="E11" s="8">
        <v>45</v>
      </c>
      <c r="F11" s="8">
        <v>21</v>
      </c>
      <c r="G11" s="8">
        <v>8</v>
      </c>
      <c r="H11" s="14">
        <f t="shared" si="0"/>
        <v>1090</v>
      </c>
    </row>
    <row r="12" spans="1:8" x14ac:dyDescent="0.25">
      <c r="A12" s="8" t="s">
        <v>12</v>
      </c>
      <c r="B12" s="8">
        <v>241</v>
      </c>
      <c r="C12" s="8">
        <v>120</v>
      </c>
      <c r="D12" s="8">
        <v>125</v>
      </c>
      <c r="E12" s="8">
        <v>33</v>
      </c>
      <c r="F12" s="8">
        <v>24</v>
      </c>
      <c r="G12" s="8">
        <v>1</v>
      </c>
      <c r="H12" s="14">
        <f t="shared" si="0"/>
        <v>544</v>
      </c>
    </row>
    <row r="13" spans="1:8" ht="15.75" thickBot="1" x14ac:dyDescent="0.3">
      <c r="A13" s="22" t="s">
        <v>13</v>
      </c>
      <c r="B13" s="22">
        <v>1106</v>
      </c>
      <c r="C13" s="22">
        <v>210</v>
      </c>
      <c r="D13" s="22">
        <v>81</v>
      </c>
      <c r="E13" s="22">
        <v>30</v>
      </c>
      <c r="F13" s="22">
        <v>18</v>
      </c>
      <c r="G13" s="22">
        <v>11</v>
      </c>
      <c r="H13" s="25">
        <f t="shared" si="0"/>
        <v>1456</v>
      </c>
    </row>
    <row r="14" spans="1:8" ht="15.75" thickTop="1" x14ac:dyDescent="0.25">
      <c r="A14" s="23" t="s">
        <v>6</v>
      </c>
      <c r="B14" s="23">
        <f t="shared" ref="B14:H14" si="1">SUM(B6:B13)</f>
        <v>5318</v>
      </c>
      <c r="C14" s="23">
        <f t="shared" si="1"/>
        <v>1492</v>
      </c>
      <c r="D14" s="23">
        <f t="shared" si="1"/>
        <v>925</v>
      </c>
      <c r="E14" s="23">
        <f t="shared" si="1"/>
        <v>365</v>
      </c>
      <c r="F14" s="23">
        <f t="shared" si="1"/>
        <v>334</v>
      </c>
      <c r="G14" s="23">
        <f t="shared" si="1"/>
        <v>58</v>
      </c>
      <c r="H14" s="24">
        <f t="shared" si="1"/>
        <v>8492</v>
      </c>
    </row>
    <row r="15" spans="1:8" x14ac:dyDescent="0.25">
      <c r="A15" s="9"/>
      <c r="B15" s="9"/>
    </row>
    <row r="16" spans="1:8" x14ac:dyDescent="0.25">
      <c r="A16" s="18"/>
      <c r="B16" s="9"/>
    </row>
    <row r="17" spans="1:7" ht="30" customHeight="1" x14ac:dyDescent="0.25">
      <c r="A17" s="27" t="s">
        <v>18</v>
      </c>
      <c r="B17" s="27"/>
      <c r="C17" s="27"/>
      <c r="D17" s="27"/>
      <c r="E17" s="27"/>
      <c r="F17" s="27"/>
      <c r="G17" s="27"/>
    </row>
  </sheetData>
  <mergeCells count="2">
    <mergeCell ref="A2:G2"/>
    <mergeCell ref="A17:G17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7"/>
  <sheetViews>
    <sheetView view="pageLayout" zoomScaleNormal="100" workbookViewId="0">
      <selection activeCell="A17" sqref="A17:G17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22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504</v>
      </c>
      <c r="C6" s="7">
        <v>226</v>
      </c>
      <c r="D6" s="8">
        <v>88</v>
      </c>
      <c r="E6" s="7">
        <v>22</v>
      </c>
      <c r="F6" s="7">
        <v>16</v>
      </c>
      <c r="G6" s="7">
        <v>9</v>
      </c>
      <c r="H6" s="11">
        <f t="shared" ref="H6:H13" si="0">SUM(B6:G6)</f>
        <v>865</v>
      </c>
    </row>
    <row r="7" spans="1:8" x14ac:dyDescent="0.25">
      <c r="A7" s="8" t="s">
        <v>38</v>
      </c>
      <c r="B7" s="8">
        <v>704</v>
      </c>
      <c r="C7" s="8">
        <v>471</v>
      </c>
      <c r="D7" s="8">
        <v>329</v>
      </c>
      <c r="E7" s="8">
        <v>194</v>
      </c>
      <c r="F7" s="8">
        <v>142</v>
      </c>
      <c r="G7" s="8">
        <v>9</v>
      </c>
      <c r="H7" s="12">
        <f t="shared" si="0"/>
        <v>1849</v>
      </c>
    </row>
    <row r="8" spans="1:8" x14ac:dyDescent="0.25">
      <c r="A8" s="8" t="s">
        <v>8</v>
      </c>
      <c r="B8" s="8">
        <v>545</v>
      </c>
      <c r="C8" s="8">
        <v>146</v>
      </c>
      <c r="D8" s="8">
        <v>81</v>
      </c>
      <c r="E8" s="5">
        <v>21</v>
      </c>
      <c r="F8" s="5">
        <v>17</v>
      </c>
      <c r="G8" s="5">
        <v>15</v>
      </c>
      <c r="H8" s="13">
        <f t="shared" si="0"/>
        <v>825</v>
      </c>
    </row>
    <row r="9" spans="1:8" x14ac:dyDescent="0.25">
      <c r="A9" s="8" t="s">
        <v>37</v>
      </c>
      <c r="B9" s="8">
        <v>608</v>
      </c>
      <c r="C9" s="8">
        <v>175</v>
      </c>
      <c r="D9" s="8">
        <v>136</v>
      </c>
      <c r="E9" s="5">
        <v>76</v>
      </c>
      <c r="F9" s="5">
        <v>84</v>
      </c>
      <c r="G9" s="5">
        <v>8</v>
      </c>
      <c r="H9" s="20">
        <f t="shared" si="0"/>
        <v>1087</v>
      </c>
    </row>
    <row r="10" spans="1:8" x14ac:dyDescent="0.25">
      <c r="A10" s="8" t="s">
        <v>10</v>
      </c>
      <c r="B10" s="8">
        <v>427</v>
      </c>
      <c r="C10" s="8">
        <v>27</v>
      </c>
      <c r="D10" s="8">
        <v>6</v>
      </c>
      <c r="E10" s="8">
        <v>3</v>
      </c>
      <c r="F10" s="8">
        <v>3</v>
      </c>
      <c r="G10" s="8">
        <v>0</v>
      </c>
      <c r="H10" s="14">
        <f t="shared" si="0"/>
        <v>466</v>
      </c>
    </row>
    <row r="11" spans="1:8" x14ac:dyDescent="0.25">
      <c r="A11" s="8" t="s">
        <v>11</v>
      </c>
      <c r="B11" s="8">
        <v>469</v>
      </c>
      <c r="C11" s="8">
        <v>275</v>
      </c>
      <c r="D11" s="8">
        <v>189</v>
      </c>
      <c r="E11" s="8">
        <v>56</v>
      </c>
      <c r="F11" s="8">
        <v>19</v>
      </c>
      <c r="G11" s="8">
        <v>2</v>
      </c>
      <c r="H11" s="14">
        <f t="shared" si="0"/>
        <v>1010</v>
      </c>
    </row>
    <row r="12" spans="1:8" x14ac:dyDescent="0.25">
      <c r="A12" s="8" t="s">
        <v>12</v>
      </c>
      <c r="B12" s="8">
        <v>247</v>
      </c>
      <c r="C12" s="8">
        <v>144</v>
      </c>
      <c r="D12" s="8">
        <v>108</v>
      </c>
      <c r="E12" s="8">
        <v>42</v>
      </c>
      <c r="F12" s="8">
        <v>16</v>
      </c>
      <c r="G12" s="8">
        <v>2</v>
      </c>
      <c r="H12" s="14">
        <f t="shared" si="0"/>
        <v>559</v>
      </c>
    </row>
    <row r="13" spans="1:8" ht="15.75" thickBot="1" x14ac:dyDescent="0.3">
      <c r="A13" s="6" t="s">
        <v>13</v>
      </c>
      <c r="B13" s="6">
        <v>898</v>
      </c>
      <c r="C13" s="6">
        <v>259</v>
      </c>
      <c r="D13" s="6">
        <v>117</v>
      </c>
      <c r="E13" s="6">
        <v>41</v>
      </c>
      <c r="F13" s="6">
        <v>25</v>
      </c>
      <c r="G13" s="6">
        <v>13</v>
      </c>
      <c r="H13" s="15">
        <f t="shared" si="0"/>
        <v>1353</v>
      </c>
    </row>
    <row r="14" spans="1:8" ht="15.75" thickTop="1" x14ac:dyDescent="0.25">
      <c r="A14" s="23" t="s">
        <v>6</v>
      </c>
      <c r="B14" s="23">
        <f t="shared" ref="B14:H14" si="1">SUM(B6:B13)</f>
        <v>4402</v>
      </c>
      <c r="C14" s="23">
        <f t="shared" si="1"/>
        <v>1723</v>
      </c>
      <c r="D14" s="23">
        <f t="shared" si="1"/>
        <v>1054</v>
      </c>
      <c r="E14" s="23">
        <f t="shared" si="1"/>
        <v>455</v>
      </c>
      <c r="F14" s="23">
        <f t="shared" si="1"/>
        <v>322</v>
      </c>
      <c r="G14" s="23">
        <f t="shared" si="1"/>
        <v>58</v>
      </c>
      <c r="H14" s="24">
        <f t="shared" si="1"/>
        <v>8014</v>
      </c>
    </row>
    <row r="15" spans="1:8" x14ac:dyDescent="0.25">
      <c r="A15" s="9"/>
      <c r="B15" s="9"/>
    </row>
    <row r="16" spans="1:8" x14ac:dyDescent="0.25">
      <c r="A16" s="18"/>
      <c r="B16" s="9"/>
    </row>
    <row r="17" spans="1:7" ht="30" customHeight="1" x14ac:dyDescent="0.25">
      <c r="A17" s="27" t="s">
        <v>18</v>
      </c>
      <c r="B17" s="27"/>
      <c r="C17" s="27"/>
      <c r="D17" s="27"/>
      <c r="E17" s="27"/>
      <c r="F17" s="27"/>
      <c r="G17" s="27"/>
    </row>
  </sheetData>
  <mergeCells count="2">
    <mergeCell ref="A2:G2"/>
    <mergeCell ref="A17:G17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7"/>
  <sheetViews>
    <sheetView view="pageLayout" zoomScaleNormal="100" workbookViewId="0">
      <selection activeCell="A17" sqref="A17:G17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23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491</v>
      </c>
      <c r="C6" s="7">
        <v>167</v>
      </c>
      <c r="D6" s="8">
        <v>61</v>
      </c>
      <c r="E6" s="7">
        <v>21</v>
      </c>
      <c r="F6" s="7">
        <v>10</v>
      </c>
      <c r="G6" s="7">
        <v>8</v>
      </c>
      <c r="H6" s="11">
        <f t="shared" ref="H6:H13" si="0">SUM(B6:G6)</f>
        <v>758</v>
      </c>
    </row>
    <row r="7" spans="1:8" x14ac:dyDescent="0.25">
      <c r="A7" s="8" t="s">
        <v>38</v>
      </c>
      <c r="B7" s="8">
        <v>579</v>
      </c>
      <c r="C7" s="8">
        <v>459</v>
      </c>
      <c r="D7" s="8">
        <v>321</v>
      </c>
      <c r="E7" s="8">
        <v>134</v>
      </c>
      <c r="F7" s="8">
        <v>76</v>
      </c>
      <c r="G7" s="8">
        <v>8</v>
      </c>
      <c r="H7" s="12">
        <f t="shared" si="0"/>
        <v>1577</v>
      </c>
    </row>
    <row r="8" spans="1:8" x14ac:dyDescent="0.25">
      <c r="A8" s="8" t="s">
        <v>8</v>
      </c>
      <c r="B8" s="8">
        <v>477</v>
      </c>
      <c r="C8" s="8">
        <v>120</v>
      </c>
      <c r="D8" s="8">
        <v>90</v>
      </c>
      <c r="E8" s="5">
        <v>27</v>
      </c>
      <c r="F8" s="5">
        <v>23</v>
      </c>
      <c r="G8" s="5">
        <v>13</v>
      </c>
      <c r="H8" s="13">
        <f t="shared" si="0"/>
        <v>750</v>
      </c>
    </row>
    <row r="9" spans="1:8" x14ac:dyDescent="0.25">
      <c r="A9" s="8" t="s">
        <v>37</v>
      </c>
      <c r="B9" s="8">
        <v>540</v>
      </c>
      <c r="C9" s="8">
        <v>221</v>
      </c>
      <c r="D9" s="8">
        <v>175</v>
      </c>
      <c r="E9" s="5">
        <v>107</v>
      </c>
      <c r="F9" s="5">
        <v>37</v>
      </c>
      <c r="G9" s="5">
        <v>9</v>
      </c>
      <c r="H9" s="20">
        <f t="shared" si="0"/>
        <v>1089</v>
      </c>
    </row>
    <row r="10" spans="1:8" x14ac:dyDescent="0.25">
      <c r="A10" s="8" t="s">
        <v>10</v>
      </c>
      <c r="B10" s="8">
        <v>392</v>
      </c>
      <c r="C10" s="8">
        <v>21</v>
      </c>
      <c r="D10" s="8">
        <v>8</v>
      </c>
      <c r="E10" s="8">
        <v>3</v>
      </c>
      <c r="F10" s="8">
        <v>1</v>
      </c>
      <c r="G10" s="8">
        <v>1</v>
      </c>
      <c r="H10" s="14">
        <f t="shared" si="0"/>
        <v>426</v>
      </c>
    </row>
    <row r="11" spans="1:8" x14ac:dyDescent="0.25">
      <c r="A11" s="8" t="s">
        <v>11</v>
      </c>
      <c r="B11" s="8">
        <v>528</v>
      </c>
      <c r="C11" s="8">
        <v>270</v>
      </c>
      <c r="D11" s="8">
        <v>203</v>
      </c>
      <c r="E11" s="8">
        <v>48</v>
      </c>
      <c r="F11" s="8">
        <v>13</v>
      </c>
      <c r="G11" s="8">
        <v>6</v>
      </c>
      <c r="H11" s="14">
        <f t="shared" si="0"/>
        <v>1068</v>
      </c>
    </row>
    <row r="12" spans="1:8" x14ac:dyDescent="0.25">
      <c r="A12" s="8" t="s">
        <v>12</v>
      </c>
      <c r="B12" s="8">
        <v>252</v>
      </c>
      <c r="C12" s="8">
        <v>106</v>
      </c>
      <c r="D12" s="8">
        <v>92</v>
      </c>
      <c r="E12" s="8">
        <v>8</v>
      </c>
      <c r="F12" s="8">
        <v>2</v>
      </c>
      <c r="G12" s="8">
        <v>0</v>
      </c>
      <c r="H12" s="14">
        <f t="shared" si="0"/>
        <v>460</v>
      </c>
    </row>
    <row r="13" spans="1:8" ht="15.75" thickBot="1" x14ac:dyDescent="0.3">
      <c r="A13" s="6" t="s">
        <v>13</v>
      </c>
      <c r="B13" s="21">
        <v>860</v>
      </c>
      <c r="C13" s="22">
        <v>254</v>
      </c>
      <c r="D13" s="22">
        <v>115</v>
      </c>
      <c r="E13" s="22">
        <v>42</v>
      </c>
      <c r="F13" s="22">
        <v>18</v>
      </c>
      <c r="G13" s="22">
        <v>18</v>
      </c>
      <c r="H13" s="15">
        <f t="shared" si="0"/>
        <v>1307</v>
      </c>
    </row>
    <row r="14" spans="1:8" ht="15.75" thickTop="1" x14ac:dyDescent="0.25">
      <c r="A14" s="16" t="s">
        <v>6</v>
      </c>
      <c r="B14" s="16">
        <f t="shared" ref="B14:H14" si="1">SUM(B6:B13)</f>
        <v>4119</v>
      </c>
      <c r="C14" s="16">
        <f t="shared" si="1"/>
        <v>1618</v>
      </c>
      <c r="D14" s="16">
        <f t="shared" si="1"/>
        <v>1065</v>
      </c>
      <c r="E14" s="16">
        <f t="shared" si="1"/>
        <v>390</v>
      </c>
      <c r="F14" s="16">
        <f t="shared" si="1"/>
        <v>180</v>
      </c>
      <c r="G14" s="16">
        <f t="shared" si="1"/>
        <v>63</v>
      </c>
      <c r="H14" s="17">
        <f t="shared" si="1"/>
        <v>7435</v>
      </c>
    </row>
    <row r="15" spans="1:8" x14ac:dyDescent="0.25">
      <c r="A15" s="9"/>
      <c r="B15" s="9"/>
    </row>
    <row r="16" spans="1:8" x14ac:dyDescent="0.25">
      <c r="A16" s="18"/>
      <c r="B16" s="9"/>
    </row>
    <row r="17" spans="1:7" ht="30" customHeight="1" x14ac:dyDescent="0.25">
      <c r="A17" s="27" t="s">
        <v>18</v>
      </c>
      <c r="B17" s="27"/>
      <c r="C17" s="27"/>
      <c r="D17" s="27"/>
      <c r="E17" s="27"/>
      <c r="F17" s="27"/>
      <c r="G17" s="27"/>
    </row>
  </sheetData>
  <mergeCells count="2">
    <mergeCell ref="A2:G2"/>
    <mergeCell ref="A17:G17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8"/>
  <sheetViews>
    <sheetView view="pageLayout" topLeftCell="A4" zoomScaleNormal="100" workbookViewId="0">
      <selection activeCell="A25" sqref="A25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24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424</v>
      </c>
      <c r="C6" s="7">
        <v>172</v>
      </c>
      <c r="D6" s="8">
        <v>49</v>
      </c>
      <c r="E6" s="7">
        <v>19</v>
      </c>
      <c r="F6" s="7">
        <v>7</v>
      </c>
      <c r="G6" s="7">
        <v>7</v>
      </c>
      <c r="H6" s="11">
        <f t="shared" ref="H6:H14" si="0">SUM(B6:G6)</f>
        <v>678</v>
      </c>
    </row>
    <row r="7" spans="1:8" x14ac:dyDescent="0.25">
      <c r="A7" s="8" t="s">
        <v>8</v>
      </c>
      <c r="B7" s="8">
        <v>463</v>
      </c>
      <c r="C7" s="8">
        <v>137</v>
      </c>
      <c r="D7" s="8">
        <v>76</v>
      </c>
      <c r="E7" s="8">
        <v>33</v>
      </c>
      <c r="F7" s="8">
        <v>14</v>
      </c>
      <c r="G7" s="8">
        <v>15</v>
      </c>
      <c r="H7" s="12">
        <f t="shared" si="0"/>
        <v>738</v>
      </c>
    </row>
    <row r="8" spans="1:8" x14ac:dyDescent="0.25">
      <c r="A8" s="8" t="s">
        <v>16</v>
      </c>
      <c r="B8" s="8">
        <v>407</v>
      </c>
      <c r="C8" s="8">
        <v>357</v>
      </c>
      <c r="D8" s="8">
        <v>243</v>
      </c>
      <c r="E8" s="5">
        <v>122</v>
      </c>
      <c r="F8" s="5">
        <v>37</v>
      </c>
      <c r="G8" s="5">
        <v>11</v>
      </c>
      <c r="H8" s="13">
        <f t="shared" si="0"/>
        <v>1177</v>
      </c>
    </row>
    <row r="9" spans="1:8" x14ac:dyDescent="0.25">
      <c r="A9" s="8" t="s">
        <v>35</v>
      </c>
      <c r="B9" s="8">
        <v>73</v>
      </c>
      <c r="C9" s="8">
        <v>106</v>
      </c>
      <c r="D9" s="8">
        <v>67</v>
      </c>
      <c r="E9" s="5">
        <v>49</v>
      </c>
      <c r="F9" s="5">
        <v>37</v>
      </c>
      <c r="G9" s="5">
        <v>4</v>
      </c>
      <c r="H9" s="20">
        <f t="shared" si="0"/>
        <v>336</v>
      </c>
    </row>
    <row r="10" spans="1:8" x14ac:dyDescent="0.25">
      <c r="A10" s="8" t="s">
        <v>9</v>
      </c>
      <c r="B10" s="8">
        <v>474</v>
      </c>
      <c r="C10" s="8">
        <v>227</v>
      </c>
      <c r="D10" s="8">
        <v>187</v>
      </c>
      <c r="E10" s="8">
        <v>99</v>
      </c>
      <c r="F10" s="8">
        <v>46</v>
      </c>
      <c r="G10" s="8">
        <v>12</v>
      </c>
      <c r="H10" s="14">
        <f t="shared" si="0"/>
        <v>1045</v>
      </c>
    </row>
    <row r="11" spans="1:8" x14ac:dyDescent="0.25">
      <c r="A11" s="8" t="s">
        <v>10</v>
      </c>
      <c r="B11" s="8">
        <v>394</v>
      </c>
      <c r="C11" s="8">
        <v>29</v>
      </c>
      <c r="D11" s="8">
        <v>10</v>
      </c>
      <c r="E11" s="8">
        <v>2</v>
      </c>
      <c r="F11" s="8">
        <v>1</v>
      </c>
      <c r="G11" s="8">
        <v>1</v>
      </c>
      <c r="H11" s="14">
        <f t="shared" si="0"/>
        <v>437</v>
      </c>
    </row>
    <row r="12" spans="1:8" x14ac:dyDescent="0.25">
      <c r="A12" s="8" t="s">
        <v>11</v>
      </c>
      <c r="B12" s="8">
        <v>488</v>
      </c>
      <c r="C12" s="8">
        <v>272</v>
      </c>
      <c r="D12" s="8">
        <v>181</v>
      </c>
      <c r="E12" s="8">
        <v>56</v>
      </c>
      <c r="F12" s="8">
        <v>17</v>
      </c>
      <c r="G12" s="8">
        <v>18</v>
      </c>
      <c r="H12" s="14">
        <f t="shared" si="0"/>
        <v>1032</v>
      </c>
    </row>
    <row r="13" spans="1:8" x14ac:dyDescent="0.25">
      <c r="A13" s="8" t="s">
        <v>12</v>
      </c>
      <c r="B13" s="8">
        <v>228</v>
      </c>
      <c r="C13" s="8">
        <v>106</v>
      </c>
      <c r="D13" s="8">
        <v>91</v>
      </c>
      <c r="E13" s="8">
        <v>21</v>
      </c>
      <c r="F13" s="8">
        <v>2</v>
      </c>
      <c r="G13" s="8">
        <v>0</v>
      </c>
      <c r="H13" s="12">
        <f t="shared" si="0"/>
        <v>448</v>
      </c>
    </row>
    <row r="14" spans="1:8" ht="15.75" thickBot="1" x14ac:dyDescent="0.3">
      <c r="A14" s="6" t="s">
        <v>13</v>
      </c>
      <c r="B14" s="6">
        <v>889</v>
      </c>
      <c r="C14" s="6">
        <v>257</v>
      </c>
      <c r="D14" s="6">
        <v>115</v>
      </c>
      <c r="E14" s="6">
        <v>42</v>
      </c>
      <c r="F14" s="6">
        <v>14</v>
      </c>
      <c r="G14" s="6">
        <v>7</v>
      </c>
      <c r="H14" s="15">
        <f t="shared" si="0"/>
        <v>1324</v>
      </c>
    </row>
    <row r="15" spans="1:8" ht="15.75" thickTop="1" x14ac:dyDescent="0.25">
      <c r="A15" s="16" t="s">
        <v>6</v>
      </c>
      <c r="B15" s="16">
        <f t="shared" ref="B15:H15" si="1">SUM(B6:B14)</f>
        <v>3840</v>
      </c>
      <c r="C15" s="16">
        <f t="shared" si="1"/>
        <v>1663</v>
      </c>
      <c r="D15" s="16">
        <f t="shared" si="1"/>
        <v>1019</v>
      </c>
      <c r="E15" s="16">
        <f t="shared" si="1"/>
        <v>443</v>
      </c>
      <c r="F15" s="16">
        <f t="shared" si="1"/>
        <v>175</v>
      </c>
      <c r="G15" s="16">
        <f t="shared" si="1"/>
        <v>75</v>
      </c>
      <c r="H15" s="17">
        <f t="shared" si="1"/>
        <v>7215</v>
      </c>
    </row>
    <row r="16" spans="1:8" x14ac:dyDescent="0.25">
      <c r="A16" s="9"/>
      <c r="B16" s="9"/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8"/>
  <sheetViews>
    <sheetView view="pageLayout" zoomScaleNormal="100" workbookViewId="0">
      <selection activeCell="A18" sqref="A18:G18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25</v>
      </c>
      <c r="B3" s="9"/>
    </row>
    <row r="4" spans="1:8" x14ac:dyDescent="0.25">
      <c r="A4" s="9"/>
      <c r="B4" s="9"/>
    </row>
    <row r="5" spans="1:8" x14ac:dyDescent="0.25">
      <c r="A5" s="3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17</v>
      </c>
      <c r="G5" s="4" t="s">
        <v>39</v>
      </c>
      <c r="H5" s="4" t="s">
        <v>6</v>
      </c>
    </row>
    <row r="6" spans="1:8" x14ac:dyDescent="0.25">
      <c r="A6" s="7" t="s">
        <v>7</v>
      </c>
      <c r="B6" s="7">
        <v>436</v>
      </c>
      <c r="C6" s="7">
        <v>188</v>
      </c>
      <c r="D6" s="8">
        <v>38</v>
      </c>
      <c r="E6" s="7">
        <v>17</v>
      </c>
      <c r="F6" s="7">
        <v>11</v>
      </c>
      <c r="G6" s="7">
        <v>2</v>
      </c>
      <c r="H6" s="11">
        <f t="shared" ref="H6:H14" si="0">SUM(B6:G6)</f>
        <v>692</v>
      </c>
    </row>
    <row r="7" spans="1:8" x14ac:dyDescent="0.25">
      <c r="A7" s="8" t="s">
        <v>8</v>
      </c>
      <c r="B7" s="8">
        <v>549</v>
      </c>
      <c r="C7" s="8">
        <v>242</v>
      </c>
      <c r="D7" s="8">
        <v>63</v>
      </c>
      <c r="E7" s="8">
        <v>25</v>
      </c>
      <c r="F7" s="8">
        <v>14</v>
      </c>
      <c r="G7" s="8">
        <v>17</v>
      </c>
      <c r="H7" s="12">
        <f t="shared" si="0"/>
        <v>910</v>
      </c>
    </row>
    <row r="8" spans="1:8" x14ac:dyDescent="0.25">
      <c r="A8" s="8" t="s">
        <v>16</v>
      </c>
      <c r="B8" s="8">
        <v>379</v>
      </c>
      <c r="C8" s="8">
        <v>378</v>
      </c>
      <c r="D8" s="8">
        <v>266</v>
      </c>
      <c r="E8" s="5">
        <v>127</v>
      </c>
      <c r="F8" s="5">
        <v>28</v>
      </c>
      <c r="G8" s="5">
        <v>7</v>
      </c>
      <c r="H8" s="13">
        <f t="shared" si="0"/>
        <v>1185</v>
      </c>
    </row>
    <row r="9" spans="1:8" x14ac:dyDescent="0.25">
      <c r="A9" s="8" t="s">
        <v>35</v>
      </c>
      <c r="B9" s="8">
        <v>77</v>
      </c>
      <c r="C9" s="8">
        <v>96</v>
      </c>
      <c r="D9" s="8">
        <v>66</v>
      </c>
      <c r="E9" s="5">
        <v>42</v>
      </c>
      <c r="F9" s="5">
        <v>25</v>
      </c>
      <c r="G9" s="5">
        <v>3</v>
      </c>
      <c r="H9" s="20">
        <f t="shared" si="0"/>
        <v>309</v>
      </c>
    </row>
    <row r="10" spans="1:8" x14ac:dyDescent="0.25">
      <c r="A10" s="8" t="s">
        <v>9</v>
      </c>
      <c r="B10" s="8">
        <v>458</v>
      </c>
      <c r="C10" s="8">
        <v>237</v>
      </c>
      <c r="D10" s="8">
        <v>178</v>
      </c>
      <c r="E10" s="8">
        <v>86</v>
      </c>
      <c r="F10" s="8">
        <v>53</v>
      </c>
      <c r="G10" s="8">
        <v>11</v>
      </c>
      <c r="H10" s="14">
        <f t="shared" si="0"/>
        <v>1023</v>
      </c>
    </row>
    <row r="11" spans="1:8" x14ac:dyDescent="0.25">
      <c r="A11" s="8" t="s">
        <v>10</v>
      </c>
      <c r="B11" s="8">
        <v>402</v>
      </c>
      <c r="C11" s="8">
        <v>28</v>
      </c>
      <c r="D11" s="8">
        <v>5</v>
      </c>
      <c r="E11" s="8">
        <v>1</v>
      </c>
      <c r="F11" s="8">
        <v>0</v>
      </c>
      <c r="G11" s="8">
        <v>1</v>
      </c>
      <c r="H11" s="14">
        <f t="shared" si="0"/>
        <v>437</v>
      </c>
    </row>
    <row r="12" spans="1:8" x14ac:dyDescent="0.25">
      <c r="A12" s="8" t="s">
        <v>11</v>
      </c>
      <c r="B12" s="8">
        <v>500</v>
      </c>
      <c r="C12" s="8">
        <v>255</v>
      </c>
      <c r="D12" s="8">
        <v>186</v>
      </c>
      <c r="E12" s="8">
        <v>56</v>
      </c>
      <c r="F12" s="8">
        <v>18</v>
      </c>
      <c r="G12" s="8">
        <v>11</v>
      </c>
      <c r="H12" s="14">
        <f t="shared" si="0"/>
        <v>1026</v>
      </c>
    </row>
    <row r="13" spans="1:8" x14ac:dyDescent="0.25">
      <c r="A13" s="8" t="s">
        <v>12</v>
      </c>
      <c r="B13" s="8">
        <v>182</v>
      </c>
      <c r="C13" s="8">
        <v>98</v>
      </c>
      <c r="D13" s="8">
        <v>87</v>
      </c>
      <c r="E13" s="8">
        <v>11</v>
      </c>
      <c r="F13" s="8">
        <v>2</v>
      </c>
      <c r="G13" s="8">
        <v>0</v>
      </c>
      <c r="H13" s="12">
        <f t="shared" si="0"/>
        <v>380</v>
      </c>
    </row>
    <row r="14" spans="1:8" ht="15.75" thickBot="1" x14ac:dyDescent="0.3">
      <c r="A14" s="6" t="s">
        <v>13</v>
      </c>
      <c r="B14" s="6">
        <v>883</v>
      </c>
      <c r="C14" s="6">
        <v>250</v>
      </c>
      <c r="D14" s="6">
        <v>104</v>
      </c>
      <c r="E14" s="6">
        <v>45</v>
      </c>
      <c r="F14" s="6">
        <v>19</v>
      </c>
      <c r="G14" s="6">
        <v>10</v>
      </c>
      <c r="H14" s="15">
        <f t="shared" si="0"/>
        <v>1311</v>
      </c>
    </row>
    <row r="15" spans="1:8" ht="15.75" thickTop="1" x14ac:dyDescent="0.25">
      <c r="A15" s="16" t="s">
        <v>6</v>
      </c>
      <c r="B15" s="16">
        <f t="shared" ref="B15:H15" si="1">SUM(B6:B14)</f>
        <v>3866</v>
      </c>
      <c r="C15" s="16">
        <f t="shared" si="1"/>
        <v>1772</v>
      </c>
      <c r="D15" s="16">
        <f t="shared" si="1"/>
        <v>993</v>
      </c>
      <c r="E15" s="16">
        <f t="shared" si="1"/>
        <v>410</v>
      </c>
      <c r="F15" s="16">
        <f t="shared" si="1"/>
        <v>170</v>
      </c>
      <c r="G15" s="16">
        <f t="shared" si="1"/>
        <v>62</v>
      </c>
      <c r="H15" s="17">
        <f t="shared" si="1"/>
        <v>7273</v>
      </c>
    </row>
    <row r="16" spans="1:8" x14ac:dyDescent="0.25">
      <c r="A16" s="9"/>
      <c r="B16" s="9"/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20"/>
  <sheetViews>
    <sheetView view="pageLayout" zoomScaleNormal="100" workbookViewId="0">
      <selection activeCell="A19" sqref="A19"/>
    </sheetView>
  </sheetViews>
  <sheetFormatPr defaultRowHeight="15" x14ac:dyDescent="0.25"/>
  <cols>
    <col min="1" max="1" width="32.42578125" customWidth="1"/>
  </cols>
  <sheetData>
    <row r="1" spans="1:8" ht="18" x14ac:dyDescent="0.25">
      <c r="A1" s="1" t="s">
        <v>0</v>
      </c>
      <c r="B1" s="9"/>
    </row>
    <row r="2" spans="1:8" x14ac:dyDescent="0.25">
      <c r="A2" s="26" t="s">
        <v>14</v>
      </c>
      <c r="B2" s="26"/>
      <c r="C2" s="26"/>
      <c r="D2" s="26"/>
      <c r="E2" s="26"/>
      <c r="F2" s="26"/>
      <c r="G2" s="26"/>
    </row>
    <row r="3" spans="1:8" x14ac:dyDescent="0.25">
      <c r="A3" s="2" t="s">
        <v>26</v>
      </c>
      <c r="B3" s="9"/>
    </row>
    <row r="4" spans="1:8" x14ac:dyDescent="0.25">
      <c r="A4" s="9"/>
      <c r="B4" s="9"/>
    </row>
    <row r="5" spans="1:8" x14ac:dyDescent="0.25">
      <c r="A5" s="9"/>
      <c r="B5" s="9"/>
    </row>
    <row r="6" spans="1:8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39</v>
      </c>
      <c r="H6" s="4" t="s">
        <v>6</v>
      </c>
    </row>
    <row r="7" spans="1:8" x14ac:dyDescent="0.25">
      <c r="A7" s="7" t="s">
        <v>7</v>
      </c>
      <c r="B7" s="7">
        <v>394</v>
      </c>
      <c r="C7" s="7">
        <v>169</v>
      </c>
      <c r="D7" s="8">
        <v>41</v>
      </c>
      <c r="E7" s="7">
        <v>24</v>
      </c>
      <c r="F7" s="7">
        <v>3</v>
      </c>
      <c r="G7" s="7">
        <v>4</v>
      </c>
      <c r="H7" s="11">
        <f t="shared" ref="H7:H15" si="0">SUM(B7:G7)</f>
        <v>635</v>
      </c>
    </row>
    <row r="8" spans="1:8" x14ac:dyDescent="0.25">
      <c r="A8" s="8" t="s">
        <v>8</v>
      </c>
      <c r="B8" s="8">
        <v>549</v>
      </c>
      <c r="C8" s="8">
        <v>209</v>
      </c>
      <c r="D8" s="8">
        <v>45</v>
      </c>
      <c r="E8" s="8">
        <v>18</v>
      </c>
      <c r="F8" s="8">
        <v>11</v>
      </c>
      <c r="G8" s="8">
        <v>17</v>
      </c>
      <c r="H8" s="12">
        <f t="shared" si="0"/>
        <v>849</v>
      </c>
    </row>
    <row r="9" spans="1:8" x14ac:dyDescent="0.25">
      <c r="A9" s="8" t="s">
        <v>16</v>
      </c>
      <c r="B9" s="8">
        <v>349</v>
      </c>
      <c r="C9" s="8">
        <v>376</v>
      </c>
      <c r="D9" s="8">
        <v>315</v>
      </c>
      <c r="E9" s="5">
        <v>116</v>
      </c>
      <c r="F9" s="5">
        <v>30</v>
      </c>
      <c r="G9" s="5">
        <v>6</v>
      </c>
      <c r="H9" s="13">
        <f t="shared" si="0"/>
        <v>1192</v>
      </c>
    </row>
    <row r="10" spans="1:8" x14ac:dyDescent="0.25">
      <c r="A10" s="8" t="s">
        <v>35</v>
      </c>
      <c r="B10" s="8">
        <v>90</v>
      </c>
      <c r="C10" s="8">
        <v>90</v>
      </c>
      <c r="D10" s="8">
        <v>57</v>
      </c>
      <c r="E10" s="5">
        <v>58</v>
      </c>
      <c r="F10" s="5">
        <v>54</v>
      </c>
      <c r="G10" s="5">
        <v>2</v>
      </c>
      <c r="H10" s="20">
        <f t="shared" si="0"/>
        <v>351</v>
      </c>
    </row>
    <row r="11" spans="1:8" x14ac:dyDescent="0.25">
      <c r="A11" s="8" t="s">
        <v>9</v>
      </c>
      <c r="B11" s="8">
        <v>514</v>
      </c>
      <c r="C11" s="8">
        <v>210</v>
      </c>
      <c r="D11" s="8">
        <v>142</v>
      </c>
      <c r="E11" s="8">
        <v>109</v>
      </c>
      <c r="F11" s="8">
        <v>55</v>
      </c>
      <c r="G11" s="8">
        <v>9</v>
      </c>
      <c r="H11" s="14">
        <f t="shared" si="0"/>
        <v>1039</v>
      </c>
    </row>
    <row r="12" spans="1:8" x14ac:dyDescent="0.25">
      <c r="A12" s="8" t="s">
        <v>10</v>
      </c>
      <c r="B12" s="8">
        <v>377</v>
      </c>
      <c r="C12" s="8">
        <v>21</v>
      </c>
      <c r="D12" s="8">
        <v>4</v>
      </c>
      <c r="E12" s="8">
        <v>3</v>
      </c>
      <c r="F12" s="8">
        <v>0</v>
      </c>
      <c r="G12" s="8">
        <v>2</v>
      </c>
      <c r="H12" s="14">
        <f t="shared" si="0"/>
        <v>407</v>
      </c>
    </row>
    <row r="13" spans="1:8" x14ac:dyDescent="0.25">
      <c r="A13" s="8" t="s">
        <v>11</v>
      </c>
      <c r="B13" s="8">
        <v>440</v>
      </c>
      <c r="C13" s="8">
        <v>277</v>
      </c>
      <c r="D13" s="8">
        <v>187</v>
      </c>
      <c r="E13" s="8">
        <v>66</v>
      </c>
      <c r="F13" s="8">
        <v>17</v>
      </c>
      <c r="G13" s="8">
        <v>6</v>
      </c>
      <c r="H13" s="14">
        <f t="shared" si="0"/>
        <v>993</v>
      </c>
    </row>
    <row r="14" spans="1:8" x14ac:dyDescent="0.25">
      <c r="A14" s="8" t="s">
        <v>12</v>
      </c>
      <c r="B14" s="8">
        <v>213</v>
      </c>
      <c r="C14" s="8">
        <v>95</v>
      </c>
      <c r="D14" s="8">
        <v>72</v>
      </c>
      <c r="E14" s="8">
        <v>17</v>
      </c>
      <c r="F14" s="8">
        <v>1</v>
      </c>
      <c r="G14" s="8">
        <v>0</v>
      </c>
      <c r="H14" s="12">
        <f t="shared" si="0"/>
        <v>398</v>
      </c>
    </row>
    <row r="15" spans="1:8" ht="15.75" thickBot="1" x14ac:dyDescent="0.3">
      <c r="A15" s="6" t="s">
        <v>13</v>
      </c>
      <c r="B15" s="6">
        <v>782</v>
      </c>
      <c r="C15" s="6">
        <v>200</v>
      </c>
      <c r="D15" s="6">
        <v>105</v>
      </c>
      <c r="E15" s="6">
        <v>32</v>
      </c>
      <c r="F15" s="6">
        <v>12</v>
      </c>
      <c r="G15" s="6">
        <v>10</v>
      </c>
      <c r="H15" s="15">
        <f t="shared" si="0"/>
        <v>1141</v>
      </c>
    </row>
    <row r="16" spans="1:8" ht="15.75" thickTop="1" x14ac:dyDescent="0.25">
      <c r="A16" s="16" t="s">
        <v>6</v>
      </c>
      <c r="B16" s="16">
        <f t="shared" ref="B16:H16" si="1">SUM(B7:B15)</f>
        <v>3708</v>
      </c>
      <c r="C16" s="16">
        <f t="shared" si="1"/>
        <v>1647</v>
      </c>
      <c r="D16" s="16">
        <f t="shared" si="1"/>
        <v>968</v>
      </c>
      <c r="E16" s="16">
        <f t="shared" si="1"/>
        <v>443</v>
      </c>
      <c r="F16" s="16">
        <f t="shared" si="1"/>
        <v>183</v>
      </c>
      <c r="G16" s="16">
        <f t="shared" si="1"/>
        <v>56</v>
      </c>
      <c r="H16" s="17">
        <f t="shared" si="1"/>
        <v>7005</v>
      </c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  <row r="20" spans="1:7" ht="18" x14ac:dyDescent="0.25">
      <c r="A20" s="19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18"/>
  <sheetViews>
    <sheetView view="pageLayout" topLeftCell="A4" zoomScaleNormal="100" workbookViewId="0">
      <selection activeCell="A25" sqref="A25"/>
    </sheetView>
  </sheetViews>
  <sheetFormatPr defaultRowHeight="15" x14ac:dyDescent="0.25"/>
  <cols>
    <col min="1" max="1" width="32.425781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27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388</v>
      </c>
      <c r="C7" s="7">
        <v>170</v>
      </c>
      <c r="D7" s="8">
        <v>56</v>
      </c>
      <c r="E7" s="7">
        <v>15</v>
      </c>
      <c r="F7" s="7">
        <v>11</v>
      </c>
      <c r="G7" s="11">
        <f t="shared" ref="G7:G15" si="0">SUM(B7:F7)</f>
        <v>640</v>
      </c>
    </row>
    <row r="8" spans="1:7" x14ac:dyDescent="0.25">
      <c r="A8" s="8" t="s">
        <v>8</v>
      </c>
      <c r="B8" s="8">
        <v>540</v>
      </c>
      <c r="C8" s="8">
        <v>196</v>
      </c>
      <c r="D8" s="8">
        <v>40</v>
      </c>
      <c r="E8" s="8">
        <v>15</v>
      </c>
      <c r="F8" s="8">
        <v>25</v>
      </c>
      <c r="G8" s="12">
        <f t="shared" si="0"/>
        <v>816</v>
      </c>
    </row>
    <row r="9" spans="1:7" x14ac:dyDescent="0.25">
      <c r="A9" s="8" t="s">
        <v>16</v>
      </c>
      <c r="B9" s="8">
        <v>336</v>
      </c>
      <c r="C9" s="8">
        <v>423</v>
      </c>
      <c r="D9" s="8">
        <v>228</v>
      </c>
      <c r="E9" s="5">
        <v>128</v>
      </c>
      <c r="F9" s="5">
        <v>20</v>
      </c>
      <c r="G9" s="13">
        <f t="shared" si="0"/>
        <v>1135</v>
      </c>
    </row>
    <row r="10" spans="1:7" x14ac:dyDescent="0.25">
      <c r="A10" s="8" t="s">
        <v>35</v>
      </c>
      <c r="B10" s="8">
        <v>75</v>
      </c>
      <c r="C10" s="8">
        <v>92</v>
      </c>
      <c r="D10" s="8">
        <v>72</v>
      </c>
      <c r="E10" s="5">
        <v>60</v>
      </c>
      <c r="F10" s="5">
        <v>50</v>
      </c>
      <c r="G10" s="20">
        <f>SUM(B10:F10)</f>
        <v>349</v>
      </c>
    </row>
    <row r="11" spans="1:7" x14ac:dyDescent="0.25">
      <c r="A11" s="8" t="s">
        <v>9</v>
      </c>
      <c r="B11" s="8">
        <v>434</v>
      </c>
      <c r="C11" s="8">
        <v>200</v>
      </c>
      <c r="D11" s="8">
        <v>150</v>
      </c>
      <c r="E11" s="8">
        <v>100</v>
      </c>
      <c r="F11" s="8">
        <v>65</v>
      </c>
      <c r="G11" s="14">
        <f t="shared" si="0"/>
        <v>949</v>
      </c>
    </row>
    <row r="12" spans="1:7" x14ac:dyDescent="0.25">
      <c r="A12" s="8" t="s">
        <v>10</v>
      </c>
      <c r="B12" s="8">
        <v>435</v>
      </c>
      <c r="C12" s="8">
        <v>21</v>
      </c>
      <c r="D12" s="8">
        <v>6</v>
      </c>
      <c r="E12" s="8">
        <v>2</v>
      </c>
      <c r="F12" s="8">
        <v>3</v>
      </c>
      <c r="G12" s="14">
        <f t="shared" si="0"/>
        <v>467</v>
      </c>
    </row>
    <row r="13" spans="1:7" x14ac:dyDescent="0.25">
      <c r="A13" s="8" t="s">
        <v>11</v>
      </c>
      <c r="B13" s="8">
        <v>442</v>
      </c>
      <c r="C13" s="8">
        <v>259</v>
      </c>
      <c r="D13" s="8">
        <v>181</v>
      </c>
      <c r="E13" s="8">
        <v>51</v>
      </c>
      <c r="F13" s="8">
        <v>14</v>
      </c>
      <c r="G13" s="14">
        <f t="shared" si="0"/>
        <v>947</v>
      </c>
    </row>
    <row r="14" spans="1:7" x14ac:dyDescent="0.25">
      <c r="A14" s="8" t="s">
        <v>12</v>
      </c>
      <c r="B14" s="8">
        <v>154</v>
      </c>
      <c r="C14" s="8">
        <v>77</v>
      </c>
      <c r="D14" s="8">
        <v>70</v>
      </c>
      <c r="E14" s="8">
        <v>13</v>
      </c>
      <c r="F14" s="8">
        <v>4</v>
      </c>
      <c r="G14" s="12">
        <f t="shared" si="0"/>
        <v>318</v>
      </c>
    </row>
    <row r="15" spans="1:7" ht="15.75" thickBot="1" x14ac:dyDescent="0.3">
      <c r="A15" s="6" t="s">
        <v>13</v>
      </c>
      <c r="B15" s="6">
        <v>724</v>
      </c>
      <c r="C15" s="6">
        <v>179</v>
      </c>
      <c r="D15" s="6">
        <v>88</v>
      </c>
      <c r="E15" s="6">
        <v>35</v>
      </c>
      <c r="F15" s="6">
        <v>21</v>
      </c>
      <c r="G15" s="15">
        <f t="shared" si="0"/>
        <v>1047</v>
      </c>
    </row>
    <row r="16" spans="1:7" ht="15.75" thickTop="1" x14ac:dyDescent="0.25">
      <c r="A16" s="16" t="s">
        <v>6</v>
      </c>
      <c r="B16" s="16">
        <f t="shared" ref="B16:G16" si="1">SUM(B7:B15)</f>
        <v>3528</v>
      </c>
      <c r="C16" s="16">
        <f t="shared" si="1"/>
        <v>1617</v>
      </c>
      <c r="D16" s="16">
        <f t="shared" si="1"/>
        <v>891</v>
      </c>
      <c r="E16" s="16">
        <f t="shared" si="1"/>
        <v>419</v>
      </c>
      <c r="F16" s="16">
        <f t="shared" si="1"/>
        <v>213</v>
      </c>
      <c r="G16" s="17">
        <f t="shared" si="1"/>
        <v>6668</v>
      </c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18"/>
  <sheetViews>
    <sheetView view="pageLayout" topLeftCell="A3" zoomScaleNormal="100" workbookViewId="0">
      <selection activeCell="A23" sqref="A23"/>
    </sheetView>
  </sheetViews>
  <sheetFormatPr defaultRowHeight="15" x14ac:dyDescent="0.25"/>
  <cols>
    <col min="1" max="1" width="32.425781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28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399</v>
      </c>
      <c r="C7" s="7">
        <v>165</v>
      </c>
      <c r="D7" s="8">
        <v>45</v>
      </c>
      <c r="E7" s="7">
        <v>18</v>
      </c>
      <c r="F7" s="7">
        <v>17</v>
      </c>
      <c r="G7" s="11">
        <f t="shared" ref="G7:G15" si="0">SUM(B7:F7)</f>
        <v>644</v>
      </c>
    </row>
    <row r="8" spans="1:7" x14ac:dyDescent="0.25">
      <c r="A8" s="8" t="s">
        <v>8</v>
      </c>
      <c r="B8" s="8">
        <v>511</v>
      </c>
      <c r="C8" s="8">
        <v>81</v>
      </c>
      <c r="D8" s="8">
        <v>31</v>
      </c>
      <c r="E8" s="8">
        <v>20</v>
      </c>
      <c r="F8" s="8">
        <v>26</v>
      </c>
      <c r="G8" s="12">
        <f t="shared" si="0"/>
        <v>669</v>
      </c>
    </row>
    <row r="9" spans="1:7" x14ac:dyDescent="0.25">
      <c r="A9" s="8" t="s">
        <v>16</v>
      </c>
      <c r="B9" s="8">
        <v>396</v>
      </c>
      <c r="C9" s="8">
        <v>348</v>
      </c>
      <c r="D9" s="8">
        <v>258</v>
      </c>
      <c r="E9" s="5">
        <v>97</v>
      </c>
      <c r="F9" s="5">
        <v>28</v>
      </c>
      <c r="G9" s="13">
        <f t="shared" si="0"/>
        <v>1127</v>
      </c>
    </row>
    <row r="10" spans="1:7" x14ac:dyDescent="0.25">
      <c r="A10" s="8" t="s">
        <v>35</v>
      </c>
      <c r="B10" s="8">
        <v>99</v>
      </c>
      <c r="C10" s="8">
        <v>101</v>
      </c>
      <c r="D10" s="8">
        <v>70</v>
      </c>
      <c r="E10" s="5">
        <v>59</v>
      </c>
      <c r="F10" s="5">
        <v>39</v>
      </c>
      <c r="G10" s="20">
        <f>SUM(B10:F10)</f>
        <v>368</v>
      </c>
    </row>
    <row r="11" spans="1:7" x14ac:dyDescent="0.25">
      <c r="A11" s="8" t="s">
        <v>9</v>
      </c>
      <c r="B11" s="8">
        <v>293</v>
      </c>
      <c r="C11" s="8">
        <v>171</v>
      </c>
      <c r="D11" s="8">
        <v>153</v>
      </c>
      <c r="E11" s="8">
        <v>46</v>
      </c>
      <c r="F11" s="8">
        <v>28</v>
      </c>
      <c r="G11" s="14">
        <f t="shared" si="0"/>
        <v>691</v>
      </c>
    </row>
    <row r="12" spans="1:7" x14ac:dyDescent="0.25">
      <c r="A12" s="8" t="s">
        <v>10</v>
      </c>
      <c r="B12" s="8">
        <v>342</v>
      </c>
      <c r="C12" s="8">
        <v>18</v>
      </c>
      <c r="D12" s="8">
        <v>2</v>
      </c>
      <c r="E12" s="8">
        <v>4</v>
      </c>
      <c r="F12" s="8">
        <v>2</v>
      </c>
      <c r="G12" s="14">
        <f t="shared" si="0"/>
        <v>368</v>
      </c>
    </row>
    <row r="13" spans="1:7" x14ac:dyDescent="0.25">
      <c r="A13" s="8" t="s">
        <v>11</v>
      </c>
      <c r="B13" s="8">
        <v>403</v>
      </c>
      <c r="C13" s="8">
        <v>255</v>
      </c>
      <c r="D13" s="8">
        <v>158</v>
      </c>
      <c r="E13" s="8">
        <v>55</v>
      </c>
      <c r="F13" s="8">
        <v>8</v>
      </c>
      <c r="G13" s="14">
        <f t="shared" si="0"/>
        <v>879</v>
      </c>
    </row>
    <row r="14" spans="1:7" x14ac:dyDescent="0.25">
      <c r="A14" s="8" t="s">
        <v>12</v>
      </c>
      <c r="B14" s="8">
        <v>255</v>
      </c>
      <c r="C14" s="8">
        <v>100</v>
      </c>
      <c r="D14" s="8">
        <v>91</v>
      </c>
      <c r="E14" s="8">
        <v>27</v>
      </c>
      <c r="F14" s="8">
        <v>12</v>
      </c>
      <c r="G14" s="12">
        <f t="shared" si="0"/>
        <v>485</v>
      </c>
    </row>
    <row r="15" spans="1:7" ht="15.75" thickBot="1" x14ac:dyDescent="0.3">
      <c r="A15" s="6" t="s">
        <v>13</v>
      </c>
      <c r="B15" s="6">
        <v>602</v>
      </c>
      <c r="C15" s="6">
        <v>159</v>
      </c>
      <c r="D15" s="6">
        <v>80</v>
      </c>
      <c r="E15" s="6">
        <v>42</v>
      </c>
      <c r="F15" s="6">
        <v>37</v>
      </c>
      <c r="G15" s="15">
        <f t="shared" si="0"/>
        <v>920</v>
      </c>
    </row>
    <row r="16" spans="1:7" ht="15.75" thickTop="1" x14ac:dyDescent="0.25">
      <c r="A16" s="16" t="s">
        <v>6</v>
      </c>
      <c r="B16" s="16">
        <f t="shared" ref="B16:G16" si="1">SUM(B7:B15)</f>
        <v>3300</v>
      </c>
      <c r="C16" s="16">
        <f t="shared" si="1"/>
        <v>1398</v>
      </c>
      <c r="D16" s="16">
        <f t="shared" si="1"/>
        <v>888</v>
      </c>
      <c r="E16" s="16">
        <f t="shared" si="1"/>
        <v>368</v>
      </c>
      <c r="F16" s="16">
        <f t="shared" si="1"/>
        <v>197</v>
      </c>
      <c r="G16" s="17">
        <f t="shared" si="1"/>
        <v>6151</v>
      </c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21"/>
  <sheetViews>
    <sheetView view="pageLayout" topLeftCell="A7" zoomScaleNormal="100" workbookViewId="0">
      <selection activeCell="A21" sqref="A21"/>
    </sheetView>
  </sheetViews>
  <sheetFormatPr defaultRowHeight="15" x14ac:dyDescent="0.25"/>
  <cols>
    <col min="1" max="1" width="32.425781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29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361</v>
      </c>
      <c r="C7" s="7">
        <v>157</v>
      </c>
      <c r="D7" s="8">
        <v>54</v>
      </c>
      <c r="E7" s="7">
        <v>24</v>
      </c>
      <c r="F7" s="7">
        <v>14</v>
      </c>
      <c r="G7" s="11">
        <f t="shared" ref="G7:G15" si="0">SUM(B7:F7)</f>
        <v>610</v>
      </c>
    </row>
    <row r="8" spans="1:7" x14ac:dyDescent="0.25">
      <c r="A8" s="8" t="s">
        <v>8</v>
      </c>
      <c r="B8" s="8">
        <v>518</v>
      </c>
      <c r="C8" s="8">
        <v>74</v>
      </c>
      <c r="D8" s="8">
        <v>37</v>
      </c>
      <c r="E8" s="8">
        <v>20</v>
      </c>
      <c r="F8" s="8">
        <v>35</v>
      </c>
      <c r="G8" s="12">
        <f t="shared" si="0"/>
        <v>684</v>
      </c>
    </row>
    <row r="9" spans="1:7" x14ac:dyDescent="0.25">
      <c r="A9" s="8" t="s">
        <v>16</v>
      </c>
      <c r="B9" s="8">
        <v>360</v>
      </c>
      <c r="C9" s="8">
        <v>388</v>
      </c>
      <c r="D9" s="8">
        <v>229</v>
      </c>
      <c r="E9" s="5">
        <v>115</v>
      </c>
      <c r="F9" s="5">
        <v>27</v>
      </c>
      <c r="G9" s="13">
        <f t="shared" si="0"/>
        <v>1119</v>
      </c>
    </row>
    <row r="10" spans="1:7" x14ac:dyDescent="0.25">
      <c r="A10" s="8" t="s">
        <v>35</v>
      </c>
      <c r="B10" s="8">
        <v>93</v>
      </c>
      <c r="C10" s="8">
        <v>101</v>
      </c>
      <c r="D10" s="8">
        <v>78</v>
      </c>
      <c r="E10" s="5">
        <v>40</v>
      </c>
      <c r="F10" s="5">
        <v>8</v>
      </c>
      <c r="G10" s="20">
        <f>SUM(B10:F10)</f>
        <v>320</v>
      </c>
    </row>
    <row r="11" spans="1:7" x14ac:dyDescent="0.25">
      <c r="A11" s="8" t="s">
        <v>9</v>
      </c>
      <c r="B11" s="8">
        <v>324</v>
      </c>
      <c r="C11" s="8">
        <v>197</v>
      </c>
      <c r="D11" s="8">
        <v>96</v>
      </c>
      <c r="E11" s="8">
        <v>63</v>
      </c>
      <c r="F11" s="8">
        <v>21</v>
      </c>
      <c r="G11" s="14">
        <f t="shared" si="0"/>
        <v>701</v>
      </c>
    </row>
    <row r="12" spans="1:7" x14ac:dyDescent="0.25">
      <c r="A12" s="8" t="s">
        <v>10</v>
      </c>
      <c r="B12" s="8">
        <v>289</v>
      </c>
      <c r="C12" s="8">
        <v>17</v>
      </c>
      <c r="D12" s="8">
        <v>7</v>
      </c>
      <c r="E12" s="8">
        <v>6</v>
      </c>
      <c r="F12" s="8">
        <v>2</v>
      </c>
      <c r="G12" s="14">
        <f t="shared" si="0"/>
        <v>321</v>
      </c>
    </row>
    <row r="13" spans="1:7" x14ac:dyDescent="0.25">
      <c r="A13" s="8" t="s">
        <v>11</v>
      </c>
      <c r="B13" s="8">
        <v>397</v>
      </c>
      <c r="C13" s="8">
        <v>213</v>
      </c>
      <c r="D13" s="8">
        <v>163</v>
      </c>
      <c r="E13" s="8">
        <v>54</v>
      </c>
      <c r="F13" s="8">
        <v>8</v>
      </c>
      <c r="G13" s="14">
        <f t="shared" si="0"/>
        <v>835</v>
      </c>
    </row>
    <row r="14" spans="1:7" x14ac:dyDescent="0.25">
      <c r="A14" s="8" t="s">
        <v>12</v>
      </c>
      <c r="B14" s="8">
        <v>227</v>
      </c>
      <c r="C14" s="8">
        <v>112</v>
      </c>
      <c r="D14" s="8">
        <v>87</v>
      </c>
      <c r="E14" s="8">
        <v>28</v>
      </c>
      <c r="F14" s="8">
        <v>7</v>
      </c>
      <c r="G14" s="12">
        <f t="shared" si="0"/>
        <v>461</v>
      </c>
    </row>
    <row r="15" spans="1:7" ht="15.75" thickBot="1" x14ac:dyDescent="0.3">
      <c r="A15" s="6" t="s">
        <v>13</v>
      </c>
      <c r="B15" s="6">
        <v>567</v>
      </c>
      <c r="C15" s="6">
        <v>143</v>
      </c>
      <c r="D15" s="6">
        <v>104</v>
      </c>
      <c r="E15" s="6">
        <v>56</v>
      </c>
      <c r="F15" s="6">
        <v>32</v>
      </c>
      <c r="G15" s="15">
        <f t="shared" si="0"/>
        <v>902</v>
      </c>
    </row>
    <row r="16" spans="1:7" ht="15.75" thickTop="1" x14ac:dyDescent="0.25">
      <c r="A16" s="16" t="s">
        <v>6</v>
      </c>
      <c r="B16" s="16">
        <f t="shared" ref="B16:G16" si="1">SUM(B7:B15)</f>
        <v>3136</v>
      </c>
      <c r="C16" s="16">
        <f t="shared" si="1"/>
        <v>1402</v>
      </c>
      <c r="D16" s="16">
        <f t="shared" si="1"/>
        <v>855</v>
      </c>
      <c r="E16" s="16">
        <f t="shared" si="1"/>
        <v>406</v>
      </c>
      <c r="F16" s="16">
        <f t="shared" si="1"/>
        <v>154</v>
      </c>
      <c r="G16" s="17">
        <f t="shared" si="1"/>
        <v>5953</v>
      </c>
    </row>
    <row r="17" spans="1:7" x14ac:dyDescent="0.25">
      <c r="A17" s="9"/>
      <c r="B17" s="9"/>
    </row>
    <row r="18" spans="1:7" x14ac:dyDescent="0.25">
      <c r="A18" s="18"/>
      <c r="B18" s="9"/>
    </row>
    <row r="19" spans="1:7" ht="30" customHeight="1" x14ac:dyDescent="0.25">
      <c r="A19" s="27" t="s">
        <v>40</v>
      </c>
      <c r="B19" s="27"/>
      <c r="C19" s="27"/>
      <c r="D19" s="27"/>
      <c r="E19" s="27"/>
      <c r="F19" s="27"/>
      <c r="G19" s="27"/>
    </row>
    <row r="21" spans="1:7" ht="18" x14ac:dyDescent="0.25">
      <c r="A21" s="19"/>
    </row>
  </sheetData>
  <mergeCells count="2">
    <mergeCell ref="A2:G2"/>
    <mergeCell ref="A19:G19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20"/>
  <sheetViews>
    <sheetView view="pageLayout" topLeftCell="A7" zoomScaleNormal="100" workbookViewId="0">
      <selection activeCell="A23" sqref="A23"/>
    </sheetView>
  </sheetViews>
  <sheetFormatPr defaultRowHeight="15" x14ac:dyDescent="0.25"/>
  <cols>
    <col min="1" max="1" width="38.7109375" bestFit="1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30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346</v>
      </c>
      <c r="C7" s="7">
        <v>151</v>
      </c>
      <c r="D7" s="8">
        <v>51</v>
      </c>
      <c r="E7" s="7">
        <v>20</v>
      </c>
      <c r="F7" s="7">
        <v>17</v>
      </c>
      <c r="G7" s="11">
        <f t="shared" ref="G7:G17" si="0">SUM(B7:F7)</f>
        <v>585</v>
      </c>
    </row>
    <row r="8" spans="1:7" x14ac:dyDescent="0.25">
      <c r="A8" s="8" t="s">
        <v>8</v>
      </c>
      <c r="B8" s="8">
        <v>514</v>
      </c>
      <c r="C8" s="8">
        <v>68</v>
      </c>
      <c r="D8" s="8">
        <v>27</v>
      </c>
      <c r="E8" s="8">
        <v>25</v>
      </c>
      <c r="F8" s="8">
        <v>30</v>
      </c>
      <c r="G8" s="12">
        <f t="shared" si="0"/>
        <v>664</v>
      </c>
    </row>
    <row r="9" spans="1:7" x14ac:dyDescent="0.25">
      <c r="A9" s="8" t="s">
        <v>16</v>
      </c>
      <c r="B9" s="8">
        <v>349</v>
      </c>
      <c r="C9" s="8">
        <v>283</v>
      </c>
      <c r="D9" s="8">
        <v>209</v>
      </c>
      <c r="E9" s="5">
        <v>69</v>
      </c>
      <c r="F9" s="5">
        <v>24</v>
      </c>
      <c r="G9" s="13">
        <f t="shared" si="0"/>
        <v>934</v>
      </c>
    </row>
    <row r="10" spans="1:7" x14ac:dyDescent="0.25">
      <c r="A10" s="8" t="s">
        <v>35</v>
      </c>
      <c r="B10" s="8">
        <v>82</v>
      </c>
      <c r="C10" s="8">
        <v>112</v>
      </c>
      <c r="D10" s="8">
        <v>47</v>
      </c>
      <c r="E10" s="5">
        <v>12</v>
      </c>
      <c r="F10" s="5">
        <v>7</v>
      </c>
      <c r="G10" s="20">
        <f>SUM(B10:F10)</f>
        <v>260</v>
      </c>
    </row>
    <row r="11" spans="1:7" x14ac:dyDescent="0.25">
      <c r="A11" s="8" t="s">
        <v>9</v>
      </c>
      <c r="B11" s="8">
        <v>324</v>
      </c>
      <c r="C11" s="8">
        <v>138</v>
      </c>
      <c r="D11" s="8">
        <v>123</v>
      </c>
      <c r="E11" s="8">
        <v>31</v>
      </c>
      <c r="F11" s="8">
        <v>52</v>
      </c>
      <c r="G11" s="14">
        <f t="shared" si="0"/>
        <v>668</v>
      </c>
    </row>
    <row r="12" spans="1:7" x14ac:dyDescent="0.25">
      <c r="A12" s="8" t="s">
        <v>10</v>
      </c>
      <c r="B12" s="8">
        <v>325</v>
      </c>
      <c r="C12" s="8">
        <v>24</v>
      </c>
      <c r="D12" s="8">
        <v>6</v>
      </c>
      <c r="E12" s="8">
        <v>2</v>
      </c>
      <c r="F12" s="8">
        <v>4</v>
      </c>
      <c r="G12" s="14">
        <f t="shared" si="0"/>
        <v>361</v>
      </c>
    </row>
    <row r="13" spans="1:7" x14ac:dyDescent="0.25">
      <c r="A13" s="8" t="s">
        <v>11</v>
      </c>
      <c r="B13" s="8">
        <v>365</v>
      </c>
      <c r="C13" s="8">
        <v>205</v>
      </c>
      <c r="D13" s="8">
        <v>170</v>
      </c>
      <c r="E13" s="8">
        <v>38</v>
      </c>
      <c r="F13" s="8">
        <v>9</v>
      </c>
      <c r="G13" s="14">
        <f t="shared" si="0"/>
        <v>787</v>
      </c>
    </row>
    <row r="14" spans="1:7" x14ac:dyDescent="0.25">
      <c r="A14" s="8" t="s">
        <v>12</v>
      </c>
      <c r="B14" s="8">
        <v>264</v>
      </c>
      <c r="C14" s="8">
        <v>100</v>
      </c>
      <c r="D14" s="8">
        <v>109</v>
      </c>
      <c r="E14" s="8">
        <v>26</v>
      </c>
      <c r="F14" s="8">
        <v>10</v>
      </c>
      <c r="G14" s="12">
        <f t="shared" si="0"/>
        <v>509</v>
      </c>
    </row>
    <row r="15" spans="1:7" x14ac:dyDescent="0.25">
      <c r="A15" s="8" t="s">
        <v>13</v>
      </c>
      <c r="B15" s="8">
        <v>423</v>
      </c>
      <c r="C15" s="8">
        <v>135</v>
      </c>
      <c r="D15" s="8">
        <v>100</v>
      </c>
      <c r="E15" s="8">
        <v>52</v>
      </c>
      <c r="F15" s="8">
        <v>27</v>
      </c>
      <c r="G15" s="12">
        <f>SUM(B15:F15)</f>
        <v>737</v>
      </c>
    </row>
    <row r="16" spans="1:7" x14ac:dyDescent="0.25">
      <c r="A16" s="8" t="s">
        <v>36</v>
      </c>
      <c r="B16" s="8">
        <v>119</v>
      </c>
      <c r="C16" s="8">
        <v>42</v>
      </c>
      <c r="D16" s="8">
        <v>7</v>
      </c>
      <c r="E16" s="8">
        <v>3</v>
      </c>
      <c r="F16" s="8">
        <v>0</v>
      </c>
      <c r="G16" s="12">
        <f>SUM(B16:F16)</f>
        <v>171</v>
      </c>
    </row>
    <row r="17" spans="1:7" ht="15.75" thickBot="1" x14ac:dyDescent="0.3">
      <c r="A17" s="6" t="s">
        <v>34</v>
      </c>
      <c r="B17" s="6">
        <v>28</v>
      </c>
      <c r="C17" s="6">
        <v>38</v>
      </c>
      <c r="D17" s="6">
        <v>57</v>
      </c>
      <c r="E17" s="6">
        <v>10</v>
      </c>
      <c r="F17" s="6">
        <v>2</v>
      </c>
      <c r="G17" s="15">
        <f t="shared" si="0"/>
        <v>135</v>
      </c>
    </row>
    <row r="18" spans="1:7" ht="15.75" thickTop="1" x14ac:dyDescent="0.25">
      <c r="A18" s="16" t="s">
        <v>6</v>
      </c>
      <c r="B18" s="16">
        <f t="shared" ref="B18:G18" si="1">SUM(B7:B17)</f>
        <v>3139</v>
      </c>
      <c r="C18" s="16">
        <f t="shared" si="1"/>
        <v>1296</v>
      </c>
      <c r="D18" s="16">
        <f t="shared" si="1"/>
        <v>906</v>
      </c>
      <c r="E18" s="16">
        <f t="shared" si="1"/>
        <v>288</v>
      </c>
      <c r="F18" s="16">
        <f t="shared" si="1"/>
        <v>182</v>
      </c>
      <c r="G18" s="17">
        <f t="shared" si="1"/>
        <v>5811</v>
      </c>
    </row>
    <row r="19" spans="1:7" x14ac:dyDescent="0.25">
      <c r="A19" s="18"/>
      <c r="B19" s="9"/>
    </row>
    <row r="20" spans="1:7" ht="30" customHeight="1" x14ac:dyDescent="0.25">
      <c r="A20" s="27" t="s">
        <v>40</v>
      </c>
      <c r="B20" s="27"/>
      <c r="C20" s="27"/>
      <c r="D20" s="27"/>
      <c r="E20" s="27"/>
      <c r="F20" s="27"/>
      <c r="G20" s="27"/>
    </row>
  </sheetData>
  <mergeCells count="2">
    <mergeCell ref="A2:G2"/>
    <mergeCell ref="A20:G20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19"/>
  <sheetViews>
    <sheetView view="pageLayout" topLeftCell="A4" zoomScaleNormal="100" workbookViewId="0">
      <selection activeCell="A19" sqref="A19:G19"/>
    </sheetView>
  </sheetViews>
  <sheetFormatPr defaultRowHeight="15" x14ac:dyDescent="0.25"/>
  <cols>
    <col min="1" max="1" width="33.1406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31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350</v>
      </c>
      <c r="C7" s="7">
        <v>149</v>
      </c>
      <c r="D7" s="8">
        <v>59</v>
      </c>
      <c r="E7" s="7">
        <v>19</v>
      </c>
      <c r="F7" s="7">
        <v>11</v>
      </c>
      <c r="G7" s="11">
        <f t="shared" ref="G7:G15" si="0">SUM(B7:F7)</f>
        <v>588</v>
      </c>
    </row>
    <row r="8" spans="1:7" x14ac:dyDescent="0.25">
      <c r="A8" s="8" t="s">
        <v>8</v>
      </c>
      <c r="B8" s="8">
        <v>508</v>
      </c>
      <c r="C8" s="8">
        <v>76</v>
      </c>
      <c r="D8" s="8">
        <v>41</v>
      </c>
      <c r="E8" s="8">
        <v>24</v>
      </c>
      <c r="F8" s="8">
        <v>30</v>
      </c>
      <c r="G8" s="12">
        <f t="shared" si="0"/>
        <v>679</v>
      </c>
    </row>
    <row r="9" spans="1:7" x14ac:dyDescent="0.25">
      <c r="A9" s="8" t="s">
        <v>16</v>
      </c>
      <c r="B9" s="8">
        <v>307</v>
      </c>
      <c r="C9" s="8">
        <v>307</v>
      </c>
      <c r="D9" s="8">
        <v>185</v>
      </c>
      <c r="E9" s="5">
        <v>49</v>
      </c>
      <c r="F9" s="5">
        <v>24</v>
      </c>
      <c r="G9" s="13">
        <f t="shared" si="0"/>
        <v>872</v>
      </c>
    </row>
    <row r="10" spans="1:7" x14ac:dyDescent="0.25">
      <c r="A10" s="8" t="s">
        <v>9</v>
      </c>
      <c r="B10" s="8">
        <v>290</v>
      </c>
      <c r="C10" s="8">
        <v>129</v>
      </c>
      <c r="D10" s="8">
        <v>91</v>
      </c>
      <c r="E10" s="8">
        <v>75</v>
      </c>
      <c r="F10" s="8">
        <v>12</v>
      </c>
      <c r="G10" s="14">
        <f t="shared" si="0"/>
        <v>597</v>
      </c>
    </row>
    <row r="11" spans="1:7" x14ac:dyDescent="0.25">
      <c r="A11" s="8" t="s">
        <v>10</v>
      </c>
      <c r="B11" s="8">
        <v>300</v>
      </c>
      <c r="C11" s="8">
        <v>27</v>
      </c>
      <c r="D11" s="8">
        <v>4</v>
      </c>
      <c r="E11" s="8">
        <v>4</v>
      </c>
      <c r="F11" s="8">
        <v>7</v>
      </c>
      <c r="G11" s="14">
        <f t="shared" si="0"/>
        <v>342</v>
      </c>
    </row>
    <row r="12" spans="1:7" x14ac:dyDescent="0.25">
      <c r="A12" s="8" t="s">
        <v>11</v>
      </c>
      <c r="B12" s="8">
        <v>355</v>
      </c>
      <c r="C12" s="8">
        <v>216</v>
      </c>
      <c r="D12" s="8">
        <v>174</v>
      </c>
      <c r="E12" s="8">
        <v>42</v>
      </c>
      <c r="F12" s="8">
        <v>14</v>
      </c>
      <c r="G12" s="14">
        <f t="shared" si="0"/>
        <v>801</v>
      </c>
    </row>
    <row r="13" spans="1:7" x14ac:dyDescent="0.25">
      <c r="A13" s="8" t="s">
        <v>12</v>
      </c>
      <c r="B13" s="8">
        <v>231</v>
      </c>
      <c r="C13" s="8">
        <v>122</v>
      </c>
      <c r="D13" s="8">
        <v>93</v>
      </c>
      <c r="E13" s="8">
        <v>30</v>
      </c>
      <c r="F13" s="8">
        <v>12</v>
      </c>
      <c r="G13" s="12">
        <f t="shared" si="0"/>
        <v>488</v>
      </c>
    </row>
    <row r="14" spans="1:7" x14ac:dyDescent="0.25">
      <c r="A14" s="8" t="s">
        <v>13</v>
      </c>
      <c r="B14" s="8">
        <v>431</v>
      </c>
      <c r="C14" s="8">
        <v>172</v>
      </c>
      <c r="D14" s="8">
        <v>99</v>
      </c>
      <c r="E14" s="8">
        <v>35</v>
      </c>
      <c r="F14" s="8">
        <v>22</v>
      </c>
      <c r="G14" s="12">
        <f>SUM(B14:F14)</f>
        <v>759</v>
      </c>
    </row>
    <row r="15" spans="1:7" ht="15.75" thickBot="1" x14ac:dyDescent="0.3">
      <c r="A15" s="6" t="s">
        <v>34</v>
      </c>
      <c r="B15" s="6">
        <v>29</v>
      </c>
      <c r="C15" s="6">
        <v>84</v>
      </c>
      <c r="D15" s="6">
        <v>29</v>
      </c>
      <c r="E15" s="6">
        <v>11</v>
      </c>
      <c r="F15" s="6">
        <v>1</v>
      </c>
      <c r="G15" s="15">
        <f t="shared" si="0"/>
        <v>154</v>
      </c>
    </row>
    <row r="16" spans="1:7" ht="15.75" thickTop="1" x14ac:dyDescent="0.25">
      <c r="A16" s="16" t="s">
        <v>6</v>
      </c>
      <c r="B16" s="16">
        <f t="shared" ref="B16:G16" si="1">SUM(B7:B15)</f>
        <v>2801</v>
      </c>
      <c r="C16" s="16">
        <f t="shared" si="1"/>
        <v>1282</v>
      </c>
      <c r="D16" s="16">
        <f t="shared" si="1"/>
        <v>775</v>
      </c>
      <c r="E16" s="16">
        <f t="shared" si="1"/>
        <v>289</v>
      </c>
      <c r="F16" s="16">
        <f t="shared" si="1"/>
        <v>133</v>
      </c>
      <c r="G16" s="17">
        <f t="shared" si="1"/>
        <v>5280</v>
      </c>
    </row>
    <row r="17" spans="1:7" x14ac:dyDescent="0.25">
      <c r="A17" s="9"/>
      <c r="B17" s="9"/>
    </row>
    <row r="18" spans="1:7" x14ac:dyDescent="0.25">
      <c r="A18" s="18"/>
      <c r="B18" s="9"/>
    </row>
    <row r="19" spans="1:7" ht="30" customHeight="1" x14ac:dyDescent="0.25">
      <c r="A19" s="27" t="s">
        <v>40</v>
      </c>
      <c r="B19" s="27"/>
      <c r="C19" s="27"/>
      <c r="D19" s="27"/>
      <c r="E19" s="27"/>
      <c r="F19" s="27"/>
      <c r="G19" s="27"/>
    </row>
  </sheetData>
  <mergeCells count="2">
    <mergeCell ref="A2:G2"/>
    <mergeCell ref="A19:G19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18"/>
  <sheetViews>
    <sheetView view="pageLayout" zoomScaleNormal="100" workbookViewId="0">
      <selection activeCell="A19" sqref="A19"/>
    </sheetView>
  </sheetViews>
  <sheetFormatPr defaultRowHeight="15" x14ac:dyDescent="0.25"/>
  <cols>
    <col min="1" max="1" width="32.425781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32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347</v>
      </c>
      <c r="C7" s="7">
        <v>188</v>
      </c>
      <c r="D7" s="8">
        <v>47</v>
      </c>
      <c r="E7" s="7">
        <v>14</v>
      </c>
      <c r="F7" s="7">
        <v>12</v>
      </c>
      <c r="G7" s="11">
        <f t="shared" ref="G7:G14" si="0">SUM(B7:F7)</f>
        <v>608</v>
      </c>
    </row>
    <row r="8" spans="1:7" x14ac:dyDescent="0.25">
      <c r="A8" s="8" t="s">
        <v>8</v>
      </c>
      <c r="B8" s="8">
        <v>427</v>
      </c>
      <c r="C8" s="8">
        <v>163</v>
      </c>
      <c r="D8" s="8">
        <v>34</v>
      </c>
      <c r="E8" s="8">
        <v>22</v>
      </c>
      <c r="F8" s="8">
        <v>21</v>
      </c>
      <c r="G8" s="12">
        <f t="shared" si="0"/>
        <v>667</v>
      </c>
    </row>
    <row r="9" spans="1:7" x14ac:dyDescent="0.25">
      <c r="A9" s="8" t="s">
        <v>16</v>
      </c>
      <c r="B9" s="8">
        <v>344</v>
      </c>
      <c r="C9" s="8">
        <v>294</v>
      </c>
      <c r="D9" s="8">
        <v>126</v>
      </c>
      <c r="E9" s="5">
        <v>56</v>
      </c>
      <c r="F9" s="5">
        <v>22</v>
      </c>
      <c r="G9" s="13">
        <f t="shared" si="0"/>
        <v>842</v>
      </c>
    </row>
    <row r="10" spans="1:7" x14ac:dyDescent="0.25">
      <c r="A10" s="8" t="s">
        <v>9</v>
      </c>
      <c r="B10" s="8">
        <v>307</v>
      </c>
      <c r="C10" s="8">
        <v>124</v>
      </c>
      <c r="D10" s="8">
        <v>132</v>
      </c>
      <c r="E10" s="8">
        <v>23</v>
      </c>
      <c r="F10" s="8">
        <v>12</v>
      </c>
      <c r="G10" s="14">
        <f t="shared" si="0"/>
        <v>598</v>
      </c>
    </row>
    <row r="11" spans="1:7" x14ac:dyDescent="0.25">
      <c r="A11" s="8" t="s">
        <v>10</v>
      </c>
      <c r="B11" s="8">
        <v>272</v>
      </c>
      <c r="C11" s="8">
        <v>31</v>
      </c>
      <c r="D11" s="8">
        <v>6</v>
      </c>
      <c r="E11" s="8">
        <v>2</v>
      </c>
      <c r="F11" s="8">
        <v>5</v>
      </c>
      <c r="G11" s="14">
        <f t="shared" si="0"/>
        <v>316</v>
      </c>
    </row>
    <row r="12" spans="1:7" x14ac:dyDescent="0.25">
      <c r="A12" s="8" t="s">
        <v>11</v>
      </c>
      <c r="B12" s="8">
        <v>378</v>
      </c>
      <c r="C12" s="8">
        <v>214</v>
      </c>
      <c r="D12" s="8">
        <v>154</v>
      </c>
      <c r="E12" s="8">
        <v>68</v>
      </c>
      <c r="F12" s="8">
        <v>13</v>
      </c>
      <c r="G12" s="14">
        <f t="shared" si="0"/>
        <v>827</v>
      </c>
    </row>
    <row r="13" spans="1:7" x14ac:dyDescent="0.25">
      <c r="A13" s="8" t="s">
        <v>12</v>
      </c>
      <c r="B13" s="8">
        <v>292</v>
      </c>
      <c r="C13" s="8">
        <v>111</v>
      </c>
      <c r="D13" s="8">
        <v>116</v>
      </c>
      <c r="E13" s="8">
        <v>28</v>
      </c>
      <c r="F13" s="8">
        <v>11</v>
      </c>
      <c r="G13" s="12">
        <f t="shared" si="0"/>
        <v>558</v>
      </c>
    </row>
    <row r="14" spans="1:7" ht="15.75" thickBot="1" x14ac:dyDescent="0.3">
      <c r="A14" s="6" t="s">
        <v>13</v>
      </c>
      <c r="B14" s="6">
        <v>478</v>
      </c>
      <c r="C14" s="6">
        <v>152</v>
      </c>
      <c r="D14" s="6">
        <v>80</v>
      </c>
      <c r="E14" s="6">
        <v>31</v>
      </c>
      <c r="F14" s="6">
        <v>16</v>
      </c>
      <c r="G14" s="15">
        <f t="shared" si="0"/>
        <v>757</v>
      </c>
    </row>
    <row r="15" spans="1:7" ht="15.75" thickTop="1" x14ac:dyDescent="0.25">
      <c r="A15" s="16" t="s">
        <v>6</v>
      </c>
      <c r="B15" s="16">
        <f t="shared" ref="B15:G15" si="1">SUM(B7:B14)</f>
        <v>2845</v>
      </c>
      <c r="C15" s="16">
        <f t="shared" si="1"/>
        <v>1277</v>
      </c>
      <c r="D15" s="16">
        <f t="shared" si="1"/>
        <v>695</v>
      </c>
      <c r="E15" s="16">
        <f t="shared" si="1"/>
        <v>244</v>
      </c>
      <c r="F15" s="16">
        <f t="shared" si="1"/>
        <v>112</v>
      </c>
      <c r="G15" s="17">
        <f t="shared" si="1"/>
        <v>5173</v>
      </c>
    </row>
    <row r="16" spans="1:7" x14ac:dyDescent="0.25">
      <c r="A16" s="9"/>
      <c r="B16" s="9"/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19"/>
  <sheetViews>
    <sheetView view="pageLayout" zoomScaleNormal="70" workbookViewId="0">
      <selection activeCell="A17" sqref="A17"/>
    </sheetView>
  </sheetViews>
  <sheetFormatPr defaultRowHeight="15" x14ac:dyDescent="0.25"/>
  <cols>
    <col min="1" max="1" width="32.425781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33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376</v>
      </c>
      <c r="C7" s="7">
        <v>175</v>
      </c>
      <c r="D7" s="8">
        <v>54</v>
      </c>
      <c r="E7" s="7">
        <v>13</v>
      </c>
      <c r="F7" s="7">
        <v>11</v>
      </c>
      <c r="G7" s="11">
        <f t="shared" ref="G7:G14" si="0">SUM(B7:F7)</f>
        <v>629</v>
      </c>
    </row>
    <row r="8" spans="1:7" x14ac:dyDescent="0.25">
      <c r="A8" s="8" t="s">
        <v>8</v>
      </c>
      <c r="B8" s="8">
        <v>524</v>
      </c>
      <c r="C8" s="8">
        <v>71</v>
      </c>
      <c r="D8" s="8">
        <v>42</v>
      </c>
      <c r="E8" s="8">
        <v>24</v>
      </c>
      <c r="F8" s="8">
        <v>20</v>
      </c>
      <c r="G8" s="12">
        <f t="shared" si="0"/>
        <v>681</v>
      </c>
    </row>
    <row r="9" spans="1:7" x14ac:dyDescent="0.25">
      <c r="A9" s="8" t="s">
        <v>16</v>
      </c>
      <c r="B9" s="8">
        <v>290</v>
      </c>
      <c r="C9" s="8">
        <v>212</v>
      </c>
      <c r="D9" s="8">
        <v>129</v>
      </c>
      <c r="E9" s="5">
        <v>61</v>
      </c>
      <c r="F9" s="5">
        <v>25</v>
      </c>
      <c r="G9" s="13">
        <f t="shared" si="0"/>
        <v>717</v>
      </c>
    </row>
    <row r="10" spans="1:7" x14ac:dyDescent="0.25">
      <c r="A10" s="8" t="s">
        <v>9</v>
      </c>
      <c r="B10" s="8">
        <v>309</v>
      </c>
      <c r="C10" s="8">
        <v>113</v>
      </c>
      <c r="D10" s="8">
        <v>64</v>
      </c>
      <c r="E10" s="8">
        <v>26</v>
      </c>
      <c r="F10" s="8">
        <v>9</v>
      </c>
      <c r="G10" s="14">
        <f t="shared" si="0"/>
        <v>521</v>
      </c>
    </row>
    <row r="11" spans="1:7" x14ac:dyDescent="0.25">
      <c r="A11" s="8" t="s">
        <v>10</v>
      </c>
      <c r="B11" s="8">
        <v>287</v>
      </c>
      <c r="C11" s="8">
        <v>35</v>
      </c>
      <c r="D11" s="8">
        <v>6</v>
      </c>
      <c r="E11" s="8">
        <v>5</v>
      </c>
      <c r="F11" s="8">
        <v>4</v>
      </c>
      <c r="G11" s="14">
        <f t="shared" si="0"/>
        <v>337</v>
      </c>
    </row>
    <row r="12" spans="1:7" x14ac:dyDescent="0.25">
      <c r="A12" s="8" t="s">
        <v>11</v>
      </c>
      <c r="B12" s="8">
        <v>365</v>
      </c>
      <c r="C12" s="8">
        <v>186</v>
      </c>
      <c r="D12" s="8">
        <v>183</v>
      </c>
      <c r="E12" s="8">
        <v>86</v>
      </c>
      <c r="F12" s="8">
        <v>18</v>
      </c>
      <c r="G12" s="14">
        <f t="shared" si="0"/>
        <v>838</v>
      </c>
    </row>
    <row r="13" spans="1:7" x14ac:dyDescent="0.25">
      <c r="A13" s="8" t="s">
        <v>12</v>
      </c>
      <c r="B13" s="8">
        <v>264</v>
      </c>
      <c r="C13" s="8">
        <v>131</v>
      </c>
      <c r="D13" s="8">
        <v>93</v>
      </c>
      <c r="E13" s="8">
        <v>33</v>
      </c>
      <c r="F13" s="8">
        <v>6</v>
      </c>
      <c r="G13" s="12">
        <f t="shared" si="0"/>
        <v>527</v>
      </c>
    </row>
    <row r="14" spans="1:7" ht="15.75" thickBot="1" x14ac:dyDescent="0.3">
      <c r="A14" s="6" t="s">
        <v>13</v>
      </c>
      <c r="B14" s="6">
        <v>366</v>
      </c>
      <c r="C14" s="6">
        <v>123</v>
      </c>
      <c r="D14" s="6">
        <v>70</v>
      </c>
      <c r="E14" s="6">
        <v>22</v>
      </c>
      <c r="F14" s="6">
        <v>14</v>
      </c>
      <c r="G14" s="15">
        <f t="shared" si="0"/>
        <v>595</v>
      </c>
    </row>
    <row r="15" spans="1:7" ht="15.75" thickTop="1" x14ac:dyDescent="0.25">
      <c r="A15" s="16" t="s">
        <v>6</v>
      </c>
      <c r="B15" s="16">
        <f t="shared" ref="B15:G15" si="1">SUM(B7:B14)</f>
        <v>2781</v>
      </c>
      <c r="C15" s="16">
        <f t="shared" si="1"/>
        <v>1046</v>
      </c>
      <c r="D15" s="16">
        <f t="shared" si="1"/>
        <v>641</v>
      </c>
      <c r="E15" s="16">
        <f t="shared" si="1"/>
        <v>270</v>
      </c>
      <c r="F15" s="16">
        <f t="shared" si="1"/>
        <v>107</v>
      </c>
      <c r="G15" s="17">
        <f t="shared" si="1"/>
        <v>4845</v>
      </c>
    </row>
    <row r="16" spans="1:7" x14ac:dyDescent="0.25">
      <c r="A16" s="9"/>
      <c r="B16" s="9"/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  <row r="19" spans="1:7" x14ac:dyDescent="0.25">
      <c r="A19" s="18"/>
      <c r="B19" s="9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21"/>
  <sheetViews>
    <sheetView view="pageLayout" zoomScale="70" zoomScaleNormal="100" zoomScalePageLayoutView="70" workbookViewId="0">
      <selection activeCell="A24" sqref="A24"/>
    </sheetView>
  </sheetViews>
  <sheetFormatPr defaultColWidth="9.140625" defaultRowHeight="15" x14ac:dyDescent="0.25"/>
  <cols>
    <col min="1" max="1" width="32.42578125" customWidth="1"/>
  </cols>
  <sheetData>
    <row r="1" spans="1:7" ht="18" x14ac:dyDescent="0.25">
      <c r="A1" s="1" t="s">
        <v>0</v>
      </c>
      <c r="B1" s="9"/>
    </row>
    <row r="2" spans="1:7" x14ac:dyDescent="0.25">
      <c r="A2" s="26" t="s">
        <v>14</v>
      </c>
      <c r="B2" s="26"/>
      <c r="C2" s="26"/>
      <c r="D2" s="26"/>
      <c r="E2" s="26"/>
      <c r="F2" s="26"/>
      <c r="G2" s="26"/>
    </row>
    <row r="3" spans="1:7" x14ac:dyDescent="0.25">
      <c r="A3" s="2" t="s">
        <v>15</v>
      </c>
      <c r="B3" s="9"/>
    </row>
    <row r="4" spans="1:7" x14ac:dyDescent="0.25">
      <c r="A4" s="9"/>
      <c r="B4" s="9"/>
    </row>
    <row r="5" spans="1:7" x14ac:dyDescent="0.25">
      <c r="A5" s="9"/>
      <c r="B5" s="9"/>
    </row>
    <row r="6" spans="1:7" x14ac:dyDescent="0.25">
      <c r="A6" s="3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17</v>
      </c>
      <c r="G6" s="4" t="s">
        <v>6</v>
      </c>
    </row>
    <row r="7" spans="1:7" x14ac:dyDescent="0.25">
      <c r="A7" s="7" t="s">
        <v>7</v>
      </c>
      <c r="B7" s="7">
        <v>330</v>
      </c>
      <c r="C7" s="7">
        <v>162</v>
      </c>
      <c r="D7" s="8">
        <v>38</v>
      </c>
      <c r="E7" s="7">
        <v>25</v>
      </c>
      <c r="F7" s="7">
        <v>6</v>
      </c>
      <c r="G7" s="11">
        <f t="shared" ref="G7:G14" si="0">SUM(B7:F7)</f>
        <v>561</v>
      </c>
    </row>
    <row r="8" spans="1:7" x14ac:dyDescent="0.25">
      <c r="A8" s="8" t="s">
        <v>8</v>
      </c>
      <c r="B8" s="8">
        <v>456</v>
      </c>
      <c r="C8" s="8">
        <v>89</v>
      </c>
      <c r="D8" s="8">
        <v>33</v>
      </c>
      <c r="E8" s="8">
        <v>25</v>
      </c>
      <c r="F8" s="8">
        <v>16</v>
      </c>
      <c r="G8" s="12">
        <f t="shared" si="0"/>
        <v>619</v>
      </c>
    </row>
    <row r="9" spans="1:7" x14ac:dyDescent="0.25">
      <c r="A9" s="8" t="s">
        <v>16</v>
      </c>
      <c r="B9" s="8">
        <v>170</v>
      </c>
      <c r="C9" s="8">
        <v>133</v>
      </c>
      <c r="D9" s="8">
        <v>67</v>
      </c>
      <c r="E9" s="5">
        <v>24</v>
      </c>
      <c r="F9" s="5">
        <v>11</v>
      </c>
      <c r="G9" s="13">
        <f t="shared" si="0"/>
        <v>405</v>
      </c>
    </row>
    <row r="10" spans="1:7" x14ac:dyDescent="0.25">
      <c r="A10" s="8" t="s">
        <v>9</v>
      </c>
      <c r="B10" s="8">
        <v>313</v>
      </c>
      <c r="C10" s="8">
        <v>80</v>
      </c>
      <c r="D10" s="8">
        <v>56</v>
      </c>
      <c r="E10" s="8">
        <v>29</v>
      </c>
      <c r="F10" s="8">
        <v>4</v>
      </c>
      <c r="G10" s="14">
        <f t="shared" si="0"/>
        <v>482</v>
      </c>
    </row>
    <row r="11" spans="1:7" x14ac:dyDescent="0.25">
      <c r="A11" s="8" t="s">
        <v>10</v>
      </c>
      <c r="B11" s="8">
        <v>214</v>
      </c>
      <c r="C11" s="8">
        <v>38</v>
      </c>
      <c r="D11" s="8">
        <v>8</v>
      </c>
      <c r="E11" s="8">
        <v>1</v>
      </c>
      <c r="F11" s="8">
        <v>6</v>
      </c>
      <c r="G11" s="14">
        <f t="shared" si="0"/>
        <v>267</v>
      </c>
    </row>
    <row r="12" spans="1:7" x14ac:dyDescent="0.25">
      <c r="A12" s="8" t="s">
        <v>11</v>
      </c>
      <c r="B12" s="8">
        <v>332</v>
      </c>
      <c r="C12" s="8">
        <v>223</v>
      </c>
      <c r="D12" s="8">
        <v>185</v>
      </c>
      <c r="E12" s="8">
        <v>68</v>
      </c>
      <c r="F12" s="8">
        <v>13</v>
      </c>
      <c r="G12" s="14">
        <f t="shared" si="0"/>
        <v>821</v>
      </c>
    </row>
    <row r="13" spans="1:7" x14ac:dyDescent="0.25">
      <c r="A13" s="8" t="s">
        <v>12</v>
      </c>
      <c r="B13" s="8">
        <v>298</v>
      </c>
      <c r="C13" s="8">
        <v>137</v>
      </c>
      <c r="D13" s="8">
        <v>113</v>
      </c>
      <c r="E13" s="8">
        <v>31</v>
      </c>
      <c r="F13" s="8">
        <v>10</v>
      </c>
      <c r="G13" s="12">
        <f t="shared" si="0"/>
        <v>589</v>
      </c>
    </row>
    <row r="14" spans="1:7" ht="15.75" thickBot="1" x14ac:dyDescent="0.3">
      <c r="A14" s="6" t="s">
        <v>13</v>
      </c>
      <c r="B14" s="6">
        <v>327</v>
      </c>
      <c r="C14" s="6">
        <v>103</v>
      </c>
      <c r="D14" s="6">
        <v>60</v>
      </c>
      <c r="E14" s="6">
        <v>29</v>
      </c>
      <c r="F14" s="6">
        <v>7</v>
      </c>
      <c r="G14" s="15">
        <f t="shared" si="0"/>
        <v>526</v>
      </c>
    </row>
    <row r="15" spans="1:7" ht="15.75" thickTop="1" x14ac:dyDescent="0.25">
      <c r="A15" s="16" t="s">
        <v>6</v>
      </c>
      <c r="B15" s="16">
        <f t="shared" ref="B15:G15" si="1">SUM(B7:B14)</f>
        <v>2440</v>
      </c>
      <c r="C15" s="16">
        <f t="shared" si="1"/>
        <v>965</v>
      </c>
      <c r="D15" s="16">
        <f t="shared" si="1"/>
        <v>560</v>
      </c>
      <c r="E15" s="16">
        <f t="shared" si="1"/>
        <v>232</v>
      </c>
      <c r="F15" s="16">
        <f t="shared" si="1"/>
        <v>73</v>
      </c>
      <c r="G15" s="17">
        <f t="shared" si="1"/>
        <v>4270</v>
      </c>
    </row>
    <row r="16" spans="1:7" x14ac:dyDescent="0.25">
      <c r="A16" s="9"/>
      <c r="B16" s="9"/>
    </row>
    <row r="17" spans="1:7" x14ac:dyDescent="0.25">
      <c r="A17" s="18"/>
      <c r="B17" s="9"/>
    </row>
    <row r="18" spans="1:7" ht="30" customHeight="1" x14ac:dyDescent="0.25">
      <c r="A18" s="27" t="s">
        <v>40</v>
      </c>
      <c r="B18" s="27"/>
      <c r="C18" s="27"/>
      <c r="D18" s="27"/>
      <c r="E18" s="27"/>
      <c r="F18" s="27"/>
      <c r="G18" s="27"/>
    </row>
    <row r="19" spans="1:7" x14ac:dyDescent="0.25">
      <c r="A19" s="18"/>
      <c r="B19" s="9"/>
    </row>
    <row r="20" spans="1:7" x14ac:dyDescent="0.25">
      <c r="A20" s="9"/>
      <c r="B20" s="9"/>
    </row>
    <row r="21" spans="1:7" x14ac:dyDescent="0.25">
      <c r="A21" s="9"/>
      <c r="B21" s="9"/>
    </row>
  </sheetData>
  <mergeCells count="2">
    <mergeCell ref="A2:G2"/>
    <mergeCell ref="A18:G18"/>
  </mergeCells>
  <pageMargins left="0.7" right="0.7" top="0.75" bottom="0.75" header="0.3" footer="0.3"/>
  <pageSetup paperSize="9" orientation="landscape" r:id="rId1"/>
  <headerFooter>
    <oddHeader>&amp;CStudent Data Statistics</oddHeader>
    <oddFooter>&amp;L&amp;F - &amp;A&amp;RPage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2013-06-18T11:04:17Z</cp:lastPrinted>
  <dcterms:created xsi:type="dcterms:W3CDTF">2013-05-17T14:02:41Z</dcterms:created>
  <dcterms:modified xsi:type="dcterms:W3CDTF">2013-06-21T10:43:28Z</dcterms:modified>
</cp:coreProperties>
</file>