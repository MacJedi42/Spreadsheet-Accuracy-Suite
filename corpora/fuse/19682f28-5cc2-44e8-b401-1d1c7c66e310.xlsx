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-120" windowWidth="14760" windowHeight="8655"/>
  </bookViews>
  <sheets>
    <sheet name="Sheet2" sheetId="2" r:id="rId1"/>
    <sheet name="Sheet3" sheetId="3" r:id="rId2"/>
  </sheets>
  <definedNames>
    <definedName name="_xlnm.Print_Area" localSheetId="0">Sheet2!$A$1:$K$72</definedName>
  </definedNames>
  <calcPr calcId="145621"/>
</workbook>
</file>

<file path=xl/calcChain.xml><?xml version="1.0" encoding="utf-8"?>
<calcChain xmlns="http://schemas.openxmlformats.org/spreadsheetml/2006/main">
  <c r="P55" i="2" l="1"/>
  <c r="P56" i="2" l="1"/>
  <c r="P57" i="2"/>
  <c r="P58" i="2"/>
  <c r="P59" i="2"/>
  <c r="P60" i="2"/>
  <c r="P61" i="2"/>
  <c r="P62" i="2"/>
  <c r="P63" i="2"/>
</calcChain>
</file>

<file path=xl/sharedStrings.xml><?xml version="1.0" encoding="utf-8"?>
<sst xmlns="http://schemas.openxmlformats.org/spreadsheetml/2006/main" count="15" uniqueCount="14">
  <si>
    <t>Salary From</t>
  </si>
  <si>
    <t>Point</t>
  </si>
  <si>
    <t>Col.Salary</t>
  </si>
  <si>
    <t>Spinal</t>
  </si>
  <si>
    <t>Spine</t>
  </si>
  <si>
    <t>Shaded points below the broken lines represent "contribution" points for each grade</t>
  </si>
  <si>
    <t># Spine points 52 to 58 represent local "contribution" points introduced from 1 Jan 08.</t>
  </si>
  <si>
    <t>Pt 32 is the minimum starting point for Academic Staff</t>
  </si>
  <si>
    <t>Pt 25 is the minimum starting point for Researchers</t>
  </si>
  <si>
    <t>Grade 9 contribution area extended (Pt 47) from 1 June 2012</t>
  </si>
  <si>
    <t>Pt 25 is the minimum starting point for Academic Support Officers &amp; Teaching Fellows</t>
  </si>
  <si>
    <t>01 August 2013</t>
  </si>
  <si>
    <t>01 August 2014</t>
  </si>
  <si>
    <t>ASTON GRADING STRUCTURE - 1 AUGUST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</si>
</sst>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8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mediumDashed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4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3" fontId="1" fillId="0" borderId="7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2" fontId="1" fillId="0" borderId="0" xfId="0" applyNumberFormat="1" applyFont="1"/>
    <xf numFmtId="0" fontId="5" fillId="0" borderId="0" xfId="0" applyFont="1"/>
    <xf numFmtId="3" fontId="1" fillId="0" borderId="0" xfId="0" applyNumberFormat="1" applyFont="1" applyBorder="1" applyAlignment="1">
      <alignment horizontal="center"/>
    </xf>
    <xf numFmtId="0" fontId="1" fillId="0" borderId="15" xfId="0" applyFont="1" applyBorder="1"/>
    <xf numFmtId="0" fontId="3" fillId="0" borderId="16" xfId="0" applyFont="1" applyBorder="1" applyAlignment="1">
      <alignment horizontal="center" wrapText="1"/>
    </xf>
    <xf numFmtId="164" fontId="3" fillId="0" borderId="16" xfId="0" applyNumberFormat="1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3" fontId="1" fillId="0" borderId="16" xfId="0" applyNumberFormat="1" applyFont="1" applyFill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1" fillId="0" borderId="18" xfId="0" applyNumberFormat="1" applyFont="1" applyFill="1" applyBorder="1" applyAlignment="1">
      <alignment horizontal="center"/>
    </xf>
    <xf numFmtId="0" fontId="1" fillId="2" borderId="19" xfId="0" applyFont="1" applyFill="1" applyBorder="1"/>
    <xf numFmtId="0" fontId="2" fillId="0" borderId="20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2" borderId="25" xfId="0" applyNumberFormat="1" applyFont="1" applyFill="1" applyBorder="1"/>
    <xf numFmtId="3" fontId="1" fillId="2" borderId="12" xfId="0" applyNumberFormat="1" applyFont="1" applyFill="1" applyBorder="1"/>
    <xf numFmtId="3" fontId="1" fillId="0" borderId="5" xfId="0" applyNumberFormat="1" applyFont="1" applyBorder="1"/>
    <xf numFmtId="3" fontId="1" fillId="0" borderId="18" xfId="0" applyNumberFormat="1" applyFont="1" applyBorder="1"/>
    <xf numFmtId="3" fontId="1" fillId="2" borderId="26" xfId="0" applyNumberFormat="1" applyFont="1" applyFill="1" applyBorder="1"/>
    <xf numFmtId="3" fontId="1" fillId="2" borderId="27" xfId="0" applyNumberFormat="1" applyFont="1" applyFill="1" applyBorder="1"/>
    <xf numFmtId="3" fontId="1" fillId="2" borderId="28" xfId="0" applyNumberFormat="1" applyFont="1" applyFill="1" applyBorder="1"/>
    <xf numFmtId="3" fontId="1" fillId="2" borderId="29" xfId="0" applyNumberFormat="1" applyFont="1" applyFill="1" applyBorder="1"/>
    <xf numFmtId="3" fontId="1" fillId="2" borderId="30" xfId="0" applyNumberFormat="1" applyFont="1" applyFill="1" applyBorder="1"/>
    <xf numFmtId="3" fontId="1" fillId="2" borderId="2" xfId="0" applyNumberFormat="1" applyFont="1" applyFill="1" applyBorder="1"/>
    <xf numFmtId="3" fontId="1" fillId="2" borderId="18" xfId="0" applyNumberFormat="1" applyFont="1" applyFill="1" applyBorder="1"/>
    <xf numFmtId="3" fontId="1" fillId="2" borderId="31" xfId="0" applyNumberFormat="1" applyFont="1" applyFill="1" applyBorder="1"/>
    <xf numFmtId="0" fontId="2" fillId="0" borderId="2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3" fontId="1" fillId="2" borderId="34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164" fontId="2" fillId="0" borderId="12" xfId="0" quotePrefix="1" applyNumberFormat="1" applyFont="1" applyBorder="1" applyAlignment="1">
      <alignment horizontal="center" wrapText="1"/>
    </xf>
    <xf numFmtId="164" fontId="2" fillId="0" borderId="13" xfId="0" quotePrefix="1" applyNumberFormat="1" applyFont="1" applyBorder="1" applyAlignment="1">
      <alignment horizontal="center" wrapText="1"/>
    </xf>
    <xf numFmtId="164" fontId="2" fillId="0" borderId="14" xfId="0" quotePrefix="1" applyNumberFormat="1" applyFont="1" applyBorder="1" applyAlignment="1">
      <alignment horizontal="center" wrapText="1"/>
    </xf>
    <xf numFmtId="17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tabSelected="1" zoomScaleNormal="100" zoomScaleSheetLayoutView="100" workbookViewId="0">
      <selection activeCell="L3" sqref="L3:N3"/>
    </sheetView>
  </sheetViews>
  <sheetFormatPr defaultRowHeight="14.25" x14ac:dyDescent="0.2"/>
  <cols>
    <col min="1" max="1" width="5.85546875" customWidth="1"/>
    <col min="4" max="4" width="8.85546875" customWidth="1"/>
    <col min="5" max="5" width="4.7109375" customWidth="1"/>
    <col min="6" max="7" width="9.140625" customWidth="1"/>
    <col min="8" max="8" width="9.85546875" style="1" customWidth="1"/>
    <col min="9" max="9" width="4.5703125" customWidth="1"/>
    <col min="10" max="10" width="12.85546875" customWidth="1"/>
    <col min="11" max="11" width="11" customWidth="1"/>
    <col min="16" max="16" width="10.140625" hidden="1" customWidth="1"/>
  </cols>
  <sheetData>
    <row r="1" spans="1:14" ht="20.25" customHeight="1" x14ac:dyDescent="0.25">
      <c r="B1" s="7" t="s">
        <v>13</v>
      </c>
      <c r="K1" s="19"/>
    </row>
    <row r="2" spans="1:14" ht="7.5" customHeight="1" thickBot="1" x14ac:dyDescent="0.25">
      <c r="A2" s="1"/>
      <c r="B2" s="1"/>
      <c r="C2" s="1"/>
      <c r="D2" s="1"/>
      <c r="E2" s="1"/>
      <c r="F2" s="1"/>
      <c r="G2" s="1"/>
      <c r="H2"/>
      <c r="K2" s="19"/>
    </row>
    <row r="3" spans="1:14" s="8" customFormat="1" ht="14.25" customHeight="1" thickTop="1" x14ac:dyDescent="0.25">
      <c r="B3" s="62" t="s">
        <v>0</v>
      </c>
      <c r="C3" s="63"/>
      <c r="D3" s="64"/>
      <c r="E3" s="22"/>
      <c r="F3" s="62" t="s">
        <v>0</v>
      </c>
      <c r="G3" s="63"/>
      <c r="H3" s="64"/>
      <c r="I3" s="51"/>
      <c r="J3" s="33" t="s">
        <v>4</v>
      </c>
      <c r="K3" s="35" t="s">
        <v>3</v>
      </c>
      <c r="L3" s="59"/>
      <c r="M3" s="60"/>
      <c r="N3" s="60"/>
    </row>
    <row r="4" spans="1:14" s="8" customFormat="1" ht="15" customHeight="1" thickBot="1" x14ac:dyDescent="0.3">
      <c r="B4" s="65" t="s">
        <v>11</v>
      </c>
      <c r="C4" s="66"/>
      <c r="D4" s="67"/>
      <c r="E4" s="23"/>
      <c r="F4" s="65" t="s">
        <v>12</v>
      </c>
      <c r="G4" s="66"/>
      <c r="H4" s="67"/>
      <c r="I4" s="52"/>
      <c r="J4" s="34" t="s">
        <v>1</v>
      </c>
      <c r="K4" s="36" t="s">
        <v>2</v>
      </c>
    </row>
    <row r="5" spans="1:14" s="1" customFormat="1" ht="12.75" customHeight="1" thickBot="1" x14ac:dyDescent="0.3">
      <c r="B5" s="9"/>
      <c r="C5" s="9"/>
      <c r="D5" s="9">
        <v>1</v>
      </c>
      <c r="E5" s="24"/>
      <c r="F5" s="9"/>
      <c r="G5" s="9"/>
      <c r="H5" s="9">
        <v>1</v>
      </c>
      <c r="I5" s="3"/>
      <c r="J5" s="3"/>
      <c r="K5" s="10"/>
    </row>
    <row r="6" spans="1:14" s="1" customFormat="1" ht="15.75" thickBot="1" x14ac:dyDescent="0.3">
      <c r="B6" s="20"/>
      <c r="C6" s="28">
        <v>2</v>
      </c>
      <c r="D6" s="11">
        <v>13621</v>
      </c>
      <c r="E6" s="25"/>
      <c r="F6" s="20"/>
      <c r="G6" s="28">
        <v>2</v>
      </c>
      <c r="H6" s="11">
        <v>13953</v>
      </c>
      <c r="I6" s="53"/>
      <c r="J6" s="54">
        <v>1</v>
      </c>
      <c r="K6" s="12">
        <v>13953</v>
      </c>
      <c r="M6" s="18"/>
    </row>
    <row r="7" spans="1:14" s="1" customFormat="1" ht="15" thickBot="1" x14ac:dyDescent="0.25">
      <c r="B7" s="20"/>
      <c r="C7" s="6">
        <v>13977</v>
      </c>
      <c r="D7" s="13">
        <v>13977</v>
      </c>
      <c r="E7" s="25"/>
      <c r="F7" s="20"/>
      <c r="G7" s="6">
        <v>14257</v>
      </c>
      <c r="H7" s="13">
        <v>14257</v>
      </c>
      <c r="I7" s="53"/>
      <c r="J7" s="55">
        <v>2</v>
      </c>
      <c r="K7" s="12">
        <v>14257</v>
      </c>
      <c r="M7" s="18"/>
    </row>
    <row r="8" spans="1:14" s="1" customFormat="1" ht="15.75" thickBot="1" x14ac:dyDescent="0.3">
      <c r="B8" s="29">
        <v>3</v>
      </c>
      <c r="C8" s="31">
        <v>14344</v>
      </c>
      <c r="D8" s="30">
        <v>14344</v>
      </c>
      <c r="E8" s="27"/>
      <c r="F8" s="29">
        <v>3</v>
      </c>
      <c r="G8" s="31">
        <v>14631</v>
      </c>
      <c r="H8" s="30">
        <v>14631</v>
      </c>
      <c r="I8" s="53"/>
      <c r="J8" s="55">
        <v>3</v>
      </c>
      <c r="K8" s="12">
        <v>14631</v>
      </c>
      <c r="M8" s="18"/>
    </row>
    <row r="9" spans="1:14" s="1" customFormat="1" ht="15" thickBot="1" x14ac:dyDescent="0.25">
      <c r="B9" s="37">
        <v>14665</v>
      </c>
      <c r="C9" s="32">
        <v>14665</v>
      </c>
      <c r="D9" s="2"/>
      <c r="E9" s="26"/>
      <c r="F9" s="37">
        <v>14959</v>
      </c>
      <c r="G9" s="32">
        <v>14959</v>
      </c>
      <c r="H9" s="2"/>
      <c r="I9" s="53"/>
      <c r="J9" s="4">
        <v>4</v>
      </c>
      <c r="K9" s="12">
        <v>14959</v>
      </c>
      <c r="M9" s="18"/>
    </row>
    <row r="10" spans="1:14" s="1" customFormat="1" ht="15.75" thickBot="1" x14ac:dyDescent="0.3">
      <c r="B10" s="38">
        <v>15054</v>
      </c>
      <c r="C10" s="9">
        <v>4</v>
      </c>
      <c r="D10" s="2"/>
      <c r="E10" s="26"/>
      <c r="F10" s="38">
        <v>15356</v>
      </c>
      <c r="G10" s="9">
        <v>4</v>
      </c>
      <c r="H10" s="2"/>
      <c r="I10" s="53"/>
      <c r="J10" s="4">
        <v>5</v>
      </c>
      <c r="K10" s="12">
        <v>15356</v>
      </c>
      <c r="M10" s="18"/>
    </row>
    <row r="11" spans="1:14" s="1" customFormat="1" x14ac:dyDescent="0.2">
      <c r="B11" s="39">
        <v>15456</v>
      </c>
      <c r="C11" s="41">
        <v>15456</v>
      </c>
      <c r="D11" s="2"/>
      <c r="E11" s="26"/>
      <c r="F11" s="39">
        <v>15765</v>
      </c>
      <c r="G11" s="41">
        <v>15765</v>
      </c>
      <c r="H11" s="2"/>
      <c r="I11" s="53"/>
      <c r="J11" s="4">
        <v>6</v>
      </c>
      <c r="K11" s="12">
        <v>15765</v>
      </c>
      <c r="M11" s="18"/>
    </row>
    <row r="12" spans="1:14" s="1" customFormat="1" ht="15" thickBot="1" x14ac:dyDescent="0.25">
      <c r="B12" s="40">
        <v>15814</v>
      </c>
      <c r="C12" s="42">
        <v>15814</v>
      </c>
      <c r="D12" s="2"/>
      <c r="E12" s="26"/>
      <c r="F12" s="40">
        <v>16131</v>
      </c>
      <c r="G12" s="42">
        <v>16131</v>
      </c>
      <c r="H12" s="2"/>
      <c r="I12" s="53"/>
      <c r="J12" s="4">
        <v>7</v>
      </c>
      <c r="K12" s="12">
        <v>16131</v>
      </c>
      <c r="M12" s="18"/>
    </row>
    <row r="13" spans="1:14" s="1" customFormat="1" x14ac:dyDescent="0.2">
      <c r="B13" s="2"/>
      <c r="C13" s="42">
        <v>16252</v>
      </c>
      <c r="D13" s="2"/>
      <c r="E13" s="26"/>
      <c r="F13" s="2"/>
      <c r="G13" s="42">
        <v>16577</v>
      </c>
      <c r="H13" s="2"/>
      <c r="I13" s="53"/>
      <c r="J13" s="4">
        <v>8</v>
      </c>
      <c r="K13" s="12">
        <v>16577</v>
      </c>
      <c r="M13" s="18"/>
    </row>
    <row r="14" spans="1:14" s="1" customFormat="1" x14ac:dyDescent="0.2">
      <c r="B14" s="2"/>
      <c r="C14" s="42">
        <v>16705</v>
      </c>
      <c r="D14" s="2"/>
      <c r="E14" s="26"/>
      <c r="F14" s="2"/>
      <c r="G14" s="42">
        <v>17039</v>
      </c>
      <c r="H14" s="2"/>
      <c r="I14" s="53"/>
      <c r="J14" s="4">
        <v>9</v>
      </c>
      <c r="K14" s="12">
        <v>17039</v>
      </c>
      <c r="M14" s="18"/>
    </row>
    <row r="15" spans="1:14" s="1" customFormat="1" x14ac:dyDescent="0.2">
      <c r="B15" s="2"/>
      <c r="C15" s="42">
        <v>17184</v>
      </c>
      <c r="D15" s="2"/>
      <c r="E15" s="26"/>
      <c r="F15" s="2"/>
      <c r="G15" s="42">
        <v>17528</v>
      </c>
      <c r="H15" s="2"/>
      <c r="I15" s="53"/>
      <c r="J15" s="4">
        <v>10</v>
      </c>
      <c r="K15" s="12">
        <v>17528</v>
      </c>
      <c r="M15" s="18"/>
    </row>
    <row r="16" spans="1:14" s="1" customFormat="1" ht="15.75" thickBot="1" x14ac:dyDescent="0.3">
      <c r="B16" s="9">
        <v>5</v>
      </c>
      <c r="C16" s="42">
        <v>17678</v>
      </c>
      <c r="D16" s="2"/>
      <c r="E16" s="26"/>
      <c r="F16" s="9">
        <v>5</v>
      </c>
      <c r="G16" s="42">
        <v>18031</v>
      </c>
      <c r="H16" s="2"/>
      <c r="I16" s="53"/>
      <c r="J16" s="4">
        <v>11</v>
      </c>
      <c r="K16" s="12">
        <v>18031</v>
      </c>
      <c r="M16" s="18"/>
    </row>
    <row r="17" spans="2:13" s="1" customFormat="1" x14ac:dyDescent="0.2">
      <c r="B17" s="37">
        <v>18185</v>
      </c>
      <c r="C17" s="43">
        <v>18185</v>
      </c>
      <c r="D17" s="2"/>
      <c r="E17" s="26"/>
      <c r="F17" s="37">
        <v>18549</v>
      </c>
      <c r="G17" s="43">
        <v>18549</v>
      </c>
      <c r="H17" s="2"/>
      <c r="I17" s="53"/>
      <c r="J17" s="4">
        <v>12</v>
      </c>
      <c r="K17" s="12">
        <v>18549</v>
      </c>
      <c r="M17" s="18"/>
    </row>
    <row r="18" spans="2:13" s="1" customFormat="1" ht="15" thickBot="1" x14ac:dyDescent="0.25">
      <c r="B18" s="38">
        <v>18708</v>
      </c>
      <c r="C18" s="44">
        <v>18708</v>
      </c>
      <c r="D18" s="2"/>
      <c r="E18" s="26"/>
      <c r="F18" s="38">
        <v>19083</v>
      </c>
      <c r="G18" s="44">
        <v>19083</v>
      </c>
      <c r="H18" s="2"/>
      <c r="I18" s="53"/>
      <c r="J18" s="4">
        <v>13</v>
      </c>
      <c r="K18" s="12">
        <v>19083</v>
      </c>
      <c r="M18" s="18"/>
    </row>
    <row r="19" spans="2:13" s="1" customFormat="1" x14ac:dyDescent="0.2">
      <c r="B19" s="38">
        <v>19247</v>
      </c>
      <c r="C19" s="2"/>
      <c r="D19" s="2"/>
      <c r="E19" s="26"/>
      <c r="F19" s="38">
        <v>19632</v>
      </c>
      <c r="G19" s="2"/>
      <c r="H19" s="2"/>
      <c r="I19" s="53"/>
      <c r="J19" s="4">
        <v>14</v>
      </c>
      <c r="K19" s="12">
        <v>19632</v>
      </c>
      <c r="M19" s="18"/>
    </row>
    <row r="20" spans="2:13" s="1" customFormat="1" x14ac:dyDescent="0.2">
      <c r="B20" s="38">
        <v>19802</v>
      </c>
      <c r="C20" s="2"/>
      <c r="D20" s="2"/>
      <c r="E20" s="26"/>
      <c r="F20" s="38">
        <v>20198</v>
      </c>
      <c r="G20" s="2"/>
      <c r="H20" s="2"/>
      <c r="I20" s="53"/>
      <c r="J20" s="4">
        <v>15</v>
      </c>
      <c r="K20" s="12">
        <v>20198</v>
      </c>
      <c r="M20" s="18"/>
    </row>
    <row r="21" spans="2:13" s="1" customFormat="1" ht="15.75" thickBot="1" x14ac:dyDescent="0.3">
      <c r="B21" s="38">
        <v>20374</v>
      </c>
      <c r="C21" s="9">
        <v>6</v>
      </c>
      <c r="D21" s="2"/>
      <c r="E21" s="26"/>
      <c r="F21" s="38">
        <v>20781</v>
      </c>
      <c r="G21" s="9">
        <v>6</v>
      </c>
      <c r="H21" s="2"/>
      <c r="I21" s="53"/>
      <c r="J21" s="4">
        <v>16</v>
      </c>
      <c r="K21" s="12">
        <v>20781</v>
      </c>
      <c r="M21" s="18"/>
    </row>
    <row r="22" spans="2:13" s="1" customFormat="1" x14ac:dyDescent="0.2">
      <c r="B22" s="39">
        <v>20972</v>
      </c>
      <c r="C22" s="41">
        <v>20972</v>
      </c>
      <c r="D22" s="2"/>
      <c r="E22" s="26"/>
      <c r="F22" s="39">
        <v>21391</v>
      </c>
      <c r="G22" s="41">
        <v>21391</v>
      </c>
      <c r="H22" s="2"/>
      <c r="I22" s="53"/>
      <c r="J22" s="4">
        <v>17</v>
      </c>
      <c r="K22" s="12">
        <v>21391</v>
      </c>
      <c r="M22" s="18"/>
    </row>
    <row r="23" spans="2:13" s="1" customFormat="1" ht="15" thickBot="1" x14ac:dyDescent="0.25">
      <c r="B23" s="40">
        <v>21597</v>
      </c>
      <c r="C23" s="42">
        <v>21597</v>
      </c>
      <c r="D23" s="2"/>
      <c r="E23" s="26"/>
      <c r="F23" s="40">
        <v>22029</v>
      </c>
      <c r="G23" s="42">
        <v>22029</v>
      </c>
      <c r="H23" s="2"/>
      <c r="I23" s="53"/>
      <c r="J23" s="4">
        <v>18</v>
      </c>
      <c r="K23" s="12">
        <v>22029</v>
      </c>
      <c r="M23" s="18"/>
    </row>
    <row r="24" spans="2:13" s="1" customFormat="1" x14ac:dyDescent="0.2">
      <c r="B24" s="2"/>
      <c r="C24" s="42">
        <v>22240</v>
      </c>
      <c r="D24" s="2"/>
      <c r="E24" s="26"/>
      <c r="F24" s="2"/>
      <c r="G24" s="42">
        <v>22685</v>
      </c>
      <c r="H24" s="2"/>
      <c r="I24" s="53"/>
      <c r="J24" s="4">
        <v>19</v>
      </c>
      <c r="K24" s="12">
        <v>22685</v>
      </c>
      <c r="M24" s="18"/>
    </row>
    <row r="25" spans="2:13" s="1" customFormat="1" ht="15" thickBot="1" x14ac:dyDescent="0.25">
      <c r="B25" s="2"/>
      <c r="C25" s="42">
        <v>22927</v>
      </c>
      <c r="D25" s="2"/>
      <c r="E25" s="26"/>
      <c r="F25" s="2"/>
      <c r="G25" s="42">
        <v>23386</v>
      </c>
      <c r="H25" s="2"/>
      <c r="I25" s="53"/>
      <c r="J25" s="4">
        <v>20</v>
      </c>
      <c r="K25" s="12">
        <v>23386</v>
      </c>
      <c r="M25" s="18"/>
    </row>
    <row r="26" spans="2:13" s="1" customFormat="1" ht="15.75" thickBot="1" x14ac:dyDescent="0.3">
      <c r="B26" s="9">
        <v>7</v>
      </c>
      <c r="C26" s="45">
        <v>23585</v>
      </c>
      <c r="D26" s="2"/>
      <c r="E26" s="26"/>
      <c r="F26" s="9">
        <v>7</v>
      </c>
      <c r="G26" s="45">
        <v>24057</v>
      </c>
      <c r="H26" s="2"/>
      <c r="I26" s="53"/>
      <c r="J26" s="4">
        <v>21</v>
      </c>
      <c r="K26" s="12">
        <v>24057</v>
      </c>
      <c r="M26" s="18"/>
    </row>
    <row r="27" spans="2:13" s="1" customFormat="1" x14ac:dyDescent="0.2">
      <c r="B27" s="37">
        <v>24289</v>
      </c>
      <c r="C27" s="46">
        <v>24289</v>
      </c>
      <c r="D27" s="2"/>
      <c r="E27" s="26"/>
      <c r="F27" s="37">
        <v>24775</v>
      </c>
      <c r="G27" s="46">
        <v>24775</v>
      </c>
      <c r="H27" s="2"/>
      <c r="I27" s="53"/>
      <c r="J27" s="4">
        <v>22</v>
      </c>
      <c r="K27" s="12">
        <v>24775</v>
      </c>
      <c r="M27" s="18"/>
    </row>
    <row r="28" spans="2:13" s="1" customFormat="1" ht="15" thickBot="1" x14ac:dyDescent="0.25">
      <c r="B28" s="38">
        <v>25013</v>
      </c>
      <c r="C28" s="44">
        <v>25013</v>
      </c>
      <c r="D28" s="2"/>
      <c r="E28" s="26"/>
      <c r="F28" s="38">
        <v>25513</v>
      </c>
      <c r="G28" s="44">
        <v>25513</v>
      </c>
      <c r="H28" s="2"/>
      <c r="I28" s="53"/>
      <c r="J28" s="4">
        <v>23</v>
      </c>
      <c r="K28" s="12">
        <v>25513</v>
      </c>
      <c r="M28" s="18"/>
    </row>
    <row r="29" spans="2:13" s="1" customFormat="1" x14ac:dyDescent="0.2">
      <c r="B29" s="38">
        <v>25759</v>
      </c>
      <c r="C29" s="2"/>
      <c r="D29" s="2"/>
      <c r="E29" s="26"/>
      <c r="F29" s="38">
        <v>26274</v>
      </c>
      <c r="G29" s="2"/>
      <c r="H29" s="2"/>
      <c r="I29" s="53"/>
      <c r="J29" s="4">
        <v>24</v>
      </c>
      <c r="K29" s="12">
        <v>26274</v>
      </c>
      <c r="M29" s="18"/>
    </row>
    <row r="30" spans="2:13" s="1" customFormat="1" x14ac:dyDescent="0.2">
      <c r="B30" s="38">
        <v>26527</v>
      </c>
      <c r="C30" s="2"/>
      <c r="D30" s="2"/>
      <c r="E30" s="26"/>
      <c r="F30" s="38">
        <v>27057</v>
      </c>
      <c r="G30" s="2"/>
      <c r="H30" s="2"/>
      <c r="I30" s="53"/>
      <c r="J30" s="4">
        <v>25</v>
      </c>
      <c r="K30" s="12">
        <v>27057</v>
      </c>
      <c r="M30" s="18"/>
    </row>
    <row r="31" spans="2:13" s="1" customFormat="1" x14ac:dyDescent="0.2">
      <c r="B31" s="38">
        <v>27318</v>
      </c>
      <c r="C31" s="2"/>
      <c r="D31" s="2"/>
      <c r="E31" s="26"/>
      <c r="F31" s="38">
        <v>27864</v>
      </c>
      <c r="G31" s="2"/>
      <c r="H31" s="2"/>
      <c r="I31" s="53"/>
      <c r="J31" s="4">
        <v>26</v>
      </c>
      <c r="K31" s="12">
        <v>27864</v>
      </c>
      <c r="M31" s="18"/>
    </row>
    <row r="32" spans="2:13" s="1" customFormat="1" x14ac:dyDescent="0.2">
      <c r="B32" s="38"/>
      <c r="C32" s="2"/>
      <c r="D32" s="2"/>
      <c r="E32" s="26"/>
      <c r="F32" s="38"/>
      <c r="G32" s="2"/>
      <c r="H32" s="2"/>
      <c r="I32" s="53"/>
      <c r="J32" s="4">
        <v>27</v>
      </c>
      <c r="K32" s="12">
        <v>28695</v>
      </c>
      <c r="M32" s="18"/>
    </row>
    <row r="33" spans="2:13" s="1" customFormat="1" ht="15" thickBot="1" x14ac:dyDescent="0.25">
      <c r="B33" s="38">
        <v>28972</v>
      </c>
      <c r="C33" s="2"/>
      <c r="D33" s="2"/>
      <c r="E33" s="26"/>
      <c r="F33" s="38">
        <v>29552</v>
      </c>
      <c r="G33" s="2"/>
      <c r="H33" s="2"/>
      <c r="I33" s="53"/>
      <c r="J33" s="4">
        <v>28</v>
      </c>
      <c r="K33" s="12">
        <v>29552</v>
      </c>
      <c r="M33" s="18"/>
    </row>
    <row r="34" spans="2:13" s="1" customFormat="1" ht="15.75" thickBot="1" x14ac:dyDescent="0.3">
      <c r="B34" s="47">
        <v>29837</v>
      </c>
      <c r="C34" s="9">
        <v>8</v>
      </c>
      <c r="D34" s="2"/>
      <c r="E34" s="26"/>
      <c r="F34" s="47">
        <v>30434</v>
      </c>
      <c r="G34" s="9">
        <v>8</v>
      </c>
      <c r="H34" s="2"/>
      <c r="I34" s="53"/>
      <c r="J34" s="4">
        <v>29</v>
      </c>
      <c r="K34" s="12">
        <v>30434</v>
      </c>
      <c r="M34" s="18"/>
    </row>
    <row r="35" spans="2:13" s="1" customFormat="1" x14ac:dyDescent="0.2">
      <c r="B35" s="48">
        <v>30728</v>
      </c>
      <c r="C35" s="41">
        <v>30728</v>
      </c>
      <c r="D35" s="2"/>
      <c r="E35" s="26"/>
      <c r="F35" s="48">
        <v>31342</v>
      </c>
      <c r="G35" s="41">
        <v>31342</v>
      </c>
      <c r="H35" s="2"/>
      <c r="I35" s="53"/>
      <c r="J35" s="4">
        <v>30</v>
      </c>
      <c r="K35" s="12">
        <v>31342</v>
      </c>
      <c r="M35" s="18"/>
    </row>
    <row r="36" spans="2:13" s="1" customFormat="1" ht="15" thickBot="1" x14ac:dyDescent="0.25">
      <c r="B36" s="40">
        <v>31644</v>
      </c>
      <c r="C36" s="42">
        <v>31644</v>
      </c>
      <c r="D36" s="2"/>
      <c r="E36" s="26"/>
      <c r="F36" s="40">
        <v>32277</v>
      </c>
      <c r="G36" s="42">
        <v>32277</v>
      </c>
      <c r="H36" s="2"/>
      <c r="I36" s="53"/>
      <c r="J36" s="4">
        <v>31</v>
      </c>
      <c r="K36" s="12">
        <v>32277</v>
      </c>
      <c r="M36" s="18"/>
    </row>
    <row r="37" spans="2:13" s="1" customFormat="1" x14ac:dyDescent="0.2">
      <c r="B37" s="2"/>
      <c r="C37" s="42">
        <v>32590</v>
      </c>
      <c r="D37" s="2"/>
      <c r="E37" s="26"/>
      <c r="F37" s="2"/>
      <c r="G37" s="42">
        <v>33242</v>
      </c>
      <c r="H37" s="2"/>
      <c r="I37" s="53"/>
      <c r="J37" s="4">
        <v>32</v>
      </c>
      <c r="K37" s="12">
        <v>33242</v>
      </c>
      <c r="M37" s="18"/>
    </row>
    <row r="38" spans="2:13" s="1" customFormat="1" x14ac:dyDescent="0.2">
      <c r="B38" s="2"/>
      <c r="C38" s="42">
        <v>33562</v>
      </c>
      <c r="D38" s="2"/>
      <c r="E38" s="26"/>
      <c r="F38" s="2"/>
      <c r="G38" s="42">
        <v>34233</v>
      </c>
      <c r="H38" s="2"/>
      <c r="I38" s="53"/>
      <c r="J38" s="4">
        <v>33</v>
      </c>
      <c r="K38" s="12">
        <v>34233</v>
      </c>
      <c r="M38" s="18"/>
    </row>
    <row r="39" spans="2:13" s="1" customFormat="1" x14ac:dyDescent="0.2">
      <c r="B39" s="2"/>
      <c r="C39" s="42">
        <v>34565</v>
      </c>
      <c r="D39" s="2"/>
      <c r="E39" s="26"/>
      <c r="F39" s="2"/>
      <c r="G39" s="42">
        <v>35256</v>
      </c>
      <c r="H39" s="2"/>
      <c r="I39" s="53"/>
      <c r="J39" s="4">
        <v>34</v>
      </c>
      <c r="K39" s="12">
        <v>35256</v>
      </c>
      <c r="M39" s="18"/>
    </row>
    <row r="40" spans="2:13" s="1" customFormat="1" x14ac:dyDescent="0.2">
      <c r="B40" s="2"/>
      <c r="C40" s="42"/>
      <c r="D40" s="2"/>
      <c r="E40" s="26"/>
      <c r="F40" s="2"/>
      <c r="G40" s="42"/>
      <c r="H40" s="2"/>
      <c r="I40" s="53"/>
      <c r="J40" s="4">
        <v>35</v>
      </c>
      <c r="K40" s="12">
        <v>36309</v>
      </c>
      <c r="M40" s="18"/>
    </row>
    <row r="41" spans="2:13" s="1" customFormat="1" ht="15.75" thickBot="1" x14ac:dyDescent="0.3">
      <c r="B41" s="9">
        <v>9</v>
      </c>
      <c r="C41" s="42">
        <v>36661</v>
      </c>
      <c r="D41" s="2"/>
      <c r="E41" s="26"/>
      <c r="F41" s="9">
        <v>9</v>
      </c>
      <c r="G41" s="42">
        <v>37394</v>
      </c>
      <c r="H41" s="2"/>
      <c r="I41" s="53"/>
      <c r="J41" s="4">
        <v>36</v>
      </c>
      <c r="K41" s="12">
        <v>37394</v>
      </c>
      <c r="M41" s="18"/>
    </row>
    <row r="42" spans="2:13" s="1" customFormat="1" x14ac:dyDescent="0.2">
      <c r="B42" s="37">
        <v>37756</v>
      </c>
      <c r="C42" s="43">
        <v>37756</v>
      </c>
      <c r="D42" s="2"/>
      <c r="E42" s="26"/>
      <c r="F42" s="37">
        <v>38511</v>
      </c>
      <c r="G42" s="43">
        <v>38511</v>
      </c>
      <c r="H42" s="2"/>
      <c r="I42" s="53"/>
      <c r="J42" s="4">
        <v>37</v>
      </c>
      <c r="K42" s="12">
        <v>38511</v>
      </c>
      <c r="M42" s="18"/>
    </row>
    <row r="43" spans="2:13" s="1" customFormat="1" x14ac:dyDescent="0.2">
      <c r="B43" s="38">
        <v>38907</v>
      </c>
      <c r="C43" s="46">
        <v>38907</v>
      </c>
      <c r="D43" s="2"/>
      <c r="E43" s="26"/>
      <c r="F43" s="38">
        <v>39685</v>
      </c>
      <c r="G43" s="46">
        <v>39685</v>
      </c>
      <c r="H43" s="2"/>
      <c r="I43" s="53"/>
      <c r="J43" s="4">
        <v>38</v>
      </c>
      <c r="K43" s="12">
        <v>39685</v>
      </c>
      <c r="M43" s="18"/>
    </row>
    <row r="44" spans="2:13" s="1" customFormat="1" ht="15" thickBot="1" x14ac:dyDescent="0.25">
      <c r="B44" s="38"/>
      <c r="C44" s="44">
        <v>40046</v>
      </c>
      <c r="D44" s="2"/>
      <c r="E44" s="26"/>
      <c r="F44" s="38"/>
      <c r="G44" s="44">
        <v>40847</v>
      </c>
      <c r="H44" s="2"/>
      <c r="I44" s="53"/>
      <c r="J44" s="4">
        <v>39</v>
      </c>
      <c r="K44" s="12">
        <v>40847</v>
      </c>
      <c r="M44" s="18"/>
    </row>
    <row r="45" spans="2:13" s="1" customFormat="1" x14ac:dyDescent="0.2">
      <c r="B45" s="38">
        <v>41242</v>
      </c>
      <c r="C45" s="2"/>
      <c r="D45" s="2"/>
      <c r="E45" s="26"/>
      <c r="F45" s="38">
        <v>42067</v>
      </c>
      <c r="G45" s="2"/>
      <c r="H45" s="2"/>
      <c r="I45" s="53"/>
      <c r="J45" s="4">
        <v>40</v>
      </c>
      <c r="K45" s="12">
        <v>42067</v>
      </c>
      <c r="M45" s="18"/>
    </row>
    <row r="46" spans="2:13" s="1" customFormat="1" x14ac:dyDescent="0.2">
      <c r="B46" s="38">
        <v>42476</v>
      </c>
      <c r="C46" s="2"/>
      <c r="D46" s="2"/>
      <c r="E46" s="26"/>
      <c r="F46" s="38">
        <v>43325</v>
      </c>
      <c r="G46" s="2"/>
      <c r="H46" s="2"/>
      <c r="I46" s="53"/>
      <c r="J46" s="4">
        <v>41</v>
      </c>
      <c r="K46" s="12">
        <v>43325</v>
      </c>
      <c r="M46" s="18"/>
    </row>
    <row r="47" spans="2:13" s="1" customFormat="1" x14ac:dyDescent="0.2">
      <c r="B47" s="38"/>
      <c r="C47" s="2"/>
      <c r="D47" s="2"/>
      <c r="E47" s="26"/>
      <c r="F47" s="38"/>
      <c r="G47" s="2"/>
      <c r="H47" s="2"/>
      <c r="I47" s="53"/>
      <c r="J47" s="4">
        <v>42</v>
      </c>
      <c r="K47" s="12">
        <v>44620</v>
      </c>
      <c r="M47" s="18"/>
    </row>
    <row r="48" spans="2:13" s="1" customFormat="1" ht="15.75" thickBot="1" x14ac:dyDescent="0.3">
      <c r="B48" s="38">
        <v>45053</v>
      </c>
      <c r="C48" s="9">
        <v>10</v>
      </c>
      <c r="D48" s="2"/>
      <c r="E48" s="26"/>
      <c r="F48" s="38">
        <v>45954</v>
      </c>
      <c r="G48" s="9">
        <v>10</v>
      </c>
      <c r="H48" s="2"/>
      <c r="I48" s="53"/>
      <c r="J48" s="4">
        <v>43</v>
      </c>
      <c r="K48" s="12">
        <v>45954</v>
      </c>
      <c r="M48" s="18"/>
    </row>
    <row r="49" spans="2:16" s="1" customFormat="1" x14ac:dyDescent="0.2">
      <c r="B49" s="39">
        <v>46400</v>
      </c>
      <c r="C49" s="41">
        <v>46400</v>
      </c>
      <c r="D49" s="2"/>
      <c r="E49" s="26"/>
      <c r="F49" s="39">
        <v>47328</v>
      </c>
      <c r="G49" s="41">
        <v>47328</v>
      </c>
      <c r="H49" s="2"/>
      <c r="I49" s="53"/>
      <c r="J49" s="4">
        <v>44</v>
      </c>
      <c r="K49" s="12">
        <v>47328</v>
      </c>
      <c r="M49" s="18"/>
    </row>
    <row r="50" spans="2:16" s="1" customFormat="1" x14ac:dyDescent="0.2">
      <c r="B50" s="48">
        <v>47787</v>
      </c>
      <c r="C50" s="42"/>
      <c r="D50" s="2"/>
      <c r="E50" s="26"/>
      <c r="F50" s="48">
        <v>48743</v>
      </c>
      <c r="G50" s="42"/>
      <c r="H50" s="2"/>
      <c r="I50" s="53"/>
      <c r="J50" s="4">
        <v>45</v>
      </c>
      <c r="K50" s="12">
        <v>48743</v>
      </c>
      <c r="M50" s="18"/>
    </row>
    <row r="51" spans="2:16" s="1" customFormat="1" x14ac:dyDescent="0.2">
      <c r="B51" s="48">
        <v>49216</v>
      </c>
      <c r="C51" s="42">
        <v>49216</v>
      </c>
      <c r="D51" s="2"/>
      <c r="E51" s="26"/>
      <c r="F51" s="48">
        <v>50200</v>
      </c>
      <c r="G51" s="42">
        <v>50200</v>
      </c>
      <c r="H51" s="2"/>
      <c r="I51" s="53"/>
      <c r="J51" s="4">
        <v>46</v>
      </c>
      <c r="K51" s="12">
        <v>50200</v>
      </c>
      <c r="M51" s="18"/>
    </row>
    <row r="52" spans="2:16" s="1" customFormat="1" ht="15" thickBot="1" x14ac:dyDescent="0.25">
      <c r="B52" s="40">
        <v>50688</v>
      </c>
      <c r="C52" s="42">
        <v>50688</v>
      </c>
      <c r="D52" s="2"/>
      <c r="E52" s="26"/>
      <c r="F52" s="40">
        <v>51702</v>
      </c>
      <c r="G52" s="42">
        <v>51702</v>
      </c>
      <c r="H52" s="2"/>
      <c r="I52" s="53"/>
      <c r="J52" s="4">
        <v>47</v>
      </c>
      <c r="K52" s="12">
        <v>51702</v>
      </c>
      <c r="M52" s="18"/>
    </row>
    <row r="53" spans="2:16" s="1" customFormat="1" x14ac:dyDescent="0.2">
      <c r="B53" s="2"/>
      <c r="C53" s="42">
        <v>52204</v>
      </c>
      <c r="D53" s="2"/>
      <c r="E53" s="26"/>
      <c r="F53" s="2"/>
      <c r="G53" s="42">
        <v>53248</v>
      </c>
      <c r="H53" s="2"/>
      <c r="I53" s="53"/>
      <c r="J53" s="4">
        <v>48</v>
      </c>
      <c r="K53" s="12">
        <v>53248</v>
      </c>
      <c r="M53" s="18"/>
    </row>
    <row r="54" spans="2:16" s="1" customFormat="1" ht="15" thickBot="1" x14ac:dyDescent="0.25">
      <c r="B54" s="2"/>
      <c r="C54" s="42">
        <v>53765</v>
      </c>
      <c r="D54" s="2"/>
      <c r="E54" s="26"/>
      <c r="F54" s="2"/>
      <c r="G54" s="42">
        <v>54841</v>
      </c>
      <c r="H54" s="2"/>
      <c r="I54" s="53"/>
      <c r="J54" s="4">
        <v>49</v>
      </c>
      <c r="K54" s="12">
        <v>54841</v>
      </c>
      <c r="M54" s="18"/>
      <c r="N54" s="2"/>
    </row>
    <row r="55" spans="2:16" s="1" customFormat="1" ht="15" thickBot="1" x14ac:dyDescent="0.25">
      <c r="B55" s="2"/>
      <c r="C55" s="45">
        <v>55375</v>
      </c>
      <c r="D55" s="2"/>
      <c r="E55" s="26"/>
      <c r="F55" s="2"/>
      <c r="G55" s="45">
        <v>56482</v>
      </c>
      <c r="H55" s="2"/>
      <c r="I55" s="53"/>
      <c r="J55" s="4">
        <v>50</v>
      </c>
      <c r="K55" s="56">
        <v>56482</v>
      </c>
      <c r="M55" s="18"/>
      <c r="P55" s="56">
        <f>ROUNDUP(C55/100*2+C55,0)</f>
        <v>56483</v>
      </c>
    </row>
    <row r="56" spans="2:16" s="1" customFormat="1" ht="15" thickBot="1" x14ac:dyDescent="0.25">
      <c r="B56" s="2"/>
      <c r="C56" s="49">
        <v>57031</v>
      </c>
      <c r="D56" s="2"/>
      <c r="E56" s="26"/>
      <c r="F56" s="2"/>
      <c r="G56" s="49">
        <v>58172</v>
      </c>
      <c r="H56" s="2"/>
      <c r="I56" s="53"/>
      <c r="J56" s="4">
        <v>51</v>
      </c>
      <c r="K56" s="57">
        <v>58172</v>
      </c>
      <c r="M56" s="18"/>
      <c r="P56" s="56">
        <f t="shared" ref="P56:P63" si="0">ROUNDUP(C56/100*2+C56,0)</f>
        <v>58172</v>
      </c>
    </row>
    <row r="57" spans="2:16" s="1" customFormat="1" ht="15" thickBot="1" x14ac:dyDescent="0.25">
      <c r="B57" s="2"/>
      <c r="C57" s="49">
        <v>58738</v>
      </c>
      <c r="D57" s="2"/>
      <c r="E57" s="26"/>
      <c r="F57" s="2"/>
      <c r="G57" s="49">
        <v>59913</v>
      </c>
      <c r="H57" s="2"/>
      <c r="I57" s="53"/>
      <c r="J57" s="4">
        <v>52</v>
      </c>
      <c r="K57" s="57">
        <v>59913</v>
      </c>
      <c r="M57" s="18"/>
      <c r="P57" s="56">
        <f t="shared" si="0"/>
        <v>59913</v>
      </c>
    </row>
    <row r="58" spans="2:16" s="1" customFormat="1" ht="15" thickBot="1" x14ac:dyDescent="0.25">
      <c r="B58" s="2"/>
      <c r="C58" s="49">
        <v>60496</v>
      </c>
      <c r="D58" s="2"/>
      <c r="E58" s="26"/>
      <c r="F58" s="2"/>
      <c r="G58" s="49">
        <v>61706</v>
      </c>
      <c r="H58" s="2"/>
      <c r="I58" s="53"/>
      <c r="J58" s="4">
        <v>53</v>
      </c>
      <c r="K58" s="57">
        <v>61706</v>
      </c>
      <c r="M58" s="18"/>
      <c r="P58" s="56">
        <f t="shared" si="0"/>
        <v>61706</v>
      </c>
    </row>
    <row r="59" spans="2:16" s="1" customFormat="1" ht="15" thickBot="1" x14ac:dyDescent="0.25">
      <c r="B59" s="2"/>
      <c r="C59" s="49">
        <v>62306</v>
      </c>
      <c r="D59" s="2"/>
      <c r="E59" s="26"/>
      <c r="F59" s="2"/>
      <c r="G59" s="49">
        <v>63553</v>
      </c>
      <c r="H59" s="2"/>
      <c r="I59" s="53"/>
      <c r="J59" s="4">
        <v>54</v>
      </c>
      <c r="K59" s="57">
        <v>63553</v>
      </c>
      <c r="M59" s="18"/>
      <c r="P59" s="56">
        <f t="shared" si="0"/>
        <v>63553</v>
      </c>
    </row>
    <row r="60" spans="2:16" s="1" customFormat="1" ht="15" thickBot="1" x14ac:dyDescent="0.25">
      <c r="B60" s="2"/>
      <c r="C60" s="49">
        <v>64171</v>
      </c>
      <c r="D60" s="2"/>
      <c r="E60" s="26"/>
      <c r="F60" s="2"/>
      <c r="G60" s="49">
        <v>65455</v>
      </c>
      <c r="H60" s="2"/>
      <c r="I60" s="53"/>
      <c r="J60" s="4">
        <v>55</v>
      </c>
      <c r="K60" s="57">
        <v>65455</v>
      </c>
      <c r="M60" s="18"/>
      <c r="P60" s="56">
        <f t="shared" si="0"/>
        <v>65455</v>
      </c>
    </row>
    <row r="61" spans="2:16" s="1" customFormat="1" ht="15" thickBot="1" x14ac:dyDescent="0.25">
      <c r="B61" s="2"/>
      <c r="C61" s="49">
        <v>66092</v>
      </c>
      <c r="D61" s="2"/>
      <c r="E61" s="26"/>
      <c r="F61" s="2"/>
      <c r="G61" s="49">
        <v>67414</v>
      </c>
      <c r="H61" s="2"/>
      <c r="I61" s="53"/>
      <c r="J61" s="4">
        <v>56</v>
      </c>
      <c r="K61" s="57">
        <v>67414</v>
      </c>
      <c r="M61" s="18"/>
      <c r="P61" s="56">
        <f t="shared" si="0"/>
        <v>67414</v>
      </c>
    </row>
    <row r="62" spans="2:16" s="1" customFormat="1" ht="15" thickBot="1" x14ac:dyDescent="0.25">
      <c r="B62" s="2"/>
      <c r="C62" s="49">
        <v>68069</v>
      </c>
      <c r="D62" s="2"/>
      <c r="E62" s="26"/>
      <c r="F62" s="2"/>
      <c r="G62" s="49">
        <v>69431</v>
      </c>
      <c r="H62" s="2"/>
      <c r="I62" s="53"/>
      <c r="J62" s="4">
        <v>57</v>
      </c>
      <c r="K62" s="57">
        <v>69431</v>
      </c>
      <c r="M62" s="18"/>
      <c r="P62" s="56">
        <f t="shared" si="0"/>
        <v>69431</v>
      </c>
    </row>
    <row r="63" spans="2:16" s="1" customFormat="1" ht="15" thickBot="1" x14ac:dyDescent="0.25">
      <c r="B63" s="21"/>
      <c r="C63" s="50">
        <v>70107</v>
      </c>
      <c r="D63" s="21"/>
      <c r="E63" s="26"/>
      <c r="F63" s="21"/>
      <c r="G63" s="50">
        <v>71510</v>
      </c>
      <c r="H63" s="21"/>
      <c r="I63" s="53"/>
      <c r="J63" s="5">
        <v>58</v>
      </c>
      <c r="K63" s="58">
        <v>71510</v>
      </c>
      <c r="M63" s="18"/>
      <c r="P63" s="56">
        <f t="shared" si="0"/>
        <v>71510</v>
      </c>
    </row>
    <row r="64" spans="2:16" ht="6" customHeight="1" thickTop="1" x14ac:dyDescent="0.2">
      <c r="K64" s="14"/>
      <c r="L64" s="14"/>
      <c r="M64" s="14"/>
    </row>
    <row r="65" spans="1:11" ht="12.75" x14ac:dyDescent="0.2">
      <c r="A65" s="15">
        <v>1</v>
      </c>
      <c r="B65" s="61" t="s">
        <v>5</v>
      </c>
      <c r="C65" s="61"/>
      <c r="D65" s="61"/>
      <c r="E65" s="61"/>
      <c r="F65" s="61"/>
      <c r="G65" s="61"/>
      <c r="H65" s="61"/>
      <c r="I65" s="61"/>
      <c r="J65" s="61"/>
      <c r="K65" s="61"/>
    </row>
    <row r="66" spans="1:11" ht="12.75" x14ac:dyDescent="0.2">
      <c r="A66" s="15">
        <v>2</v>
      </c>
      <c r="B66" s="15" t="s">
        <v>6</v>
      </c>
      <c r="C66" s="16"/>
      <c r="D66" s="17"/>
      <c r="E66" s="17"/>
      <c r="F66" s="17"/>
      <c r="G66" s="17"/>
      <c r="H66" s="17"/>
      <c r="I66" s="17"/>
      <c r="J66" s="17"/>
      <c r="K66" s="17"/>
    </row>
    <row r="67" spans="1:11" ht="12.75" x14ac:dyDescent="0.2">
      <c r="A67" s="15">
        <v>3</v>
      </c>
      <c r="B67" s="15" t="s">
        <v>7</v>
      </c>
      <c r="C67" s="16"/>
      <c r="D67" s="17"/>
      <c r="E67" s="17"/>
      <c r="F67" s="17"/>
      <c r="G67" s="17"/>
      <c r="H67" s="17"/>
      <c r="I67" s="17"/>
      <c r="J67" s="17"/>
      <c r="K67" s="17"/>
    </row>
    <row r="68" spans="1:11" ht="12.75" x14ac:dyDescent="0.2">
      <c r="A68" s="15">
        <v>4</v>
      </c>
      <c r="B68" s="15" t="s">
        <v>8</v>
      </c>
      <c r="C68" s="16"/>
      <c r="D68" s="17"/>
      <c r="E68" s="17"/>
      <c r="F68" s="17"/>
      <c r="G68" s="17"/>
      <c r="H68" s="17"/>
      <c r="I68" s="17"/>
      <c r="J68" s="17"/>
      <c r="K68" s="17"/>
    </row>
    <row r="69" spans="1:11" ht="12.75" x14ac:dyDescent="0.2">
      <c r="A69" s="15">
        <v>5</v>
      </c>
      <c r="B69" s="15" t="s">
        <v>10</v>
      </c>
      <c r="C69" s="16"/>
      <c r="D69" s="17"/>
      <c r="E69" s="17"/>
      <c r="F69" s="17"/>
      <c r="G69" s="17"/>
      <c r="H69" s="17"/>
      <c r="I69" s="17"/>
      <c r="J69" s="17"/>
      <c r="K69" s="17"/>
    </row>
    <row r="70" spans="1:11" x14ac:dyDescent="0.2">
      <c r="A70" s="15">
        <v>6</v>
      </c>
      <c r="B70" s="15" t="s">
        <v>9</v>
      </c>
    </row>
    <row r="72" spans="1:11" x14ac:dyDescent="0.2">
      <c r="A72" s="68">
        <v>41810</v>
      </c>
    </row>
  </sheetData>
  <sheetProtection password="D8A1" sheet="1" objects="1" scenarios="1"/>
  <mergeCells count="6">
    <mergeCell ref="L3:N3"/>
    <mergeCell ref="B65:K65"/>
    <mergeCell ref="B3:D3"/>
    <mergeCell ref="B4:D4"/>
    <mergeCell ref="F3:H3"/>
    <mergeCell ref="F4:H4"/>
  </mergeCells>
  <phoneticPr fontId="0" type="noConversion"/>
  <printOptions horizontalCentered="1" verticalCentered="1" gridLines="1"/>
  <pageMargins left="0.55118110236220474" right="0.59055118110236227" top="0.11811023622047245" bottom="0.11811023622047245" header="0.31496062992125984" footer="0.23622047244094491"/>
  <pageSetup paperSize="9"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vidgeoco</dc:creator>
  <cp:lastModifiedBy>powerba</cp:lastModifiedBy>
  <cp:lastPrinted>2014-06-17T10:46:17Z</cp:lastPrinted>
  <dcterms:created xsi:type="dcterms:W3CDTF">2008-10-13T12:28:28Z</dcterms:created>
  <dcterms:modified xsi:type="dcterms:W3CDTF">2014-06-20T09:33:38Z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