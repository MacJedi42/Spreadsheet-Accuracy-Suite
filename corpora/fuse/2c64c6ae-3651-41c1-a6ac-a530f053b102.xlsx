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bobek\Documents\Office 15\Downloads\Demos\"/>
    </mc:Choice>
  </mc:AlternateContent>
  <bookViews>
    <workbookView showHorizontalScroll="0" showVerticalScroll="0" xWindow="0" yWindow="0" windowWidth="24000" windowHeight="9735"/>
  </bookViews>
  <sheets>
    <sheet name="Časová osa" sheetId="7" r:id="rId1"/>
    <sheet name="Prodeje aut 1. kvartál" sheetId="6" r:id="rId2"/>
    <sheet name="Demo" sheetId="9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G100" i="9" l="1"/>
  <c r="I100" i="9" s="1"/>
  <c r="G99" i="9"/>
  <c r="I99" i="9" s="1"/>
  <c r="G98" i="9"/>
  <c r="I98" i="9" s="1"/>
  <c r="G97" i="9"/>
  <c r="I97" i="9" s="1"/>
  <c r="G96" i="9"/>
  <c r="I96" i="9" s="1"/>
  <c r="G95" i="9"/>
  <c r="I95" i="9" s="1"/>
  <c r="G94" i="9"/>
  <c r="I94" i="9" s="1"/>
  <c r="G93" i="9"/>
  <c r="I93" i="9" s="1"/>
  <c r="G92" i="9"/>
  <c r="I92" i="9" s="1"/>
  <c r="G91" i="9"/>
  <c r="I91" i="9" s="1"/>
  <c r="G90" i="9"/>
  <c r="I90" i="9" s="1"/>
  <c r="G89" i="9"/>
  <c r="I89" i="9" s="1"/>
  <c r="G88" i="9"/>
  <c r="I88" i="9" s="1"/>
  <c r="G87" i="9"/>
  <c r="I87" i="9" s="1"/>
  <c r="G86" i="9"/>
  <c r="I86" i="9" s="1"/>
  <c r="G85" i="9"/>
  <c r="I85" i="9" s="1"/>
  <c r="G84" i="9"/>
  <c r="I84" i="9" s="1"/>
  <c r="G83" i="9"/>
  <c r="I83" i="9" s="1"/>
  <c r="G82" i="9"/>
  <c r="I82" i="9" s="1"/>
  <c r="G81" i="9"/>
  <c r="I81" i="9" s="1"/>
  <c r="G80" i="9"/>
  <c r="I80" i="9" s="1"/>
  <c r="G79" i="9"/>
  <c r="I79" i="9" s="1"/>
  <c r="G78" i="9"/>
  <c r="I78" i="9" s="1"/>
  <c r="G77" i="9"/>
  <c r="I77" i="9" s="1"/>
  <c r="G76" i="9"/>
  <c r="I76" i="9" s="1"/>
  <c r="G75" i="9"/>
  <c r="I75" i="9" s="1"/>
  <c r="G74" i="9"/>
  <c r="I74" i="9" s="1"/>
  <c r="G73" i="9"/>
  <c r="I73" i="9" s="1"/>
  <c r="G72" i="9"/>
  <c r="I72" i="9" s="1"/>
  <c r="G71" i="9"/>
  <c r="I71" i="9" s="1"/>
  <c r="G70" i="9"/>
  <c r="I70" i="9" s="1"/>
  <c r="G69" i="9"/>
  <c r="I69" i="9" s="1"/>
  <c r="G68" i="9"/>
  <c r="I68" i="9" s="1"/>
  <c r="G67" i="9"/>
  <c r="I67" i="9" s="1"/>
  <c r="G66" i="9"/>
  <c r="I66" i="9" s="1"/>
  <c r="G65" i="9"/>
  <c r="I65" i="9" s="1"/>
  <c r="G64" i="9"/>
  <c r="I64" i="9" s="1"/>
  <c r="G63" i="9"/>
  <c r="I63" i="9" s="1"/>
  <c r="G62" i="9"/>
  <c r="I62" i="9" s="1"/>
  <c r="G61" i="9"/>
  <c r="I61" i="9" s="1"/>
  <c r="G60" i="9"/>
  <c r="I60" i="9" s="1"/>
  <c r="G59" i="9"/>
  <c r="I59" i="9" s="1"/>
  <c r="G58" i="9"/>
  <c r="I58" i="9" s="1"/>
  <c r="G57" i="9"/>
  <c r="I57" i="9" s="1"/>
  <c r="G56" i="9"/>
  <c r="I56" i="9" s="1"/>
  <c r="G55" i="9"/>
  <c r="I55" i="9" s="1"/>
  <c r="G54" i="9"/>
  <c r="I54" i="9" s="1"/>
  <c r="G53" i="9"/>
  <c r="I53" i="9" s="1"/>
  <c r="G52" i="9"/>
  <c r="I52" i="9" s="1"/>
  <c r="G51" i="9"/>
  <c r="I51" i="9" s="1"/>
  <c r="G50" i="9"/>
  <c r="I50" i="9" s="1"/>
  <c r="G49" i="9"/>
  <c r="I49" i="9" s="1"/>
  <c r="G48" i="9"/>
  <c r="I48" i="9" s="1"/>
  <c r="G47" i="9"/>
  <c r="I47" i="9" s="1"/>
  <c r="G46" i="9"/>
  <c r="I46" i="9" s="1"/>
  <c r="G45" i="9"/>
  <c r="I45" i="9" s="1"/>
  <c r="G44" i="9"/>
  <c r="I44" i="9" s="1"/>
  <c r="G43" i="9"/>
  <c r="I43" i="9" s="1"/>
  <c r="G42" i="9"/>
  <c r="I42" i="9" s="1"/>
  <c r="G41" i="9"/>
  <c r="I41" i="9" s="1"/>
  <c r="G40" i="9"/>
  <c r="I40" i="9" s="1"/>
  <c r="G39" i="9"/>
  <c r="I39" i="9" s="1"/>
  <c r="G38" i="9"/>
  <c r="I38" i="9" s="1"/>
  <c r="G37" i="9"/>
  <c r="I37" i="9" s="1"/>
  <c r="G36" i="9"/>
  <c r="I36" i="9" s="1"/>
  <c r="G35" i="9"/>
  <c r="I35" i="9" s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" i="9"/>
  <c r="I3" i="9" s="1"/>
  <c r="G2" i="9"/>
  <c r="I2" i="9" s="1"/>
  <c r="G76" i="6" l="1"/>
  <c r="I76" i="6" s="1"/>
  <c r="G77" i="6"/>
  <c r="I77" i="6" s="1"/>
  <c r="G78" i="6"/>
  <c r="I78" i="6" s="1"/>
  <c r="G79" i="6"/>
  <c r="I79" i="6" s="1"/>
  <c r="G80" i="6"/>
  <c r="I80" i="6" s="1"/>
  <c r="G81" i="6"/>
  <c r="I81" i="6" s="1"/>
  <c r="G82" i="6"/>
  <c r="I82" i="6" s="1"/>
  <c r="G83" i="6"/>
  <c r="I83" i="6" s="1"/>
  <c r="G84" i="6"/>
  <c r="I84" i="6" s="1"/>
  <c r="G85" i="6"/>
  <c r="I85" i="6" s="1"/>
  <c r="G86" i="6"/>
  <c r="I86" i="6" s="1"/>
  <c r="G87" i="6"/>
  <c r="I87" i="6" s="1"/>
  <c r="G88" i="6"/>
  <c r="I88" i="6" s="1"/>
  <c r="G89" i="6"/>
  <c r="I89" i="6" s="1"/>
  <c r="G90" i="6"/>
  <c r="I90" i="6" s="1"/>
  <c r="G91" i="6"/>
  <c r="I91" i="6" s="1"/>
  <c r="G92" i="6"/>
  <c r="I92" i="6" s="1"/>
  <c r="G93" i="6"/>
  <c r="I93" i="6" s="1"/>
  <c r="G94" i="6"/>
  <c r="I94" i="6" s="1"/>
  <c r="G95" i="6"/>
  <c r="I95" i="6" s="1"/>
  <c r="G96" i="6"/>
  <c r="I96" i="6" s="1"/>
  <c r="G97" i="6"/>
  <c r="I97" i="6" s="1"/>
  <c r="G98" i="6"/>
  <c r="I98" i="6" s="1"/>
  <c r="G99" i="6"/>
  <c r="I99" i="6" s="1"/>
  <c r="G100" i="6"/>
  <c r="I100" i="6" s="1"/>
  <c r="G75" i="6"/>
  <c r="I75" i="6" s="1"/>
  <c r="G74" i="6"/>
  <c r="I74" i="6" s="1"/>
  <c r="G73" i="6"/>
  <c r="I73" i="6" s="1"/>
  <c r="G72" i="6"/>
  <c r="I72" i="6" s="1"/>
  <c r="G71" i="6"/>
  <c r="I71" i="6" s="1"/>
  <c r="G70" i="6"/>
  <c r="I70" i="6" s="1"/>
  <c r="G69" i="6"/>
  <c r="I69" i="6" s="1"/>
  <c r="G68" i="6"/>
  <c r="I68" i="6" s="1"/>
  <c r="G67" i="6"/>
  <c r="I67" i="6" s="1"/>
  <c r="G66" i="6"/>
  <c r="I66" i="6" s="1"/>
  <c r="G65" i="6"/>
  <c r="I65" i="6" s="1"/>
  <c r="G64" i="6"/>
  <c r="I64" i="6" s="1"/>
  <c r="G63" i="6"/>
  <c r="I63" i="6" s="1"/>
  <c r="G62" i="6"/>
  <c r="I62" i="6" s="1"/>
  <c r="G61" i="6"/>
  <c r="I61" i="6" s="1"/>
  <c r="G60" i="6"/>
  <c r="I60" i="6" s="1"/>
  <c r="G59" i="6"/>
  <c r="I59" i="6" s="1"/>
  <c r="G58" i="6"/>
  <c r="I58" i="6" s="1"/>
  <c r="G57" i="6"/>
  <c r="I57" i="6" s="1"/>
  <c r="G56" i="6"/>
  <c r="I56" i="6" s="1"/>
  <c r="G55" i="6"/>
  <c r="I55" i="6" s="1"/>
  <c r="G54" i="6"/>
  <c r="I54" i="6" s="1"/>
  <c r="G53" i="6"/>
  <c r="I53" i="6" s="1"/>
  <c r="G52" i="6"/>
  <c r="I52" i="6" s="1"/>
  <c r="G51" i="6"/>
  <c r="I51" i="6" s="1"/>
  <c r="G50" i="6"/>
  <c r="I50" i="6" s="1"/>
  <c r="G49" i="6"/>
  <c r="I49" i="6" s="1"/>
  <c r="G48" i="6"/>
  <c r="I48" i="6" s="1"/>
  <c r="G47" i="6"/>
  <c r="I47" i="6" s="1"/>
  <c r="G46" i="6"/>
  <c r="I46" i="6" s="1"/>
  <c r="G45" i="6"/>
  <c r="I45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G2" i="6"/>
  <c r="I2" i="6" s="1"/>
</calcChain>
</file>

<file path=xl/sharedStrings.xml><?xml version="1.0" encoding="utf-8"?>
<sst xmlns="http://schemas.openxmlformats.org/spreadsheetml/2006/main" count="726" uniqueCount="60">
  <si>
    <t>Kraj</t>
  </si>
  <si>
    <t>Značka</t>
  </si>
  <si>
    <t>Praha</t>
  </si>
  <si>
    <t>Středočeský</t>
  </si>
  <si>
    <t>Peugeot</t>
  </si>
  <si>
    <t>Citroen</t>
  </si>
  <si>
    <t>Renault</t>
  </si>
  <si>
    <t>Audi</t>
  </si>
  <si>
    <t>Škoda</t>
  </si>
  <si>
    <t>Dacia</t>
  </si>
  <si>
    <t>Mazda</t>
  </si>
  <si>
    <t>Toyota</t>
  </si>
  <si>
    <t>Mercedes</t>
  </si>
  <si>
    <t>Kia</t>
  </si>
  <si>
    <t>Hyundai</t>
  </si>
  <si>
    <t>Ford</t>
  </si>
  <si>
    <t>Opel</t>
  </si>
  <si>
    <t>karel.vymetal@bestcars.cz</t>
  </si>
  <si>
    <t>ivan.hrozny@bestcars.cz</t>
  </si>
  <si>
    <t>jan.novak@bestcar.cz</t>
  </si>
  <si>
    <t>petr.dorazil@bestcars.cz</t>
  </si>
  <si>
    <t>Ilja.prochazka@bestcars.cz</t>
  </si>
  <si>
    <t>ruzena.pechova@bestcars.cz</t>
  </si>
  <si>
    <t>ales.ruzicka@bestcars.cz</t>
  </si>
  <si>
    <t>milan.nadenicek@bestcars.cz</t>
  </si>
  <si>
    <t>jan.mraz@bestcars.cz</t>
  </si>
  <si>
    <t>alois.geza@bestcars.cz</t>
  </si>
  <si>
    <t>jiri.zemrel@bestcars.cz</t>
  </si>
  <si>
    <t>dusan.vyborny@bestcars.cz</t>
  </si>
  <si>
    <t>karel.zavrel@bestcars.cz</t>
  </si>
  <si>
    <t>marek.novorad@bestcars.cz</t>
  </si>
  <si>
    <t>Datum</t>
  </si>
  <si>
    <t>Cena nákladová</t>
  </si>
  <si>
    <t>Marže</t>
  </si>
  <si>
    <t>Cena prodejní</t>
  </si>
  <si>
    <t>Marže %</t>
  </si>
  <si>
    <t>Severomoravský</t>
  </si>
  <si>
    <t>Jihomoravský</t>
  </si>
  <si>
    <t>Západočeský</t>
  </si>
  <si>
    <t>Severočeský</t>
  </si>
  <si>
    <t>Východočeský</t>
  </si>
  <si>
    <t>Jihočeský</t>
  </si>
  <si>
    <t>Row Labels</t>
  </si>
  <si>
    <t>Grand Total</t>
  </si>
  <si>
    <t>Sum of Marže</t>
  </si>
  <si>
    <t>Obchodník</t>
  </si>
  <si>
    <t>Karel Vymetal</t>
  </si>
  <si>
    <t>Ivan Hrozny</t>
  </si>
  <si>
    <t>Jan Novak</t>
  </si>
  <si>
    <t>Petr Dorazil</t>
  </si>
  <si>
    <t>Ilja Prochazka</t>
  </si>
  <si>
    <t>Ruzena Pechova</t>
  </si>
  <si>
    <t>Ales Ruzicka</t>
  </si>
  <si>
    <t>Milan Nadenicek</t>
  </si>
  <si>
    <t>Jan Mraz</t>
  </si>
  <si>
    <t>Alois Geza</t>
  </si>
  <si>
    <t>Jiri Zemrel</t>
  </si>
  <si>
    <t>Dusan Vyborny</t>
  </si>
  <si>
    <t>Marek Novorad</t>
  </si>
  <si>
    <t>Karel Zavrel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</si>
</sst>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[Prodeje aut 1. kvartál.xlsx]Časová osa!PivotTable3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'Časová osa'!$B$3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'Časová osa'!$A$4:$A$18</c:f>
              <c:strCache>
                <c:ptCount val="14"/>
                <c:pt idx="0">
                  <c:v>Ales Ruzicka</c:v>
                </c:pt>
                <c:pt idx="1">
                  <c:v>Alois Geza</c:v>
                </c:pt>
                <c:pt idx="2">
                  <c:v>Dusan Vyborny</c:v>
                </c:pt>
                <c:pt idx="3">
                  <c:v>Ilja Prochazka</c:v>
                </c:pt>
                <c:pt idx="4">
                  <c:v>Ivan Hrozny</c:v>
                </c:pt>
                <c:pt idx="5">
                  <c:v>Jan Mraz</c:v>
                </c:pt>
                <c:pt idx="6">
                  <c:v>Jan Novak</c:v>
                </c:pt>
                <c:pt idx="7">
                  <c:v>Jiri Zemrel</c:v>
                </c:pt>
                <c:pt idx="8">
                  <c:v>Karel Vymetal</c:v>
                </c:pt>
                <c:pt idx="9">
                  <c:v>Karel Zavrel</c:v>
                </c:pt>
                <c:pt idx="10">
                  <c:v>Marek Novorad</c:v>
                </c:pt>
                <c:pt idx="11">
                  <c:v>Milan Nadenicek</c:v>
                </c:pt>
                <c:pt idx="12">
                  <c:v>Petr Dorazil</c:v>
                </c:pt>
                <c:pt idx="13">
                  <c:v>Ruzena Pechova</c:v>
                </c:pt>
              </c:strCache>
            </c:strRef>
          </c:cat>
          <c:val>
            <c:numRef>
              <c:f>'Časová osa'!$B$4:$B$18</c:f>
              <c:numCache>
                <c:formatCode>General</c:formatCode>
                <c:ptCount val="14"/>
                <c:pt idx="0">
                  <c:v>599125.60000000021</c:v>
                </c:pt>
                <c:pt idx="1">
                  <c:v>274948.80000000016</c:v>
                </c:pt>
                <c:pt idx="2">
                  <c:v>150136.00000000023</c:v>
                </c:pt>
                <c:pt idx="3">
                  <c:v>768373.10000000009</c:v>
                </c:pt>
                <c:pt idx="4">
                  <c:v>439451.50000000012</c:v>
                </c:pt>
                <c:pt idx="5">
                  <c:v>486705.40000000014</c:v>
                </c:pt>
                <c:pt idx="6">
                  <c:v>416560.10000000021</c:v>
                </c:pt>
                <c:pt idx="7">
                  <c:v>256879.80000000005</c:v>
                </c:pt>
                <c:pt idx="8">
                  <c:v>432685.19999999955</c:v>
                </c:pt>
                <c:pt idx="9">
                  <c:v>-83798.40000000014</c:v>
                </c:pt>
                <c:pt idx="10">
                  <c:v>287760.00000000047</c:v>
                </c:pt>
                <c:pt idx="11">
                  <c:v>128829.60000000009</c:v>
                </c:pt>
                <c:pt idx="12">
                  <c:v>772979.4500000003</c:v>
                </c:pt>
                <c:pt idx="13">
                  <c:v>717404.5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10</xdr:row>
      <xdr:rowOff>71437</xdr:rowOff>
    </xdr:from>
    <xdr:to>
      <xdr:col>11</xdr:col>
      <xdr:colOff>438149</xdr:colOff>
      <xdr:row>24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r Bobek" refreshedDate="41179.440578587964" createdVersion="5" refreshedVersion="5" minRefreshableVersion="3" recordCount="99">
  <cacheSource type="worksheet">
    <worksheetSource ref="B1:I100" sheet="Prodeje aut 1. kvartál"/>
  </cacheSource>
  <cacheFields count="8">
    <cacheField name="Obchodník" numFmtId="0">
      <sharedItems count="14">
        <s v="Karel Vymetal"/>
        <s v="Ivan Hrozny"/>
        <s v="Jan Novak"/>
        <s v="Petr Dorazil"/>
        <s v="Ilja Prochazka"/>
        <s v="Ruzena Pechova"/>
        <s v="Ales Ruzicka"/>
        <s v="Milan Nadenicek"/>
        <s v="Jan Mraz"/>
        <s v="Alois Geza"/>
        <s v="Jiri Zemrel"/>
        <s v="Dusan Vyborny"/>
        <s v="Marek Novorad"/>
        <s v="Karel Zavrel"/>
      </sharedItems>
    </cacheField>
    <cacheField name="Kraj" numFmtId="0">
      <sharedItems/>
    </cacheField>
    <cacheField name="Značka" numFmtId="0">
      <sharedItems/>
    </cacheField>
    <cacheField name="Datum" numFmtId="14">
      <sharedItems containsSemiMixedTypes="0" containsNonDate="0" containsDate="1" containsString="0" minDate="2012-01-02T00:00:00" maxDate="2012-03-29T00:00:00" count="52">
        <d v="2012-01-05T00:00:00"/>
        <d v="2012-01-13T00:00:00"/>
        <d v="2012-03-07T00:00:00"/>
        <d v="2012-01-08T00:00:00"/>
        <d v="2012-01-09T00:00:00"/>
        <d v="2012-01-10T00:00:00"/>
        <d v="2012-01-04T00:00:00"/>
        <d v="2012-01-07T00:00:00"/>
        <d v="2012-01-15T00:00:00"/>
        <d v="2012-01-16T00:00:00"/>
        <d v="2012-03-03T00:00:00"/>
        <d v="2012-01-12T00:00:00"/>
        <d v="2012-01-17T00:00:00"/>
        <d v="2012-01-21T00:00:00"/>
        <d v="2012-01-22T00:00:00"/>
        <d v="2012-03-25T00:00:00"/>
        <d v="2012-03-26T00:00:00"/>
        <d v="2012-01-28T00:00:00"/>
        <d v="2012-02-17T00:00:00"/>
        <d v="2012-01-29T00:00:00"/>
        <d v="2012-01-30T00:00:00"/>
        <d v="2012-01-02T00:00:00"/>
        <d v="2012-03-08T00:00:00"/>
        <d v="2012-01-31T00:00:00"/>
        <d v="2012-01-06T00:00:00"/>
        <d v="2012-03-17T00:00:00"/>
        <d v="2012-03-22T00:00:00"/>
        <d v="2012-03-28T00:00:00"/>
        <d v="2012-01-23T00:00:00"/>
        <d v="2012-02-11T00:00:00"/>
        <d v="2012-03-12T00:00:00"/>
        <d v="2012-01-03T00:00:00"/>
        <d v="2012-03-09T00:00:00"/>
        <d v="2012-01-24T00:00:00"/>
        <d v="2012-02-06T00:00:00"/>
        <d v="2012-01-11T00:00:00"/>
        <d v="2012-03-14T00:00:00"/>
        <d v="2012-02-12T00:00:00"/>
        <d v="2012-03-24T00:00:00"/>
        <d v="2012-03-23T00:00:00"/>
        <d v="2012-03-13T00:00:00"/>
        <d v="2012-02-04T00:00:00"/>
        <d v="2012-02-21T00:00:00"/>
        <d v="2012-02-22T00:00:00"/>
        <d v="2012-02-25T00:00:00"/>
        <d v="2012-02-26T00:00:00"/>
        <d v="2012-02-18T00:00:00"/>
        <d v="2012-02-28T00:00:00"/>
        <d v="2012-02-10T00:00:00"/>
        <d v="2012-02-07T00:00:00"/>
        <d v="2012-03-15T00:00:00"/>
        <d v="2012-02-03T00:00:00"/>
      </sharedItems>
    </cacheField>
    <cacheField name="Cena nákladová" numFmtId="0">
      <sharedItems containsSemiMixedTypes="0" containsString="0" containsNumber="1" containsInteger="1" minValue="251100" maxValue="1579500"/>
    </cacheField>
    <cacheField name="Cena prodejní" numFmtId="1">
      <sharedItems containsSemiMixedTypes="0" containsString="0" containsNumber="1" minValue="231012" maxValue="1690065"/>
    </cacheField>
    <cacheField name="Marže %" numFmtId="0">
      <sharedItems containsSemiMixedTypes="0" containsString="0" containsNumber="1" minValue="-8" maxValue="15"/>
    </cacheField>
    <cacheField name="Marže" numFmtId="0">
      <sharedItems containsSemiMixedTypes="0" containsString="0" containsNumber="1" minValue="-54600" maxValue="158620.00000000023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s v="Praha"/>
    <s v="Peugeot"/>
    <x v="0"/>
    <n v="671060"/>
    <n v="771718.99999999988"/>
    <n v="15"/>
    <n v="100658.99999999988"/>
  </r>
  <r>
    <x v="1"/>
    <s v="Středočeský"/>
    <s v="Citroen"/>
    <x v="1"/>
    <n v="540960"/>
    <n v="600465.60000000009"/>
    <n v="11"/>
    <n v="59505.600000000093"/>
  </r>
  <r>
    <x v="2"/>
    <s v="Středočeský"/>
    <s v="Citroen"/>
    <x v="0"/>
    <n v="503740"/>
    <n v="539001.80000000005"/>
    <n v="7"/>
    <n v="35261.800000000047"/>
  </r>
  <r>
    <x v="3"/>
    <s v="Severomoravský"/>
    <s v="Renault"/>
    <x v="2"/>
    <n v="378480"/>
    <n v="408758.4"/>
    <n v="8"/>
    <n v="30278.400000000023"/>
  </r>
  <r>
    <x v="4"/>
    <s v="Jihomoravský"/>
    <s v="Audi"/>
    <x v="3"/>
    <n v="791120"/>
    <n v="893965.59999999986"/>
    <n v="13"/>
    <n v="102845.59999999986"/>
  </r>
  <r>
    <x v="5"/>
    <s v="Praha"/>
    <s v="Škoda"/>
    <x v="4"/>
    <n v="516200"/>
    <n v="552334"/>
    <n v="7"/>
    <n v="36134"/>
  </r>
  <r>
    <x v="6"/>
    <s v="Západočeský"/>
    <s v="Dacia"/>
    <x v="5"/>
    <n v="304700"/>
    <n v="286418"/>
    <n v="-6"/>
    <n v="-18282"/>
  </r>
  <r>
    <x v="7"/>
    <s v="Severočeský"/>
    <s v="Mazda"/>
    <x v="6"/>
    <n v="417960"/>
    <n v="451396.80000000005"/>
    <n v="8"/>
    <n v="33436.800000000047"/>
  </r>
  <r>
    <x v="8"/>
    <s v="Východočeský"/>
    <s v="Toyota"/>
    <x v="7"/>
    <n v="870910"/>
    <n v="949291.9"/>
    <n v="9"/>
    <n v="78381.900000000023"/>
  </r>
  <r>
    <x v="9"/>
    <s v="Jihočeský"/>
    <s v="Škoda"/>
    <x v="8"/>
    <n v="301990"/>
    <n v="320109.40000000002"/>
    <n v="6"/>
    <n v="18119.400000000023"/>
  </r>
  <r>
    <x v="10"/>
    <s v="Severočeský"/>
    <s v="Citroen"/>
    <x v="9"/>
    <n v="526500"/>
    <n v="579150"/>
    <n v="10"/>
    <n v="52650"/>
  </r>
  <r>
    <x v="11"/>
    <s v="Praha"/>
    <s v="Renault"/>
    <x v="10"/>
    <n v="750680"/>
    <n v="825748.00000000012"/>
    <n v="10"/>
    <n v="75068.000000000116"/>
  </r>
  <r>
    <x v="12"/>
    <s v="Praha"/>
    <s v="Audi"/>
    <x v="6"/>
    <n v="1199000"/>
    <n v="1342880.0000000002"/>
    <n v="12"/>
    <n v="143880.00000000023"/>
  </r>
  <r>
    <x v="13"/>
    <s v="Praha"/>
    <s v="Škoda"/>
    <x v="11"/>
    <n v="598560"/>
    <n v="556660.79999999993"/>
    <n v="-7"/>
    <n v="-41899.20000000007"/>
  </r>
  <r>
    <x v="3"/>
    <s v="Středočeský"/>
    <s v="Dacia"/>
    <x v="12"/>
    <n v="328600"/>
    <n v="312170"/>
    <n v="-5"/>
    <n v="-16430"/>
  </r>
  <r>
    <x v="4"/>
    <s v="Středočeský"/>
    <s v="Mercedes"/>
    <x v="13"/>
    <n v="841080"/>
    <n v="937804.2"/>
    <n v="11.5"/>
    <n v="96724.199999999953"/>
  </r>
  <r>
    <x v="5"/>
    <s v="Severomoravský"/>
    <s v="Kia"/>
    <x v="14"/>
    <n v="780000"/>
    <n v="861900"/>
    <n v="10.5"/>
    <n v="81900"/>
  </r>
  <r>
    <x v="6"/>
    <s v="Jihomoravský"/>
    <s v="Hyundai"/>
    <x v="1"/>
    <n v="554600"/>
    <n v="601741"/>
    <n v="8.5"/>
    <n v="47141"/>
  </r>
  <r>
    <x v="0"/>
    <s v="Praha"/>
    <s v="Ford"/>
    <x v="15"/>
    <n v="630000"/>
    <n v="711899.99999999988"/>
    <n v="13"/>
    <n v="81899.999999999884"/>
  </r>
  <r>
    <x v="1"/>
    <s v="Západočeský"/>
    <s v="Opel"/>
    <x v="16"/>
    <n v="491130"/>
    <n v="540243"/>
    <n v="10"/>
    <n v="49113"/>
  </r>
  <r>
    <x v="2"/>
    <s v="Severočeský"/>
    <s v="Dacia"/>
    <x v="17"/>
    <n v="251100"/>
    <n v="231012"/>
    <n v="-8"/>
    <n v="-20088"/>
  </r>
  <r>
    <x v="3"/>
    <s v="Východočeský"/>
    <s v="Mazda"/>
    <x v="6"/>
    <n v="940500"/>
    <n v="1043955.0000000001"/>
    <n v="11"/>
    <n v="103455.00000000012"/>
  </r>
  <r>
    <x v="4"/>
    <s v="Jihočeský"/>
    <s v="Toyota"/>
    <x v="18"/>
    <n v="1133000"/>
    <n v="1291620.0000000002"/>
    <n v="14"/>
    <n v="158620.00000000023"/>
  </r>
  <r>
    <x v="5"/>
    <s v="Severočeský"/>
    <s v="Škoda"/>
    <x v="19"/>
    <n v="549900"/>
    <n v="591142.5"/>
    <n v="7.5"/>
    <n v="41242.5"/>
  </r>
  <r>
    <x v="6"/>
    <s v="Praha"/>
    <s v="Citroen"/>
    <x v="20"/>
    <n v="888560"/>
    <n v="955202"/>
    <n v="7.5"/>
    <n v="66642"/>
  </r>
  <r>
    <x v="7"/>
    <s v="Severočeský"/>
    <s v="Renault"/>
    <x v="21"/>
    <n v="882900"/>
    <n v="935874"/>
    <n v="6"/>
    <n v="52974"/>
  </r>
  <r>
    <x v="8"/>
    <s v="Východočeský"/>
    <s v="Audi"/>
    <x v="22"/>
    <n v="1161000"/>
    <n v="1277100"/>
    <n v="10"/>
    <n v="116100"/>
  </r>
  <r>
    <x v="9"/>
    <s v="Jihočeský"/>
    <s v="Škoda"/>
    <x v="23"/>
    <n v="575520"/>
    <n v="633072"/>
    <n v="10"/>
    <n v="57552"/>
  </r>
  <r>
    <x v="10"/>
    <s v="Severočeský"/>
    <s v="Dacia"/>
    <x v="24"/>
    <n v="268770"/>
    <n v="301022.40000000002"/>
    <n v="12"/>
    <n v="32252.400000000023"/>
  </r>
  <r>
    <x v="3"/>
    <s v="Praha"/>
    <s v="Mercedes"/>
    <x v="25"/>
    <n v="1579500"/>
    <n v="1690065"/>
    <n v="7"/>
    <n v="110565"/>
  </r>
  <r>
    <x v="4"/>
    <s v="Praha"/>
    <s v="Kia"/>
    <x v="26"/>
    <n v="760060"/>
    <n v="722057"/>
    <n v="-5"/>
    <n v="-38003"/>
  </r>
  <r>
    <x v="5"/>
    <s v="Praha"/>
    <s v="Hyundai"/>
    <x v="27"/>
    <n v="818550"/>
    <n v="912683.25"/>
    <n v="11.5"/>
    <n v="94133.25"/>
  </r>
  <r>
    <x v="6"/>
    <s v="Středočeský"/>
    <s v="Ford"/>
    <x v="28"/>
    <n v="537700"/>
    <n v="596847"/>
    <n v="11"/>
    <n v="59147"/>
  </r>
  <r>
    <x v="0"/>
    <s v="Středočeský"/>
    <s v="Opel"/>
    <x v="4"/>
    <n v="392160"/>
    <n v="447062.4"/>
    <n v="14"/>
    <n v="54902.400000000023"/>
  </r>
  <r>
    <x v="1"/>
    <s v="Severomoravský"/>
    <s v="Renault"/>
    <x v="5"/>
    <n v="979910"/>
    <n v="1053403.25"/>
    <n v="7.5"/>
    <n v="73493.25"/>
  </r>
  <r>
    <x v="2"/>
    <s v="Praha"/>
    <s v="Audi"/>
    <x v="29"/>
    <n v="782100"/>
    <n v="840757.5"/>
    <n v="7.5"/>
    <n v="58657.5"/>
  </r>
  <r>
    <x v="3"/>
    <s v="Praha"/>
    <s v="Škoda"/>
    <x v="1"/>
    <n v="696900"/>
    <n v="738714"/>
    <n v="6"/>
    <n v="41814"/>
  </r>
  <r>
    <x v="0"/>
    <s v="Středočeský"/>
    <s v="Audi"/>
    <x v="8"/>
    <n v="671060"/>
    <n v="771718.99999999988"/>
    <n v="15"/>
    <n v="100658.99999999988"/>
  </r>
  <r>
    <x v="1"/>
    <s v="Středočeský"/>
    <s v="Škoda"/>
    <x v="30"/>
    <n v="540960"/>
    <n v="600465.60000000009"/>
    <n v="11"/>
    <n v="59505.600000000093"/>
  </r>
  <r>
    <x v="2"/>
    <s v="Severomoravský"/>
    <s v="Dacia"/>
    <x v="17"/>
    <n v="503740"/>
    <n v="539001.80000000005"/>
    <n v="7"/>
    <n v="35261.800000000047"/>
  </r>
  <r>
    <x v="3"/>
    <s v="Jihomoravský"/>
    <s v="Mercedes"/>
    <x v="31"/>
    <n v="378480"/>
    <n v="408758.4"/>
    <n v="8"/>
    <n v="30278.400000000023"/>
  </r>
  <r>
    <x v="4"/>
    <s v="Praha"/>
    <s v="Kia"/>
    <x v="0"/>
    <n v="791120"/>
    <n v="893965.59999999986"/>
    <n v="13"/>
    <n v="102845.59999999986"/>
  </r>
  <r>
    <x v="5"/>
    <s v="Západočeský"/>
    <s v="Hyundai"/>
    <x v="32"/>
    <n v="516200"/>
    <n v="552334"/>
    <n v="7"/>
    <n v="36134"/>
  </r>
  <r>
    <x v="6"/>
    <s v="Severočeský"/>
    <s v="Ford"/>
    <x v="33"/>
    <n v="304700"/>
    <n v="286418"/>
    <n v="-6"/>
    <n v="-18282"/>
  </r>
  <r>
    <x v="7"/>
    <s v="Východočeský"/>
    <s v="Opel"/>
    <x v="14"/>
    <n v="417960"/>
    <n v="451396.80000000005"/>
    <n v="8"/>
    <n v="33436.800000000047"/>
  </r>
  <r>
    <x v="8"/>
    <s v="Jihočeský"/>
    <s v="Renault"/>
    <x v="20"/>
    <n v="870910"/>
    <n v="949291.9"/>
    <n v="9"/>
    <n v="78381.900000000023"/>
  </r>
  <r>
    <x v="9"/>
    <s v="Severočeský"/>
    <s v="Audi"/>
    <x v="3"/>
    <n v="301990"/>
    <n v="320109.40000000002"/>
    <n v="6"/>
    <n v="18119.400000000023"/>
  </r>
  <r>
    <x v="10"/>
    <s v="Praha"/>
    <s v="Škoda"/>
    <x v="10"/>
    <n v="526500"/>
    <n v="579150"/>
    <n v="10"/>
    <n v="52650"/>
  </r>
  <r>
    <x v="11"/>
    <s v="Praha"/>
    <s v="Hyundai"/>
    <x v="34"/>
    <n v="750680"/>
    <n v="825748.00000000012"/>
    <n v="10"/>
    <n v="75068.000000000116"/>
  </r>
  <r>
    <x v="12"/>
    <s v="Praha"/>
    <s v="Ford"/>
    <x v="33"/>
    <n v="1199000"/>
    <n v="1342880.0000000002"/>
    <n v="12"/>
    <n v="143880.00000000023"/>
  </r>
  <r>
    <x v="13"/>
    <s v="Středočeský"/>
    <s v="Opel"/>
    <x v="17"/>
    <n v="598560"/>
    <n v="556660.79999999993"/>
    <n v="-7"/>
    <n v="-41899.20000000007"/>
  </r>
  <r>
    <x v="3"/>
    <s v="Středočeský"/>
    <s v="Dacia"/>
    <x v="0"/>
    <n v="328600"/>
    <n v="312170"/>
    <n v="-5"/>
    <n v="-16430"/>
  </r>
  <r>
    <x v="4"/>
    <s v="Severomoravský"/>
    <s v="Mazda"/>
    <x v="4"/>
    <n v="841080"/>
    <n v="937804.2"/>
    <n v="11.5"/>
    <n v="96724.199999999953"/>
  </r>
  <r>
    <x v="5"/>
    <s v="Jihomoravský"/>
    <s v="Toyota"/>
    <x v="35"/>
    <n v="780000"/>
    <n v="861900"/>
    <n v="10.5"/>
    <n v="81900"/>
  </r>
  <r>
    <x v="6"/>
    <s v="Praha"/>
    <s v="Škoda"/>
    <x v="36"/>
    <n v="554600"/>
    <n v="601741"/>
    <n v="8.5"/>
    <n v="47141"/>
  </r>
  <r>
    <x v="0"/>
    <s v="Západočeský"/>
    <s v="Citroen"/>
    <x v="23"/>
    <n v="630000"/>
    <n v="711899.99999999988"/>
    <n v="13"/>
    <n v="81899.999999999884"/>
  </r>
  <r>
    <x v="1"/>
    <s v="Severočeský"/>
    <s v="Renault"/>
    <x v="12"/>
    <n v="491130"/>
    <n v="540243"/>
    <n v="10"/>
    <n v="49113"/>
  </r>
  <r>
    <x v="2"/>
    <s v="Východočeský"/>
    <s v="Peugeot"/>
    <x v="37"/>
    <n v="251100"/>
    <n v="231012"/>
    <n v="-8"/>
    <n v="-20088"/>
  </r>
  <r>
    <x v="3"/>
    <s v="Jihočeský"/>
    <s v="Citroen"/>
    <x v="27"/>
    <n v="940500"/>
    <n v="1043955.0000000001"/>
    <n v="11"/>
    <n v="103455.00000000012"/>
  </r>
  <r>
    <x v="4"/>
    <s v="Severočeský"/>
    <s v="Citroen"/>
    <x v="31"/>
    <n v="1133000"/>
    <n v="1291620.0000000002"/>
    <n v="14"/>
    <n v="158620.00000000023"/>
  </r>
  <r>
    <x v="5"/>
    <s v="Praha"/>
    <s v="Renault"/>
    <x v="0"/>
    <n v="549900"/>
    <n v="591142.5"/>
    <n v="7.5"/>
    <n v="41242.5"/>
  </r>
  <r>
    <x v="6"/>
    <s v="Severočeský"/>
    <s v="Audi"/>
    <x v="4"/>
    <n v="888560"/>
    <n v="955202"/>
    <n v="7.5"/>
    <n v="66642"/>
  </r>
  <r>
    <x v="7"/>
    <s v="Východočeský"/>
    <s v="Škoda"/>
    <x v="38"/>
    <n v="882900"/>
    <n v="935874"/>
    <n v="6"/>
    <n v="52974"/>
  </r>
  <r>
    <x v="8"/>
    <s v="Jihočeský"/>
    <s v="Dacia"/>
    <x v="14"/>
    <n v="1161000"/>
    <n v="1277100"/>
    <n v="10"/>
    <n v="116100"/>
  </r>
  <r>
    <x v="9"/>
    <s v="Severočeský"/>
    <s v="Mazda"/>
    <x v="20"/>
    <n v="575520"/>
    <n v="633072"/>
    <n v="10"/>
    <n v="57552"/>
  </r>
  <r>
    <x v="10"/>
    <s v="Praha"/>
    <s v="Toyota"/>
    <x v="24"/>
    <n v="268770"/>
    <n v="301022.40000000002"/>
    <n v="12"/>
    <n v="32252.400000000023"/>
  </r>
  <r>
    <x v="3"/>
    <s v="Středočeský"/>
    <s v="Škoda"/>
    <x v="12"/>
    <n v="1579500"/>
    <n v="1690065"/>
    <n v="7"/>
    <n v="110565"/>
  </r>
  <r>
    <x v="4"/>
    <s v="Středočeský"/>
    <s v="Citroen"/>
    <x v="14"/>
    <n v="760060"/>
    <n v="722057"/>
    <n v="-5"/>
    <n v="-38003"/>
  </r>
  <r>
    <x v="5"/>
    <s v="Severomoravský"/>
    <s v="Renault"/>
    <x v="17"/>
    <n v="818550"/>
    <n v="912683.25"/>
    <n v="11.5"/>
    <n v="94133.25"/>
  </r>
  <r>
    <x v="6"/>
    <s v="Jihomoravský"/>
    <s v="Audi"/>
    <x v="39"/>
    <n v="537700"/>
    <n v="596847"/>
    <n v="11"/>
    <n v="59147"/>
  </r>
  <r>
    <x v="0"/>
    <s v="Praha"/>
    <s v="Škoda"/>
    <x v="4"/>
    <n v="392160"/>
    <n v="447062.4"/>
    <n v="14"/>
    <n v="54902.400000000023"/>
  </r>
  <r>
    <x v="1"/>
    <s v="Západočeský"/>
    <s v="Dacia"/>
    <x v="5"/>
    <n v="979910"/>
    <n v="1053403.25"/>
    <n v="7.5"/>
    <n v="73493.25"/>
  </r>
  <r>
    <x v="2"/>
    <s v="Severočeský"/>
    <s v="Mercedes"/>
    <x v="35"/>
    <n v="782100"/>
    <n v="840757.5"/>
    <n v="7.5"/>
    <n v="58657.5"/>
  </r>
  <r>
    <x v="3"/>
    <s v="Východočeský"/>
    <s v="Kia"/>
    <x v="40"/>
    <n v="696900"/>
    <n v="738714"/>
    <n v="6"/>
    <n v="41814"/>
  </r>
  <r>
    <x v="4"/>
    <s v="Jihočeský"/>
    <s v="Audi"/>
    <x v="41"/>
    <n v="598560"/>
    <n v="658416"/>
    <n v="10"/>
    <n v="59856"/>
  </r>
  <r>
    <x v="5"/>
    <s v="Severočeský"/>
    <s v="Škoda"/>
    <x v="37"/>
    <n v="328600"/>
    <n v="361460.00000000006"/>
    <n v="10"/>
    <n v="32860.000000000058"/>
  </r>
  <r>
    <x v="6"/>
    <s v="Praha"/>
    <s v="Hyundai"/>
    <x v="18"/>
    <n v="841080"/>
    <n v="942009.60000000009"/>
    <n v="12"/>
    <n v="100929.60000000009"/>
  </r>
  <r>
    <x v="0"/>
    <s v="Praha"/>
    <s v="Ford"/>
    <x v="42"/>
    <n v="780000"/>
    <n v="725400"/>
    <n v="-7"/>
    <n v="-54600"/>
  </r>
  <r>
    <x v="1"/>
    <s v="Praha"/>
    <s v="Opel"/>
    <x v="43"/>
    <n v="554600"/>
    <n v="526870"/>
    <n v="-5"/>
    <n v="-27730"/>
  </r>
  <r>
    <x v="2"/>
    <s v="Středočeský"/>
    <s v="Dacia"/>
    <x v="1"/>
    <n v="630000"/>
    <n v="702450"/>
    <n v="11.5"/>
    <n v="72450"/>
  </r>
  <r>
    <x v="3"/>
    <s v="Středočeský"/>
    <s v="Mazda"/>
    <x v="44"/>
    <n v="491130"/>
    <n v="542698.65"/>
    <n v="10.5"/>
    <n v="51568.650000000023"/>
  </r>
  <r>
    <x v="4"/>
    <s v="Severomoravský"/>
    <s v="Toyota"/>
    <x v="45"/>
    <n v="251100"/>
    <n v="272443.5"/>
    <n v="8.5"/>
    <n v="21343.5"/>
  </r>
  <r>
    <x v="5"/>
    <s v="Jihomoravský"/>
    <s v="Škoda"/>
    <x v="27"/>
    <n v="940500"/>
    <n v="1062765"/>
    <n v="13"/>
    <n v="122265"/>
  </r>
  <r>
    <x v="6"/>
    <s v="Praha"/>
    <s v="Citroen"/>
    <x v="41"/>
    <n v="1133000"/>
    <n v="1246300"/>
    <n v="10"/>
    <n v="113300"/>
  </r>
  <r>
    <x v="7"/>
    <s v="Západočeský"/>
    <s v="Renault"/>
    <x v="12"/>
    <n v="549900"/>
    <n v="505908"/>
    <n v="-8"/>
    <n v="-43992"/>
  </r>
  <r>
    <x v="8"/>
    <s v="Severočeský"/>
    <s v="Peugeot"/>
    <x v="46"/>
    <n v="888560"/>
    <n v="986301.60000000009"/>
    <n v="11"/>
    <n v="97741.600000000093"/>
  </r>
  <r>
    <x v="9"/>
    <s v="Východočeský"/>
    <s v="Citroen"/>
    <x v="47"/>
    <n v="882900"/>
    <n v="1006506.0000000001"/>
    <n v="14"/>
    <n v="123606.00000000012"/>
  </r>
  <r>
    <x v="10"/>
    <s v="Jihočeský"/>
    <s v="Citroen"/>
    <x v="32"/>
    <n v="1161000"/>
    <n v="1248075"/>
    <n v="7.5"/>
    <n v="87075"/>
  </r>
  <r>
    <x v="3"/>
    <s v="Severočeský"/>
    <s v="Renault"/>
    <x v="48"/>
    <n v="841080"/>
    <n v="904161"/>
    <n v="7.5"/>
    <n v="63081"/>
  </r>
  <r>
    <x v="4"/>
    <s v="Praha"/>
    <s v="Opel"/>
    <x v="41"/>
    <n v="780000"/>
    <n v="826800"/>
    <n v="6"/>
    <n v="46800"/>
  </r>
  <r>
    <x v="5"/>
    <s v="Severočeský"/>
    <s v="Renault"/>
    <x v="49"/>
    <n v="554600"/>
    <n v="610060"/>
    <n v="10"/>
    <n v="55460"/>
  </r>
  <r>
    <x v="6"/>
    <s v="Východočeský"/>
    <s v="Audi"/>
    <x v="50"/>
    <n v="630000"/>
    <n v="705600.00000000012"/>
    <n v="12"/>
    <n v="75600.000000000116"/>
  </r>
  <r>
    <x v="0"/>
    <s v="Jihočeský"/>
    <s v="Škoda"/>
    <x v="9"/>
    <n v="491130"/>
    <n v="456750.89999999997"/>
    <n v="-7"/>
    <n v="-34379.100000000035"/>
  </r>
  <r>
    <x v="1"/>
    <s v="Severočeský"/>
    <s v="Audi"/>
    <x v="51"/>
    <n v="251100"/>
    <n v="238545"/>
    <n v="-5"/>
    <n v="-12555"/>
  </r>
  <r>
    <x v="2"/>
    <s v="Praha"/>
    <s v="Škoda"/>
    <x v="41"/>
    <n v="940500"/>
    <n v="1048657.5"/>
    <n v="11.5"/>
    <n v="108157.5"/>
  </r>
  <r>
    <x v="3"/>
    <s v="Středočeský"/>
    <s v="Dacia"/>
    <x v="37"/>
    <n v="1133000"/>
    <n v="1251965"/>
    <n v="10.5"/>
    <n v="118965"/>
  </r>
  <r>
    <x v="0"/>
    <s v="Středočeský"/>
    <s v="Mercedes"/>
    <x v="25"/>
    <n v="549900"/>
    <n v="596641.5"/>
    <n v="8.5"/>
    <n v="46741.5"/>
  </r>
  <r>
    <x v="1"/>
    <s v="Severomoravský"/>
    <s v="Kia"/>
    <x v="13"/>
    <n v="888560"/>
    <n v="1004072.7999999999"/>
    <n v="13"/>
    <n v="115512.79999999993"/>
  </r>
  <r>
    <x v="2"/>
    <s v="Jihomoravský"/>
    <s v="Hyundai"/>
    <x v="43"/>
    <n v="882900"/>
    <n v="971190.00000000012"/>
    <n v="10"/>
    <n v="88290.000000000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5" useAutoFormatting="1" itemPrintTitles="1" createdVersion="5" indent="0" outline="1" outlineData="1" multipleFieldFilters="0" chartFormat="1">
  <location ref="A3:B18" firstHeaderRow="1" firstDataRow="1" firstDataCol="1"/>
  <pivotFields count="8">
    <pivotField axis="axisRow" showAll="0">
      <items count="15">
        <item x="6"/>
        <item x="9"/>
        <item x="11"/>
        <item x="4"/>
        <item x="1"/>
        <item x="8"/>
        <item x="2"/>
        <item x="10"/>
        <item x="0"/>
        <item x="13"/>
        <item x="12"/>
        <item x="7"/>
        <item x="3"/>
        <item x="5"/>
        <item t="default"/>
      </items>
    </pivotField>
    <pivotField showAll="0"/>
    <pivotField showAll="0"/>
    <pivotField numFmtId="14" showAll="0">
      <items count="53">
        <item x="21"/>
        <item x="31"/>
        <item x="6"/>
        <item x="0"/>
        <item x="24"/>
        <item x="7"/>
        <item x="3"/>
        <item x="4"/>
        <item x="5"/>
        <item x="35"/>
        <item x="11"/>
        <item x="1"/>
        <item x="8"/>
        <item x="9"/>
        <item x="12"/>
        <item x="13"/>
        <item x="14"/>
        <item x="28"/>
        <item x="33"/>
        <item x="17"/>
        <item x="19"/>
        <item x="20"/>
        <item x="23"/>
        <item x="51"/>
        <item x="41"/>
        <item x="34"/>
        <item x="49"/>
        <item x="48"/>
        <item x="29"/>
        <item x="37"/>
        <item x="18"/>
        <item x="46"/>
        <item x="42"/>
        <item x="43"/>
        <item x="44"/>
        <item x="45"/>
        <item x="47"/>
        <item x="10"/>
        <item x="2"/>
        <item x="22"/>
        <item x="32"/>
        <item x="30"/>
        <item x="40"/>
        <item x="36"/>
        <item x="50"/>
        <item x="25"/>
        <item x="26"/>
        <item x="39"/>
        <item x="38"/>
        <item x="15"/>
        <item x="16"/>
        <item x="27"/>
        <item t="default"/>
      </items>
    </pivotField>
    <pivotField showAll="0"/>
    <pivotField numFmtId="1" showAll="0"/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Marže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4" name="Datum">
      <autoFilter ref="A1">
        <filterColumn colId="0">
          <customFilters and="1">
            <customFilter operator="greaterThanOrEqual" val="40909"/>
            <customFilter operator="lessThanOrEqual" val="4091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tabSelected="1" workbookViewId="0">
      <selection activeCell="R5" sqref="R5"/>
    </sheetView>
  </sheetViews>
  <sheetFormatPr defaultRowHeight="15" x14ac:dyDescent="0.25"/>
  <cols>
    <col min="1" max="1" width="16" bestFit="1" customWidth="1"/>
    <col min="2" max="2" width="13.28515625" customWidth="1"/>
    <col min="3" max="3" width="13.28515625" bestFit="1" customWidth="1"/>
  </cols>
  <sheetData>
    <row r="3" spans="1:2" x14ac:dyDescent="0.25">
      <c r="A3" s="3" t="s">
        <v>42</v>
      </c>
      <c r="B3" t="s">
        <v>44</v>
      </c>
    </row>
    <row r="4" spans="1:2" x14ac:dyDescent="0.25">
      <c r="A4" s="4" t="s">
        <v>52</v>
      </c>
      <c r="B4" s="5">
        <v>599125.60000000021</v>
      </c>
    </row>
    <row r="5" spans="1:2" x14ac:dyDescent="0.25">
      <c r="A5" s="4" t="s">
        <v>55</v>
      </c>
      <c r="B5" s="5">
        <v>274948.80000000016</v>
      </c>
    </row>
    <row r="6" spans="1:2" x14ac:dyDescent="0.25">
      <c r="A6" s="4" t="s">
        <v>57</v>
      </c>
      <c r="B6" s="5">
        <v>150136.00000000023</v>
      </c>
    </row>
    <row r="7" spans="1:2" x14ac:dyDescent="0.25">
      <c r="A7" s="4" t="s">
        <v>50</v>
      </c>
      <c r="B7" s="5">
        <v>768373.10000000009</v>
      </c>
    </row>
    <row r="8" spans="1:2" x14ac:dyDescent="0.25">
      <c r="A8" s="4" t="s">
        <v>47</v>
      </c>
      <c r="B8" s="5">
        <v>439451.50000000012</v>
      </c>
    </row>
    <row r="9" spans="1:2" x14ac:dyDescent="0.25">
      <c r="A9" s="4" t="s">
        <v>54</v>
      </c>
      <c r="B9" s="5">
        <v>486705.40000000014</v>
      </c>
    </row>
    <row r="10" spans="1:2" x14ac:dyDescent="0.25">
      <c r="A10" s="4" t="s">
        <v>48</v>
      </c>
      <c r="B10" s="5">
        <v>416560.10000000021</v>
      </c>
    </row>
    <row r="11" spans="1:2" x14ac:dyDescent="0.25">
      <c r="A11" s="4" t="s">
        <v>56</v>
      </c>
      <c r="B11" s="5">
        <v>256879.80000000005</v>
      </c>
    </row>
    <row r="12" spans="1:2" x14ac:dyDescent="0.25">
      <c r="A12" s="4" t="s">
        <v>46</v>
      </c>
      <c r="B12" s="5">
        <v>432685.19999999955</v>
      </c>
    </row>
    <row r="13" spans="1:2" x14ac:dyDescent="0.25">
      <c r="A13" s="4" t="s">
        <v>59</v>
      </c>
      <c r="B13" s="5">
        <v>-83798.40000000014</v>
      </c>
    </row>
    <row r="14" spans="1:2" x14ac:dyDescent="0.25">
      <c r="A14" s="4" t="s">
        <v>58</v>
      </c>
      <c r="B14" s="5">
        <v>287760.00000000047</v>
      </c>
    </row>
    <row r="15" spans="1:2" x14ac:dyDescent="0.25">
      <c r="A15" s="4" t="s">
        <v>53</v>
      </c>
      <c r="B15" s="5">
        <v>128829.60000000009</v>
      </c>
    </row>
    <row r="16" spans="1:2" x14ac:dyDescent="0.25">
      <c r="A16" s="4" t="s">
        <v>49</v>
      </c>
      <c r="B16" s="5">
        <v>772979.4500000003</v>
      </c>
    </row>
    <row r="17" spans="1:2" x14ac:dyDescent="0.25">
      <c r="A17" s="4" t="s">
        <v>51</v>
      </c>
      <c r="B17" s="5">
        <v>717404.5</v>
      </c>
    </row>
    <row r="18" spans="1:2" x14ac:dyDescent="0.25">
      <c r="A18" s="4" t="s">
        <v>43</v>
      </c>
      <c r="B18" s="5">
        <v>5648040.6500000022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B26" sqref="B26"/>
    </sheetView>
  </sheetViews>
  <sheetFormatPr defaultRowHeight="15" x14ac:dyDescent="0.25"/>
  <cols>
    <col min="1" max="1" width="27.7109375" bestFit="1" customWidth="1"/>
    <col min="2" max="2" width="27.7109375" customWidth="1"/>
    <col min="3" max="3" width="15.7109375" bestFit="1" customWidth="1"/>
    <col min="4" max="4" width="9.7109375" bestFit="1" customWidth="1"/>
    <col min="5" max="5" width="9.140625" style="1"/>
    <col min="6" max="6" width="15" bestFit="1" customWidth="1"/>
    <col min="7" max="7" width="13.42578125" style="2" bestFit="1" customWidth="1"/>
    <col min="8" max="9" width="14.7109375" customWidth="1"/>
  </cols>
  <sheetData>
    <row r="1" spans="1:9" x14ac:dyDescent="0.25">
      <c r="B1" t="s">
        <v>45</v>
      </c>
      <c r="C1" t="s">
        <v>0</v>
      </c>
      <c r="D1" t="s">
        <v>1</v>
      </c>
      <c r="E1" s="1" t="s">
        <v>31</v>
      </c>
      <c r="F1" t="s">
        <v>32</v>
      </c>
      <c r="G1" s="2" t="s">
        <v>34</v>
      </c>
      <c r="H1" t="s">
        <v>35</v>
      </c>
      <c r="I1" t="s">
        <v>33</v>
      </c>
    </row>
    <row r="2" spans="1:9" x14ac:dyDescent="0.25">
      <c r="A2" t="s">
        <v>17</v>
      </c>
      <c r="B2" t="s">
        <v>46</v>
      </c>
      <c r="C2" t="s">
        <v>2</v>
      </c>
      <c r="D2" t="s">
        <v>4</v>
      </c>
      <c r="E2" s="1">
        <v>40913</v>
      </c>
      <c r="F2">
        <v>671060</v>
      </c>
      <c r="G2" s="2">
        <f>F2*(1+H2/100)</f>
        <v>771718.99999999988</v>
      </c>
      <c r="H2">
        <v>15</v>
      </c>
      <c r="I2">
        <f>G2-F2</f>
        <v>100658.99999999988</v>
      </c>
    </row>
    <row r="3" spans="1:9" x14ac:dyDescent="0.25">
      <c r="A3" t="s">
        <v>18</v>
      </c>
      <c r="B3" t="s">
        <v>47</v>
      </c>
      <c r="C3" t="s">
        <v>3</v>
      </c>
      <c r="D3" t="s">
        <v>5</v>
      </c>
      <c r="E3" s="1">
        <v>40921</v>
      </c>
      <c r="F3">
        <v>540960</v>
      </c>
      <c r="G3" s="2">
        <f t="shared" ref="G3:G66" si="0">F3*(1+H3/100)</f>
        <v>600465.60000000009</v>
      </c>
      <c r="H3">
        <v>11</v>
      </c>
      <c r="I3">
        <f t="shared" ref="I3:I66" si="1">G3-F3</f>
        <v>59505.600000000093</v>
      </c>
    </row>
    <row r="4" spans="1:9" x14ac:dyDescent="0.25">
      <c r="A4" t="s">
        <v>19</v>
      </c>
      <c r="B4" t="s">
        <v>48</v>
      </c>
      <c r="C4" t="s">
        <v>3</v>
      </c>
      <c r="D4" t="s">
        <v>5</v>
      </c>
      <c r="E4" s="1">
        <v>40913</v>
      </c>
      <c r="F4">
        <v>503740</v>
      </c>
      <c r="G4" s="2">
        <f t="shared" si="0"/>
        <v>539001.80000000005</v>
      </c>
      <c r="H4">
        <v>7</v>
      </c>
      <c r="I4">
        <f t="shared" si="1"/>
        <v>35261.800000000047</v>
      </c>
    </row>
    <row r="5" spans="1:9" x14ac:dyDescent="0.25">
      <c r="A5" t="s">
        <v>20</v>
      </c>
      <c r="B5" t="s">
        <v>49</v>
      </c>
      <c r="C5" t="s">
        <v>36</v>
      </c>
      <c r="D5" t="s">
        <v>6</v>
      </c>
      <c r="E5" s="1">
        <v>40975</v>
      </c>
      <c r="F5">
        <v>378480</v>
      </c>
      <c r="G5" s="2">
        <f t="shared" si="0"/>
        <v>408758.4</v>
      </c>
      <c r="H5">
        <v>8</v>
      </c>
      <c r="I5">
        <f t="shared" si="1"/>
        <v>30278.400000000023</v>
      </c>
    </row>
    <row r="6" spans="1:9" x14ac:dyDescent="0.25">
      <c r="A6" t="s">
        <v>21</v>
      </c>
      <c r="B6" t="s">
        <v>50</v>
      </c>
      <c r="C6" t="s">
        <v>37</v>
      </c>
      <c r="D6" t="s">
        <v>7</v>
      </c>
      <c r="E6" s="1">
        <v>40916</v>
      </c>
      <c r="F6">
        <v>791120</v>
      </c>
      <c r="G6" s="2">
        <f t="shared" si="0"/>
        <v>893965.59999999986</v>
      </c>
      <c r="H6">
        <v>13</v>
      </c>
      <c r="I6">
        <f t="shared" si="1"/>
        <v>102845.59999999986</v>
      </c>
    </row>
    <row r="7" spans="1:9" x14ac:dyDescent="0.25">
      <c r="A7" t="s">
        <v>22</v>
      </c>
      <c r="B7" t="s">
        <v>51</v>
      </c>
      <c r="C7" t="s">
        <v>2</v>
      </c>
      <c r="D7" t="s">
        <v>8</v>
      </c>
      <c r="E7" s="1">
        <v>40917</v>
      </c>
      <c r="F7">
        <v>516200</v>
      </c>
      <c r="G7" s="2">
        <f t="shared" si="0"/>
        <v>552334</v>
      </c>
      <c r="H7">
        <v>7</v>
      </c>
      <c r="I7">
        <f t="shared" si="1"/>
        <v>36134</v>
      </c>
    </row>
    <row r="8" spans="1:9" x14ac:dyDescent="0.25">
      <c r="A8" t="s">
        <v>23</v>
      </c>
      <c r="B8" t="s">
        <v>52</v>
      </c>
      <c r="C8" t="s">
        <v>38</v>
      </c>
      <c r="D8" t="s">
        <v>9</v>
      </c>
      <c r="E8" s="1">
        <v>40918</v>
      </c>
      <c r="F8">
        <v>304700</v>
      </c>
      <c r="G8" s="2">
        <f t="shared" si="0"/>
        <v>286418</v>
      </c>
      <c r="H8">
        <v>-6</v>
      </c>
      <c r="I8">
        <f t="shared" si="1"/>
        <v>-18282</v>
      </c>
    </row>
    <row r="9" spans="1:9" x14ac:dyDescent="0.25">
      <c r="A9" t="s">
        <v>24</v>
      </c>
      <c r="B9" t="s">
        <v>53</v>
      </c>
      <c r="C9" t="s">
        <v>39</v>
      </c>
      <c r="D9" t="s">
        <v>10</v>
      </c>
      <c r="E9" s="1">
        <v>40912</v>
      </c>
      <c r="F9">
        <v>417960</v>
      </c>
      <c r="G9" s="2">
        <f t="shared" si="0"/>
        <v>451396.80000000005</v>
      </c>
      <c r="H9">
        <v>8</v>
      </c>
      <c r="I9">
        <f t="shared" si="1"/>
        <v>33436.800000000047</v>
      </c>
    </row>
    <row r="10" spans="1:9" x14ac:dyDescent="0.25">
      <c r="A10" t="s">
        <v>25</v>
      </c>
      <c r="B10" t="s">
        <v>54</v>
      </c>
      <c r="C10" t="s">
        <v>40</v>
      </c>
      <c r="D10" t="s">
        <v>11</v>
      </c>
      <c r="E10" s="1">
        <v>40915</v>
      </c>
      <c r="F10">
        <v>870910</v>
      </c>
      <c r="G10" s="2">
        <f t="shared" si="0"/>
        <v>949291.9</v>
      </c>
      <c r="H10">
        <v>9</v>
      </c>
      <c r="I10">
        <f t="shared" si="1"/>
        <v>78381.900000000023</v>
      </c>
    </row>
    <row r="11" spans="1:9" x14ac:dyDescent="0.25">
      <c r="A11" t="s">
        <v>26</v>
      </c>
      <c r="B11" t="s">
        <v>55</v>
      </c>
      <c r="C11" t="s">
        <v>41</v>
      </c>
      <c r="D11" t="s">
        <v>8</v>
      </c>
      <c r="E11" s="1">
        <v>40923</v>
      </c>
      <c r="F11">
        <v>301990</v>
      </c>
      <c r="G11" s="2">
        <f t="shared" si="0"/>
        <v>320109.40000000002</v>
      </c>
      <c r="H11">
        <v>6</v>
      </c>
      <c r="I11">
        <f t="shared" si="1"/>
        <v>18119.400000000023</v>
      </c>
    </row>
    <row r="12" spans="1:9" x14ac:dyDescent="0.25">
      <c r="A12" t="s">
        <v>27</v>
      </c>
      <c r="B12" t="s">
        <v>56</v>
      </c>
      <c r="C12" t="s">
        <v>39</v>
      </c>
      <c r="D12" t="s">
        <v>5</v>
      </c>
      <c r="E12" s="1">
        <v>40924</v>
      </c>
      <c r="F12">
        <v>526500</v>
      </c>
      <c r="G12" s="2">
        <f t="shared" si="0"/>
        <v>579150</v>
      </c>
      <c r="H12">
        <v>10</v>
      </c>
      <c r="I12">
        <f t="shared" si="1"/>
        <v>52650</v>
      </c>
    </row>
    <row r="13" spans="1:9" x14ac:dyDescent="0.25">
      <c r="A13" t="s">
        <v>28</v>
      </c>
      <c r="B13" t="s">
        <v>57</v>
      </c>
      <c r="C13" t="s">
        <v>2</v>
      </c>
      <c r="D13" t="s">
        <v>6</v>
      </c>
      <c r="E13" s="1">
        <v>40971</v>
      </c>
      <c r="F13">
        <v>750680</v>
      </c>
      <c r="G13" s="2">
        <f t="shared" si="0"/>
        <v>825748.00000000012</v>
      </c>
      <c r="H13">
        <v>10</v>
      </c>
      <c r="I13">
        <f t="shared" si="1"/>
        <v>75068.000000000116</v>
      </c>
    </row>
    <row r="14" spans="1:9" x14ac:dyDescent="0.25">
      <c r="A14" t="s">
        <v>30</v>
      </c>
      <c r="B14" t="s">
        <v>58</v>
      </c>
      <c r="C14" t="s">
        <v>2</v>
      </c>
      <c r="D14" t="s">
        <v>7</v>
      </c>
      <c r="E14" s="1">
        <v>40912</v>
      </c>
      <c r="F14">
        <v>1199000</v>
      </c>
      <c r="G14" s="2">
        <f t="shared" si="0"/>
        <v>1342880.0000000002</v>
      </c>
      <c r="H14">
        <v>12</v>
      </c>
      <c r="I14">
        <f t="shared" si="1"/>
        <v>143880.00000000023</v>
      </c>
    </row>
    <row r="15" spans="1:9" x14ac:dyDescent="0.25">
      <c r="A15" t="s">
        <v>29</v>
      </c>
      <c r="B15" t="s">
        <v>59</v>
      </c>
      <c r="C15" t="s">
        <v>2</v>
      </c>
      <c r="D15" t="s">
        <v>8</v>
      </c>
      <c r="E15" s="1">
        <v>40920</v>
      </c>
      <c r="F15">
        <v>598560</v>
      </c>
      <c r="G15" s="2">
        <f t="shared" si="0"/>
        <v>556660.79999999993</v>
      </c>
      <c r="H15">
        <v>-7</v>
      </c>
      <c r="I15">
        <f t="shared" si="1"/>
        <v>-41899.20000000007</v>
      </c>
    </row>
    <row r="16" spans="1:9" x14ac:dyDescent="0.25">
      <c r="A16" t="s">
        <v>20</v>
      </c>
      <c r="B16" t="s">
        <v>49</v>
      </c>
      <c r="C16" t="s">
        <v>3</v>
      </c>
      <c r="D16" t="s">
        <v>9</v>
      </c>
      <c r="E16" s="1">
        <v>40925</v>
      </c>
      <c r="F16">
        <v>328600</v>
      </c>
      <c r="G16" s="2">
        <f t="shared" si="0"/>
        <v>312170</v>
      </c>
      <c r="H16">
        <v>-5</v>
      </c>
      <c r="I16">
        <f t="shared" si="1"/>
        <v>-16430</v>
      </c>
    </row>
    <row r="17" spans="1:9" x14ac:dyDescent="0.25">
      <c r="A17" t="s">
        <v>21</v>
      </c>
      <c r="B17" t="s">
        <v>50</v>
      </c>
      <c r="C17" t="s">
        <v>3</v>
      </c>
      <c r="D17" t="s">
        <v>12</v>
      </c>
      <c r="E17" s="1">
        <v>40929</v>
      </c>
      <c r="F17">
        <v>841080</v>
      </c>
      <c r="G17" s="2">
        <f t="shared" si="0"/>
        <v>937804.2</v>
      </c>
      <c r="H17">
        <v>11.5</v>
      </c>
      <c r="I17">
        <f t="shared" si="1"/>
        <v>96724.199999999953</v>
      </c>
    </row>
    <row r="18" spans="1:9" x14ac:dyDescent="0.25">
      <c r="A18" t="s">
        <v>22</v>
      </c>
      <c r="B18" t="s">
        <v>51</v>
      </c>
      <c r="C18" t="s">
        <v>36</v>
      </c>
      <c r="D18" t="s">
        <v>13</v>
      </c>
      <c r="E18" s="1">
        <v>40930</v>
      </c>
      <c r="F18">
        <v>780000</v>
      </c>
      <c r="G18" s="2">
        <f t="shared" si="0"/>
        <v>861900</v>
      </c>
      <c r="H18">
        <v>10.5</v>
      </c>
      <c r="I18">
        <f t="shared" si="1"/>
        <v>81900</v>
      </c>
    </row>
    <row r="19" spans="1:9" x14ac:dyDescent="0.25">
      <c r="A19" t="s">
        <v>23</v>
      </c>
      <c r="B19" t="s">
        <v>52</v>
      </c>
      <c r="C19" t="s">
        <v>37</v>
      </c>
      <c r="D19" t="s">
        <v>14</v>
      </c>
      <c r="E19" s="1">
        <v>40921</v>
      </c>
      <c r="F19">
        <v>554600</v>
      </c>
      <c r="G19" s="2">
        <f t="shared" si="0"/>
        <v>601741</v>
      </c>
      <c r="H19">
        <v>8.5</v>
      </c>
      <c r="I19">
        <f t="shared" si="1"/>
        <v>47141</v>
      </c>
    </row>
    <row r="20" spans="1:9" x14ac:dyDescent="0.25">
      <c r="A20" t="s">
        <v>17</v>
      </c>
      <c r="B20" t="s">
        <v>46</v>
      </c>
      <c r="C20" t="s">
        <v>2</v>
      </c>
      <c r="D20" t="s">
        <v>15</v>
      </c>
      <c r="E20" s="1">
        <v>40993</v>
      </c>
      <c r="F20">
        <v>630000</v>
      </c>
      <c r="G20" s="2">
        <f t="shared" si="0"/>
        <v>711899.99999999988</v>
      </c>
      <c r="H20">
        <v>13</v>
      </c>
      <c r="I20">
        <f t="shared" si="1"/>
        <v>81899.999999999884</v>
      </c>
    </row>
    <row r="21" spans="1:9" x14ac:dyDescent="0.25">
      <c r="A21" t="s">
        <v>18</v>
      </c>
      <c r="B21" t="s">
        <v>47</v>
      </c>
      <c r="C21" t="s">
        <v>38</v>
      </c>
      <c r="D21" t="s">
        <v>16</v>
      </c>
      <c r="E21" s="1">
        <v>40994</v>
      </c>
      <c r="F21">
        <v>491130</v>
      </c>
      <c r="G21" s="2">
        <f t="shared" si="0"/>
        <v>540243</v>
      </c>
      <c r="H21">
        <v>10</v>
      </c>
      <c r="I21">
        <f t="shared" si="1"/>
        <v>49113</v>
      </c>
    </row>
    <row r="22" spans="1:9" x14ac:dyDescent="0.25">
      <c r="A22" t="s">
        <v>19</v>
      </c>
      <c r="B22" t="s">
        <v>48</v>
      </c>
      <c r="C22" t="s">
        <v>39</v>
      </c>
      <c r="D22" t="s">
        <v>9</v>
      </c>
      <c r="E22" s="1">
        <v>40936</v>
      </c>
      <c r="F22">
        <v>251100</v>
      </c>
      <c r="G22" s="2">
        <f t="shared" si="0"/>
        <v>231012</v>
      </c>
      <c r="H22">
        <v>-8</v>
      </c>
      <c r="I22">
        <f t="shared" si="1"/>
        <v>-20088</v>
      </c>
    </row>
    <row r="23" spans="1:9" x14ac:dyDescent="0.25">
      <c r="A23" t="s">
        <v>20</v>
      </c>
      <c r="B23" t="s">
        <v>49</v>
      </c>
      <c r="C23" t="s">
        <v>40</v>
      </c>
      <c r="D23" t="s">
        <v>10</v>
      </c>
      <c r="E23" s="1">
        <v>40912</v>
      </c>
      <c r="F23">
        <v>940500</v>
      </c>
      <c r="G23" s="2">
        <f t="shared" si="0"/>
        <v>1043955.0000000001</v>
      </c>
      <c r="H23">
        <v>11</v>
      </c>
      <c r="I23">
        <f t="shared" si="1"/>
        <v>103455.00000000012</v>
      </c>
    </row>
    <row r="24" spans="1:9" x14ac:dyDescent="0.25">
      <c r="A24" t="s">
        <v>21</v>
      </c>
      <c r="B24" t="s">
        <v>50</v>
      </c>
      <c r="C24" t="s">
        <v>41</v>
      </c>
      <c r="D24" t="s">
        <v>11</v>
      </c>
      <c r="E24" s="1">
        <v>40956</v>
      </c>
      <c r="F24">
        <v>1133000</v>
      </c>
      <c r="G24" s="2">
        <f t="shared" si="0"/>
        <v>1291620.0000000002</v>
      </c>
      <c r="H24">
        <v>14</v>
      </c>
      <c r="I24">
        <f t="shared" si="1"/>
        <v>158620.00000000023</v>
      </c>
    </row>
    <row r="25" spans="1:9" x14ac:dyDescent="0.25">
      <c r="A25" t="s">
        <v>22</v>
      </c>
      <c r="B25" t="s">
        <v>51</v>
      </c>
      <c r="C25" t="s">
        <v>39</v>
      </c>
      <c r="D25" t="s">
        <v>8</v>
      </c>
      <c r="E25" s="1">
        <v>40937</v>
      </c>
      <c r="F25">
        <v>549900</v>
      </c>
      <c r="G25" s="2">
        <f t="shared" si="0"/>
        <v>591142.5</v>
      </c>
      <c r="H25">
        <v>7.5</v>
      </c>
      <c r="I25">
        <f t="shared" si="1"/>
        <v>41242.5</v>
      </c>
    </row>
    <row r="26" spans="1:9" x14ac:dyDescent="0.25">
      <c r="A26" t="s">
        <v>23</v>
      </c>
      <c r="B26" t="s">
        <v>52</v>
      </c>
      <c r="C26" t="s">
        <v>2</v>
      </c>
      <c r="D26" t="s">
        <v>5</v>
      </c>
      <c r="E26" s="1">
        <v>40938</v>
      </c>
      <c r="F26">
        <v>888560</v>
      </c>
      <c r="G26" s="2">
        <f t="shared" si="0"/>
        <v>955202</v>
      </c>
      <c r="H26">
        <v>7.5</v>
      </c>
      <c r="I26">
        <f t="shared" si="1"/>
        <v>66642</v>
      </c>
    </row>
    <row r="27" spans="1:9" x14ac:dyDescent="0.25">
      <c r="A27" t="s">
        <v>24</v>
      </c>
      <c r="B27" t="s">
        <v>53</v>
      </c>
      <c r="C27" t="s">
        <v>39</v>
      </c>
      <c r="D27" t="s">
        <v>6</v>
      </c>
      <c r="E27" s="1">
        <v>40910</v>
      </c>
      <c r="F27">
        <v>882900</v>
      </c>
      <c r="G27" s="2">
        <f t="shared" si="0"/>
        <v>935874</v>
      </c>
      <c r="H27">
        <v>6</v>
      </c>
      <c r="I27">
        <f t="shared" si="1"/>
        <v>52974</v>
      </c>
    </row>
    <row r="28" spans="1:9" x14ac:dyDescent="0.25">
      <c r="A28" t="s">
        <v>25</v>
      </c>
      <c r="B28" t="s">
        <v>54</v>
      </c>
      <c r="C28" t="s">
        <v>40</v>
      </c>
      <c r="D28" t="s">
        <v>7</v>
      </c>
      <c r="E28" s="1">
        <v>40976</v>
      </c>
      <c r="F28">
        <v>1161000</v>
      </c>
      <c r="G28" s="2">
        <f t="shared" si="0"/>
        <v>1277100</v>
      </c>
      <c r="H28">
        <v>10</v>
      </c>
      <c r="I28">
        <f t="shared" si="1"/>
        <v>116100</v>
      </c>
    </row>
    <row r="29" spans="1:9" x14ac:dyDescent="0.25">
      <c r="A29" t="s">
        <v>26</v>
      </c>
      <c r="B29" t="s">
        <v>55</v>
      </c>
      <c r="C29" t="s">
        <v>41</v>
      </c>
      <c r="D29" t="s">
        <v>8</v>
      </c>
      <c r="E29" s="1">
        <v>40939</v>
      </c>
      <c r="F29">
        <v>575520</v>
      </c>
      <c r="G29" s="2">
        <f t="shared" si="0"/>
        <v>633072</v>
      </c>
      <c r="H29">
        <v>10</v>
      </c>
      <c r="I29">
        <f t="shared" si="1"/>
        <v>57552</v>
      </c>
    </row>
    <row r="30" spans="1:9" x14ac:dyDescent="0.25">
      <c r="A30" t="s">
        <v>27</v>
      </c>
      <c r="B30" t="s">
        <v>56</v>
      </c>
      <c r="C30" t="s">
        <v>39</v>
      </c>
      <c r="D30" t="s">
        <v>9</v>
      </c>
      <c r="E30" s="1">
        <v>40914</v>
      </c>
      <c r="F30">
        <v>268770</v>
      </c>
      <c r="G30" s="2">
        <f t="shared" si="0"/>
        <v>301022.40000000002</v>
      </c>
      <c r="H30">
        <v>12</v>
      </c>
      <c r="I30">
        <f t="shared" si="1"/>
        <v>32252.400000000023</v>
      </c>
    </row>
    <row r="31" spans="1:9" x14ac:dyDescent="0.25">
      <c r="A31" t="s">
        <v>20</v>
      </c>
      <c r="B31" t="s">
        <v>49</v>
      </c>
      <c r="C31" t="s">
        <v>2</v>
      </c>
      <c r="D31" t="s">
        <v>12</v>
      </c>
      <c r="E31" s="1">
        <v>40985</v>
      </c>
      <c r="F31">
        <v>1579500</v>
      </c>
      <c r="G31" s="2">
        <f t="shared" si="0"/>
        <v>1690065</v>
      </c>
      <c r="H31">
        <v>7</v>
      </c>
      <c r="I31">
        <f t="shared" si="1"/>
        <v>110565</v>
      </c>
    </row>
    <row r="32" spans="1:9" x14ac:dyDescent="0.25">
      <c r="A32" t="s">
        <v>21</v>
      </c>
      <c r="B32" t="s">
        <v>50</v>
      </c>
      <c r="C32" t="s">
        <v>2</v>
      </c>
      <c r="D32" t="s">
        <v>13</v>
      </c>
      <c r="E32" s="1">
        <v>40990</v>
      </c>
      <c r="F32">
        <v>760060</v>
      </c>
      <c r="G32" s="2">
        <f t="shared" si="0"/>
        <v>722057</v>
      </c>
      <c r="H32">
        <v>-5</v>
      </c>
      <c r="I32">
        <f t="shared" si="1"/>
        <v>-38003</v>
      </c>
    </row>
    <row r="33" spans="1:9" x14ac:dyDescent="0.25">
      <c r="A33" t="s">
        <v>22</v>
      </c>
      <c r="B33" t="s">
        <v>51</v>
      </c>
      <c r="C33" t="s">
        <v>2</v>
      </c>
      <c r="D33" t="s">
        <v>14</v>
      </c>
      <c r="E33" s="1">
        <v>40996</v>
      </c>
      <c r="F33">
        <v>818550</v>
      </c>
      <c r="G33" s="2">
        <f t="shared" si="0"/>
        <v>912683.25</v>
      </c>
      <c r="H33">
        <v>11.5</v>
      </c>
      <c r="I33">
        <f t="shared" si="1"/>
        <v>94133.25</v>
      </c>
    </row>
    <row r="34" spans="1:9" x14ac:dyDescent="0.25">
      <c r="A34" t="s">
        <v>23</v>
      </c>
      <c r="B34" t="s">
        <v>52</v>
      </c>
      <c r="C34" t="s">
        <v>3</v>
      </c>
      <c r="D34" t="s">
        <v>15</v>
      </c>
      <c r="E34" s="1">
        <v>40931</v>
      </c>
      <c r="F34">
        <v>537700</v>
      </c>
      <c r="G34" s="2">
        <f t="shared" si="0"/>
        <v>596847</v>
      </c>
      <c r="H34">
        <v>11</v>
      </c>
      <c r="I34">
        <f t="shared" si="1"/>
        <v>59147</v>
      </c>
    </row>
    <row r="35" spans="1:9" x14ac:dyDescent="0.25">
      <c r="A35" t="s">
        <v>17</v>
      </c>
      <c r="B35" t="s">
        <v>46</v>
      </c>
      <c r="C35" t="s">
        <v>3</v>
      </c>
      <c r="D35" t="s">
        <v>16</v>
      </c>
      <c r="E35" s="1">
        <v>40917</v>
      </c>
      <c r="F35">
        <v>392160</v>
      </c>
      <c r="G35" s="2">
        <f t="shared" si="0"/>
        <v>447062.4</v>
      </c>
      <c r="H35">
        <v>14</v>
      </c>
      <c r="I35">
        <f t="shared" si="1"/>
        <v>54902.400000000023</v>
      </c>
    </row>
    <row r="36" spans="1:9" x14ac:dyDescent="0.25">
      <c r="A36" t="s">
        <v>18</v>
      </c>
      <c r="B36" t="s">
        <v>47</v>
      </c>
      <c r="C36" t="s">
        <v>36</v>
      </c>
      <c r="D36" t="s">
        <v>6</v>
      </c>
      <c r="E36" s="1">
        <v>40918</v>
      </c>
      <c r="F36">
        <v>979910</v>
      </c>
      <c r="G36" s="2">
        <f t="shared" si="0"/>
        <v>1053403.25</v>
      </c>
      <c r="H36">
        <v>7.5</v>
      </c>
      <c r="I36">
        <f t="shared" si="1"/>
        <v>73493.25</v>
      </c>
    </row>
    <row r="37" spans="1:9" x14ac:dyDescent="0.25">
      <c r="A37" t="s">
        <v>19</v>
      </c>
      <c r="B37" t="s">
        <v>48</v>
      </c>
      <c r="C37" t="s">
        <v>2</v>
      </c>
      <c r="D37" t="s">
        <v>7</v>
      </c>
      <c r="E37" s="1">
        <v>40950</v>
      </c>
      <c r="F37">
        <v>782100</v>
      </c>
      <c r="G37" s="2">
        <f t="shared" si="0"/>
        <v>840757.5</v>
      </c>
      <c r="H37">
        <v>7.5</v>
      </c>
      <c r="I37">
        <f t="shared" si="1"/>
        <v>58657.5</v>
      </c>
    </row>
    <row r="38" spans="1:9" x14ac:dyDescent="0.25">
      <c r="A38" t="s">
        <v>20</v>
      </c>
      <c r="B38" t="s">
        <v>49</v>
      </c>
      <c r="C38" t="s">
        <v>2</v>
      </c>
      <c r="D38" t="s">
        <v>8</v>
      </c>
      <c r="E38" s="1">
        <v>40921</v>
      </c>
      <c r="F38">
        <v>696900</v>
      </c>
      <c r="G38" s="2">
        <f t="shared" si="0"/>
        <v>738714</v>
      </c>
      <c r="H38">
        <v>6</v>
      </c>
      <c r="I38">
        <f t="shared" si="1"/>
        <v>41814</v>
      </c>
    </row>
    <row r="39" spans="1:9" x14ac:dyDescent="0.25">
      <c r="A39" t="s">
        <v>17</v>
      </c>
      <c r="B39" t="s">
        <v>46</v>
      </c>
      <c r="C39" t="s">
        <v>3</v>
      </c>
      <c r="D39" t="s">
        <v>7</v>
      </c>
      <c r="E39" s="1">
        <v>40923</v>
      </c>
      <c r="F39">
        <v>671060</v>
      </c>
      <c r="G39" s="2">
        <f t="shared" si="0"/>
        <v>771718.99999999988</v>
      </c>
      <c r="H39">
        <v>15</v>
      </c>
      <c r="I39">
        <f t="shared" si="1"/>
        <v>100658.99999999988</v>
      </c>
    </row>
    <row r="40" spans="1:9" x14ac:dyDescent="0.25">
      <c r="A40" t="s">
        <v>18</v>
      </c>
      <c r="B40" t="s">
        <v>47</v>
      </c>
      <c r="C40" t="s">
        <v>3</v>
      </c>
      <c r="D40" t="s">
        <v>8</v>
      </c>
      <c r="E40" s="1">
        <v>40980</v>
      </c>
      <c r="F40">
        <v>540960</v>
      </c>
      <c r="G40" s="2">
        <f t="shared" si="0"/>
        <v>600465.60000000009</v>
      </c>
      <c r="H40">
        <v>11</v>
      </c>
      <c r="I40">
        <f t="shared" si="1"/>
        <v>59505.600000000093</v>
      </c>
    </row>
    <row r="41" spans="1:9" x14ac:dyDescent="0.25">
      <c r="A41" t="s">
        <v>19</v>
      </c>
      <c r="B41" t="s">
        <v>48</v>
      </c>
      <c r="C41" t="s">
        <v>36</v>
      </c>
      <c r="D41" t="s">
        <v>9</v>
      </c>
      <c r="E41" s="1">
        <v>40936</v>
      </c>
      <c r="F41">
        <v>503740</v>
      </c>
      <c r="G41" s="2">
        <f t="shared" si="0"/>
        <v>539001.80000000005</v>
      </c>
      <c r="H41">
        <v>7</v>
      </c>
      <c r="I41">
        <f t="shared" si="1"/>
        <v>35261.800000000047</v>
      </c>
    </row>
    <row r="42" spans="1:9" x14ac:dyDescent="0.25">
      <c r="A42" t="s">
        <v>20</v>
      </c>
      <c r="B42" t="s">
        <v>49</v>
      </c>
      <c r="C42" t="s">
        <v>37</v>
      </c>
      <c r="D42" t="s">
        <v>12</v>
      </c>
      <c r="E42" s="1">
        <v>40911</v>
      </c>
      <c r="F42">
        <v>378480</v>
      </c>
      <c r="G42" s="2">
        <f t="shared" si="0"/>
        <v>408758.4</v>
      </c>
      <c r="H42">
        <v>8</v>
      </c>
      <c r="I42">
        <f t="shared" si="1"/>
        <v>30278.400000000023</v>
      </c>
    </row>
    <row r="43" spans="1:9" x14ac:dyDescent="0.25">
      <c r="A43" t="s">
        <v>21</v>
      </c>
      <c r="B43" t="s">
        <v>50</v>
      </c>
      <c r="C43" t="s">
        <v>2</v>
      </c>
      <c r="D43" t="s">
        <v>13</v>
      </c>
      <c r="E43" s="1">
        <v>40913</v>
      </c>
      <c r="F43">
        <v>791120</v>
      </c>
      <c r="G43" s="2">
        <f t="shared" si="0"/>
        <v>893965.59999999986</v>
      </c>
      <c r="H43">
        <v>13</v>
      </c>
      <c r="I43">
        <f t="shared" si="1"/>
        <v>102845.59999999986</v>
      </c>
    </row>
    <row r="44" spans="1:9" x14ac:dyDescent="0.25">
      <c r="A44" t="s">
        <v>22</v>
      </c>
      <c r="B44" t="s">
        <v>51</v>
      </c>
      <c r="C44" t="s">
        <v>38</v>
      </c>
      <c r="D44" t="s">
        <v>14</v>
      </c>
      <c r="E44" s="1">
        <v>40977</v>
      </c>
      <c r="F44">
        <v>516200</v>
      </c>
      <c r="G44" s="2">
        <f t="shared" si="0"/>
        <v>552334</v>
      </c>
      <c r="H44">
        <v>7</v>
      </c>
      <c r="I44">
        <f t="shared" si="1"/>
        <v>36134</v>
      </c>
    </row>
    <row r="45" spans="1:9" x14ac:dyDescent="0.25">
      <c r="A45" t="s">
        <v>23</v>
      </c>
      <c r="B45" t="s">
        <v>52</v>
      </c>
      <c r="C45" t="s">
        <v>39</v>
      </c>
      <c r="D45" t="s">
        <v>15</v>
      </c>
      <c r="E45" s="1">
        <v>40932</v>
      </c>
      <c r="F45">
        <v>304700</v>
      </c>
      <c r="G45" s="2">
        <f t="shared" si="0"/>
        <v>286418</v>
      </c>
      <c r="H45">
        <v>-6</v>
      </c>
      <c r="I45">
        <f t="shared" si="1"/>
        <v>-18282</v>
      </c>
    </row>
    <row r="46" spans="1:9" x14ac:dyDescent="0.25">
      <c r="A46" t="s">
        <v>24</v>
      </c>
      <c r="B46" t="s">
        <v>53</v>
      </c>
      <c r="C46" t="s">
        <v>40</v>
      </c>
      <c r="D46" t="s">
        <v>16</v>
      </c>
      <c r="E46" s="1">
        <v>40930</v>
      </c>
      <c r="F46">
        <v>417960</v>
      </c>
      <c r="G46" s="2">
        <f t="shared" si="0"/>
        <v>451396.80000000005</v>
      </c>
      <c r="H46">
        <v>8</v>
      </c>
      <c r="I46">
        <f t="shared" si="1"/>
        <v>33436.800000000047</v>
      </c>
    </row>
    <row r="47" spans="1:9" x14ac:dyDescent="0.25">
      <c r="A47" t="s">
        <v>25</v>
      </c>
      <c r="B47" t="s">
        <v>54</v>
      </c>
      <c r="C47" t="s">
        <v>41</v>
      </c>
      <c r="D47" t="s">
        <v>6</v>
      </c>
      <c r="E47" s="1">
        <v>40938</v>
      </c>
      <c r="F47">
        <v>870910</v>
      </c>
      <c r="G47" s="2">
        <f t="shared" si="0"/>
        <v>949291.9</v>
      </c>
      <c r="H47">
        <v>9</v>
      </c>
      <c r="I47">
        <f t="shared" si="1"/>
        <v>78381.900000000023</v>
      </c>
    </row>
    <row r="48" spans="1:9" x14ac:dyDescent="0.25">
      <c r="A48" t="s">
        <v>26</v>
      </c>
      <c r="B48" t="s">
        <v>55</v>
      </c>
      <c r="C48" t="s">
        <v>39</v>
      </c>
      <c r="D48" t="s">
        <v>7</v>
      </c>
      <c r="E48" s="1">
        <v>40916</v>
      </c>
      <c r="F48">
        <v>301990</v>
      </c>
      <c r="G48" s="2">
        <f t="shared" si="0"/>
        <v>320109.40000000002</v>
      </c>
      <c r="H48">
        <v>6</v>
      </c>
      <c r="I48">
        <f t="shared" si="1"/>
        <v>18119.400000000023</v>
      </c>
    </row>
    <row r="49" spans="1:9" x14ac:dyDescent="0.25">
      <c r="A49" t="s">
        <v>27</v>
      </c>
      <c r="B49" t="s">
        <v>56</v>
      </c>
      <c r="C49" t="s">
        <v>2</v>
      </c>
      <c r="D49" t="s">
        <v>8</v>
      </c>
      <c r="E49" s="1">
        <v>40971</v>
      </c>
      <c r="F49">
        <v>526500</v>
      </c>
      <c r="G49" s="2">
        <f t="shared" si="0"/>
        <v>579150</v>
      </c>
      <c r="H49">
        <v>10</v>
      </c>
      <c r="I49">
        <f t="shared" si="1"/>
        <v>52650</v>
      </c>
    </row>
    <row r="50" spans="1:9" x14ac:dyDescent="0.25">
      <c r="A50" t="s">
        <v>28</v>
      </c>
      <c r="B50" t="s">
        <v>57</v>
      </c>
      <c r="C50" t="s">
        <v>2</v>
      </c>
      <c r="D50" t="s">
        <v>14</v>
      </c>
      <c r="E50" s="1">
        <v>40945</v>
      </c>
      <c r="F50">
        <v>750680</v>
      </c>
      <c r="G50" s="2">
        <f t="shared" si="0"/>
        <v>825748.00000000012</v>
      </c>
      <c r="H50">
        <v>10</v>
      </c>
      <c r="I50">
        <f t="shared" si="1"/>
        <v>75068.000000000116</v>
      </c>
    </row>
    <row r="51" spans="1:9" x14ac:dyDescent="0.25">
      <c r="A51" t="s">
        <v>30</v>
      </c>
      <c r="B51" t="s">
        <v>58</v>
      </c>
      <c r="C51" t="s">
        <v>2</v>
      </c>
      <c r="D51" t="s">
        <v>15</v>
      </c>
      <c r="E51" s="1">
        <v>40932</v>
      </c>
      <c r="F51">
        <v>1199000</v>
      </c>
      <c r="G51" s="2">
        <f t="shared" si="0"/>
        <v>1342880.0000000002</v>
      </c>
      <c r="H51">
        <v>12</v>
      </c>
      <c r="I51">
        <f t="shared" si="1"/>
        <v>143880.00000000023</v>
      </c>
    </row>
    <row r="52" spans="1:9" x14ac:dyDescent="0.25">
      <c r="A52" t="s">
        <v>29</v>
      </c>
      <c r="B52" t="s">
        <v>59</v>
      </c>
      <c r="C52" t="s">
        <v>3</v>
      </c>
      <c r="D52" t="s">
        <v>16</v>
      </c>
      <c r="E52" s="1">
        <v>40936</v>
      </c>
      <c r="F52">
        <v>598560</v>
      </c>
      <c r="G52" s="2">
        <f t="shared" si="0"/>
        <v>556660.79999999993</v>
      </c>
      <c r="H52">
        <v>-7</v>
      </c>
      <c r="I52">
        <f t="shared" si="1"/>
        <v>-41899.20000000007</v>
      </c>
    </row>
    <row r="53" spans="1:9" x14ac:dyDescent="0.25">
      <c r="A53" t="s">
        <v>20</v>
      </c>
      <c r="B53" t="s">
        <v>49</v>
      </c>
      <c r="C53" t="s">
        <v>3</v>
      </c>
      <c r="D53" t="s">
        <v>9</v>
      </c>
      <c r="E53" s="1">
        <v>40913</v>
      </c>
      <c r="F53">
        <v>328600</v>
      </c>
      <c r="G53" s="2">
        <f t="shared" si="0"/>
        <v>312170</v>
      </c>
      <c r="H53">
        <v>-5</v>
      </c>
      <c r="I53">
        <f t="shared" si="1"/>
        <v>-16430</v>
      </c>
    </row>
    <row r="54" spans="1:9" x14ac:dyDescent="0.25">
      <c r="A54" t="s">
        <v>21</v>
      </c>
      <c r="B54" t="s">
        <v>50</v>
      </c>
      <c r="C54" t="s">
        <v>36</v>
      </c>
      <c r="D54" t="s">
        <v>10</v>
      </c>
      <c r="E54" s="1">
        <v>40917</v>
      </c>
      <c r="F54">
        <v>841080</v>
      </c>
      <c r="G54" s="2">
        <f t="shared" si="0"/>
        <v>937804.2</v>
      </c>
      <c r="H54">
        <v>11.5</v>
      </c>
      <c r="I54">
        <f t="shared" si="1"/>
        <v>96724.199999999953</v>
      </c>
    </row>
    <row r="55" spans="1:9" x14ac:dyDescent="0.25">
      <c r="A55" t="s">
        <v>22</v>
      </c>
      <c r="B55" t="s">
        <v>51</v>
      </c>
      <c r="C55" t="s">
        <v>37</v>
      </c>
      <c r="D55" t="s">
        <v>11</v>
      </c>
      <c r="E55" s="1">
        <v>40919</v>
      </c>
      <c r="F55">
        <v>780000</v>
      </c>
      <c r="G55" s="2">
        <f t="shared" si="0"/>
        <v>861900</v>
      </c>
      <c r="H55">
        <v>10.5</v>
      </c>
      <c r="I55">
        <f t="shared" si="1"/>
        <v>81900</v>
      </c>
    </row>
    <row r="56" spans="1:9" x14ac:dyDescent="0.25">
      <c r="A56" t="s">
        <v>23</v>
      </c>
      <c r="B56" t="s">
        <v>52</v>
      </c>
      <c r="C56" t="s">
        <v>2</v>
      </c>
      <c r="D56" t="s">
        <v>8</v>
      </c>
      <c r="E56" s="1">
        <v>40982</v>
      </c>
      <c r="F56">
        <v>554600</v>
      </c>
      <c r="G56" s="2">
        <f t="shared" si="0"/>
        <v>601741</v>
      </c>
      <c r="H56">
        <v>8.5</v>
      </c>
      <c r="I56">
        <f t="shared" si="1"/>
        <v>47141</v>
      </c>
    </row>
    <row r="57" spans="1:9" x14ac:dyDescent="0.25">
      <c r="A57" t="s">
        <v>17</v>
      </c>
      <c r="B57" t="s">
        <v>46</v>
      </c>
      <c r="C57" t="s">
        <v>38</v>
      </c>
      <c r="D57" t="s">
        <v>5</v>
      </c>
      <c r="E57" s="1">
        <v>40939</v>
      </c>
      <c r="F57">
        <v>630000</v>
      </c>
      <c r="G57" s="2">
        <f t="shared" si="0"/>
        <v>711899.99999999988</v>
      </c>
      <c r="H57">
        <v>13</v>
      </c>
      <c r="I57">
        <f t="shared" si="1"/>
        <v>81899.999999999884</v>
      </c>
    </row>
    <row r="58" spans="1:9" x14ac:dyDescent="0.25">
      <c r="A58" t="s">
        <v>18</v>
      </c>
      <c r="B58" t="s">
        <v>47</v>
      </c>
      <c r="C58" t="s">
        <v>39</v>
      </c>
      <c r="D58" t="s">
        <v>6</v>
      </c>
      <c r="E58" s="1">
        <v>40925</v>
      </c>
      <c r="F58">
        <v>491130</v>
      </c>
      <c r="G58" s="2">
        <f t="shared" si="0"/>
        <v>540243</v>
      </c>
      <c r="H58">
        <v>10</v>
      </c>
      <c r="I58">
        <f t="shared" si="1"/>
        <v>49113</v>
      </c>
    </row>
    <row r="59" spans="1:9" x14ac:dyDescent="0.25">
      <c r="A59" t="s">
        <v>19</v>
      </c>
      <c r="B59" t="s">
        <v>48</v>
      </c>
      <c r="C59" t="s">
        <v>40</v>
      </c>
      <c r="D59" t="s">
        <v>4</v>
      </c>
      <c r="E59" s="1">
        <v>40951</v>
      </c>
      <c r="F59">
        <v>251100</v>
      </c>
      <c r="G59" s="2">
        <f t="shared" si="0"/>
        <v>231012</v>
      </c>
      <c r="H59">
        <v>-8</v>
      </c>
      <c r="I59">
        <f t="shared" si="1"/>
        <v>-20088</v>
      </c>
    </row>
    <row r="60" spans="1:9" x14ac:dyDescent="0.25">
      <c r="A60" t="s">
        <v>20</v>
      </c>
      <c r="B60" t="s">
        <v>49</v>
      </c>
      <c r="C60" t="s">
        <v>41</v>
      </c>
      <c r="D60" t="s">
        <v>5</v>
      </c>
      <c r="E60" s="1">
        <v>40996</v>
      </c>
      <c r="F60">
        <v>940500</v>
      </c>
      <c r="G60" s="2">
        <f t="shared" si="0"/>
        <v>1043955.0000000001</v>
      </c>
      <c r="H60">
        <v>11</v>
      </c>
      <c r="I60">
        <f t="shared" si="1"/>
        <v>103455.00000000012</v>
      </c>
    </row>
    <row r="61" spans="1:9" x14ac:dyDescent="0.25">
      <c r="A61" t="s">
        <v>21</v>
      </c>
      <c r="B61" t="s">
        <v>50</v>
      </c>
      <c r="C61" t="s">
        <v>39</v>
      </c>
      <c r="D61" t="s">
        <v>5</v>
      </c>
      <c r="E61" s="1">
        <v>40911</v>
      </c>
      <c r="F61">
        <v>1133000</v>
      </c>
      <c r="G61" s="2">
        <f t="shared" si="0"/>
        <v>1291620.0000000002</v>
      </c>
      <c r="H61">
        <v>14</v>
      </c>
      <c r="I61">
        <f t="shared" si="1"/>
        <v>158620.00000000023</v>
      </c>
    </row>
    <row r="62" spans="1:9" x14ac:dyDescent="0.25">
      <c r="A62" t="s">
        <v>22</v>
      </c>
      <c r="B62" t="s">
        <v>51</v>
      </c>
      <c r="C62" t="s">
        <v>2</v>
      </c>
      <c r="D62" t="s">
        <v>6</v>
      </c>
      <c r="E62" s="1">
        <v>40913</v>
      </c>
      <c r="F62">
        <v>549900</v>
      </c>
      <c r="G62" s="2">
        <f t="shared" si="0"/>
        <v>591142.5</v>
      </c>
      <c r="H62">
        <v>7.5</v>
      </c>
      <c r="I62">
        <f t="shared" si="1"/>
        <v>41242.5</v>
      </c>
    </row>
    <row r="63" spans="1:9" x14ac:dyDescent="0.25">
      <c r="A63" t="s">
        <v>23</v>
      </c>
      <c r="B63" t="s">
        <v>52</v>
      </c>
      <c r="C63" t="s">
        <v>39</v>
      </c>
      <c r="D63" t="s">
        <v>7</v>
      </c>
      <c r="E63" s="1">
        <v>40917</v>
      </c>
      <c r="F63">
        <v>888560</v>
      </c>
      <c r="G63" s="2">
        <f t="shared" si="0"/>
        <v>955202</v>
      </c>
      <c r="H63">
        <v>7.5</v>
      </c>
      <c r="I63">
        <f t="shared" si="1"/>
        <v>66642</v>
      </c>
    </row>
    <row r="64" spans="1:9" x14ac:dyDescent="0.25">
      <c r="A64" t="s">
        <v>24</v>
      </c>
      <c r="B64" t="s">
        <v>53</v>
      </c>
      <c r="C64" t="s">
        <v>40</v>
      </c>
      <c r="D64" t="s">
        <v>8</v>
      </c>
      <c r="E64" s="1">
        <v>40992</v>
      </c>
      <c r="F64">
        <v>882900</v>
      </c>
      <c r="G64" s="2">
        <f t="shared" si="0"/>
        <v>935874</v>
      </c>
      <c r="H64">
        <v>6</v>
      </c>
      <c r="I64">
        <f t="shared" si="1"/>
        <v>52974</v>
      </c>
    </row>
    <row r="65" spans="1:9" x14ac:dyDescent="0.25">
      <c r="A65" t="s">
        <v>25</v>
      </c>
      <c r="B65" t="s">
        <v>54</v>
      </c>
      <c r="C65" t="s">
        <v>41</v>
      </c>
      <c r="D65" t="s">
        <v>9</v>
      </c>
      <c r="E65" s="1">
        <v>40930</v>
      </c>
      <c r="F65">
        <v>1161000</v>
      </c>
      <c r="G65" s="2">
        <f t="shared" si="0"/>
        <v>1277100</v>
      </c>
      <c r="H65">
        <v>10</v>
      </c>
      <c r="I65">
        <f t="shared" si="1"/>
        <v>116100</v>
      </c>
    </row>
    <row r="66" spans="1:9" x14ac:dyDescent="0.25">
      <c r="A66" t="s">
        <v>26</v>
      </c>
      <c r="B66" t="s">
        <v>55</v>
      </c>
      <c r="C66" t="s">
        <v>39</v>
      </c>
      <c r="D66" t="s">
        <v>10</v>
      </c>
      <c r="E66" s="1">
        <v>40938</v>
      </c>
      <c r="F66">
        <v>575520</v>
      </c>
      <c r="G66" s="2">
        <f t="shared" si="0"/>
        <v>633072</v>
      </c>
      <c r="H66">
        <v>10</v>
      </c>
      <c r="I66">
        <f t="shared" si="1"/>
        <v>57552</v>
      </c>
    </row>
    <row r="67" spans="1:9" x14ac:dyDescent="0.25">
      <c r="A67" t="s">
        <v>27</v>
      </c>
      <c r="B67" t="s">
        <v>56</v>
      </c>
      <c r="C67" t="s">
        <v>2</v>
      </c>
      <c r="D67" t="s">
        <v>11</v>
      </c>
      <c r="E67" s="1">
        <v>40914</v>
      </c>
      <c r="F67">
        <v>268770</v>
      </c>
      <c r="G67" s="2">
        <f t="shared" ref="G67:G100" si="2">F67*(1+H67/100)</f>
        <v>301022.40000000002</v>
      </c>
      <c r="H67">
        <v>12</v>
      </c>
      <c r="I67">
        <f t="shared" ref="I67:I100" si="3">G67-F67</f>
        <v>32252.400000000023</v>
      </c>
    </row>
    <row r="68" spans="1:9" x14ac:dyDescent="0.25">
      <c r="A68" t="s">
        <v>20</v>
      </c>
      <c r="B68" t="s">
        <v>49</v>
      </c>
      <c r="C68" t="s">
        <v>3</v>
      </c>
      <c r="D68" t="s">
        <v>8</v>
      </c>
      <c r="E68" s="1">
        <v>40925</v>
      </c>
      <c r="F68">
        <v>1579500</v>
      </c>
      <c r="G68" s="2">
        <f t="shared" si="2"/>
        <v>1690065</v>
      </c>
      <c r="H68">
        <v>7</v>
      </c>
      <c r="I68">
        <f t="shared" si="3"/>
        <v>110565</v>
      </c>
    </row>
    <row r="69" spans="1:9" x14ac:dyDescent="0.25">
      <c r="A69" t="s">
        <v>21</v>
      </c>
      <c r="B69" t="s">
        <v>50</v>
      </c>
      <c r="C69" t="s">
        <v>3</v>
      </c>
      <c r="D69" t="s">
        <v>5</v>
      </c>
      <c r="E69" s="1">
        <v>40930</v>
      </c>
      <c r="F69">
        <v>760060</v>
      </c>
      <c r="G69" s="2">
        <f t="shared" si="2"/>
        <v>722057</v>
      </c>
      <c r="H69">
        <v>-5</v>
      </c>
      <c r="I69">
        <f t="shared" si="3"/>
        <v>-38003</v>
      </c>
    </row>
    <row r="70" spans="1:9" x14ac:dyDescent="0.25">
      <c r="A70" t="s">
        <v>22</v>
      </c>
      <c r="B70" t="s">
        <v>51</v>
      </c>
      <c r="C70" t="s">
        <v>36</v>
      </c>
      <c r="D70" t="s">
        <v>6</v>
      </c>
      <c r="E70" s="1">
        <v>40936</v>
      </c>
      <c r="F70">
        <v>818550</v>
      </c>
      <c r="G70" s="2">
        <f t="shared" si="2"/>
        <v>912683.25</v>
      </c>
      <c r="H70">
        <v>11.5</v>
      </c>
      <c r="I70">
        <f t="shared" si="3"/>
        <v>94133.25</v>
      </c>
    </row>
    <row r="71" spans="1:9" x14ac:dyDescent="0.25">
      <c r="A71" t="s">
        <v>23</v>
      </c>
      <c r="B71" t="s">
        <v>52</v>
      </c>
      <c r="C71" t="s">
        <v>37</v>
      </c>
      <c r="D71" t="s">
        <v>7</v>
      </c>
      <c r="E71" s="1">
        <v>40991</v>
      </c>
      <c r="F71">
        <v>537700</v>
      </c>
      <c r="G71" s="2">
        <f t="shared" si="2"/>
        <v>596847</v>
      </c>
      <c r="H71">
        <v>11</v>
      </c>
      <c r="I71">
        <f t="shared" si="3"/>
        <v>59147</v>
      </c>
    </row>
    <row r="72" spans="1:9" x14ac:dyDescent="0.25">
      <c r="A72" t="s">
        <v>17</v>
      </c>
      <c r="B72" t="s">
        <v>46</v>
      </c>
      <c r="C72" t="s">
        <v>2</v>
      </c>
      <c r="D72" t="s">
        <v>8</v>
      </c>
      <c r="E72" s="1">
        <v>40917</v>
      </c>
      <c r="F72">
        <v>392160</v>
      </c>
      <c r="G72" s="2">
        <f t="shared" si="2"/>
        <v>447062.4</v>
      </c>
      <c r="H72">
        <v>14</v>
      </c>
      <c r="I72">
        <f t="shared" si="3"/>
        <v>54902.400000000023</v>
      </c>
    </row>
    <row r="73" spans="1:9" x14ac:dyDescent="0.25">
      <c r="A73" t="s">
        <v>18</v>
      </c>
      <c r="B73" t="s">
        <v>47</v>
      </c>
      <c r="C73" t="s">
        <v>38</v>
      </c>
      <c r="D73" t="s">
        <v>9</v>
      </c>
      <c r="E73" s="1">
        <v>40918</v>
      </c>
      <c r="F73">
        <v>979910</v>
      </c>
      <c r="G73" s="2">
        <f t="shared" si="2"/>
        <v>1053403.25</v>
      </c>
      <c r="H73">
        <v>7.5</v>
      </c>
      <c r="I73">
        <f t="shared" si="3"/>
        <v>73493.25</v>
      </c>
    </row>
    <row r="74" spans="1:9" x14ac:dyDescent="0.25">
      <c r="A74" t="s">
        <v>19</v>
      </c>
      <c r="B74" t="s">
        <v>48</v>
      </c>
      <c r="C74" t="s">
        <v>39</v>
      </c>
      <c r="D74" t="s">
        <v>12</v>
      </c>
      <c r="E74" s="1">
        <v>40919</v>
      </c>
      <c r="F74">
        <v>782100</v>
      </c>
      <c r="G74" s="2">
        <f t="shared" si="2"/>
        <v>840757.5</v>
      </c>
      <c r="H74">
        <v>7.5</v>
      </c>
      <c r="I74">
        <f t="shared" si="3"/>
        <v>58657.5</v>
      </c>
    </row>
    <row r="75" spans="1:9" x14ac:dyDescent="0.25">
      <c r="A75" t="s">
        <v>20</v>
      </c>
      <c r="B75" t="s">
        <v>49</v>
      </c>
      <c r="C75" t="s">
        <v>40</v>
      </c>
      <c r="D75" t="s">
        <v>13</v>
      </c>
      <c r="E75" s="1">
        <v>40981</v>
      </c>
      <c r="F75">
        <v>696900</v>
      </c>
      <c r="G75" s="2">
        <f t="shared" si="2"/>
        <v>738714</v>
      </c>
      <c r="H75">
        <v>6</v>
      </c>
      <c r="I75">
        <f t="shared" si="3"/>
        <v>41814</v>
      </c>
    </row>
    <row r="76" spans="1:9" x14ac:dyDescent="0.25">
      <c r="A76" t="s">
        <v>21</v>
      </c>
      <c r="B76" t="s">
        <v>50</v>
      </c>
      <c r="C76" t="s">
        <v>41</v>
      </c>
      <c r="D76" t="s">
        <v>7</v>
      </c>
      <c r="E76" s="1">
        <v>40943</v>
      </c>
      <c r="F76">
        <v>598560</v>
      </c>
      <c r="G76" s="2">
        <f t="shared" si="2"/>
        <v>658416</v>
      </c>
      <c r="H76">
        <v>10</v>
      </c>
      <c r="I76">
        <f t="shared" si="3"/>
        <v>59856</v>
      </c>
    </row>
    <row r="77" spans="1:9" x14ac:dyDescent="0.25">
      <c r="A77" t="s">
        <v>22</v>
      </c>
      <c r="B77" t="s">
        <v>51</v>
      </c>
      <c r="C77" t="s">
        <v>39</v>
      </c>
      <c r="D77" t="s">
        <v>8</v>
      </c>
      <c r="E77" s="1">
        <v>40951</v>
      </c>
      <c r="F77">
        <v>328600</v>
      </c>
      <c r="G77" s="2">
        <f t="shared" si="2"/>
        <v>361460.00000000006</v>
      </c>
      <c r="H77">
        <v>10</v>
      </c>
      <c r="I77">
        <f t="shared" si="3"/>
        <v>32860.000000000058</v>
      </c>
    </row>
    <row r="78" spans="1:9" x14ac:dyDescent="0.25">
      <c r="A78" t="s">
        <v>23</v>
      </c>
      <c r="B78" t="s">
        <v>52</v>
      </c>
      <c r="C78" t="s">
        <v>2</v>
      </c>
      <c r="D78" t="s">
        <v>14</v>
      </c>
      <c r="E78" s="1">
        <v>40956</v>
      </c>
      <c r="F78">
        <v>841080</v>
      </c>
      <c r="G78" s="2">
        <f t="shared" si="2"/>
        <v>942009.60000000009</v>
      </c>
      <c r="H78">
        <v>12</v>
      </c>
      <c r="I78">
        <f t="shared" si="3"/>
        <v>100929.60000000009</v>
      </c>
    </row>
    <row r="79" spans="1:9" x14ac:dyDescent="0.25">
      <c r="A79" t="s">
        <v>17</v>
      </c>
      <c r="B79" t="s">
        <v>46</v>
      </c>
      <c r="C79" t="s">
        <v>2</v>
      </c>
      <c r="D79" t="s">
        <v>15</v>
      </c>
      <c r="E79" s="1">
        <v>40960</v>
      </c>
      <c r="F79">
        <v>780000</v>
      </c>
      <c r="G79" s="2">
        <f t="shared" si="2"/>
        <v>725400</v>
      </c>
      <c r="H79">
        <v>-7</v>
      </c>
      <c r="I79">
        <f t="shared" si="3"/>
        <v>-54600</v>
      </c>
    </row>
    <row r="80" spans="1:9" x14ac:dyDescent="0.25">
      <c r="A80" t="s">
        <v>18</v>
      </c>
      <c r="B80" t="s">
        <v>47</v>
      </c>
      <c r="C80" t="s">
        <v>2</v>
      </c>
      <c r="D80" t="s">
        <v>16</v>
      </c>
      <c r="E80" s="1">
        <v>40961</v>
      </c>
      <c r="F80">
        <v>554600</v>
      </c>
      <c r="G80" s="2">
        <f t="shared" si="2"/>
        <v>526870</v>
      </c>
      <c r="H80">
        <v>-5</v>
      </c>
      <c r="I80">
        <f t="shared" si="3"/>
        <v>-27730</v>
      </c>
    </row>
    <row r="81" spans="1:9" x14ac:dyDescent="0.25">
      <c r="A81" t="s">
        <v>19</v>
      </c>
      <c r="B81" t="s">
        <v>48</v>
      </c>
      <c r="C81" t="s">
        <v>3</v>
      </c>
      <c r="D81" t="s">
        <v>9</v>
      </c>
      <c r="E81" s="1">
        <v>40921</v>
      </c>
      <c r="F81">
        <v>630000</v>
      </c>
      <c r="G81" s="2">
        <f t="shared" si="2"/>
        <v>702450</v>
      </c>
      <c r="H81">
        <v>11.5</v>
      </c>
      <c r="I81">
        <f t="shared" si="3"/>
        <v>72450</v>
      </c>
    </row>
    <row r="82" spans="1:9" x14ac:dyDescent="0.25">
      <c r="A82" t="s">
        <v>20</v>
      </c>
      <c r="B82" t="s">
        <v>49</v>
      </c>
      <c r="C82" t="s">
        <v>3</v>
      </c>
      <c r="D82" t="s">
        <v>10</v>
      </c>
      <c r="E82" s="1">
        <v>40964</v>
      </c>
      <c r="F82">
        <v>491130</v>
      </c>
      <c r="G82" s="2">
        <f t="shared" si="2"/>
        <v>542698.65</v>
      </c>
      <c r="H82">
        <v>10.5</v>
      </c>
      <c r="I82">
        <f t="shared" si="3"/>
        <v>51568.650000000023</v>
      </c>
    </row>
    <row r="83" spans="1:9" x14ac:dyDescent="0.25">
      <c r="A83" t="s">
        <v>21</v>
      </c>
      <c r="B83" t="s">
        <v>50</v>
      </c>
      <c r="C83" t="s">
        <v>36</v>
      </c>
      <c r="D83" t="s">
        <v>11</v>
      </c>
      <c r="E83" s="1">
        <v>40965</v>
      </c>
      <c r="F83">
        <v>251100</v>
      </c>
      <c r="G83" s="2">
        <f t="shared" si="2"/>
        <v>272443.5</v>
      </c>
      <c r="H83">
        <v>8.5</v>
      </c>
      <c r="I83">
        <f t="shared" si="3"/>
        <v>21343.5</v>
      </c>
    </row>
    <row r="84" spans="1:9" x14ac:dyDescent="0.25">
      <c r="A84" t="s">
        <v>22</v>
      </c>
      <c r="B84" t="s">
        <v>51</v>
      </c>
      <c r="C84" t="s">
        <v>37</v>
      </c>
      <c r="D84" t="s">
        <v>8</v>
      </c>
      <c r="E84" s="1">
        <v>40996</v>
      </c>
      <c r="F84">
        <v>940500</v>
      </c>
      <c r="G84" s="2">
        <f t="shared" si="2"/>
        <v>1062765</v>
      </c>
      <c r="H84">
        <v>13</v>
      </c>
      <c r="I84">
        <f t="shared" si="3"/>
        <v>122265</v>
      </c>
    </row>
    <row r="85" spans="1:9" x14ac:dyDescent="0.25">
      <c r="A85" t="s">
        <v>23</v>
      </c>
      <c r="B85" t="s">
        <v>52</v>
      </c>
      <c r="C85" t="s">
        <v>2</v>
      </c>
      <c r="D85" t="s">
        <v>5</v>
      </c>
      <c r="E85" s="1">
        <v>40943</v>
      </c>
      <c r="F85">
        <v>1133000</v>
      </c>
      <c r="G85" s="2">
        <f t="shared" si="2"/>
        <v>1246300</v>
      </c>
      <c r="H85">
        <v>10</v>
      </c>
      <c r="I85">
        <f t="shared" si="3"/>
        <v>113300</v>
      </c>
    </row>
    <row r="86" spans="1:9" x14ac:dyDescent="0.25">
      <c r="A86" t="s">
        <v>24</v>
      </c>
      <c r="B86" t="s">
        <v>53</v>
      </c>
      <c r="C86" t="s">
        <v>38</v>
      </c>
      <c r="D86" t="s">
        <v>6</v>
      </c>
      <c r="E86" s="1">
        <v>40925</v>
      </c>
      <c r="F86">
        <v>549900</v>
      </c>
      <c r="G86" s="2">
        <f t="shared" si="2"/>
        <v>505908</v>
      </c>
      <c r="H86">
        <v>-8</v>
      </c>
      <c r="I86">
        <f t="shared" si="3"/>
        <v>-43992</v>
      </c>
    </row>
    <row r="87" spans="1:9" x14ac:dyDescent="0.25">
      <c r="A87" t="s">
        <v>25</v>
      </c>
      <c r="B87" t="s">
        <v>54</v>
      </c>
      <c r="C87" t="s">
        <v>39</v>
      </c>
      <c r="D87" t="s">
        <v>4</v>
      </c>
      <c r="E87" s="1">
        <v>40957</v>
      </c>
      <c r="F87">
        <v>888560</v>
      </c>
      <c r="G87" s="2">
        <f t="shared" si="2"/>
        <v>986301.60000000009</v>
      </c>
      <c r="H87">
        <v>11</v>
      </c>
      <c r="I87">
        <f t="shared" si="3"/>
        <v>97741.600000000093</v>
      </c>
    </row>
    <row r="88" spans="1:9" x14ac:dyDescent="0.25">
      <c r="A88" t="s">
        <v>26</v>
      </c>
      <c r="B88" t="s">
        <v>55</v>
      </c>
      <c r="C88" t="s">
        <v>40</v>
      </c>
      <c r="D88" t="s">
        <v>5</v>
      </c>
      <c r="E88" s="1">
        <v>40967</v>
      </c>
      <c r="F88">
        <v>882900</v>
      </c>
      <c r="G88" s="2">
        <f t="shared" si="2"/>
        <v>1006506.0000000001</v>
      </c>
      <c r="H88">
        <v>14</v>
      </c>
      <c r="I88">
        <f t="shared" si="3"/>
        <v>123606.00000000012</v>
      </c>
    </row>
    <row r="89" spans="1:9" x14ac:dyDescent="0.25">
      <c r="A89" t="s">
        <v>27</v>
      </c>
      <c r="B89" t="s">
        <v>56</v>
      </c>
      <c r="C89" t="s">
        <v>41</v>
      </c>
      <c r="D89" t="s">
        <v>5</v>
      </c>
      <c r="E89" s="1">
        <v>40977</v>
      </c>
      <c r="F89">
        <v>1161000</v>
      </c>
      <c r="G89" s="2">
        <f t="shared" si="2"/>
        <v>1248075</v>
      </c>
      <c r="H89">
        <v>7.5</v>
      </c>
      <c r="I89">
        <f t="shared" si="3"/>
        <v>87075</v>
      </c>
    </row>
    <row r="90" spans="1:9" x14ac:dyDescent="0.25">
      <c r="A90" t="s">
        <v>20</v>
      </c>
      <c r="B90" t="s">
        <v>49</v>
      </c>
      <c r="C90" t="s">
        <v>39</v>
      </c>
      <c r="D90" t="s">
        <v>6</v>
      </c>
      <c r="E90" s="1">
        <v>40949</v>
      </c>
      <c r="F90">
        <v>841080</v>
      </c>
      <c r="G90" s="2">
        <f t="shared" si="2"/>
        <v>904161</v>
      </c>
      <c r="H90">
        <v>7.5</v>
      </c>
      <c r="I90">
        <f t="shared" si="3"/>
        <v>63081</v>
      </c>
    </row>
    <row r="91" spans="1:9" x14ac:dyDescent="0.25">
      <c r="A91" t="s">
        <v>21</v>
      </c>
      <c r="B91" t="s">
        <v>50</v>
      </c>
      <c r="C91" t="s">
        <v>2</v>
      </c>
      <c r="D91" t="s">
        <v>16</v>
      </c>
      <c r="E91" s="1">
        <v>40943</v>
      </c>
      <c r="F91">
        <v>780000</v>
      </c>
      <c r="G91" s="2">
        <f t="shared" si="2"/>
        <v>826800</v>
      </c>
      <c r="H91">
        <v>6</v>
      </c>
      <c r="I91">
        <f t="shared" si="3"/>
        <v>46800</v>
      </c>
    </row>
    <row r="92" spans="1:9" x14ac:dyDescent="0.25">
      <c r="A92" t="s">
        <v>22</v>
      </c>
      <c r="B92" t="s">
        <v>51</v>
      </c>
      <c r="C92" t="s">
        <v>39</v>
      </c>
      <c r="D92" t="s">
        <v>6</v>
      </c>
      <c r="E92" s="1">
        <v>40946</v>
      </c>
      <c r="F92">
        <v>554600</v>
      </c>
      <c r="G92" s="2">
        <f t="shared" si="2"/>
        <v>610060</v>
      </c>
      <c r="H92">
        <v>10</v>
      </c>
      <c r="I92">
        <f t="shared" si="3"/>
        <v>55460</v>
      </c>
    </row>
    <row r="93" spans="1:9" x14ac:dyDescent="0.25">
      <c r="A93" t="s">
        <v>23</v>
      </c>
      <c r="B93" t="s">
        <v>52</v>
      </c>
      <c r="C93" t="s">
        <v>40</v>
      </c>
      <c r="D93" t="s">
        <v>7</v>
      </c>
      <c r="E93" s="1">
        <v>40983</v>
      </c>
      <c r="F93">
        <v>630000</v>
      </c>
      <c r="G93" s="2">
        <f t="shared" si="2"/>
        <v>705600.00000000012</v>
      </c>
      <c r="H93">
        <v>12</v>
      </c>
      <c r="I93">
        <f t="shared" si="3"/>
        <v>75600.000000000116</v>
      </c>
    </row>
    <row r="94" spans="1:9" x14ac:dyDescent="0.25">
      <c r="A94" t="s">
        <v>17</v>
      </c>
      <c r="B94" t="s">
        <v>46</v>
      </c>
      <c r="C94" t="s">
        <v>41</v>
      </c>
      <c r="D94" t="s">
        <v>8</v>
      </c>
      <c r="E94" s="1">
        <v>40924</v>
      </c>
      <c r="F94">
        <v>491130</v>
      </c>
      <c r="G94" s="2">
        <f t="shared" si="2"/>
        <v>456750.89999999997</v>
      </c>
      <c r="H94">
        <v>-7</v>
      </c>
      <c r="I94">
        <f t="shared" si="3"/>
        <v>-34379.100000000035</v>
      </c>
    </row>
    <row r="95" spans="1:9" x14ac:dyDescent="0.25">
      <c r="A95" t="s">
        <v>18</v>
      </c>
      <c r="B95" t="s">
        <v>47</v>
      </c>
      <c r="C95" t="s">
        <v>39</v>
      </c>
      <c r="D95" t="s">
        <v>7</v>
      </c>
      <c r="E95" s="1">
        <v>40942</v>
      </c>
      <c r="F95">
        <v>251100</v>
      </c>
      <c r="G95" s="2">
        <f t="shared" si="2"/>
        <v>238545</v>
      </c>
      <c r="H95">
        <v>-5</v>
      </c>
      <c r="I95">
        <f t="shared" si="3"/>
        <v>-12555</v>
      </c>
    </row>
    <row r="96" spans="1:9" x14ac:dyDescent="0.25">
      <c r="A96" t="s">
        <v>19</v>
      </c>
      <c r="B96" t="s">
        <v>48</v>
      </c>
      <c r="C96" t="s">
        <v>2</v>
      </c>
      <c r="D96" t="s">
        <v>8</v>
      </c>
      <c r="E96" s="1">
        <v>40943</v>
      </c>
      <c r="F96">
        <v>940500</v>
      </c>
      <c r="G96" s="2">
        <f t="shared" si="2"/>
        <v>1048657.5</v>
      </c>
      <c r="H96">
        <v>11.5</v>
      </c>
      <c r="I96">
        <f t="shared" si="3"/>
        <v>108157.5</v>
      </c>
    </row>
    <row r="97" spans="1:9" x14ac:dyDescent="0.25">
      <c r="A97" t="s">
        <v>20</v>
      </c>
      <c r="B97" t="s">
        <v>49</v>
      </c>
      <c r="C97" t="s">
        <v>3</v>
      </c>
      <c r="D97" t="s">
        <v>9</v>
      </c>
      <c r="E97" s="1">
        <v>40951</v>
      </c>
      <c r="F97">
        <v>1133000</v>
      </c>
      <c r="G97" s="2">
        <f t="shared" si="2"/>
        <v>1251965</v>
      </c>
      <c r="H97">
        <v>10.5</v>
      </c>
      <c r="I97">
        <f t="shared" si="3"/>
        <v>118965</v>
      </c>
    </row>
    <row r="98" spans="1:9" x14ac:dyDescent="0.25">
      <c r="A98" t="s">
        <v>17</v>
      </c>
      <c r="B98" t="s">
        <v>46</v>
      </c>
      <c r="C98" t="s">
        <v>3</v>
      </c>
      <c r="D98" t="s">
        <v>12</v>
      </c>
      <c r="E98" s="1">
        <v>40985</v>
      </c>
      <c r="F98">
        <v>549900</v>
      </c>
      <c r="G98" s="2">
        <f t="shared" si="2"/>
        <v>596641.5</v>
      </c>
      <c r="H98">
        <v>8.5</v>
      </c>
      <c r="I98">
        <f t="shared" si="3"/>
        <v>46741.5</v>
      </c>
    </row>
    <row r="99" spans="1:9" x14ac:dyDescent="0.25">
      <c r="A99" t="s">
        <v>18</v>
      </c>
      <c r="B99" t="s">
        <v>47</v>
      </c>
      <c r="C99" t="s">
        <v>36</v>
      </c>
      <c r="D99" t="s">
        <v>13</v>
      </c>
      <c r="E99" s="1">
        <v>40929</v>
      </c>
      <c r="F99">
        <v>888560</v>
      </c>
      <c r="G99" s="2">
        <f t="shared" si="2"/>
        <v>1004072.7999999999</v>
      </c>
      <c r="H99">
        <v>13</v>
      </c>
      <c r="I99">
        <f t="shared" si="3"/>
        <v>115512.79999999993</v>
      </c>
    </row>
    <row r="100" spans="1:9" x14ac:dyDescent="0.25">
      <c r="A100" t="s">
        <v>19</v>
      </c>
      <c r="B100" t="s">
        <v>48</v>
      </c>
      <c r="C100" t="s">
        <v>37</v>
      </c>
      <c r="D100" t="s">
        <v>14</v>
      </c>
      <c r="E100" s="1">
        <v>40961</v>
      </c>
      <c r="F100">
        <v>882900</v>
      </c>
      <c r="G100" s="2">
        <f t="shared" si="2"/>
        <v>971190.00000000012</v>
      </c>
      <c r="H100">
        <v>10</v>
      </c>
      <c r="I100">
        <f t="shared" si="3"/>
        <v>88290.000000000116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B17" sqref="B17"/>
    </sheetView>
  </sheetViews>
  <sheetFormatPr defaultRowHeight="15" x14ac:dyDescent="0.25"/>
  <cols>
    <col min="1" max="1" width="27.7109375" bestFit="1" customWidth="1"/>
    <col min="2" max="2" width="27.7109375" customWidth="1"/>
    <col min="3" max="3" width="15.7109375" bestFit="1" customWidth="1"/>
    <col min="4" max="4" width="9.7109375" bestFit="1" customWidth="1"/>
    <col min="5" max="5" width="9.140625" style="1"/>
    <col min="6" max="6" width="15" bestFit="1" customWidth="1"/>
    <col min="7" max="7" width="13.42578125" style="2" bestFit="1" customWidth="1"/>
    <col min="8" max="9" width="14.7109375" customWidth="1"/>
  </cols>
  <sheetData>
    <row r="1" spans="1:9" x14ac:dyDescent="0.25">
      <c r="B1" t="s">
        <v>45</v>
      </c>
      <c r="C1" t="s">
        <v>0</v>
      </c>
      <c r="D1" t="s">
        <v>1</v>
      </c>
      <c r="E1" s="1" t="s">
        <v>31</v>
      </c>
      <c r="F1" t="s">
        <v>32</v>
      </c>
      <c r="G1" s="2" t="s">
        <v>34</v>
      </c>
      <c r="H1" t="s">
        <v>35</v>
      </c>
      <c r="I1" t="s">
        <v>33</v>
      </c>
    </row>
    <row r="2" spans="1:9" x14ac:dyDescent="0.25">
      <c r="A2" t="s">
        <v>17</v>
      </c>
      <c r="C2" t="s">
        <v>2</v>
      </c>
      <c r="D2" t="s">
        <v>4</v>
      </c>
      <c r="E2" s="1">
        <v>40913</v>
      </c>
      <c r="F2">
        <v>671060</v>
      </c>
      <c r="G2" s="2">
        <f>F2*(1+H2/100)</f>
        <v>771718.99999999988</v>
      </c>
      <c r="H2">
        <v>15</v>
      </c>
      <c r="I2">
        <f>G2-F2</f>
        <v>100658.99999999988</v>
      </c>
    </row>
    <row r="3" spans="1:9" x14ac:dyDescent="0.25">
      <c r="A3" t="s">
        <v>18</v>
      </c>
      <c r="C3" t="s">
        <v>3</v>
      </c>
      <c r="D3" t="s">
        <v>5</v>
      </c>
      <c r="E3" s="1">
        <v>40921</v>
      </c>
      <c r="F3">
        <v>540960</v>
      </c>
      <c r="G3" s="2">
        <f t="shared" ref="G3:G66" si="0">F3*(1+H3/100)</f>
        <v>600465.60000000009</v>
      </c>
      <c r="H3">
        <v>11</v>
      </c>
      <c r="I3">
        <f t="shared" ref="I3:I66" si="1">G3-F3</f>
        <v>59505.600000000093</v>
      </c>
    </row>
    <row r="4" spans="1:9" x14ac:dyDescent="0.25">
      <c r="A4" t="s">
        <v>19</v>
      </c>
      <c r="C4" t="s">
        <v>3</v>
      </c>
      <c r="D4" t="s">
        <v>5</v>
      </c>
      <c r="E4" s="1">
        <v>40913</v>
      </c>
      <c r="F4">
        <v>503740</v>
      </c>
      <c r="G4" s="2">
        <f t="shared" si="0"/>
        <v>539001.80000000005</v>
      </c>
      <c r="H4">
        <v>7</v>
      </c>
      <c r="I4">
        <f t="shared" si="1"/>
        <v>35261.800000000047</v>
      </c>
    </row>
    <row r="5" spans="1:9" x14ac:dyDescent="0.25">
      <c r="A5" t="s">
        <v>20</v>
      </c>
      <c r="C5" t="s">
        <v>36</v>
      </c>
      <c r="D5" t="s">
        <v>6</v>
      </c>
      <c r="E5" s="1">
        <v>40975</v>
      </c>
      <c r="F5">
        <v>378480</v>
      </c>
      <c r="G5" s="2">
        <f t="shared" si="0"/>
        <v>408758.4</v>
      </c>
      <c r="H5">
        <v>8</v>
      </c>
      <c r="I5">
        <f t="shared" si="1"/>
        <v>30278.400000000023</v>
      </c>
    </row>
    <row r="6" spans="1:9" x14ac:dyDescent="0.25">
      <c r="A6" t="s">
        <v>21</v>
      </c>
      <c r="C6" t="s">
        <v>37</v>
      </c>
      <c r="D6" t="s">
        <v>7</v>
      </c>
      <c r="E6" s="1">
        <v>40916</v>
      </c>
      <c r="F6">
        <v>791120</v>
      </c>
      <c r="G6" s="2">
        <f t="shared" si="0"/>
        <v>893965.59999999986</v>
      </c>
      <c r="H6">
        <v>13</v>
      </c>
      <c r="I6">
        <f t="shared" si="1"/>
        <v>102845.59999999986</v>
      </c>
    </row>
    <row r="7" spans="1:9" x14ac:dyDescent="0.25">
      <c r="A7" t="s">
        <v>22</v>
      </c>
      <c r="C7" t="s">
        <v>2</v>
      </c>
      <c r="D7" t="s">
        <v>8</v>
      </c>
      <c r="E7" s="1">
        <v>40917</v>
      </c>
      <c r="F7">
        <v>516200</v>
      </c>
      <c r="G7" s="2">
        <f t="shared" si="0"/>
        <v>552334</v>
      </c>
      <c r="H7">
        <v>7</v>
      </c>
      <c r="I7">
        <f t="shared" si="1"/>
        <v>36134</v>
      </c>
    </row>
    <row r="8" spans="1:9" x14ac:dyDescent="0.25">
      <c r="A8" t="s">
        <v>23</v>
      </c>
      <c r="C8" t="s">
        <v>38</v>
      </c>
      <c r="D8" t="s">
        <v>9</v>
      </c>
      <c r="E8" s="1">
        <v>40918</v>
      </c>
      <c r="F8">
        <v>304700</v>
      </c>
      <c r="G8" s="2">
        <f t="shared" si="0"/>
        <v>286418</v>
      </c>
      <c r="H8">
        <v>-6</v>
      </c>
      <c r="I8">
        <f t="shared" si="1"/>
        <v>-18282</v>
      </c>
    </row>
    <row r="9" spans="1:9" x14ac:dyDescent="0.25">
      <c r="A9" t="s">
        <v>24</v>
      </c>
      <c r="C9" t="s">
        <v>39</v>
      </c>
      <c r="D9" t="s">
        <v>10</v>
      </c>
      <c r="E9" s="1">
        <v>40912</v>
      </c>
      <c r="F9">
        <v>417960</v>
      </c>
      <c r="G9" s="2">
        <f t="shared" si="0"/>
        <v>451396.80000000005</v>
      </c>
      <c r="H9">
        <v>8</v>
      </c>
      <c r="I9">
        <f t="shared" si="1"/>
        <v>33436.800000000047</v>
      </c>
    </row>
    <row r="10" spans="1:9" x14ac:dyDescent="0.25">
      <c r="A10" t="s">
        <v>25</v>
      </c>
      <c r="C10" t="s">
        <v>40</v>
      </c>
      <c r="D10" t="s">
        <v>11</v>
      </c>
      <c r="E10" s="1">
        <v>40915</v>
      </c>
      <c r="F10">
        <v>870910</v>
      </c>
      <c r="G10" s="2">
        <f t="shared" si="0"/>
        <v>949291.9</v>
      </c>
      <c r="H10">
        <v>9</v>
      </c>
      <c r="I10">
        <f t="shared" si="1"/>
        <v>78381.900000000023</v>
      </c>
    </row>
    <row r="11" spans="1:9" x14ac:dyDescent="0.25">
      <c r="A11" t="s">
        <v>26</v>
      </c>
      <c r="C11" t="s">
        <v>41</v>
      </c>
      <c r="D11" t="s">
        <v>8</v>
      </c>
      <c r="E11" s="1">
        <v>40923</v>
      </c>
      <c r="F11">
        <v>301990</v>
      </c>
      <c r="G11" s="2">
        <f t="shared" si="0"/>
        <v>320109.40000000002</v>
      </c>
      <c r="H11">
        <v>6</v>
      </c>
      <c r="I11">
        <f t="shared" si="1"/>
        <v>18119.400000000023</v>
      </c>
    </row>
    <row r="12" spans="1:9" x14ac:dyDescent="0.25">
      <c r="A12" t="s">
        <v>27</v>
      </c>
      <c r="C12" t="s">
        <v>39</v>
      </c>
      <c r="D12" t="s">
        <v>5</v>
      </c>
      <c r="E12" s="1">
        <v>40924</v>
      </c>
      <c r="F12">
        <v>526500</v>
      </c>
      <c r="G12" s="2">
        <f t="shared" si="0"/>
        <v>579150</v>
      </c>
      <c r="H12">
        <v>10</v>
      </c>
      <c r="I12">
        <f t="shared" si="1"/>
        <v>52650</v>
      </c>
    </row>
    <row r="13" spans="1:9" x14ac:dyDescent="0.25">
      <c r="A13" t="s">
        <v>28</v>
      </c>
      <c r="C13" t="s">
        <v>2</v>
      </c>
      <c r="D13" t="s">
        <v>6</v>
      </c>
      <c r="E13" s="1">
        <v>40971</v>
      </c>
      <c r="F13">
        <v>750680</v>
      </c>
      <c r="G13" s="2">
        <f t="shared" si="0"/>
        <v>825748.00000000012</v>
      </c>
      <c r="H13">
        <v>10</v>
      </c>
      <c r="I13">
        <f t="shared" si="1"/>
        <v>75068.000000000116</v>
      </c>
    </row>
    <row r="14" spans="1:9" x14ac:dyDescent="0.25">
      <c r="A14" t="s">
        <v>30</v>
      </c>
      <c r="C14" t="s">
        <v>2</v>
      </c>
      <c r="D14" t="s">
        <v>7</v>
      </c>
      <c r="E14" s="1">
        <v>40912</v>
      </c>
      <c r="F14">
        <v>1199000</v>
      </c>
      <c r="G14" s="2">
        <f t="shared" si="0"/>
        <v>1342880.0000000002</v>
      </c>
      <c r="H14">
        <v>12</v>
      </c>
      <c r="I14">
        <f t="shared" si="1"/>
        <v>143880.00000000023</v>
      </c>
    </row>
    <row r="15" spans="1:9" x14ac:dyDescent="0.25">
      <c r="A15" t="s">
        <v>29</v>
      </c>
      <c r="C15" t="s">
        <v>2</v>
      </c>
      <c r="D15" t="s">
        <v>8</v>
      </c>
      <c r="E15" s="1">
        <v>40920</v>
      </c>
      <c r="F15">
        <v>598560</v>
      </c>
      <c r="G15" s="2">
        <f t="shared" si="0"/>
        <v>556660.79999999993</v>
      </c>
      <c r="H15">
        <v>-7</v>
      </c>
      <c r="I15">
        <f t="shared" si="1"/>
        <v>-41899.20000000007</v>
      </c>
    </row>
    <row r="16" spans="1:9" x14ac:dyDescent="0.25">
      <c r="A16" t="s">
        <v>20</v>
      </c>
      <c r="C16" t="s">
        <v>3</v>
      </c>
      <c r="D16" t="s">
        <v>9</v>
      </c>
      <c r="E16" s="1">
        <v>40925</v>
      </c>
      <c r="F16">
        <v>328600</v>
      </c>
      <c r="G16" s="2">
        <f t="shared" si="0"/>
        <v>312170</v>
      </c>
      <c r="H16">
        <v>-5</v>
      </c>
      <c r="I16">
        <f t="shared" si="1"/>
        <v>-16430</v>
      </c>
    </row>
    <row r="17" spans="1:9" x14ac:dyDescent="0.25">
      <c r="A17" t="s">
        <v>21</v>
      </c>
      <c r="C17" t="s">
        <v>3</v>
      </c>
      <c r="D17" t="s">
        <v>12</v>
      </c>
      <c r="E17" s="1">
        <v>40929</v>
      </c>
      <c r="F17">
        <v>841080</v>
      </c>
      <c r="G17" s="2">
        <f t="shared" si="0"/>
        <v>937804.2</v>
      </c>
      <c r="H17">
        <v>11.5</v>
      </c>
      <c r="I17">
        <f t="shared" si="1"/>
        <v>96724.199999999953</v>
      </c>
    </row>
    <row r="18" spans="1:9" x14ac:dyDescent="0.25">
      <c r="A18" t="s">
        <v>22</v>
      </c>
      <c r="C18" t="s">
        <v>36</v>
      </c>
      <c r="D18" t="s">
        <v>13</v>
      </c>
      <c r="E18" s="1">
        <v>40930</v>
      </c>
      <c r="F18">
        <v>780000</v>
      </c>
      <c r="G18" s="2">
        <f t="shared" si="0"/>
        <v>861900</v>
      </c>
      <c r="H18">
        <v>10.5</v>
      </c>
      <c r="I18">
        <f t="shared" si="1"/>
        <v>81900</v>
      </c>
    </row>
    <row r="19" spans="1:9" x14ac:dyDescent="0.25">
      <c r="A19" t="s">
        <v>23</v>
      </c>
      <c r="C19" t="s">
        <v>37</v>
      </c>
      <c r="D19" t="s">
        <v>14</v>
      </c>
      <c r="E19" s="1">
        <v>40921</v>
      </c>
      <c r="F19">
        <v>554600</v>
      </c>
      <c r="G19" s="2">
        <f t="shared" si="0"/>
        <v>601741</v>
      </c>
      <c r="H19">
        <v>8.5</v>
      </c>
      <c r="I19">
        <f t="shared" si="1"/>
        <v>47141</v>
      </c>
    </row>
    <row r="20" spans="1:9" x14ac:dyDescent="0.25">
      <c r="A20" t="s">
        <v>17</v>
      </c>
      <c r="C20" t="s">
        <v>2</v>
      </c>
      <c r="D20" t="s">
        <v>15</v>
      </c>
      <c r="E20" s="1">
        <v>40993</v>
      </c>
      <c r="F20">
        <v>630000</v>
      </c>
      <c r="G20" s="2">
        <f t="shared" si="0"/>
        <v>711899.99999999988</v>
      </c>
      <c r="H20">
        <v>13</v>
      </c>
      <c r="I20">
        <f t="shared" si="1"/>
        <v>81899.999999999884</v>
      </c>
    </row>
    <row r="21" spans="1:9" x14ac:dyDescent="0.25">
      <c r="A21" t="s">
        <v>18</v>
      </c>
      <c r="C21" t="s">
        <v>38</v>
      </c>
      <c r="D21" t="s">
        <v>16</v>
      </c>
      <c r="E21" s="1">
        <v>40994</v>
      </c>
      <c r="F21">
        <v>491130</v>
      </c>
      <c r="G21" s="2">
        <f t="shared" si="0"/>
        <v>540243</v>
      </c>
      <c r="H21">
        <v>10</v>
      </c>
      <c r="I21">
        <f t="shared" si="1"/>
        <v>49113</v>
      </c>
    </row>
    <row r="22" spans="1:9" x14ac:dyDescent="0.25">
      <c r="A22" t="s">
        <v>19</v>
      </c>
      <c r="C22" t="s">
        <v>39</v>
      </c>
      <c r="D22" t="s">
        <v>9</v>
      </c>
      <c r="E22" s="1">
        <v>40936</v>
      </c>
      <c r="F22">
        <v>251100</v>
      </c>
      <c r="G22" s="2">
        <f t="shared" si="0"/>
        <v>231012</v>
      </c>
      <c r="H22">
        <v>-8</v>
      </c>
      <c r="I22">
        <f t="shared" si="1"/>
        <v>-20088</v>
      </c>
    </row>
    <row r="23" spans="1:9" x14ac:dyDescent="0.25">
      <c r="A23" t="s">
        <v>20</v>
      </c>
      <c r="C23" t="s">
        <v>40</v>
      </c>
      <c r="D23" t="s">
        <v>10</v>
      </c>
      <c r="E23" s="1">
        <v>40912</v>
      </c>
      <c r="F23">
        <v>940500</v>
      </c>
      <c r="G23" s="2">
        <f t="shared" si="0"/>
        <v>1043955.0000000001</v>
      </c>
      <c r="H23">
        <v>11</v>
      </c>
      <c r="I23">
        <f t="shared" si="1"/>
        <v>103455.00000000012</v>
      </c>
    </row>
    <row r="24" spans="1:9" x14ac:dyDescent="0.25">
      <c r="A24" t="s">
        <v>21</v>
      </c>
      <c r="C24" t="s">
        <v>41</v>
      </c>
      <c r="D24" t="s">
        <v>11</v>
      </c>
      <c r="E24" s="1">
        <v>40956</v>
      </c>
      <c r="F24">
        <v>1133000</v>
      </c>
      <c r="G24" s="2">
        <f t="shared" si="0"/>
        <v>1291620.0000000002</v>
      </c>
      <c r="H24">
        <v>14</v>
      </c>
      <c r="I24">
        <f t="shared" si="1"/>
        <v>158620.00000000023</v>
      </c>
    </row>
    <row r="25" spans="1:9" x14ac:dyDescent="0.25">
      <c r="A25" t="s">
        <v>22</v>
      </c>
      <c r="C25" t="s">
        <v>39</v>
      </c>
      <c r="D25" t="s">
        <v>8</v>
      </c>
      <c r="E25" s="1">
        <v>40937</v>
      </c>
      <c r="F25">
        <v>549900</v>
      </c>
      <c r="G25" s="2">
        <f t="shared" si="0"/>
        <v>591142.5</v>
      </c>
      <c r="H25">
        <v>7.5</v>
      </c>
      <c r="I25">
        <f t="shared" si="1"/>
        <v>41242.5</v>
      </c>
    </row>
    <row r="26" spans="1:9" x14ac:dyDescent="0.25">
      <c r="A26" t="s">
        <v>23</v>
      </c>
      <c r="C26" t="s">
        <v>2</v>
      </c>
      <c r="D26" t="s">
        <v>5</v>
      </c>
      <c r="E26" s="1">
        <v>40938</v>
      </c>
      <c r="F26">
        <v>888560</v>
      </c>
      <c r="G26" s="2">
        <f t="shared" si="0"/>
        <v>955202</v>
      </c>
      <c r="H26">
        <v>7.5</v>
      </c>
      <c r="I26">
        <f t="shared" si="1"/>
        <v>66642</v>
      </c>
    </row>
    <row r="27" spans="1:9" x14ac:dyDescent="0.25">
      <c r="A27" t="s">
        <v>24</v>
      </c>
      <c r="C27" t="s">
        <v>39</v>
      </c>
      <c r="D27" t="s">
        <v>6</v>
      </c>
      <c r="E27" s="1">
        <v>40910</v>
      </c>
      <c r="F27">
        <v>882900</v>
      </c>
      <c r="G27" s="2">
        <f t="shared" si="0"/>
        <v>935874</v>
      </c>
      <c r="H27">
        <v>6</v>
      </c>
      <c r="I27">
        <f t="shared" si="1"/>
        <v>52974</v>
      </c>
    </row>
    <row r="28" spans="1:9" x14ac:dyDescent="0.25">
      <c r="A28" t="s">
        <v>25</v>
      </c>
      <c r="C28" t="s">
        <v>40</v>
      </c>
      <c r="D28" t="s">
        <v>7</v>
      </c>
      <c r="E28" s="1">
        <v>40976</v>
      </c>
      <c r="F28">
        <v>1161000</v>
      </c>
      <c r="G28" s="2">
        <f t="shared" si="0"/>
        <v>1277100</v>
      </c>
      <c r="H28">
        <v>10</v>
      </c>
      <c r="I28">
        <f t="shared" si="1"/>
        <v>116100</v>
      </c>
    </row>
    <row r="29" spans="1:9" x14ac:dyDescent="0.25">
      <c r="A29" t="s">
        <v>26</v>
      </c>
      <c r="C29" t="s">
        <v>41</v>
      </c>
      <c r="D29" t="s">
        <v>8</v>
      </c>
      <c r="E29" s="1">
        <v>40939</v>
      </c>
      <c r="F29">
        <v>575520</v>
      </c>
      <c r="G29" s="2">
        <f t="shared" si="0"/>
        <v>633072</v>
      </c>
      <c r="H29">
        <v>10</v>
      </c>
      <c r="I29">
        <f t="shared" si="1"/>
        <v>57552</v>
      </c>
    </row>
    <row r="30" spans="1:9" x14ac:dyDescent="0.25">
      <c r="A30" t="s">
        <v>27</v>
      </c>
      <c r="C30" t="s">
        <v>39</v>
      </c>
      <c r="D30" t="s">
        <v>9</v>
      </c>
      <c r="E30" s="1">
        <v>40914</v>
      </c>
      <c r="F30">
        <v>268770</v>
      </c>
      <c r="G30" s="2">
        <f t="shared" si="0"/>
        <v>301022.40000000002</v>
      </c>
      <c r="H30">
        <v>12</v>
      </c>
      <c r="I30">
        <f t="shared" si="1"/>
        <v>32252.400000000023</v>
      </c>
    </row>
    <row r="31" spans="1:9" x14ac:dyDescent="0.25">
      <c r="A31" t="s">
        <v>20</v>
      </c>
      <c r="C31" t="s">
        <v>2</v>
      </c>
      <c r="D31" t="s">
        <v>12</v>
      </c>
      <c r="E31" s="1">
        <v>40985</v>
      </c>
      <c r="F31">
        <v>1579500</v>
      </c>
      <c r="G31" s="2">
        <f t="shared" si="0"/>
        <v>1690065</v>
      </c>
      <c r="H31">
        <v>7</v>
      </c>
      <c r="I31">
        <f t="shared" si="1"/>
        <v>110565</v>
      </c>
    </row>
    <row r="32" spans="1:9" x14ac:dyDescent="0.25">
      <c r="A32" t="s">
        <v>21</v>
      </c>
      <c r="C32" t="s">
        <v>2</v>
      </c>
      <c r="D32" t="s">
        <v>13</v>
      </c>
      <c r="E32" s="1">
        <v>40990</v>
      </c>
      <c r="F32">
        <v>760060</v>
      </c>
      <c r="G32" s="2">
        <f t="shared" si="0"/>
        <v>722057</v>
      </c>
      <c r="H32">
        <v>-5</v>
      </c>
      <c r="I32">
        <f t="shared" si="1"/>
        <v>-38003</v>
      </c>
    </row>
    <row r="33" spans="1:9" x14ac:dyDescent="0.25">
      <c r="A33" t="s">
        <v>22</v>
      </c>
      <c r="C33" t="s">
        <v>2</v>
      </c>
      <c r="D33" t="s">
        <v>14</v>
      </c>
      <c r="E33" s="1">
        <v>40996</v>
      </c>
      <c r="F33">
        <v>818550</v>
      </c>
      <c r="G33" s="2">
        <f t="shared" si="0"/>
        <v>912683.25</v>
      </c>
      <c r="H33">
        <v>11.5</v>
      </c>
      <c r="I33">
        <f t="shared" si="1"/>
        <v>94133.25</v>
      </c>
    </row>
    <row r="34" spans="1:9" x14ac:dyDescent="0.25">
      <c r="A34" t="s">
        <v>23</v>
      </c>
      <c r="C34" t="s">
        <v>3</v>
      </c>
      <c r="D34" t="s">
        <v>15</v>
      </c>
      <c r="E34" s="1">
        <v>40931</v>
      </c>
      <c r="F34">
        <v>537700</v>
      </c>
      <c r="G34" s="2">
        <f t="shared" si="0"/>
        <v>596847</v>
      </c>
      <c r="H34">
        <v>11</v>
      </c>
      <c r="I34">
        <f t="shared" si="1"/>
        <v>59147</v>
      </c>
    </row>
    <row r="35" spans="1:9" x14ac:dyDescent="0.25">
      <c r="A35" t="s">
        <v>17</v>
      </c>
      <c r="C35" t="s">
        <v>3</v>
      </c>
      <c r="D35" t="s">
        <v>16</v>
      </c>
      <c r="E35" s="1">
        <v>40917</v>
      </c>
      <c r="F35">
        <v>392160</v>
      </c>
      <c r="G35" s="2">
        <f t="shared" si="0"/>
        <v>447062.4</v>
      </c>
      <c r="H35">
        <v>14</v>
      </c>
      <c r="I35">
        <f t="shared" si="1"/>
        <v>54902.400000000023</v>
      </c>
    </row>
    <row r="36" spans="1:9" x14ac:dyDescent="0.25">
      <c r="A36" t="s">
        <v>18</v>
      </c>
      <c r="C36" t="s">
        <v>36</v>
      </c>
      <c r="D36" t="s">
        <v>6</v>
      </c>
      <c r="E36" s="1">
        <v>40918</v>
      </c>
      <c r="F36">
        <v>979910</v>
      </c>
      <c r="G36" s="2">
        <f t="shared" si="0"/>
        <v>1053403.25</v>
      </c>
      <c r="H36">
        <v>7.5</v>
      </c>
      <c r="I36">
        <f t="shared" si="1"/>
        <v>73493.25</v>
      </c>
    </row>
    <row r="37" spans="1:9" x14ac:dyDescent="0.25">
      <c r="A37" t="s">
        <v>19</v>
      </c>
      <c r="C37" t="s">
        <v>2</v>
      </c>
      <c r="D37" t="s">
        <v>7</v>
      </c>
      <c r="E37" s="1">
        <v>40950</v>
      </c>
      <c r="F37">
        <v>782100</v>
      </c>
      <c r="G37" s="2">
        <f t="shared" si="0"/>
        <v>840757.5</v>
      </c>
      <c r="H37">
        <v>7.5</v>
      </c>
      <c r="I37">
        <f t="shared" si="1"/>
        <v>58657.5</v>
      </c>
    </row>
    <row r="38" spans="1:9" x14ac:dyDescent="0.25">
      <c r="A38" t="s">
        <v>20</v>
      </c>
      <c r="C38" t="s">
        <v>2</v>
      </c>
      <c r="D38" t="s">
        <v>8</v>
      </c>
      <c r="E38" s="1">
        <v>40921</v>
      </c>
      <c r="F38">
        <v>696900</v>
      </c>
      <c r="G38" s="2">
        <f t="shared" si="0"/>
        <v>738714</v>
      </c>
      <c r="H38">
        <v>6</v>
      </c>
      <c r="I38">
        <f t="shared" si="1"/>
        <v>41814</v>
      </c>
    </row>
    <row r="39" spans="1:9" x14ac:dyDescent="0.25">
      <c r="A39" t="s">
        <v>17</v>
      </c>
      <c r="C39" t="s">
        <v>3</v>
      </c>
      <c r="D39" t="s">
        <v>7</v>
      </c>
      <c r="E39" s="1">
        <v>40923</v>
      </c>
      <c r="F39">
        <v>671060</v>
      </c>
      <c r="G39" s="2">
        <f t="shared" si="0"/>
        <v>771718.99999999988</v>
      </c>
      <c r="H39">
        <v>15</v>
      </c>
      <c r="I39">
        <f t="shared" si="1"/>
        <v>100658.99999999988</v>
      </c>
    </row>
    <row r="40" spans="1:9" x14ac:dyDescent="0.25">
      <c r="A40" t="s">
        <v>18</v>
      </c>
      <c r="C40" t="s">
        <v>3</v>
      </c>
      <c r="D40" t="s">
        <v>8</v>
      </c>
      <c r="E40" s="1">
        <v>40980</v>
      </c>
      <c r="F40">
        <v>540960</v>
      </c>
      <c r="G40" s="2">
        <f t="shared" si="0"/>
        <v>600465.60000000009</v>
      </c>
      <c r="H40">
        <v>11</v>
      </c>
      <c r="I40">
        <f t="shared" si="1"/>
        <v>59505.600000000093</v>
      </c>
    </row>
    <row r="41" spans="1:9" x14ac:dyDescent="0.25">
      <c r="A41" t="s">
        <v>19</v>
      </c>
      <c r="C41" t="s">
        <v>36</v>
      </c>
      <c r="D41" t="s">
        <v>9</v>
      </c>
      <c r="E41" s="1">
        <v>40936</v>
      </c>
      <c r="F41">
        <v>503740</v>
      </c>
      <c r="G41" s="2">
        <f t="shared" si="0"/>
        <v>539001.80000000005</v>
      </c>
      <c r="H41">
        <v>7</v>
      </c>
      <c r="I41">
        <f t="shared" si="1"/>
        <v>35261.800000000047</v>
      </c>
    </row>
    <row r="42" spans="1:9" x14ac:dyDescent="0.25">
      <c r="A42" t="s">
        <v>20</v>
      </c>
      <c r="C42" t="s">
        <v>37</v>
      </c>
      <c r="D42" t="s">
        <v>12</v>
      </c>
      <c r="E42" s="1">
        <v>40911</v>
      </c>
      <c r="F42">
        <v>378480</v>
      </c>
      <c r="G42" s="2">
        <f t="shared" si="0"/>
        <v>408758.4</v>
      </c>
      <c r="H42">
        <v>8</v>
      </c>
      <c r="I42">
        <f t="shared" si="1"/>
        <v>30278.400000000023</v>
      </c>
    </row>
    <row r="43" spans="1:9" x14ac:dyDescent="0.25">
      <c r="A43" t="s">
        <v>21</v>
      </c>
      <c r="C43" t="s">
        <v>2</v>
      </c>
      <c r="D43" t="s">
        <v>13</v>
      </c>
      <c r="E43" s="1">
        <v>40913</v>
      </c>
      <c r="F43">
        <v>791120</v>
      </c>
      <c r="G43" s="2">
        <f t="shared" si="0"/>
        <v>893965.59999999986</v>
      </c>
      <c r="H43">
        <v>13</v>
      </c>
      <c r="I43">
        <f t="shared" si="1"/>
        <v>102845.59999999986</v>
      </c>
    </row>
    <row r="44" spans="1:9" x14ac:dyDescent="0.25">
      <c r="A44" t="s">
        <v>22</v>
      </c>
      <c r="C44" t="s">
        <v>38</v>
      </c>
      <c r="D44" t="s">
        <v>14</v>
      </c>
      <c r="E44" s="1">
        <v>40977</v>
      </c>
      <c r="F44">
        <v>516200</v>
      </c>
      <c r="G44" s="2">
        <f t="shared" si="0"/>
        <v>552334</v>
      </c>
      <c r="H44">
        <v>7</v>
      </c>
      <c r="I44">
        <f t="shared" si="1"/>
        <v>36134</v>
      </c>
    </row>
    <row r="45" spans="1:9" x14ac:dyDescent="0.25">
      <c r="A45" t="s">
        <v>23</v>
      </c>
      <c r="C45" t="s">
        <v>39</v>
      </c>
      <c r="D45" t="s">
        <v>15</v>
      </c>
      <c r="E45" s="1">
        <v>40932</v>
      </c>
      <c r="F45">
        <v>304700</v>
      </c>
      <c r="G45" s="2">
        <f t="shared" si="0"/>
        <v>286418</v>
      </c>
      <c r="H45">
        <v>-6</v>
      </c>
      <c r="I45">
        <f t="shared" si="1"/>
        <v>-18282</v>
      </c>
    </row>
    <row r="46" spans="1:9" x14ac:dyDescent="0.25">
      <c r="A46" t="s">
        <v>24</v>
      </c>
      <c r="C46" t="s">
        <v>40</v>
      </c>
      <c r="D46" t="s">
        <v>16</v>
      </c>
      <c r="E46" s="1">
        <v>40930</v>
      </c>
      <c r="F46">
        <v>417960</v>
      </c>
      <c r="G46" s="2">
        <f t="shared" si="0"/>
        <v>451396.80000000005</v>
      </c>
      <c r="H46">
        <v>8</v>
      </c>
      <c r="I46">
        <f t="shared" si="1"/>
        <v>33436.800000000047</v>
      </c>
    </row>
    <row r="47" spans="1:9" x14ac:dyDescent="0.25">
      <c r="A47" t="s">
        <v>25</v>
      </c>
      <c r="C47" t="s">
        <v>41</v>
      </c>
      <c r="D47" t="s">
        <v>6</v>
      </c>
      <c r="E47" s="1">
        <v>40938</v>
      </c>
      <c r="F47">
        <v>870910</v>
      </c>
      <c r="G47" s="2">
        <f t="shared" si="0"/>
        <v>949291.9</v>
      </c>
      <c r="H47">
        <v>9</v>
      </c>
      <c r="I47">
        <f t="shared" si="1"/>
        <v>78381.900000000023</v>
      </c>
    </row>
    <row r="48" spans="1:9" x14ac:dyDescent="0.25">
      <c r="A48" t="s">
        <v>26</v>
      </c>
      <c r="C48" t="s">
        <v>39</v>
      </c>
      <c r="D48" t="s">
        <v>7</v>
      </c>
      <c r="E48" s="1">
        <v>40916</v>
      </c>
      <c r="F48">
        <v>301990</v>
      </c>
      <c r="G48" s="2">
        <f t="shared" si="0"/>
        <v>320109.40000000002</v>
      </c>
      <c r="H48">
        <v>6</v>
      </c>
      <c r="I48">
        <f t="shared" si="1"/>
        <v>18119.400000000023</v>
      </c>
    </row>
    <row r="49" spans="1:9" x14ac:dyDescent="0.25">
      <c r="A49" t="s">
        <v>27</v>
      </c>
      <c r="C49" t="s">
        <v>2</v>
      </c>
      <c r="D49" t="s">
        <v>8</v>
      </c>
      <c r="E49" s="1">
        <v>40971</v>
      </c>
      <c r="F49">
        <v>526500</v>
      </c>
      <c r="G49" s="2">
        <f t="shared" si="0"/>
        <v>579150</v>
      </c>
      <c r="H49">
        <v>10</v>
      </c>
      <c r="I49">
        <f t="shared" si="1"/>
        <v>52650</v>
      </c>
    </row>
    <row r="50" spans="1:9" x14ac:dyDescent="0.25">
      <c r="A50" t="s">
        <v>28</v>
      </c>
      <c r="C50" t="s">
        <v>2</v>
      </c>
      <c r="D50" t="s">
        <v>14</v>
      </c>
      <c r="E50" s="1">
        <v>40945</v>
      </c>
      <c r="F50">
        <v>750680</v>
      </c>
      <c r="G50" s="2">
        <f t="shared" si="0"/>
        <v>825748.00000000012</v>
      </c>
      <c r="H50">
        <v>10</v>
      </c>
      <c r="I50">
        <f t="shared" si="1"/>
        <v>75068.000000000116</v>
      </c>
    </row>
    <row r="51" spans="1:9" x14ac:dyDescent="0.25">
      <c r="A51" t="s">
        <v>30</v>
      </c>
      <c r="C51" t="s">
        <v>2</v>
      </c>
      <c r="D51" t="s">
        <v>15</v>
      </c>
      <c r="E51" s="1">
        <v>40932</v>
      </c>
      <c r="F51">
        <v>1199000</v>
      </c>
      <c r="G51" s="2">
        <f t="shared" si="0"/>
        <v>1342880.0000000002</v>
      </c>
      <c r="H51">
        <v>12</v>
      </c>
      <c r="I51">
        <f t="shared" si="1"/>
        <v>143880.00000000023</v>
      </c>
    </row>
    <row r="52" spans="1:9" x14ac:dyDescent="0.25">
      <c r="A52" t="s">
        <v>29</v>
      </c>
      <c r="C52" t="s">
        <v>3</v>
      </c>
      <c r="D52" t="s">
        <v>16</v>
      </c>
      <c r="E52" s="1">
        <v>40936</v>
      </c>
      <c r="F52">
        <v>598560</v>
      </c>
      <c r="G52" s="2">
        <f t="shared" si="0"/>
        <v>556660.79999999993</v>
      </c>
      <c r="H52">
        <v>-7</v>
      </c>
      <c r="I52">
        <f t="shared" si="1"/>
        <v>-41899.20000000007</v>
      </c>
    </row>
    <row r="53" spans="1:9" x14ac:dyDescent="0.25">
      <c r="A53" t="s">
        <v>20</v>
      </c>
      <c r="C53" t="s">
        <v>3</v>
      </c>
      <c r="D53" t="s">
        <v>9</v>
      </c>
      <c r="E53" s="1">
        <v>40913</v>
      </c>
      <c r="F53">
        <v>328600</v>
      </c>
      <c r="G53" s="2">
        <f t="shared" si="0"/>
        <v>312170</v>
      </c>
      <c r="H53">
        <v>-5</v>
      </c>
      <c r="I53">
        <f t="shared" si="1"/>
        <v>-16430</v>
      </c>
    </row>
    <row r="54" spans="1:9" x14ac:dyDescent="0.25">
      <c r="A54" t="s">
        <v>21</v>
      </c>
      <c r="C54" t="s">
        <v>36</v>
      </c>
      <c r="D54" t="s">
        <v>10</v>
      </c>
      <c r="E54" s="1">
        <v>40917</v>
      </c>
      <c r="F54">
        <v>841080</v>
      </c>
      <c r="G54" s="2">
        <f t="shared" si="0"/>
        <v>937804.2</v>
      </c>
      <c r="H54">
        <v>11.5</v>
      </c>
      <c r="I54">
        <f t="shared" si="1"/>
        <v>96724.199999999953</v>
      </c>
    </row>
    <row r="55" spans="1:9" x14ac:dyDescent="0.25">
      <c r="A55" t="s">
        <v>22</v>
      </c>
      <c r="C55" t="s">
        <v>37</v>
      </c>
      <c r="D55" t="s">
        <v>11</v>
      </c>
      <c r="E55" s="1">
        <v>40919</v>
      </c>
      <c r="F55">
        <v>780000</v>
      </c>
      <c r="G55" s="2">
        <f t="shared" si="0"/>
        <v>861900</v>
      </c>
      <c r="H55">
        <v>10.5</v>
      </c>
      <c r="I55">
        <f t="shared" si="1"/>
        <v>81900</v>
      </c>
    </row>
    <row r="56" spans="1:9" x14ac:dyDescent="0.25">
      <c r="A56" t="s">
        <v>23</v>
      </c>
      <c r="C56" t="s">
        <v>2</v>
      </c>
      <c r="D56" t="s">
        <v>8</v>
      </c>
      <c r="E56" s="1">
        <v>40982</v>
      </c>
      <c r="F56">
        <v>554600</v>
      </c>
      <c r="G56" s="2">
        <f t="shared" si="0"/>
        <v>601741</v>
      </c>
      <c r="H56">
        <v>8.5</v>
      </c>
      <c r="I56">
        <f t="shared" si="1"/>
        <v>47141</v>
      </c>
    </row>
    <row r="57" spans="1:9" x14ac:dyDescent="0.25">
      <c r="A57" t="s">
        <v>17</v>
      </c>
      <c r="C57" t="s">
        <v>38</v>
      </c>
      <c r="D57" t="s">
        <v>5</v>
      </c>
      <c r="E57" s="1">
        <v>40939</v>
      </c>
      <c r="F57">
        <v>630000</v>
      </c>
      <c r="G57" s="2">
        <f t="shared" si="0"/>
        <v>711899.99999999988</v>
      </c>
      <c r="H57">
        <v>13</v>
      </c>
      <c r="I57">
        <f t="shared" si="1"/>
        <v>81899.999999999884</v>
      </c>
    </row>
    <row r="58" spans="1:9" x14ac:dyDescent="0.25">
      <c r="A58" t="s">
        <v>18</v>
      </c>
      <c r="C58" t="s">
        <v>39</v>
      </c>
      <c r="D58" t="s">
        <v>6</v>
      </c>
      <c r="E58" s="1">
        <v>40925</v>
      </c>
      <c r="F58">
        <v>491130</v>
      </c>
      <c r="G58" s="2">
        <f t="shared" si="0"/>
        <v>540243</v>
      </c>
      <c r="H58">
        <v>10</v>
      </c>
      <c r="I58">
        <f t="shared" si="1"/>
        <v>49113</v>
      </c>
    </row>
    <row r="59" spans="1:9" x14ac:dyDescent="0.25">
      <c r="A59" t="s">
        <v>19</v>
      </c>
      <c r="C59" t="s">
        <v>40</v>
      </c>
      <c r="D59" t="s">
        <v>4</v>
      </c>
      <c r="E59" s="1">
        <v>40951</v>
      </c>
      <c r="F59">
        <v>251100</v>
      </c>
      <c r="G59" s="2">
        <f t="shared" si="0"/>
        <v>231012</v>
      </c>
      <c r="H59">
        <v>-8</v>
      </c>
      <c r="I59">
        <f t="shared" si="1"/>
        <v>-20088</v>
      </c>
    </row>
    <row r="60" spans="1:9" x14ac:dyDescent="0.25">
      <c r="A60" t="s">
        <v>20</v>
      </c>
      <c r="C60" t="s">
        <v>41</v>
      </c>
      <c r="D60" t="s">
        <v>5</v>
      </c>
      <c r="E60" s="1">
        <v>40996</v>
      </c>
      <c r="F60">
        <v>940500</v>
      </c>
      <c r="G60" s="2">
        <f t="shared" si="0"/>
        <v>1043955.0000000001</v>
      </c>
      <c r="H60">
        <v>11</v>
      </c>
      <c r="I60">
        <f t="shared" si="1"/>
        <v>103455.00000000012</v>
      </c>
    </row>
    <row r="61" spans="1:9" x14ac:dyDescent="0.25">
      <c r="A61" t="s">
        <v>21</v>
      </c>
      <c r="C61" t="s">
        <v>39</v>
      </c>
      <c r="D61" t="s">
        <v>5</v>
      </c>
      <c r="E61" s="1">
        <v>40911</v>
      </c>
      <c r="F61">
        <v>1133000</v>
      </c>
      <c r="G61" s="2">
        <f t="shared" si="0"/>
        <v>1291620.0000000002</v>
      </c>
      <c r="H61">
        <v>14</v>
      </c>
      <c r="I61">
        <f t="shared" si="1"/>
        <v>158620.00000000023</v>
      </c>
    </row>
    <row r="62" spans="1:9" x14ac:dyDescent="0.25">
      <c r="A62" t="s">
        <v>22</v>
      </c>
      <c r="C62" t="s">
        <v>2</v>
      </c>
      <c r="D62" t="s">
        <v>6</v>
      </c>
      <c r="E62" s="1">
        <v>40913</v>
      </c>
      <c r="F62">
        <v>549900</v>
      </c>
      <c r="G62" s="2">
        <f t="shared" si="0"/>
        <v>591142.5</v>
      </c>
      <c r="H62">
        <v>7.5</v>
      </c>
      <c r="I62">
        <f t="shared" si="1"/>
        <v>41242.5</v>
      </c>
    </row>
    <row r="63" spans="1:9" x14ac:dyDescent="0.25">
      <c r="A63" t="s">
        <v>23</v>
      </c>
      <c r="C63" t="s">
        <v>39</v>
      </c>
      <c r="D63" t="s">
        <v>7</v>
      </c>
      <c r="E63" s="1">
        <v>40917</v>
      </c>
      <c r="F63">
        <v>888560</v>
      </c>
      <c r="G63" s="2">
        <f t="shared" si="0"/>
        <v>955202</v>
      </c>
      <c r="H63">
        <v>7.5</v>
      </c>
      <c r="I63">
        <f t="shared" si="1"/>
        <v>66642</v>
      </c>
    </row>
    <row r="64" spans="1:9" x14ac:dyDescent="0.25">
      <c r="A64" t="s">
        <v>24</v>
      </c>
      <c r="C64" t="s">
        <v>40</v>
      </c>
      <c r="D64" t="s">
        <v>8</v>
      </c>
      <c r="E64" s="1">
        <v>40992</v>
      </c>
      <c r="F64">
        <v>882900</v>
      </c>
      <c r="G64" s="2">
        <f t="shared" si="0"/>
        <v>935874</v>
      </c>
      <c r="H64">
        <v>6</v>
      </c>
      <c r="I64">
        <f t="shared" si="1"/>
        <v>52974</v>
      </c>
    </row>
    <row r="65" spans="1:9" x14ac:dyDescent="0.25">
      <c r="A65" t="s">
        <v>25</v>
      </c>
      <c r="C65" t="s">
        <v>41</v>
      </c>
      <c r="D65" t="s">
        <v>9</v>
      </c>
      <c r="E65" s="1">
        <v>40930</v>
      </c>
      <c r="F65">
        <v>1161000</v>
      </c>
      <c r="G65" s="2">
        <f t="shared" si="0"/>
        <v>1277100</v>
      </c>
      <c r="H65">
        <v>10</v>
      </c>
      <c r="I65">
        <f t="shared" si="1"/>
        <v>116100</v>
      </c>
    </row>
    <row r="66" spans="1:9" x14ac:dyDescent="0.25">
      <c r="A66" t="s">
        <v>26</v>
      </c>
      <c r="C66" t="s">
        <v>39</v>
      </c>
      <c r="D66" t="s">
        <v>10</v>
      </c>
      <c r="E66" s="1">
        <v>40938</v>
      </c>
      <c r="F66">
        <v>575520</v>
      </c>
      <c r="G66" s="2">
        <f t="shared" si="0"/>
        <v>633072</v>
      </c>
      <c r="H66">
        <v>10</v>
      </c>
      <c r="I66">
        <f t="shared" si="1"/>
        <v>57552</v>
      </c>
    </row>
    <row r="67" spans="1:9" x14ac:dyDescent="0.25">
      <c r="A67" t="s">
        <v>27</v>
      </c>
      <c r="C67" t="s">
        <v>2</v>
      </c>
      <c r="D67" t="s">
        <v>11</v>
      </c>
      <c r="E67" s="1">
        <v>40914</v>
      </c>
      <c r="F67">
        <v>268770</v>
      </c>
      <c r="G67" s="2">
        <f t="shared" ref="G67:G100" si="2">F67*(1+H67/100)</f>
        <v>301022.40000000002</v>
      </c>
      <c r="H67">
        <v>12</v>
      </c>
      <c r="I67">
        <f t="shared" ref="I67:I100" si="3">G67-F67</f>
        <v>32252.400000000023</v>
      </c>
    </row>
    <row r="68" spans="1:9" x14ac:dyDescent="0.25">
      <c r="A68" t="s">
        <v>20</v>
      </c>
      <c r="C68" t="s">
        <v>3</v>
      </c>
      <c r="D68" t="s">
        <v>8</v>
      </c>
      <c r="E68" s="1">
        <v>40925</v>
      </c>
      <c r="F68">
        <v>1579500</v>
      </c>
      <c r="G68" s="2">
        <f t="shared" si="2"/>
        <v>1690065</v>
      </c>
      <c r="H68">
        <v>7</v>
      </c>
      <c r="I68">
        <f t="shared" si="3"/>
        <v>110565</v>
      </c>
    </row>
    <row r="69" spans="1:9" x14ac:dyDescent="0.25">
      <c r="A69" t="s">
        <v>21</v>
      </c>
      <c r="C69" t="s">
        <v>3</v>
      </c>
      <c r="D69" t="s">
        <v>5</v>
      </c>
      <c r="E69" s="1">
        <v>40930</v>
      </c>
      <c r="F69">
        <v>760060</v>
      </c>
      <c r="G69" s="2">
        <f t="shared" si="2"/>
        <v>722057</v>
      </c>
      <c r="H69">
        <v>-5</v>
      </c>
      <c r="I69">
        <f t="shared" si="3"/>
        <v>-38003</v>
      </c>
    </row>
    <row r="70" spans="1:9" x14ac:dyDescent="0.25">
      <c r="A70" t="s">
        <v>22</v>
      </c>
      <c r="C70" t="s">
        <v>36</v>
      </c>
      <c r="D70" t="s">
        <v>6</v>
      </c>
      <c r="E70" s="1">
        <v>40936</v>
      </c>
      <c r="F70">
        <v>818550</v>
      </c>
      <c r="G70" s="2">
        <f t="shared" si="2"/>
        <v>912683.25</v>
      </c>
      <c r="H70">
        <v>11.5</v>
      </c>
      <c r="I70">
        <f t="shared" si="3"/>
        <v>94133.25</v>
      </c>
    </row>
    <row r="71" spans="1:9" x14ac:dyDescent="0.25">
      <c r="A71" t="s">
        <v>23</v>
      </c>
      <c r="C71" t="s">
        <v>37</v>
      </c>
      <c r="D71" t="s">
        <v>7</v>
      </c>
      <c r="E71" s="1">
        <v>40991</v>
      </c>
      <c r="F71">
        <v>537700</v>
      </c>
      <c r="G71" s="2">
        <f t="shared" si="2"/>
        <v>596847</v>
      </c>
      <c r="H71">
        <v>11</v>
      </c>
      <c r="I71">
        <f t="shared" si="3"/>
        <v>59147</v>
      </c>
    </row>
    <row r="72" spans="1:9" x14ac:dyDescent="0.25">
      <c r="A72" t="s">
        <v>17</v>
      </c>
      <c r="C72" t="s">
        <v>2</v>
      </c>
      <c r="D72" t="s">
        <v>8</v>
      </c>
      <c r="E72" s="1">
        <v>40917</v>
      </c>
      <c r="F72">
        <v>392160</v>
      </c>
      <c r="G72" s="2">
        <f t="shared" si="2"/>
        <v>447062.4</v>
      </c>
      <c r="H72">
        <v>14</v>
      </c>
      <c r="I72">
        <f t="shared" si="3"/>
        <v>54902.400000000023</v>
      </c>
    </row>
    <row r="73" spans="1:9" x14ac:dyDescent="0.25">
      <c r="A73" t="s">
        <v>18</v>
      </c>
      <c r="C73" t="s">
        <v>38</v>
      </c>
      <c r="D73" t="s">
        <v>9</v>
      </c>
      <c r="E73" s="1">
        <v>40918</v>
      </c>
      <c r="F73">
        <v>979910</v>
      </c>
      <c r="G73" s="2">
        <f t="shared" si="2"/>
        <v>1053403.25</v>
      </c>
      <c r="H73">
        <v>7.5</v>
      </c>
      <c r="I73">
        <f t="shared" si="3"/>
        <v>73493.25</v>
      </c>
    </row>
    <row r="74" spans="1:9" x14ac:dyDescent="0.25">
      <c r="A74" t="s">
        <v>19</v>
      </c>
      <c r="C74" t="s">
        <v>39</v>
      </c>
      <c r="D74" t="s">
        <v>12</v>
      </c>
      <c r="E74" s="1">
        <v>40919</v>
      </c>
      <c r="F74">
        <v>782100</v>
      </c>
      <c r="G74" s="2">
        <f t="shared" si="2"/>
        <v>840757.5</v>
      </c>
      <c r="H74">
        <v>7.5</v>
      </c>
      <c r="I74">
        <f t="shared" si="3"/>
        <v>58657.5</v>
      </c>
    </row>
    <row r="75" spans="1:9" x14ac:dyDescent="0.25">
      <c r="A75" t="s">
        <v>20</v>
      </c>
      <c r="C75" t="s">
        <v>40</v>
      </c>
      <c r="D75" t="s">
        <v>13</v>
      </c>
      <c r="E75" s="1">
        <v>40981</v>
      </c>
      <c r="F75">
        <v>696900</v>
      </c>
      <c r="G75" s="2">
        <f t="shared" si="2"/>
        <v>738714</v>
      </c>
      <c r="H75">
        <v>6</v>
      </c>
      <c r="I75">
        <f t="shared" si="3"/>
        <v>41814</v>
      </c>
    </row>
    <row r="76" spans="1:9" x14ac:dyDescent="0.25">
      <c r="A76" t="s">
        <v>21</v>
      </c>
      <c r="C76" t="s">
        <v>41</v>
      </c>
      <c r="D76" t="s">
        <v>7</v>
      </c>
      <c r="E76" s="1">
        <v>40943</v>
      </c>
      <c r="F76">
        <v>598560</v>
      </c>
      <c r="G76" s="2">
        <f t="shared" si="2"/>
        <v>658416</v>
      </c>
      <c r="H76">
        <v>10</v>
      </c>
      <c r="I76">
        <f t="shared" si="3"/>
        <v>59856</v>
      </c>
    </row>
    <row r="77" spans="1:9" x14ac:dyDescent="0.25">
      <c r="A77" t="s">
        <v>22</v>
      </c>
      <c r="C77" t="s">
        <v>39</v>
      </c>
      <c r="D77" t="s">
        <v>8</v>
      </c>
      <c r="E77" s="1">
        <v>40951</v>
      </c>
      <c r="F77">
        <v>328600</v>
      </c>
      <c r="G77" s="2">
        <f t="shared" si="2"/>
        <v>361460.00000000006</v>
      </c>
      <c r="H77">
        <v>10</v>
      </c>
      <c r="I77">
        <f t="shared" si="3"/>
        <v>32860.000000000058</v>
      </c>
    </row>
    <row r="78" spans="1:9" x14ac:dyDescent="0.25">
      <c r="A78" t="s">
        <v>23</v>
      </c>
      <c r="C78" t="s">
        <v>2</v>
      </c>
      <c r="D78" t="s">
        <v>14</v>
      </c>
      <c r="E78" s="1">
        <v>40956</v>
      </c>
      <c r="F78">
        <v>841080</v>
      </c>
      <c r="G78" s="2">
        <f t="shared" si="2"/>
        <v>942009.60000000009</v>
      </c>
      <c r="H78">
        <v>12</v>
      </c>
      <c r="I78">
        <f t="shared" si="3"/>
        <v>100929.60000000009</v>
      </c>
    </row>
    <row r="79" spans="1:9" x14ac:dyDescent="0.25">
      <c r="A79" t="s">
        <v>17</v>
      </c>
      <c r="C79" t="s">
        <v>2</v>
      </c>
      <c r="D79" t="s">
        <v>15</v>
      </c>
      <c r="E79" s="1">
        <v>40960</v>
      </c>
      <c r="F79">
        <v>780000</v>
      </c>
      <c r="G79" s="2">
        <f t="shared" si="2"/>
        <v>725400</v>
      </c>
      <c r="H79">
        <v>-7</v>
      </c>
      <c r="I79">
        <f t="shared" si="3"/>
        <v>-54600</v>
      </c>
    </row>
    <row r="80" spans="1:9" x14ac:dyDescent="0.25">
      <c r="A80" t="s">
        <v>18</v>
      </c>
      <c r="C80" t="s">
        <v>2</v>
      </c>
      <c r="D80" t="s">
        <v>16</v>
      </c>
      <c r="E80" s="1">
        <v>40961</v>
      </c>
      <c r="F80">
        <v>554600</v>
      </c>
      <c r="G80" s="2">
        <f t="shared" si="2"/>
        <v>526870</v>
      </c>
      <c r="H80">
        <v>-5</v>
      </c>
      <c r="I80">
        <f t="shared" si="3"/>
        <v>-27730</v>
      </c>
    </row>
    <row r="81" spans="1:9" x14ac:dyDescent="0.25">
      <c r="A81" t="s">
        <v>19</v>
      </c>
      <c r="C81" t="s">
        <v>3</v>
      </c>
      <c r="D81" t="s">
        <v>9</v>
      </c>
      <c r="E81" s="1">
        <v>40921</v>
      </c>
      <c r="F81">
        <v>630000</v>
      </c>
      <c r="G81" s="2">
        <f t="shared" si="2"/>
        <v>702450</v>
      </c>
      <c r="H81">
        <v>11.5</v>
      </c>
      <c r="I81">
        <f t="shared" si="3"/>
        <v>72450</v>
      </c>
    </row>
    <row r="82" spans="1:9" x14ac:dyDescent="0.25">
      <c r="A82" t="s">
        <v>20</v>
      </c>
      <c r="C82" t="s">
        <v>3</v>
      </c>
      <c r="D82" t="s">
        <v>10</v>
      </c>
      <c r="E82" s="1">
        <v>40964</v>
      </c>
      <c r="F82">
        <v>491130</v>
      </c>
      <c r="G82" s="2">
        <f t="shared" si="2"/>
        <v>542698.65</v>
      </c>
      <c r="H82">
        <v>10.5</v>
      </c>
      <c r="I82">
        <f t="shared" si="3"/>
        <v>51568.650000000023</v>
      </c>
    </row>
    <row r="83" spans="1:9" x14ac:dyDescent="0.25">
      <c r="A83" t="s">
        <v>21</v>
      </c>
      <c r="C83" t="s">
        <v>36</v>
      </c>
      <c r="D83" t="s">
        <v>11</v>
      </c>
      <c r="E83" s="1">
        <v>40965</v>
      </c>
      <c r="F83">
        <v>251100</v>
      </c>
      <c r="G83" s="2">
        <f t="shared" si="2"/>
        <v>272443.5</v>
      </c>
      <c r="H83">
        <v>8.5</v>
      </c>
      <c r="I83">
        <f t="shared" si="3"/>
        <v>21343.5</v>
      </c>
    </row>
    <row r="84" spans="1:9" x14ac:dyDescent="0.25">
      <c r="A84" t="s">
        <v>22</v>
      </c>
      <c r="C84" t="s">
        <v>37</v>
      </c>
      <c r="D84" t="s">
        <v>8</v>
      </c>
      <c r="E84" s="1">
        <v>40996</v>
      </c>
      <c r="F84">
        <v>940500</v>
      </c>
      <c r="G84" s="2">
        <f t="shared" si="2"/>
        <v>1062765</v>
      </c>
      <c r="H84">
        <v>13</v>
      </c>
      <c r="I84">
        <f t="shared" si="3"/>
        <v>122265</v>
      </c>
    </row>
    <row r="85" spans="1:9" x14ac:dyDescent="0.25">
      <c r="A85" t="s">
        <v>23</v>
      </c>
      <c r="C85" t="s">
        <v>2</v>
      </c>
      <c r="D85" t="s">
        <v>5</v>
      </c>
      <c r="E85" s="1">
        <v>40943</v>
      </c>
      <c r="F85">
        <v>1133000</v>
      </c>
      <c r="G85" s="2">
        <f t="shared" si="2"/>
        <v>1246300</v>
      </c>
      <c r="H85">
        <v>10</v>
      </c>
      <c r="I85">
        <f t="shared" si="3"/>
        <v>113300</v>
      </c>
    </row>
    <row r="86" spans="1:9" x14ac:dyDescent="0.25">
      <c r="A86" t="s">
        <v>24</v>
      </c>
      <c r="C86" t="s">
        <v>38</v>
      </c>
      <c r="D86" t="s">
        <v>6</v>
      </c>
      <c r="E86" s="1">
        <v>40925</v>
      </c>
      <c r="F86">
        <v>549900</v>
      </c>
      <c r="G86" s="2">
        <f t="shared" si="2"/>
        <v>505908</v>
      </c>
      <c r="H86">
        <v>-8</v>
      </c>
      <c r="I86">
        <f t="shared" si="3"/>
        <v>-43992</v>
      </c>
    </row>
    <row r="87" spans="1:9" x14ac:dyDescent="0.25">
      <c r="A87" t="s">
        <v>25</v>
      </c>
      <c r="C87" t="s">
        <v>39</v>
      </c>
      <c r="D87" t="s">
        <v>4</v>
      </c>
      <c r="E87" s="1">
        <v>40957</v>
      </c>
      <c r="F87">
        <v>888560</v>
      </c>
      <c r="G87" s="2">
        <f t="shared" si="2"/>
        <v>986301.60000000009</v>
      </c>
      <c r="H87">
        <v>11</v>
      </c>
      <c r="I87">
        <f t="shared" si="3"/>
        <v>97741.600000000093</v>
      </c>
    </row>
    <row r="88" spans="1:9" x14ac:dyDescent="0.25">
      <c r="A88" t="s">
        <v>26</v>
      </c>
      <c r="C88" t="s">
        <v>40</v>
      </c>
      <c r="D88" t="s">
        <v>5</v>
      </c>
      <c r="E88" s="1">
        <v>40967</v>
      </c>
      <c r="F88">
        <v>882900</v>
      </c>
      <c r="G88" s="2">
        <f t="shared" si="2"/>
        <v>1006506.0000000001</v>
      </c>
      <c r="H88">
        <v>14</v>
      </c>
      <c r="I88">
        <f t="shared" si="3"/>
        <v>123606.00000000012</v>
      </c>
    </row>
    <row r="89" spans="1:9" x14ac:dyDescent="0.25">
      <c r="A89" t="s">
        <v>27</v>
      </c>
      <c r="C89" t="s">
        <v>41</v>
      </c>
      <c r="D89" t="s">
        <v>5</v>
      </c>
      <c r="E89" s="1">
        <v>40977</v>
      </c>
      <c r="F89">
        <v>1161000</v>
      </c>
      <c r="G89" s="2">
        <f t="shared" si="2"/>
        <v>1248075</v>
      </c>
      <c r="H89">
        <v>7.5</v>
      </c>
      <c r="I89">
        <f t="shared" si="3"/>
        <v>87075</v>
      </c>
    </row>
    <row r="90" spans="1:9" x14ac:dyDescent="0.25">
      <c r="A90" t="s">
        <v>20</v>
      </c>
      <c r="C90" t="s">
        <v>39</v>
      </c>
      <c r="D90" t="s">
        <v>6</v>
      </c>
      <c r="E90" s="1">
        <v>40949</v>
      </c>
      <c r="F90">
        <v>841080</v>
      </c>
      <c r="G90" s="2">
        <f t="shared" si="2"/>
        <v>904161</v>
      </c>
      <c r="H90">
        <v>7.5</v>
      </c>
      <c r="I90">
        <f t="shared" si="3"/>
        <v>63081</v>
      </c>
    </row>
    <row r="91" spans="1:9" x14ac:dyDescent="0.25">
      <c r="A91" t="s">
        <v>21</v>
      </c>
      <c r="C91" t="s">
        <v>2</v>
      </c>
      <c r="D91" t="s">
        <v>16</v>
      </c>
      <c r="E91" s="1">
        <v>40943</v>
      </c>
      <c r="F91">
        <v>780000</v>
      </c>
      <c r="G91" s="2">
        <f t="shared" si="2"/>
        <v>826800</v>
      </c>
      <c r="H91">
        <v>6</v>
      </c>
      <c r="I91">
        <f t="shared" si="3"/>
        <v>46800</v>
      </c>
    </row>
    <row r="92" spans="1:9" x14ac:dyDescent="0.25">
      <c r="A92" t="s">
        <v>22</v>
      </c>
      <c r="C92" t="s">
        <v>39</v>
      </c>
      <c r="D92" t="s">
        <v>6</v>
      </c>
      <c r="E92" s="1">
        <v>40946</v>
      </c>
      <c r="F92">
        <v>554600</v>
      </c>
      <c r="G92" s="2">
        <f t="shared" si="2"/>
        <v>610060</v>
      </c>
      <c r="H92">
        <v>10</v>
      </c>
      <c r="I92">
        <f t="shared" si="3"/>
        <v>55460</v>
      </c>
    </row>
    <row r="93" spans="1:9" x14ac:dyDescent="0.25">
      <c r="A93" t="s">
        <v>23</v>
      </c>
      <c r="C93" t="s">
        <v>40</v>
      </c>
      <c r="D93" t="s">
        <v>7</v>
      </c>
      <c r="E93" s="1">
        <v>40983</v>
      </c>
      <c r="F93">
        <v>630000</v>
      </c>
      <c r="G93" s="2">
        <f t="shared" si="2"/>
        <v>705600.00000000012</v>
      </c>
      <c r="H93">
        <v>12</v>
      </c>
      <c r="I93">
        <f t="shared" si="3"/>
        <v>75600.000000000116</v>
      </c>
    </row>
    <row r="94" spans="1:9" x14ac:dyDescent="0.25">
      <c r="A94" t="s">
        <v>17</v>
      </c>
      <c r="C94" t="s">
        <v>41</v>
      </c>
      <c r="D94" t="s">
        <v>8</v>
      </c>
      <c r="E94" s="1">
        <v>40924</v>
      </c>
      <c r="F94">
        <v>491130</v>
      </c>
      <c r="G94" s="2">
        <f t="shared" si="2"/>
        <v>456750.89999999997</v>
      </c>
      <c r="H94">
        <v>-7</v>
      </c>
      <c r="I94">
        <f t="shared" si="3"/>
        <v>-34379.100000000035</v>
      </c>
    </row>
    <row r="95" spans="1:9" x14ac:dyDescent="0.25">
      <c r="A95" t="s">
        <v>18</v>
      </c>
      <c r="C95" t="s">
        <v>39</v>
      </c>
      <c r="D95" t="s">
        <v>7</v>
      </c>
      <c r="E95" s="1">
        <v>40942</v>
      </c>
      <c r="F95">
        <v>251100</v>
      </c>
      <c r="G95" s="2">
        <f t="shared" si="2"/>
        <v>238545</v>
      </c>
      <c r="H95">
        <v>-5</v>
      </c>
      <c r="I95">
        <f t="shared" si="3"/>
        <v>-12555</v>
      </c>
    </row>
    <row r="96" spans="1:9" x14ac:dyDescent="0.25">
      <c r="A96" t="s">
        <v>19</v>
      </c>
      <c r="C96" t="s">
        <v>2</v>
      </c>
      <c r="D96" t="s">
        <v>8</v>
      </c>
      <c r="E96" s="1">
        <v>40943</v>
      </c>
      <c r="F96">
        <v>940500</v>
      </c>
      <c r="G96" s="2">
        <f t="shared" si="2"/>
        <v>1048657.5</v>
      </c>
      <c r="H96">
        <v>11.5</v>
      </c>
      <c r="I96">
        <f t="shared" si="3"/>
        <v>108157.5</v>
      </c>
    </row>
    <row r="97" spans="1:9" x14ac:dyDescent="0.25">
      <c r="A97" t="s">
        <v>20</v>
      </c>
      <c r="C97" t="s">
        <v>3</v>
      </c>
      <c r="D97" t="s">
        <v>9</v>
      </c>
      <c r="E97" s="1">
        <v>40951</v>
      </c>
      <c r="F97">
        <v>1133000</v>
      </c>
      <c r="G97" s="2">
        <f t="shared" si="2"/>
        <v>1251965</v>
      </c>
      <c r="H97">
        <v>10.5</v>
      </c>
      <c r="I97">
        <f t="shared" si="3"/>
        <v>118965</v>
      </c>
    </row>
    <row r="98" spans="1:9" x14ac:dyDescent="0.25">
      <c r="A98" t="s">
        <v>17</v>
      </c>
      <c r="C98" t="s">
        <v>3</v>
      </c>
      <c r="D98" t="s">
        <v>12</v>
      </c>
      <c r="E98" s="1">
        <v>40985</v>
      </c>
      <c r="F98">
        <v>549900</v>
      </c>
      <c r="G98" s="2">
        <f t="shared" si="2"/>
        <v>596641.5</v>
      </c>
      <c r="H98">
        <v>8.5</v>
      </c>
      <c r="I98">
        <f t="shared" si="3"/>
        <v>46741.5</v>
      </c>
    </row>
    <row r="99" spans="1:9" x14ac:dyDescent="0.25">
      <c r="A99" t="s">
        <v>18</v>
      </c>
      <c r="C99" t="s">
        <v>36</v>
      </c>
      <c r="D99" t="s">
        <v>13</v>
      </c>
      <c r="E99" s="1">
        <v>40929</v>
      </c>
      <c r="F99">
        <v>888560</v>
      </c>
      <c r="G99" s="2">
        <f t="shared" si="2"/>
        <v>1004072.7999999999</v>
      </c>
      <c r="H99">
        <v>13</v>
      </c>
      <c r="I99">
        <f t="shared" si="3"/>
        <v>115512.79999999993</v>
      </c>
    </row>
    <row r="100" spans="1:9" x14ac:dyDescent="0.25">
      <c r="A100" t="s">
        <v>19</v>
      </c>
      <c r="C100" t="s">
        <v>37</v>
      </c>
      <c r="D100" t="s">
        <v>14</v>
      </c>
      <c r="E100" s="1">
        <v>40961</v>
      </c>
      <c r="F100">
        <v>882900</v>
      </c>
      <c r="G100" s="2">
        <f t="shared" si="2"/>
        <v>971190.00000000012</v>
      </c>
      <c r="H100">
        <v>10</v>
      </c>
      <c r="I100">
        <f t="shared" si="3"/>
        <v>88290.000000000116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Časová osa</vt:lpstr>
      <vt:lpstr>Prodeje aut 1. kvartál</vt:lpstr>
      <vt:lpstr>Demo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Bobek</dc:creator>
  <cp:lastModifiedBy>Petr Bobek</cp:lastModifiedBy>
  <dcterms:created xsi:type="dcterms:W3CDTF">2007-04-10T12:45:18Z</dcterms:created>
  <dcterms:modified xsi:type="dcterms:W3CDTF">2012-11-12T14:55:10Z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