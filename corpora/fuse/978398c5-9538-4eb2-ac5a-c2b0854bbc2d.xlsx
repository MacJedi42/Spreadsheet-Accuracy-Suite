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4388" yWindow="-12" windowWidth="14436" windowHeight="13008" firstSheet="1" activeTab="2"/>
  </bookViews>
  <sheets>
    <sheet name="Active cable calculations" sheetId="38" state="hidden" r:id="rId1"/>
    <sheet name="Compliance Results" sheetId="37" r:id="rId2"/>
    <sheet name="Test Requirements" sheetId="39" r:id="rId3"/>
    <sheet name="Versions" sheetId="36" r:id="rId4"/>
  </sheets>
  <externalReferences>
    <externalReference r:id="rId5"/>
  </externalReferences>
  <definedNames>
    <definedName name="CX4_QSFP">'Compliance Results'!#REF!</definedName>
    <definedName name="Instructions">[1]Defines!$B$2</definedName>
    <definedName name="Legend">'Compliance Results'!$A$101</definedName>
    <definedName name="Max_Imp_Adj">'Compliance Results'!#REF!</definedName>
    <definedName name="Min_Imp_Adj">'Compliance Results'!#REF!</definedName>
    <definedName name="Plugfest">[1]Defines!$B$3</definedName>
  </definedNames>
  <calcPr calcId="145621"/>
</workbook>
</file>

<file path=xl/calcChain.xml><?xml version="1.0" encoding="utf-8"?>
<calcChain xmlns="http://schemas.openxmlformats.org/spreadsheetml/2006/main">
  <c r="C1" i="38" l="1"/>
  <c r="D1" i="38"/>
  <c r="E1" i="38"/>
  <c r="F1" i="38"/>
  <c r="G1" i="38"/>
  <c r="H1" i="38"/>
  <c r="I1" i="38"/>
  <c r="J1" i="38"/>
  <c r="K1" i="38"/>
  <c r="L1" i="38"/>
  <c r="M1" i="38"/>
  <c r="N1" i="38"/>
  <c r="O1" i="38"/>
  <c r="P1" i="38"/>
  <c r="Q1" i="38"/>
  <c r="R1" i="38"/>
  <c r="S1" i="38"/>
  <c r="T1" i="38"/>
  <c r="U1" i="38"/>
  <c r="V1" i="38"/>
  <c r="W1" i="38"/>
  <c r="X1" i="38"/>
  <c r="Y1" i="38"/>
  <c r="Z1" i="38"/>
  <c r="AA1" i="38"/>
  <c r="AB1" i="38"/>
  <c r="AC1" i="38"/>
  <c r="AD1" i="38"/>
  <c r="AE1" i="38"/>
  <c r="AF1" i="38"/>
  <c r="AG1" i="38"/>
  <c r="AH1" i="38"/>
  <c r="AI1" i="38"/>
  <c r="AJ1" i="38"/>
  <c r="AK1" i="38"/>
  <c r="AL1" i="38"/>
  <c r="AM1" i="38"/>
  <c r="AN1" i="38"/>
  <c r="AO1" i="38"/>
  <c r="AP1" i="38"/>
  <c r="AQ1" i="38"/>
  <c r="AR1" i="38"/>
  <c r="AS1" i="38"/>
  <c r="AT1" i="38"/>
  <c r="AU1" i="38"/>
  <c r="AV1" i="38"/>
  <c r="AW1" i="38"/>
  <c r="AX1" i="38"/>
  <c r="AY1" i="38"/>
  <c r="AZ1" i="38"/>
  <c r="BA1" i="38"/>
  <c r="BB1" i="38"/>
  <c r="BC1" i="38"/>
  <c r="BD1" i="38"/>
  <c r="BE1" i="38"/>
  <c r="BF1" i="38"/>
  <c r="BG1" i="38"/>
  <c r="BH1" i="38"/>
  <c r="BI1" i="38"/>
  <c r="BJ1" i="38"/>
  <c r="BK1" i="38"/>
  <c r="C2" i="38"/>
  <c r="D2" i="38"/>
  <c r="E2" i="38"/>
  <c r="F2" i="38"/>
  <c r="G2" i="38"/>
  <c r="H2" i="38"/>
  <c r="I2" i="38"/>
  <c r="J2" i="38"/>
  <c r="K2" i="38"/>
  <c r="L2" i="38"/>
  <c r="M2" i="38"/>
  <c r="N2" i="38"/>
  <c r="O2" i="38"/>
  <c r="P2" i="38"/>
  <c r="Q2" i="38"/>
  <c r="R2" i="38"/>
  <c r="S2" i="38"/>
  <c r="T2" i="38"/>
  <c r="U2" i="38"/>
  <c r="V2" i="38"/>
  <c r="W2" i="38"/>
  <c r="X2" i="38"/>
  <c r="Y2" i="38"/>
  <c r="Z2" i="38"/>
  <c r="AA2" i="38"/>
  <c r="AB2" i="38"/>
  <c r="AC2" i="38"/>
  <c r="AD2" i="38"/>
  <c r="AE2" i="38"/>
  <c r="AF2" i="38"/>
  <c r="AG2" i="38"/>
  <c r="AH2" i="38"/>
  <c r="AI2" i="38"/>
  <c r="AJ2" i="38"/>
  <c r="AK2" i="38"/>
  <c r="AL2" i="38"/>
  <c r="AM2" i="38"/>
  <c r="AN2" i="38"/>
  <c r="AO2" i="38"/>
  <c r="AP2" i="38"/>
  <c r="AQ2" i="38"/>
  <c r="AR2" i="38"/>
  <c r="AS2" i="38"/>
  <c r="AT2" i="38"/>
  <c r="AU2" i="38"/>
  <c r="AV2" i="38"/>
  <c r="AW2" i="38"/>
  <c r="AX2" i="38"/>
  <c r="AY2" i="38"/>
  <c r="AZ2" i="38"/>
  <c r="BA2" i="38"/>
  <c r="BB2" i="38"/>
  <c r="BC2" i="38"/>
  <c r="BD2" i="38"/>
  <c r="BE2" i="38"/>
  <c r="BF2" i="38"/>
  <c r="BG2" i="38"/>
  <c r="BH2" i="38"/>
  <c r="BI2" i="38"/>
  <c r="BJ2" i="38"/>
  <c r="BK2" i="38"/>
  <c r="C3" i="38"/>
  <c r="D3" i="38"/>
  <c r="E3" i="38"/>
  <c r="F3" i="38"/>
  <c r="G3" i="38"/>
  <c r="H3" i="38"/>
  <c r="I3" i="38"/>
  <c r="J3" i="38"/>
  <c r="K3" i="38"/>
  <c r="L3" i="38"/>
  <c r="M3" i="38"/>
  <c r="N3" i="38"/>
  <c r="O3" i="38"/>
  <c r="P3" i="38"/>
  <c r="Q3" i="38"/>
  <c r="R3" i="38"/>
  <c r="S3" i="38"/>
  <c r="T3" i="38"/>
  <c r="U3" i="38"/>
  <c r="V3" i="38"/>
  <c r="W3" i="38"/>
  <c r="X3" i="38"/>
  <c r="Y3" i="38"/>
  <c r="Z3" i="38"/>
  <c r="AA3" i="38"/>
  <c r="AB3" i="38"/>
  <c r="AC3" i="38"/>
  <c r="AD3" i="38"/>
  <c r="AE3" i="38"/>
  <c r="AF3" i="38"/>
  <c r="AG3" i="38"/>
  <c r="AH3" i="38"/>
  <c r="AI3" i="38"/>
  <c r="AJ3" i="38"/>
  <c r="AK3" i="38"/>
  <c r="AL3" i="38"/>
  <c r="AM3" i="38"/>
  <c r="AN3" i="38"/>
  <c r="AO3" i="38"/>
  <c r="AP3" i="38"/>
  <c r="AQ3" i="38"/>
  <c r="AR3" i="38"/>
  <c r="AS3" i="38"/>
  <c r="AT3" i="38"/>
  <c r="AU3" i="38"/>
  <c r="AV3" i="38"/>
  <c r="AW3" i="38"/>
  <c r="AX3" i="38"/>
  <c r="AY3" i="38"/>
  <c r="AZ3" i="38"/>
  <c r="BA3" i="38"/>
  <c r="BB3" i="38"/>
  <c r="BC3" i="38"/>
  <c r="BD3" i="38"/>
  <c r="BE3" i="38"/>
  <c r="BF3" i="38"/>
  <c r="BG3" i="38"/>
  <c r="BH3" i="38"/>
  <c r="BI3" i="38"/>
  <c r="BJ3" i="38"/>
  <c r="BK3" i="38"/>
  <c r="C4" i="38"/>
  <c r="D4" i="38"/>
  <c r="E4" i="38"/>
  <c r="F4" i="38"/>
  <c r="G4" i="38"/>
  <c r="H4" i="38"/>
  <c r="I4" i="38"/>
  <c r="J4" i="38"/>
  <c r="K4" i="38"/>
  <c r="L4" i="38"/>
  <c r="M4" i="38"/>
  <c r="N4" i="38"/>
  <c r="O4" i="38"/>
  <c r="P4" i="38"/>
  <c r="Q4" i="38"/>
  <c r="R4" i="38"/>
  <c r="S4" i="38"/>
  <c r="T4" i="38"/>
  <c r="U4" i="38"/>
  <c r="V4" i="38"/>
  <c r="W4" i="38"/>
  <c r="X4" i="38"/>
  <c r="Y4" i="38"/>
  <c r="Z4" i="38"/>
  <c r="AA4" i="38"/>
  <c r="AB4" i="38"/>
  <c r="AC4" i="38"/>
  <c r="AD4" i="38"/>
  <c r="AE4" i="38"/>
  <c r="AF4" i="38"/>
  <c r="AG4" i="38"/>
  <c r="AH4" i="38"/>
  <c r="AI4" i="38"/>
  <c r="AJ4" i="38"/>
  <c r="AK4" i="38"/>
  <c r="AL4" i="38"/>
  <c r="AM4" i="38"/>
  <c r="AN4" i="38"/>
  <c r="AO4" i="38"/>
  <c r="AP4" i="38"/>
  <c r="AQ4" i="38"/>
  <c r="AR4" i="38"/>
  <c r="AS4" i="38"/>
  <c r="AT4" i="38"/>
  <c r="AU4" i="38"/>
  <c r="AV4" i="38"/>
  <c r="AW4" i="38"/>
  <c r="AX4" i="38"/>
  <c r="AY4" i="38"/>
  <c r="AZ4" i="38"/>
  <c r="BA4" i="38"/>
  <c r="BB4" i="38"/>
  <c r="BC4" i="38"/>
  <c r="BD4" i="38"/>
  <c r="BE4" i="38"/>
  <c r="BF4" i="38"/>
  <c r="BG4" i="38"/>
  <c r="BH4" i="38"/>
  <c r="BI4" i="38"/>
  <c r="BJ4" i="38"/>
  <c r="BK4" i="38"/>
  <c r="C8" i="38"/>
  <c r="D8" i="38"/>
  <c r="E8" i="38"/>
  <c r="F8" i="38"/>
  <c r="G8" i="38"/>
  <c r="H8" i="38"/>
  <c r="I8" i="38"/>
  <c r="J8" i="38"/>
  <c r="K8" i="38"/>
  <c r="L8" i="38"/>
  <c r="M8" i="38"/>
  <c r="N8" i="38"/>
  <c r="O8" i="38"/>
  <c r="P8" i="38"/>
  <c r="Q8" i="38"/>
  <c r="R8" i="38"/>
  <c r="S8" i="38"/>
  <c r="T8" i="38"/>
  <c r="U8" i="38"/>
  <c r="V8" i="38"/>
  <c r="W8" i="38"/>
  <c r="X8" i="38"/>
  <c r="Y8" i="38"/>
  <c r="Z8" i="38"/>
  <c r="AA8" i="38"/>
  <c r="AB8" i="38"/>
  <c r="AC8" i="38"/>
  <c r="AD8" i="38"/>
  <c r="AE8" i="38"/>
  <c r="AF8" i="38"/>
  <c r="AG8" i="38"/>
  <c r="AH8" i="38"/>
  <c r="AI8" i="38"/>
  <c r="AJ8" i="38"/>
  <c r="AK8" i="38"/>
  <c r="AL8" i="38"/>
  <c r="AM8" i="38"/>
  <c r="AN8" i="38"/>
  <c r="AO8" i="38"/>
  <c r="AP8" i="38"/>
  <c r="AQ8" i="38"/>
  <c r="AR8" i="38"/>
  <c r="AS8" i="38"/>
  <c r="AT8" i="38"/>
  <c r="AU8" i="38"/>
  <c r="AV8" i="38"/>
  <c r="AW8" i="38"/>
  <c r="AX8" i="38"/>
  <c r="AY8" i="38"/>
  <c r="AZ8" i="38"/>
  <c r="BA8" i="38"/>
  <c r="BB8" i="38"/>
  <c r="BC8" i="38"/>
  <c r="BD8" i="38"/>
  <c r="BE8" i="38"/>
  <c r="BF8" i="38"/>
  <c r="BG8" i="38"/>
  <c r="BH8" i="38"/>
  <c r="BI8" i="38"/>
  <c r="BJ8" i="38"/>
  <c r="BK8" i="38"/>
  <c r="C11" i="38"/>
  <c r="D11" i="38"/>
  <c r="E11" i="38"/>
  <c r="F11" i="38"/>
  <c r="G11" i="38"/>
  <c r="H11" i="38"/>
  <c r="I11" i="38"/>
  <c r="J11" i="38"/>
  <c r="K11" i="38"/>
  <c r="L11" i="38"/>
  <c r="M11" i="38"/>
  <c r="N11" i="38"/>
  <c r="O11" i="38"/>
  <c r="P11" i="38"/>
  <c r="Q11" i="38"/>
  <c r="R11" i="38"/>
  <c r="S11" i="38"/>
  <c r="T11" i="38"/>
  <c r="U11" i="38"/>
  <c r="V11" i="38"/>
  <c r="W11" i="38"/>
  <c r="X11" i="38"/>
  <c r="Y11" i="38"/>
  <c r="Z11" i="38"/>
  <c r="AA11" i="38"/>
  <c r="AB11" i="38"/>
  <c r="AC11" i="38"/>
  <c r="AD11" i="38"/>
  <c r="AE11" i="38"/>
  <c r="AF11" i="38"/>
  <c r="AG11" i="38"/>
  <c r="AH11" i="38"/>
  <c r="AI11" i="38"/>
  <c r="AJ11" i="38"/>
  <c r="AK11" i="38"/>
  <c r="AL11" i="38"/>
  <c r="AM11" i="38"/>
  <c r="AN11" i="38"/>
  <c r="AO11" i="38"/>
  <c r="AP11" i="38"/>
  <c r="AQ11" i="38"/>
  <c r="AR11" i="38"/>
  <c r="AS11" i="38"/>
  <c r="AT11" i="38"/>
  <c r="AU11" i="38"/>
  <c r="AV11" i="38"/>
  <c r="AW11" i="38"/>
  <c r="AX11" i="38"/>
  <c r="AY11" i="38"/>
  <c r="AZ11" i="38"/>
  <c r="BA11" i="38"/>
  <c r="BB11" i="38"/>
  <c r="BC11" i="38"/>
  <c r="BD11" i="38"/>
  <c r="BE11" i="38"/>
  <c r="BF11" i="38"/>
  <c r="BG11" i="38"/>
  <c r="BH11" i="38"/>
  <c r="BI11" i="38"/>
  <c r="BJ11" i="38"/>
  <c r="BK11" i="38"/>
  <c r="C18" i="38"/>
  <c r="D18" i="38"/>
  <c r="E18" i="38"/>
  <c r="F18" i="38"/>
  <c r="G18" i="38"/>
  <c r="H18" i="38"/>
  <c r="I18" i="38"/>
  <c r="J18" i="38"/>
  <c r="K18" i="38"/>
  <c r="L18" i="38"/>
  <c r="M18" i="38"/>
  <c r="N18" i="38"/>
  <c r="O18" i="38"/>
  <c r="P18" i="38"/>
  <c r="Q18" i="38"/>
  <c r="R18" i="38"/>
  <c r="S18" i="38"/>
  <c r="T18" i="38"/>
  <c r="U18" i="38"/>
  <c r="V18" i="38"/>
  <c r="W18" i="38"/>
  <c r="X18" i="38"/>
  <c r="Y18" i="38"/>
  <c r="Z18" i="38"/>
  <c r="AA18" i="38"/>
  <c r="AB18" i="38"/>
  <c r="AC18" i="38"/>
  <c r="AD18" i="38"/>
  <c r="AE18" i="38"/>
  <c r="AF18" i="38"/>
  <c r="AG18" i="38"/>
  <c r="AH18" i="38"/>
  <c r="AI18" i="38"/>
  <c r="AJ18" i="38"/>
  <c r="AK18" i="38"/>
  <c r="AL18" i="38"/>
  <c r="AM18" i="38"/>
  <c r="AN18" i="38"/>
  <c r="AO18" i="38"/>
  <c r="AP18" i="38"/>
  <c r="AQ18" i="38"/>
  <c r="AR18" i="38"/>
  <c r="AS18" i="38"/>
  <c r="AT18" i="38"/>
  <c r="AU18" i="38"/>
  <c r="AV18" i="38"/>
  <c r="AW18" i="38"/>
  <c r="AX18" i="38"/>
  <c r="AY18" i="38"/>
  <c r="AZ18" i="38"/>
  <c r="BA18" i="38"/>
  <c r="BB18" i="38"/>
  <c r="BC18" i="38"/>
  <c r="BD18" i="38"/>
  <c r="BE18" i="38"/>
  <c r="BF18" i="38"/>
  <c r="BG18" i="38"/>
  <c r="BH18" i="38"/>
  <c r="BI18" i="38"/>
  <c r="BJ18" i="38"/>
  <c r="BK18" i="38"/>
  <c r="C21" i="38"/>
  <c r="D21" i="38"/>
  <c r="E21" i="38"/>
  <c r="F21" i="38"/>
  <c r="G21" i="38"/>
  <c r="H21" i="38"/>
  <c r="I21" i="38"/>
  <c r="J21" i="38"/>
  <c r="K21" i="38"/>
  <c r="L21" i="38"/>
  <c r="M21" i="38"/>
  <c r="N21" i="38"/>
  <c r="O21" i="38"/>
  <c r="P21" i="38"/>
  <c r="Q21" i="38"/>
  <c r="R21" i="38"/>
  <c r="S21" i="38"/>
  <c r="T21" i="38"/>
  <c r="U21" i="38"/>
  <c r="V21" i="38"/>
  <c r="W21" i="38"/>
  <c r="X21" i="38"/>
  <c r="Y21" i="38"/>
  <c r="Z21" i="38"/>
  <c r="AA21" i="38"/>
  <c r="AB21" i="38"/>
  <c r="AC21" i="38"/>
  <c r="AD21" i="38"/>
  <c r="AE21" i="38"/>
  <c r="AF21" i="38"/>
  <c r="AG21" i="38"/>
  <c r="AH21" i="38"/>
  <c r="AI21" i="38"/>
  <c r="AJ21" i="38"/>
  <c r="AK21" i="38"/>
  <c r="AL21" i="38"/>
  <c r="AM21" i="38"/>
  <c r="AN21" i="38"/>
  <c r="AO21" i="38"/>
  <c r="AP21" i="38"/>
  <c r="AQ21" i="38"/>
  <c r="AR21" i="38"/>
  <c r="AS21" i="38"/>
  <c r="AT21" i="38"/>
  <c r="AU21" i="38"/>
  <c r="AV21" i="38"/>
  <c r="AW21" i="38"/>
  <c r="AX21" i="38"/>
  <c r="AY21" i="38"/>
  <c r="AZ21" i="38"/>
  <c r="BA21" i="38"/>
  <c r="BB21" i="38"/>
  <c r="BC21" i="38"/>
  <c r="BD21" i="38"/>
  <c r="BE21" i="38"/>
  <c r="BF21" i="38"/>
  <c r="BG21" i="38"/>
  <c r="BH21" i="38"/>
  <c r="BI21" i="38"/>
  <c r="BJ21" i="38"/>
  <c r="BK21" i="38"/>
  <c r="C28" i="38"/>
  <c r="D28" i="38"/>
  <c r="E28" i="38"/>
  <c r="F28" i="38"/>
  <c r="G28" i="38"/>
  <c r="H28" i="38"/>
  <c r="I28" i="38"/>
  <c r="J28" i="38"/>
  <c r="K28" i="38"/>
  <c r="L28" i="38"/>
  <c r="M28" i="38"/>
  <c r="N28" i="38"/>
  <c r="O28" i="38"/>
  <c r="P28" i="38"/>
  <c r="Q28" i="38"/>
  <c r="R28" i="38"/>
  <c r="S28" i="38"/>
  <c r="T28" i="38"/>
  <c r="U28" i="38"/>
  <c r="V28" i="38"/>
  <c r="W28" i="38"/>
  <c r="X28" i="38"/>
  <c r="Y28" i="38"/>
  <c r="Z28" i="38"/>
  <c r="AA28" i="38"/>
  <c r="AB28" i="38"/>
  <c r="AC28" i="38"/>
  <c r="AD28" i="38"/>
  <c r="AE28" i="38"/>
  <c r="AF28" i="38"/>
  <c r="AG28" i="38"/>
  <c r="AH28" i="38"/>
  <c r="AI28" i="38"/>
  <c r="AJ28" i="38"/>
  <c r="AK28" i="38"/>
  <c r="AL28" i="38"/>
  <c r="AM28" i="38"/>
  <c r="AN28" i="38"/>
  <c r="AO28" i="38"/>
  <c r="AP28" i="38"/>
  <c r="AQ28" i="38"/>
  <c r="AR28" i="38"/>
  <c r="AS28" i="38"/>
  <c r="AT28" i="38"/>
  <c r="AU28" i="38"/>
  <c r="AV28" i="38"/>
  <c r="AW28" i="38"/>
  <c r="AX28" i="38"/>
  <c r="AY28" i="38"/>
  <c r="AZ28" i="38"/>
  <c r="BA28" i="38"/>
  <c r="BB28" i="38"/>
  <c r="BC28" i="38"/>
  <c r="BD28" i="38"/>
  <c r="BE28" i="38"/>
  <c r="BF28" i="38"/>
  <c r="BG28" i="38"/>
  <c r="BH28" i="38"/>
  <c r="BI28" i="38"/>
  <c r="BJ28" i="38"/>
  <c r="BK28" i="38"/>
  <c r="C31" i="38"/>
  <c r="D31" i="38"/>
  <c r="E31" i="38"/>
  <c r="F31" i="38"/>
  <c r="G31" i="38"/>
  <c r="H31" i="38"/>
  <c r="I31" i="38"/>
  <c r="J31" i="38"/>
  <c r="K31" i="38"/>
  <c r="L31" i="38"/>
  <c r="M31" i="38"/>
  <c r="N31" i="38"/>
  <c r="O31" i="38"/>
  <c r="P31" i="38"/>
  <c r="Q31" i="38"/>
  <c r="R31" i="38"/>
  <c r="S31" i="38"/>
  <c r="T31" i="38"/>
  <c r="U31" i="38"/>
  <c r="V31" i="38"/>
  <c r="W31" i="38"/>
  <c r="X31" i="38"/>
  <c r="Y31" i="38"/>
  <c r="Z31" i="38"/>
  <c r="AA31" i="38"/>
  <c r="AB31" i="38"/>
  <c r="AC31" i="38"/>
  <c r="AD31" i="38"/>
  <c r="AE31" i="38"/>
  <c r="AF31" i="38"/>
  <c r="AG31" i="38"/>
  <c r="AH31" i="38"/>
  <c r="AI31" i="38"/>
  <c r="AJ31" i="38"/>
  <c r="AK31" i="38"/>
  <c r="AL31" i="38"/>
  <c r="AM31" i="38"/>
  <c r="AN31" i="38"/>
  <c r="AO31" i="38"/>
  <c r="AP31" i="38"/>
  <c r="AQ31" i="38"/>
  <c r="AR31" i="38"/>
  <c r="AS31" i="38"/>
  <c r="AT31" i="38"/>
  <c r="AU31" i="38"/>
  <c r="AV31" i="38"/>
  <c r="AW31" i="38"/>
  <c r="AX31" i="38"/>
  <c r="AY31" i="38"/>
  <c r="AZ31" i="38"/>
  <c r="BA31" i="38"/>
  <c r="BB31" i="38"/>
  <c r="BC31" i="38"/>
  <c r="BD31" i="38"/>
  <c r="BE31" i="38"/>
  <c r="BF31" i="38"/>
  <c r="BG31" i="38"/>
  <c r="BH31" i="38"/>
  <c r="BI31" i="38"/>
  <c r="BJ31" i="38"/>
  <c r="BK31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R38" i="38"/>
  <c r="S38" i="38"/>
  <c r="T38" i="38"/>
  <c r="U38" i="38"/>
  <c r="V38" i="38"/>
  <c r="W38" i="38"/>
  <c r="X38" i="38"/>
  <c r="Y38" i="38"/>
  <c r="Z38" i="38"/>
  <c r="AA38" i="38"/>
  <c r="AB38" i="38"/>
  <c r="AC38" i="38"/>
  <c r="AD38" i="38"/>
  <c r="AE38" i="38"/>
  <c r="AF38" i="38"/>
  <c r="AG38" i="38"/>
  <c r="AH38" i="38"/>
  <c r="AI38" i="38"/>
  <c r="AJ38" i="38"/>
  <c r="AK38" i="38"/>
  <c r="AL38" i="38"/>
  <c r="AM38" i="38"/>
  <c r="AN38" i="38"/>
  <c r="AO38" i="38"/>
  <c r="AP38" i="38"/>
  <c r="AQ38" i="38"/>
  <c r="AR38" i="38"/>
  <c r="AS38" i="38"/>
  <c r="AT38" i="38"/>
  <c r="AU38" i="38"/>
  <c r="AV38" i="38"/>
  <c r="AW38" i="38"/>
  <c r="AX38" i="38"/>
  <c r="AY38" i="38"/>
  <c r="AZ38" i="38"/>
  <c r="BA38" i="38"/>
  <c r="BB38" i="38"/>
  <c r="BC38" i="38"/>
  <c r="BD38" i="38"/>
  <c r="BE38" i="38"/>
  <c r="BF38" i="38"/>
  <c r="BG38" i="38"/>
  <c r="BH38" i="38"/>
  <c r="BI38" i="38"/>
  <c r="BJ38" i="38"/>
  <c r="BK38" i="38"/>
  <c r="C41" i="38"/>
  <c r="D41" i="38"/>
  <c r="E41" i="38"/>
  <c r="F41" i="38"/>
  <c r="G41" i="38"/>
  <c r="H41" i="38"/>
  <c r="I41" i="38"/>
  <c r="J41" i="38"/>
  <c r="K41" i="38"/>
  <c r="L41" i="38"/>
  <c r="M41" i="38"/>
  <c r="N41" i="38"/>
  <c r="O41" i="38"/>
  <c r="P41" i="38"/>
  <c r="Q41" i="38"/>
  <c r="R41" i="38"/>
  <c r="S41" i="38"/>
  <c r="T41" i="38"/>
  <c r="U41" i="38"/>
  <c r="V41" i="38"/>
  <c r="W41" i="38"/>
  <c r="X41" i="38"/>
  <c r="Y41" i="38"/>
  <c r="Z41" i="38"/>
  <c r="AA41" i="38"/>
  <c r="AB41" i="38"/>
  <c r="AC41" i="38"/>
  <c r="AD41" i="38"/>
  <c r="AE41" i="38"/>
  <c r="AF41" i="38"/>
  <c r="AG41" i="38"/>
  <c r="AH41" i="38"/>
  <c r="AI41" i="38"/>
  <c r="AJ41" i="38"/>
  <c r="AK41" i="38"/>
  <c r="AL41" i="38"/>
  <c r="AM41" i="38"/>
  <c r="AN41" i="38"/>
  <c r="AO41" i="38"/>
  <c r="AP41" i="38"/>
  <c r="AQ41" i="38"/>
  <c r="AR41" i="38"/>
  <c r="AS41" i="38"/>
  <c r="AT41" i="38"/>
  <c r="AU41" i="38"/>
  <c r="AV41" i="38"/>
  <c r="AW41" i="38"/>
  <c r="AX41" i="38"/>
  <c r="AY41" i="38"/>
  <c r="AZ41" i="38"/>
  <c r="BA41" i="38"/>
  <c r="BB41" i="38"/>
  <c r="BC41" i="38"/>
  <c r="BD41" i="38"/>
  <c r="BE41" i="38"/>
  <c r="BF41" i="38"/>
  <c r="BG41" i="38"/>
  <c r="BH41" i="38"/>
  <c r="BI41" i="38"/>
  <c r="BJ41" i="38"/>
  <c r="BK41" i="38"/>
  <c r="F48" i="38"/>
  <c r="G48" i="38"/>
  <c r="H48" i="38"/>
  <c r="I48" i="38"/>
  <c r="J48" i="38"/>
  <c r="K48" i="38"/>
  <c r="L48" i="38"/>
  <c r="M48" i="38"/>
  <c r="N48" i="38"/>
  <c r="O48" i="38"/>
  <c r="P48" i="38"/>
  <c r="Q48" i="38"/>
  <c r="R48" i="38"/>
  <c r="S48" i="38"/>
  <c r="T48" i="38"/>
  <c r="U48" i="38"/>
  <c r="V48" i="38"/>
  <c r="W48" i="38"/>
  <c r="X48" i="38"/>
  <c r="Y48" i="38"/>
  <c r="Z48" i="38"/>
  <c r="AA48" i="38"/>
  <c r="AB48" i="38"/>
  <c r="AC48" i="38"/>
  <c r="AD48" i="38"/>
  <c r="AE48" i="38"/>
  <c r="AF48" i="38"/>
  <c r="AG48" i="38"/>
  <c r="AH48" i="38"/>
  <c r="AI48" i="38"/>
  <c r="AJ48" i="38"/>
  <c r="AK48" i="38"/>
  <c r="AL48" i="38"/>
  <c r="AM48" i="38"/>
  <c r="AN48" i="38"/>
  <c r="AO48" i="38"/>
  <c r="AP48" i="38"/>
  <c r="AQ48" i="38"/>
  <c r="AR48" i="38"/>
  <c r="AS48" i="38"/>
  <c r="AT48" i="38"/>
  <c r="AU48" i="38"/>
  <c r="AV48" i="38"/>
  <c r="AW48" i="38"/>
  <c r="AX48" i="38"/>
  <c r="AY48" i="38"/>
  <c r="AZ48" i="38"/>
  <c r="BA48" i="38"/>
  <c r="BB48" i="38"/>
  <c r="BC48" i="38"/>
  <c r="BD48" i="38"/>
  <c r="BE48" i="38"/>
  <c r="BF48" i="38"/>
  <c r="BG48" i="38"/>
  <c r="BH48" i="38"/>
  <c r="BI48" i="38"/>
  <c r="BJ48" i="38"/>
  <c r="BK48" i="38"/>
  <c r="F51" i="38"/>
  <c r="G51" i="38"/>
  <c r="H51" i="38"/>
  <c r="I51" i="38"/>
  <c r="J51" i="38"/>
  <c r="K51" i="38"/>
  <c r="L51" i="38"/>
  <c r="M51" i="38"/>
  <c r="N51" i="38"/>
  <c r="O51" i="38"/>
  <c r="P51" i="38"/>
  <c r="Q51" i="38"/>
  <c r="R51" i="38"/>
  <c r="S51" i="38"/>
  <c r="T51" i="38"/>
  <c r="U51" i="38"/>
  <c r="V51" i="38"/>
  <c r="W51" i="38"/>
  <c r="X51" i="38"/>
  <c r="Y51" i="38"/>
  <c r="Z51" i="38"/>
  <c r="AA51" i="38"/>
  <c r="AB51" i="38"/>
  <c r="AC51" i="38"/>
  <c r="AD51" i="38"/>
  <c r="AE51" i="38"/>
  <c r="AF51" i="38"/>
  <c r="AG51" i="38"/>
  <c r="AH51" i="38"/>
  <c r="AI51" i="38"/>
  <c r="AJ51" i="38"/>
  <c r="AK51" i="38"/>
  <c r="AL51" i="38"/>
  <c r="AM51" i="38"/>
  <c r="AN51" i="38"/>
  <c r="AO51" i="38"/>
  <c r="AP51" i="38"/>
  <c r="AQ51" i="38"/>
  <c r="AR51" i="38"/>
  <c r="AS51" i="38"/>
  <c r="AT51" i="38"/>
  <c r="AU51" i="38"/>
  <c r="AV51" i="38"/>
  <c r="AW51" i="38"/>
  <c r="AX51" i="38"/>
  <c r="AY51" i="38"/>
  <c r="AZ51" i="38"/>
  <c r="BA51" i="38"/>
  <c r="BB51" i="38"/>
  <c r="BC51" i="38"/>
  <c r="BD51" i="38"/>
  <c r="BE51" i="38"/>
  <c r="BF51" i="38"/>
  <c r="BG51" i="38"/>
  <c r="BH51" i="38"/>
  <c r="BI51" i="38"/>
  <c r="BJ51" i="38"/>
  <c r="BK51" i="38"/>
  <c r="F58" i="38"/>
  <c r="G58" i="38"/>
  <c r="H58" i="38"/>
  <c r="I58" i="38"/>
  <c r="J58" i="38"/>
  <c r="K58" i="38"/>
  <c r="L58" i="38"/>
  <c r="M58" i="38"/>
  <c r="N58" i="38"/>
  <c r="O58" i="38"/>
  <c r="P58" i="38"/>
  <c r="Q58" i="38"/>
  <c r="R58" i="38"/>
  <c r="S58" i="38"/>
  <c r="T58" i="38"/>
  <c r="U58" i="38"/>
  <c r="V58" i="38"/>
  <c r="W58" i="38"/>
  <c r="X58" i="38"/>
  <c r="Y58" i="38"/>
  <c r="Z58" i="38"/>
  <c r="AA58" i="38"/>
  <c r="AB58" i="38"/>
  <c r="AC58" i="38"/>
  <c r="AD58" i="38"/>
  <c r="AE58" i="38"/>
  <c r="AF58" i="38"/>
  <c r="AG58" i="38"/>
  <c r="AH58" i="38"/>
  <c r="AI58" i="38"/>
  <c r="AJ58" i="38"/>
  <c r="AK58" i="38"/>
  <c r="AL58" i="38"/>
  <c r="AM58" i="38"/>
  <c r="AN58" i="38"/>
  <c r="AO58" i="38"/>
  <c r="AP58" i="38"/>
  <c r="AQ58" i="38"/>
  <c r="AR58" i="38"/>
  <c r="AS58" i="38"/>
  <c r="AT58" i="38"/>
  <c r="AU58" i="38"/>
  <c r="AV58" i="38"/>
  <c r="AW58" i="38"/>
  <c r="AX58" i="38"/>
  <c r="AY58" i="38"/>
  <c r="AZ58" i="38"/>
  <c r="BA58" i="38"/>
  <c r="BB58" i="38"/>
  <c r="BC58" i="38"/>
  <c r="BD58" i="38"/>
  <c r="BE58" i="38"/>
  <c r="BF58" i="38"/>
  <c r="BG58" i="38"/>
  <c r="BH58" i="38"/>
  <c r="BI58" i="38"/>
  <c r="BJ58" i="38"/>
  <c r="BK58" i="38"/>
  <c r="F61" i="38"/>
  <c r="G61" i="38"/>
  <c r="H61" i="38"/>
  <c r="I61" i="38"/>
  <c r="J61" i="38"/>
  <c r="K61" i="38"/>
  <c r="L61" i="38"/>
  <c r="M61" i="38"/>
  <c r="N61" i="38"/>
  <c r="O61" i="38"/>
  <c r="P61" i="38"/>
  <c r="Q61" i="38"/>
  <c r="R61" i="38"/>
  <c r="S61" i="38"/>
  <c r="T61" i="38"/>
  <c r="U61" i="38"/>
  <c r="V61" i="38"/>
  <c r="W61" i="38"/>
  <c r="X61" i="38"/>
  <c r="Y61" i="38"/>
  <c r="Z61" i="38"/>
  <c r="AA61" i="38"/>
  <c r="AB61" i="38"/>
  <c r="AC61" i="38"/>
  <c r="AD61" i="38"/>
  <c r="AE61" i="38"/>
  <c r="AF61" i="38"/>
  <c r="AG61" i="38"/>
  <c r="AH61" i="38"/>
  <c r="AI61" i="38"/>
  <c r="AJ61" i="38"/>
  <c r="AK61" i="38"/>
  <c r="AL61" i="38"/>
  <c r="AM61" i="38"/>
  <c r="AN61" i="38"/>
  <c r="AO61" i="38"/>
  <c r="AP61" i="38"/>
  <c r="AQ61" i="38"/>
  <c r="AR61" i="38"/>
  <c r="AS61" i="38"/>
  <c r="AT61" i="38"/>
  <c r="AU61" i="38"/>
  <c r="AV61" i="38"/>
  <c r="AW61" i="38"/>
  <c r="AX61" i="38"/>
  <c r="AY61" i="38"/>
  <c r="AZ61" i="38"/>
  <c r="BA61" i="38"/>
  <c r="BB61" i="38"/>
  <c r="BC61" i="38"/>
  <c r="BD61" i="38"/>
  <c r="BE61" i="38"/>
  <c r="BF61" i="38"/>
  <c r="BG61" i="38"/>
  <c r="BH61" i="38"/>
  <c r="BI61" i="38"/>
  <c r="BJ61" i="38"/>
  <c r="BK61" i="38"/>
</calcChain>
</file>

<file path=xl/comments1.xml><?xml version="1.0" encoding="utf-8"?>
<comments xmlns="http://schemas.openxmlformats.org/spreadsheetml/2006/main">
  <authors>
    <author>Rupert Dance</author>
  </authors>
  <commentList>
    <comment ref="B87" authorId="0">
      <text>
        <r>
          <rPr>
            <b/>
            <sz val="9"/>
            <color indexed="81"/>
            <rFont val="Tahoma"/>
            <family val="2"/>
          </rPr>
          <t>Rupert Dance:</t>
        </r>
        <r>
          <rPr>
            <sz val="9"/>
            <color indexed="81"/>
            <rFont val="Tahoma"/>
            <family val="2"/>
          </rPr>
          <t xml:space="preserve">
See Table 65-69 in Volume 2 v1.3
</t>
        </r>
      </text>
    </comment>
  </commentList>
</comments>
</file>

<file path=xl/sharedStrings.xml><?xml version="1.0" encoding="utf-8"?>
<sst xmlns="http://schemas.openxmlformats.org/spreadsheetml/2006/main" count="244" uniqueCount="150">
  <si>
    <t>No</t>
  </si>
  <si>
    <t>QSFP</t>
  </si>
  <si>
    <t>Yes</t>
  </si>
  <si>
    <t>D</t>
  </si>
  <si>
    <t>DQ</t>
  </si>
  <si>
    <t>Legend</t>
  </si>
  <si>
    <t>A</t>
  </si>
  <si>
    <t>N</t>
  </si>
  <si>
    <t>E</t>
  </si>
  <si>
    <t>P</t>
  </si>
  <si>
    <t>Pass</t>
  </si>
  <si>
    <t>N/A</t>
  </si>
  <si>
    <t>NT</t>
  </si>
  <si>
    <t>SDR</t>
  </si>
  <si>
    <t>7.1.1</t>
  </si>
  <si>
    <t>7.1.2</t>
  </si>
  <si>
    <t>Insertion Loss Side A</t>
  </si>
  <si>
    <t>7.1.4</t>
  </si>
  <si>
    <t>Xtalk Time Domain</t>
  </si>
  <si>
    <t>7.1.5</t>
  </si>
  <si>
    <t>Eye Height</t>
  </si>
  <si>
    <t>7.1.6</t>
  </si>
  <si>
    <t>Eye Jitter</t>
  </si>
  <si>
    <t>7.1.3</t>
  </si>
  <si>
    <t>DDR</t>
  </si>
  <si>
    <t>QDR</t>
  </si>
  <si>
    <t>Individual Test Data</t>
  </si>
  <si>
    <t>Region 1 - Fixture (result not used)</t>
  </si>
  <si>
    <t>Region 2 - Cable under Test - Minimum Value</t>
  </si>
  <si>
    <t>Region 2 - Cable under Test - Maximum Value</t>
  </si>
  <si>
    <t>Frequency   0.100 - 0.200</t>
  </si>
  <si>
    <t>0.200 - 0.625</t>
  </si>
  <si>
    <t>0.629 - 1.250</t>
  </si>
  <si>
    <t>1.250 - 1.875</t>
  </si>
  <si>
    <t>1.875 - 2.500</t>
  </si>
  <si>
    <t>2.500 - 5.000</t>
  </si>
  <si>
    <t>Minimum Margin Frequency (GHz)</t>
  </si>
  <si>
    <t>Limit @ freq.</t>
  </si>
  <si>
    <t>Measured @ freq</t>
  </si>
  <si>
    <t>Time domain Xtalk Side A</t>
  </si>
  <si>
    <t>Eye diagram measured at Side A - Passive cables</t>
  </si>
  <si>
    <t>Active cables - vertical eye opening</t>
  </si>
  <si>
    <t>Active cables - P-P Jitter</t>
  </si>
  <si>
    <t>Active Cable</t>
  </si>
  <si>
    <t>Equalized in the connector</t>
  </si>
  <si>
    <t>Non Equalized</t>
  </si>
  <si>
    <t>Equalized in the wire</t>
  </si>
  <si>
    <t>DDR Only</t>
  </si>
  <si>
    <t>DDR and QDR Testing</t>
  </si>
  <si>
    <t>Not applicable</t>
  </si>
  <si>
    <t>Not Tested</t>
  </si>
  <si>
    <t>SDR 890 mV</t>
  </si>
  <si>
    <t>TJ Source</t>
  </si>
  <si>
    <t>TJ DUT</t>
  </si>
  <si>
    <t>Net</t>
  </si>
  <si>
    <t>DJ Source</t>
  </si>
  <si>
    <t>DJ DUT</t>
  </si>
  <si>
    <t>Eye Opening</t>
  </si>
  <si>
    <t>DDR 500 mV</t>
  </si>
  <si>
    <t>DDR 1200 mV</t>
  </si>
  <si>
    <t>QDR 500 mV</t>
  </si>
  <si>
    <t>QDR 1200 mV</t>
  </si>
  <si>
    <t>UI</t>
  </si>
  <si>
    <t>Min eye height</t>
  </si>
  <si>
    <t>Peak-to-peak TJ</t>
  </si>
  <si>
    <t>Peak-to-peak DJ</t>
  </si>
  <si>
    <t>Differential Mode Return Loss, Cable Input</t>
  </si>
  <si>
    <t>Pair Differential Impedance Z-Line Cable Input</t>
  </si>
  <si>
    <t>Pair Differential Impedance Z-Line Cable Output</t>
  </si>
  <si>
    <t>Mellanox parameters for SDR Cables</t>
  </si>
  <si>
    <t>Low limit</t>
  </si>
  <si>
    <t>High limit</t>
  </si>
  <si>
    <t>Excellent        </t>
  </si>
  <si>
    <t>Robust</t>
  </si>
  <si>
    <t>Satisfactory     </t>
  </si>
  <si>
    <t>Marginal   </t>
  </si>
  <si>
    <t>Inadequate </t>
  </si>
  <si>
    <t>Mellanox parameters for DDR Cables</t>
  </si>
  <si>
    <t>Mellanox parameters for QDR Cables</t>
  </si>
  <si>
    <t>Good</t>
  </si>
  <si>
    <t>SDR 1600mV</t>
  </si>
  <si>
    <t>0.626 - 1.250</t>
  </si>
  <si>
    <t>1.251 - 1.875</t>
  </si>
  <si>
    <t>1.876 - 2.500</t>
  </si>
  <si>
    <t>2.501 - 3.750</t>
  </si>
  <si>
    <t>3.751 - 5.000</t>
  </si>
  <si>
    <t>5.001 - 7.500</t>
  </si>
  <si>
    <t>7.501 - 8.500</t>
  </si>
  <si>
    <t>8.501 - 9.000</t>
  </si>
  <si>
    <t>9.001 - 10.000</t>
  </si>
  <si>
    <t>CX4</t>
  </si>
  <si>
    <t>CXP</t>
  </si>
  <si>
    <t>s</t>
  </si>
  <si>
    <r>
      <t>Z-line (</t>
    </r>
    <r>
      <rPr>
        <b/>
        <sz val="9"/>
        <color indexed="12"/>
        <rFont val="Arial"/>
        <family val="2"/>
      </rPr>
      <t>SDR</t>
    </r>
    <r>
      <rPr>
        <b/>
        <sz val="9"/>
        <rFont val="Arial"/>
        <family val="2"/>
      </rPr>
      <t>): Pair Differential Impedance (</t>
    </r>
    <r>
      <rPr>
        <b/>
        <sz val="9"/>
        <color indexed="12"/>
        <rFont val="Arial"/>
        <family val="2"/>
      </rPr>
      <t>SDR</t>
    </r>
    <r>
      <rPr>
        <b/>
        <sz val="9"/>
        <rFont val="Arial"/>
        <family val="2"/>
      </rPr>
      <t>)  Side A</t>
    </r>
    <r>
      <rPr>
        <sz val="9"/>
        <rFont val="Arial"/>
        <family val="2"/>
      </rPr>
      <t xml:space="preserve"> - Region 2 Only</t>
    </r>
  </si>
  <si>
    <r>
      <t>Z-line (</t>
    </r>
    <r>
      <rPr>
        <b/>
        <sz val="9"/>
        <color indexed="12"/>
        <rFont val="Arial"/>
        <family val="2"/>
      </rPr>
      <t>SDR</t>
    </r>
    <r>
      <rPr>
        <b/>
        <sz val="9"/>
        <rFont val="Arial"/>
        <family val="2"/>
      </rPr>
      <t>): Pair Differential Impedance (</t>
    </r>
    <r>
      <rPr>
        <b/>
        <sz val="9"/>
        <color indexed="12"/>
        <rFont val="Arial"/>
        <family val="2"/>
      </rPr>
      <t>SDR</t>
    </r>
    <r>
      <rPr>
        <b/>
        <sz val="9"/>
        <rFont val="Arial"/>
        <family val="2"/>
      </rPr>
      <t>)  Side B</t>
    </r>
    <r>
      <rPr>
        <sz val="9"/>
        <rFont val="Arial"/>
        <family val="2"/>
      </rPr>
      <t xml:space="preserve"> - Region 2 Only</t>
    </r>
  </si>
  <si>
    <r>
      <t>Differential Mode Insertion Loss measured at side A (</t>
    </r>
    <r>
      <rPr>
        <b/>
        <sz val="9"/>
        <color indexed="12"/>
        <rFont val="Arial"/>
        <family val="2"/>
      </rPr>
      <t xml:space="preserve">SDR </t>
    </r>
    <r>
      <rPr>
        <b/>
        <sz val="9"/>
        <rFont val="Arial"/>
        <family val="2"/>
      </rPr>
      <t>&amp;</t>
    </r>
    <r>
      <rPr>
        <b/>
        <sz val="9"/>
        <color indexed="12"/>
        <rFont val="Arial"/>
        <family val="2"/>
      </rPr>
      <t xml:space="preserve"> </t>
    </r>
    <r>
      <rPr>
        <b/>
        <sz val="9"/>
        <color indexed="10"/>
        <rFont val="Arial"/>
        <family val="2"/>
      </rPr>
      <t>DDR</t>
    </r>
    <r>
      <rPr>
        <b/>
        <sz val="9"/>
        <rFont val="Arial"/>
        <family val="2"/>
      </rPr>
      <t>) [11dB]</t>
    </r>
  </si>
  <si>
    <r>
      <t>Differential Mode Insertion Loss measured at side A (</t>
    </r>
    <r>
      <rPr>
        <b/>
        <sz val="9"/>
        <color indexed="11"/>
        <rFont val="Arial"/>
        <family val="2"/>
      </rPr>
      <t>QDR</t>
    </r>
    <r>
      <rPr>
        <b/>
        <sz val="9"/>
        <rFont val="Arial"/>
        <family val="2"/>
      </rPr>
      <t>)</t>
    </r>
  </si>
  <si>
    <r>
      <t>Differential Mode Return Loss, Side A (</t>
    </r>
    <r>
      <rPr>
        <b/>
        <sz val="9"/>
        <color indexed="10"/>
        <rFont val="Arial"/>
        <family val="2"/>
      </rPr>
      <t>DDR</t>
    </r>
    <r>
      <rPr>
        <b/>
        <sz val="9"/>
        <rFont val="Arial"/>
        <family val="2"/>
      </rPr>
      <t>)</t>
    </r>
  </si>
  <si>
    <r>
      <t>Differential Mode Return Loss, Side B (</t>
    </r>
    <r>
      <rPr>
        <b/>
        <sz val="9"/>
        <color indexed="10"/>
        <rFont val="Arial"/>
        <family val="2"/>
      </rPr>
      <t>DDR</t>
    </r>
    <r>
      <rPr>
        <b/>
        <sz val="9"/>
        <rFont val="Arial"/>
        <family val="2"/>
      </rPr>
      <t>)</t>
    </r>
  </si>
  <si>
    <r>
      <t>Differential Mode Return Loss, Side A (</t>
    </r>
    <r>
      <rPr>
        <b/>
        <sz val="9"/>
        <color indexed="11"/>
        <rFont val="Arial"/>
        <family val="2"/>
      </rPr>
      <t>QDR</t>
    </r>
    <r>
      <rPr>
        <b/>
        <sz val="9"/>
        <rFont val="Arial"/>
        <family val="2"/>
      </rPr>
      <t>)</t>
    </r>
  </si>
  <si>
    <r>
      <t>Differential Mode Return Loss, Side B (</t>
    </r>
    <r>
      <rPr>
        <b/>
        <sz val="9"/>
        <color indexed="11"/>
        <rFont val="Arial"/>
        <family val="2"/>
      </rPr>
      <t>QDR</t>
    </r>
    <r>
      <rPr>
        <b/>
        <sz val="9"/>
        <rFont val="Arial"/>
        <family val="2"/>
      </rPr>
      <t>)</t>
    </r>
  </si>
  <si>
    <r>
      <t>Xtalk Test (</t>
    </r>
    <r>
      <rPr>
        <b/>
        <sz val="9"/>
        <color indexed="12"/>
        <rFont val="Arial"/>
        <family val="2"/>
      </rPr>
      <t>SDR</t>
    </r>
    <r>
      <rPr>
        <sz val="9"/>
        <rFont val="Arial"/>
        <family val="2"/>
      </rPr>
      <t>)</t>
    </r>
  </si>
  <si>
    <r>
      <t>Xtalk Test (</t>
    </r>
    <r>
      <rPr>
        <b/>
        <sz val="9"/>
        <color indexed="10"/>
        <rFont val="Arial"/>
        <family val="2"/>
      </rPr>
      <t>DDR</t>
    </r>
    <r>
      <rPr>
        <sz val="9"/>
        <rFont val="Arial"/>
        <family val="2"/>
      </rPr>
      <t>)</t>
    </r>
  </si>
  <si>
    <r>
      <t>Eye opening (</t>
    </r>
    <r>
      <rPr>
        <b/>
        <sz val="9"/>
        <color indexed="12"/>
        <rFont val="Arial"/>
        <family val="2"/>
      </rPr>
      <t>SDR</t>
    </r>
    <r>
      <rPr>
        <sz val="9"/>
        <rFont val="Arial"/>
        <family val="2"/>
      </rPr>
      <t>) - this is an SDR measurement that DDR must pass</t>
    </r>
  </si>
  <si>
    <r>
      <t>P-P Jitter (</t>
    </r>
    <r>
      <rPr>
        <b/>
        <sz val="9"/>
        <color indexed="12"/>
        <rFont val="Arial"/>
        <family val="2"/>
      </rPr>
      <t>SDR</t>
    </r>
    <r>
      <rPr>
        <sz val="9"/>
        <rFont val="Arial"/>
        <family val="2"/>
      </rPr>
      <t>) - - this is an SDR measurement that DDR must pass</t>
    </r>
  </si>
  <si>
    <r>
      <t>Eye opening (</t>
    </r>
    <r>
      <rPr>
        <b/>
        <sz val="9"/>
        <color indexed="12"/>
        <rFont val="Arial"/>
        <family val="2"/>
      </rPr>
      <t>SDR Active</t>
    </r>
    <r>
      <rPr>
        <sz val="9"/>
        <rFont val="Arial"/>
        <family val="2"/>
      </rPr>
      <t>) 890 mV</t>
    </r>
  </si>
  <si>
    <r>
      <t>Eye opening (</t>
    </r>
    <r>
      <rPr>
        <b/>
        <sz val="9"/>
        <color indexed="12"/>
        <rFont val="Arial"/>
        <family val="2"/>
      </rPr>
      <t>SDR Active</t>
    </r>
    <r>
      <rPr>
        <sz val="9"/>
        <rFont val="Arial"/>
        <family val="2"/>
      </rPr>
      <t>) 1500 mV</t>
    </r>
  </si>
  <si>
    <r>
      <t>Eye opening (</t>
    </r>
    <r>
      <rPr>
        <b/>
        <sz val="9"/>
        <color indexed="10"/>
        <rFont val="Arial"/>
        <family val="2"/>
      </rPr>
      <t>DDR Active</t>
    </r>
    <r>
      <rPr>
        <sz val="9"/>
        <rFont val="Arial"/>
        <family val="2"/>
      </rPr>
      <t>) 500 mV</t>
    </r>
  </si>
  <si>
    <r>
      <t>Eye opening (</t>
    </r>
    <r>
      <rPr>
        <b/>
        <sz val="9"/>
        <color indexed="10"/>
        <rFont val="Arial"/>
        <family val="2"/>
      </rPr>
      <t>DDR Active</t>
    </r>
    <r>
      <rPr>
        <sz val="9"/>
        <rFont val="Arial"/>
        <family val="2"/>
      </rPr>
      <t>) 1200 mV</t>
    </r>
  </si>
  <si>
    <r>
      <t>Eye opening (</t>
    </r>
    <r>
      <rPr>
        <b/>
        <sz val="9"/>
        <color indexed="11"/>
        <rFont val="Arial"/>
        <family val="2"/>
      </rPr>
      <t>QDR Active</t>
    </r>
    <r>
      <rPr>
        <sz val="9"/>
        <rFont val="Arial"/>
        <family val="2"/>
      </rPr>
      <t>) 500 mV</t>
    </r>
  </si>
  <si>
    <r>
      <t>Eye opening (</t>
    </r>
    <r>
      <rPr>
        <b/>
        <sz val="9"/>
        <color indexed="11"/>
        <rFont val="Arial"/>
        <family val="2"/>
      </rPr>
      <t>QDR Active</t>
    </r>
    <r>
      <rPr>
        <sz val="9"/>
        <rFont val="Arial"/>
        <family val="2"/>
      </rPr>
      <t>) 1200 mV</t>
    </r>
  </si>
  <si>
    <r>
      <t>P-P TJ (</t>
    </r>
    <r>
      <rPr>
        <b/>
        <sz val="9"/>
        <color indexed="12"/>
        <rFont val="Arial"/>
        <family val="2"/>
      </rPr>
      <t>SDR Active</t>
    </r>
    <r>
      <rPr>
        <sz val="9"/>
        <rFont val="Arial"/>
        <family val="2"/>
      </rPr>
      <t>) 890 mV</t>
    </r>
  </si>
  <si>
    <r>
      <t>P-P DJ (</t>
    </r>
    <r>
      <rPr>
        <b/>
        <sz val="9"/>
        <color indexed="12"/>
        <rFont val="Arial"/>
        <family val="2"/>
      </rPr>
      <t>SDR Active</t>
    </r>
    <r>
      <rPr>
        <sz val="9"/>
        <rFont val="Arial"/>
        <family val="2"/>
      </rPr>
      <t>) 890 mV</t>
    </r>
  </si>
  <si>
    <r>
      <t>P-P TJ (</t>
    </r>
    <r>
      <rPr>
        <b/>
        <sz val="9"/>
        <color indexed="12"/>
        <rFont val="Arial"/>
        <family val="2"/>
      </rPr>
      <t>SDR Active</t>
    </r>
    <r>
      <rPr>
        <sz val="9"/>
        <rFont val="Arial"/>
        <family val="2"/>
      </rPr>
      <t>) 1500 mV</t>
    </r>
  </si>
  <si>
    <r>
      <t>P-P DJ (</t>
    </r>
    <r>
      <rPr>
        <b/>
        <sz val="9"/>
        <color indexed="12"/>
        <rFont val="Arial"/>
        <family val="2"/>
      </rPr>
      <t>SDR Active</t>
    </r>
    <r>
      <rPr>
        <sz val="9"/>
        <rFont val="Arial"/>
        <family val="2"/>
      </rPr>
      <t>) 1500 mV</t>
    </r>
  </si>
  <si>
    <r>
      <t>P-P TJ (</t>
    </r>
    <r>
      <rPr>
        <b/>
        <sz val="9"/>
        <color indexed="10"/>
        <rFont val="Arial"/>
        <family val="2"/>
      </rPr>
      <t>DDR Active</t>
    </r>
    <r>
      <rPr>
        <sz val="9"/>
        <rFont val="Arial"/>
        <family val="2"/>
      </rPr>
      <t>) 500 mV</t>
    </r>
  </si>
  <si>
    <r>
      <t>P-P DJ (</t>
    </r>
    <r>
      <rPr>
        <b/>
        <sz val="9"/>
        <color indexed="10"/>
        <rFont val="Arial"/>
        <family val="2"/>
      </rPr>
      <t>DDR Active</t>
    </r>
    <r>
      <rPr>
        <sz val="9"/>
        <rFont val="Arial"/>
        <family val="2"/>
      </rPr>
      <t>) 500 mV</t>
    </r>
  </si>
  <si>
    <r>
      <t>P-P TJ (</t>
    </r>
    <r>
      <rPr>
        <b/>
        <sz val="9"/>
        <color indexed="10"/>
        <rFont val="Arial"/>
        <family val="2"/>
      </rPr>
      <t>DDR Active</t>
    </r>
    <r>
      <rPr>
        <sz val="9"/>
        <rFont val="Arial"/>
        <family val="2"/>
      </rPr>
      <t>) 1200 mV</t>
    </r>
  </si>
  <si>
    <r>
      <t>P-P DJ (</t>
    </r>
    <r>
      <rPr>
        <b/>
        <sz val="9"/>
        <color indexed="10"/>
        <rFont val="Arial"/>
        <family val="2"/>
      </rPr>
      <t>DDR Active</t>
    </r>
    <r>
      <rPr>
        <sz val="9"/>
        <rFont val="Arial"/>
        <family val="2"/>
      </rPr>
      <t>) 1200 mV</t>
    </r>
  </si>
  <si>
    <r>
      <t>P-P TJ (</t>
    </r>
    <r>
      <rPr>
        <b/>
        <sz val="9"/>
        <color indexed="11"/>
        <rFont val="Arial"/>
        <family val="2"/>
      </rPr>
      <t>QDR Active</t>
    </r>
    <r>
      <rPr>
        <sz val="9"/>
        <rFont val="Arial"/>
        <family val="2"/>
      </rPr>
      <t>) 500 mV</t>
    </r>
  </si>
  <si>
    <r>
      <t>P-P DJ (</t>
    </r>
    <r>
      <rPr>
        <b/>
        <sz val="9"/>
        <color indexed="11"/>
        <rFont val="Arial"/>
        <family val="2"/>
      </rPr>
      <t>QDR Active</t>
    </r>
    <r>
      <rPr>
        <sz val="9"/>
        <rFont val="Arial"/>
        <family val="2"/>
      </rPr>
      <t>) 500 mV</t>
    </r>
  </si>
  <si>
    <r>
      <t>P-P TJ (</t>
    </r>
    <r>
      <rPr>
        <b/>
        <sz val="9"/>
        <color indexed="11"/>
        <rFont val="Arial"/>
        <family val="2"/>
      </rPr>
      <t>QDR Active</t>
    </r>
    <r>
      <rPr>
        <sz val="9"/>
        <rFont val="Arial"/>
        <family val="2"/>
      </rPr>
      <t>) 1200 mV</t>
    </r>
  </si>
  <si>
    <r>
      <t>P-P DJ (</t>
    </r>
    <r>
      <rPr>
        <b/>
        <sz val="9"/>
        <color indexed="11"/>
        <rFont val="Arial"/>
        <family val="2"/>
      </rPr>
      <t>QDR Active</t>
    </r>
    <r>
      <rPr>
        <sz val="9"/>
        <rFont val="Arial"/>
        <family val="2"/>
      </rPr>
      <t>) 1200 mV</t>
    </r>
  </si>
  <si>
    <r>
      <t>SDR Result per Cable (</t>
    </r>
    <r>
      <rPr>
        <b/>
        <sz val="9"/>
        <color indexed="17"/>
        <rFont val="Arial"/>
        <family val="2"/>
      </rPr>
      <t>Yes</t>
    </r>
    <r>
      <rPr>
        <b/>
        <sz val="9"/>
        <rFont val="Arial"/>
        <family val="2"/>
      </rPr>
      <t xml:space="preserve"> = IL, </t>
    </r>
    <r>
      <rPr>
        <b/>
        <sz val="9"/>
        <color indexed="10"/>
        <rFont val="Arial"/>
        <family val="2"/>
      </rPr>
      <t>No</t>
    </r>
    <r>
      <rPr>
        <b/>
        <sz val="9"/>
        <rFont val="Arial"/>
        <family val="2"/>
      </rPr>
      <t xml:space="preserve"> = NO IL)</t>
    </r>
  </si>
  <si>
    <r>
      <rPr>
        <b/>
        <sz val="9"/>
        <color indexed="12"/>
        <rFont val="Arial"/>
        <family val="2"/>
      </rPr>
      <t xml:space="preserve">QDR </t>
    </r>
    <r>
      <rPr>
        <b/>
        <sz val="9"/>
        <rFont val="Arial"/>
        <family val="2"/>
      </rPr>
      <t>Result per Cable (</t>
    </r>
    <r>
      <rPr>
        <b/>
        <sz val="9"/>
        <color indexed="17"/>
        <rFont val="Arial"/>
        <family val="2"/>
      </rPr>
      <t>Yes</t>
    </r>
    <r>
      <rPr>
        <b/>
        <sz val="9"/>
        <rFont val="Arial"/>
        <family val="2"/>
      </rPr>
      <t xml:space="preserve"> = IL, </t>
    </r>
    <r>
      <rPr>
        <b/>
        <sz val="9"/>
        <color indexed="10"/>
        <rFont val="Arial"/>
        <family val="2"/>
      </rPr>
      <t>No</t>
    </r>
    <r>
      <rPr>
        <b/>
        <sz val="9"/>
        <rFont val="Arial"/>
        <family val="2"/>
      </rPr>
      <t xml:space="preserve"> = NO IL)</t>
    </r>
  </si>
  <si>
    <r>
      <rPr>
        <b/>
        <sz val="9"/>
        <color indexed="10"/>
        <rFont val="Arial"/>
        <family val="2"/>
      </rPr>
      <t>DDR</t>
    </r>
    <r>
      <rPr>
        <b/>
        <sz val="9"/>
        <rFont val="Arial"/>
        <family val="2"/>
      </rPr>
      <t xml:space="preserve"> Result per Cable (</t>
    </r>
    <r>
      <rPr>
        <b/>
        <sz val="9"/>
        <color indexed="17"/>
        <rFont val="Arial"/>
        <family val="2"/>
      </rPr>
      <t>Yes</t>
    </r>
    <r>
      <rPr>
        <b/>
        <sz val="9"/>
        <rFont val="Arial"/>
        <family val="2"/>
      </rPr>
      <t xml:space="preserve"> = IL, </t>
    </r>
    <r>
      <rPr>
        <b/>
        <sz val="9"/>
        <color indexed="10"/>
        <rFont val="Arial"/>
        <family val="2"/>
      </rPr>
      <t>No</t>
    </r>
    <r>
      <rPr>
        <b/>
        <sz val="9"/>
        <rFont val="Arial"/>
        <family val="2"/>
      </rPr>
      <t xml:space="preserve"> = NO IL)</t>
    </r>
  </si>
  <si>
    <t>Rev</t>
  </si>
  <si>
    <t>Description</t>
  </si>
  <si>
    <t>Date</t>
  </si>
  <si>
    <t>Source</t>
  </si>
  <si>
    <t>Insertion Loss Side A - Range .1 to 5.0 GHz</t>
  </si>
  <si>
    <r>
      <t xml:space="preserve">Insertion Loss Side A - Range .1 to 9.0 GHz </t>
    </r>
    <r>
      <rPr>
        <sz val="9"/>
        <color indexed="10"/>
        <rFont val="Arial"/>
        <family val="2"/>
      </rPr>
      <t>(Informative)</t>
    </r>
  </si>
  <si>
    <r>
      <t xml:space="preserve">Differential Mode Return Loss, Cable Output </t>
    </r>
    <r>
      <rPr>
        <sz val="9"/>
        <color indexed="10"/>
        <rFont val="Arial"/>
        <family val="2"/>
      </rPr>
      <t>(Informative)</t>
    </r>
  </si>
  <si>
    <t>dsf</t>
  </si>
  <si>
    <t>Type</t>
  </si>
  <si>
    <t>Hybrid - CX4</t>
  </si>
  <si>
    <t>Hybrid - CXP</t>
  </si>
  <si>
    <t>Hybrid - QSFP</t>
  </si>
  <si>
    <t>Hybrid - CX12</t>
  </si>
  <si>
    <t>RSD</t>
  </si>
  <si>
    <t>Rev3-v1</t>
  </si>
  <si>
    <t>Rev1-v1</t>
  </si>
  <si>
    <t>Rev1-v2</t>
  </si>
  <si>
    <t>Rev2-v1</t>
  </si>
  <si>
    <t>Rev2-v2</t>
  </si>
  <si>
    <r>
      <rPr>
        <b/>
        <sz val="12"/>
        <color rgb="FFFF0000"/>
        <rFont val="Times New Roman"/>
        <family val="1"/>
      </rPr>
      <t>Rupert's</t>
    </r>
    <r>
      <rPr>
        <b/>
        <sz val="12"/>
        <rFont val="Times New Roman"/>
        <family val="1"/>
      </rPr>
      <t xml:space="preserve"> parameters for FDR Cables</t>
    </r>
  </si>
  <si>
    <t>Insertion Loss Side A [11dB]</t>
  </si>
  <si>
    <t>LLK/RSD</t>
  </si>
  <si>
    <t>Limits</t>
  </si>
  <si>
    <t>Tektronix Time Domain Testing for SDR-QDR passive and active 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</si>
</sst>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[$-409]mmmm\ d\,\ yyyy;@"/>
  </numFmts>
  <fonts count="2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9"/>
      <color indexed="10"/>
      <name val="Arial"/>
      <family val="2"/>
    </font>
    <font>
      <b/>
      <sz val="9"/>
      <color indexed="12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52"/>
      <name val="Arial"/>
      <family val="2"/>
    </font>
    <font>
      <b/>
      <sz val="9"/>
      <color indexed="11"/>
      <name val="Arial"/>
      <family val="2"/>
    </font>
    <font>
      <b/>
      <sz val="10"/>
      <color indexed="10"/>
      <name val="Arial"/>
      <family val="2"/>
    </font>
    <font>
      <sz val="9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medium">
        <color indexed="12"/>
      </left>
      <right style="medium">
        <color indexed="12"/>
      </right>
      <top/>
      <bottom style="medium">
        <color indexed="12"/>
      </bottom>
      <diagonal/>
    </border>
    <border>
      <left/>
      <right style="medium">
        <color indexed="12"/>
      </right>
      <top/>
      <bottom style="medium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6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" fillId="0" borderId="0"/>
    <xf numFmtId="164" fontId="5" fillId="0" borderId="0" applyNumberFormat="0" applyFill="0" applyBorder="0" applyAlignment="0" applyProtection="0">
      <alignment vertical="center"/>
      <protection locked="0"/>
    </xf>
    <xf numFmtId="165" fontId="1" fillId="0" borderId="0" applyNumberFormat="0" applyFill="0" applyBorder="0" applyAlignment="0" applyProtection="0">
      <alignment vertical="center"/>
      <protection locked="0"/>
    </xf>
    <xf numFmtId="164" fontId="5" fillId="0" borderId="0" applyNumberFormat="0" applyFill="0" applyBorder="0" applyAlignment="0" applyProtection="0">
      <alignment vertical="center"/>
      <protection locked="0"/>
    </xf>
    <xf numFmtId="164" fontId="3" fillId="0" borderId="0" applyNumberFormat="0" applyFill="0" applyBorder="0" applyAlignment="0" applyProtection="0">
      <alignment vertical="center"/>
      <protection locked="0"/>
    </xf>
    <xf numFmtId="164" fontId="5" fillId="0" borderId="0" applyNumberFormat="0" applyFill="0" applyBorder="0" applyAlignment="0" applyProtection="0">
      <alignment vertical="center"/>
      <protection locked="0"/>
    </xf>
    <xf numFmtId="165" fontId="1" fillId="0" borderId="0" applyNumberFormat="0" applyFill="0" applyBorder="0" applyAlignment="0" applyProtection="0">
      <alignment vertical="center"/>
      <protection locked="0"/>
    </xf>
    <xf numFmtId="165" fontId="1" fillId="0" borderId="0" applyNumberFormat="0" applyFill="0" applyBorder="0" applyAlignment="0" applyProtection="0">
      <alignment vertical="center"/>
      <protection locked="0"/>
    </xf>
    <xf numFmtId="0" fontId="20" fillId="0" borderId="0"/>
    <xf numFmtId="0" fontId="1" fillId="0" borderId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/>
    <xf numFmtId="0" fontId="0" fillId="0" borderId="0" xfId="0" applyFill="1"/>
    <xf numFmtId="0" fontId="0" fillId="2" borderId="1" xfId="0" applyFill="1" applyBorder="1" applyAlignment="1">
      <alignment horizontal="center" vertical="center"/>
    </xf>
    <xf numFmtId="0" fontId="3" fillId="0" borderId="0" xfId="0" applyFont="1" applyFill="1" applyBorder="1"/>
    <xf numFmtId="0" fontId="4" fillId="0" borderId="0" xfId="0" applyFont="1" applyFill="1" applyBorder="1"/>
    <xf numFmtId="0" fontId="0" fillId="0" borderId="0" xfId="0" applyFill="1" applyBorder="1"/>
    <xf numFmtId="0" fontId="3" fillId="0" borderId="2" xfId="0" applyFont="1" applyFill="1" applyBorder="1" applyAlignment="1">
      <alignment horizontal="center" vertical="center"/>
    </xf>
    <xf numFmtId="0" fontId="2" fillId="0" borderId="2" xfId="0" applyFont="1" applyFill="1" applyBorder="1"/>
    <xf numFmtId="0" fontId="0" fillId="0" borderId="2" xfId="0" applyFill="1" applyBorder="1"/>
    <xf numFmtId="0" fontId="2" fillId="0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 vertical="center"/>
    </xf>
    <xf numFmtId="2" fontId="2" fillId="3" borderId="0" xfId="0" applyNumberFormat="1" applyFont="1" applyFill="1" applyBorder="1"/>
    <xf numFmtId="2" fontId="0" fillId="3" borderId="0" xfId="0" applyNumberFormat="1" applyFill="1" applyBorder="1"/>
    <xf numFmtId="0" fontId="3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/>
    </xf>
    <xf numFmtId="0" fontId="2" fillId="3" borderId="3" xfId="0" applyFont="1" applyFill="1" applyBorder="1"/>
    <xf numFmtId="0" fontId="3" fillId="0" borderId="3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left"/>
    </xf>
    <xf numFmtId="0" fontId="2" fillId="0" borderId="3" xfId="0" applyFont="1" applyFill="1" applyBorder="1"/>
    <xf numFmtId="0" fontId="3" fillId="4" borderId="3" xfId="0" applyFont="1" applyFill="1" applyBorder="1"/>
    <xf numFmtId="0" fontId="2" fillId="4" borderId="3" xfId="0" applyFont="1" applyFill="1" applyBorder="1"/>
    <xf numFmtId="0" fontId="0" fillId="4" borderId="3" xfId="0" applyFill="1" applyBorder="1"/>
    <xf numFmtId="0" fontId="2" fillId="0" borderId="0" xfId="0" applyFont="1" applyFill="1"/>
    <xf numFmtId="0" fontId="4" fillId="0" borderId="0" xfId="0" applyFont="1" applyFill="1"/>
    <xf numFmtId="0" fontId="3" fillId="0" borderId="0" xfId="0" applyFont="1" applyBorder="1" applyAlignment="1">
      <alignment horizontal="center" vertical="center"/>
    </xf>
    <xf numFmtId="0" fontId="3" fillId="4" borderId="4" xfId="0" applyFont="1" applyFill="1" applyBorder="1"/>
    <xf numFmtId="0" fontId="2" fillId="4" borderId="4" xfId="0" applyFont="1" applyFill="1" applyBorder="1"/>
    <xf numFmtId="0" fontId="0" fillId="4" borderId="4" xfId="0" applyFill="1" applyBorder="1"/>
    <xf numFmtId="0" fontId="2" fillId="0" borderId="0" xfId="0" applyFont="1" applyFill="1" applyBorder="1"/>
    <xf numFmtId="0" fontId="7" fillId="0" borderId="0" xfId="13" applyFont="1"/>
    <xf numFmtId="0" fontId="3" fillId="0" borderId="0" xfId="13"/>
    <xf numFmtId="0" fontId="3" fillId="0" borderId="5" xfId="13" applyFont="1" applyBorder="1"/>
    <xf numFmtId="0" fontId="2" fillId="0" borderId="7" xfId="13" applyFont="1" applyBorder="1"/>
    <xf numFmtId="0" fontId="8" fillId="0" borderId="0" xfId="13" applyFont="1"/>
    <xf numFmtId="0" fontId="0" fillId="0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2" fontId="0" fillId="3" borderId="0" xfId="0" applyNumberForma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 applyProtection="1">
      <alignment horizontal="center"/>
      <protection locked="0"/>
    </xf>
    <xf numFmtId="0" fontId="13" fillId="0" borderId="0" xfId="0" applyFont="1" applyProtection="1">
      <protection locked="0"/>
    </xf>
    <xf numFmtId="0" fontId="13" fillId="0" borderId="0" xfId="0" applyFont="1" applyBorder="1" applyProtection="1">
      <protection locked="0"/>
    </xf>
    <xf numFmtId="0" fontId="13" fillId="0" borderId="0" xfId="0" applyFont="1" applyFill="1" applyBorder="1" applyProtection="1">
      <protection locked="0"/>
    </xf>
    <xf numFmtId="0" fontId="13" fillId="0" borderId="0" xfId="0" applyFont="1" applyFill="1" applyProtection="1">
      <protection locked="0"/>
    </xf>
    <xf numFmtId="0" fontId="13" fillId="0" borderId="0" xfId="0" applyNumberFormat="1" applyFont="1" applyProtection="1">
      <protection locked="0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2" fontId="0" fillId="6" borderId="0" xfId="0" applyNumberForma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3" fillId="0" borderId="0" xfId="13" applyProtection="1">
      <protection locked="0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0" borderId="9" xfId="0" applyFont="1" applyBorder="1" applyAlignment="1">
      <alignment vertical="top"/>
    </xf>
    <xf numFmtId="164" fontId="0" fillId="0" borderId="9" xfId="0" applyNumberFormat="1" applyBorder="1" applyAlignment="1">
      <alignment horizontal="center" vertical="top"/>
    </xf>
    <xf numFmtId="0" fontId="1" fillId="0" borderId="9" xfId="0" applyFont="1" applyBorder="1" applyAlignment="1">
      <alignment vertical="top" wrapText="1"/>
    </xf>
    <xf numFmtId="0" fontId="0" fillId="0" borderId="9" xfId="0" applyBorder="1" applyAlignment="1">
      <alignment vertical="top"/>
    </xf>
    <xf numFmtId="0" fontId="3" fillId="0" borderId="9" xfId="0" applyFont="1" applyBorder="1" applyAlignment="1">
      <alignment vertical="top"/>
    </xf>
    <xf numFmtId="0" fontId="10" fillId="0" borderId="0" xfId="0" applyFont="1" applyFill="1" applyAlignment="1" applyProtection="1">
      <alignment horizontal="center" vertical="center"/>
    </xf>
    <xf numFmtId="0" fontId="10" fillId="0" borderId="0" xfId="0" applyFont="1" applyFill="1" applyAlignment="1" applyProtection="1">
      <alignment horizontal="left" vertical="center"/>
    </xf>
    <xf numFmtId="0" fontId="12" fillId="0" borderId="0" xfId="0" applyFont="1" applyFill="1" applyBorder="1" applyAlignment="1" applyProtection="1">
      <alignment horizontal="center"/>
    </xf>
    <xf numFmtId="0" fontId="13" fillId="0" borderId="0" xfId="0" applyFont="1" applyFill="1" applyBorder="1" applyProtection="1"/>
    <xf numFmtId="0" fontId="12" fillId="0" borderId="0" xfId="0" applyFont="1" applyAlignment="1" applyProtection="1">
      <alignment horizontal="center"/>
    </xf>
    <xf numFmtId="0" fontId="13" fillId="0" borderId="0" xfId="0" applyFont="1" applyProtection="1"/>
    <xf numFmtId="0" fontId="13" fillId="0" borderId="0" xfId="0" applyFont="1" applyAlignment="1" applyProtection="1">
      <alignment horizontal="center"/>
    </xf>
    <xf numFmtId="0" fontId="13" fillId="0" borderId="0" xfId="0" applyFont="1" applyFill="1" applyProtection="1"/>
    <xf numFmtId="0" fontId="12" fillId="0" borderId="10" xfId="0" applyFont="1" applyFill="1" applyBorder="1" applyAlignment="1" applyProtection="1">
      <alignment horizontal="center"/>
    </xf>
    <xf numFmtId="0" fontId="12" fillId="2" borderId="10" xfId="0" applyFont="1" applyFill="1" applyBorder="1" applyProtection="1"/>
    <xf numFmtId="0" fontId="12" fillId="0" borderId="0" xfId="0" applyFont="1" applyFill="1" applyBorder="1" applyProtection="1"/>
    <xf numFmtId="2" fontId="13" fillId="0" borderId="0" xfId="0" applyNumberFormat="1" applyFont="1" applyAlignment="1" applyProtection="1">
      <alignment horizontal="center"/>
    </xf>
    <xf numFmtId="0" fontId="13" fillId="0" borderId="0" xfId="0" applyFont="1" applyFill="1" applyAlignment="1" applyProtection="1"/>
    <xf numFmtId="0" fontId="13" fillId="0" borderId="0" xfId="0" applyFont="1" applyFill="1" applyAlignment="1" applyProtection="1">
      <alignment horizontal="center"/>
    </xf>
    <xf numFmtId="0" fontId="12" fillId="0" borderId="0" xfId="0" applyFont="1" applyFill="1" applyAlignment="1" applyProtection="1">
      <alignment horizontal="center"/>
    </xf>
    <xf numFmtId="0" fontId="12" fillId="0" borderId="0" xfId="0" applyFont="1" applyFill="1" applyProtection="1"/>
    <xf numFmtId="0" fontId="12" fillId="0" borderId="11" xfId="0" applyFont="1" applyBorder="1" applyAlignment="1" applyProtection="1">
      <alignment horizontal="center"/>
    </xf>
    <xf numFmtId="0" fontId="12" fillId="2" borderId="12" xfId="0" applyFont="1" applyFill="1" applyBorder="1" applyProtection="1"/>
    <xf numFmtId="0" fontId="12" fillId="0" borderId="0" xfId="0" applyFont="1" applyBorder="1" applyAlignment="1" applyProtection="1">
      <alignment horizontal="center"/>
    </xf>
    <xf numFmtId="0" fontId="13" fillId="0" borderId="0" xfId="0" applyFont="1" applyBorder="1" applyProtection="1"/>
    <xf numFmtId="0" fontId="12" fillId="5" borderId="0" xfId="0" applyFont="1" applyFill="1" applyAlignment="1" applyProtection="1">
      <alignment horizontal="center"/>
    </xf>
    <xf numFmtId="0" fontId="12" fillId="5" borderId="0" xfId="0" applyFont="1" applyFill="1" applyProtection="1"/>
    <xf numFmtId="0" fontId="13" fillId="0" borderId="0" xfId="0" applyFont="1" applyAlignment="1" applyProtection="1">
      <alignment horizontal="left" indent="2"/>
    </xf>
    <xf numFmtId="0" fontId="13" fillId="5" borderId="0" xfId="0" applyFont="1" applyFill="1" applyAlignment="1" applyProtection="1">
      <alignment horizontal="center"/>
    </xf>
    <xf numFmtId="0" fontId="12" fillId="5" borderId="0" xfId="0" applyFont="1" applyFill="1" applyAlignment="1" applyProtection="1">
      <alignment wrapText="1"/>
    </xf>
    <xf numFmtId="0" fontId="13" fillId="0" borderId="0" xfId="0" applyFont="1" applyAlignment="1" applyProtection="1">
      <alignment horizontal="left" indent="8"/>
    </xf>
    <xf numFmtId="0" fontId="12" fillId="5" borderId="0" xfId="0" applyFont="1" applyFill="1" applyAlignment="1" applyProtection="1">
      <alignment horizontal="left"/>
    </xf>
    <xf numFmtId="2" fontId="13" fillId="0" borderId="0" xfId="0" applyNumberFormat="1" applyFont="1" applyFill="1" applyAlignment="1" applyProtection="1">
      <alignment horizontal="center"/>
    </xf>
    <xf numFmtId="0" fontId="13" fillId="0" borderId="0" xfId="0" applyFont="1" applyFill="1" applyAlignment="1" applyProtection="1">
      <alignment horizontal="left" indent="8"/>
    </xf>
    <xf numFmtId="0" fontId="13" fillId="0" borderId="0" xfId="14" applyNumberFormat="1" applyFont="1" applyAlignment="1" applyProtection="1">
      <alignment horizontal="center"/>
    </xf>
    <xf numFmtId="0" fontId="13" fillId="0" borderId="0" xfId="0" applyNumberFormat="1" applyFont="1" applyAlignment="1" applyProtection="1">
      <alignment horizontal="center"/>
    </xf>
    <xf numFmtId="0" fontId="13" fillId="0" borderId="0" xfId="0" applyNumberFormat="1" applyFont="1" applyAlignment="1" applyProtection="1">
      <alignment horizontal="left" indent="2"/>
    </xf>
    <xf numFmtId="0" fontId="13" fillId="0" borderId="0" xfId="0" applyFont="1" applyFill="1" applyAlignment="1" applyProtection="1">
      <alignment horizontal="left" indent="2"/>
    </xf>
    <xf numFmtId="0" fontId="10" fillId="0" borderId="0" xfId="0" applyFont="1" applyAlignment="1" applyProtection="1">
      <alignment horizontal="left"/>
    </xf>
    <xf numFmtId="0" fontId="12" fillId="0" borderId="0" xfId="0" applyFont="1" applyAlignment="1" applyProtection="1">
      <alignment horizontal="left"/>
    </xf>
    <xf numFmtId="0" fontId="9" fillId="0" borderId="0" xfId="0" applyFont="1" applyAlignment="1" applyProtection="1">
      <alignment horizontal="left"/>
    </xf>
    <xf numFmtId="0" fontId="14" fillId="0" borderId="0" xfId="0" applyFont="1" applyBorder="1" applyAlignment="1" applyProtection="1">
      <alignment horizontal="left" vertical="center"/>
    </xf>
    <xf numFmtId="0" fontId="2" fillId="0" borderId="0" xfId="0" applyFont="1" applyAlignment="1" applyProtection="1">
      <alignment horizontal="left"/>
    </xf>
    <xf numFmtId="0" fontId="0" fillId="0" borderId="0" xfId="0" applyAlignment="1" applyProtection="1">
      <alignment horizontal="left" indent="2"/>
    </xf>
    <xf numFmtId="0" fontId="4" fillId="0" borderId="0" xfId="0" applyFont="1" applyAlignment="1" applyProtection="1">
      <alignment horizontal="left"/>
    </xf>
    <xf numFmtId="0" fontId="0" fillId="0" borderId="0" xfId="0" applyProtection="1"/>
    <xf numFmtId="0" fontId="16" fillId="0" borderId="0" xfId="0" applyFont="1" applyAlignment="1" applyProtection="1">
      <alignment horizontal="left"/>
    </xf>
    <xf numFmtId="0" fontId="4" fillId="0" borderId="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left" vertical="center"/>
    </xf>
    <xf numFmtId="0" fontId="2" fillId="0" borderId="6" xfId="13" applyFont="1" applyBorder="1" applyAlignment="1" applyProtection="1">
      <alignment horizontal="center" vertical="top"/>
    </xf>
    <xf numFmtId="0" fontId="3" fillId="0" borderId="8" xfId="13" applyFont="1" applyBorder="1" applyAlignment="1" applyProtection="1">
      <alignment horizontal="center"/>
    </xf>
    <xf numFmtId="0" fontId="3" fillId="0" borderId="0" xfId="13" applyProtection="1"/>
    <xf numFmtId="0" fontId="2" fillId="0" borderId="5" xfId="2" applyNumberFormat="1" applyFont="1" applyFill="1" applyBorder="1" applyAlignment="1" applyProtection="1">
      <alignment horizontal="center" vertical="top"/>
    </xf>
    <xf numFmtId="0" fontId="3" fillId="0" borderId="5" xfId="13" applyFont="1" applyFill="1" applyBorder="1" applyAlignment="1" applyProtection="1">
      <alignment horizontal="center"/>
    </xf>
    <xf numFmtId="0" fontId="3" fillId="0" borderId="0" xfId="13" applyFont="1" applyProtection="1"/>
    <xf numFmtId="0" fontId="3" fillId="0" borderId="5" xfId="13" applyFont="1" applyBorder="1" applyAlignment="1" applyProtection="1">
      <alignment horizontal="center"/>
    </xf>
  </cellXfs>
  <cellStyles count="16">
    <cellStyle name="Hyperlink 2" xfId="1"/>
    <cellStyle name="Normal" xfId="0" builtinId="0"/>
    <cellStyle name="Normal 13" xfId="2"/>
    <cellStyle name="Normal 13 2" xfId="3"/>
    <cellStyle name="Normal 2" xfId="4"/>
    <cellStyle name="Normal 2 2" xfId="5"/>
    <cellStyle name="Normal 3" xfId="6"/>
    <cellStyle name="Normal 4" xfId="7"/>
    <cellStyle name="Normal 5" xfId="8"/>
    <cellStyle name="Normal 6" xfId="9"/>
    <cellStyle name="Normal 7" xfId="10"/>
    <cellStyle name="Normal 8" xfId="11"/>
    <cellStyle name="Normal 9" xfId="12"/>
    <cellStyle name="Normal_October 2006 Plugfest Summary-v3" xfId="13"/>
    <cellStyle name="Percent" xfId="14" builtinId="5"/>
    <cellStyle name="Percent 2" xfId="15"/>
  </cellStyles>
  <dxfs count="83">
    <dxf>
      <font>
        <b/>
        <i val="0"/>
        <color rgb="FFFF0000"/>
      </font>
      <fill>
        <patternFill>
          <bgColor theme="1"/>
        </patternFill>
      </fill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lor rgb="FFFF0000"/>
      </font>
      <fill>
        <patternFill>
          <bgColor theme="1"/>
        </patternFill>
      </fill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lor rgb="FFFF0000"/>
      </font>
      <fill>
        <patternFill>
          <bgColor theme="1"/>
        </patternFill>
      </fill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  <fill>
        <patternFill>
          <bgColor rgb="FF66CCFF"/>
        </patternFill>
      </fill>
    </dxf>
    <dxf>
      <font>
        <b/>
        <i val="0"/>
        <color rgb="FF008000"/>
      </font>
      <fill>
        <patternFill>
          <bgColor rgb="FFCCECFF"/>
        </patternFill>
      </fill>
    </dxf>
    <dxf>
      <font>
        <b/>
        <i val="0"/>
        <color rgb="FFFF99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  <fill>
        <patternFill>
          <bgColor rgb="FF66CCFF"/>
        </patternFill>
      </fill>
    </dxf>
    <dxf>
      <font>
        <b/>
        <i val="0"/>
        <color rgb="FF008000"/>
      </font>
      <fill>
        <patternFill>
          <bgColor rgb="FFCCECFF"/>
        </patternFill>
      </fill>
    </dxf>
    <dxf>
      <font>
        <b/>
        <i val="0"/>
        <color rgb="FFFF99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  <fill>
        <patternFill>
          <bgColor rgb="FF66CCFF"/>
        </patternFill>
      </fill>
    </dxf>
    <dxf>
      <font>
        <b/>
        <i val="0"/>
        <color rgb="FF008000"/>
      </font>
      <fill>
        <patternFill>
          <bgColor rgb="FFCCECFF"/>
        </patternFill>
      </fill>
    </dxf>
    <dxf>
      <font>
        <b/>
        <i val="0"/>
        <color rgb="FFFF99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colors>
    <mruColors>
      <color rgb="FFFFCCFF"/>
      <color rgb="FFFFCC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me/cdonahue/Registration/Companies/Mellanox/Mellanox-Device_Registration_Form_PF19-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Cover Sheet"/>
      <sheetName val="Switches"/>
      <sheetName val="Range Extenders"/>
      <sheetName val="HCAs"/>
      <sheetName val="Integrated Systems"/>
      <sheetName val="Defin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 xml:space="preserve">General Instructions for Device Registration for IBTA </v>
          </cell>
        </row>
        <row r="3">
          <cell r="B3" t="str">
            <v>Plugfest #19 - April 2011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100000" t="-60000" r="100000" b="20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K69"/>
  <sheetViews>
    <sheetView workbookViewId="0">
      <selection activeCell="D26" sqref="D26"/>
    </sheetView>
  </sheetViews>
  <sheetFormatPr defaultRowHeight="13.2" x14ac:dyDescent="0.25"/>
  <cols>
    <col min="1" max="1" width="4.44140625" style="1" bestFit="1" customWidth="1"/>
    <col min="2" max="2" width="14.88671875" bestFit="1" customWidth="1"/>
    <col min="3" max="3" width="15.5546875" style="45" bestFit="1" customWidth="1"/>
    <col min="4" max="4" width="17.5546875" bestFit="1" customWidth="1"/>
    <col min="5" max="5" width="7.33203125" bestFit="1" customWidth="1"/>
    <col min="6" max="6" width="7.6640625" bestFit="1" customWidth="1"/>
    <col min="7" max="13" width="9.33203125" bestFit="1" customWidth="1"/>
    <col min="14" max="15" width="9.33203125" customWidth="1"/>
    <col min="16" max="30" width="9.33203125" bestFit="1" customWidth="1"/>
  </cols>
  <sheetData>
    <row r="1" spans="1:63" s="4" customFormat="1" x14ac:dyDescent="0.25">
      <c r="A1" s="3"/>
      <c r="C1" s="39" t="e">
        <f>'Compliance Results'!#REF!</f>
        <v>#REF!</v>
      </c>
      <c r="D1" s="39" t="e">
        <f>'Compliance Results'!#REF!</f>
        <v>#REF!</v>
      </c>
      <c r="E1" s="39" t="e">
        <f>'Compliance Results'!#REF!</f>
        <v>#REF!</v>
      </c>
      <c r="F1" s="39" t="e">
        <f>'Compliance Results'!#REF!</f>
        <v>#REF!</v>
      </c>
      <c r="G1" s="39" t="e">
        <f>'Compliance Results'!#REF!</f>
        <v>#REF!</v>
      </c>
      <c r="H1" s="39" t="e">
        <f>'Compliance Results'!#REF!</f>
        <v>#REF!</v>
      </c>
      <c r="I1" s="39" t="e">
        <f>'Compliance Results'!#REF!</f>
        <v>#REF!</v>
      </c>
      <c r="J1" s="39" t="e">
        <f>'Compliance Results'!#REF!</f>
        <v>#REF!</v>
      </c>
      <c r="K1" s="39" t="e">
        <f>'Compliance Results'!#REF!</f>
        <v>#REF!</v>
      </c>
      <c r="L1" s="39" t="e">
        <f>'Compliance Results'!#REF!</f>
        <v>#REF!</v>
      </c>
      <c r="M1" s="39" t="e">
        <f>'Compliance Results'!#REF!</f>
        <v>#REF!</v>
      </c>
      <c r="N1" s="39" t="e">
        <f>'Compliance Results'!#REF!</f>
        <v>#REF!</v>
      </c>
      <c r="O1" s="39" t="e">
        <f>'Compliance Results'!#REF!</f>
        <v>#REF!</v>
      </c>
      <c r="P1" s="39" t="e">
        <f>'Compliance Results'!#REF!</f>
        <v>#REF!</v>
      </c>
      <c r="Q1" s="39" t="e">
        <f>'Compliance Results'!#REF!</f>
        <v>#REF!</v>
      </c>
      <c r="R1" s="39" t="e">
        <f>'Compliance Results'!#REF!</f>
        <v>#REF!</v>
      </c>
      <c r="S1" s="39" t="e">
        <f>'Compliance Results'!#REF!</f>
        <v>#REF!</v>
      </c>
      <c r="T1" s="39" t="e">
        <f>'Compliance Results'!#REF!</f>
        <v>#REF!</v>
      </c>
      <c r="U1" s="39" t="e">
        <f>'Compliance Results'!#REF!</f>
        <v>#REF!</v>
      </c>
      <c r="V1" s="39" t="e">
        <f>'Compliance Results'!#REF!</f>
        <v>#REF!</v>
      </c>
      <c r="W1" s="39" t="e">
        <f>'Compliance Results'!#REF!</f>
        <v>#REF!</v>
      </c>
      <c r="X1" s="39" t="e">
        <f>'Compliance Results'!#REF!</f>
        <v>#REF!</v>
      </c>
      <c r="Y1" s="39" t="e">
        <f>'Compliance Results'!#REF!</f>
        <v>#REF!</v>
      </c>
      <c r="Z1" s="39" t="e">
        <f>'Compliance Results'!#REF!</f>
        <v>#REF!</v>
      </c>
      <c r="AA1" s="39" t="e">
        <f>'Compliance Results'!#REF!</f>
        <v>#REF!</v>
      </c>
      <c r="AB1" s="39" t="e">
        <f>'Compliance Results'!#REF!</f>
        <v>#REF!</v>
      </c>
      <c r="AC1" s="39" t="e">
        <f>'Compliance Results'!#REF!</f>
        <v>#REF!</v>
      </c>
      <c r="AD1" s="39" t="e">
        <f>'Compliance Results'!#REF!</f>
        <v>#REF!</v>
      </c>
      <c r="AE1" s="39" t="e">
        <f>'Compliance Results'!#REF!</f>
        <v>#REF!</v>
      </c>
      <c r="AF1" s="39" t="e">
        <f>'Compliance Results'!#REF!</f>
        <v>#REF!</v>
      </c>
      <c r="AG1" s="39" t="e">
        <f>'Compliance Results'!#REF!</f>
        <v>#REF!</v>
      </c>
      <c r="AH1" s="39" t="e">
        <f>'Compliance Results'!#REF!</f>
        <v>#REF!</v>
      </c>
      <c r="AI1" s="39" t="e">
        <f>'Compliance Results'!#REF!</f>
        <v>#REF!</v>
      </c>
      <c r="AJ1" s="39" t="e">
        <f>'Compliance Results'!#REF!</f>
        <v>#REF!</v>
      </c>
      <c r="AK1" s="39" t="e">
        <f>'Compliance Results'!#REF!</f>
        <v>#REF!</v>
      </c>
      <c r="AL1" s="39" t="e">
        <f>'Compliance Results'!#REF!</f>
        <v>#REF!</v>
      </c>
      <c r="AM1" s="39" t="e">
        <f>'Compliance Results'!#REF!</f>
        <v>#REF!</v>
      </c>
      <c r="AN1" s="39" t="e">
        <f>'Compliance Results'!#REF!</f>
        <v>#REF!</v>
      </c>
      <c r="AO1" s="39" t="e">
        <f>'Compliance Results'!#REF!</f>
        <v>#REF!</v>
      </c>
      <c r="AP1" s="39" t="e">
        <f>'Compliance Results'!#REF!</f>
        <v>#REF!</v>
      </c>
      <c r="AQ1" s="39" t="e">
        <f>'Compliance Results'!#REF!</f>
        <v>#REF!</v>
      </c>
      <c r="AR1" s="39" t="e">
        <f>'Compliance Results'!#REF!</f>
        <v>#REF!</v>
      </c>
      <c r="AS1" s="39" t="e">
        <f>'Compliance Results'!#REF!</f>
        <v>#REF!</v>
      </c>
      <c r="AT1" s="39" t="e">
        <f>'Compliance Results'!#REF!</f>
        <v>#REF!</v>
      </c>
      <c r="AU1" s="39" t="e">
        <f>'Compliance Results'!#REF!</f>
        <v>#REF!</v>
      </c>
      <c r="AV1" s="39" t="e">
        <f>'Compliance Results'!#REF!</f>
        <v>#REF!</v>
      </c>
      <c r="AW1" s="39" t="e">
        <f>'Compliance Results'!#REF!</f>
        <v>#REF!</v>
      </c>
      <c r="AX1" s="52" t="e">
        <f>'Compliance Results'!#REF!</f>
        <v>#REF!</v>
      </c>
      <c r="AY1" s="39" t="e">
        <f>'Compliance Results'!#REF!</f>
        <v>#REF!</v>
      </c>
      <c r="AZ1" s="39" t="e">
        <f>'Compliance Results'!#REF!</f>
        <v>#REF!</v>
      </c>
      <c r="BA1" s="39" t="e">
        <f>'Compliance Results'!#REF!</f>
        <v>#REF!</v>
      </c>
      <c r="BB1" s="39" t="e">
        <f>'Compliance Results'!#REF!</f>
        <v>#REF!</v>
      </c>
      <c r="BC1" s="39" t="e">
        <f>'Compliance Results'!#REF!</f>
        <v>#REF!</v>
      </c>
      <c r="BD1" s="39" t="e">
        <f>'Compliance Results'!#REF!</f>
        <v>#REF!</v>
      </c>
      <c r="BE1" s="39" t="e">
        <f>'Compliance Results'!#REF!</f>
        <v>#REF!</v>
      </c>
      <c r="BF1" s="39" t="e">
        <f>'Compliance Results'!#REF!</f>
        <v>#REF!</v>
      </c>
      <c r="BG1" s="52" t="e">
        <f>'Compliance Results'!#REF!</f>
        <v>#REF!</v>
      </c>
      <c r="BH1" s="39" t="e">
        <f>'Compliance Results'!#REF!</f>
        <v>#REF!</v>
      </c>
      <c r="BI1" s="39" t="e">
        <f>'Compliance Results'!#REF!</f>
        <v>#REF!</v>
      </c>
      <c r="BJ1" s="39" t="e">
        <f>'Compliance Results'!#REF!</f>
        <v>#REF!</v>
      </c>
      <c r="BK1" s="39" t="e">
        <f>'Compliance Results'!#REF!</f>
        <v>#REF!</v>
      </c>
    </row>
    <row r="2" spans="1:63" s="4" customFormat="1" x14ac:dyDescent="0.25">
      <c r="A2" s="3"/>
      <c r="C2" s="5" t="e">
        <f>'Compliance Results'!#REF!</f>
        <v>#REF!</v>
      </c>
      <c r="D2" s="5" t="e">
        <f>'Compliance Results'!#REF!</f>
        <v>#REF!</v>
      </c>
      <c r="E2" s="5" t="e">
        <f>'Compliance Results'!#REF!</f>
        <v>#REF!</v>
      </c>
      <c r="F2" s="5" t="e">
        <f>'Compliance Results'!#REF!</f>
        <v>#REF!</v>
      </c>
      <c r="G2" s="5" t="e">
        <f>'Compliance Results'!#REF!</f>
        <v>#REF!</v>
      </c>
      <c r="H2" s="5" t="e">
        <f>'Compliance Results'!#REF!</f>
        <v>#REF!</v>
      </c>
      <c r="I2" s="5" t="e">
        <f>'Compliance Results'!#REF!</f>
        <v>#REF!</v>
      </c>
      <c r="J2" s="5" t="e">
        <f>'Compliance Results'!#REF!</f>
        <v>#REF!</v>
      </c>
      <c r="K2" s="5" t="e">
        <f>'Compliance Results'!#REF!</f>
        <v>#REF!</v>
      </c>
      <c r="L2" s="5" t="e">
        <f>'Compliance Results'!#REF!</f>
        <v>#REF!</v>
      </c>
      <c r="M2" s="5" t="e">
        <f>'Compliance Results'!#REF!</f>
        <v>#REF!</v>
      </c>
      <c r="N2" s="39" t="e">
        <f>'Compliance Results'!#REF!</f>
        <v>#REF!</v>
      </c>
      <c r="O2" s="39" t="e">
        <f>'Compliance Results'!#REF!</f>
        <v>#REF!</v>
      </c>
      <c r="P2" s="5" t="e">
        <f>'Compliance Results'!#REF!</f>
        <v>#REF!</v>
      </c>
      <c r="Q2" s="5" t="e">
        <f>'Compliance Results'!#REF!</f>
        <v>#REF!</v>
      </c>
      <c r="R2" s="5" t="e">
        <f>'Compliance Results'!#REF!</f>
        <v>#REF!</v>
      </c>
      <c r="S2" s="5" t="e">
        <f>'Compliance Results'!#REF!</f>
        <v>#REF!</v>
      </c>
      <c r="T2" s="5" t="e">
        <f>'Compliance Results'!#REF!</f>
        <v>#REF!</v>
      </c>
      <c r="U2" s="5" t="e">
        <f>'Compliance Results'!#REF!</f>
        <v>#REF!</v>
      </c>
      <c r="V2" s="5" t="e">
        <f>'Compliance Results'!#REF!</f>
        <v>#REF!</v>
      </c>
      <c r="W2" s="5" t="e">
        <f>'Compliance Results'!#REF!</f>
        <v>#REF!</v>
      </c>
      <c r="X2" s="5" t="e">
        <f>'Compliance Results'!#REF!</f>
        <v>#REF!</v>
      </c>
      <c r="Y2" s="5" t="e">
        <f>'Compliance Results'!#REF!</f>
        <v>#REF!</v>
      </c>
      <c r="Z2" s="5" t="e">
        <f>'Compliance Results'!#REF!</f>
        <v>#REF!</v>
      </c>
      <c r="AA2" s="5" t="e">
        <f>'Compliance Results'!#REF!</f>
        <v>#REF!</v>
      </c>
      <c r="AB2" s="5" t="e">
        <f>'Compliance Results'!#REF!</f>
        <v>#REF!</v>
      </c>
      <c r="AC2" s="5" t="e">
        <f>'Compliance Results'!#REF!</f>
        <v>#REF!</v>
      </c>
      <c r="AD2" s="5" t="e">
        <f>'Compliance Results'!#REF!</f>
        <v>#REF!</v>
      </c>
      <c r="AE2" s="5" t="e">
        <f>'Compliance Results'!#REF!</f>
        <v>#REF!</v>
      </c>
      <c r="AF2" s="5" t="e">
        <f>'Compliance Results'!#REF!</f>
        <v>#REF!</v>
      </c>
      <c r="AG2" s="5" t="e">
        <f>'Compliance Results'!#REF!</f>
        <v>#REF!</v>
      </c>
      <c r="AH2" s="5" t="e">
        <f>'Compliance Results'!#REF!</f>
        <v>#REF!</v>
      </c>
      <c r="AI2" s="5" t="e">
        <f>'Compliance Results'!#REF!</f>
        <v>#REF!</v>
      </c>
      <c r="AJ2" s="5" t="e">
        <f>'Compliance Results'!#REF!</f>
        <v>#REF!</v>
      </c>
      <c r="AK2" s="5" t="e">
        <f>'Compliance Results'!#REF!</f>
        <v>#REF!</v>
      </c>
      <c r="AL2" s="5" t="e">
        <f>'Compliance Results'!#REF!</f>
        <v>#REF!</v>
      </c>
      <c r="AM2" s="5" t="e">
        <f>'Compliance Results'!#REF!</f>
        <v>#REF!</v>
      </c>
      <c r="AN2" s="5" t="e">
        <f>'Compliance Results'!#REF!</f>
        <v>#REF!</v>
      </c>
      <c r="AO2" s="5" t="e">
        <f>'Compliance Results'!#REF!</f>
        <v>#REF!</v>
      </c>
      <c r="AP2" s="5" t="e">
        <f>'Compliance Results'!#REF!</f>
        <v>#REF!</v>
      </c>
      <c r="AQ2" s="5" t="e">
        <f>'Compliance Results'!#REF!</f>
        <v>#REF!</v>
      </c>
      <c r="AR2" s="5" t="e">
        <f>'Compliance Results'!#REF!</f>
        <v>#REF!</v>
      </c>
      <c r="AS2" s="5" t="e">
        <f>'Compliance Results'!#REF!</f>
        <v>#REF!</v>
      </c>
      <c r="AT2" s="5" t="e">
        <f>'Compliance Results'!#REF!</f>
        <v>#REF!</v>
      </c>
      <c r="AU2" s="5" t="e">
        <f>'Compliance Results'!#REF!</f>
        <v>#REF!</v>
      </c>
      <c r="AV2" s="5" t="e">
        <f>'Compliance Results'!#REF!</f>
        <v>#REF!</v>
      </c>
      <c r="AW2" s="5" t="e">
        <f>'Compliance Results'!#REF!</f>
        <v>#REF!</v>
      </c>
      <c r="AX2" s="53" t="e">
        <f>'Compliance Results'!#REF!</f>
        <v>#REF!</v>
      </c>
      <c r="AY2" s="5" t="e">
        <f>'Compliance Results'!#REF!</f>
        <v>#REF!</v>
      </c>
      <c r="AZ2" s="5" t="e">
        <f>'Compliance Results'!#REF!</f>
        <v>#REF!</v>
      </c>
      <c r="BA2" s="5" t="e">
        <f>'Compliance Results'!#REF!</f>
        <v>#REF!</v>
      </c>
      <c r="BB2" s="5" t="e">
        <f>'Compliance Results'!#REF!</f>
        <v>#REF!</v>
      </c>
      <c r="BC2" s="5" t="e">
        <f>'Compliance Results'!#REF!</f>
        <v>#REF!</v>
      </c>
      <c r="BD2" s="5" t="e">
        <f>'Compliance Results'!#REF!</f>
        <v>#REF!</v>
      </c>
      <c r="BE2" s="5" t="e">
        <f>'Compliance Results'!#REF!</f>
        <v>#REF!</v>
      </c>
      <c r="BF2" s="5" t="e">
        <f>'Compliance Results'!#REF!</f>
        <v>#REF!</v>
      </c>
      <c r="BG2" s="53" t="e">
        <f>'Compliance Results'!#REF!</f>
        <v>#REF!</v>
      </c>
      <c r="BH2" s="5" t="e">
        <f>'Compliance Results'!#REF!</f>
        <v>#REF!</v>
      </c>
      <c r="BI2" s="5" t="e">
        <f>'Compliance Results'!#REF!</f>
        <v>#REF!</v>
      </c>
      <c r="BJ2" s="5" t="e">
        <f>'Compliance Results'!#REF!</f>
        <v>#REF!</v>
      </c>
      <c r="BK2" s="5" t="e">
        <f>'Compliance Results'!#REF!</f>
        <v>#REF!</v>
      </c>
    </row>
    <row r="3" spans="1:63" s="4" customFormat="1" x14ac:dyDescent="0.25">
      <c r="A3" s="3"/>
      <c r="C3" s="5" t="e">
        <f>'Compliance Results'!#REF!</f>
        <v>#REF!</v>
      </c>
      <c r="D3" s="5" t="e">
        <f>'Compliance Results'!#REF!</f>
        <v>#REF!</v>
      </c>
      <c r="E3" s="5" t="e">
        <f>'Compliance Results'!#REF!</f>
        <v>#REF!</v>
      </c>
      <c r="F3" s="5" t="e">
        <f>'Compliance Results'!#REF!</f>
        <v>#REF!</v>
      </c>
      <c r="G3" s="5" t="e">
        <f>'Compliance Results'!#REF!</f>
        <v>#REF!</v>
      </c>
      <c r="H3" s="5" t="e">
        <f>'Compliance Results'!#REF!</f>
        <v>#REF!</v>
      </c>
      <c r="I3" s="5" t="e">
        <f>'Compliance Results'!#REF!</f>
        <v>#REF!</v>
      </c>
      <c r="J3" s="5" t="e">
        <f>'Compliance Results'!#REF!</f>
        <v>#REF!</v>
      </c>
      <c r="K3" s="5" t="e">
        <f>'Compliance Results'!#REF!</f>
        <v>#REF!</v>
      </c>
      <c r="L3" s="5" t="e">
        <f>'Compliance Results'!#REF!</f>
        <v>#REF!</v>
      </c>
      <c r="M3" s="5" t="e">
        <f>'Compliance Results'!#REF!</f>
        <v>#REF!</v>
      </c>
      <c r="N3" s="39" t="e">
        <f>'Compliance Results'!#REF!</f>
        <v>#REF!</v>
      </c>
      <c r="O3" s="39" t="e">
        <f>'Compliance Results'!#REF!</f>
        <v>#REF!</v>
      </c>
      <c r="P3" s="5" t="e">
        <f>'Compliance Results'!#REF!</f>
        <v>#REF!</v>
      </c>
      <c r="Q3" s="5" t="e">
        <f>'Compliance Results'!#REF!</f>
        <v>#REF!</v>
      </c>
      <c r="R3" s="5" t="e">
        <f>'Compliance Results'!#REF!</f>
        <v>#REF!</v>
      </c>
      <c r="S3" s="5" t="e">
        <f>'Compliance Results'!#REF!</f>
        <v>#REF!</v>
      </c>
      <c r="T3" s="5" t="e">
        <f>'Compliance Results'!#REF!</f>
        <v>#REF!</v>
      </c>
      <c r="U3" s="5" t="e">
        <f>'Compliance Results'!#REF!</f>
        <v>#REF!</v>
      </c>
      <c r="V3" s="5" t="e">
        <f>'Compliance Results'!#REF!</f>
        <v>#REF!</v>
      </c>
      <c r="W3" s="5" t="e">
        <f>'Compliance Results'!#REF!</f>
        <v>#REF!</v>
      </c>
      <c r="X3" s="5" t="e">
        <f>'Compliance Results'!#REF!</f>
        <v>#REF!</v>
      </c>
      <c r="Y3" s="5" t="e">
        <f>'Compliance Results'!#REF!</f>
        <v>#REF!</v>
      </c>
      <c r="Z3" s="5" t="e">
        <f>'Compliance Results'!#REF!</f>
        <v>#REF!</v>
      </c>
      <c r="AA3" s="5" t="e">
        <f>'Compliance Results'!#REF!</f>
        <v>#REF!</v>
      </c>
      <c r="AB3" s="5" t="e">
        <f>'Compliance Results'!#REF!</f>
        <v>#REF!</v>
      </c>
      <c r="AC3" s="5" t="e">
        <f>'Compliance Results'!#REF!</f>
        <v>#REF!</v>
      </c>
      <c r="AD3" s="5" t="e">
        <f>'Compliance Results'!#REF!</f>
        <v>#REF!</v>
      </c>
      <c r="AE3" s="5" t="e">
        <f>'Compliance Results'!#REF!</f>
        <v>#REF!</v>
      </c>
      <c r="AF3" s="5" t="e">
        <f>'Compliance Results'!#REF!</f>
        <v>#REF!</v>
      </c>
      <c r="AG3" s="5" t="e">
        <f>'Compliance Results'!#REF!</f>
        <v>#REF!</v>
      </c>
      <c r="AH3" s="5" t="e">
        <f>'Compliance Results'!#REF!</f>
        <v>#REF!</v>
      </c>
      <c r="AI3" s="5" t="e">
        <f>'Compliance Results'!#REF!</f>
        <v>#REF!</v>
      </c>
      <c r="AJ3" s="5" t="e">
        <f>'Compliance Results'!#REF!</f>
        <v>#REF!</v>
      </c>
      <c r="AK3" s="5" t="e">
        <f>'Compliance Results'!#REF!</f>
        <v>#REF!</v>
      </c>
      <c r="AL3" s="5" t="e">
        <f>'Compliance Results'!#REF!</f>
        <v>#REF!</v>
      </c>
      <c r="AM3" s="5" t="e">
        <f>'Compliance Results'!#REF!</f>
        <v>#REF!</v>
      </c>
      <c r="AN3" s="5" t="e">
        <f>'Compliance Results'!#REF!</f>
        <v>#REF!</v>
      </c>
      <c r="AO3" s="5" t="e">
        <f>'Compliance Results'!#REF!</f>
        <v>#REF!</v>
      </c>
      <c r="AP3" s="5" t="e">
        <f>'Compliance Results'!#REF!</f>
        <v>#REF!</v>
      </c>
      <c r="AQ3" s="5" t="e">
        <f>'Compliance Results'!#REF!</f>
        <v>#REF!</v>
      </c>
      <c r="AR3" s="5" t="e">
        <f>'Compliance Results'!#REF!</f>
        <v>#REF!</v>
      </c>
      <c r="AS3" s="5" t="e">
        <f>'Compliance Results'!#REF!</f>
        <v>#REF!</v>
      </c>
      <c r="AT3" s="5" t="e">
        <f>'Compliance Results'!#REF!</f>
        <v>#REF!</v>
      </c>
      <c r="AU3" s="5" t="e">
        <f>'Compliance Results'!#REF!</f>
        <v>#REF!</v>
      </c>
      <c r="AV3" s="5" t="e">
        <f>'Compliance Results'!#REF!</f>
        <v>#REF!</v>
      </c>
      <c r="AW3" s="5" t="e">
        <f>'Compliance Results'!#REF!</f>
        <v>#REF!</v>
      </c>
      <c r="AX3" s="53" t="e">
        <f>'Compliance Results'!#REF!</f>
        <v>#REF!</v>
      </c>
      <c r="AY3" s="5" t="e">
        <f>'Compliance Results'!#REF!</f>
        <v>#REF!</v>
      </c>
      <c r="AZ3" s="5" t="e">
        <f>'Compliance Results'!#REF!</f>
        <v>#REF!</v>
      </c>
      <c r="BA3" s="5" t="e">
        <f>'Compliance Results'!#REF!</f>
        <v>#REF!</v>
      </c>
      <c r="BB3" s="5" t="e">
        <f>'Compliance Results'!#REF!</f>
        <v>#REF!</v>
      </c>
      <c r="BC3" s="5" t="e">
        <f>'Compliance Results'!#REF!</f>
        <v>#REF!</v>
      </c>
      <c r="BD3" s="5" t="e">
        <f>'Compliance Results'!#REF!</f>
        <v>#REF!</v>
      </c>
      <c r="BE3" s="5" t="e">
        <f>'Compliance Results'!#REF!</f>
        <v>#REF!</v>
      </c>
      <c r="BF3" s="5" t="e">
        <f>'Compliance Results'!#REF!</f>
        <v>#REF!</v>
      </c>
      <c r="BG3" s="53" t="e">
        <f>'Compliance Results'!#REF!</f>
        <v>#REF!</v>
      </c>
      <c r="BH3" s="5" t="e">
        <f>'Compliance Results'!#REF!</f>
        <v>#REF!</v>
      </c>
      <c r="BI3" s="5" t="e">
        <f>'Compliance Results'!#REF!</f>
        <v>#REF!</v>
      </c>
      <c r="BJ3" s="5" t="e">
        <f>'Compliance Results'!#REF!</f>
        <v>#REF!</v>
      </c>
      <c r="BK3" s="5" t="e">
        <f>'Compliance Results'!#REF!</f>
        <v>#REF!</v>
      </c>
    </row>
    <row r="4" spans="1:63" s="3" customFormat="1" x14ac:dyDescent="0.25">
      <c r="C4" s="5" t="e">
        <f>'Compliance Results'!#REF!</f>
        <v>#REF!</v>
      </c>
      <c r="D4" s="5" t="e">
        <f>'Compliance Results'!#REF!</f>
        <v>#REF!</v>
      </c>
      <c r="E4" s="5" t="e">
        <f>'Compliance Results'!#REF!</f>
        <v>#REF!</v>
      </c>
      <c r="F4" s="5" t="e">
        <f>'Compliance Results'!#REF!</f>
        <v>#REF!</v>
      </c>
      <c r="G4" s="5" t="e">
        <f>'Compliance Results'!#REF!</f>
        <v>#REF!</v>
      </c>
      <c r="H4" s="5" t="e">
        <f>'Compliance Results'!#REF!</f>
        <v>#REF!</v>
      </c>
      <c r="I4" s="5" t="e">
        <f>'Compliance Results'!#REF!</f>
        <v>#REF!</v>
      </c>
      <c r="J4" s="5" t="e">
        <f>'Compliance Results'!#REF!</f>
        <v>#REF!</v>
      </c>
      <c r="K4" s="5" t="e">
        <f>'Compliance Results'!#REF!</f>
        <v>#REF!</v>
      </c>
      <c r="L4" s="5" t="e">
        <f>'Compliance Results'!#REF!</f>
        <v>#REF!</v>
      </c>
      <c r="M4" s="5" t="e">
        <f>'Compliance Results'!#REF!</f>
        <v>#REF!</v>
      </c>
      <c r="N4" s="39" t="e">
        <f>'Compliance Results'!#REF!</f>
        <v>#REF!</v>
      </c>
      <c r="O4" s="39" t="e">
        <f>'Compliance Results'!#REF!</f>
        <v>#REF!</v>
      </c>
      <c r="P4" s="5" t="e">
        <f>'Compliance Results'!#REF!</f>
        <v>#REF!</v>
      </c>
      <c r="Q4" s="5" t="e">
        <f>'Compliance Results'!#REF!</f>
        <v>#REF!</v>
      </c>
      <c r="R4" s="5" t="e">
        <f>'Compliance Results'!#REF!</f>
        <v>#REF!</v>
      </c>
      <c r="S4" s="5" t="e">
        <f>'Compliance Results'!#REF!</f>
        <v>#REF!</v>
      </c>
      <c r="T4" s="5" t="e">
        <f>'Compliance Results'!#REF!</f>
        <v>#REF!</v>
      </c>
      <c r="U4" s="5" t="e">
        <f>'Compliance Results'!#REF!</f>
        <v>#REF!</v>
      </c>
      <c r="V4" s="5" t="e">
        <f>'Compliance Results'!#REF!</f>
        <v>#REF!</v>
      </c>
      <c r="W4" s="5" t="e">
        <f>'Compliance Results'!#REF!</f>
        <v>#REF!</v>
      </c>
      <c r="X4" s="5" t="e">
        <f>'Compliance Results'!#REF!</f>
        <v>#REF!</v>
      </c>
      <c r="Y4" s="5" t="e">
        <f>'Compliance Results'!#REF!</f>
        <v>#REF!</v>
      </c>
      <c r="Z4" s="5" t="e">
        <f>'Compliance Results'!#REF!</f>
        <v>#REF!</v>
      </c>
      <c r="AA4" s="5" t="e">
        <f>'Compliance Results'!#REF!</f>
        <v>#REF!</v>
      </c>
      <c r="AB4" s="5" t="e">
        <f>'Compliance Results'!#REF!</f>
        <v>#REF!</v>
      </c>
      <c r="AC4" s="5" t="e">
        <f>'Compliance Results'!#REF!</f>
        <v>#REF!</v>
      </c>
      <c r="AD4" s="5" t="e">
        <f>'Compliance Results'!#REF!</f>
        <v>#REF!</v>
      </c>
      <c r="AE4" s="5" t="e">
        <f>'Compliance Results'!#REF!</f>
        <v>#REF!</v>
      </c>
      <c r="AF4" s="5" t="e">
        <f>'Compliance Results'!#REF!</f>
        <v>#REF!</v>
      </c>
      <c r="AG4" s="5" t="e">
        <f>'Compliance Results'!#REF!</f>
        <v>#REF!</v>
      </c>
      <c r="AH4" s="5" t="e">
        <f>'Compliance Results'!#REF!</f>
        <v>#REF!</v>
      </c>
      <c r="AI4" s="5" t="e">
        <f>'Compliance Results'!#REF!</f>
        <v>#REF!</v>
      </c>
      <c r="AJ4" s="5" t="e">
        <f>'Compliance Results'!#REF!</f>
        <v>#REF!</v>
      </c>
      <c r="AK4" s="5" t="e">
        <f>'Compliance Results'!#REF!</f>
        <v>#REF!</v>
      </c>
      <c r="AL4" s="5" t="e">
        <f>'Compliance Results'!#REF!</f>
        <v>#REF!</v>
      </c>
      <c r="AM4" s="5" t="e">
        <f>'Compliance Results'!#REF!</f>
        <v>#REF!</v>
      </c>
      <c r="AN4" s="5" t="e">
        <f>'Compliance Results'!#REF!</f>
        <v>#REF!</v>
      </c>
      <c r="AO4" s="5" t="e">
        <f>'Compliance Results'!#REF!</f>
        <v>#REF!</v>
      </c>
      <c r="AP4" s="5" t="e">
        <f>'Compliance Results'!#REF!</f>
        <v>#REF!</v>
      </c>
      <c r="AQ4" s="5" t="e">
        <f>'Compliance Results'!#REF!</f>
        <v>#REF!</v>
      </c>
      <c r="AR4" s="5" t="e">
        <f>'Compliance Results'!#REF!</f>
        <v>#REF!</v>
      </c>
      <c r="AS4" s="5" t="e">
        <f>'Compliance Results'!#REF!</f>
        <v>#REF!</v>
      </c>
      <c r="AT4" s="5" t="e">
        <f>'Compliance Results'!#REF!</f>
        <v>#REF!</v>
      </c>
      <c r="AU4" s="5" t="e">
        <f>'Compliance Results'!#REF!</f>
        <v>#REF!</v>
      </c>
      <c r="AV4" s="5" t="e">
        <f>'Compliance Results'!#REF!</f>
        <v>#REF!</v>
      </c>
      <c r="AW4" s="5" t="e">
        <f>'Compliance Results'!#REF!</f>
        <v>#REF!</v>
      </c>
      <c r="AX4" s="53" t="e">
        <f>'Compliance Results'!#REF!</f>
        <v>#REF!</v>
      </c>
      <c r="AY4" s="5" t="e">
        <f>'Compliance Results'!#REF!</f>
        <v>#REF!</v>
      </c>
      <c r="AZ4" s="5" t="e">
        <f>'Compliance Results'!#REF!</f>
        <v>#REF!</v>
      </c>
      <c r="BA4" s="5" t="e">
        <f>'Compliance Results'!#REF!</f>
        <v>#REF!</v>
      </c>
      <c r="BB4" s="5" t="e">
        <f>'Compliance Results'!#REF!</f>
        <v>#REF!</v>
      </c>
      <c r="BC4" s="5" t="e">
        <f>'Compliance Results'!#REF!</f>
        <v>#REF!</v>
      </c>
      <c r="BD4" s="5" t="e">
        <f>'Compliance Results'!#REF!</f>
        <v>#REF!</v>
      </c>
      <c r="BE4" s="5" t="e">
        <f>'Compliance Results'!#REF!</f>
        <v>#REF!</v>
      </c>
      <c r="BF4" s="5" t="e">
        <f>'Compliance Results'!#REF!</f>
        <v>#REF!</v>
      </c>
      <c r="BG4" s="53" t="e">
        <f>'Compliance Results'!#REF!</f>
        <v>#REF!</v>
      </c>
      <c r="BH4" s="5" t="e">
        <f>'Compliance Results'!#REF!</f>
        <v>#REF!</v>
      </c>
      <c r="BI4" s="5" t="e">
        <f>'Compliance Results'!#REF!</f>
        <v>#REF!</v>
      </c>
      <c r="BJ4" s="5" t="e">
        <f>'Compliance Results'!#REF!</f>
        <v>#REF!</v>
      </c>
      <c r="BK4" s="5" t="e">
        <f>'Compliance Results'!#REF!</f>
        <v>#REF!</v>
      </c>
    </row>
    <row r="5" spans="1:63" s="8" customFormat="1" x14ac:dyDescent="0.25">
      <c r="A5" s="6"/>
      <c r="B5" s="7" t="s">
        <v>51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54"/>
      <c r="AY5" s="38"/>
      <c r="AZ5" s="38"/>
      <c r="BA5" s="38"/>
      <c r="BB5" s="38"/>
      <c r="BC5" s="38"/>
      <c r="BD5" s="38"/>
      <c r="BE5" s="38"/>
      <c r="BF5" s="38"/>
      <c r="BG5" s="54"/>
      <c r="BH5" s="38"/>
      <c r="BI5" s="38"/>
      <c r="BJ5" s="38"/>
      <c r="BK5" s="38"/>
    </row>
    <row r="6" spans="1:63" s="11" customFormat="1" x14ac:dyDescent="0.25">
      <c r="A6" s="9"/>
      <c r="B6" s="10" t="s">
        <v>52</v>
      </c>
      <c r="C6" s="37">
        <v>132.31</v>
      </c>
      <c r="D6" s="37">
        <v>132.31</v>
      </c>
      <c r="E6" s="37">
        <v>132.31</v>
      </c>
      <c r="F6" s="37">
        <v>134.54</v>
      </c>
      <c r="G6" s="37">
        <v>134.54</v>
      </c>
      <c r="H6" s="37">
        <v>134.54</v>
      </c>
      <c r="I6" s="37">
        <v>134.54</v>
      </c>
      <c r="J6" s="37">
        <v>134.54</v>
      </c>
      <c r="K6" s="37">
        <v>134.54</v>
      </c>
      <c r="L6" s="37">
        <v>134.54</v>
      </c>
      <c r="M6" s="37">
        <v>134.54</v>
      </c>
      <c r="N6" s="37">
        <v>135.25</v>
      </c>
      <c r="O6" s="37">
        <v>135.25</v>
      </c>
      <c r="P6" s="37">
        <v>134.54</v>
      </c>
      <c r="Q6" s="37">
        <v>134.54</v>
      </c>
      <c r="R6" s="37">
        <v>134.54</v>
      </c>
      <c r="S6" s="37">
        <v>134.54</v>
      </c>
      <c r="T6" s="37">
        <v>135.25</v>
      </c>
      <c r="U6" s="37">
        <v>135.25</v>
      </c>
      <c r="V6" s="37">
        <v>134.54</v>
      </c>
      <c r="W6" s="37">
        <v>134.54</v>
      </c>
      <c r="X6" s="37">
        <v>134.54</v>
      </c>
      <c r="Y6" s="37">
        <v>134.54</v>
      </c>
      <c r="Z6" s="37">
        <v>134.54</v>
      </c>
      <c r="AA6" s="37">
        <v>134.54</v>
      </c>
      <c r="AB6" s="37">
        <v>134.54</v>
      </c>
      <c r="AC6" s="37">
        <v>134.54</v>
      </c>
      <c r="AD6" s="37">
        <v>134.54</v>
      </c>
      <c r="AE6" s="37">
        <v>134.54</v>
      </c>
      <c r="AF6" s="37">
        <v>134.54</v>
      </c>
      <c r="AG6" s="37">
        <v>134.54</v>
      </c>
      <c r="AH6" s="37">
        <v>134.54</v>
      </c>
      <c r="AI6" s="37">
        <v>134.54</v>
      </c>
      <c r="AJ6" s="37">
        <v>134.54</v>
      </c>
      <c r="AK6" s="37">
        <v>134.54</v>
      </c>
      <c r="AL6" s="37">
        <v>134.54</v>
      </c>
      <c r="AM6" s="37">
        <v>134.54</v>
      </c>
      <c r="AN6" s="37">
        <v>134.54</v>
      </c>
      <c r="AO6" s="37">
        <v>134.54</v>
      </c>
      <c r="AP6" s="37">
        <v>134.54</v>
      </c>
      <c r="AQ6" s="37">
        <v>134.54</v>
      </c>
      <c r="AR6" s="37">
        <v>134.54</v>
      </c>
      <c r="AS6" s="37">
        <v>134.54</v>
      </c>
      <c r="AT6" s="37">
        <v>134.54</v>
      </c>
      <c r="AU6" s="37">
        <v>134.54</v>
      </c>
      <c r="AV6" s="37">
        <v>134.54</v>
      </c>
      <c r="AW6" s="37">
        <v>134.54</v>
      </c>
      <c r="AX6" s="55">
        <v>134.54</v>
      </c>
      <c r="AY6" s="37">
        <v>134.54</v>
      </c>
      <c r="AZ6" s="37">
        <v>134.54</v>
      </c>
      <c r="BA6" s="37">
        <v>137.02000000000001</v>
      </c>
      <c r="BB6" s="37">
        <v>137.02000000000001</v>
      </c>
      <c r="BC6" s="37">
        <v>134.54</v>
      </c>
      <c r="BD6" s="37">
        <v>134.54</v>
      </c>
      <c r="BE6" s="37">
        <v>134.54</v>
      </c>
      <c r="BF6" s="37">
        <v>134.54</v>
      </c>
      <c r="BG6" s="55">
        <v>134.54</v>
      </c>
      <c r="BH6" s="37">
        <v>134.54</v>
      </c>
      <c r="BI6" s="37">
        <v>134.54</v>
      </c>
      <c r="BJ6" s="37">
        <v>134.54</v>
      </c>
      <c r="BK6" s="37">
        <v>134.54</v>
      </c>
    </row>
    <row r="7" spans="1:63" s="8" customFormat="1" x14ac:dyDescent="0.25">
      <c r="A7" s="2"/>
      <c r="B7" s="12" t="s">
        <v>53</v>
      </c>
      <c r="C7" s="38">
        <v>53.69</v>
      </c>
      <c r="D7" s="38">
        <v>145.99</v>
      </c>
      <c r="E7" s="38">
        <v>139.15</v>
      </c>
      <c r="F7" s="38">
        <v>146.6</v>
      </c>
      <c r="G7" s="38">
        <v>169.22</v>
      </c>
      <c r="H7" s="38">
        <v>238.34</v>
      </c>
      <c r="I7" s="38">
        <v>96.07</v>
      </c>
      <c r="J7" s="38">
        <v>64.19</v>
      </c>
      <c r="K7" s="38">
        <v>109.94</v>
      </c>
      <c r="L7" s="38">
        <v>254.18</v>
      </c>
      <c r="M7" s="38">
        <v>82.54</v>
      </c>
      <c r="N7" s="38">
        <v>155.22999999999999</v>
      </c>
      <c r="O7" s="38">
        <v>75.97</v>
      </c>
      <c r="P7" s="38">
        <v>94.73</v>
      </c>
      <c r="Q7" s="38">
        <v>146.43</v>
      </c>
      <c r="R7" s="38">
        <v>188.13</v>
      </c>
      <c r="S7" s="38">
        <v>110.79</v>
      </c>
      <c r="T7" s="38">
        <v>99.22</v>
      </c>
      <c r="U7" s="38">
        <v>55.52</v>
      </c>
      <c r="V7" s="38">
        <v>66.22</v>
      </c>
      <c r="W7" s="38">
        <v>165.4</v>
      </c>
      <c r="X7" s="38">
        <v>115.92</v>
      </c>
      <c r="Y7" s="38">
        <v>221.96</v>
      </c>
      <c r="Z7" s="38">
        <v>127.63</v>
      </c>
      <c r="AA7" s="38">
        <v>106.83</v>
      </c>
      <c r="AB7" s="38">
        <v>193.88</v>
      </c>
      <c r="AC7" s="38">
        <v>212.76</v>
      </c>
      <c r="AD7" s="38">
        <v>126.25</v>
      </c>
      <c r="AE7" s="38">
        <v>97.37</v>
      </c>
      <c r="AF7" s="38">
        <v>185.98</v>
      </c>
      <c r="AG7" s="38">
        <v>71.31</v>
      </c>
      <c r="AH7" s="38">
        <v>200.6</v>
      </c>
      <c r="AI7" s="38">
        <v>98.26</v>
      </c>
      <c r="AJ7" s="38">
        <v>154.22</v>
      </c>
      <c r="AK7" s="38">
        <v>67.69</v>
      </c>
      <c r="AL7" s="38">
        <v>199.51</v>
      </c>
      <c r="AM7" s="38">
        <v>103.23</v>
      </c>
      <c r="AN7" s="38">
        <v>189.88</v>
      </c>
      <c r="AO7" s="38">
        <v>66.33</v>
      </c>
      <c r="AP7" s="38">
        <v>75.11</v>
      </c>
      <c r="AQ7" s="38">
        <v>67.77</v>
      </c>
      <c r="AR7" s="38">
        <v>70.27</v>
      </c>
      <c r="AS7" s="38">
        <v>73.650000000000006</v>
      </c>
      <c r="AT7" s="38">
        <v>87.14</v>
      </c>
      <c r="AU7" s="38">
        <v>194.12</v>
      </c>
      <c r="AV7" s="38">
        <v>71.64</v>
      </c>
      <c r="AW7" s="38">
        <v>101.5</v>
      </c>
      <c r="AX7" s="54">
        <v>400</v>
      </c>
      <c r="AY7" s="38">
        <v>124.59</v>
      </c>
      <c r="AZ7" s="38">
        <v>114.26</v>
      </c>
      <c r="BA7" s="38">
        <v>129.31</v>
      </c>
      <c r="BB7" s="38">
        <v>137.18</v>
      </c>
      <c r="BC7" s="38">
        <v>162.38999999999999</v>
      </c>
      <c r="BD7" s="38">
        <v>104.86</v>
      </c>
      <c r="BE7" s="38">
        <v>188.82</v>
      </c>
      <c r="BF7" s="38">
        <v>167.98</v>
      </c>
      <c r="BG7" s="54"/>
      <c r="BH7" s="38">
        <v>109.57</v>
      </c>
      <c r="BI7" s="38">
        <v>109.35</v>
      </c>
      <c r="BJ7" s="38">
        <v>109.78</v>
      </c>
      <c r="BK7" s="38">
        <v>182.31</v>
      </c>
    </row>
    <row r="8" spans="1:63" s="15" customFormat="1" x14ac:dyDescent="0.25">
      <c r="A8" s="13">
        <v>120</v>
      </c>
      <c r="B8" s="14" t="s">
        <v>54</v>
      </c>
      <c r="C8" s="40">
        <f>C7-C6</f>
        <v>-78.62</v>
      </c>
      <c r="D8" s="40">
        <f t="shared" ref="D8:BK8" si="0">D7-D6</f>
        <v>13.680000000000007</v>
      </c>
      <c r="E8" s="40">
        <f t="shared" si="0"/>
        <v>6.8400000000000034</v>
      </c>
      <c r="F8" s="40">
        <f t="shared" si="0"/>
        <v>12.060000000000002</v>
      </c>
      <c r="G8" s="40">
        <f t="shared" si="0"/>
        <v>34.680000000000007</v>
      </c>
      <c r="H8" s="40">
        <f t="shared" si="0"/>
        <v>103.80000000000001</v>
      </c>
      <c r="I8" s="40">
        <f t="shared" si="0"/>
        <v>-38.47</v>
      </c>
      <c r="J8" s="40">
        <f t="shared" si="0"/>
        <v>-70.349999999999994</v>
      </c>
      <c r="K8" s="40">
        <f t="shared" si="0"/>
        <v>-24.599999999999994</v>
      </c>
      <c r="L8" s="40">
        <f t="shared" si="0"/>
        <v>119.64000000000001</v>
      </c>
      <c r="M8" s="40">
        <f t="shared" si="0"/>
        <v>-51.999999999999986</v>
      </c>
      <c r="N8" s="40">
        <f t="shared" si="0"/>
        <v>19.97999999999999</v>
      </c>
      <c r="O8" s="40">
        <f t="shared" si="0"/>
        <v>-59.28</v>
      </c>
      <c r="P8" s="40">
        <f t="shared" si="0"/>
        <v>-39.809999999999988</v>
      </c>
      <c r="Q8" s="40">
        <f t="shared" si="0"/>
        <v>11.890000000000015</v>
      </c>
      <c r="R8" s="40">
        <f t="shared" si="0"/>
        <v>53.59</v>
      </c>
      <c r="S8" s="40">
        <f t="shared" si="0"/>
        <v>-23.749999999999986</v>
      </c>
      <c r="T8" s="40">
        <f t="shared" si="0"/>
        <v>-36.03</v>
      </c>
      <c r="U8" s="40">
        <f t="shared" si="0"/>
        <v>-79.72999999999999</v>
      </c>
      <c r="V8" s="40">
        <f t="shared" si="0"/>
        <v>-68.319999999999993</v>
      </c>
      <c r="W8" s="40">
        <f t="shared" si="0"/>
        <v>30.860000000000014</v>
      </c>
      <c r="X8" s="40">
        <f t="shared" si="0"/>
        <v>-18.61999999999999</v>
      </c>
      <c r="Y8" s="40">
        <f t="shared" si="0"/>
        <v>87.420000000000016</v>
      </c>
      <c r="Z8" s="40">
        <f t="shared" si="0"/>
        <v>-6.9099999999999966</v>
      </c>
      <c r="AA8" s="40">
        <f t="shared" si="0"/>
        <v>-27.709999999999994</v>
      </c>
      <c r="AB8" s="40">
        <f t="shared" si="0"/>
        <v>59.34</v>
      </c>
      <c r="AC8" s="40">
        <f t="shared" si="0"/>
        <v>78.22</v>
      </c>
      <c r="AD8" s="40">
        <f t="shared" si="0"/>
        <v>-8.289999999999992</v>
      </c>
      <c r="AE8" s="40">
        <f t="shared" si="0"/>
        <v>-37.169999999999987</v>
      </c>
      <c r="AF8" s="40">
        <f t="shared" si="0"/>
        <v>51.44</v>
      </c>
      <c r="AG8" s="40">
        <f t="shared" si="0"/>
        <v>-63.22999999999999</v>
      </c>
      <c r="AH8" s="40">
        <f t="shared" si="0"/>
        <v>66.06</v>
      </c>
      <c r="AI8" s="40">
        <f t="shared" si="0"/>
        <v>-36.279999999999987</v>
      </c>
      <c r="AJ8" s="40">
        <f t="shared" si="0"/>
        <v>19.680000000000007</v>
      </c>
      <c r="AK8" s="40">
        <f t="shared" si="0"/>
        <v>-66.849999999999994</v>
      </c>
      <c r="AL8" s="40">
        <f t="shared" si="0"/>
        <v>64.97</v>
      </c>
      <c r="AM8" s="40">
        <f t="shared" si="0"/>
        <v>-31.309999999999988</v>
      </c>
      <c r="AN8" s="40">
        <f t="shared" si="0"/>
        <v>55.34</v>
      </c>
      <c r="AO8" s="40">
        <f t="shared" si="0"/>
        <v>-68.209999999999994</v>
      </c>
      <c r="AP8" s="40">
        <f t="shared" si="0"/>
        <v>-59.429999999999993</v>
      </c>
      <c r="AQ8" s="40">
        <f t="shared" si="0"/>
        <v>-66.77</v>
      </c>
      <c r="AR8" s="40">
        <f t="shared" si="0"/>
        <v>-64.27</v>
      </c>
      <c r="AS8" s="40">
        <f t="shared" si="0"/>
        <v>-60.889999999999986</v>
      </c>
      <c r="AT8" s="40">
        <f t="shared" si="0"/>
        <v>-47.399999999999991</v>
      </c>
      <c r="AU8" s="40">
        <f t="shared" si="0"/>
        <v>59.580000000000013</v>
      </c>
      <c r="AV8" s="40">
        <f t="shared" si="0"/>
        <v>-62.899999999999991</v>
      </c>
      <c r="AW8" s="40">
        <f t="shared" si="0"/>
        <v>-33.039999999999992</v>
      </c>
      <c r="AX8" s="56">
        <f t="shared" si="0"/>
        <v>265.46000000000004</v>
      </c>
      <c r="AY8" s="40">
        <f t="shared" si="0"/>
        <v>-9.9499999999999886</v>
      </c>
      <c r="AZ8" s="40">
        <f>AZ7-AZ6</f>
        <v>-20.279999999999987</v>
      </c>
      <c r="BA8" s="40">
        <f>BA7-BA6</f>
        <v>-7.710000000000008</v>
      </c>
      <c r="BB8" s="40">
        <f>BB7-BB6</f>
        <v>0.15999999999999659</v>
      </c>
      <c r="BC8" s="40">
        <f>BC7-BC6</f>
        <v>27.849999999999994</v>
      </c>
      <c r="BD8" s="40">
        <f>BD7-BD6</f>
        <v>-29.679999999999993</v>
      </c>
      <c r="BE8" s="40">
        <f t="shared" si="0"/>
        <v>54.28</v>
      </c>
      <c r="BF8" s="40">
        <f t="shared" si="0"/>
        <v>33.44</v>
      </c>
      <c r="BG8" s="56">
        <f t="shared" si="0"/>
        <v>-134.54</v>
      </c>
      <c r="BH8" s="40">
        <f t="shared" si="0"/>
        <v>-24.97</v>
      </c>
      <c r="BI8" s="40">
        <f t="shared" si="0"/>
        <v>-25.189999999999998</v>
      </c>
      <c r="BJ8" s="40">
        <f t="shared" si="0"/>
        <v>-24.759999999999991</v>
      </c>
      <c r="BK8" s="40">
        <f t="shared" si="0"/>
        <v>47.77000000000001</v>
      </c>
    </row>
    <row r="9" spans="1:63" s="11" customFormat="1" x14ac:dyDescent="0.25">
      <c r="A9" s="9"/>
      <c r="B9" s="10" t="s">
        <v>55</v>
      </c>
      <c r="C9" s="37">
        <v>140.54</v>
      </c>
      <c r="D9" s="37">
        <v>140.54</v>
      </c>
      <c r="E9" s="37">
        <v>140.54</v>
      </c>
      <c r="F9" s="37">
        <v>136.85</v>
      </c>
      <c r="G9" s="37">
        <v>136.85</v>
      </c>
      <c r="H9" s="37">
        <v>136.85</v>
      </c>
      <c r="I9" s="37">
        <v>136.85</v>
      </c>
      <c r="J9" s="37">
        <v>136.85</v>
      </c>
      <c r="K9" s="37">
        <v>136.85</v>
      </c>
      <c r="L9" s="37">
        <v>136.85</v>
      </c>
      <c r="M9" s="37">
        <v>136.85</v>
      </c>
      <c r="N9" s="37">
        <v>133.11000000000001</v>
      </c>
      <c r="O9" s="37">
        <v>133.11000000000001</v>
      </c>
      <c r="P9" s="37">
        <v>136.85</v>
      </c>
      <c r="Q9" s="37">
        <v>136.85</v>
      </c>
      <c r="R9" s="37">
        <v>136.85</v>
      </c>
      <c r="S9" s="37">
        <v>136.85</v>
      </c>
      <c r="T9" s="37">
        <v>133.11000000000001</v>
      </c>
      <c r="U9" s="37">
        <v>133.11000000000001</v>
      </c>
      <c r="V9" s="37">
        <v>136.85</v>
      </c>
      <c r="W9" s="37">
        <v>136.85</v>
      </c>
      <c r="X9" s="37">
        <v>136.85</v>
      </c>
      <c r="Y9" s="37">
        <v>136.85</v>
      </c>
      <c r="Z9" s="37">
        <v>136.85</v>
      </c>
      <c r="AA9" s="37">
        <v>136.85</v>
      </c>
      <c r="AB9" s="37">
        <v>136.85</v>
      </c>
      <c r="AC9" s="37">
        <v>136.85</v>
      </c>
      <c r="AD9" s="37">
        <v>136.85</v>
      </c>
      <c r="AE9" s="37">
        <v>136.85</v>
      </c>
      <c r="AF9" s="37">
        <v>136.85</v>
      </c>
      <c r="AG9" s="37">
        <v>136.85</v>
      </c>
      <c r="AH9" s="37">
        <v>136.85</v>
      </c>
      <c r="AI9" s="37">
        <v>136.85</v>
      </c>
      <c r="AJ9" s="37">
        <v>136.85</v>
      </c>
      <c r="AK9" s="37">
        <v>136.85</v>
      </c>
      <c r="AL9" s="37">
        <v>136.85</v>
      </c>
      <c r="AM9" s="37">
        <v>136.85</v>
      </c>
      <c r="AN9" s="37">
        <v>136.85</v>
      </c>
      <c r="AO9" s="37">
        <v>136.85</v>
      </c>
      <c r="AP9" s="37">
        <v>136.85</v>
      </c>
      <c r="AQ9" s="37">
        <v>136.85</v>
      </c>
      <c r="AR9" s="37">
        <v>136.85</v>
      </c>
      <c r="AS9" s="37">
        <v>136.85</v>
      </c>
      <c r="AT9" s="37">
        <v>136.85</v>
      </c>
      <c r="AU9" s="37">
        <v>136.85</v>
      </c>
      <c r="AV9" s="37">
        <v>136.85</v>
      </c>
      <c r="AW9" s="37">
        <v>136.85</v>
      </c>
      <c r="AX9" s="55">
        <v>136.85</v>
      </c>
      <c r="AY9" s="37">
        <v>136.85</v>
      </c>
      <c r="AZ9" s="37">
        <v>136.85</v>
      </c>
      <c r="BA9" s="37">
        <v>133.11000000000001</v>
      </c>
      <c r="BB9" s="37">
        <v>133.11000000000001</v>
      </c>
      <c r="BC9" s="37">
        <v>136.85</v>
      </c>
      <c r="BD9" s="37">
        <v>136.85</v>
      </c>
      <c r="BE9" s="37">
        <v>136.85</v>
      </c>
      <c r="BF9" s="37">
        <v>136.85</v>
      </c>
      <c r="BG9" s="55">
        <v>136.85</v>
      </c>
      <c r="BH9" s="37">
        <v>136.85</v>
      </c>
      <c r="BI9" s="37">
        <v>136.85</v>
      </c>
      <c r="BJ9" s="37">
        <v>136.85</v>
      </c>
      <c r="BK9" s="37">
        <v>136.85</v>
      </c>
    </row>
    <row r="10" spans="1:63" s="8" customFormat="1" x14ac:dyDescent="0.25">
      <c r="A10" s="2"/>
      <c r="B10" s="12" t="s">
        <v>56</v>
      </c>
      <c r="C10" s="38">
        <v>53.86</v>
      </c>
      <c r="D10" s="38">
        <v>144.05000000000001</v>
      </c>
      <c r="E10" s="38">
        <v>135.11000000000001</v>
      </c>
      <c r="F10" s="38">
        <v>139.44999999999999</v>
      </c>
      <c r="G10" s="38">
        <v>157.34</v>
      </c>
      <c r="H10" s="38">
        <v>214.99</v>
      </c>
      <c r="I10" s="38">
        <v>100.18</v>
      </c>
      <c r="J10" s="38">
        <v>54.06</v>
      </c>
      <c r="K10" s="38">
        <v>94.94</v>
      </c>
      <c r="L10" s="38">
        <v>212.99</v>
      </c>
      <c r="M10" s="38">
        <v>79.31</v>
      </c>
      <c r="N10" s="38">
        <v>135.22999999999999</v>
      </c>
      <c r="O10" s="38">
        <v>49.15</v>
      </c>
      <c r="P10" s="38">
        <v>95.08</v>
      </c>
      <c r="Q10" s="38">
        <v>135.78</v>
      </c>
      <c r="R10" s="38">
        <v>167.29</v>
      </c>
      <c r="S10" s="38">
        <v>91.82</v>
      </c>
      <c r="T10" s="38">
        <v>82.24</v>
      </c>
      <c r="U10" s="38">
        <v>54.51</v>
      </c>
      <c r="V10" s="38">
        <v>65.959999999999994</v>
      </c>
      <c r="W10" s="38">
        <v>157.99</v>
      </c>
      <c r="X10" s="38">
        <v>111.84</v>
      </c>
      <c r="Y10" s="38">
        <v>214.61</v>
      </c>
      <c r="Z10" s="38">
        <v>121.69</v>
      </c>
      <c r="AA10" s="38">
        <v>101.53</v>
      </c>
      <c r="AB10" s="38">
        <v>188.12</v>
      </c>
      <c r="AC10" s="38">
        <v>200.5</v>
      </c>
      <c r="AD10" s="38">
        <v>119.92</v>
      </c>
      <c r="AE10" s="38">
        <v>92.44</v>
      </c>
      <c r="AF10" s="38">
        <v>172.71</v>
      </c>
      <c r="AG10" s="38">
        <v>71.67</v>
      </c>
      <c r="AH10" s="38">
        <v>188.4</v>
      </c>
      <c r="AI10" s="38">
        <v>87.08</v>
      </c>
      <c r="AJ10" s="38">
        <v>138.94999999999999</v>
      </c>
      <c r="AK10" s="38">
        <v>64.8</v>
      </c>
      <c r="AL10" s="38">
        <v>178.51</v>
      </c>
      <c r="AM10" s="38">
        <v>94.87</v>
      </c>
      <c r="AN10" s="38">
        <v>175.53</v>
      </c>
      <c r="AO10" s="38">
        <v>65.069999999999993</v>
      </c>
      <c r="AP10" s="38">
        <v>76.459999999999994</v>
      </c>
      <c r="AQ10" s="38">
        <v>60.25</v>
      </c>
      <c r="AR10" s="38">
        <v>61.9</v>
      </c>
      <c r="AS10" s="38">
        <v>71</v>
      </c>
      <c r="AT10" s="38">
        <v>79.290000000000006</v>
      </c>
      <c r="AU10" s="38">
        <v>177.04</v>
      </c>
      <c r="AV10" s="38">
        <v>72.819999999999993</v>
      </c>
      <c r="AW10" s="38">
        <v>95.8</v>
      </c>
      <c r="AX10" s="54">
        <v>480.5</v>
      </c>
      <c r="AY10" s="38">
        <v>110.99</v>
      </c>
      <c r="AZ10" s="38">
        <v>110.14</v>
      </c>
      <c r="BA10" s="38">
        <v>121.19</v>
      </c>
      <c r="BB10" s="38">
        <v>126.83</v>
      </c>
      <c r="BC10" s="38">
        <v>149.71</v>
      </c>
      <c r="BD10" s="38">
        <v>97.14</v>
      </c>
      <c r="BE10" s="38">
        <v>162.15</v>
      </c>
      <c r="BF10" s="38">
        <v>146.88</v>
      </c>
      <c r="BG10" s="54"/>
      <c r="BH10" s="38">
        <v>102.12</v>
      </c>
      <c r="BI10" s="38">
        <v>104.25</v>
      </c>
      <c r="BJ10" s="38">
        <v>98.13</v>
      </c>
      <c r="BK10" s="38">
        <v>159.29</v>
      </c>
    </row>
    <row r="11" spans="1:63" s="18" customFormat="1" x14ac:dyDescent="0.25">
      <c r="A11" s="16">
        <v>120</v>
      </c>
      <c r="B11" s="17" t="s">
        <v>54</v>
      </c>
      <c r="C11" s="41">
        <f>C10-C9</f>
        <v>-86.679999999999993</v>
      </c>
      <c r="D11" s="41">
        <f t="shared" ref="D11:BK11" si="1">D10-D9</f>
        <v>3.5100000000000193</v>
      </c>
      <c r="E11" s="41">
        <f t="shared" si="1"/>
        <v>-5.4299999999999784</v>
      </c>
      <c r="F11" s="41">
        <f t="shared" si="1"/>
        <v>2.5999999999999943</v>
      </c>
      <c r="G11" s="41">
        <f t="shared" si="1"/>
        <v>20.490000000000009</v>
      </c>
      <c r="H11" s="41">
        <f t="shared" si="1"/>
        <v>78.140000000000015</v>
      </c>
      <c r="I11" s="41">
        <f t="shared" si="1"/>
        <v>-36.669999999999987</v>
      </c>
      <c r="J11" s="41">
        <f t="shared" si="1"/>
        <v>-82.789999999999992</v>
      </c>
      <c r="K11" s="41">
        <f t="shared" si="1"/>
        <v>-41.91</v>
      </c>
      <c r="L11" s="41">
        <f t="shared" si="1"/>
        <v>76.140000000000015</v>
      </c>
      <c r="M11" s="41">
        <f t="shared" si="1"/>
        <v>-57.539999999999992</v>
      </c>
      <c r="N11" s="41">
        <f t="shared" si="1"/>
        <v>2.1199999999999761</v>
      </c>
      <c r="O11" s="41">
        <f t="shared" si="1"/>
        <v>-83.960000000000008</v>
      </c>
      <c r="P11" s="41">
        <f t="shared" si="1"/>
        <v>-41.769999999999996</v>
      </c>
      <c r="Q11" s="41">
        <f t="shared" si="1"/>
        <v>-1.0699999999999932</v>
      </c>
      <c r="R11" s="41">
        <f t="shared" si="1"/>
        <v>30.439999999999998</v>
      </c>
      <c r="S11" s="41">
        <f t="shared" si="1"/>
        <v>-45.03</v>
      </c>
      <c r="T11" s="41">
        <f t="shared" si="1"/>
        <v>-50.870000000000019</v>
      </c>
      <c r="U11" s="41">
        <f t="shared" si="1"/>
        <v>-78.600000000000023</v>
      </c>
      <c r="V11" s="41">
        <f t="shared" si="1"/>
        <v>-70.89</v>
      </c>
      <c r="W11" s="41">
        <f t="shared" si="1"/>
        <v>21.140000000000015</v>
      </c>
      <c r="X11" s="41">
        <f t="shared" si="1"/>
        <v>-25.009999999999991</v>
      </c>
      <c r="Y11" s="41">
        <f t="shared" si="1"/>
        <v>77.760000000000019</v>
      </c>
      <c r="Z11" s="41">
        <f t="shared" si="1"/>
        <v>-15.159999999999997</v>
      </c>
      <c r="AA11" s="41">
        <f t="shared" si="1"/>
        <v>-35.319999999999993</v>
      </c>
      <c r="AB11" s="41">
        <f t="shared" si="1"/>
        <v>51.27000000000001</v>
      </c>
      <c r="AC11" s="41">
        <f t="shared" si="1"/>
        <v>63.650000000000006</v>
      </c>
      <c r="AD11" s="41">
        <f t="shared" si="1"/>
        <v>-16.929999999999993</v>
      </c>
      <c r="AE11" s="41">
        <f t="shared" si="1"/>
        <v>-44.41</v>
      </c>
      <c r="AF11" s="41">
        <f t="shared" si="1"/>
        <v>35.860000000000014</v>
      </c>
      <c r="AG11" s="41">
        <f t="shared" si="1"/>
        <v>-65.179999999999993</v>
      </c>
      <c r="AH11" s="41">
        <f t="shared" si="1"/>
        <v>51.550000000000011</v>
      </c>
      <c r="AI11" s="41">
        <f t="shared" si="1"/>
        <v>-49.769999999999996</v>
      </c>
      <c r="AJ11" s="41">
        <f t="shared" si="1"/>
        <v>2.0999999999999943</v>
      </c>
      <c r="AK11" s="41">
        <f t="shared" si="1"/>
        <v>-72.05</v>
      </c>
      <c r="AL11" s="41">
        <f t="shared" si="1"/>
        <v>41.66</v>
      </c>
      <c r="AM11" s="41">
        <f t="shared" si="1"/>
        <v>-41.97999999999999</v>
      </c>
      <c r="AN11" s="41">
        <f t="shared" si="1"/>
        <v>38.680000000000007</v>
      </c>
      <c r="AO11" s="41">
        <f t="shared" si="1"/>
        <v>-71.78</v>
      </c>
      <c r="AP11" s="41">
        <f t="shared" si="1"/>
        <v>-60.39</v>
      </c>
      <c r="AQ11" s="41">
        <f t="shared" si="1"/>
        <v>-76.599999999999994</v>
      </c>
      <c r="AR11" s="41">
        <f t="shared" si="1"/>
        <v>-74.949999999999989</v>
      </c>
      <c r="AS11" s="41">
        <f t="shared" si="1"/>
        <v>-65.849999999999994</v>
      </c>
      <c r="AT11" s="41">
        <f t="shared" si="1"/>
        <v>-57.559999999999988</v>
      </c>
      <c r="AU11" s="41">
        <f t="shared" si="1"/>
        <v>40.19</v>
      </c>
      <c r="AV11" s="41">
        <f t="shared" si="1"/>
        <v>-64.03</v>
      </c>
      <c r="AW11" s="41">
        <f t="shared" si="1"/>
        <v>-41.05</v>
      </c>
      <c r="AX11" s="57">
        <f t="shared" si="1"/>
        <v>343.65</v>
      </c>
      <c r="AY11" s="41">
        <f t="shared" si="1"/>
        <v>-25.86</v>
      </c>
      <c r="AZ11" s="41">
        <f>AZ10-AZ9</f>
        <v>-26.709999999999994</v>
      </c>
      <c r="BA11" s="41">
        <f>BA10-BA9</f>
        <v>-11.920000000000016</v>
      </c>
      <c r="BB11" s="41">
        <f>BB10-BB9</f>
        <v>-6.2800000000000153</v>
      </c>
      <c r="BC11" s="41">
        <f>BC10-BC9</f>
        <v>12.860000000000014</v>
      </c>
      <c r="BD11" s="41">
        <f>BD10-BD9</f>
        <v>-39.709999999999994</v>
      </c>
      <c r="BE11" s="41">
        <f t="shared" si="1"/>
        <v>25.300000000000011</v>
      </c>
      <c r="BF11" s="41">
        <f t="shared" si="1"/>
        <v>10.030000000000001</v>
      </c>
      <c r="BG11" s="57">
        <f t="shared" si="1"/>
        <v>-136.85</v>
      </c>
      <c r="BH11" s="41">
        <f t="shared" si="1"/>
        <v>-34.72999999999999</v>
      </c>
      <c r="BI11" s="41">
        <f t="shared" si="1"/>
        <v>-32.599999999999994</v>
      </c>
      <c r="BJ11" s="41">
        <f t="shared" si="1"/>
        <v>-38.72</v>
      </c>
      <c r="BK11" s="41">
        <f t="shared" si="1"/>
        <v>22.439999999999998</v>
      </c>
    </row>
    <row r="12" spans="1:63" s="21" customFormat="1" x14ac:dyDescent="0.25">
      <c r="A12" s="19"/>
      <c r="B12" s="20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57"/>
      <c r="AY12" s="42"/>
      <c r="AZ12" s="42"/>
      <c r="BA12" s="42"/>
      <c r="BB12" s="42"/>
      <c r="BC12" s="42"/>
      <c r="BD12" s="42"/>
      <c r="BE12" s="42"/>
      <c r="BF12" s="42"/>
      <c r="BG12" s="57"/>
      <c r="BH12" s="42"/>
      <c r="BI12" s="42"/>
      <c r="BJ12" s="42"/>
      <c r="BK12" s="42"/>
    </row>
    <row r="13" spans="1:63" s="24" customFormat="1" x14ac:dyDescent="0.25">
      <c r="A13" s="22">
        <v>196</v>
      </c>
      <c r="B13" s="23" t="s">
        <v>57</v>
      </c>
      <c r="C13" s="43">
        <v>661.98</v>
      </c>
      <c r="D13" s="43">
        <v>643.41</v>
      </c>
      <c r="E13" s="43">
        <v>652.23</v>
      </c>
      <c r="F13" s="43">
        <v>585.47</v>
      </c>
      <c r="G13" s="43">
        <v>509.31</v>
      </c>
      <c r="H13" s="43">
        <v>211.93</v>
      </c>
      <c r="I13" s="43">
        <v>294.13</v>
      </c>
      <c r="J13" s="43">
        <v>569.78</v>
      </c>
      <c r="K13" s="43">
        <v>276.16000000000003</v>
      </c>
      <c r="L13" s="43">
        <v>429.63</v>
      </c>
      <c r="M13" s="43">
        <v>587</v>
      </c>
      <c r="N13" s="43">
        <v>314.83999999999997</v>
      </c>
      <c r="O13" s="43">
        <v>273.8</v>
      </c>
      <c r="P13" s="43">
        <v>595</v>
      </c>
      <c r="Q13" s="43">
        <v>583.71</v>
      </c>
      <c r="R13" s="43">
        <v>530.08000000000004</v>
      </c>
      <c r="S13" s="43">
        <v>600.46</v>
      </c>
      <c r="T13" s="43">
        <v>510.83</v>
      </c>
      <c r="U13" s="43">
        <v>490.42</v>
      </c>
      <c r="V13" s="43">
        <v>615.98</v>
      </c>
      <c r="W13" s="43">
        <v>599.55999999999995</v>
      </c>
      <c r="X13" s="43">
        <v>584.59</v>
      </c>
      <c r="Y13" s="43">
        <v>458.15</v>
      </c>
      <c r="Z13" s="43">
        <v>601.16</v>
      </c>
      <c r="AA13" s="43">
        <v>605.86</v>
      </c>
      <c r="AB13" s="43">
        <v>520.94000000000005</v>
      </c>
      <c r="AC13" s="43">
        <v>304.66000000000003</v>
      </c>
      <c r="AD13" s="43">
        <v>389.5</v>
      </c>
      <c r="AE13" s="43">
        <v>598.29</v>
      </c>
      <c r="AF13" s="43">
        <v>507.62</v>
      </c>
      <c r="AG13" s="43">
        <v>592.77</v>
      </c>
      <c r="AH13" s="43">
        <v>497.43</v>
      </c>
      <c r="AI13" s="43">
        <v>560.52</v>
      </c>
      <c r="AJ13" s="43">
        <v>549.19000000000005</v>
      </c>
      <c r="AK13" s="43">
        <v>550.17999999999995</v>
      </c>
      <c r="AL13" s="43">
        <v>484.92</v>
      </c>
      <c r="AM13" s="43">
        <v>581.16</v>
      </c>
      <c r="AN13" s="43">
        <v>514.92999999999995</v>
      </c>
      <c r="AO13" s="43">
        <v>575.30999999999995</v>
      </c>
      <c r="AP13" s="43">
        <v>598.05999999999995</v>
      </c>
      <c r="AQ13" s="43">
        <v>591.15</v>
      </c>
      <c r="AR13" s="43">
        <v>609.37</v>
      </c>
      <c r="AS13" s="43">
        <v>585.4</v>
      </c>
      <c r="AT13" s="43">
        <v>777.4</v>
      </c>
      <c r="AU13" s="43">
        <v>493.89</v>
      </c>
      <c r="AV13" s="43">
        <v>301.75</v>
      </c>
      <c r="AW13" s="43">
        <v>308</v>
      </c>
      <c r="AX13" s="58">
        <v>0</v>
      </c>
      <c r="AY13" s="43">
        <v>225.01</v>
      </c>
      <c r="AZ13" s="43">
        <v>289.08</v>
      </c>
      <c r="BA13" s="43">
        <v>200.9</v>
      </c>
      <c r="BB13" s="43">
        <v>275.60000000000002</v>
      </c>
      <c r="BC13" s="43">
        <v>179.31</v>
      </c>
      <c r="BD13" s="43">
        <v>139.43</v>
      </c>
      <c r="BE13" s="43">
        <v>257.14999999999998</v>
      </c>
      <c r="BF13" s="43">
        <v>856.81</v>
      </c>
      <c r="BG13" s="58"/>
      <c r="BH13" s="43">
        <v>862.4</v>
      </c>
      <c r="BI13" s="43">
        <v>883.31</v>
      </c>
      <c r="BJ13" s="43">
        <v>880.21</v>
      </c>
      <c r="BK13" s="43">
        <v>736.5</v>
      </c>
    </row>
    <row r="14" spans="1:63" s="4" customFormat="1" x14ac:dyDescent="0.25">
      <c r="A14" s="3"/>
      <c r="B14" s="25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59"/>
      <c r="AY14" s="44"/>
      <c r="AZ14" s="44"/>
      <c r="BA14" s="44"/>
      <c r="BB14" s="44"/>
      <c r="BC14" s="44"/>
      <c r="BD14" s="44"/>
      <c r="BE14" s="44"/>
      <c r="BF14" s="44"/>
      <c r="BG14" s="59"/>
      <c r="BH14" s="44"/>
      <c r="BI14" s="44"/>
      <c r="BJ14" s="44"/>
      <c r="BK14" s="44"/>
    </row>
    <row r="15" spans="1:63" s="4" customFormat="1" x14ac:dyDescent="0.25">
      <c r="A15" s="3"/>
      <c r="B15" s="26" t="s">
        <v>80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59"/>
      <c r="AY15" s="44"/>
      <c r="AZ15" s="44"/>
      <c r="BA15" s="44"/>
      <c r="BB15" s="44"/>
      <c r="BC15" s="44"/>
      <c r="BD15" s="44"/>
      <c r="BE15" s="44"/>
      <c r="BF15" s="44"/>
      <c r="BG15" s="59"/>
      <c r="BH15" s="44"/>
      <c r="BI15" s="44"/>
      <c r="BJ15" s="44"/>
      <c r="BK15" s="44"/>
    </row>
    <row r="16" spans="1:63" s="11" customFormat="1" x14ac:dyDescent="0.25">
      <c r="A16" s="9"/>
      <c r="B16" s="10" t="s">
        <v>52</v>
      </c>
      <c r="C16" s="37">
        <v>140.94</v>
      </c>
      <c r="D16" s="37">
        <v>140.94</v>
      </c>
      <c r="E16" s="37">
        <v>140.94</v>
      </c>
      <c r="F16" s="37">
        <v>144.38999999999999</v>
      </c>
      <c r="G16" s="37">
        <v>144.38999999999999</v>
      </c>
      <c r="H16" s="37">
        <v>144.38999999999999</v>
      </c>
      <c r="I16" s="37">
        <v>144.38999999999999</v>
      </c>
      <c r="J16" s="37">
        <v>144.38999999999999</v>
      </c>
      <c r="K16" s="37">
        <v>144.38999999999999</v>
      </c>
      <c r="L16" s="37">
        <v>144.38999999999999</v>
      </c>
      <c r="M16" s="37">
        <v>144.38999999999999</v>
      </c>
      <c r="N16" s="37">
        <v>133.63999999999999</v>
      </c>
      <c r="O16" s="37">
        <v>133.63999999999999</v>
      </c>
      <c r="P16" s="37">
        <v>144.38999999999999</v>
      </c>
      <c r="Q16" s="37">
        <v>144.38999999999999</v>
      </c>
      <c r="R16" s="37">
        <v>144.38999999999999</v>
      </c>
      <c r="S16" s="37">
        <v>144.38999999999999</v>
      </c>
      <c r="T16" s="37">
        <v>133.63999999999999</v>
      </c>
      <c r="U16" s="37">
        <v>133.63999999999999</v>
      </c>
      <c r="V16" s="37">
        <v>144.38999999999999</v>
      </c>
      <c r="W16" s="37">
        <v>144.38999999999999</v>
      </c>
      <c r="X16" s="37">
        <v>144.38999999999999</v>
      </c>
      <c r="Y16" s="37">
        <v>144.38999999999999</v>
      </c>
      <c r="Z16" s="37">
        <v>144.38999999999999</v>
      </c>
      <c r="AA16" s="37">
        <v>144.38999999999999</v>
      </c>
      <c r="AB16" s="37">
        <v>144.38999999999999</v>
      </c>
      <c r="AC16" s="37">
        <v>144.38999999999999</v>
      </c>
      <c r="AD16" s="37">
        <v>144.38999999999999</v>
      </c>
      <c r="AE16" s="37">
        <v>144.38999999999999</v>
      </c>
      <c r="AF16" s="37">
        <v>144.38999999999999</v>
      </c>
      <c r="AG16" s="37">
        <v>144.38999999999999</v>
      </c>
      <c r="AH16" s="37">
        <v>144.38999999999999</v>
      </c>
      <c r="AI16" s="37">
        <v>144.38999999999999</v>
      </c>
      <c r="AJ16" s="37">
        <v>144.38999999999999</v>
      </c>
      <c r="AK16" s="37">
        <v>144.38999999999999</v>
      </c>
      <c r="AL16" s="37">
        <v>144.38999999999999</v>
      </c>
      <c r="AM16" s="37">
        <v>144.38999999999999</v>
      </c>
      <c r="AN16" s="37">
        <v>144.38999999999999</v>
      </c>
      <c r="AO16" s="37">
        <v>144.38999999999999</v>
      </c>
      <c r="AP16" s="37">
        <v>144.38999999999999</v>
      </c>
      <c r="AQ16" s="37">
        <v>144.38999999999999</v>
      </c>
      <c r="AR16" s="37">
        <v>144.38999999999999</v>
      </c>
      <c r="AS16" s="37">
        <v>144.38999999999999</v>
      </c>
      <c r="AT16" s="37">
        <v>144.38999999999999</v>
      </c>
      <c r="AU16" s="37">
        <v>144.38999999999999</v>
      </c>
      <c r="AV16" s="37">
        <v>144.38999999999999</v>
      </c>
      <c r="AW16" s="37">
        <v>144.38999999999999</v>
      </c>
      <c r="AX16" s="55">
        <v>144.38999999999999</v>
      </c>
      <c r="AY16" s="37">
        <v>144.38999999999999</v>
      </c>
      <c r="AZ16" s="37">
        <v>144.38999999999999</v>
      </c>
      <c r="BA16" s="37">
        <v>138.56</v>
      </c>
      <c r="BB16" s="37">
        <v>138.56</v>
      </c>
      <c r="BC16" s="37">
        <v>144.38999999999999</v>
      </c>
      <c r="BD16" s="37">
        <v>144.38999999999999</v>
      </c>
      <c r="BE16" s="37">
        <v>144.38999999999999</v>
      </c>
      <c r="BF16" s="37">
        <v>144.38999999999999</v>
      </c>
      <c r="BG16" s="55">
        <v>144.38999999999999</v>
      </c>
      <c r="BH16" s="37">
        <v>144.38999999999999</v>
      </c>
      <c r="BI16" s="37">
        <v>144.38999999999999</v>
      </c>
      <c r="BJ16" s="37">
        <v>144.38999999999999</v>
      </c>
      <c r="BK16" s="37">
        <v>144.38999999999999</v>
      </c>
    </row>
    <row r="17" spans="1:63" s="8" customFormat="1" x14ac:dyDescent="0.25">
      <c r="A17" s="2"/>
      <c r="B17" s="12" t="s">
        <v>53</v>
      </c>
      <c r="C17" s="38">
        <v>74.08</v>
      </c>
      <c r="D17" s="38">
        <v>66.790000000000006</v>
      </c>
      <c r="E17" s="38">
        <v>134.06</v>
      </c>
      <c r="F17" s="38">
        <v>92.43</v>
      </c>
      <c r="G17" s="38">
        <v>148.13999999999999</v>
      </c>
      <c r="H17" s="38">
        <v>153.96</v>
      </c>
      <c r="I17" s="38">
        <v>86.55</v>
      </c>
      <c r="J17" s="38">
        <v>99.23</v>
      </c>
      <c r="K17" s="38">
        <v>180.77</v>
      </c>
      <c r="L17" s="38">
        <v>197.7</v>
      </c>
      <c r="M17" s="38">
        <v>173.13</v>
      </c>
      <c r="N17" s="38">
        <v>101.49</v>
      </c>
      <c r="O17" s="38">
        <v>206.19</v>
      </c>
      <c r="P17" s="38">
        <v>121.96</v>
      </c>
      <c r="Q17" s="38">
        <v>171.41</v>
      </c>
      <c r="R17" s="38">
        <v>61.87</v>
      </c>
      <c r="S17" s="38">
        <v>154.19999999999999</v>
      </c>
      <c r="T17" s="38">
        <v>204.62</v>
      </c>
      <c r="U17" s="38">
        <v>165.89</v>
      </c>
      <c r="V17" s="38">
        <v>149.57</v>
      </c>
      <c r="W17" s="38">
        <v>99.75</v>
      </c>
      <c r="X17" s="38">
        <v>191.23</v>
      </c>
      <c r="Y17" s="38">
        <v>181.42</v>
      </c>
      <c r="Z17" s="38">
        <v>193.09</v>
      </c>
      <c r="AA17" s="38">
        <v>93.96</v>
      </c>
      <c r="AB17" s="38">
        <v>134.72</v>
      </c>
      <c r="AC17" s="38">
        <v>88.72</v>
      </c>
      <c r="AD17" s="38">
        <v>165.55</v>
      </c>
      <c r="AE17" s="38">
        <v>103.13</v>
      </c>
      <c r="AF17" s="38">
        <v>70.48</v>
      </c>
      <c r="AG17" s="38">
        <v>76.23</v>
      </c>
      <c r="AH17" s="38">
        <v>185.16</v>
      </c>
      <c r="AI17" s="38">
        <v>86.87</v>
      </c>
      <c r="AJ17" s="38">
        <v>175.21</v>
      </c>
      <c r="AK17" s="38">
        <v>96.98</v>
      </c>
      <c r="AL17" s="38">
        <v>90.01</v>
      </c>
      <c r="AM17" s="38">
        <v>69.23</v>
      </c>
      <c r="AN17" s="38">
        <v>86.73</v>
      </c>
      <c r="AO17" s="38">
        <v>65.17</v>
      </c>
      <c r="AP17" s="38">
        <v>61.29</v>
      </c>
      <c r="AQ17" s="38">
        <v>103.13</v>
      </c>
      <c r="AR17" s="38">
        <v>143.51</v>
      </c>
      <c r="AS17" s="38">
        <v>218.98</v>
      </c>
      <c r="AT17" s="38">
        <v>140.87</v>
      </c>
      <c r="AU17" s="38">
        <v>114.23</v>
      </c>
      <c r="AV17" s="38">
        <v>115.33</v>
      </c>
      <c r="AW17" s="38">
        <v>197.93</v>
      </c>
      <c r="AX17" s="54">
        <v>138.85</v>
      </c>
      <c r="AY17" s="38">
        <v>97.54</v>
      </c>
      <c r="AZ17" s="38">
        <v>85.65</v>
      </c>
      <c r="BA17" s="38">
        <v>180.65</v>
      </c>
      <c r="BB17" s="38">
        <v>187.45</v>
      </c>
      <c r="BC17" s="38">
        <v>131.68</v>
      </c>
      <c r="BD17" s="38">
        <v>166.91</v>
      </c>
      <c r="BE17" s="38">
        <v>224.14</v>
      </c>
      <c r="BF17" s="38">
        <v>144.97999999999999</v>
      </c>
      <c r="BG17" s="54"/>
      <c r="BH17" s="38">
        <v>144.88</v>
      </c>
      <c r="BI17" s="38">
        <v>149.1</v>
      </c>
      <c r="BJ17" s="38">
        <v>123.65</v>
      </c>
      <c r="BK17" s="38">
        <v>91.79</v>
      </c>
    </row>
    <row r="18" spans="1:63" s="15" customFormat="1" x14ac:dyDescent="0.25">
      <c r="A18" s="13">
        <v>120</v>
      </c>
      <c r="B18" s="14" t="s">
        <v>54</v>
      </c>
      <c r="C18" s="40">
        <f>C17-C16</f>
        <v>-66.86</v>
      </c>
      <c r="D18" s="40">
        <f t="shared" ref="D18:BK18" si="2">D17-D16</f>
        <v>-74.149999999999991</v>
      </c>
      <c r="E18" s="40">
        <f t="shared" si="2"/>
        <v>-6.8799999999999955</v>
      </c>
      <c r="F18" s="40">
        <f t="shared" si="2"/>
        <v>-51.95999999999998</v>
      </c>
      <c r="G18" s="40">
        <f t="shared" si="2"/>
        <v>3.75</v>
      </c>
      <c r="H18" s="40">
        <f t="shared" si="2"/>
        <v>9.5700000000000216</v>
      </c>
      <c r="I18" s="40">
        <f t="shared" si="2"/>
        <v>-57.839999999999989</v>
      </c>
      <c r="J18" s="40">
        <f t="shared" si="2"/>
        <v>-45.159999999999982</v>
      </c>
      <c r="K18" s="40">
        <f t="shared" si="2"/>
        <v>36.380000000000024</v>
      </c>
      <c r="L18" s="40">
        <f t="shared" si="2"/>
        <v>53.31</v>
      </c>
      <c r="M18" s="40">
        <f t="shared" si="2"/>
        <v>28.740000000000009</v>
      </c>
      <c r="N18" s="40">
        <f t="shared" si="2"/>
        <v>-32.149999999999991</v>
      </c>
      <c r="O18" s="40">
        <f t="shared" si="2"/>
        <v>72.550000000000011</v>
      </c>
      <c r="P18" s="40">
        <f t="shared" si="2"/>
        <v>-22.429999999999993</v>
      </c>
      <c r="Q18" s="40">
        <f t="shared" si="2"/>
        <v>27.02000000000001</v>
      </c>
      <c r="R18" s="40">
        <f t="shared" si="2"/>
        <v>-82.519999999999982</v>
      </c>
      <c r="S18" s="40">
        <f t="shared" si="2"/>
        <v>9.8100000000000023</v>
      </c>
      <c r="T18" s="40">
        <f t="shared" si="2"/>
        <v>70.980000000000018</v>
      </c>
      <c r="U18" s="40">
        <f t="shared" si="2"/>
        <v>32.25</v>
      </c>
      <c r="V18" s="40">
        <f t="shared" si="2"/>
        <v>5.1800000000000068</v>
      </c>
      <c r="W18" s="40">
        <f t="shared" si="2"/>
        <v>-44.639999999999986</v>
      </c>
      <c r="X18" s="40">
        <f t="shared" si="2"/>
        <v>46.84</v>
      </c>
      <c r="Y18" s="40">
        <f t="shared" si="2"/>
        <v>37.03</v>
      </c>
      <c r="Z18" s="40">
        <f t="shared" si="2"/>
        <v>48.700000000000017</v>
      </c>
      <c r="AA18" s="40">
        <f t="shared" si="2"/>
        <v>-50.429999999999993</v>
      </c>
      <c r="AB18" s="40">
        <f t="shared" si="2"/>
        <v>-9.6699999999999875</v>
      </c>
      <c r="AC18" s="40">
        <f t="shared" si="2"/>
        <v>-55.669999999999987</v>
      </c>
      <c r="AD18" s="40">
        <f t="shared" si="2"/>
        <v>21.160000000000025</v>
      </c>
      <c r="AE18" s="40">
        <f t="shared" si="2"/>
        <v>-41.259999999999991</v>
      </c>
      <c r="AF18" s="40">
        <f t="shared" si="2"/>
        <v>-73.909999999999982</v>
      </c>
      <c r="AG18" s="40">
        <f t="shared" si="2"/>
        <v>-68.159999999999982</v>
      </c>
      <c r="AH18" s="40">
        <f t="shared" si="2"/>
        <v>40.77000000000001</v>
      </c>
      <c r="AI18" s="40">
        <f t="shared" si="2"/>
        <v>-57.519999999999982</v>
      </c>
      <c r="AJ18" s="40">
        <f t="shared" si="2"/>
        <v>30.820000000000022</v>
      </c>
      <c r="AK18" s="40">
        <f t="shared" si="2"/>
        <v>-47.409999999999982</v>
      </c>
      <c r="AL18" s="40">
        <f t="shared" si="2"/>
        <v>-54.379999999999981</v>
      </c>
      <c r="AM18" s="40">
        <f t="shared" si="2"/>
        <v>-75.159999999999982</v>
      </c>
      <c r="AN18" s="40">
        <f t="shared" si="2"/>
        <v>-57.659999999999982</v>
      </c>
      <c r="AO18" s="40">
        <f t="shared" si="2"/>
        <v>-79.219999999999985</v>
      </c>
      <c r="AP18" s="40">
        <f t="shared" si="2"/>
        <v>-83.1</v>
      </c>
      <c r="AQ18" s="40">
        <f t="shared" si="2"/>
        <v>-41.259999999999991</v>
      </c>
      <c r="AR18" s="40">
        <f t="shared" si="2"/>
        <v>-0.87999999999999545</v>
      </c>
      <c r="AS18" s="40">
        <f t="shared" si="2"/>
        <v>74.59</v>
      </c>
      <c r="AT18" s="40">
        <f t="shared" si="2"/>
        <v>-3.5199999999999818</v>
      </c>
      <c r="AU18" s="40">
        <f t="shared" si="2"/>
        <v>-30.159999999999982</v>
      </c>
      <c r="AV18" s="40">
        <f t="shared" si="2"/>
        <v>-29.059999999999988</v>
      </c>
      <c r="AW18" s="40">
        <f t="shared" si="2"/>
        <v>53.54000000000002</v>
      </c>
      <c r="AX18" s="56">
        <f t="shared" si="2"/>
        <v>-5.539999999999992</v>
      </c>
      <c r="AY18" s="40">
        <f t="shared" si="2"/>
        <v>-46.84999999999998</v>
      </c>
      <c r="AZ18" s="40">
        <f>AZ17-AZ16</f>
        <v>-58.739999999999981</v>
      </c>
      <c r="BA18" s="40">
        <f>BA17-BA16</f>
        <v>42.09</v>
      </c>
      <c r="BB18" s="40">
        <f>BB17-BB16</f>
        <v>48.889999999999986</v>
      </c>
      <c r="BC18" s="40">
        <f>BC17-BC16</f>
        <v>-12.70999999999998</v>
      </c>
      <c r="BD18" s="40">
        <f>BD17-BD16</f>
        <v>22.52000000000001</v>
      </c>
      <c r="BE18" s="40">
        <f t="shared" si="2"/>
        <v>79.75</v>
      </c>
      <c r="BF18" s="40">
        <f t="shared" si="2"/>
        <v>0.59000000000000341</v>
      </c>
      <c r="BG18" s="56">
        <f t="shared" si="2"/>
        <v>-144.38999999999999</v>
      </c>
      <c r="BH18" s="40">
        <f t="shared" si="2"/>
        <v>0.49000000000000909</v>
      </c>
      <c r="BI18" s="40">
        <f t="shared" si="2"/>
        <v>4.710000000000008</v>
      </c>
      <c r="BJ18" s="40">
        <f t="shared" si="2"/>
        <v>-20.739999999999981</v>
      </c>
      <c r="BK18" s="40">
        <f t="shared" si="2"/>
        <v>-52.59999999999998</v>
      </c>
    </row>
    <row r="19" spans="1:63" s="11" customFormat="1" x14ac:dyDescent="0.25">
      <c r="A19" s="9"/>
      <c r="B19" s="10" t="s">
        <v>55</v>
      </c>
      <c r="C19" s="37">
        <v>150.43</v>
      </c>
      <c r="D19" s="37">
        <v>150.43</v>
      </c>
      <c r="E19" s="37">
        <v>150.43</v>
      </c>
      <c r="F19" s="37">
        <v>144.88999999999999</v>
      </c>
      <c r="G19" s="37">
        <v>144.88999999999999</v>
      </c>
      <c r="H19" s="37">
        <v>144.88999999999999</v>
      </c>
      <c r="I19" s="37">
        <v>144.88999999999999</v>
      </c>
      <c r="J19" s="37">
        <v>144.88999999999999</v>
      </c>
      <c r="K19" s="37">
        <v>144.88999999999999</v>
      </c>
      <c r="L19" s="37">
        <v>144.88999999999999</v>
      </c>
      <c r="M19" s="37">
        <v>144.88999999999999</v>
      </c>
      <c r="N19" s="37">
        <v>131.29</v>
      </c>
      <c r="O19" s="37">
        <v>131.29</v>
      </c>
      <c r="P19" s="37">
        <v>144.88999999999999</v>
      </c>
      <c r="Q19" s="37">
        <v>144.88999999999999</v>
      </c>
      <c r="R19" s="37">
        <v>144.88999999999999</v>
      </c>
      <c r="S19" s="37">
        <v>144.88999999999999</v>
      </c>
      <c r="T19" s="37">
        <v>131.29</v>
      </c>
      <c r="U19" s="37">
        <v>131.29</v>
      </c>
      <c r="V19" s="37">
        <v>144.88999999999999</v>
      </c>
      <c r="W19" s="37">
        <v>144.88999999999999</v>
      </c>
      <c r="X19" s="37">
        <v>144.88999999999999</v>
      </c>
      <c r="Y19" s="37">
        <v>144.88999999999999</v>
      </c>
      <c r="Z19" s="37">
        <v>144.88999999999999</v>
      </c>
      <c r="AA19" s="37">
        <v>144.88999999999999</v>
      </c>
      <c r="AB19" s="37">
        <v>144.88999999999999</v>
      </c>
      <c r="AC19" s="37">
        <v>144.88999999999999</v>
      </c>
      <c r="AD19" s="37">
        <v>144.88999999999999</v>
      </c>
      <c r="AE19" s="37">
        <v>144.88999999999999</v>
      </c>
      <c r="AF19" s="37">
        <v>144.88999999999999</v>
      </c>
      <c r="AG19" s="37">
        <v>144.88999999999999</v>
      </c>
      <c r="AH19" s="37">
        <v>144.88999999999999</v>
      </c>
      <c r="AI19" s="37">
        <v>144.88999999999999</v>
      </c>
      <c r="AJ19" s="37">
        <v>144.88999999999999</v>
      </c>
      <c r="AK19" s="37">
        <v>144.88999999999999</v>
      </c>
      <c r="AL19" s="37">
        <v>144.88999999999999</v>
      </c>
      <c r="AM19" s="37">
        <v>144.88999999999999</v>
      </c>
      <c r="AN19" s="37">
        <v>144.88999999999999</v>
      </c>
      <c r="AO19" s="37">
        <v>144.88999999999999</v>
      </c>
      <c r="AP19" s="37">
        <v>144.88999999999999</v>
      </c>
      <c r="AQ19" s="37">
        <v>144.88999999999999</v>
      </c>
      <c r="AR19" s="37">
        <v>144.88999999999999</v>
      </c>
      <c r="AS19" s="37">
        <v>144.88999999999999</v>
      </c>
      <c r="AT19" s="37">
        <v>144.88999999999999</v>
      </c>
      <c r="AU19" s="37">
        <v>144.88999999999999</v>
      </c>
      <c r="AV19" s="37">
        <v>144.88999999999999</v>
      </c>
      <c r="AW19" s="37">
        <v>144.88999999999999</v>
      </c>
      <c r="AX19" s="55">
        <v>144.88999999999999</v>
      </c>
      <c r="AY19" s="37">
        <v>144.88999999999999</v>
      </c>
      <c r="AZ19" s="37">
        <v>144.88999999999999</v>
      </c>
      <c r="BA19" s="37">
        <v>132.57</v>
      </c>
      <c r="BB19" s="37">
        <v>132.57</v>
      </c>
      <c r="BC19" s="37">
        <v>144.88999999999999</v>
      </c>
      <c r="BD19" s="37">
        <v>144.88999999999999</v>
      </c>
      <c r="BE19" s="37">
        <v>144.88999999999999</v>
      </c>
      <c r="BF19" s="37">
        <v>144.88999999999999</v>
      </c>
      <c r="BG19" s="55">
        <v>144.88999999999999</v>
      </c>
      <c r="BH19" s="37">
        <v>144.88999999999999</v>
      </c>
      <c r="BI19" s="37">
        <v>144.88999999999999</v>
      </c>
      <c r="BJ19" s="37">
        <v>144.88999999999999</v>
      </c>
      <c r="BK19" s="37">
        <v>144.88999999999999</v>
      </c>
    </row>
    <row r="20" spans="1:63" s="8" customFormat="1" x14ac:dyDescent="0.25">
      <c r="A20" s="2"/>
      <c r="B20" s="12" t="s">
        <v>56</v>
      </c>
      <c r="C20" s="38">
        <v>69.91</v>
      </c>
      <c r="D20" s="38">
        <v>69.86</v>
      </c>
      <c r="E20" s="38">
        <v>132.35</v>
      </c>
      <c r="F20" s="38">
        <v>90.48</v>
      </c>
      <c r="G20" s="38">
        <v>138.28</v>
      </c>
      <c r="H20" s="38">
        <v>137.54</v>
      </c>
      <c r="I20" s="38">
        <v>87.1</v>
      </c>
      <c r="J20" s="38">
        <v>81.28</v>
      </c>
      <c r="K20" s="38">
        <v>167.55</v>
      </c>
      <c r="L20" s="38">
        <v>179.24</v>
      </c>
      <c r="M20" s="38">
        <v>160.29</v>
      </c>
      <c r="N20" s="38">
        <v>117.12</v>
      </c>
      <c r="O20" s="38">
        <v>198.91</v>
      </c>
      <c r="P20" s="38">
        <v>99.32</v>
      </c>
      <c r="Q20" s="38">
        <v>158.66999999999999</v>
      </c>
      <c r="R20" s="38">
        <v>58.83</v>
      </c>
      <c r="S20" s="38">
        <v>140.63999999999999</v>
      </c>
      <c r="T20" s="38">
        <v>176.78</v>
      </c>
      <c r="U20" s="38">
        <v>119.79</v>
      </c>
      <c r="V20" s="38">
        <v>140.38</v>
      </c>
      <c r="W20" s="38">
        <v>100.19</v>
      </c>
      <c r="X20" s="38">
        <v>184.64</v>
      </c>
      <c r="Y20" s="38">
        <v>176.12</v>
      </c>
      <c r="Z20" s="38">
        <v>184.07</v>
      </c>
      <c r="AA20" s="38">
        <v>90.98</v>
      </c>
      <c r="AB20" s="38">
        <v>130.69999999999999</v>
      </c>
      <c r="AC20" s="38">
        <v>90.17</v>
      </c>
      <c r="AD20" s="38">
        <v>134.66</v>
      </c>
      <c r="AE20" s="38">
        <v>96.21</v>
      </c>
      <c r="AF20" s="38">
        <v>67.599999999999994</v>
      </c>
      <c r="AG20" s="38">
        <v>73.650000000000006</v>
      </c>
      <c r="AH20" s="38">
        <v>177.6</v>
      </c>
      <c r="AI20" s="38">
        <v>82.9</v>
      </c>
      <c r="AJ20" s="38">
        <v>164.03</v>
      </c>
      <c r="AK20" s="38">
        <v>87.75</v>
      </c>
      <c r="AL20" s="38">
        <v>81.69</v>
      </c>
      <c r="AM20" s="38">
        <v>67.31</v>
      </c>
      <c r="AN20" s="38">
        <v>82.96</v>
      </c>
      <c r="AO20" s="38">
        <v>61.63</v>
      </c>
      <c r="AP20" s="38">
        <v>58.11</v>
      </c>
      <c r="AQ20" s="38">
        <v>97.87</v>
      </c>
      <c r="AR20" s="38">
        <v>124.11</v>
      </c>
      <c r="AS20" s="38">
        <v>200.18</v>
      </c>
      <c r="AT20" s="38">
        <v>130.08000000000001</v>
      </c>
      <c r="AU20" s="38">
        <v>102.01</v>
      </c>
      <c r="AV20" s="38">
        <v>105.25</v>
      </c>
      <c r="AW20" s="38">
        <v>178.19</v>
      </c>
      <c r="AX20" s="54">
        <v>126.28</v>
      </c>
      <c r="AY20" s="38">
        <v>86.73</v>
      </c>
      <c r="AZ20" s="38">
        <v>71.540000000000006</v>
      </c>
      <c r="BA20" s="38">
        <v>172.22</v>
      </c>
      <c r="BB20" s="38">
        <v>176.25</v>
      </c>
      <c r="BC20" s="38">
        <v>119.94</v>
      </c>
      <c r="BD20" s="38">
        <v>156.86000000000001</v>
      </c>
      <c r="BE20" s="38">
        <v>201.85</v>
      </c>
      <c r="BF20" s="38">
        <v>121.32</v>
      </c>
      <c r="BG20" s="54"/>
      <c r="BH20" s="38">
        <v>135.44</v>
      </c>
      <c r="BI20" s="38">
        <v>141.72</v>
      </c>
      <c r="BJ20" s="38">
        <v>109.49</v>
      </c>
      <c r="BK20" s="38">
        <v>75.92</v>
      </c>
    </row>
    <row r="21" spans="1:63" s="18" customFormat="1" x14ac:dyDescent="0.25">
      <c r="A21" s="16">
        <v>120</v>
      </c>
      <c r="B21" s="17" t="s">
        <v>54</v>
      </c>
      <c r="C21" s="41">
        <f>C20-C19</f>
        <v>-80.52000000000001</v>
      </c>
      <c r="D21" s="41">
        <f t="shared" ref="D21:BK21" si="3">D20-D19</f>
        <v>-80.570000000000007</v>
      </c>
      <c r="E21" s="41">
        <f t="shared" si="3"/>
        <v>-18.080000000000013</v>
      </c>
      <c r="F21" s="41">
        <f t="shared" si="3"/>
        <v>-54.409999999999982</v>
      </c>
      <c r="G21" s="41">
        <f t="shared" si="3"/>
        <v>-6.6099999999999852</v>
      </c>
      <c r="H21" s="41">
        <f t="shared" si="3"/>
        <v>-7.3499999999999943</v>
      </c>
      <c r="I21" s="41">
        <f t="shared" si="3"/>
        <v>-57.789999999999992</v>
      </c>
      <c r="J21" s="41">
        <f t="shared" si="3"/>
        <v>-63.609999999999985</v>
      </c>
      <c r="K21" s="41">
        <f t="shared" si="3"/>
        <v>22.660000000000025</v>
      </c>
      <c r="L21" s="41">
        <f t="shared" si="3"/>
        <v>34.350000000000023</v>
      </c>
      <c r="M21" s="41">
        <f t="shared" si="3"/>
        <v>15.400000000000006</v>
      </c>
      <c r="N21" s="41">
        <f t="shared" si="3"/>
        <v>-14.169999999999987</v>
      </c>
      <c r="O21" s="41">
        <f t="shared" si="3"/>
        <v>67.62</v>
      </c>
      <c r="P21" s="41">
        <f t="shared" si="3"/>
        <v>-45.569999999999993</v>
      </c>
      <c r="Q21" s="41">
        <f t="shared" si="3"/>
        <v>13.780000000000001</v>
      </c>
      <c r="R21" s="41">
        <f t="shared" si="3"/>
        <v>-86.059999999999988</v>
      </c>
      <c r="S21" s="41">
        <f t="shared" si="3"/>
        <v>-4.25</v>
      </c>
      <c r="T21" s="41">
        <f t="shared" si="3"/>
        <v>45.490000000000009</v>
      </c>
      <c r="U21" s="41">
        <f t="shared" si="3"/>
        <v>-11.499999999999986</v>
      </c>
      <c r="V21" s="41">
        <f t="shared" si="3"/>
        <v>-4.5099999999999909</v>
      </c>
      <c r="W21" s="41">
        <f t="shared" si="3"/>
        <v>-44.699999999999989</v>
      </c>
      <c r="X21" s="41">
        <f t="shared" si="3"/>
        <v>39.75</v>
      </c>
      <c r="Y21" s="41">
        <f t="shared" si="3"/>
        <v>31.230000000000018</v>
      </c>
      <c r="Z21" s="41">
        <f t="shared" si="3"/>
        <v>39.180000000000007</v>
      </c>
      <c r="AA21" s="41">
        <f t="shared" si="3"/>
        <v>-53.909999999999982</v>
      </c>
      <c r="AB21" s="41">
        <f t="shared" si="3"/>
        <v>-14.189999999999998</v>
      </c>
      <c r="AC21" s="41">
        <f t="shared" si="3"/>
        <v>-54.719999999999985</v>
      </c>
      <c r="AD21" s="41">
        <f t="shared" si="3"/>
        <v>-10.22999999999999</v>
      </c>
      <c r="AE21" s="41">
        <f t="shared" si="3"/>
        <v>-48.679999999999993</v>
      </c>
      <c r="AF21" s="41">
        <f t="shared" si="3"/>
        <v>-77.289999999999992</v>
      </c>
      <c r="AG21" s="41">
        <f t="shared" si="3"/>
        <v>-71.239999999999981</v>
      </c>
      <c r="AH21" s="41">
        <f t="shared" si="3"/>
        <v>32.710000000000008</v>
      </c>
      <c r="AI21" s="41">
        <f t="shared" si="3"/>
        <v>-61.989999999999981</v>
      </c>
      <c r="AJ21" s="41">
        <f t="shared" si="3"/>
        <v>19.140000000000015</v>
      </c>
      <c r="AK21" s="41">
        <f t="shared" si="3"/>
        <v>-57.139999999999986</v>
      </c>
      <c r="AL21" s="41">
        <f t="shared" si="3"/>
        <v>-63.199999999999989</v>
      </c>
      <c r="AM21" s="41">
        <f t="shared" si="3"/>
        <v>-77.579999999999984</v>
      </c>
      <c r="AN21" s="41">
        <f t="shared" si="3"/>
        <v>-61.929999999999993</v>
      </c>
      <c r="AO21" s="41">
        <f t="shared" si="3"/>
        <v>-83.259999999999991</v>
      </c>
      <c r="AP21" s="41">
        <f t="shared" si="3"/>
        <v>-86.779999999999987</v>
      </c>
      <c r="AQ21" s="41">
        <f t="shared" si="3"/>
        <v>-47.019999999999982</v>
      </c>
      <c r="AR21" s="41">
        <f t="shared" si="3"/>
        <v>-20.779999999999987</v>
      </c>
      <c r="AS21" s="41">
        <f t="shared" si="3"/>
        <v>55.29000000000002</v>
      </c>
      <c r="AT21" s="41">
        <f t="shared" si="3"/>
        <v>-14.809999999999974</v>
      </c>
      <c r="AU21" s="41">
        <f t="shared" si="3"/>
        <v>-42.879999999999981</v>
      </c>
      <c r="AV21" s="41">
        <f t="shared" si="3"/>
        <v>-39.639999999999986</v>
      </c>
      <c r="AW21" s="41">
        <f t="shared" si="3"/>
        <v>33.300000000000011</v>
      </c>
      <c r="AX21" s="57">
        <f t="shared" si="3"/>
        <v>-18.609999999999985</v>
      </c>
      <c r="AY21" s="41">
        <f t="shared" si="3"/>
        <v>-58.159999999999982</v>
      </c>
      <c r="AZ21" s="41">
        <f>AZ20-AZ19</f>
        <v>-73.34999999999998</v>
      </c>
      <c r="BA21" s="41">
        <f>BA20-BA19</f>
        <v>39.650000000000006</v>
      </c>
      <c r="BB21" s="41">
        <f>BB20-BB19</f>
        <v>43.680000000000007</v>
      </c>
      <c r="BC21" s="41">
        <f>BC20-BC19</f>
        <v>-24.949999999999989</v>
      </c>
      <c r="BD21" s="41">
        <f>BD20-BD19</f>
        <v>11.970000000000027</v>
      </c>
      <c r="BE21" s="41">
        <f t="shared" si="3"/>
        <v>56.960000000000008</v>
      </c>
      <c r="BF21" s="41">
        <f t="shared" si="3"/>
        <v>-23.569999999999993</v>
      </c>
      <c r="BG21" s="57">
        <f t="shared" si="3"/>
        <v>-144.88999999999999</v>
      </c>
      <c r="BH21" s="41">
        <f t="shared" si="3"/>
        <v>-9.4499999999999886</v>
      </c>
      <c r="BI21" s="41">
        <f t="shared" si="3"/>
        <v>-3.1699999999999875</v>
      </c>
      <c r="BJ21" s="41">
        <f t="shared" si="3"/>
        <v>-35.399999999999991</v>
      </c>
      <c r="BK21" s="41">
        <f t="shared" si="3"/>
        <v>-68.969999999999985</v>
      </c>
    </row>
    <row r="22" spans="1:63" s="21" customFormat="1" x14ac:dyDescent="0.25">
      <c r="A22" s="19"/>
      <c r="B22" s="20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57"/>
      <c r="AY22" s="42"/>
      <c r="AZ22" s="42"/>
      <c r="BA22" s="42"/>
      <c r="BB22" s="42"/>
      <c r="BC22" s="42"/>
      <c r="BD22" s="42"/>
      <c r="BE22" s="42"/>
      <c r="BF22" s="42"/>
      <c r="BG22" s="57"/>
      <c r="BH22" s="42"/>
      <c r="BI22" s="42"/>
      <c r="BJ22" s="42"/>
      <c r="BK22" s="42"/>
    </row>
    <row r="23" spans="1:63" s="24" customFormat="1" x14ac:dyDescent="0.25">
      <c r="A23" s="22">
        <v>196</v>
      </c>
      <c r="B23" s="23" t="s">
        <v>57</v>
      </c>
      <c r="C23" s="43">
        <v>656.83</v>
      </c>
      <c r="D23" s="43">
        <v>658.03</v>
      </c>
      <c r="E23" s="43">
        <v>662.08</v>
      </c>
      <c r="F23" s="43">
        <v>609.57000000000005</v>
      </c>
      <c r="G23" s="43">
        <v>528.82000000000005</v>
      </c>
      <c r="H23" s="43">
        <v>292.61</v>
      </c>
      <c r="I23" s="43">
        <v>291.63</v>
      </c>
      <c r="J23" s="43">
        <v>576.23</v>
      </c>
      <c r="K23" s="43">
        <v>615.1</v>
      </c>
      <c r="L23" s="43">
        <v>612.67999999999995</v>
      </c>
      <c r="M23" s="43">
        <v>566.09</v>
      </c>
      <c r="N23" s="43">
        <v>314.83999999999997</v>
      </c>
      <c r="O23" s="43">
        <v>302.97000000000003</v>
      </c>
      <c r="P23" s="43">
        <v>448.96</v>
      </c>
      <c r="Q23" s="43">
        <v>581.54</v>
      </c>
      <c r="R23" s="43">
        <v>598.4</v>
      </c>
      <c r="S23" s="43">
        <v>586.58000000000004</v>
      </c>
      <c r="T23" s="43">
        <v>475.8</v>
      </c>
      <c r="U23" s="43">
        <v>539.03</v>
      </c>
      <c r="V23" s="43">
        <v>594.89</v>
      </c>
      <c r="W23" s="43">
        <v>600.70000000000005</v>
      </c>
      <c r="X23" s="43">
        <v>532.64</v>
      </c>
      <c r="Y23" s="43">
        <v>571.65</v>
      </c>
      <c r="Z23" s="43">
        <v>540.72</v>
      </c>
      <c r="AA23" s="43">
        <v>613.23</v>
      </c>
      <c r="AB23" s="43">
        <v>596.61</v>
      </c>
      <c r="AC23" s="43">
        <v>382.36</v>
      </c>
      <c r="AD23" s="43">
        <v>381.6</v>
      </c>
      <c r="AE23" s="43">
        <v>577.88</v>
      </c>
      <c r="AF23" s="43">
        <v>581.22</v>
      </c>
      <c r="AG23" s="43">
        <v>591.23</v>
      </c>
      <c r="AH23" s="43">
        <v>533.80999999999995</v>
      </c>
      <c r="AI23" s="43">
        <v>571.77</v>
      </c>
      <c r="AJ23" s="43">
        <v>542.26</v>
      </c>
      <c r="AK23" s="43">
        <v>551.72</v>
      </c>
      <c r="AL23" s="43">
        <v>563.23</v>
      </c>
      <c r="AM23" s="43">
        <v>590.64</v>
      </c>
      <c r="AN23" s="43">
        <v>587.4</v>
      </c>
      <c r="AO23" s="43">
        <v>575.5</v>
      </c>
      <c r="AP23" s="43">
        <v>602.03</v>
      </c>
      <c r="AQ23" s="43">
        <v>590.65</v>
      </c>
      <c r="AR23" s="43">
        <v>577.67999999999995</v>
      </c>
      <c r="AS23" s="43">
        <v>494.95</v>
      </c>
      <c r="AT23" s="43">
        <v>752.18</v>
      </c>
      <c r="AU23" s="43">
        <v>568.82000000000005</v>
      </c>
      <c r="AV23" s="43">
        <v>299.38</v>
      </c>
      <c r="AW23" s="43">
        <v>287.58999999999997</v>
      </c>
      <c r="AX23" s="58">
        <v>298.67</v>
      </c>
      <c r="AY23" s="43">
        <v>230.31</v>
      </c>
      <c r="AZ23" s="43">
        <v>282.85000000000002</v>
      </c>
      <c r="BA23" s="43">
        <v>212.16</v>
      </c>
      <c r="BB23" s="43">
        <v>251.29</v>
      </c>
      <c r="BC23" s="43">
        <v>108.18</v>
      </c>
      <c r="BD23" s="43">
        <v>121.65</v>
      </c>
      <c r="BE23" s="43">
        <v>254.25</v>
      </c>
      <c r="BF23" s="43">
        <v>794.5</v>
      </c>
      <c r="BG23" s="58"/>
      <c r="BH23" s="43">
        <v>211.9</v>
      </c>
      <c r="BI23" s="43">
        <v>861.03</v>
      </c>
      <c r="BJ23" s="43">
        <v>813.78</v>
      </c>
      <c r="BK23" s="43">
        <v>818.8</v>
      </c>
    </row>
    <row r="24" spans="1:63" s="4" customFormat="1" x14ac:dyDescent="0.25">
      <c r="A24" s="3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59"/>
      <c r="AY24" s="44"/>
      <c r="AZ24" s="44"/>
      <c r="BA24" s="44"/>
      <c r="BB24" s="44"/>
      <c r="BC24" s="44"/>
      <c r="BD24" s="44"/>
      <c r="BE24" s="44"/>
      <c r="BF24" s="44"/>
      <c r="BG24" s="59"/>
      <c r="BH24" s="44"/>
      <c r="BI24" s="44"/>
      <c r="BJ24" s="44"/>
      <c r="BK24" s="44"/>
    </row>
    <row r="25" spans="1:63" s="4" customFormat="1" x14ac:dyDescent="0.25">
      <c r="A25" s="3"/>
      <c r="B25" s="26" t="s">
        <v>58</v>
      </c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59"/>
      <c r="AY25" s="44"/>
      <c r="AZ25" s="44"/>
      <c r="BA25" s="44"/>
      <c r="BB25" s="44"/>
      <c r="BC25" s="44"/>
      <c r="BD25" s="44"/>
      <c r="BE25" s="44"/>
      <c r="BF25" s="44"/>
      <c r="BG25" s="59"/>
      <c r="BH25" s="44"/>
      <c r="BI25" s="44"/>
      <c r="BJ25" s="44"/>
      <c r="BK25" s="44"/>
    </row>
    <row r="26" spans="1:63" s="11" customFormat="1" x14ac:dyDescent="0.25">
      <c r="A26" s="9"/>
      <c r="B26" s="10" t="s">
        <v>52</v>
      </c>
      <c r="C26" s="37">
        <v>58.48</v>
      </c>
      <c r="D26" s="37">
        <v>58.48</v>
      </c>
      <c r="E26" s="37">
        <v>58.48</v>
      </c>
      <c r="F26" s="37">
        <v>57.61</v>
      </c>
      <c r="G26" s="37">
        <v>57.61</v>
      </c>
      <c r="H26" s="37">
        <v>57.61</v>
      </c>
      <c r="I26" s="37">
        <v>57.61</v>
      </c>
      <c r="J26" s="37">
        <v>57.61</v>
      </c>
      <c r="K26" s="37">
        <v>57.61</v>
      </c>
      <c r="L26" s="37">
        <v>57.61</v>
      </c>
      <c r="M26" s="37">
        <v>57.61</v>
      </c>
      <c r="N26" s="37">
        <v>68.39</v>
      </c>
      <c r="O26" s="37">
        <v>68.39</v>
      </c>
      <c r="P26" s="37">
        <v>57.61</v>
      </c>
      <c r="Q26" s="37">
        <v>57.61</v>
      </c>
      <c r="R26" s="37">
        <v>57.61</v>
      </c>
      <c r="S26" s="37">
        <v>57.61</v>
      </c>
      <c r="T26" s="37">
        <v>68.39</v>
      </c>
      <c r="U26" s="37">
        <v>68.39</v>
      </c>
      <c r="V26" s="37">
        <v>57.61</v>
      </c>
      <c r="W26" s="37">
        <v>57.61</v>
      </c>
      <c r="X26" s="37">
        <v>57.61</v>
      </c>
      <c r="Y26" s="37">
        <v>57.61</v>
      </c>
      <c r="Z26" s="37">
        <v>57.61</v>
      </c>
      <c r="AA26" s="37">
        <v>57.61</v>
      </c>
      <c r="AB26" s="37">
        <v>57.61</v>
      </c>
      <c r="AC26" s="37">
        <v>57.61</v>
      </c>
      <c r="AD26" s="37">
        <v>57.61</v>
      </c>
      <c r="AE26" s="37">
        <v>57.61</v>
      </c>
      <c r="AF26" s="37">
        <v>57.61</v>
      </c>
      <c r="AG26" s="37">
        <v>57.61</v>
      </c>
      <c r="AH26" s="37">
        <v>57.61</v>
      </c>
      <c r="AI26" s="37">
        <v>57.61</v>
      </c>
      <c r="AJ26" s="37">
        <v>57.61</v>
      </c>
      <c r="AK26" s="37">
        <v>57.61</v>
      </c>
      <c r="AL26" s="37">
        <v>57.61</v>
      </c>
      <c r="AM26" s="37">
        <v>57.61</v>
      </c>
      <c r="AN26" s="37">
        <v>57.61</v>
      </c>
      <c r="AO26" s="37">
        <v>57.61</v>
      </c>
      <c r="AP26" s="37">
        <v>57.61</v>
      </c>
      <c r="AQ26" s="37">
        <v>57.61</v>
      </c>
      <c r="AR26" s="37">
        <v>57.61</v>
      </c>
      <c r="AS26" s="37">
        <v>57.61</v>
      </c>
      <c r="AT26" s="37">
        <v>57.61</v>
      </c>
      <c r="AU26" s="37">
        <v>57.61</v>
      </c>
      <c r="AV26" s="37">
        <v>57.61</v>
      </c>
      <c r="AW26" s="37">
        <v>57.61</v>
      </c>
      <c r="AX26" s="55">
        <v>57.61</v>
      </c>
      <c r="AY26" s="37">
        <v>57.61</v>
      </c>
      <c r="AZ26" s="37">
        <v>57.61</v>
      </c>
      <c r="BA26" s="37">
        <v>61.09</v>
      </c>
      <c r="BB26" s="37">
        <v>61.09</v>
      </c>
      <c r="BC26" s="37">
        <v>57.61</v>
      </c>
      <c r="BD26" s="37">
        <v>57.61</v>
      </c>
      <c r="BE26" s="37">
        <v>57.61</v>
      </c>
      <c r="BF26" s="37">
        <v>57.61</v>
      </c>
      <c r="BG26" s="55">
        <v>57.61</v>
      </c>
      <c r="BH26" s="37">
        <v>57.61</v>
      </c>
      <c r="BI26" s="37">
        <v>57.61</v>
      </c>
      <c r="BJ26" s="37">
        <v>57.61</v>
      </c>
      <c r="BK26" s="37">
        <v>57.61</v>
      </c>
    </row>
    <row r="27" spans="1:63" s="8" customFormat="1" x14ac:dyDescent="0.25">
      <c r="A27" s="2"/>
      <c r="B27" s="12" t="s">
        <v>53</v>
      </c>
      <c r="C27" s="38">
        <v>61.88</v>
      </c>
      <c r="D27" s="38">
        <v>84.79</v>
      </c>
      <c r="E27" s="38">
        <v>68.86</v>
      </c>
      <c r="F27" s="38">
        <v>65.08</v>
      </c>
      <c r="G27" s="38">
        <v>50.07</v>
      </c>
      <c r="H27" s="38">
        <v>54.09</v>
      </c>
      <c r="I27" s="38">
        <v>46.2</v>
      </c>
      <c r="J27" s="38">
        <v>58.25</v>
      </c>
      <c r="K27" s="38">
        <v>56.49</v>
      </c>
      <c r="L27" s="38">
        <v>59.25</v>
      </c>
      <c r="M27" s="38">
        <v>74.069999999999993</v>
      </c>
      <c r="N27" s="38">
        <v>144.11000000000001</v>
      </c>
      <c r="O27" s="38">
        <v>65.010000000000005</v>
      </c>
      <c r="P27" s="38">
        <v>34.57</v>
      </c>
      <c r="Q27" s="38">
        <v>35.56</v>
      </c>
      <c r="R27" s="38">
        <v>60.94</v>
      </c>
      <c r="S27" s="38">
        <v>39.58</v>
      </c>
      <c r="T27" s="38">
        <v>94.16</v>
      </c>
      <c r="U27" s="38">
        <v>97.47</v>
      </c>
      <c r="V27" s="38">
        <v>64.48</v>
      </c>
      <c r="W27" s="38">
        <v>60.54</v>
      </c>
      <c r="X27" s="38">
        <v>55.56</v>
      </c>
      <c r="Y27" s="38">
        <v>64.66</v>
      </c>
      <c r="Z27" s="38">
        <v>43.17</v>
      </c>
      <c r="AA27" s="38">
        <v>52.67</v>
      </c>
      <c r="AB27" s="38">
        <v>60.4</v>
      </c>
      <c r="AC27" s="38">
        <v>58.84</v>
      </c>
      <c r="AD27" s="38">
        <v>67.989999999999995</v>
      </c>
      <c r="AE27" s="38">
        <v>45.77</v>
      </c>
      <c r="AF27" s="38">
        <v>59.69</v>
      </c>
      <c r="AG27" s="38">
        <v>69.86</v>
      </c>
      <c r="AH27" s="38">
        <v>57.86</v>
      </c>
      <c r="AI27" s="38">
        <v>54.8</v>
      </c>
      <c r="AJ27" s="38">
        <v>58.05</v>
      </c>
      <c r="AK27" s="38">
        <v>45.35</v>
      </c>
      <c r="AL27" s="38">
        <v>44.08</v>
      </c>
      <c r="AM27" s="38">
        <v>63.17</v>
      </c>
      <c r="AN27" s="38">
        <v>57.48</v>
      </c>
      <c r="AO27" s="38">
        <v>58.43</v>
      </c>
      <c r="AP27" s="38">
        <v>65.67</v>
      </c>
      <c r="AQ27" s="38">
        <v>71.92</v>
      </c>
      <c r="AR27" s="38">
        <v>59.57</v>
      </c>
      <c r="AS27" s="38">
        <v>45.22</v>
      </c>
      <c r="AT27" s="38">
        <v>61.12</v>
      </c>
      <c r="AU27" s="38">
        <v>41.55</v>
      </c>
      <c r="AV27" s="38">
        <v>42.13</v>
      </c>
      <c r="AW27" s="38">
        <v>53.49</v>
      </c>
      <c r="AX27" s="54">
        <v>66.16</v>
      </c>
      <c r="AY27" s="38">
        <v>48.49</v>
      </c>
      <c r="AZ27" s="38">
        <v>56.29</v>
      </c>
      <c r="BA27" s="38">
        <v>70.040000000000006</v>
      </c>
      <c r="BB27" s="38">
        <v>62.28</v>
      </c>
      <c r="BC27" s="38">
        <v>95.89</v>
      </c>
      <c r="BD27" s="38">
        <v>81.709999999999994</v>
      </c>
      <c r="BE27" s="38">
        <v>48.4</v>
      </c>
      <c r="BF27" s="38">
        <v>69.98</v>
      </c>
      <c r="BG27" s="54"/>
      <c r="BH27" s="38">
        <v>127.8</v>
      </c>
      <c r="BI27" s="38">
        <v>47.07</v>
      </c>
      <c r="BJ27" s="38">
        <v>64.66</v>
      </c>
      <c r="BK27" s="38">
        <v>70.94</v>
      </c>
    </row>
    <row r="28" spans="1:63" s="15" customFormat="1" x14ac:dyDescent="0.25">
      <c r="A28" s="13">
        <v>84</v>
      </c>
      <c r="B28" s="14" t="s">
        <v>54</v>
      </c>
      <c r="C28" s="40">
        <f>C27-C26</f>
        <v>3.4000000000000057</v>
      </c>
      <c r="D28" s="40">
        <f t="shared" ref="D28:BK28" si="4">D27-D26</f>
        <v>26.310000000000009</v>
      </c>
      <c r="E28" s="40">
        <f t="shared" si="4"/>
        <v>10.380000000000003</v>
      </c>
      <c r="F28" s="40">
        <f t="shared" si="4"/>
        <v>7.4699999999999989</v>
      </c>
      <c r="G28" s="40">
        <f t="shared" si="4"/>
        <v>-7.5399999999999991</v>
      </c>
      <c r="H28" s="40">
        <f t="shared" si="4"/>
        <v>-3.519999999999996</v>
      </c>
      <c r="I28" s="40">
        <f t="shared" si="4"/>
        <v>-11.409999999999997</v>
      </c>
      <c r="J28" s="40">
        <f t="shared" si="4"/>
        <v>0.64000000000000057</v>
      </c>
      <c r="K28" s="40">
        <f t="shared" si="4"/>
        <v>-1.1199999999999974</v>
      </c>
      <c r="L28" s="40">
        <f t="shared" si="4"/>
        <v>1.6400000000000006</v>
      </c>
      <c r="M28" s="40">
        <f t="shared" si="4"/>
        <v>16.459999999999994</v>
      </c>
      <c r="N28" s="40">
        <f t="shared" si="4"/>
        <v>75.720000000000013</v>
      </c>
      <c r="O28" s="40">
        <f t="shared" si="4"/>
        <v>-3.3799999999999955</v>
      </c>
      <c r="P28" s="40">
        <f t="shared" si="4"/>
        <v>-23.04</v>
      </c>
      <c r="Q28" s="40">
        <f t="shared" si="4"/>
        <v>-22.049999999999997</v>
      </c>
      <c r="R28" s="40">
        <f t="shared" si="4"/>
        <v>3.3299999999999983</v>
      </c>
      <c r="S28" s="40">
        <f t="shared" si="4"/>
        <v>-18.03</v>
      </c>
      <c r="T28" s="40">
        <f t="shared" si="4"/>
        <v>25.769999999999996</v>
      </c>
      <c r="U28" s="40">
        <f t="shared" si="4"/>
        <v>29.08</v>
      </c>
      <c r="V28" s="40">
        <f t="shared" si="4"/>
        <v>6.8700000000000045</v>
      </c>
      <c r="W28" s="40">
        <f t="shared" si="4"/>
        <v>2.9299999999999997</v>
      </c>
      <c r="X28" s="40">
        <f t="shared" si="4"/>
        <v>-2.0499999999999972</v>
      </c>
      <c r="Y28" s="40">
        <f t="shared" si="4"/>
        <v>7.0499999999999972</v>
      </c>
      <c r="Z28" s="40">
        <f t="shared" si="4"/>
        <v>-14.439999999999998</v>
      </c>
      <c r="AA28" s="40">
        <f t="shared" si="4"/>
        <v>-4.9399999999999977</v>
      </c>
      <c r="AB28" s="40">
        <f t="shared" si="4"/>
        <v>2.7899999999999991</v>
      </c>
      <c r="AC28" s="40">
        <f t="shared" si="4"/>
        <v>1.230000000000004</v>
      </c>
      <c r="AD28" s="40">
        <f t="shared" si="4"/>
        <v>10.379999999999995</v>
      </c>
      <c r="AE28" s="40">
        <f t="shared" si="4"/>
        <v>-11.839999999999996</v>
      </c>
      <c r="AF28" s="40">
        <f t="shared" si="4"/>
        <v>2.0799999999999983</v>
      </c>
      <c r="AG28" s="40">
        <f t="shared" si="4"/>
        <v>12.25</v>
      </c>
      <c r="AH28" s="40">
        <f t="shared" si="4"/>
        <v>0.25</v>
      </c>
      <c r="AI28" s="40">
        <f t="shared" si="4"/>
        <v>-2.8100000000000023</v>
      </c>
      <c r="AJ28" s="40">
        <f t="shared" si="4"/>
        <v>0.43999999999999773</v>
      </c>
      <c r="AK28" s="40">
        <f t="shared" si="4"/>
        <v>-12.259999999999998</v>
      </c>
      <c r="AL28" s="40">
        <f t="shared" si="4"/>
        <v>-13.530000000000001</v>
      </c>
      <c r="AM28" s="40">
        <f t="shared" si="4"/>
        <v>5.5600000000000023</v>
      </c>
      <c r="AN28" s="40">
        <f t="shared" si="4"/>
        <v>-0.13000000000000256</v>
      </c>
      <c r="AO28" s="40">
        <f t="shared" si="4"/>
        <v>0.82000000000000028</v>
      </c>
      <c r="AP28" s="40">
        <f t="shared" si="4"/>
        <v>8.0600000000000023</v>
      </c>
      <c r="AQ28" s="40">
        <f t="shared" si="4"/>
        <v>14.310000000000002</v>
      </c>
      <c r="AR28" s="40">
        <f t="shared" si="4"/>
        <v>1.9600000000000009</v>
      </c>
      <c r="AS28" s="40">
        <f t="shared" si="4"/>
        <v>-12.39</v>
      </c>
      <c r="AT28" s="40">
        <f t="shared" si="4"/>
        <v>3.509999999999998</v>
      </c>
      <c r="AU28" s="40">
        <f t="shared" si="4"/>
        <v>-16.060000000000002</v>
      </c>
      <c r="AV28" s="40">
        <f t="shared" si="4"/>
        <v>-15.479999999999997</v>
      </c>
      <c r="AW28" s="40">
        <f t="shared" si="4"/>
        <v>-4.1199999999999974</v>
      </c>
      <c r="AX28" s="56">
        <f t="shared" si="4"/>
        <v>8.5499999999999972</v>
      </c>
      <c r="AY28" s="40">
        <f t="shared" si="4"/>
        <v>-9.1199999999999974</v>
      </c>
      <c r="AZ28" s="40">
        <f>AZ27-AZ26</f>
        <v>-1.3200000000000003</v>
      </c>
      <c r="BA28" s="40">
        <f>BA27-BA26</f>
        <v>8.9500000000000028</v>
      </c>
      <c r="BB28" s="40">
        <f>BB27-BB26</f>
        <v>1.1899999999999977</v>
      </c>
      <c r="BC28" s="40">
        <f>BC27-BC26</f>
        <v>38.28</v>
      </c>
      <c r="BD28" s="40">
        <f>BD27-BD26</f>
        <v>24.099999999999994</v>
      </c>
      <c r="BE28" s="40">
        <f t="shared" si="4"/>
        <v>-9.2100000000000009</v>
      </c>
      <c r="BF28" s="40">
        <f t="shared" si="4"/>
        <v>12.370000000000005</v>
      </c>
      <c r="BG28" s="56">
        <f t="shared" si="4"/>
        <v>-57.61</v>
      </c>
      <c r="BH28" s="40">
        <f t="shared" si="4"/>
        <v>70.19</v>
      </c>
      <c r="BI28" s="40">
        <f t="shared" si="4"/>
        <v>-10.54</v>
      </c>
      <c r="BJ28" s="40">
        <f t="shared" si="4"/>
        <v>7.0499999999999972</v>
      </c>
      <c r="BK28" s="40">
        <f t="shared" si="4"/>
        <v>13.329999999999998</v>
      </c>
    </row>
    <row r="29" spans="1:63" s="11" customFormat="1" x14ac:dyDescent="0.25">
      <c r="A29" s="9"/>
      <c r="B29" s="10" t="s">
        <v>55</v>
      </c>
      <c r="C29" s="37">
        <v>68.319999999999993</v>
      </c>
      <c r="D29" s="37">
        <v>68.319999999999993</v>
      </c>
      <c r="E29" s="37">
        <v>68.319999999999993</v>
      </c>
      <c r="F29" s="37">
        <v>54.8</v>
      </c>
      <c r="G29" s="37">
        <v>54.8</v>
      </c>
      <c r="H29" s="37">
        <v>54.8</v>
      </c>
      <c r="I29" s="37">
        <v>54.8</v>
      </c>
      <c r="J29" s="37">
        <v>54.8</v>
      </c>
      <c r="K29" s="37">
        <v>54.8</v>
      </c>
      <c r="L29" s="37">
        <v>54.8</v>
      </c>
      <c r="M29" s="37">
        <v>54.8</v>
      </c>
      <c r="N29" s="37">
        <v>64.92</v>
      </c>
      <c r="O29" s="37">
        <v>64.92</v>
      </c>
      <c r="P29" s="37">
        <v>54.8</v>
      </c>
      <c r="Q29" s="37">
        <v>54.8</v>
      </c>
      <c r="R29" s="37">
        <v>54.8</v>
      </c>
      <c r="S29" s="37">
        <v>54.8</v>
      </c>
      <c r="T29" s="37">
        <v>64.92</v>
      </c>
      <c r="U29" s="37">
        <v>64.92</v>
      </c>
      <c r="V29" s="37">
        <v>54.8</v>
      </c>
      <c r="W29" s="37">
        <v>54.8</v>
      </c>
      <c r="X29" s="37">
        <v>54.8</v>
      </c>
      <c r="Y29" s="37">
        <v>54.8</v>
      </c>
      <c r="Z29" s="37">
        <v>54.8</v>
      </c>
      <c r="AA29" s="37">
        <v>54.8</v>
      </c>
      <c r="AB29" s="37">
        <v>54.8</v>
      </c>
      <c r="AC29" s="37">
        <v>54.8</v>
      </c>
      <c r="AD29" s="37">
        <v>54.8</v>
      </c>
      <c r="AE29" s="37">
        <v>54.8</v>
      </c>
      <c r="AF29" s="37">
        <v>54.8</v>
      </c>
      <c r="AG29" s="37">
        <v>54.8</v>
      </c>
      <c r="AH29" s="37">
        <v>54.8</v>
      </c>
      <c r="AI29" s="37">
        <v>54.8</v>
      </c>
      <c r="AJ29" s="37">
        <v>54.8</v>
      </c>
      <c r="AK29" s="37">
        <v>54.8</v>
      </c>
      <c r="AL29" s="37">
        <v>54.8</v>
      </c>
      <c r="AM29" s="37">
        <v>54.8</v>
      </c>
      <c r="AN29" s="37">
        <v>54.8</v>
      </c>
      <c r="AO29" s="37">
        <v>54.8</v>
      </c>
      <c r="AP29" s="37">
        <v>54.8</v>
      </c>
      <c r="AQ29" s="37">
        <v>54.8</v>
      </c>
      <c r="AR29" s="37">
        <v>54.8</v>
      </c>
      <c r="AS29" s="37">
        <v>54.8</v>
      </c>
      <c r="AT29" s="37">
        <v>54.8</v>
      </c>
      <c r="AU29" s="37">
        <v>54.8</v>
      </c>
      <c r="AV29" s="37">
        <v>54.8</v>
      </c>
      <c r="AW29" s="37">
        <v>54.8</v>
      </c>
      <c r="AX29" s="55">
        <v>54.8</v>
      </c>
      <c r="AY29" s="37">
        <v>54.8</v>
      </c>
      <c r="AZ29" s="37">
        <v>54.8</v>
      </c>
      <c r="BA29" s="37">
        <v>56.08</v>
      </c>
      <c r="BB29" s="37">
        <v>56.08</v>
      </c>
      <c r="BC29" s="37">
        <v>54.8</v>
      </c>
      <c r="BD29" s="37">
        <v>54.8</v>
      </c>
      <c r="BE29" s="37">
        <v>54.8</v>
      </c>
      <c r="BF29" s="37">
        <v>54.8</v>
      </c>
      <c r="BG29" s="55">
        <v>54.8</v>
      </c>
      <c r="BH29" s="37">
        <v>54.8</v>
      </c>
      <c r="BI29" s="37">
        <v>54.8</v>
      </c>
      <c r="BJ29" s="37">
        <v>54.8</v>
      </c>
      <c r="BK29" s="37">
        <v>54.8</v>
      </c>
    </row>
    <row r="30" spans="1:63" s="8" customFormat="1" x14ac:dyDescent="0.25">
      <c r="A30" s="2"/>
      <c r="B30" s="12" t="s">
        <v>56</v>
      </c>
      <c r="C30" s="38">
        <v>63.47</v>
      </c>
      <c r="D30" s="38">
        <v>85.99</v>
      </c>
      <c r="E30" s="38">
        <v>68.06</v>
      </c>
      <c r="F30" s="38">
        <v>60.24</v>
      </c>
      <c r="G30" s="38">
        <v>45.32</v>
      </c>
      <c r="H30" s="38">
        <v>47.73</v>
      </c>
      <c r="I30" s="38">
        <v>43.55</v>
      </c>
      <c r="J30" s="38">
        <v>54.44</v>
      </c>
      <c r="K30" s="38">
        <v>48.24</v>
      </c>
      <c r="L30" s="38">
        <v>53.4</v>
      </c>
      <c r="M30" s="38">
        <v>64.7</v>
      </c>
      <c r="N30" s="38">
        <v>105.96</v>
      </c>
      <c r="O30" s="38">
        <v>66.13</v>
      </c>
      <c r="P30" s="38">
        <v>30.24</v>
      </c>
      <c r="Q30" s="38">
        <v>29.09</v>
      </c>
      <c r="R30" s="38">
        <v>51.44</v>
      </c>
      <c r="S30" s="38">
        <v>30.24</v>
      </c>
      <c r="T30" s="38">
        <v>73.42</v>
      </c>
      <c r="U30" s="38">
        <v>90.35</v>
      </c>
      <c r="V30" s="38">
        <v>61.29</v>
      </c>
      <c r="W30" s="38">
        <v>62.32</v>
      </c>
      <c r="X30" s="38">
        <v>51.99</v>
      </c>
      <c r="Y30" s="38">
        <v>62.8</v>
      </c>
      <c r="Z30" s="38">
        <v>38.28</v>
      </c>
      <c r="AA30" s="38">
        <v>49.52</v>
      </c>
      <c r="AB30" s="38">
        <v>54.75</v>
      </c>
      <c r="AC30" s="38">
        <v>54.13</v>
      </c>
      <c r="AD30" s="38">
        <v>59.62</v>
      </c>
      <c r="AE30" s="38">
        <v>43.94</v>
      </c>
      <c r="AF30" s="38">
        <v>56.54</v>
      </c>
      <c r="AG30" s="38">
        <v>66.040000000000006</v>
      </c>
      <c r="AH30" s="38">
        <v>54.86</v>
      </c>
      <c r="AI30" s="38">
        <v>47.51</v>
      </c>
      <c r="AJ30" s="38">
        <v>49.11</v>
      </c>
      <c r="AK30" s="38">
        <v>37.56</v>
      </c>
      <c r="AL30" s="38">
        <v>35.53</v>
      </c>
      <c r="AM30" s="38">
        <v>58.27</v>
      </c>
      <c r="AN30" s="38">
        <v>51.85</v>
      </c>
      <c r="AO30" s="38">
        <v>54.15</v>
      </c>
      <c r="AP30" s="38">
        <v>62.52</v>
      </c>
      <c r="AQ30" s="38">
        <v>65.12</v>
      </c>
      <c r="AR30" s="38">
        <v>49.59</v>
      </c>
      <c r="AS30" s="38">
        <v>37.39</v>
      </c>
      <c r="AT30" s="38">
        <v>41.8</v>
      </c>
      <c r="AU30" s="38">
        <v>35.979999999999997</v>
      </c>
      <c r="AV30" s="38">
        <v>36.14</v>
      </c>
      <c r="AW30" s="38">
        <v>46.88</v>
      </c>
      <c r="AX30" s="54">
        <v>59.14</v>
      </c>
      <c r="AY30" s="38">
        <v>38.89</v>
      </c>
      <c r="AZ30" s="38">
        <v>49.64</v>
      </c>
      <c r="BA30" s="38">
        <v>64.58</v>
      </c>
      <c r="BB30" s="38">
        <v>54.75</v>
      </c>
      <c r="BC30" s="38">
        <v>67.81</v>
      </c>
      <c r="BD30" s="38">
        <v>69.790000000000006</v>
      </c>
      <c r="BE30" s="38">
        <v>37.630000000000003</v>
      </c>
      <c r="BF30" s="38">
        <v>62.26</v>
      </c>
      <c r="BG30" s="54"/>
      <c r="BH30" s="38">
        <v>91.23</v>
      </c>
      <c r="BI30" s="38">
        <v>41.74</v>
      </c>
      <c r="BJ30" s="38">
        <v>56.59</v>
      </c>
      <c r="BK30" s="38">
        <v>57.85</v>
      </c>
    </row>
    <row r="31" spans="1:63" s="18" customFormat="1" x14ac:dyDescent="0.25">
      <c r="A31" s="16">
        <v>50</v>
      </c>
      <c r="B31" s="17" t="s">
        <v>54</v>
      </c>
      <c r="C31" s="41">
        <f>C30-C29</f>
        <v>-4.8499999999999943</v>
      </c>
      <c r="D31" s="41">
        <f t="shared" ref="D31:BK31" si="5">D30-D29</f>
        <v>17.670000000000002</v>
      </c>
      <c r="E31" s="41">
        <f t="shared" si="5"/>
        <v>-0.25999999999999091</v>
      </c>
      <c r="F31" s="41">
        <f t="shared" si="5"/>
        <v>5.4400000000000048</v>
      </c>
      <c r="G31" s="41">
        <f t="shared" si="5"/>
        <v>-9.4799999999999969</v>
      </c>
      <c r="H31" s="41">
        <f t="shared" si="5"/>
        <v>-7.07</v>
      </c>
      <c r="I31" s="41">
        <f t="shared" si="5"/>
        <v>-11.25</v>
      </c>
      <c r="J31" s="41">
        <f t="shared" si="5"/>
        <v>-0.35999999999999943</v>
      </c>
      <c r="K31" s="41">
        <f t="shared" si="5"/>
        <v>-6.5599999999999952</v>
      </c>
      <c r="L31" s="41">
        <f t="shared" si="5"/>
        <v>-1.3999999999999986</v>
      </c>
      <c r="M31" s="41">
        <f t="shared" si="5"/>
        <v>9.9000000000000057</v>
      </c>
      <c r="N31" s="41">
        <f t="shared" si="5"/>
        <v>41.039999999999992</v>
      </c>
      <c r="O31" s="41">
        <f t="shared" si="5"/>
        <v>1.2099999999999937</v>
      </c>
      <c r="P31" s="41">
        <f t="shared" si="5"/>
        <v>-24.56</v>
      </c>
      <c r="Q31" s="41">
        <f t="shared" si="5"/>
        <v>-25.709999999999997</v>
      </c>
      <c r="R31" s="41">
        <f t="shared" si="5"/>
        <v>-3.3599999999999994</v>
      </c>
      <c r="S31" s="41">
        <f t="shared" si="5"/>
        <v>-24.56</v>
      </c>
      <c r="T31" s="41">
        <f t="shared" si="5"/>
        <v>8.5</v>
      </c>
      <c r="U31" s="41">
        <f t="shared" si="5"/>
        <v>25.429999999999993</v>
      </c>
      <c r="V31" s="41">
        <f t="shared" si="5"/>
        <v>6.490000000000002</v>
      </c>
      <c r="W31" s="41">
        <f t="shared" si="5"/>
        <v>7.5200000000000031</v>
      </c>
      <c r="X31" s="41">
        <f t="shared" si="5"/>
        <v>-2.8099999999999952</v>
      </c>
      <c r="Y31" s="41">
        <f t="shared" si="5"/>
        <v>8</v>
      </c>
      <c r="Z31" s="41">
        <f t="shared" si="5"/>
        <v>-16.519999999999996</v>
      </c>
      <c r="AA31" s="41">
        <f t="shared" si="5"/>
        <v>-5.279999999999994</v>
      </c>
      <c r="AB31" s="41">
        <f t="shared" si="5"/>
        <v>-4.9999999999997158E-2</v>
      </c>
      <c r="AC31" s="41">
        <f t="shared" si="5"/>
        <v>-0.6699999999999946</v>
      </c>
      <c r="AD31" s="41">
        <f t="shared" si="5"/>
        <v>4.82</v>
      </c>
      <c r="AE31" s="41">
        <f t="shared" si="5"/>
        <v>-10.86</v>
      </c>
      <c r="AF31" s="41">
        <f t="shared" si="5"/>
        <v>1.740000000000002</v>
      </c>
      <c r="AG31" s="41">
        <f t="shared" si="5"/>
        <v>11.240000000000009</v>
      </c>
      <c r="AH31" s="41">
        <f t="shared" si="5"/>
        <v>6.0000000000002274E-2</v>
      </c>
      <c r="AI31" s="41">
        <f t="shared" si="5"/>
        <v>-7.2899999999999991</v>
      </c>
      <c r="AJ31" s="41">
        <f t="shared" si="5"/>
        <v>-5.6899999999999977</v>
      </c>
      <c r="AK31" s="41">
        <f t="shared" si="5"/>
        <v>-17.239999999999995</v>
      </c>
      <c r="AL31" s="41">
        <f t="shared" si="5"/>
        <v>-19.269999999999996</v>
      </c>
      <c r="AM31" s="41">
        <f t="shared" si="5"/>
        <v>3.470000000000006</v>
      </c>
      <c r="AN31" s="41">
        <f t="shared" si="5"/>
        <v>-2.9499999999999957</v>
      </c>
      <c r="AO31" s="41">
        <f t="shared" si="5"/>
        <v>-0.64999999999999858</v>
      </c>
      <c r="AP31" s="41">
        <f t="shared" si="5"/>
        <v>7.720000000000006</v>
      </c>
      <c r="AQ31" s="41">
        <f t="shared" si="5"/>
        <v>10.320000000000007</v>
      </c>
      <c r="AR31" s="41">
        <f t="shared" si="5"/>
        <v>-5.2099999999999937</v>
      </c>
      <c r="AS31" s="41">
        <f t="shared" si="5"/>
        <v>-17.409999999999997</v>
      </c>
      <c r="AT31" s="41">
        <f t="shared" si="5"/>
        <v>-13</v>
      </c>
      <c r="AU31" s="41">
        <f t="shared" si="5"/>
        <v>-18.82</v>
      </c>
      <c r="AV31" s="41">
        <f t="shared" si="5"/>
        <v>-18.659999999999997</v>
      </c>
      <c r="AW31" s="41">
        <f t="shared" si="5"/>
        <v>-7.9199999999999946</v>
      </c>
      <c r="AX31" s="57">
        <f t="shared" si="5"/>
        <v>4.3400000000000034</v>
      </c>
      <c r="AY31" s="41">
        <f t="shared" si="5"/>
        <v>-15.909999999999997</v>
      </c>
      <c r="AZ31" s="41">
        <f>AZ30-AZ29</f>
        <v>-5.1599999999999966</v>
      </c>
      <c r="BA31" s="41">
        <f>BA30-BA29</f>
        <v>8.5</v>
      </c>
      <c r="BB31" s="41">
        <f>BB30-BB29</f>
        <v>-1.3299999999999983</v>
      </c>
      <c r="BC31" s="41">
        <f>BC30-BC29</f>
        <v>13.010000000000005</v>
      </c>
      <c r="BD31" s="41">
        <f>BD30-BD29</f>
        <v>14.990000000000009</v>
      </c>
      <c r="BE31" s="41">
        <f t="shared" si="5"/>
        <v>-17.169999999999995</v>
      </c>
      <c r="BF31" s="41">
        <f t="shared" si="5"/>
        <v>7.4600000000000009</v>
      </c>
      <c r="BG31" s="57">
        <f t="shared" si="5"/>
        <v>-54.8</v>
      </c>
      <c r="BH31" s="41">
        <f t="shared" si="5"/>
        <v>36.430000000000007</v>
      </c>
      <c r="BI31" s="41">
        <f t="shared" si="5"/>
        <v>-13.059999999999995</v>
      </c>
      <c r="BJ31" s="41">
        <f t="shared" si="5"/>
        <v>1.7900000000000063</v>
      </c>
      <c r="BK31" s="41">
        <f t="shared" si="5"/>
        <v>3.0500000000000043</v>
      </c>
    </row>
    <row r="32" spans="1:63" s="21" customFormat="1" x14ac:dyDescent="0.25">
      <c r="A32" s="19"/>
      <c r="B32" s="20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57"/>
      <c r="AY32" s="42"/>
      <c r="AZ32" s="42"/>
      <c r="BA32" s="42"/>
      <c r="BB32" s="42"/>
      <c r="BC32" s="42"/>
      <c r="BD32" s="42"/>
      <c r="BE32" s="42"/>
      <c r="BF32" s="42"/>
      <c r="BG32" s="57"/>
      <c r="BH32" s="42"/>
      <c r="BI32" s="42"/>
      <c r="BJ32" s="42"/>
      <c r="BK32" s="42"/>
    </row>
    <row r="33" spans="1:63" s="24" customFormat="1" x14ac:dyDescent="0.25">
      <c r="A33" s="22">
        <v>196</v>
      </c>
      <c r="B33" s="23" t="s">
        <v>57</v>
      </c>
      <c r="C33" s="43">
        <v>589.95000000000005</v>
      </c>
      <c r="D33" s="43">
        <v>454.44</v>
      </c>
      <c r="E33" s="43">
        <v>580.21</v>
      </c>
      <c r="F33" s="43">
        <v>530.34</v>
      </c>
      <c r="G33" s="43">
        <v>471.71</v>
      </c>
      <c r="H33" s="43">
        <v>275.89</v>
      </c>
      <c r="I33" s="43">
        <v>274.99</v>
      </c>
      <c r="J33" s="43">
        <v>572.26</v>
      </c>
      <c r="K33" s="43">
        <v>549.19000000000005</v>
      </c>
      <c r="L33" s="43">
        <v>608.26</v>
      </c>
      <c r="M33" s="43">
        <v>548.41999999999996</v>
      </c>
      <c r="N33" s="43">
        <v>214.45</v>
      </c>
      <c r="O33" s="43">
        <v>319.55</v>
      </c>
      <c r="P33" s="43">
        <v>575.05999999999995</v>
      </c>
      <c r="Q33" s="43">
        <v>579.04</v>
      </c>
      <c r="R33" s="43">
        <v>586.38</v>
      </c>
      <c r="S33" s="43">
        <v>580.21</v>
      </c>
      <c r="T33" s="43">
        <v>494.39</v>
      </c>
      <c r="U33" s="43">
        <v>541.58000000000004</v>
      </c>
      <c r="V33" s="43">
        <v>556.25</v>
      </c>
      <c r="W33" s="43">
        <v>548.64</v>
      </c>
      <c r="X33" s="43">
        <v>534.67999999999995</v>
      </c>
      <c r="Y33" s="43">
        <v>570.04</v>
      </c>
      <c r="Z33" s="43">
        <v>563.15</v>
      </c>
      <c r="AA33" s="43">
        <v>526.39</v>
      </c>
      <c r="AB33" s="43">
        <v>565.88</v>
      </c>
      <c r="AC33" s="43">
        <v>359.26</v>
      </c>
      <c r="AD33" s="43">
        <v>379.2</v>
      </c>
      <c r="AE33" s="43">
        <v>519.61</v>
      </c>
      <c r="AF33" s="43">
        <v>515.83000000000004</v>
      </c>
      <c r="AG33" s="43">
        <v>468.88</v>
      </c>
      <c r="AH33" s="43">
        <v>512.07000000000005</v>
      </c>
      <c r="AI33" s="43">
        <v>494.55</v>
      </c>
      <c r="AJ33" s="43">
        <v>491.33</v>
      </c>
      <c r="AK33" s="43">
        <v>485.47</v>
      </c>
      <c r="AL33" s="43">
        <v>479.75</v>
      </c>
      <c r="AM33" s="43">
        <v>513.64</v>
      </c>
      <c r="AN33" s="43">
        <v>516.15</v>
      </c>
      <c r="AO33" s="43">
        <v>507.32</v>
      </c>
      <c r="AP33" s="43">
        <v>516.82000000000005</v>
      </c>
      <c r="AQ33" s="43">
        <v>515.33000000000004</v>
      </c>
      <c r="AR33" s="43">
        <v>529.74</v>
      </c>
      <c r="AS33" s="43">
        <v>507.78</v>
      </c>
      <c r="AT33" s="43">
        <v>664.45</v>
      </c>
      <c r="AU33" s="43">
        <v>522.24</v>
      </c>
      <c r="AV33" s="43">
        <v>276.17</v>
      </c>
      <c r="AW33" s="43">
        <v>281.77</v>
      </c>
      <c r="AX33" s="58">
        <v>301.16000000000003</v>
      </c>
      <c r="AY33" s="43">
        <v>282.26</v>
      </c>
      <c r="AZ33" s="43">
        <v>289.98</v>
      </c>
      <c r="BA33" s="43">
        <v>204.76</v>
      </c>
      <c r="BB33" s="43">
        <v>273.7</v>
      </c>
      <c r="BC33" s="43">
        <v>158.80000000000001</v>
      </c>
      <c r="BD33" s="43">
        <v>119.8</v>
      </c>
      <c r="BE33" s="43">
        <v>234.57</v>
      </c>
      <c r="BF33" s="43">
        <v>665.77</v>
      </c>
      <c r="BG33" s="58"/>
      <c r="BH33" s="43">
        <v>558.19000000000005</v>
      </c>
      <c r="BI33" s="43">
        <v>747.88</v>
      </c>
      <c r="BJ33" s="43">
        <v>700.3</v>
      </c>
      <c r="BK33" s="43">
        <v>726.25</v>
      </c>
    </row>
    <row r="34" spans="1:63" s="4" customFormat="1" x14ac:dyDescent="0.25">
      <c r="A34" s="3"/>
      <c r="B34" s="25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59"/>
      <c r="AY34" s="44"/>
      <c r="AZ34" s="44"/>
      <c r="BA34" s="44"/>
      <c r="BB34" s="44"/>
      <c r="BC34" s="44"/>
      <c r="BD34" s="44"/>
      <c r="BE34" s="44"/>
      <c r="BF34" s="44"/>
      <c r="BG34" s="59"/>
      <c r="BH34" s="44"/>
      <c r="BI34" s="44"/>
      <c r="BJ34" s="44"/>
      <c r="BK34" s="44"/>
    </row>
    <row r="35" spans="1:63" s="4" customFormat="1" x14ac:dyDescent="0.25">
      <c r="A35" s="3"/>
      <c r="B35" s="26" t="s">
        <v>59</v>
      </c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59"/>
      <c r="AY35" s="44"/>
      <c r="AZ35" s="44"/>
      <c r="BA35" s="44"/>
      <c r="BB35" s="44"/>
      <c r="BC35" s="44"/>
      <c r="BD35" s="44"/>
      <c r="BE35" s="44"/>
      <c r="BF35" s="44"/>
      <c r="BG35" s="59"/>
      <c r="BH35" s="44"/>
      <c r="BI35" s="44"/>
      <c r="BJ35" s="44"/>
      <c r="BK35" s="44"/>
    </row>
    <row r="36" spans="1:63" s="11" customFormat="1" x14ac:dyDescent="0.25">
      <c r="A36" s="9"/>
      <c r="B36" s="10" t="s">
        <v>52</v>
      </c>
      <c r="C36" s="37">
        <v>56.29</v>
      </c>
      <c r="D36" s="37">
        <v>56.29</v>
      </c>
      <c r="E36" s="37">
        <v>56.29</v>
      </c>
      <c r="F36" s="37">
        <v>60.47</v>
      </c>
      <c r="G36" s="37">
        <v>60.47</v>
      </c>
      <c r="H36" s="37">
        <v>60.47</v>
      </c>
      <c r="I36" s="37">
        <v>60.47</v>
      </c>
      <c r="J36" s="37">
        <v>60.47</v>
      </c>
      <c r="K36" s="37">
        <v>60.47</v>
      </c>
      <c r="L36" s="37">
        <v>60.47</v>
      </c>
      <c r="M36" s="37">
        <v>60.47</v>
      </c>
      <c r="N36" s="37">
        <v>68.59</v>
      </c>
      <c r="O36" s="37">
        <v>68.59</v>
      </c>
      <c r="P36" s="37">
        <v>60.47</v>
      </c>
      <c r="Q36" s="37">
        <v>60.47</v>
      </c>
      <c r="R36" s="37">
        <v>60.47</v>
      </c>
      <c r="S36" s="37">
        <v>60.47</v>
      </c>
      <c r="T36" s="37">
        <v>68.59</v>
      </c>
      <c r="U36" s="37">
        <v>68.59</v>
      </c>
      <c r="V36" s="37">
        <v>60.47</v>
      </c>
      <c r="W36" s="37">
        <v>60.47</v>
      </c>
      <c r="X36" s="37">
        <v>60.47</v>
      </c>
      <c r="Y36" s="37">
        <v>60.47</v>
      </c>
      <c r="Z36" s="37">
        <v>60.47</v>
      </c>
      <c r="AA36" s="37">
        <v>60.47</v>
      </c>
      <c r="AB36" s="37">
        <v>60.47</v>
      </c>
      <c r="AC36" s="37">
        <v>60.47</v>
      </c>
      <c r="AD36" s="37">
        <v>60.47</v>
      </c>
      <c r="AE36" s="37">
        <v>60.47</v>
      </c>
      <c r="AF36" s="37">
        <v>60.47</v>
      </c>
      <c r="AG36" s="37">
        <v>60.47</v>
      </c>
      <c r="AH36" s="37">
        <v>60.47</v>
      </c>
      <c r="AI36" s="37">
        <v>60.47</v>
      </c>
      <c r="AJ36" s="37">
        <v>60.47</v>
      </c>
      <c r="AK36" s="37">
        <v>60.47</v>
      </c>
      <c r="AL36" s="37">
        <v>60.47</v>
      </c>
      <c r="AM36" s="37">
        <v>60.47</v>
      </c>
      <c r="AN36" s="37">
        <v>60.47</v>
      </c>
      <c r="AO36" s="37">
        <v>60.47</v>
      </c>
      <c r="AP36" s="37">
        <v>60.47</v>
      </c>
      <c r="AQ36" s="37">
        <v>60.47</v>
      </c>
      <c r="AR36" s="37">
        <v>60.47</v>
      </c>
      <c r="AS36" s="37">
        <v>60.47</v>
      </c>
      <c r="AT36" s="37">
        <v>60.47</v>
      </c>
      <c r="AU36" s="37">
        <v>60.47</v>
      </c>
      <c r="AV36" s="37">
        <v>60.47</v>
      </c>
      <c r="AW36" s="37">
        <v>60.47</v>
      </c>
      <c r="AX36" s="55">
        <v>60.47</v>
      </c>
      <c r="AY36" s="37">
        <v>60.47</v>
      </c>
      <c r="AZ36" s="37">
        <v>60.47</v>
      </c>
      <c r="BA36" s="37">
        <v>64.52</v>
      </c>
      <c r="BB36" s="37">
        <v>64.52</v>
      </c>
      <c r="BC36" s="37">
        <v>60.47</v>
      </c>
      <c r="BD36" s="37">
        <v>60.47</v>
      </c>
      <c r="BE36" s="37">
        <v>60.47</v>
      </c>
      <c r="BF36" s="37">
        <v>60.47</v>
      </c>
      <c r="BG36" s="55">
        <v>60.47</v>
      </c>
      <c r="BH36" s="37">
        <v>60.47</v>
      </c>
      <c r="BI36" s="37">
        <v>60.47</v>
      </c>
      <c r="BJ36" s="37">
        <v>60.47</v>
      </c>
      <c r="BK36" s="37">
        <v>60.47</v>
      </c>
    </row>
    <row r="37" spans="1:63" s="8" customFormat="1" x14ac:dyDescent="0.25">
      <c r="A37" s="2"/>
      <c r="B37" s="12" t="s">
        <v>53</v>
      </c>
      <c r="C37" s="38">
        <v>59.18</v>
      </c>
      <c r="D37" s="38">
        <v>73.83</v>
      </c>
      <c r="E37" s="38">
        <v>52.44</v>
      </c>
      <c r="F37" s="38">
        <v>66.08</v>
      </c>
      <c r="G37" s="38">
        <v>48.73</v>
      </c>
      <c r="H37" s="38">
        <v>37.18</v>
      </c>
      <c r="I37" s="38">
        <v>55.73</v>
      </c>
      <c r="J37" s="38">
        <v>54.89</v>
      </c>
      <c r="K37" s="38">
        <v>37.99</v>
      </c>
      <c r="L37" s="38">
        <v>58.74</v>
      </c>
      <c r="M37" s="38">
        <v>53.61</v>
      </c>
      <c r="N37" s="38">
        <v>86.16</v>
      </c>
      <c r="O37" s="38">
        <v>72.56</v>
      </c>
      <c r="P37" s="38">
        <v>50.75</v>
      </c>
      <c r="Q37" s="38">
        <v>45.06</v>
      </c>
      <c r="R37" s="38">
        <v>42.27</v>
      </c>
      <c r="S37" s="38">
        <v>39.380000000000003</v>
      </c>
      <c r="T37" s="38">
        <v>101.28</v>
      </c>
      <c r="U37" s="38">
        <v>101.64</v>
      </c>
      <c r="V37" s="38">
        <v>45.48</v>
      </c>
      <c r="W37" s="38">
        <v>67.58</v>
      </c>
      <c r="X37" s="38">
        <v>55.56</v>
      </c>
      <c r="Y37" s="38">
        <v>53.62</v>
      </c>
      <c r="Z37" s="38">
        <v>64.61</v>
      </c>
      <c r="AA37" s="38">
        <v>72.5</v>
      </c>
      <c r="AB37" s="38">
        <v>61.98</v>
      </c>
      <c r="AC37" s="38">
        <v>66.209999999999994</v>
      </c>
      <c r="AD37" s="38">
        <v>55.59</v>
      </c>
      <c r="AE37" s="38">
        <v>61.29</v>
      </c>
      <c r="AF37" s="38">
        <v>42.32</v>
      </c>
      <c r="AG37" s="38">
        <v>57.33</v>
      </c>
      <c r="AH37" s="38">
        <v>47.29</v>
      </c>
      <c r="AI37" s="38">
        <v>45.82</v>
      </c>
      <c r="AJ37" s="38">
        <v>54.19</v>
      </c>
      <c r="AK37" s="38">
        <v>45.58</v>
      </c>
      <c r="AL37" s="38">
        <v>49.69</v>
      </c>
      <c r="AM37" s="38">
        <v>61.55</v>
      </c>
      <c r="AN37" s="38">
        <v>54.06</v>
      </c>
      <c r="AO37" s="38">
        <v>56.91</v>
      </c>
      <c r="AP37" s="38">
        <v>61.97</v>
      </c>
      <c r="AQ37" s="38">
        <v>46.94</v>
      </c>
      <c r="AR37" s="38">
        <v>40.32</v>
      </c>
      <c r="AS37" s="38">
        <v>39.200000000000003</v>
      </c>
      <c r="AT37" s="38">
        <v>46.64</v>
      </c>
      <c r="AU37" s="38">
        <v>142.1</v>
      </c>
      <c r="AV37" s="38">
        <v>55.62</v>
      </c>
      <c r="AW37" s="38">
        <v>52.06</v>
      </c>
      <c r="AX37" s="54">
        <v>63.31</v>
      </c>
      <c r="AY37" s="38">
        <v>47.08</v>
      </c>
      <c r="AZ37" s="38">
        <v>59.02</v>
      </c>
      <c r="BA37" s="38">
        <v>73.489999999999995</v>
      </c>
      <c r="BB37" s="38">
        <v>64.260000000000005</v>
      </c>
      <c r="BC37" s="38">
        <v>94.84</v>
      </c>
      <c r="BD37" s="38">
        <v>87.26</v>
      </c>
      <c r="BE37" s="38">
        <v>55.65</v>
      </c>
      <c r="BF37" s="38">
        <v>50.46</v>
      </c>
      <c r="BG37" s="54"/>
      <c r="BH37" s="38">
        <v>77.44</v>
      </c>
      <c r="BI37" s="38">
        <v>40.67</v>
      </c>
      <c r="BJ37" s="38">
        <v>57.14</v>
      </c>
      <c r="BK37" s="38">
        <v>49.56</v>
      </c>
    </row>
    <row r="38" spans="1:63" s="15" customFormat="1" x14ac:dyDescent="0.25">
      <c r="A38" s="13">
        <v>84</v>
      </c>
      <c r="B38" s="14" t="s">
        <v>54</v>
      </c>
      <c r="C38" s="40">
        <f>C37-C36</f>
        <v>2.8900000000000006</v>
      </c>
      <c r="D38" s="40">
        <f t="shared" ref="D38:BK38" si="6">D37-D36</f>
        <v>17.54</v>
      </c>
      <c r="E38" s="40">
        <f t="shared" si="6"/>
        <v>-3.8500000000000014</v>
      </c>
      <c r="F38" s="40">
        <f t="shared" si="6"/>
        <v>5.6099999999999994</v>
      </c>
      <c r="G38" s="40">
        <f t="shared" si="6"/>
        <v>-11.740000000000002</v>
      </c>
      <c r="H38" s="40">
        <f t="shared" si="6"/>
        <v>-23.29</v>
      </c>
      <c r="I38" s="40">
        <f t="shared" si="6"/>
        <v>-4.740000000000002</v>
      </c>
      <c r="J38" s="40">
        <f t="shared" si="6"/>
        <v>-5.5799999999999983</v>
      </c>
      <c r="K38" s="40">
        <f t="shared" si="6"/>
        <v>-22.479999999999997</v>
      </c>
      <c r="L38" s="40">
        <f t="shared" si="6"/>
        <v>-1.7299999999999969</v>
      </c>
      <c r="M38" s="40">
        <f t="shared" si="6"/>
        <v>-6.8599999999999994</v>
      </c>
      <c r="N38" s="40">
        <f t="shared" si="6"/>
        <v>17.569999999999993</v>
      </c>
      <c r="O38" s="40">
        <f t="shared" si="6"/>
        <v>3.9699999999999989</v>
      </c>
      <c r="P38" s="40">
        <f t="shared" si="6"/>
        <v>-9.7199999999999989</v>
      </c>
      <c r="Q38" s="40">
        <f t="shared" si="6"/>
        <v>-15.409999999999997</v>
      </c>
      <c r="R38" s="40">
        <f t="shared" si="6"/>
        <v>-18.199999999999996</v>
      </c>
      <c r="S38" s="40">
        <f t="shared" si="6"/>
        <v>-21.089999999999996</v>
      </c>
      <c r="T38" s="40">
        <f t="shared" si="6"/>
        <v>32.69</v>
      </c>
      <c r="U38" s="40">
        <f t="shared" si="6"/>
        <v>33.049999999999997</v>
      </c>
      <c r="V38" s="40">
        <f t="shared" si="6"/>
        <v>-14.990000000000002</v>
      </c>
      <c r="W38" s="40">
        <f t="shared" si="6"/>
        <v>7.1099999999999994</v>
      </c>
      <c r="X38" s="40">
        <f t="shared" si="6"/>
        <v>-4.9099999999999966</v>
      </c>
      <c r="Y38" s="40">
        <f t="shared" si="6"/>
        <v>-6.8500000000000014</v>
      </c>
      <c r="Z38" s="40">
        <f t="shared" si="6"/>
        <v>4.1400000000000006</v>
      </c>
      <c r="AA38" s="40">
        <f t="shared" si="6"/>
        <v>12.030000000000001</v>
      </c>
      <c r="AB38" s="40">
        <f t="shared" si="6"/>
        <v>1.509999999999998</v>
      </c>
      <c r="AC38" s="40">
        <f t="shared" si="6"/>
        <v>5.7399999999999949</v>
      </c>
      <c r="AD38" s="40">
        <f t="shared" si="6"/>
        <v>-4.8799999999999955</v>
      </c>
      <c r="AE38" s="40">
        <f t="shared" si="6"/>
        <v>0.82000000000000028</v>
      </c>
      <c r="AF38" s="40">
        <f t="shared" si="6"/>
        <v>-18.149999999999999</v>
      </c>
      <c r="AG38" s="40">
        <f t="shared" si="6"/>
        <v>-3.1400000000000006</v>
      </c>
      <c r="AH38" s="40">
        <f t="shared" si="6"/>
        <v>-13.18</v>
      </c>
      <c r="AI38" s="40">
        <f t="shared" si="6"/>
        <v>-14.649999999999999</v>
      </c>
      <c r="AJ38" s="40">
        <f t="shared" si="6"/>
        <v>-6.2800000000000011</v>
      </c>
      <c r="AK38" s="40">
        <f t="shared" si="6"/>
        <v>-14.89</v>
      </c>
      <c r="AL38" s="40">
        <f t="shared" si="6"/>
        <v>-10.780000000000001</v>
      </c>
      <c r="AM38" s="40">
        <f t="shared" si="6"/>
        <v>1.0799999999999983</v>
      </c>
      <c r="AN38" s="40">
        <f t="shared" si="6"/>
        <v>-6.4099999999999966</v>
      </c>
      <c r="AO38" s="40">
        <f t="shared" si="6"/>
        <v>-3.5600000000000023</v>
      </c>
      <c r="AP38" s="40">
        <f t="shared" si="6"/>
        <v>1.5</v>
      </c>
      <c r="AQ38" s="40">
        <f t="shared" si="6"/>
        <v>-13.530000000000001</v>
      </c>
      <c r="AR38" s="40">
        <f t="shared" si="6"/>
        <v>-20.149999999999999</v>
      </c>
      <c r="AS38" s="40">
        <f t="shared" si="6"/>
        <v>-21.269999999999996</v>
      </c>
      <c r="AT38" s="40">
        <f t="shared" si="6"/>
        <v>-13.829999999999998</v>
      </c>
      <c r="AU38" s="40">
        <f t="shared" si="6"/>
        <v>81.63</v>
      </c>
      <c r="AV38" s="40">
        <f t="shared" si="6"/>
        <v>-4.8500000000000014</v>
      </c>
      <c r="AW38" s="40">
        <f t="shared" si="6"/>
        <v>-8.4099999999999966</v>
      </c>
      <c r="AX38" s="56">
        <f t="shared" si="6"/>
        <v>2.8400000000000034</v>
      </c>
      <c r="AY38" s="40">
        <f t="shared" si="6"/>
        <v>-13.39</v>
      </c>
      <c r="AZ38" s="40">
        <f>AZ37-AZ36</f>
        <v>-1.4499999999999957</v>
      </c>
      <c r="BA38" s="40">
        <f>BA37-BA36</f>
        <v>8.9699999999999989</v>
      </c>
      <c r="BB38" s="40">
        <f>BB37-BB36</f>
        <v>-0.25999999999999091</v>
      </c>
      <c r="BC38" s="40">
        <f>BC37-BC36</f>
        <v>34.370000000000005</v>
      </c>
      <c r="BD38" s="40">
        <f>BD37-BD36</f>
        <v>26.790000000000006</v>
      </c>
      <c r="BE38" s="40">
        <f t="shared" si="6"/>
        <v>-4.82</v>
      </c>
      <c r="BF38" s="40">
        <f t="shared" si="6"/>
        <v>-10.009999999999998</v>
      </c>
      <c r="BG38" s="56">
        <f t="shared" si="6"/>
        <v>-60.47</v>
      </c>
      <c r="BH38" s="40">
        <f t="shared" si="6"/>
        <v>16.97</v>
      </c>
      <c r="BI38" s="40">
        <f t="shared" si="6"/>
        <v>-19.799999999999997</v>
      </c>
      <c r="BJ38" s="40">
        <f t="shared" si="6"/>
        <v>-3.3299999999999983</v>
      </c>
      <c r="BK38" s="40">
        <f t="shared" si="6"/>
        <v>-10.909999999999997</v>
      </c>
    </row>
    <row r="39" spans="1:63" s="11" customFormat="1" x14ac:dyDescent="0.25">
      <c r="A39" s="9"/>
      <c r="B39" s="10" t="s">
        <v>55</v>
      </c>
      <c r="C39" s="37">
        <v>60.97</v>
      </c>
      <c r="D39" s="37">
        <v>60.97</v>
      </c>
      <c r="E39" s="37">
        <v>60.97</v>
      </c>
      <c r="F39" s="37">
        <v>57.17</v>
      </c>
      <c r="G39" s="37">
        <v>57.17</v>
      </c>
      <c r="H39" s="37">
        <v>57.17</v>
      </c>
      <c r="I39" s="37">
        <v>57.17</v>
      </c>
      <c r="J39" s="37">
        <v>57.17</v>
      </c>
      <c r="K39" s="37">
        <v>57.17</v>
      </c>
      <c r="L39" s="37">
        <v>57.17</v>
      </c>
      <c r="M39" s="37">
        <v>57.17</v>
      </c>
      <c r="N39" s="37">
        <v>65.150000000000006</v>
      </c>
      <c r="O39" s="37">
        <v>65.150000000000006</v>
      </c>
      <c r="P39" s="37">
        <v>57.17</v>
      </c>
      <c r="Q39" s="37">
        <v>57.17</v>
      </c>
      <c r="R39" s="37">
        <v>57.17</v>
      </c>
      <c r="S39" s="37">
        <v>57.17</v>
      </c>
      <c r="T39" s="37">
        <v>65.150000000000006</v>
      </c>
      <c r="U39" s="37">
        <v>65.150000000000006</v>
      </c>
      <c r="V39" s="37">
        <v>57.17</v>
      </c>
      <c r="W39" s="37">
        <v>57.17</v>
      </c>
      <c r="X39" s="37">
        <v>57.17</v>
      </c>
      <c r="Y39" s="37">
        <v>57.17</v>
      </c>
      <c r="Z39" s="37">
        <v>57.17</v>
      </c>
      <c r="AA39" s="37">
        <v>57.17</v>
      </c>
      <c r="AB39" s="37">
        <v>57.17</v>
      </c>
      <c r="AC39" s="37">
        <v>57.17</v>
      </c>
      <c r="AD39" s="37">
        <v>57.17</v>
      </c>
      <c r="AE39" s="37">
        <v>57.17</v>
      </c>
      <c r="AF39" s="37">
        <v>57.17</v>
      </c>
      <c r="AG39" s="37">
        <v>57.17</v>
      </c>
      <c r="AH39" s="37">
        <v>57.17</v>
      </c>
      <c r="AI39" s="37">
        <v>57.17</v>
      </c>
      <c r="AJ39" s="37">
        <v>57.17</v>
      </c>
      <c r="AK39" s="37">
        <v>57.17</v>
      </c>
      <c r="AL39" s="37">
        <v>57.17</v>
      </c>
      <c r="AM39" s="37">
        <v>57.17</v>
      </c>
      <c r="AN39" s="37">
        <v>57.17</v>
      </c>
      <c r="AO39" s="37">
        <v>57.17</v>
      </c>
      <c r="AP39" s="37">
        <v>57.17</v>
      </c>
      <c r="AQ39" s="37">
        <v>57.17</v>
      </c>
      <c r="AR39" s="37">
        <v>57.17</v>
      </c>
      <c r="AS39" s="37">
        <v>57.17</v>
      </c>
      <c r="AT39" s="37">
        <v>57.17</v>
      </c>
      <c r="AU39" s="37">
        <v>57.17</v>
      </c>
      <c r="AV39" s="37">
        <v>57.17</v>
      </c>
      <c r="AW39" s="37">
        <v>57.17</v>
      </c>
      <c r="AX39" s="55">
        <v>57.17</v>
      </c>
      <c r="AY39" s="37">
        <v>57.17</v>
      </c>
      <c r="AZ39" s="37">
        <v>57.17</v>
      </c>
      <c r="BA39" s="37">
        <v>60.08</v>
      </c>
      <c r="BB39" s="37">
        <v>60.08</v>
      </c>
      <c r="BC39" s="37">
        <v>57.17</v>
      </c>
      <c r="BD39" s="37">
        <v>57.17</v>
      </c>
      <c r="BE39" s="37">
        <v>57.17</v>
      </c>
      <c r="BF39" s="37">
        <v>57.17</v>
      </c>
      <c r="BG39" s="55">
        <v>57.17</v>
      </c>
      <c r="BH39" s="37">
        <v>57.17</v>
      </c>
      <c r="BI39" s="37">
        <v>57.17</v>
      </c>
      <c r="BJ39" s="37">
        <v>57.17</v>
      </c>
      <c r="BK39" s="37">
        <v>57.17</v>
      </c>
    </row>
    <row r="40" spans="1:63" s="8" customFormat="1" x14ac:dyDescent="0.25">
      <c r="A40" s="2"/>
      <c r="B40" s="12" t="s">
        <v>56</v>
      </c>
      <c r="C40" s="38">
        <v>56.88</v>
      </c>
      <c r="D40" s="38">
        <v>73.180000000000007</v>
      </c>
      <c r="E40" s="38">
        <v>51.68</v>
      </c>
      <c r="F40" s="38">
        <v>63.19</v>
      </c>
      <c r="G40" s="38">
        <v>47.51</v>
      </c>
      <c r="H40" s="38">
        <v>30.99</v>
      </c>
      <c r="I40" s="38">
        <v>51.28</v>
      </c>
      <c r="J40" s="38">
        <v>50.04</v>
      </c>
      <c r="K40" s="38">
        <v>32.69</v>
      </c>
      <c r="L40" s="38">
        <v>53.63</v>
      </c>
      <c r="M40" s="38">
        <v>48.18</v>
      </c>
      <c r="N40" s="38">
        <v>64.69</v>
      </c>
      <c r="O40" s="38">
        <v>64.069999999999993</v>
      </c>
      <c r="P40" s="38">
        <v>45.77</v>
      </c>
      <c r="Q40" s="38">
        <v>39.520000000000003</v>
      </c>
      <c r="R40" s="38">
        <v>36.04</v>
      </c>
      <c r="S40" s="38">
        <v>33.659999999999997</v>
      </c>
      <c r="T40" s="38">
        <v>89.91</v>
      </c>
      <c r="U40" s="38">
        <v>94.82</v>
      </c>
      <c r="V40" s="38">
        <v>45.48</v>
      </c>
      <c r="W40" s="38">
        <v>66.239999999999995</v>
      </c>
      <c r="X40" s="38">
        <v>51.99</v>
      </c>
      <c r="Y40" s="38">
        <v>50.11</v>
      </c>
      <c r="Z40" s="38">
        <v>59.5</v>
      </c>
      <c r="AA40" s="38">
        <v>70.77</v>
      </c>
      <c r="AB40" s="38">
        <v>58.18</v>
      </c>
      <c r="AC40" s="38">
        <v>61.06</v>
      </c>
      <c r="AD40" s="38">
        <v>52.16</v>
      </c>
      <c r="AE40" s="38">
        <v>58.02</v>
      </c>
      <c r="AF40" s="38">
        <v>39.119999999999997</v>
      </c>
      <c r="AG40" s="38">
        <v>52.34</v>
      </c>
      <c r="AH40" s="38">
        <v>42.28</v>
      </c>
      <c r="AI40" s="38">
        <v>38.68</v>
      </c>
      <c r="AJ40" s="38">
        <v>46.68</v>
      </c>
      <c r="AK40" s="38">
        <v>35.869999999999997</v>
      </c>
      <c r="AL40" s="38">
        <v>42.09</v>
      </c>
      <c r="AM40" s="38">
        <v>59.38</v>
      </c>
      <c r="AN40" s="38">
        <v>48.87</v>
      </c>
      <c r="AO40" s="38">
        <v>51.77</v>
      </c>
      <c r="AP40" s="38">
        <v>57.8</v>
      </c>
      <c r="AQ40" s="38">
        <v>40.659999999999997</v>
      </c>
      <c r="AR40" s="38">
        <v>34.89</v>
      </c>
      <c r="AS40" s="38">
        <v>32.5</v>
      </c>
      <c r="AT40" s="38">
        <v>42.98</v>
      </c>
      <c r="AU40" s="38">
        <v>49.2</v>
      </c>
      <c r="AV40" s="38">
        <v>49.02</v>
      </c>
      <c r="AW40" s="38">
        <v>46.38</v>
      </c>
      <c r="AX40" s="54">
        <v>58.96</v>
      </c>
      <c r="AY40" s="38">
        <v>39.69</v>
      </c>
      <c r="AZ40" s="38">
        <v>50.78</v>
      </c>
      <c r="BA40" s="38">
        <v>67.03</v>
      </c>
      <c r="BB40" s="38">
        <v>56.6</v>
      </c>
      <c r="BC40" s="38">
        <v>69.16</v>
      </c>
      <c r="BD40" s="38">
        <v>78.989999999999995</v>
      </c>
      <c r="BE40" s="38">
        <v>43.92</v>
      </c>
      <c r="BF40" s="38">
        <v>47.66</v>
      </c>
      <c r="BG40" s="54"/>
      <c r="BH40" s="38">
        <v>62.76</v>
      </c>
      <c r="BI40" s="38">
        <v>38.39</v>
      </c>
      <c r="BJ40" s="38">
        <v>53.81</v>
      </c>
      <c r="BK40" s="38">
        <v>46.18</v>
      </c>
    </row>
    <row r="41" spans="1:63" s="18" customFormat="1" x14ac:dyDescent="0.25">
      <c r="A41" s="16">
        <v>50</v>
      </c>
      <c r="B41" s="17" t="s">
        <v>54</v>
      </c>
      <c r="C41" s="41">
        <f>C40-C39</f>
        <v>-4.0899999999999963</v>
      </c>
      <c r="D41" s="41">
        <f t="shared" ref="D41:BK41" si="7">D40-D39</f>
        <v>12.210000000000008</v>
      </c>
      <c r="E41" s="41">
        <f t="shared" si="7"/>
        <v>-9.2899999999999991</v>
      </c>
      <c r="F41" s="41">
        <f t="shared" si="7"/>
        <v>6.019999999999996</v>
      </c>
      <c r="G41" s="41">
        <f t="shared" si="7"/>
        <v>-9.6600000000000037</v>
      </c>
      <c r="H41" s="41">
        <f t="shared" si="7"/>
        <v>-26.180000000000003</v>
      </c>
      <c r="I41" s="41">
        <f t="shared" si="7"/>
        <v>-5.8900000000000006</v>
      </c>
      <c r="J41" s="41">
        <f t="shared" si="7"/>
        <v>-7.1300000000000026</v>
      </c>
      <c r="K41" s="41">
        <f t="shared" si="7"/>
        <v>-24.480000000000004</v>
      </c>
      <c r="L41" s="41">
        <f t="shared" si="7"/>
        <v>-3.5399999999999991</v>
      </c>
      <c r="M41" s="41">
        <f t="shared" si="7"/>
        <v>-8.990000000000002</v>
      </c>
      <c r="N41" s="41">
        <f t="shared" si="7"/>
        <v>-0.46000000000000796</v>
      </c>
      <c r="O41" s="41">
        <f t="shared" si="7"/>
        <v>-1.0800000000000125</v>
      </c>
      <c r="P41" s="41">
        <f t="shared" si="7"/>
        <v>-11.399999999999999</v>
      </c>
      <c r="Q41" s="41">
        <f t="shared" si="7"/>
        <v>-17.649999999999999</v>
      </c>
      <c r="R41" s="41">
        <f t="shared" si="7"/>
        <v>-21.130000000000003</v>
      </c>
      <c r="S41" s="41">
        <f t="shared" si="7"/>
        <v>-23.510000000000005</v>
      </c>
      <c r="T41" s="41">
        <f t="shared" si="7"/>
        <v>24.759999999999991</v>
      </c>
      <c r="U41" s="41">
        <f t="shared" si="7"/>
        <v>29.669999999999987</v>
      </c>
      <c r="V41" s="41">
        <f t="shared" si="7"/>
        <v>-11.690000000000005</v>
      </c>
      <c r="W41" s="41">
        <f t="shared" si="7"/>
        <v>9.0699999999999932</v>
      </c>
      <c r="X41" s="41">
        <f t="shared" si="7"/>
        <v>-5.18</v>
      </c>
      <c r="Y41" s="41">
        <f t="shared" si="7"/>
        <v>-7.0600000000000023</v>
      </c>
      <c r="Z41" s="41">
        <f t="shared" si="7"/>
        <v>2.3299999999999983</v>
      </c>
      <c r="AA41" s="41">
        <f t="shared" si="7"/>
        <v>13.599999999999994</v>
      </c>
      <c r="AB41" s="41">
        <f t="shared" si="7"/>
        <v>1.009999999999998</v>
      </c>
      <c r="AC41" s="41">
        <f t="shared" si="7"/>
        <v>3.8900000000000006</v>
      </c>
      <c r="AD41" s="41">
        <f t="shared" si="7"/>
        <v>-5.0100000000000051</v>
      </c>
      <c r="AE41" s="41">
        <f t="shared" si="7"/>
        <v>0.85000000000000142</v>
      </c>
      <c r="AF41" s="41">
        <f t="shared" si="7"/>
        <v>-18.050000000000004</v>
      </c>
      <c r="AG41" s="41">
        <f t="shared" si="7"/>
        <v>-4.8299999999999983</v>
      </c>
      <c r="AH41" s="41">
        <f t="shared" si="7"/>
        <v>-14.89</v>
      </c>
      <c r="AI41" s="41">
        <f t="shared" si="7"/>
        <v>-18.490000000000002</v>
      </c>
      <c r="AJ41" s="41">
        <f t="shared" si="7"/>
        <v>-10.490000000000002</v>
      </c>
      <c r="AK41" s="41">
        <f t="shared" si="7"/>
        <v>-21.300000000000004</v>
      </c>
      <c r="AL41" s="41">
        <f t="shared" si="7"/>
        <v>-15.079999999999998</v>
      </c>
      <c r="AM41" s="41">
        <f t="shared" si="7"/>
        <v>2.2100000000000009</v>
      </c>
      <c r="AN41" s="41">
        <f t="shared" si="7"/>
        <v>-8.3000000000000043</v>
      </c>
      <c r="AO41" s="41">
        <f t="shared" si="7"/>
        <v>-5.3999999999999986</v>
      </c>
      <c r="AP41" s="41">
        <f t="shared" si="7"/>
        <v>0.62999999999999545</v>
      </c>
      <c r="AQ41" s="41">
        <f t="shared" si="7"/>
        <v>-16.510000000000005</v>
      </c>
      <c r="AR41" s="41">
        <f t="shared" si="7"/>
        <v>-22.28</v>
      </c>
      <c r="AS41" s="41">
        <f t="shared" si="7"/>
        <v>-24.67</v>
      </c>
      <c r="AT41" s="41">
        <f t="shared" si="7"/>
        <v>-14.190000000000005</v>
      </c>
      <c r="AU41" s="41">
        <f t="shared" si="7"/>
        <v>-7.9699999999999989</v>
      </c>
      <c r="AV41" s="41">
        <f t="shared" si="7"/>
        <v>-8.1499999999999986</v>
      </c>
      <c r="AW41" s="41">
        <f t="shared" si="7"/>
        <v>-10.79</v>
      </c>
      <c r="AX41" s="57">
        <f t="shared" si="7"/>
        <v>1.7899999999999991</v>
      </c>
      <c r="AY41" s="41">
        <f t="shared" si="7"/>
        <v>-17.480000000000004</v>
      </c>
      <c r="AZ41" s="41">
        <f>AZ40-AZ39</f>
        <v>-6.3900000000000006</v>
      </c>
      <c r="BA41" s="41">
        <f>BA40-BA39</f>
        <v>6.9500000000000028</v>
      </c>
      <c r="BB41" s="41">
        <f>BB40-BB39</f>
        <v>-3.4799999999999969</v>
      </c>
      <c r="BC41" s="41">
        <f>BC40-BC39</f>
        <v>11.989999999999995</v>
      </c>
      <c r="BD41" s="41">
        <f>BD40-BD39</f>
        <v>21.819999999999993</v>
      </c>
      <c r="BE41" s="41">
        <f t="shared" si="7"/>
        <v>-13.25</v>
      </c>
      <c r="BF41" s="41">
        <f t="shared" si="7"/>
        <v>-9.5100000000000051</v>
      </c>
      <c r="BG41" s="57">
        <f t="shared" si="7"/>
        <v>-57.17</v>
      </c>
      <c r="BH41" s="41">
        <f t="shared" si="7"/>
        <v>5.5899999999999963</v>
      </c>
      <c r="BI41" s="41">
        <f t="shared" si="7"/>
        <v>-18.78</v>
      </c>
      <c r="BJ41" s="41">
        <f t="shared" si="7"/>
        <v>-3.3599999999999994</v>
      </c>
      <c r="BK41" s="41">
        <f t="shared" si="7"/>
        <v>-10.990000000000002</v>
      </c>
    </row>
    <row r="42" spans="1:63" s="21" customFormat="1" x14ac:dyDescent="0.25">
      <c r="A42" s="19"/>
      <c r="B42" s="20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57"/>
      <c r="AY42" s="42"/>
      <c r="AZ42" s="42"/>
      <c r="BA42" s="42"/>
      <c r="BB42" s="42"/>
      <c r="BC42" s="42"/>
      <c r="BD42" s="42"/>
      <c r="BE42" s="42"/>
      <c r="BF42" s="42"/>
      <c r="BG42" s="57"/>
      <c r="BH42" s="42"/>
      <c r="BI42" s="42"/>
      <c r="BJ42" s="42"/>
      <c r="BK42" s="42"/>
    </row>
    <row r="43" spans="1:63" s="24" customFormat="1" x14ac:dyDescent="0.25">
      <c r="A43" s="22">
        <v>196</v>
      </c>
      <c r="B43" s="23" t="s">
        <v>57</v>
      </c>
      <c r="C43" s="43">
        <v>585.48</v>
      </c>
      <c r="D43" s="43">
        <v>567.28</v>
      </c>
      <c r="E43" s="43">
        <v>601.71</v>
      </c>
      <c r="F43" s="43">
        <v>539.52</v>
      </c>
      <c r="G43" s="43">
        <v>473.22</v>
      </c>
      <c r="H43" s="43">
        <v>276.83</v>
      </c>
      <c r="I43" s="43">
        <v>278.10000000000002</v>
      </c>
      <c r="J43" s="43">
        <v>596.35</v>
      </c>
      <c r="K43" s="43">
        <v>592.07000000000005</v>
      </c>
      <c r="L43" s="43">
        <v>615.79</v>
      </c>
      <c r="M43" s="43">
        <v>529.33000000000004</v>
      </c>
      <c r="N43" s="43">
        <v>347.1</v>
      </c>
      <c r="O43" s="43">
        <v>329.48</v>
      </c>
      <c r="P43" s="43">
        <v>580.94000000000005</v>
      </c>
      <c r="Q43" s="43">
        <v>578.52</v>
      </c>
      <c r="R43" s="43">
        <v>579.52</v>
      </c>
      <c r="S43" s="43">
        <v>585.15</v>
      </c>
      <c r="T43" s="43">
        <v>503.16</v>
      </c>
      <c r="U43" s="43">
        <v>504.68</v>
      </c>
      <c r="V43" s="43">
        <v>578.39</v>
      </c>
      <c r="W43" s="43">
        <v>553.32000000000005</v>
      </c>
      <c r="X43" s="43">
        <v>534.67999999999995</v>
      </c>
      <c r="Y43" s="43">
        <v>558.91999999999996</v>
      </c>
      <c r="Z43" s="43">
        <v>549.79</v>
      </c>
      <c r="AA43" s="43">
        <v>524.47</v>
      </c>
      <c r="AB43" s="43">
        <v>564.38</v>
      </c>
      <c r="AC43" s="43">
        <v>365.65</v>
      </c>
      <c r="AD43" s="43">
        <v>379.9</v>
      </c>
      <c r="AE43" s="43">
        <v>526.15</v>
      </c>
      <c r="AF43" s="43">
        <v>512.99</v>
      </c>
      <c r="AG43" s="43">
        <v>506.61</v>
      </c>
      <c r="AH43" s="43">
        <v>512.28</v>
      </c>
      <c r="AI43" s="43">
        <v>489.7</v>
      </c>
      <c r="AJ43" s="43">
        <v>500.38</v>
      </c>
      <c r="AK43" s="43">
        <v>492.24</v>
      </c>
      <c r="AL43" s="43">
        <v>480.36</v>
      </c>
      <c r="AM43" s="43">
        <v>531.29</v>
      </c>
      <c r="AN43" s="43">
        <v>519.99</v>
      </c>
      <c r="AO43" s="43">
        <v>505.38</v>
      </c>
      <c r="AP43" s="43">
        <v>531.24</v>
      </c>
      <c r="AQ43" s="43">
        <v>531.88</v>
      </c>
      <c r="AR43" s="43">
        <v>538.80999999999995</v>
      </c>
      <c r="AS43" s="43">
        <v>530.95000000000005</v>
      </c>
      <c r="AT43" s="43">
        <v>662.31</v>
      </c>
      <c r="AU43" s="43">
        <v>506.1</v>
      </c>
      <c r="AV43" s="43">
        <v>270.70999999999998</v>
      </c>
      <c r="AW43" s="43">
        <v>281.76</v>
      </c>
      <c r="AX43" s="58">
        <v>302.62</v>
      </c>
      <c r="AY43" s="43">
        <v>283.88</v>
      </c>
      <c r="AZ43" s="43">
        <v>290.06</v>
      </c>
      <c r="BA43" s="43">
        <v>201.95</v>
      </c>
      <c r="BB43" s="43">
        <v>268.52999999999997</v>
      </c>
      <c r="BC43" s="43">
        <v>148.51</v>
      </c>
      <c r="BD43" s="43">
        <v>147.72999999999999</v>
      </c>
      <c r="BE43" s="43">
        <v>233.25</v>
      </c>
      <c r="BF43" s="43">
        <v>675.5</v>
      </c>
      <c r="BG43" s="58"/>
      <c r="BH43" s="43">
        <v>621.13</v>
      </c>
      <c r="BI43" s="43">
        <v>752.39</v>
      </c>
      <c r="BJ43" s="43">
        <v>712.26</v>
      </c>
      <c r="BK43" s="43">
        <v>666.16</v>
      </c>
    </row>
    <row r="44" spans="1:63" s="4" customFormat="1" x14ac:dyDescent="0.25">
      <c r="A44" s="3"/>
      <c r="B44" s="25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 t="s">
        <v>92</v>
      </c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59"/>
      <c r="AY44" s="44"/>
      <c r="AZ44" s="44"/>
      <c r="BA44" s="44"/>
      <c r="BB44" s="44"/>
      <c r="BC44" s="44"/>
      <c r="BD44" s="44"/>
      <c r="BE44" s="44"/>
      <c r="BF44" s="44"/>
      <c r="BG44" s="59"/>
      <c r="BH44" s="44"/>
      <c r="BI44" s="44"/>
      <c r="BJ44" s="44"/>
      <c r="BK44" s="44"/>
    </row>
    <row r="45" spans="1:63" s="4" customFormat="1" x14ac:dyDescent="0.25">
      <c r="A45" s="3"/>
      <c r="B45" s="26" t="s">
        <v>60</v>
      </c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59"/>
      <c r="AY45" s="44"/>
      <c r="AZ45" s="44"/>
      <c r="BA45" s="44"/>
      <c r="BB45" s="44"/>
      <c r="BC45" s="44"/>
      <c r="BD45" s="44"/>
      <c r="BE45" s="44"/>
      <c r="BF45" s="44"/>
      <c r="BG45" s="59"/>
      <c r="BH45" s="44"/>
      <c r="BI45" s="44"/>
      <c r="BJ45" s="44"/>
      <c r="BK45" s="44"/>
    </row>
    <row r="46" spans="1:63" s="11" customFormat="1" x14ac:dyDescent="0.25">
      <c r="A46" s="9"/>
      <c r="B46" s="10" t="s">
        <v>52</v>
      </c>
      <c r="C46" s="37"/>
      <c r="D46" s="37"/>
      <c r="E46" s="37"/>
      <c r="F46" s="37">
        <v>32.619999999999997</v>
      </c>
      <c r="G46" s="37">
        <v>32.619999999999997</v>
      </c>
      <c r="H46" s="37">
        <v>32.619999999999997</v>
      </c>
      <c r="I46" s="37">
        <v>32.619999999999997</v>
      </c>
      <c r="J46" s="37">
        <v>32.619999999999997</v>
      </c>
      <c r="K46" s="37">
        <v>32.619999999999997</v>
      </c>
      <c r="L46" s="37">
        <v>32.619999999999997</v>
      </c>
      <c r="M46" s="37">
        <v>32.619999999999997</v>
      </c>
      <c r="N46" s="37">
        <v>36.24</v>
      </c>
      <c r="O46" s="37">
        <v>36.24</v>
      </c>
      <c r="P46" s="37">
        <v>32.619999999999997</v>
      </c>
      <c r="Q46" s="37">
        <v>32.619999999999997</v>
      </c>
      <c r="R46" s="37">
        <v>32.619999999999997</v>
      </c>
      <c r="S46" s="37">
        <v>32.619999999999997</v>
      </c>
      <c r="T46" s="37">
        <v>36.24</v>
      </c>
      <c r="U46" s="37">
        <v>36.24</v>
      </c>
      <c r="V46" s="37">
        <v>32.619999999999997</v>
      </c>
      <c r="W46" s="37">
        <v>32.619999999999997</v>
      </c>
      <c r="X46" s="37">
        <v>32.619999999999997</v>
      </c>
      <c r="Y46" s="37">
        <v>32.619999999999997</v>
      </c>
      <c r="Z46" s="37">
        <v>32.619999999999997</v>
      </c>
      <c r="AA46" s="37">
        <v>32.619999999999997</v>
      </c>
      <c r="AB46" s="37">
        <v>32.619999999999997</v>
      </c>
      <c r="AC46" s="37">
        <v>32.619999999999997</v>
      </c>
      <c r="AD46" s="37">
        <v>32.619999999999997</v>
      </c>
      <c r="AE46" s="37">
        <v>32.619999999999997</v>
      </c>
      <c r="AF46" s="37">
        <v>32.619999999999997</v>
      </c>
      <c r="AG46" s="37">
        <v>32.619999999999997</v>
      </c>
      <c r="AH46" s="37">
        <v>32.619999999999997</v>
      </c>
      <c r="AI46" s="37">
        <v>32.619999999999997</v>
      </c>
      <c r="AJ46" s="37">
        <v>32.619999999999997</v>
      </c>
      <c r="AK46" s="37">
        <v>32.619999999999997</v>
      </c>
      <c r="AL46" s="37">
        <v>32.619999999999997</v>
      </c>
      <c r="AM46" s="37">
        <v>32.619999999999997</v>
      </c>
      <c r="AN46" s="37">
        <v>32.619999999999997</v>
      </c>
      <c r="AO46" s="37">
        <v>32.619999999999997</v>
      </c>
      <c r="AP46" s="37">
        <v>32.619999999999997</v>
      </c>
      <c r="AQ46" s="37">
        <v>32.619999999999997</v>
      </c>
      <c r="AR46" s="37">
        <v>32.619999999999997</v>
      </c>
      <c r="AS46" s="37">
        <v>32.619999999999997</v>
      </c>
      <c r="AT46" s="37">
        <v>32.619999999999997</v>
      </c>
      <c r="AU46" s="37">
        <v>32.619999999999997</v>
      </c>
      <c r="AV46" s="37">
        <v>32.619999999999997</v>
      </c>
      <c r="AW46" s="37">
        <v>32.619999999999997</v>
      </c>
      <c r="AX46" s="55">
        <v>32.619999999999997</v>
      </c>
      <c r="AY46" s="37">
        <v>32.619999999999997</v>
      </c>
      <c r="AZ46" s="37">
        <v>32.619999999999997</v>
      </c>
      <c r="BA46" s="37">
        <v>32.619999999999997</v>
      </c>
      <c r="BB46" s="37">
        <v>32.619999999999997</v>
      </c>
      <c r="BC46" s="37">
        <v>32.619999999999997</v>
      </c>
      <c r="BD46" s="37">
        <v>32.619999999999997</v>
      </c>
      <c r="BE46" s="37">
        <v>32.619999999999997</v>
      </c>
      <c r="BF46" s="37">
        <v>32.619999999999997</v>
      </c>
      <c r="BG46" s="55">
        <v>32.619999999999997</v>
      </c>
      <c r="BH46" s="37">
        <v>32.619999999999997</v>
      </c>
      <c r="BI46" s="37">
        <v>32.619999999999997</v>
      </c>
      <c r="BJ46" s="37">
        <v>32.619999999999997</v>
      </c>
      <c r="BK46" s="37">
        <v>32.619999999999997</v>
      </c>
    </row>
    <row r="47" spans="1:63" s="8" customFormat="1" x14ac:dyDescent="0.25">
      <c r="A47" s="2"/>
      <c r="B47" s="12" t="s">
        <v>53</v>
      </c>
      <c r="C47" s="38"/>
      <c r="D47" s="38"/>
      <c r="E47" s="38"/>
      <c r="F47" s="38">
        <v>34.51</v>
      </c>
      <c r="G47" s="38">
        <v>60.56</v>
      </c>
      <c r="H47" s="38">
        <v>43.98</v>
      </c>
      <c r="I47" s="38">
        <v>38.71</v>
      </c>
      <c r="J47" s="38">
        <v>52.63</v>
      </c>
      <c r="K47" s="38">
        <v>56.2</v>
      </c>
      <c r="L47" s="38">
        <v>51.38</v>
      </c>
      <c r="M47" s="38">
        <v>56.66</v>
      </c>
      <c r="N47" s="38">
        <v>70.31</v>
      </c>
      <c r="O47" s="38">
        <v>60.29</v>
      </c>
      <c r="P47" s="38">
        <v>50.49</v>
      </c>
      <c r="Q47" s="38">
        <v>49.31</v>
      </c>
      <c r="R47" s="38">
        <v>57.47</v>
      </c>
      <c r="S47" s="38">
        <v>50.29</v>
      </c>
      <c r="T47" s="38">
        <v>46.35</v>
      </c>
      <c r="U47" s="38">
        <v>55.57</v>
      </c>
      <c r="V47" s="38">
        <v>32.39</v>
      </c>
      <c r="W47" s="38">
        <v>38.29</v>
      </c>
      <c r="X47" s="38">
        <v>44.34</v>
      </c>
      <c r="Y47" s="38">
        <v>42.7</v>
      </c>
      <c r="Z47" s="38">
        <v>46.38</v>
      </c>
      <c r="AA47" s="38">
        <v>45.75</v>
      </c>
      <c r="AB47" s="38">
        <v>40.65</v>
      </c>
      <c r="AC47" s="38">
        <v>38.29</v>
      </c>
      <c r="AD47" s="38">
        <v>36.369999999999997</v>
      </c>
      <c r="AE47" s="38">
        <v>35.44</v>
      </c>
      <c r="AF47" s="38">
        <v>36.08</v>
      </c>
      <c r="AG47" s="38">
        <v>36.56</v>
      </c>
      <c r="AH47" s="38">
        <v>38.17</v>
      </c>
      <c r="AI47" s="38">
        <v>45.21</v>
      </c>
      <c r="AJ47" s="38">
        <v>48</v>
      </c>
      <c r="AK47" s="38">
        <v>50.8</v>
      </c>
      <c r="AL47" s="38">
        <v>49.03</v>
      </c>
      <c r="AM47" s="38">
        <v>39.86</v>
      </c>
      <c r="AN47" s="38">
        <v>43.06</v>
      </c>
      <c r="AO47" s="38">
        <v>42.06</v>
      </c>
      <c r="AP47" s="38">
        <v>46.8</v>
      </c>
      <c r="AQ47" s="38">
        <v>51.13</v>
      </c>
      <c r="AR47" s="38">
        <v>54.81</v>
      </c>
      <c r="AS47" s="38">
        <v>49.03</v>
      </c>
      <c r="AT47" s="38">
        <v>49.64</v>
      </c>
      <c r="AU47" s="38">
        <v>51.62</v>
      </c>
      <c r="AV47" s="38">
        <v>42.58</v>
      </c>
      <c r="AW47" s="38">
        <v>43.35</v>
      </c>
      <c r="AX47" s="54">
        <v>45.99</v>
      </c>
      <c r="AY47" s="38">
        <v>43.62</v>
      </c>
      <c r="AZ47" s="38">
        <v>40.19</v>
      </c>
      <c r="BA47" s="38">
        <v>46.59</v>
      </c>
      <c r="BB47" s="38">
        <v>48.65</v>
      </c>
      <c r="BC47" s="38">
        <v>43.41</v>
      </c>
      <c r="BD47" s="38">
        <v>52.64</v>
      </c>
      <c r="BE47" s="38">
        <v>46.1</v>
      </c>
      <c r="BF47" s="38">
        <v>47.88</v>
      </c>
      <c r="BG47" s="54"/>
      <c r="BH47" s="38"/>
      <c r="BI47" s="38"/>
      <c r="BJ47" s="38">
        <v>48.27</v>
      </c>
      <c r="BK47" s="38">
        <v>54.38</v>
      </c>
    </row>
    <row r="48" spans="1:63" s="15" customFormat="1" x14ac:dyDescent="0.25">
      <c r="A48" s="13">
        <v>42</v>
      </c>
      <c r="B48" s="14" t="s">
        <v>54</v>
      </c>
      <c r="C48" s="40"/>
      <c r="D48" s="40"/>
      <c r="E48" s="40"/>
      <c r="F48" s="40">
        <f t="shared" ref="F48:BK48" si="8">F47-F46</f>
        <v>1.8900000000000006</v>
      </c>
      <c r="G48" s="40">
        <f t="shared" si="8"/>
        <v>27.940000000000005</v>
      </c>
      <c r="H48" s="40">
        <f t="shared" si="8"/>
        <v>11.36</v>
      </c>
      <c r="I48" s="40">
        <f t="shared" si="8"/>
        <v>6.0900000000000034</v>
      </c>
      <c r="J48" s="40">
        <f t="shared" si="8"/>
        <v>20.010000000000005</v>
      </c>
      <c r="K48" s="40">
        <f t="shared" si="8"/>
        <v>23.580000000000005</v>
      </c>
      <c r="L48" s="40">
        <f t="shared" si="8"/>
        <v>18.760000000000005</v>
      </c>
      <c r="M48" s="40">
        <f t="shared" si="8"/>
        <v>24.04</v>
      </c>
      <c r="N48" s="40">
        <f t="shared" si="8"/>
        <v>34.07</v>
      </c>
      <c r="O48" s="40">
        <f t="shared" si="8"/>
        <v>24.049999999999997</v>
      </c>
      <c r="P48" s="40">
        <f t="shared" si="8"/>
        <v>17.870000000000005</v>
      </c>
      <c r="Q48" s="40">
        <f t="shared" si="8"/>
        <v>16.690000000000005</v>
      </c>
      <c r="R48" s="40">
        <f t="shared" si="8"/>
        <v>24.85</v>
      </c>
      <c r="S48" s="40">
        <f t="shared" si="8"/>
        <v>17.670000000000002</v>
      </c>
      <c r="T48" s="40">
        <f t="shared" si="8"/>
        <v>10.11</v>
      </c>
      <c r="U48" s="40">
        <f t="shared" si="8"/>
        <v>19.329999999999998</v>
      </c>
      <c r="V48" s="40">
        <f t="shared" si="8"/>
        <v>-0.22999999999999687</v>
      </c>
      <c r="W48" s="40">
        <f t="shared" si="8"/>
        <v>5.6700000000000017</v>
      </c>
      <c r="X48" s="40">
        <f t="shared" si="8"/>
        <v>11.720000000000006</v>
      </c>
      <c r="Y48" s="40">
        <f t="shared" si="8"/>
        <v>10.080000000000005</v>
      </c>
      <c r="Z48" s="40">
        <f t="shared" si="8"/>
        <v>13.760000000000005</v>
      </c>
      <c r="AA48" s="40">
        <f t="shared" si="8"/>
        <v>13.130000000000003</v>
      </c>
      <c r="AB48" s="40">
        <f t="shared" si="8"/>
        <v>8.0300000000000011</v>
      </c>
      <c r="AC48" s="40">
        <f t="shared" si="8"/>
        <v>5.6700000000000017</v>
      </c>
      <c r="AD48" s="40">
        <f t="shared" si="8"/>
        <v>3.75</v>
      </c>
      <c r="AE48" s="40">
        <f t="shared" si="8"/>
        <v>2.8200000000000003</v>
      </c>
      <c r="AF48" s="40">
        <f t="shared" si="8"/>
        <v>3.4600000000000009</v>
      </c>
      <c r="AG48" s="40">
        <f t="shared" si="8"/>
        <v>3.9400000000000048</v>
      </c>
      <c r="AH48" s="40">
        <f t="shared" si="8"/>
        <v>5.5500000000000043</v>
      </c>
      <c r="AI48" s="40">
        <f t="shared" si="8"/>
        <v>12.590000000000003</v>
      </c>
      <c r="AJ48" s="40">
        <f t="shared" si="8"/>
        <v>15.380000000000003</v>
      </c>
      <c r="AK48" s="40">
        <f t="shared" si="8"/>
        <v>18.18</v>
      </c>
      <c r="AL48" s="40">
        <f t="shared" si="8"/>
        <v>16.410000000000004</v>
      </c>
      <c r="AM48" s="40">
        <f t="shared" si="8"/>
        <v>7.240000000000002</v>
      </c>
      <c r="AN48" s="40">
        <f t="shared" si="8"/>
        <v>10.440000000000005</v>
      </c>
      <c r="AO48" s="40">
        <f t="shared" si="8"/>
        <v>9.4400000000000048</v>
      </c>
      <c r="AP48" s="40">
        <f t="shared" si="8"/>
        <v>14.18</v>
      </c>
      <c r="AQ48" s="40">
        <f t="shared" si="8"/>
        <v>18.510000000000005</v>
      </c>
      <c r="AR48" s="40">
        <f t="shared" si="8"/>
        <v>22.190000000000005</v>
      </c>
      <c r="AS48" s="40">
        <f t="shared" si="8"/>
        <v>16.410000000000004</v>
      </c>
      <c r="AT48" s="40">
        <f t="shared" si="8"/>
        <v>17.020000000000003</v>
      </c>
      <c r="AU48" s="40">
        <f t="shared" si="8"/>
        <v>19</v>
      </c>
      <c r="AV48" s="40">
        <f t="shared" si="8"/>
        <v>9.9600000000000009</v>
      </c>
      <c r="AW48" s="40">
        <f t="shared" si="8"/>
        <v>10.730000000000004</v>
      </c>
      <c r="AX48" s="56">
        <f t="shared" si="8"/>
        <v>13.370000000000005</v>
      </c>
      <c r="AY48" s="40">
        <f t="shared" si="8"/>
        <v>11</v>
      </c>
      <c r="AZ48" s="40">
        <f>AZ47-AZ46</f>
        <v>7.57</v>
      </c>
      <c r="BA48" s="40">
        <f>BA47-BA46</f>
        <v>13.970000000000006</v>
      </c>
      <c r="BB48" s="40">
        <f>BB47-BB46</f>
        <v>16.03</v>
      </c>
      <c r="BC48" s="40">
        <f t="shared" si="8"/>
        <v>10.79</v>
      </c>
      <c r="BD48" s="40">
        <f t="shared" si="8"/>
        <v>20.020000000000003</v>
      </c>
      <c r="BE48" s="40">
        <f t="shared" si="8"/>
        <v>13.480000000000004</v>
      </c>
      <c r="BF48" s="40">
        <f t="shared" si="8"/>
        <v>15.260000000000005</v>
      </c>
      <c r="BG48" s="56">
        <f t="shared" si="8"/>
        <v>-32.619999999999997</v>
      </c>
      <c r="BH48" s="40">
        <f t="shared" si="8"/>
        <v>-32.619999999999997</v>
      </c>
      <c r="BI48" s="40">
        <f t="shared" si="8"/>
        <v>-32.619999999999997</v>
      </c>
      <c r="BJ48" s="40">
        <f>BJ47-BJ46</f>
        <v>15.650000000000006</v>
      </c>
      <c r="BK48" s="40">
        <f t="shared" si="8"/>
        <v>21.760000000000005</v>
      </c>
    </row>
    <row r="49" spans="1:63" s="11" customFormat="1" x14ac:dyDescent="0.25">
      <c r="A49" s="9"/>
      <c r="B49" s="10" t="s">
        <v>55</v>
      </c>
      <c r="C49" s="37"/>
      <c r="D49" s="37"/>
      <c r="E49" s="37"/>
      <c r="F49" s="37">
        <v>9.9700000000000006</v>
      </c>
      <c r="G49" s="37">
        <v>9.9700000000000006</v>
      </c>
      <c r="H49" s="37">
        <v>9.9700000000000006</v>
      </c>
      <c r="I49" s="37">
        <v>9.9700000000000006</v>
      </c>
      <c r="J49" s="37">
        <v>9.9700000000000006</v>
      </c>
      <c r="K49" s="37">
        <v>9.9700000000000006</v>
      </c>
      <c r="L49" s="37">
        <v>9.9700000000000006</v>
      </c>
      <c r="M49" s="37">
        <v>9.9700000000000006</v>
      </c>
      <c r="N49" s="37">
        <v>10.93</v>
      </c>
      <c r="O49" s="37">
        <v>10.93</v>
      </c>
      <c r="P49" s="37">
        <v>9.9700000000000006</v>
      </c>
      <c r="Q49" s="37">
        <v>9.9700000000000006</v>
      </c>
      <c r="R49" s="37">
        <v>9.9700000000000006</v>
      </c>
      <c r="S49" s="37">
        <v>9.9700000000000006</v>
      </c>
      <c r="T49" s="37">
        <v>10.93</v>
      </c>
      <c r="U49" s="37">
        <v>10.93</v>
      </c>
      <c r="V49" s="37">
        <v>9.9700000000000006</v>
      </c>
      <c r="W49" s="37">
        <v>9.9700000000000006</v>
      </c>
      <c r="X49" s="37">
        <v>9.9700000000000006</v>
      </c>
      <c r="Y49" s="37">
        <v>9.9700000000000006</v>
      </c>
      <c r="Z49" s="37">
        <v>9.9700000000000006</v>
      </c>
      <c r="AA49" s="37">
        <v>9.9700000000000006</v>
      </c>
      <c r="AB49" s="37">
        <v>9.9700000000000006</v>
      </c>
      <c r="AC49" s="37">
        <v>9.9700000000000006</v>
      </c>
      <c r="AD49" s="37">
        <v>9.9700000000000006</v>
      </c>
      <c r="AE49" s="37">
        <v>9.9700000000000006</v>
      </c>
      <c r="AF49" s="37">
        <v>9.9700000000000006</v>
      </c>
      <c r="AG49" s="37">
        <v>9.9700000000000006</v>
      </c>
      <c r="AH49" s="37">
        <v>9.9700000000000006</v>
      </c>
      <c r="AI49" s="37">
        <v>9.9700000000000006</v>
      </c>
      <c r="AJ49" s="37">
        <v>9.9700000000000006</v>
      </c>
      <c r="AK49" s="37">
        <v>9.9700000000000006</v>
      </c>
      <c r="AL49" s="37">
        <v>9.9700000000000006</v>
      </c>
      <c r="AM49" s="37">
        <v>9.9700000000000006</v>
      </c>
      <c r="AN49" s="37">
        <v>9.9700000000000006</v>
      </c>
      <c r="AO49" s="37">
        <v>9.9700000000000006</v>
      </c>
      <c r="AP49" s="37">
        <v>9.9700000000000006</v>
      </c>
      <c r="AQ49" s="37">
        <v>9.9700000000000006</v>
      </c>
      <c r="AR49" s="37">
        <v>9.9700000000000006</v>
      </c>
      <c r="AS49" s="37">
        <v>9.9700000000000006</v>
      </c>
      <c r="AT49" s="37">
        <v>9.9700000000000006</v>
      </c>
      <c r="AU49" s="37">
        <v>9.9700000000000006</v>
      </c>
      <c r="AV49" s="37">
        <v>9.9700000000000006</v>
      </c>
      <c r="AW49" s="37">
        <v>9.9700000000000006</v>
      </c>
      <c r="AX49" s="55">
        <v>9.9700000000000006</v>
      </c>
      <c r="AY49" s="37">
        <v>9.9700000000000006</v>
      </c>
      <c r="AZ49" s="37">
        <v>9.9700000000000006</v>
      </c>
      <c r="BA49" s="37">
        <v>9.9700000000000006</v>
      </c>
      <c r="BB49" s="37">
        <v>9.9700000000000006</v>
      </c>
      <c r="BC49" s="37">
        <v>9.9700000000000006</v>
      </c>
      <c r="BD49" s="37">
        <v>9.9700000000000006</v>
      </c>
      <c r="BE49" s="37">
        <v>9.9700000000000006</v>
      </c>
      <c r="BF49" s="37">
        <v>9.9700000000000006</v>
      </c>
      <c r="BG49" s="55">
        <v>9.9700000000000006</v>
      </c>
      <c r="BH49" s="37">
        <v>9.9700000000000006</v>
      </c>
      <c r="BI49" s="37">
        <v>9.9700000000000006</v>
      </c>
      <c r="BJ49" s="37">
        <v>9.9700000000000006</v>
      </c>
      <c r="BK49" s="37">
        <v>9.9700000000000006</v>
      </c>
    </row>
    <row r="50" spans="1:63" s="8" customFormat="1" x14ac:dyDescent="0.25">
      <c r="A50" s="27"/>
      <c r="B50" s="12" t="s">
        <v>56</v>
      </c>
      <c r="C50" s="38"/>
      <c r="D50" s="38"/>
      <c r="E50" s="38"/>
      <c r="F50" s="38">
        <v>12</v>
      </c>
      <c r="G50" s="38">
        <v>21.92</v>
      </c>
      <c r="H50" s="38">
        <v>13.62</v>
      </c>
      <c r="I50" s="38">
        <v>10.32</v>
      </c>
      <c r="J50" s="38">
        <v>21.93</v>
      </c>
      <c r="K50" s="38">
        <v>28.4</v>
      </c>
      <c r="L50" s="38">
        <v>20.18</v>
      </c>
      <c r="M50" s="38">
        <v>0</v>
      </c>
      <c r="N50" s="38">
        <v>20.62</v>
      </c>
      <c r="O50" s="38">
        <v>21.97</v>
      </c>
      <c r="P50" s="38">
        <v>25.11</v>
      </c>
      <c r="Q50" s="38">
        <v>20.97</v>
      </c>
      <c r="R50" s="38">
        <v>10.52</v>
      </c>
      <c r="S50" s="38">
        <v>13.13</v>
      </c>
      <c r="T50" s="38">
        <v>17.23</v>
      </c>
      <c r="U50" s="38">
        <v>26.29</v>
      </c>
      <c r="V50" s="38">
        <v>7.15</v>
      </c>
      <c r="W50" s="38">
        <v>16.579999999999998</v>
      </c>
      <c r="X50" s="38">
        <v>18.809999999999999</v>
      </c>
      <c r="Y50" s="38">
        <v>13.36</v>
      </c>
      <c r="Z50" s="38">
        <v>14.55</v>
      </c>
      <c r="AA50" s="38">
        <v>13.2</v>
      </c>
      <c r="AB50" s="38">
        <v>8.06</v>
      </c>
      <c r="AC50" s="38">
        <v>16.579999999999998</v>
      </c>
      <c r="AD50" s="38">
        <v>10.49</v>
      </c>
      <c r="AE50" s="38">
        <v>14.35</v>
      </c>
      <c r="AF50" s="38">
        <v>16.690000000000001</v>
      </c>
      <c r="AG50" s="38">
        <v>13.63</v>
      </c>
      <c r="AH50" s="38">
        <v>17.87</v>
      </c>
      <c r="AI50" s="38">
        <v>17.350000000000001</v>
      </c>
      <c r="AJ50" s="38">
        <v>14.84</v>
      </c>
      <c r="AK50" s="38">
        <v>18.48</v>
      </c>
      <c r="AL50" s="38">
        <v>12.21</v>
      </c>
      <c r="AM50" s="38">
        <v>17.96</v>
      </c>
      <c r="AN50" s="38">
        <v>16.920000000000002</v>
      </c>
      <c r="AO50" s="38">
        <v>18.55</v>
      </c>
      <c r="AP50" s="38">
        <v>21.66</v>
      </c>
      <c r="AQ50" s="38">
        <v>22.38</v>
      </c>
      <c r="AR50" s="38">
        <v>28.03</v>
      </c>
      <c r="AS50" s="38">
        <v>12.21</v>
      </c>
      <c r="AT50" s="38">
        <v>20.45</v>
      </c>
      <c r="AU50" s="38">
        <v>19.66</v>
      </c>
      <c r="AV50" s="38">
        <v>11.32</v>
      </c>
      <c r="AW50" s="38">
        <v>12.68</v>
      </c>
      <c r="AX50" s="54">
        <v>6.65</v>
      </c>
      <c r="AY50" s="38">
        <v>9.2899999999999991</v>
      </c>
      <c r="AZ50" s="38">
        <v>13.58</v>
      </c>
      <c r="BA50" s="38">
        <v>15.5</v>
      </c>
      <c r="BB50" s="38">
        <v>12.3</v>
      </c>
      <c r="BC50" s="38">
        <v>8.74</v>
      </c>
      <c r="BD50" s="38">
        <v>5.42</v>
      </c>
      <c r="BE50" s="38">
        <v>11.56</v>
      </c>
      <c r="BF50" s="38">
        <v>18.66</v>
      </c>
      <c r="BG50" s="54"/>
      <c r="BH50" s="38"/>
      <c r="BI50" s="38">
        <v>15.79</v>
      </c>
      <c r="BJ50" s="38">
        <v>20.93</v>
      </c>
      <c r="BK50" s="38">
        <v>20.95</v>
      </c>
    </row>
    <row r="51" spans="1:63" s="18" customFormat="1" x14ac:dyDescent="0.25">
      <c r="A51" s="16">
        <v>25</v>
      </c>
      <c r="B51" s="17" t="s">
        <v>54</v>
      </c>
      <c r="C51" s="41"/>
      <c r="D51" s="41"/>
      <c r="E51" s="41"/>
      <c r="F51" s="41">
        <f t="shared" ref="F51:BK51" si="9">F50-F49</f>
        <v>2.0299999999999994</v>
      </c>
      <c r="G51" s="41">
        <f t="shared" si="9"/>
        <v>11.950000000000001</v>
      </c>
      <c r="H51" s="41">
        <f t="shared" si="9"/>
        <v>3.6499999999999986</v>
      </c>
      <c r="I51" s="41">
        <f t="shared" si="9"/>
        <v>0.34999999999999964</v>
      </c>
      <c r="J51" s="41">
        <f t="shared" si="9"/>
        <v>11.959999999999999</v>
      </c>
      <c r="K51" s="41">
        <f t="shared" si="9"/>
        <v>18.43</v>
      </c>
      <c r="L51" s="41">
        <f t="shared" si="9"/>
        <v>10.209999999999999</v>
      </c>
      <c r="M51" s="41">
        <f t="shared" si="9"/>
        <v>-9.9700000000000006</v>
      </c>
      <c r="N51" s="41">
        <f t="shared" si="9"/>
        <v>9.6900000000000013</v>
      </c>
      <c r="O51" s="41">
        <f t="shared" si="9"/>
        <v>11.04</v>
      </c>
      <c r="P51" s="41">
        <f t="shared" si="9"/>
        <v>15.139999999999999</v>
      </c>
      <c r="Q51" s="41">
        <f t="shared" si="9"/>
        <v>10.999999999999998</v>
      </c>
      <c r="R51" s="41">
        <f t="shared" si="9"/>
        <v>0.54999999999999893</v>
      </c>
      <c r="S51" s="41">
        <f t="shared" si="9"/>
        <v>3.16</v>
      </c>
      <c r="T51" s="41">
        <f t="shared" si="9"/>
        <v>6.3000000000000007</v>
      </c>
      <c r="U51" s="41">
        <f t="shared" si="9"/>
        <v>15.36</v>
      </c>
      <c r="V51" s="41">
        <f t="shared" si="9"/>
        <v>-2.8200000000000003</v>
      </c>
      <c r="W51" s="41">
        <f t="shared" si="9"/>
        <v>6.6099999999999977</v>
      </c>
      <c r="X51" s="41">
        <f t="shared" si="9"/>
        <v>8.8399999999999981</v>
      </c>
      <c r="Y51" s="41">
        <f t="shared" si="9"/>
        <v>3.3899999999999988</v>
      </c>
      <c r="Z51" s="41">
        <f t="shared" si="9"/>
        <v>4.58</v>
      </c>
      <c r="AA51" s="41">
        <f t="shared" si="9"/>
        <v>3.2299999999999986</v>
      </c>
      <c r="AB51" s="41">
        <f t="shared" si="9"/>
        <v>-1.9100000000000001</v>
      </c>
      <c r="AC51" s="41">
        <f t="shared" si="9"/>
        <v>6.6099999999999977</v>
      </c>
      <c r="AD51" s="41">
        <f t="shared" si="9"/>
        <v>0.51999999999999957</v>
      </c>
      <c r="AE51" s="41">
        <f t="shared" si="9"/>
        <v>4.379999999999999</v>
      </c>
      <c r="AF51" s="41">
        <f t="shared" si="9"/>
        <v>6.7200000000000006</v>
      </c>
      <c r="AG51" s="41">
        <f t="shared" si="9"/>
        <v>3.66</v>
      </c>
      <c r="AH51" s="41">
        <f t="shared" si="9"/>
        <v>7.9</v>
      </c>
      <c r="AI51" s="41">
        <f t="shared" si="9"/>
        <v>7.3800000000000008</v>
      </c>
      <c r="AJ51" s="41">
        <f t="shared" si="9"/>
        <v>4.8699999999999992</v>
      </c>
      <c r="AK51" s="41">
        <f t="shared" si="9"/>
        <v>8.51</v>
      </c>
      <c r="AL51" s="41">
        <f t="shared" si="9"/>
        <v>2.2400000000000002</v>
      </c>
      <c r="AM51" s="41">
        <f t="shared" si="9"/>
        <v>7.99</v>
      </c>
      <c r="AN51" s="41">
        <f t="shared" si="9"/>
        <v>6.9500000000000011</v>
      </c>
      <c r="AO51" s="41">
        <f t="shared" si="9"/>
        <v>8.58</v>
      </c>
      <c r="AP51" s="41">
        <f t="shared" si="9"/>
        <v>11.69</v>
      </c>
      <c r="AQ51" s="41">
        <f t="shared" si="9"/>
        <v>12.409999999999998</v>
      </c>
      <c r="AR51" s="41">
        <f t="shared" si="9"/>
        <v>18.060000000000002</v>
      </c>
      <c r="AS51" s="41">
        <f t="shared" si="9"/>
        <v>2.2400000000000002</v>
      </c>
      <c r="AT51" s="41">
        <f t="shared" si="9"/>
        <v>10.479999999999999</v>
      </c>
      <c r="AU51" s="41">
        <f t="shared" si="9"/>
        <v>9.69</v>
      </c>
      <c r="AV51" s="41">
        <f t="shared" si="9"/>
        <v>1.3499999999999996</v>
      </c>
      <c r="AW51" s="41">
        <f t="shared" si="9"/>
        <v>2.7099999999999991</v>
      </c>
      <c r="AX51" s="57">
        <f t="shared" si="9"/>
        <v>-3.3200000000000003</v>
      </c>
      <c r="AY51" s="41">
        <f t="shared" si="9"/>
        <v>-0.68000000000000149</v>
      </c>
      <c r="AZ51" s="41">
        <f>AZ50-AZ49</f>
        <v>3.6099999999999994</v>
      </c>
      <c r="BA51" s="41">
        <f>BA50-BA49</f>
        <v>5.5299999999999994</v>
      </c>
      <c r="BB51" s="41">
        <f>BB50-BB49</f>
        <v>2.33</v>
      </c>
      <c r="BC51" s="41">
        <f t="shared" si="9"/>
        <v>-1.2300000000000004</v>
      </c>
      <c r="BD51" s="41">
        <f t="shared" si="9"/>
        <v>-4.5500000000000007</v>
      </c>
      <c r="BE51" s="41">
        <f t="shared" si="9"/>
        <v>1.5899999999999999</v>
      </c>
      <c r="BF51" s="41">
        <f t="shared" si="9"/>
        <v>8.69</v>
      </c>
      <c r="BG51" s="57">
        <f t="shared" si="9"/>
        <v>-9.9700000000000006</v>
      </c>
      <c r="BH51" s="41">
        <f t="shared" si="9"/>
        <v>-9.9700000000000006</v>
      </c>
      <c r="BI51" s="41">
        <f t="shared" si="9"/>
        <v>5.8199999999999985</v>
      </c>
      <c r="BJ51" s="41">
        <f>BJ50-BJ49</f>
        <v>10.959999999999999</v>
      </c>
      <c r="BK51" s="41">
        <f t="shared" si="9"/>
        <v>10.979999999999999</v>
      </c>
    </row>
    <row r="52" spans="1:63" s="21" customFormat="1" x14ac:dyDescent="0.25">
      <c r="A52" s="19"/>
      <c r="B52" s="20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57"/>
      <c r="AY52" s="42"/>
      <c r="AZ52" s="42"/>
      <c r="BA52" s="42"/>
      <c r="BB52" s="42"/>
      <c r="BC52" s="42"/>
      <c r="BD52" s="42"/>
      <c r="BE52" s="42"/>
      <c r="BF52" s="42"/>
      <c r="BG52" s="57"/>
      <c r="BH52" s="42"/>
      <c r="BI52" s="42"/>
      <c r="BJ52" s="42"/>
      <c r="BK52" s="42"/>
    </row>
    <row r="53" spans="1:63" s="30" customFormat="1" x14ac:dyDescent="0.25">
      <c r="A53" s="28">
        <v>196</v>
      </c>
      <c r="B53" s="29" t="s">
        <v>57</v>
      </c>
      <c r="C53" s="43"/>
      <c r="D53" s="43"/>
      <c r="E53" s="43"/>
      <c r="F53" s="43">
        <v>440.8</v>
      </c>
      <c r="G53" s="43">
        <v>347.2</v>
      </c>
      <c r="H53" s="43">
        <v>296.3</v>
      </c>
      <c r="I53" s="43">
        <v>290.8</v>
      </c>
      <c r="J53" s="43">
        <v>613.20000000000005</v>
      </c>
      <c r="K53" s="43">
        <v>612</v>
      </c>
      <c r="L53" s="43">
        <v>630</v>
      </c>
      <c r="M53" s="43">
        <v>429.8</v>
      </c>
      <c r="N53" s="43">
        <v>349.2</v>
      </c>
      <c r="O53" s="43">
        <v>360.4</v>
      </c>
      <c r="P53" s="43">
        <v>506.6</v>
      </c>
      <c r="Q53" s="43">
        <v>519.20000000000005</v>
      </c>
      <c r="R53" s="43">
        <v>530.4</v>
      </c>
      <c r="S53" s="43">
        <v>545.6</v>
      </c>
      <c r="T53" s="43">
        <v>538.29999999999995</v>
      </c>
      <c r="U53" s="43">
        <v>572.6</v>
      </c>
      <c r="V53" s="43">
        <v>440.2</v>
      </c>
      <c r="W53" s="43">
        <v>467.3</v>
      </c>
      <c r="X53" s="43">
        <v>436.5</v>
      </c>
      <c r="Y53" s="43">
        <v>432</v>
      </c>
      <c r="Z53" s="43">
        <v>439.1</v>
      </c>
      <c r="AA53" s="43">
        <v>431.1</v>
      </c>
      <c r="AB53" s="43">
        <v>418.8</v>
      </c>
      <c r="AC53" s="43">
        <v>467.3</v>
      </c>
      <c r="AD53" s="43">
        <v>401.1</v>
      </c>
      <c r="AE53" s="43">
        <v>410.4</v>
      </c>
      <c r="AF53" s="43">
        <v>391.3</v>
      </c>
      <c r="AG53" s="43">
        <v>425</v>
      </c>
      <c r="AH53" s="43">
        <v>394.4</v>
      </c>
      <c r="AI53" s="43">
        <v>392.2</v>
      </c>
      <c r="AJ53" s="43">
        <v>405.8</v>
      </c>
      <c r="AK53" s="43">
        <v>396.5</v>
      </c>
      <c r="AL53" s="43">
        <v>390.7</v>
      </c>
      <c r="AM53" s="43">
        <v>410</v>
      </c>
      <c r="AN53" s="43">
        <v>361</v>
      </c>
      <c r="AO53" s="43">
        <v>360</v>
      </c>
      <c r="AP53" s="43">
        <v>393.3</v>
      </c>
      <c r="AQ53" s="43">
        <v>350</v>
      </c>
      <c r="AR53" s="43">
        <v>369</v>
      </c>
      <c r="AS53" s="43">
        <v>390.7</v>
      </c>
      <c r="AT53" s="43">
        <v>364</v>
      </c>
      <c r="AU53" s="43">
        <v>361</v>
      </c>
      <c r="AV53" s="43">
        <v>300.10000000000002</v>
      </c>
      <c r="AW53" s="43">
        <v>296.7</v>
      </c>
      <c r="AX53" s="58">
        <v>308</v>
      </c>
      <c r="AY53" s="43">
        <v>311.8</v>
      </c>
      <c r="AZ53" s="43">
        <v>288.60000000000002</v>
      </c>
      <c r="BA53" s="43">
        <v>294</v>
      </c>
      <c r="BB53" s="43">
        <v>296.2</v>
      </c>
      <c r="BC53" s="43">
        <v>237.4</v>
      </c>
      <c r="BD53" s="43">
        <v>237.7</v>
      </c>
      <c r="BE53" s="43">
        <v>261.3</v>
      </c>
      <c r="BF53" s="43">
        <v>562.1</v>
      </c>
      <c r="BG53" s="58"/>
      <c r="BH53" s="43">
        <v>22.1</v>
      </c>
      <c r="BI53" s="43">
        <v>539.1</v>
      </c>
      <c r="BJ53" s="43">
        <v>401.1</v>
      </c>
      <c r="BK53" s="43">
        <v>509.9</v>
      </c>
    </row>
    <row r="54" spans="1:63" s="4" customFormat="1" x14ac:dyDescent="0.25">
      <c r="A54" s="3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59"/>
      <c r="AY54" s="44"/>
      <c r="AZ54" s="44"/>
      <c r="BA54" s="44"/>
      <c r="BB54" s="44"/>
      <c r="BC54" s="44"/>
      <c r="BD54" s="44"/>
      <c r="BE54" s="44"/>
      <c r="BF54" s="44"/>
      <c r="BG54" s="59"/>
      <c r="BH54" s="44"/>
      <c r="BI54" s="44"/>
      <c r="BJ54" s="44"/>
      <c r="BK54" s="44"/>
    </row>
    <row r="55" spans="1:63" s="4" customFormat="1" x14ac:dyDescent="0.25">
      <c r="A55" s="3"/>
      <c r="B55" s="26" t="s">
        <v>61</v>
      </c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59"/>
      <c r="AY55" s="44"/>
      <c r="AZ55" s="44"/>
      <c r="BA55" s="44"/>
      <c r="BB55" s="44"/>
      <c r="BC55" s="44"/>
      <c r="BD55" s="44"/>
      <c r="BE55" s="44"/>
      <c r="BF55" s="44"/>
      <c r="BG55" s="59"/>
      <c r="BH55" s="44"/>
      <c r="BI55" s="44"/>
      <c r="BJ55" s="44"/>
      <c r="BK55" s="44"/>
    </row>
    <row r="56" spans="1:63" s="11" customFormat="1" x14ac:dyDescent="0.25">
      <c r="A56" s="9"/>
      <c r="B56" s="10" t="s">
        <v>52</v>
      </c>
      <c r="C56" s="37"/>
      <c r="D56" s="37"/>
      <c r="E56" s="37"/>
      <c r="F56" s="37">
        <v>34.82</v>
      </c>
      <c r="G56" s="37">
        <v>34.82</v>
      </c>
      <c r="H56" s="37">
        <v>34.82</v>
      </c>
      <c r="I56" s="37">
        <v>34.82</v>
      </c>
      <c r="J56" s="37">
        <v>34.82</v>
      </c>
      <c r="K56" s="37">
        <v>34.82</v>
      </c>
      <c r="L56" s="37">
        <v>34.82</v>
      </c>
      <c r="M56" s="37">
        <v>34.82</v>
      </c>
      <c r="N56" s="37">
        <v>35.11</v>
      </c>
      <c r="O56" s="37">
        <v>35.11</v>
      </c>
      <c r="P56" s="37">
        <v>34.82</v>
      </c>
      <c r="Q56" s="37">
        <v>34.82</v>
      </c>
      <c r="R56" s="37">
        <v>34.82</v>
      </c>
      <c r="S56" s="37">
        <v>34.82</v>
      </c>
      <c r="T56" s="37">
        <v>35.11</v>
      </c>
      <c r="U56" s="37">
        <v>35.11</v>
      </c>
      <c r="V56" s="37">
        <v>34.82</v>
      </c>
      <c r="W56" s="37">
        <v>34.82</v>
      </c>
      <c r="X56" s="37">
        <v>34.82</v>
      </c>
      <c r="Y56" s="37">
        <v>34.82</v>
      </c>
      <c r="Z56" s="37">
        <v>34.82</v>
      </c>
      <c r="AA56" s="37">
        <v>34.82</v>
      </c>
      <c r="AB56" s="37">
        <v>34.82</v>
      </c>
      <c r="AC56" s="37">
        <v>34.82</v>
      </c>
      <c r="AD56" s="37">
        <v>34.82</v>
      </c>
      <c r="AE56" s="37">
        <v>34.82</v>
      </c>
      <c r="AF56" s="37">
        <v>34.82</v>
      </c>
      <c r="AG56" s="37">
        <v>34.82</v>
      </c>
      <c r="AH56" s="37">
        <v>34.82</v>
      </c>
      <c r="AI56" s="37">
        <v>34.82</v>
      </c>
      <c r="AJ56" s="37">
        <v>34.82</v>
      </c>
      <c r="AK56" s="37">
        <v>34.82</v>
      </c>
      <c r="AL56" s="37">
        <v>34.82</v>
      </c>
      <c r="AM56" s="37">
        <v>34.82</v>
      </c>
      <c r="AN56" s="37">
        <v>34.82</v>
      </c>
      <c r="AO56" s="37">
        <v>34.82</v>
      </c>
      <c r="AP56" s="37">
        <v>34.82</v>
      </c>
      <c r="AQ56" s="37">
        <v>34.82</v>
      </c>
      <c r="AR56" s="37">
        <v>34.82</v>
      </c>
      <c r="AS56" s="37">
        <v>34.82</v>
      </c>
      <c r="AT56" s="37">
        <v>34.82</v>
      </c>
      <c r="AU56" s="37">
        <v>34.82</v>
      </c>
      <c r="AV56" s="37">
        <v>34.82</v>
      </c>
      <c r="AW56" s="37">
        <v>34.82</v>
      </c>
      <c r="AX56" s="55">
        <v>34.82</v>
      </c>
      <c r="AY56" s="37">
        <v>34.82</v>
      </c>
      <c r="AZ56" s="37">
        <v>34.82</v>
      </c>
      <c r="BA56" s="37">
        <v>34.82</v>
      </c>
      <c r="BB56" s="37">
        <v>34.82</v>
      </c>
      <c r="BC56" s="37">
        <v>34.82</v>
      </c>
      <c r="BD56" s="37">
        <v>34.82</v>
      </c>
      <c r="BE56" s="37">
        <v>34.82</v>
      </c>
      <c r="BF56" s="37">
        <v>34.82</v>
      </c>
      <c r="BG56" s="55">
        <v>34.82</v>
      </c>
      <c r="BH56" s="37">
        <v>34.82</v>
      </c>
      <c r="BI56" s="37">
        <v>34.82</v>
      </c>
      <c r="BJ56" s="37">
        <v>34.82</v>
      </c>
      <c r="BK56" s="37">
        <v>34.82</v>
      </c>
    </row>
    <row r="57" spans="1:63" s="8" customFormat="1" x14ac:dyDescent="0.25">
      <c r="A57" s="2"/>
      <c r="B57" s="12" t="s">
        <v>53</v>
      </c>
      <c r="C57" s="38"/>
      <c r="D57" s="38"/>
      <c r="E57" s="38"/>
      <c r="F57" s="38">
        <v>34.75</v>
      </c>
      <c r="G57" s="38">
        <v>34.07</v>
      </c>
      <c r="H57" s="38">
        <v>44.21</v>
      </c>
      <c r="I57" s="38">
        <v>39.29</v>
      </c>
      <c r="J57" s="38">
        <v>52.95</v>
      </c>
      <c r="K57" s="38">
        <v>57.73</v>
      </c>
      <c r="L57" s="38">
        <v>57.05</v>
      </c>
      <c r="M57" s="38">
        <v>41.3</v>
      </c>
      <c r="N57" s="38">
        <v>65.62</v>
      </c>
      <c r="O57" s="38">
        <v>59.8</v>
      </c>
      <c r="P57" s="38">
        <v>55</v>
      </c>
      <c r="Q57" s="38">
        <v>52.4</v>
      </c>
      <c r="R57" s="38">
        <v>58.17</v>
      </c>
      <c r="S57" s="38">
        <v>52.26</v>
      </c>
      <c r="T57" s="38">
        <v>47.5</v>
      </c>
      <c r="U57" s="38">
        <v>56.07</v>
      </c>
      <c r="V57" s="38">
        <v>33.24</v>
      </c>
      <c r="W57" s="38">
        <v>36.590000000000003</v>
      </c>
      <c r="X57" s="38">
        <v>41.05</v>
      </c>
      <c r="Y57" s="38">
        <v>35.799999999999997</v>
      </c>
      <c r="Z57" s="38">
        <v>40.97</v>
      </c>
      <c r="AA57" s="38">
        <v>54.55</v>
      </c>
      <c r="AB57" s="38">
        <v>45.84</v>
      </c>
      <c r="AC57" s="38">
        <v>36.590000000000003</v>
      </c>
      <c r="AD57" s="38">
        <v>37.44</v>
      </c>
      <c r="AE57" s="38">
        <v>36.43</v>
      </c>
      <c r="AF57" s="38">
        <v>38.06</v>
      </c>
      <c r="AG57" s="38">
        <v>36.83</v>
      </c>
      <c r="AH57" s="38">
        <v>39.130000000000003</v>
      </c>
      <c r="AI57" s="38">
        <v>46.98</v>
      </c>
      <c r="AJ57" s="38">
        <v>48.13</v>
      </c>
      <c r="AK57" s="38">
        <v>50.14</v>
      </c>
      <c r="AL57" s="38">
        <v>49.61</v>
      </c>
      <c r="AM57" s="38">
        <v>39.950000000000003</v>
      </c>
      <c r="AN57" s="38">
        <v>44.12</v>
      </c>
      <c r="AO57" s="38">
        <v>46.57</v>
      </c>
      <c r="AP57" s="38">
        <v>46.71</v>
      </c>
      <c r="AQ57" s="38">
        <v>51.56</v>
      </c>
      <c r="AR57" s="38">
        <v>55.45</v>
      </c>
      <c r="AS57" s="38">
        <v>49.61</v>
      </c>
      <c r="AT57" s="38">
        <v>47.95</v>
      </c>
      <c r="AU57" s="38">
        <v>51.49</v>
      </c>
      <c r="AV57" s="38">
        <v>42.7</v>
      </c>
      <c r="AW57" s="38">
        <v>44.66</v>
      </c>
      <c r="AX57" s="54">
        <v>46.88</v>
      </c>
      <c r="AY57" s="38">
        <v>44.14</v>
      </c>
      <c r="AZ57" s="38">
        <v>41.41</v>
      </c>
      <c r="BA57" s="38">
        <v>46.35</v>
      </c>
      <c r="BB57" s="38">
        <v>48.26</v>
      </c>
      <c r="BC57" s="38">
        <v>45.15</v>
      </c>
      <c r="BD57" s="38">
        <v>50.99</v>
      </c>
      <c r="BE57" s="38">
        <v>49.55</v>
      </c>
      <c r="BF57" s="38">
        <v>47.98</v>
      </c>
      <c r="BG57" s="54"/>
      <c r="BH57" s="38"/>
      <c r="BI57" s="38">
        <v>39.840000000000003</v>
      </c>
      <c r="BJ57" s="38">
        <v>49.11</v>
      </c>
      <c r="BK57" s="38">
        <v>49.6</v>
      </c>
    </row>
    <row r="58" spans="1:63" s="15" customFormat="1" x14ac:dyDescent="0.25">
      <c r="A58" s="13">
        <v>42</v>
      </c>
      <c r="B58" s="14" t="s">
        <v>54</v>
      </c>
      <c r="C58" s="40"/>
      <c r="D58" s="40"/>
      <c r="E58" s="40"/>
      <c r="F58" s="40">
        <f t="shared" ref="F58:BK58" si="10">F57-F56</f>
        <v>-7.0000000000000284E-2</v>
      </c>
      <c r="G58" s="40">
        <f t="shared" si="10"/>
        <v>-0.75</v>
      </c>
      <c r="H58" s="40">
        <f t="shared" si="10"/>
        <v>9.39</v>
      </c>
      <c r="I58" s="40">
        <f t="shared" si="10"/>
        <v>4.4699999999999989</v>
      </c>
      <c r="J58" s="40">
        <f t="shared" si="10"/>
        <v>18.130000000000003</v>
      </c>
      <c r="K58" s="40">
        <f t="shared" si="10"/>
        <v>22.909999999999997</v>
      </c>
      <c r="L58" s="40">
        <f t="shared" si="10"/>
        <v>22.229999999999997</v>
      </c>
      <c r="M58" s="40">
        <f t="shared" si="10"/>
        <v>6.4799999999999969</v>
      </c>
      <c r="N58" s="40">
        <f t="shared" si="10"/>
        <v>30.510000000000005</v>
      </c>
      <c r="O58" s="40">
        <f t="shared" si="10"/>
        <v>24.689999999999998</v>
      </c>
      <c r="P58" s="40">
        <f t="shared" si="10"/>
        <v>20.18</v>
      </c>
      <c r="Q58" s="40">
        <f t="shared" si="10"/>
        <v>17.579999999999998</v>
      </c>
      <c r="R58" s="40">
        <f t="shared" si="10"/>
        <v>23.35</v>
      </c>
      <c r="S58" s="40">
        <f t="shared" si="10"/>
        <v>17.439999999999998</v>
      </c>
      <c r="T58" s="40">
        <f t="shared" si="10"/>
        <v>12.39</v>
      </c>
      <c r="U58" s="40">
        <f t="shared" si="10"/>
        <v>20.96</v>
      </c>
      <c r="V58" s="40">
        <f t="shared" si="10"/>
        <v>-1.5799999999999983</v>
      </c>
      <c r="W58" s="40">
        <f t="shared" si="10"/>
        <v>1.7700000000000031</v>
      </c>
      <c r="X58" s="40">
        <f t="shared" si="10"/>
        <v>6.2299999999999969</v>
      </c>
      <c r="Y58" s="40">
        <f t="shared" si="10"/>
        <v>0.97999999999999687</v>
      </c>
      <c r="Z58" s="40">
        <f t="shared" si="10"/>
        <v>6.1499999999999986</v>
      </c>
      <c r="AA58" s="40">
        <f t="shared" si="10"/>
        <v>19.729999999999997</v>
      </c>
      <c r="AB58" s="40">
        <f t="shared" si="10"/>
        <v>11.020000000000003</v>
      </c>
      <c r="AC58" s="40">
        <f t="shared" si="10"/>
        <v>1.7700000000000031</v>
      </c>
      <c r="AD58" s="40">
        <f t="shared" si="10"/>
        <v>2.6199999999999974</v>
      </c>
      <c r="AE58" s="40">
        <f t="shared" si="10"/>
        <v>1.6099999999999994</v>
      </c>
      <c r="AF58" s="40">
        <f t="shared" si="10"/>
        <v>3.240000000000002</v>
      </c>
      <c r="AG58" s="40">
        <f t="shared" si="10"/>
        <v>2.009999999999998</v>
      </c>
      <c r="AH58" s="40">
        <f t="shared" si="10"/>
        <v>4.3100000000000023</v>
      </c>
      <c r="AI58" s="40">
        <f t="shared" si="10"/>
        <v>12.159999999999997</v>
      </c>
      <c r="AJ58" s="40">
        <f t="shared" si="10"/>
        <v>13.310000000000002</v>
      </c>
      <c r="AK58" s="40">
        <f t="shared" si="10"/>
        <v>15.32</v>
      </c>
      <c r="AL58" s="40">
        <f t="shared" si="10"/>
        <v>14.79</v>
      </c>
      <c r="AM58" s="40">
        <f t="shared" si="10"/>
        <v>5.1300000000000026</v>
      </c>
      <c r="AN58" s="40">
        <f t="shared" si="10"/>
        <v>9.2999999999999972</v>
      </c>
      <c r="AO58" s="40">
        <f t="shared" si="10"/>
        <v>11.75</v>
      </c>
      <c r="AP58" s="40">
        <f t="shared" si="10"/>
        <v>11.89</v>
      </c>
      <c r="AQ58" s="40">
        <f t="shared" si="10"/>
        <v>16.740000000000002</v>
      </c>
      <c r="AR58" s="40">
        <f t="shared" si="10"/>
        <v>20.630000000000003</v>
      </c>
      <c r="AS58" s="40">
        <f t="shared" si="10"/>
        <v>14.79</v>
      </c>
      <c r="AT58" s="40">
        <f t="shared" si="10"/>
        <v>13.130000000000003</v>
      </c>
      <c r="AU58" s="40">
        <f t="shared" si="10"/>
        <v>16.670000000000002</v>
      </c>
      <c r="AV58" s="40">
        <f t="shared" si="10"/>
        <v>7.8800000000000026</v>
      </c>
      <c r="AW58" s="40">
        <f t="shared" si="10"/>
        <v>9.8399999999999963</v>
      </c>
      <c r="AX58" s="56">
        <f t="shared" si="10"/>
        <v>12.060000000000002</v>
      </c>
      <c r="AY58" s="40">
        <f t="shared" si="10"/>
        <v>9.32</v>
      </c>
      <c r="AZ58" s="40">
        <f>AZ57-AZ56</f>
        <v>6.5899999999999963</v>
      </c>
      <c r="BA58" s="40">
        <f>BA57-BA56</f>
        <v>11.530000000000001</v>
      </c>
      <c r="BB58" s="40">
        <f>BB57-BB56</f>
        <v>13.439999999999998</v>
      </c>
      <c r="BC58" s="40">
        <f t="shared" si="10"/>
        <v>10.329999999999998</v>
      </c>
      <c r="BD58" s="40">
        <f t="shared" si="10"/>
        <v>16.170000000000002</v>
      </c>
      <c r="BE58" s="40">
        <f t="shared" si="10"/>
        <v>14.729999999999997</v>
      </c>
      <c r="BF58" s="40">
        <f t="shared" si="10"/>
        <v>13.159999999999997</v>
      </c>
      <c r="BG58" s="56">
        <f t="shared" si="10"/>
        <v>-34.82</v>
      </c>
      <c r="BH58" s="40">
        <f t="shared" si="10"/>
        <v>-34.82</v>
      </c>
      <c r="BI58" s="40">
        <f t="shared" si="10"/>
        <v>5.0200000000000031</v>
      </c>
      <c r="BJ58" s="40">
        <f t="shared" si="10"/>
        <v>14.29</v>
      </c>
      <c r="BK58" s="40">
        <f t="shared" si="10"/>
        <v>14.780000000000001</v>
      </c>
    </row>
    <row r="59" spans="1:63" s="11" customFormat="1" x14ac:dyDescent="0.25">
      <c r="A59" s="9"/>
      <c r="B59" s="10" t="s">
        <v>55</v>
      </c>
      <c r="C59" s="37"/>
      <c r="D59" s="37"/>
      <c r="E59" s="37"/>
      <c r="F59" s="37">
        <v>10.77</v>
      </c>
      <c r="G59" s="37">
        <v>10.77</v>
      </c>
      <c r="H59" s="37">
        <v>10.77</v>
      </c>
      <c r="I59" s="37">
        <v>10.77</v>
      </c>
      <c r="J59" s="37">
        <v>10.77</v>
      </c>
      <c r="K59" s="37">
        <v>10.77</v>
      </c>
      <c r="L59" s="37">
        <v>10.77</v>
      </c>
      <c r="M59" s="37">
        <v>10.77</v>
      </c>
      <c r="N59" s="37">
        <v>13.38</v>
      </c>
      <c r="O59" s="37">
        <v>13.38</v>
      </c>
      <c r="P59" s="37">
        <v>10.77</v>
      </c>
      <c r="Q59" s="37">
        <v>10.77</v>
      </c>
      <c r="R59" s="37">
        <v>10.77</v>
      </c>
      <c r="S59" s="37">
        <v>10.77</v>
      </c>
      <c r="T59" s="37">
        <v>13.38</v>
      </c>
      <c r="U59" s="37">
        <v>13.38</v>
      </c>
      <c r="V59" s="37">
        <v>10.77</v>
      </c>
      <c r="W59" s="37">
        <v>10.77</v>
      </c>
      <c r="X59" s="37">
        <v>10.77</v>
      </c>
      <c r="Y59" s="37">
        <v>10.77</v>
      </c>
      <c r="Z59" s="37">
        <v>10.77</v>
      </c>
      <c r="AA59" s="37">
        <v>10.77</v>
      </c>
      <c r="AB59" s="37">
        <v>10.77</v>
      </c>
      <c r="AC59" s="37">
        <v>10.77</v>
      </c>
      <c r="AD59" s="37">
        <v>10.77</v>
      </c>
      <c r="AE59" s="37">
        <v>10.77</v>
      </c>
      <c r="AF59" s="37">
        <v>10.77</v>
      </c>
      <c r="AG59" s="37">
        <v>10.77</v>
      </c>
      <c r="AH59" s="37">
        <v>10.77</v>
      </c>
      <c r="AI59" s="37">
        <v>10.77</v>
      </c>
      <c r="AJ59" s="37">
        <v>10.77</v>
      </c>
      <c r="AK59" s="37">
        <v>10.77</v>
      </c>
      <c r="AL59" s="37">
        <v>10.77</v>
      </c>
      <c r="AM59" s="37">
        <v>10.77</v>
      </c>
      <c r="AN59" s="37">
        <v>10.77</v>
      </c>
      <c r="AO59" s="37">
        <v>10.77</v>
      </c>
      <c r="AP59" s="37">
        <v>10.77</v>
      </c>
      <c r="AQ59" s="37">
        <v>10.77</v>
      </c>
      <c r="AR59" s="37">
        <v>10.77</v>
      </c>
      <c r="AS59" s="37">
        <v>10.77</v>
      </c>
      <c r="AT59" s="37">
        <v>10.77</v>
      </c>
      <c r="AU59" s="37">
        <v>10.77</v>
      </c>
      <c r="AV59" s="37">
        <v>10.77</v>
      </c>
      <c r="AW59" s="37">
        <v>10.77</v>
      </c>
      <c r="AX59" s="55">
        <v>10.77</v>
      </c>
      <c r="AY59" s="37">
        <v>10.77</v>
      </c>
      <c r="AZ59" s="37">
        <v>10.77</v>
      </c>
      <c r="BA59" s="37">
        <v>10.77</v>
      </c>
      <c r="BB59" s="37">
        <v>10.77</v>
      </c>
      <c r="BC59" s="37">
        <v>10.77</v>
      </c>
      <c r="BD59" s="37">
        <v>10.77</v>
      </c>
      <c r="BE59" s="37">
        <v>10.77</v>
      </c>
      <c r="BF59" s="37">
        <v>10.77</v>
      </c>
      <c r="BG59" s="55">
        <v>10.77</v>
      </c>
      <c r="BH59" s="37">
        <v>10.77</v>
      </c>
      <c r="BI59" s="37">
        <v>10.77</v>
      </c>
      <c r="BJ59" s="37">
        <v>10.77</v>
      </c>
      <c r="BK59" s="37">
        <v>10.77</v>
      </c>
    </row>
    <row r="60" spans="1:63" s="8" customFormat="1" x14ac:dyDescent="0.25">
      <c r="A60" s="27"/>
      <c r="B60" s="12" t="s">
        <v>56</v>
      </c>
      <c r="C60" s="38"/>
      <c r="D60" s="38"/>
      <c r="E60" s="38"/>
      <c r="F60" s="38">
        <v>9.8000000000000007</v>
      </c>
      <c r="G60" s="38">
        <v>12.77</v>
      </c>
      <c r="H60" s="38">
        <v>13.01</v>
      </c>
      <c r="I60" s="38">
        <v>8.4600000000000009</v>
      </c>
      <c r="J60" s="38">
        <v>22.33</v>
      </c>
      <c r="K60" s="38">
        <v>28.24</v>
      </c>
      <c r="L60" s="38">
        <v>17.45</v>
      </c>
      <c r="M60" s="38">
        <v>12.79</v>
      </c>
      <c r="N60" s="38">
        <v>18.68</v>
      </c>
      <c r="O60" s="38">
        <v>24.42</v>
      </c>
      <c r="P60" s="38">
        <v>26.08</v>
      </c>
      <c r="Q60" s="38">
        <v>23.69</v>
      </c>
      <c r="R60" s="38">
        <v>23.47</v>
      </c>
      <c r="S60" s="38">
        <v>22.16</v>
      </c>
      <c r="T60" s="38">
        <v>18.38</v>
      </c>
      <c r="U60" s="38">
        <v>20.67</v>
      </c>
      <c r="V60" s="38">
        <v>8.8699999999999992</v>
      </c>
      <c r="W60" s="38">
        <v>14.97</v>
      </c>
      <c r="X60" s="38">
        <v>15.6</v>
      </c>
      <c r="Y60" s="38">
        <v>15.18</v>
      </c>
      <c r="Z60" s="38">
        <v>13.6</v>
      </c>
      <c r="AA60" s="38">
        <v>26.05</v>
      </c>
      <c r="AB60" s="38">
        <v>15.17</v>
      </c>
      <c r="AC60" s="38">
        <v>14.97</v>
      </c>
      <c r="AD60" s="38">
        <v>8.5399999999999991</v>
      </c>
      <c r="AE60" s="38">
        <v>13.83</v>
      </c>
      <c r="AF60" s="38">
        <v>16.989999999999998</v>
      </c>
      <c r="AG60" s="38">
        <v>15.74</v>
      </c>
      <c r="AH60" s="38">
        <v>13.58</v>
      </c>
      <c r="AI60" s="38">
        <v>17.41</v>
      </c>
      <c r="AJ60" s="38">
        <v>16.13</v>
      </c>
      <c r="AK60" s="38">
        <v>19.48</v>
      </c>
      <c r="AL60" s="38">
        <v>12.97</v>
      </c>
      <c r="AM60" s="38">
        <v>17.96</v>
      </c>
      <c r="AN60" s="38">
        <v>17.989999999999998</v>
      </c>
      <c r="AO60" s="38">
        <v>17.23</v>
      </c>
      <c r="AP60" s="38">
        <v>22.25</v>
      </c>
      <c r="AQ60" s="38">
        <v>23.51</v>
      </c>
      <c r="AR60" s="38">
        <v>27.61</v>
      </c>
      <c r="AS60" s="38">
        <v>12.97</v>
      </c>
      <c r="AT60" s="38">
        <v>23.87</v>
      </c>
      <c r="AU60" s="38">
        <v>23.33</v>
      </c>
      <c r="AV60" s="38">
        <v>14.57</v>
      </c>
      <c r="AW60" s="38">
        <v>11.99</v>
      </c>
      <c r="AX60" s="54">
        <v>7.5</v>
      </c>
      <c r="AY60" s="38">
        <v>9.56</v>
      </c>
      <c r="AZ60" s="38">
        <v>13.51</v>
      </c>
      <c r="BA60" s="38">
        <v>13.03</v>
      </c>
      <c r="BB60" s="38">
        <v>14.02</v>
      </c>
      <c r="BC60" s="38">
        <v>11.34</v>
      </c>
      <c r="BD60" s="38">
        <v>10.39</v>
      </c>
      <c r="BE60" s="38">
        <v>11.48</v>
      </c>
      <c r="BF60" s="38">
        <v>20.329999999999998</v>
      </c>
      <c r="BG60" s="54"/>
      <c r="BH60" s="38"/>
      <c r="BI60" s="38">
        <v>18.87</v>
      </c>
      <c r="BJ60" s="38">
        <v>21.68</v>
      </c>
      <c r="BK60" s="38">
        <v>23.77</v>
      </c>
    </row>
    <row r="61" spans="1:63" s="18" customFormat="1" x14ac:dyDescent="0.25">
      <c r="A61" s="16">
        <v>25</v>
      </c>
      <c r="B61" s="17" t="s">
        <v>54</v>
      </c>
      <c r="C61" s="41"/>
      <c r="D61" s="41"/>
      <c r="E61" s="41"/>
      <c r="F61" s="41">
        <f t="shared" ref="F61:BK61" si="11">F60-F59</f>
        <v>-0.96999999999999886</v>
      </c>
      <c r="G61" s="41">
        <f t="shared" si="11"/>
        <v>2</v>
      </c>
      <c r="H61" s="41">
        <f t="shared" si="11"/>
        <v>2.2400000000000002</v>
      </c>
      <c r="I61" s="41">
        <f t="shared" si="11"/>
        <v>-2.3099999999999987</v>
      </c>
      <c r="J61" s="41">
        <f t="shared" si="11"/>
        <v>11.559999999999999</v>
      </c>
      <c r="K61" s="41">
        <f t="shared" si="11"/>
        <v>17.47</v>
      </c>
      <c r="L61" s="41">
        <f t="shared" si="11"/>
        <v>6.68</v>
      </c>
      <c r="M61" s="41">
        <f t="shared" si="11"/>
        <v>2.0199999999999996</v>
      </c>
      <c r="N61" s="41">
        <f t="shared" si="11"/>
        <v>5.2999999999999989</v>
      </c>
      <c r="O61" s="41">
        <f t="shared" si="11"/>
        <v>11.040000000000001</v>
      </c>
      <c r="P61" s="41">
        <f t="shared" si="11"/>
        <v>15.309999999999999</v>
      </c>
      <c r="Q61" s="41">
        <f t="shared" si="11"/>
        <v>12.920000000000002</v>
      </c>
      <c r="R61" s="41">
        <f t="shared" si="11"/>
        <v>12.7</v>
      </c>
      <c r="S61" s="41">
        <f t="shared" si="11"/>
        <v>11.39</v>
      </c>
      <c r="T61" s="41">
        <f t="shared" si="11"/>
        <v>4.9999999999999982</v>
      </c>
      <c r="U61" s="41">
        <f t="shared" si="11"/>
        <v>7.2900000000000009</v>
      </c>
      <c r="V61" s="41">
        <f t="shared" si="11"/>
        <v>-1.9000000000000004</v>
      </c>
      <c r="W61" s="41">
        <f t="shared" si="11"/>
        <v>4.2000000000000011</v>
      </c>
      <c r="X61" s="41">
        <f t="shared" si="11"/>
        <v>4.83</v>
      </c>
      <c r="Y61" s="41">
        <f t="shared" si="11"/>
        <v>4.41</v>
      </c>
      <c r="Z61" s="41">
        <f t="shared" si="11"/>
        <v>2.83</v>
      </c>
      <c r="AA61" s="41">
        <f t="shared" si="11"/>
        <v>15.280000000000001</v>
      </c>
      <c r="AB61" s="41">
        <f t="shared" si="11"/>
        <v>4.4000000000000004</v>
      </c>
      <c r="AC61" s="41">
        <f t="shared" si="11"/>
        <v>4.2000000000000011</v>
      </c>
      <c r="AD61" s="41">
        <f t="shared" si="11"/>
        <v>-2.2300000000000004</v>
      </c>
      <c r="AE61" s="41">
        <f t="shared" si="11"/>
        <v>3.0600000000000005</v>
      </c>
      <c r="AF61" s="41">
        <f t="shared" si="11"/>
        <v>6.2199999999999989</v>
      </c>
      <c r="AG61" s="41">
        <f t="shared" si="11"/>
        <v>4.9700000000000006</v>
      </c>
      <c r="AH61" s="41">
        <f t="shared" si="11"/>
        <v>2.8100000000000005</v>
      </c>
      <c r="AI61" s="41">
        <f t="shared" si="11"/>
        <v>6.6400000000000006</v>
      </c>
      <c r="AJ61" s="41">
        <f t="shared" si="11"/>
        <v>5.3599999999999994</v>
      </c>
      <c r="AK61" s="41">
        <f t="shared" si="11"/>
        <v>8.7100000000000009</v>
      </c>
      <c r="AL61" s="41">
        <f t="shared" si="11"/>
        <v>2.2000000000000011</v>
      </c>
      <c r="AM61" s="41">
        <f t="shared" si="11"/>
        <v>7.1900000000000013</v>
      </c>
      <c r="AN61" s="41">
        <f t="shared" si="11"/>
        <v>7.2199999999999989</v>
      </c>
      <c r="AO61" s="41">
        <f t="shared" si="11"/>
        <v>6.4600000000000009</v>
      </c>
      <c r="AP61" s="41">
        <f t="shared" si="11"/>
        <v>11.48</v>
      </c>
      <c r="AQ61" s="41">
        <f t="shared" si="11"/>
        <v>12.740000000000002</v>
      </c>
      <c r="AR61" s="41">
        <f t="shared" si="11"/>
        <v>16.84</v>
      </c>
      <c r="AS61" s="41">
        <f t="shared" si="11"/>
        <v>2.2000000000000011</v>
      </c>
      <c r="AT61" s="41">
        <f t="shared" si="11"/>
        <v>13.100000000000001</v>
      </c>
      <c r="AU61" s="41">
        <f t="shared" si="11"/>
        <v>12.559999999999999</v>
      </c>
      <c r="AV61" s="41">
        <f t="shared" si="11"/>
        <v>3.8000000000000007</v>
      </c>
      <c r="AW61" s="41">
        <f t="shared" si="11"/>
        <v>1.2200000000000006</v>
      </c>
      <c r="AX61" s="57">
        <f t="shared" si="11"/>
        <v>-3.2699999999999996</v>
      </c>
      <c r="AY61" s="41">
        <f t="shared" si="11"/>
        <v>-1.2099999999999991</v>
      </c>
      <c r="AZ61" s="41">
        <f>AZ60-AZ59</f>
        <v>2.74</v>
      </c>
      <c r="BA61" s="41">
        <f>BA60-BA59</f>
        <v>2.2599999999999998</v>
      </c>
      <c r="BB61" s="41">
        <f>BB60-BB59</f>
        <v>3.25</v>
      </c>
      <c r="BC61" s="41">
        <f t="shared" si="11"/>
        <v>0.57000000000000028</v>
      </c>
      <c r="BD61" s="41">
        <f t="shared" si="11"/>
        <v>-0.37999999999999901</v>
      </c>
      <c r="BE61" s="41">
        <f t="shared" si="11"/>
        <v>0.71000000000000085</v>
      </c>
      <c r="BF61" s="41">
        <f t="shared" si="11"/>
        <v>9.5599999999999987</v>
      </c>
      <c r="BG61" s="57">
        <f t="shared" si="11"/>
        <v>-10.77</v>
      </c>
      <c r="BH61" s="41">
        <f t="shared" si="11"/>
        <v>-10.77</v>
      </c>
      <c r="BI61" s="41">
        <f t="shared" si="11"/>
        <v>8.1000000000000014</v>
      </c>
      <c r="BJ61" s="41">
        <f t="shared" si="11"/>
        <v>10.91</v>
      </c>
      <c r="BK61" s="41">
        <f t="shared" si="11"/>
        <v>13</v>
      </c>
    </row>
    <row r="62" spans="1:63" s="21" customFormat="1" x14ac:dyDescent="0.25">
      <c r="A62" s="19"/>
      <c r="B62" s="20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57"/>
      <c r="AY62" s="42"/>
      <c r="AZ62" s="42"/>
      <c r="BA62" s="42"/>
      <c r="BB62" s="42"/>
      <c r="BC62" s="42"/>
      <c r="BD62" s="42"/>
      <c r="BE62" s="42"/>
      <c r="BF62" s="42"/>
      <c r="BG62" s="57"/>
      <c r="BH62" s="42"/>
      <c r="BI62" s="42"/>
      <c r="BJ62" s="42"/>
      <c r="BK62" s="42"/>
    </row>
    <row r="63" spans="1:63" s="24" customFormat="1" x14ac:dyDescent="0.25">
      <c r="A63" s="22">
        <v>196</v>
      </c>
      <c r="B63" s="23" t="s">
        <v>57</v>
      </c>
      <c r="C63" s="43"/>
      <c r="D63" s="43"/>
      <c r="E63" s="43"/>
      <c r="F63" s="43">
        <v>436.5</v>
      </c>
      <c r="G63" s="43">
        <v>390.4</v>
      </c>
      <c r="H63" s="43">
        <v>292.8</v>
      </c>
      <c r="I63" s="43">
        <v>287.5</v>
      </c>
      <c r="J63" s="43">
        <v>591.70000000000005</v>
      </c>
      <c r="K63" s="43">
        <v>595.20000000000005</v>
      </c>
      <c r="L63" s="43">
        <v>621.4</v>
      </c>
      <c r="M63" s="43">
        <v>429.9</v>
      </c>
      <c r="N63" s="43">
        <v>352.1</v>
      </c>
      <c r="O63" s="43">
        <v>363</v>
      </c>
      <c r="P63" s="43">
        <v>498.1</v>
      </c>
      <c r="Q63" s="43">
        <v>444.4</v>
      </c>
      <c r="R63" s="43">
        <v>512.6</v>
      </c>
      <c r="S63" s="43">
        <v>531.4</v>
      </c>
      <c r="T63" s="43">
        <v>527</v>
      </c>
      <c r="U63" s="43">
        <v>571.20000000000005</v>
      </c>
      <c r="V63" s="43">
        <v>441.3</v>
      </c>
      <c r="W63" s="43">
        <v>462.5</v>
      </c>
      <c r="X63" s="43">
        <v>432</v>
      </c>
      <c r="Y63" s="43">
        <v>423.5</v>
      </c>
      <c r="Z63" s="43">
        <v>437.7</v>
      </c>
      <c r="AA63" s="43">
        <v>403.2</v>
      </c>
      <c r="AB63" s="43">
        <v>411</v>
      </c>
      <c r="AC63" s="43">
        <v>462.5</v>
      </c>
      <c r="AD63" s="43">
        <v>400.3</v>
      </c>
      <c r="AE63" s="43">
        <v>414.2</v>
      </c>
      <c r="AF63" s="43">
        <v>392.4</v>
      </c>
      <c r="AG63" s="43">
        <v>417.3</v>
      </c>
      <c r="AH63" s="43">
        <v>401.9</v>
      </c>
      <c r="AI63" s="43">
        <v>399.8</v>
      </c>
      <c r="AJ63" s="43">
        <v>400.5</v>
      </c>
      <c r="AK63" s="43">
        <v>338</v>
      </c>
      <c r="AL63" s="43">
        <v>400.5</v>
      </c>
      <c r="AM63" s="43">
        <v>406.8</v>
      </c>
      <c r="AN63" s="43">
        <v>359</v>
      </c>
      <c r="AO63" s="43">
        <v>367</v>
      </c>
      <c r="AP63" s="43">
        <v>364</v>
      </c>
      <c r="AQ63" s="43">
        <v>344</v>
      </c>
      <c r="AR63" s="43">
        <v>364</v>
      </c>
      <c r="AS63" s="43">
        <v>400.5</v>
      </c>
      <c r="AT63" s="43">
        <v>356</v>
      </c>
      <c r="AU63" s="43">
        <v>365</v>
      </c>
      <c r="AV63" s="43">
        <v>299.2</v>
      </c>
      <c r="AW63" s="43">
        <v>296.7</v>
      </c>
      <c r="AX63" s="58">
        <v>301.3</v>
      </c>
      <c r="AY63" s="43">
        <v>317.39999999999998</v>
      </c>
      <c r="AZ63" s="43">
        <v>288.60000000000002</v>
      </c>
      <c r="BA63" s="43">
        <v>293.8</v>
      </c>
      <c r="BB63" s="43">
        <v>298.10000000000002</v>
      </c>
      <c r="BC63" s="43">
        <v>239.5</v>
      </c>
      <c r="BD63" s="43">
        <v>237.7</v>
      </c>
      <c r="BE63" s="43">
        <v>264.3</v>
      </c>
      <c r="BF63" s="43">
        <v>539.6</v>
      </c>
      <c r="BG63" s="58"/>
      <c r="BH63" s="43">
        <v>194.4</v>
      </c>
      <c r="BI63" s="43">
        <v>547.4</v>
      </c>
      <c r="BJ63" s="43">
        <v>362</v>
      </c>
      <c r="BK63" s="43">
        <v>518</v>
      </c>
    </row>
    <row r="64" spans="1:63" s="8" customFormat="1" x14ac:dyDescent="0.25">
      <c r="A64" s="6"/>
      <c r="B64" s="31"/>
      <c r="C64" s="38"/>
    </row>
    <row r="66" spans="2:2" x14ac:dyDescent="0.25">
      <c r="B66" t="s">
        <v>62</v>
      </c>
    </row>
    <row r="67" spans="2:2" x14ac:dyDescent="0.25">
      <c r="B67" t="s">
        <v>63</v>
      </c>
    </row>
    <row r="68" spans="2:2" x14ac:dyDescent="0.25">
      <c r="B68" t="s">
        <v>64</v>
      </c>
    </row>
    <row r="69" spans="2:2" x14ac:dyDescent="0.25">
      <c r="B69" t="s">
        <v>65</v>
      </c>
    </row>
  </sheetData>
  <phoneticPr fontId="0" type="noConversion"/>
  <conditionalFormatting sqref="C63:AY63 C53:AY53 C13:J13 C23:O23 C33:AY33 C43:AY43 L13:V13 Q23:AX23 X13:AC13 AE13:AV13 AX13 BE13:BG13 BE23:BG23 BE43:BG43 BE33:BG33 BC53:BK53 BC63:BK63 BI43:BK43 BI33:BK33 BI23:BK23 BI13:BK13">
    <cfRule type="cellIs" dxfId="82" priority="47" stopIfTrue="1" operator="lessThan">
      <formula>$A$13</formula>
    </cfRule>
    <cfRule type="cellIs" dxfId="81" priority="48" stopIfTrue="1" operator="greaterThanOrEqual">
      <formula>$A$13</formula>
    </cfRule>
  </conditionalFormatting>
  <conditionalFormatting sqref="K13">
    <cfRule type="cellIs" dxfId="80" priority="45" stopIfTrue="1" operator="lessThan">
      <formula>$A$13</formula>
    </cfRule>
    <cfRule type="cellIs" dxfId="79" priority="46" stopIfTrue="1" operator="greaterThanOrEqual">
      <formula>$A$13</formula>
    </cfRule>
  </conditionalFormatting>
  <conditionalFormatting sqref="P23">
    <cfRule type="cellIs" dxfId="78" priority="43" stopIfTrue="1" operator="lessThan">
      <formula>$A$13</formula>
    </cfRule>
    <cfRule type="cellIs" dxfId="77" priority="44" stopIfTrue="1" operator="greaterThanOrEqual">
      <formula>$A$13</formula>
    </cfRule>
  </conditionalFormatting>
  <conditionalFormatting sqref="W13">
    <cfRule type="cellIs" dxfId="76" priority="41" stopIfTrue="1" operator="lessThan">
      <formula>$A$13</formula>
    </cfRule>
    <cfRule type="cellIs" dxfId="75" priority="42" stopIfTrue="1" operator="greaterThanOrEqual">
      <formula>$A$13</formula>
    </cfRule>
  </conditionalFormatting>
  <conditionalFormatting sqref="AY13">
    <cfRule type="cellIs" dxfId="74" priority="33" stopIfTrue="1" operator="lessThan">
      <formula>$A$13</formula>
    </cfRule>
    <cfRule type="cellIs" dxfId="73" priority="34" stopIfTrue="1" operator="greaterThanOrEqual">
      <formula>$A$13</formula>
    </cfRule>
  </conditionalFormatting>
  <conditionalFormatting sqref="AD13">
    <cfRule type="cellIs" dxfId="72" priority="37" stopIfTrue="1" operator="lessThan">
      <formula>$A$13</formula>
    </cfRule>
    <cfRule type="cellIs" dxfId="71" priority="38" stopIfTrue="1" operator="greaterThanOrEqual">
      <formula>$A$13</formula>
    </cfRule>
  </conditionalFormatting>
  <conditionalFormatting sqref="AW13">
    <cfRule type="cellIs" dxfId="70" priority="35" stopIfTrue="1" operator="lessThan">
      <formula>$A$13</formula>
    </cfRule>
    <cfRule type="cellIs" dxfId="69" priority="36" stopIfTrue="1" operator="greaterThanOrEqual">
      <formula>$A$13</formula>
    </cfRule>
  </conditionalFormatting>
  <conditionalFormatting sqref="AZ63 AZ53 AZ13 AZ23 AZ33 AZ43">
    <cfRule type="cellIs" dxfId="68" priority="31" stopIfTrue="1" operator="lessThan">
      <formula>$A$13</formula>
    </cfRule>
    <cfRule type="cellIs" dxfId="67" priority="32" stopIfTrue="1" operator="greaterThanOrEqual">
      <formula>$A$13</formula>
    </cfRule>
  </conditionalFormatting>
  <conditionalFormatting sqref="AY23">
    <cfRule type="cellIs" dxfId="66" priority="29" stopIfTrue="1" operator="lessThan">
      <formula>$A$13</formula>
    </cfRule>
    <cfRule type="cellIs" dxfId="65" priority="30" stopIfTrue="1" operator="greaterThanOrEqual">
      <formula>$A$13</formula>
    </cfRule>
  </conditionalFormatting>
  <conditionalFormatting sqref="BC13:BD13">
    <cfRule type="cellIs" dxfId="64" priority="27" stopIfTrue="1" operator="lessThan">
      <formula>$A$13</formula>
    </cfRule>
    <cfRule type="cellIs" dxfId="63" priority="28" stopIfTrue="1" operator="greaterThanOrEqual">
      <formula>$A$13</formula>
    </cfRule>
  </conditionalFormatting>
  <conditionalFormatting sqref="BC23:BD23">
    <cfRule type="cellIs" dxfId="62" priority="25" stopIfTrue="1" operator="lessThan">
      <formula>$A$13</formula>
    </cfRule>
    <cfRule type="cellIs" dxfId="61" priority="26" stopIfTrue="1" operator="greaterThanOrEqual">
      <formula>$A$13</formula>
    </cfRule>
  </conditionalFormatting>
  <conditionalFormatting sqref="BC33:BD33">
    <cfRule type="cellIs" dxfId="60" priority="23" stopIfTrue="1" operator="lessThan">
      <formula>$A$13</formula>
    </cfRule>
    <cfRule type="cellIs" dxfId="59" priority="24" stopIfTrue="1" operator="greaterThanOrEqual">
      <formula>$A$13</formula>
    </cfRule>
  </conditionalFormatting>
  <conditionalFormatting sqref="BC43:BD43">
    <cfRule type="cellIs" dxfId="58" priority="21" stopIfTrue="1" operator="lessThan">
      <formula>$A$13</formula>
    </cfRule>
    <cfRule type="cellIs" dxfId="57" priority="22" stopIfTrue="1" operator="greaterThanOrEqual">
      <formula>$A$13</formula>
    </cfRule>
  </conditionalFormatting>
  <conditionalFormatting sqref="BH43">
    <cfRule type="cellIs" dxfId="56" priority="19" stopIfTrue="1" operator="lessThan">
      <formula>$A$13</formula>
    </cfRule>
    <cfRule type="cellIs" dxfId="55" priority="20" stopIfTrue="1" operator="greaterThanOrEqual">
      <formula>$A$13</formula>
    </cfRule>
  </conditionalFormatting>
  <conditionalFormatting sqref="BH13 BH23 BH33">
    <cfRule type="cellIs" dxfId="54" priority="17" stopIfTrue="1" operator="lessThan">
      <formula>$A$13</formula>
    </cfRule>
    <cfRule type="cellIs" dxfId="53" priority="18" stopIfTrue="1" operator="greaterThanOrEqual">
      <formula>$A$13</formula>
    </cfRule>
  </conditionalFormatting>
  <conditionalFormatting sqref="BA13:BB13">
    <cfRule type="cellIs" dxfId="52" priority="11" stopIfTrue="1" operator="lessThan">
      <formula>$A$13</formula>
    </cfRule>
    <cfRule type="cellIs" dxfId="51" priority="12" stopIfTrue="1" operator="greaterThanOrEqual">
      <formula>$A$13</formula>
    </cfRule>
  </conditionalFormatting>
  <conditionalFormatting sqref="BA23:BB23">
    <cfRule type="cellIs" dxfId="50" priority="9" stopIfTrue="1" operator="lessThan">
      <formula>$A$13</formula>
    </cfRule>
    <cfRule type="cellIs" dxfId="49" priority="10" stopIfTrue="1" operator="greaterThanOrEqual">
      <formula>$A$13</formula>
    </cfRule>
  </conditionalFormatting>
  <conditionalFormatting sqref="BA33:BB33">
    <cfRule type="cellIs" dxfId="48" priority="7" stopIfTrue="1" operator="lessThan">
      <formula>$A$13</formula>
    </cfRule>
    <cfRule type="cellIs" dxfId="47" priority="8" stopIfTrue="1" operator="greaterThanOrEqual">
      <formula>$A$13</formula>
    </cfRule>
  </conditionalFormatting>
  <conditionalFormatting sqref="BA43:BB43">
    <cfRule type="cellIs" dxfId="46" priority="5" stopIfTrue="1" operator="lessThan">
      <formula>$A$13</formula>
    </cfRule>
    <cfRule type="cellIs" dxfId="45" priority="6" stopIfTrue="1" operator="greaterThanOrEqual">
      <formula>$A$13</formula>
    </cfRule>
  </conditionalFormatting>
  <conditionalFormatting sqref="BA53:BB53">
    <cfRule type="cellIs" dxfId="44" priority="3" stopIfTrue="1" operator="lessThan">
      <formula>$A$13</formula>
    </cfRule>
    <cfRule type="cellIs" dxfId="43" priority="4" stopIfTrue="1" operator="greaterThanOrEqual">
      <formula>$A$13</formula>
    </cfRule>
  </conditionalFormatting>
  <conditionalFormatting sqref="BA63:BB63">
    <cfRule type="cellIs" dxfId="42" priority="1" stopIfTrue="1" operator="lessThan">
      <formula>$A$13</formula>
    </cfRule>
    <cfRule type="cellIs" dxfId="41" priority="2" stopIfTrue="1" operator="greaterThanOrEqual">
      <formula>$A$13</formula>
    </cfRule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F118"/>
  <sheetViews>
    <sheetView zoomScale="90" zoomScaleNormal="90" workbookViewId="0">
      <pane xSplit="2" ySplit="1" topLeftCell="C87" activePane="bottomRight" state="frozen"/>
      <selection pane="topRight" activeCell="C1" sqref="C1"/>
      <selection pane="bottomLeft" activeCell="A7" sqref="A7"/>
      <selection pane="bottomRight" sqref="A1:B118"/>
    </sheetView>
  </sheetViews>
  <sheetFormatPr defaultColWidth="9.109375" defaultRowHeight="13.2" x14ac:dyDescent="0.25"/>
  <cols>
    <col min="1" max="1" width="9.6640625" style="46" customWidth="1"/>
    <col min="2" max="2" width="70.6640625" style="47" bestFit="1" customWidth="1"/>
    <col min="3" max="5" width="8.88671875"/>
    <col min="6" max="8" width="5.5546875" style="47" customWidth="1"/>
    <col min="9" max="16384" width="9.109375" style="47"/>
  </cols>
  <sheetData>
    <row r="1" spans="1:2" ht="12.75" customHeight="1" x14ac:dyDescent="0.25">
      <c r="A1" s="71" t="s">
        <v>148</v>
      </c>
      <c r="B1" s="72" t="s">
        <v>149</v>
      </c>
    </row>
    <row r="2" spans="1:2" s="49" customFormat="1" ht="12" x14ac:dyDescent="0.25">
      <c r="A2" s="73"/>
      <c r="B2" s="74"/>
    </row>
    <row r="3" spans="1:2" x14ac:dyDescent="0.25">
      <c r="A3" s="75" t="s">
        <v>13</v>
      </c>
      <c r="B3" s="76"/>
    </row>
    <row r="4" spans="1:2" x14ac:dyDescent="0.25">
      <c r="A4" s="77" t="s">
        <v>14</v>
      </c>
      <c r="B4" s="78" t="s">
        <v>67</v>
      </c>
    </row>
    <row r="5" spans="1:2" x14ac:dyDescent="0.25">
      <c r="A5" s="77" t="s">
        <v>14</v>
      </c>
      <c r="B5" s="78" t="s">
        <v>68</v>
      </c>
    </row>
    <row r="6" spans="1:2" x14ac:dyDescent="0.25">
      <c r="A6" s="77" t="s">
        <v>15</v>
      </c>
      <c r="B6" s="78" t="s">
        <v>16</v>
      </c>
    </row>
    <row r="7" spans="1:2" x14ac:dyDescent="0.25">
      <c r="A7" s="77" t="s">
        <v>17</v>
      </c>
      <c r="B7" s="78" t="s">
        <v>18</v>
      </c>
    </row>
    <row r="8" spans="1:2" x14ac:dyDescent="0.25">
      <c r="A8" s="77" t="s">
        <v>19</v>
      </c>
      <c r="B8" s="78" t="s">
        <v>20</v>
      </c>
    </row>
    <row r="9" spans="1:2" x14ac:dyDescent="0.25">
      <c r="A9" s="77" t="s">
        <v>21</v>
      </c>
      <c r="B9" s="78" t="s">
        <v>22</v>
      </c>
    </row>
    <row r="10" spans="1:2" ht="13.8" thickBot="1" x14ac:dyDescent="0.3">
      <c r="A10" s="77"/>
      <c r="B10" s="78"/>
    </row>
    <row r="11" spans="1:2" s="50" customFormat="1" ht="12.6" thickBot="1" x14ac:dyDescent="0.3">
      <c r="A11" s="79"/>
      <c r="B11" s="80" t="s">
        <v>123</v>
      </c>
    </row>
    <row r="12" spans="1:2" s="50" customFormat="1" ht="12" x14ac:dyDescent="0.25">
      <c r="A12" s="73"/>
      <c r="B12" s="81"/>
    </row>
    <row r="13" spans="1:2" s="50" customFormat="1" ht="12" x14ac:dyDescent="0.25">
      <c r="A13" s="73" t="s">
        <v>24</v>
      </c>
      <c r="B13" s="81"/>
    </row>
    <row r="14" spans="1:2" s="50" customFormat="1" ht="12" customHeight="1" x14ac:dyDescent="0.2">
      <c r="A14" s="77" t="s">
        <v>15</v>
      </c>
      <c r="B14" s="78" t="s">
        <v>146</v>
      </c>
    </row>
    <row r="15" spans="1:2" x14ac:dyDescent="0.25">
      <c r="A15" s="82" t="s">
        <v>23</v>
      </c>
      <c r="B15" s="83" t="s">
        <v>66</v>
      </c>
    </row>
    <row r="16" spans="1:2" s="50" customFormat="1" ht="11.4" x14ac:dyDescent="0.2">
      <c r="A16" s="84" t="s">
        <v>23</v>
      </c>
      <c r="B16" s="83" t="s">
        <v>132</v>
      </c>
    </row>
    <row r="17" spans="1:2" x14ac:dyDescent="0.25">
      <c r="A17" s="77" t="s">
        <v>17</v>
      </c>
      <c r="B17" s="78" t="s">
        <v>18</v>
      </c>
    </row>
    <row r="18" spans="1:2" ht="13.8" thickBot="1" x14ac:dyDescent="0.3">
      <c r="A18" s="77"/>
      <c r="B18" s="78"/>
    </row>
    <row r="19" spans="1:2" s="50" customFormat="1" ht="12.6" thickBot="1" x14ac:dyDescent="0.3">
      <c r="A19" s="79"/>
      <c r="B19" s="80" t="s">
        <v>125</v>
      </c>
    </row>
    <row r="20" spans="1:2" s="50" customFormat="1" ht="12" x14ac:dyDescent="0.25">
      <c r="A20" s="85"/>
      <c r="B20" s="86"/>
    </row>
    <row r="21" spans="1:2" x14ac:dyDescent="0.25">
      <c r="A21" s="75" t="s">
        <v>25</v>
      </c>
      <c r="B21" s="78"/>
    </row>
    <row r="22" spans="1:2" s="50" customFormat="1" ht="11.4" x14ac:dyDescent="0.2">
      <c r="A22" s="84" t="s">
        <v>15</v>
      </c>
      <c r="B22" s="78" t="s">
        <v>130</v>
      </c>
    </row>
    <row r="23" spans="1:2" s="50" customFormat="1" ht="11.4" x14ac:dyDescent="0.2">
      <c r="A23" s="84"/>
      <c r="B23" s="78" t="s">
        <v>131</v>
      </c>
    </row>
    <row r="24" spans="1:2" s="50" customFormat="1" ht="11.4" x14ac:dyDescent="0.2">
      <c r="A24" s="84" t="s">
        <v>23</v>
      </c>
      <c r="B24" s="83" t="s">
        <v>66</v>
      </c>
    </row>
    <row r="25" spans="1:2" s="50" customFormat="1" ht="11.4" x14ac:dyDescent="0.2">
      <c r="A25" s="84" t="s">
        <v>23</v>
      </c>
      <c r="B25" s="83" t="s">
        <v>132</v>
      </c>
    </row>
    <row r="26" spans="1:2" s="50" customFormat="1" ht="12" thickBot="1" x14ac:dyDescent="0.25">
      <c r="A26" s="84"/>
      <c r="B26" s="83"/>
    </row>
    <row r="27" spans="1:2" s="48" customFormat="1" ht="12.6" thickBot="1" x14ac:dyDescent="0.3">
      <c r="A27" s="87"/>
      <c r="B27" s="88" t="s">
        <v>124</v>
      </c>
    </row>
    <row r="28" spans="1:2" s="48" customFormat="1" ht="12" x14ac:dyDescent="0.25">
      <c r="A28" s="89"/>
      <c r="B28" s="90"/>
    </row>
    <row r="29" spans="1:2" x14ac:dyDescent="0.25">
      <c r="A29" s="75"/>
      <c r="B29" s="76"/>
    </row>
    <row r="30" spans="1:2" x14ac:dyDescent="0.25">
      <c r="A30" s="71" t="s">
        <v>148</v>
      </c>
      <c r="B30" s="72" t="s">
        <v>26</v>
      </c>
    </row>
    <row r="31" spans="1:2" s="50" customFormat="1" ht="12" x14ac:dyDescent="0.25">
      <c r="A31" s="91"/>
      <c r="B31" s="92" t="s">
        <v>93</v>
      </c>
    </row>
    <row r="32" spans="1:2" x14ac:dyDescent="0.25">
      <c r="A32" s="75"/>
      <c r="B32" s="93" t="s">
        <v>27</v>
      </c>
    </row>
    <row r="33" spans="1:2" x14ac:dyDescent="0.25">
      <c r="A33" s="77">
        <v>90</v>
      </c>
      <c r="B33" s="93" t="s">
        <v>28</v>
      </c>
    </row>
    <row r="34" spans="1:2" x14ac:dyDescent="0.25">
      <c r="A34" s="77">
        <v>110</v>
      </c>
      <c r="B34" s="93" t="s">
        <v>29</v>
      </c>
    </row>
    <row r="35" spans="1:2" s="50" customFormat="1" ht="12" x14ac:dyDescent="0.25">
      <c r="A35" s="94"/>
      <c r="B35" s="92" t="s">
        <v>94</v>
      </c>
    </row>
    <row r="36" spans="1:2" x14ac:dyDescent="0.25">
      <c r="A36" s="77"/>
      <c r="B36" s="93" t="s">
        <v>27</v>
      </c>
    </row>
    <row r="37" spans="1:2" x14ac:dyDescent="0.25">
      <c r="A37" s="77">
        <v>90</v>
      </c>
      <c r="B37" s="93" t="s">
        <v>28</v>
      </c>
    </row>
    <row r="38" spans="1:2" x14ac:dyDescent="0.25">
      <c r="A38" s="77">
        <v>110</v>
      </c>
      <c r="B38" s="93" t="s">
        <v>29</v>
      </c>
    </row>
    <row r="39" spans="1:2" s="50" customFormat="1" ht="12.75" customHeight="1" x14ac:dyDescent="0.25">
      <c r="A39" s="91"/>
      <c r="B39" s="95" t="s">
        <v>95</v>
      </c>
    </row>
    <row r="40" spans="1:2" x14ac:dyDescent="0.25">
      <c r="A40" s="82">
        <v>-8</v>
      </c>
      <c r="B40" s="93" t="s">
        <v>30</v>
      </c>
    </row>
    <row r="41" spans="1:2" x14ac:dyDescent="0.25">
      <c r="A41" s="82">
        <v>-8.5</v>
      </c>
      <c r="B41" s="96" t="s">
        <v>31</v>
      </c>
    </row>
    <row r="42" spans="1:2" x14ac:dyDescent="0.25">
      <c r="A42" s="82">
        <v>-9</v>
      </c>
      <c r="B42" s="96" t="s">
        <v>32</v>
      </c>
    </row>
    <row r="43" spans="1:2" x14ac:dyDescent="0.25">
      <c r="A43" s="82">
        <v>-10</v>
      </c>
      <c r="B43" s="96" t="s">
        <v>33</v>
      </c>
    </row>
    <row r="44" spans="1:2" x14ac:dyDescent="0.25">
      <c r="A44" s="82">
        <v>-11</v>
      </c>
      <c r="B44" s="96" t="s">
        <v>34</v>
      </c>
    </row>
    <row r="45" spans="1:2" x14ac:dyDescent="0.25">
      <c r="A45" s="82">
        <v>-100</v>
      </c>
      <c r="B45" s="96" t="s">
        <v>35</v>
      </c>
    </row>
    <row r="46" spans="1:2" s="50" customFormat="1" ht="12" x14ac:dyDescent="0.25">
      <c r="A46" s="91"/>
      <c r="B46" s="95" t="s">
        <v>96</v>
      </c>
    </row>
    <row r="47" spans="1:2" x14ac:dyDescent="0.25">
      <c r="A47" s="82">
        <v>-8</v>
      </c>
      <c r="B47" s="93" t="s">
        <v>30</v>
      </c>
    </row>
    <row r="48" spans="1:2" x14ac:dyDescent="0.25">
      <c r="A48" s="82">
        <v>-8</v>
      </c>
      <c r="B48" s="96" t="s">
        <v>31</v>
      </c>
    </row>
    <row r="49" spans="1:2" x14ac:dyDescent="0.25">
      <c r="A49" s="82">
        <v>-8</v>
      </c>
      <c r="B49" s="96" t="s">
        <v>81</v>
      </c>
    </row>
    <row r="50" spans="1:2" x14ac:dyDescent="0.25">
      <c r="A50" s="82">
        <v>-8.5</v>
      </c>
      <c r="B50" s="96" t="s">
        <v>82</v>
      </c>
    </row>
    <row r="51" spans="1:2" x14ac:dyDescent="0.25">
      <c r="A51" s="82">
        <v>-9.3000000000000007</v>
      </c>
      <c r="B51" s="96" t="s">
        <v>83</v>
      </c>
    </row>
    <row r="52" spans="1:2" x14ac:dyDescent="0.25">
      <c r="A52" s="82">
        <v>-11.2</v>
      </c>
      <c r="B52" s="96" t="s">
        <v>84</v>
      </c>
    </row>
    <row r="53" spans="1:2" x14ac:dyDescent="0.25">
      <c r="A53" s="82">
        <v>-13</v>
      </c>
      <c r="B53" s="96" t="s">
        <v>85</v>
      </c>
    </row>
    <row r="54" spans="1:2" x14ac:dyDescent="0.25">
      <c r="A54" s="82">
        <v>-18</v>
      </c>
      <c r="B54" s="96" t="s">
        <v>86</v>
      </c>
    </row>
    <row r="55" spans="1:2" x14ac:dyDescent="0.25">
      <c r="A55" s="82">
        <v>-20</v>
      </c>
      <c r="B55" s="96" t="s">
        <v>87</v>
      </c>
    </row>
    <row r="56" spans="1:2" x14ac:dyDescent="0.25">
      <c r="A56" s="82">
        <v>-21</v>
      </c>
      <c r="B56" s="96" t="s">
        <v>88</v>
      </c>
    </row>
    <row r="57" spans="1:2" x14ac:dyDescent="0.25">
      <c r="A57" s="82">
        <v>-25</v>
      </c>
      <c r="B57" s="96" t="s">
        <v>89</v>
      </c>
    </row>
    <row r="58" spans="1:2" s="50" customFormat="1" ht="12" x14ac:dyDescent="0.25">
      <c r="A58" s="91"/>
      <c r="B58" s="97" t="s">
        <v>97</v>
      </c>
    </row>
    <row r="59" spans="1:2" x14ac:dyDescent="0.25">
      <c r="A59" s="98"/>
      <c r="B59" s="99" t="s">
        <v>36</v>
      </c>
    </row>
    <row r="60" spans="1:2" x14ac:dyDescent="0.25">
      <c r="A60" s="98"/>
      <c r="B60" s="99" t="s">
        <v>37</v>
      </c>
    </row>
    <row r="61" spans="1:2" x14ac:dyDescent="0.25">
      <c r="A61" s="98"/>
      <c r="B61" s="99" t="s">
        <v>38</v>
      </c>
    </row>
    <row r="62" spans="1:2" s="50" customFormat="1" ht="12" x14ac:dyDescent="0.25">
      <c r="A62" s="91"/>
      <c r="B62" s="97" t="s">
        <v>98</v>
      </c>
    </row>
    <row r="63" spans="1:2" x14ac:dyDescent="0.25">
      <c r="A63" s="98"/>
      <c r="B63" s="99" t="s">
        <v>36</v>
      </c>
    </row>
    <row r="64" spans="1:2" x14ac:dyDescent="0.25">
      <c r="A64" s="98"/>
      <c r="B64" s="99" t="s">
        <v>37</v>
      </c>
    </row>
    <row r="65" spans="1:2" x14ac:dyDescent="0.25">
      <c r="A65" s="98"/>
      <c r="B65" s="99" t="s">
        <v>38</v>
      </c>
    </row>
    <row r="66" spans="1:2" s="50" customFormat="1" ht="12" x14ac:dyDescent="0.25">
      <c r="A66" s="91"/>
      <c r="B66" s="97" t="s">
        <v>99</v>
      </c>
    </row>
    <row r="67" spans="1:2" x14ac:dyDescent="0.25">
      <c r="A67" s="98"/>
      <c r="B67" s="99" t="s">
        <v>36</v>
      </c>
    </row>
    <row r="68" spans="1:2" x14ac:dyDescent="0.25">
      <c r="A68" s="98"/>
      <c r="B68" s="99" t="s">
        <v>37</v>
      </c>
    </row>
    <row r="69" spans="1:2" x14ac:dyDescent="0.25">
      <c r="A69" s="98"/>
      <c r="B69" s="99" t="s">
        <v>38</v>
      </c>
    </row>
    <row r="70" spans="1:2" s="50" customFormat="1" ht="12" x14ac:dyDescent="0.25">
      <c r="A70" s="91"/>
      <c r="B70" s="97" t="s">
        <v>100</v>
      </c>
    </row>
    <row r="71" spans="1:2" x14ac:dyDescent="0.25">
      <c r="A71" s="98"/>
      <c r="B71" s="99" t="s">
        <v>36</v>
      </c>
    </row>
    <row r="72" spans="1:2" x14ac:dyDescent="0.25">
      <c r="A72" s="98"/>
      <c r="B72" s="99" t="s">
        <v>37</v>
      </c>
    </row>
    <row r="73" spans="1:2" x14ac:dyDescent="0.25">
      <c r="A73" s="98"/>
      <c r="B73" s="99" t="s">
        <v>38</v>
      </c>
    </row>
    <row r="74" spans="1:2" s="50" customFormat="1" ht="12" x14ac:dyDescent="0.25">
      <c r="A74" s="91"/>
      <c r="B74" s="97" t="s">
        <v>39</v>
      </c>
    </row>
    <row r="75" spans="1:2" x14ac:dyDescent="0.25">
      <c r="A75" s="100">
        <v>4</v>
      </c>
      <c r="B75" s="93" t="s">
        <v>101</v>
      </c>
    </row>
    <row r="76" spans="1:2" x14ac:dyDescent="0.25">
      <c r="A76" s="100">
        <v>4</v>
      </c>
      <c r="B76" s="93" t="s">
        <v>102</v>
      </c>
    </row>
    <row r="77" spans="1:2" s="50" customFormat="1" ht="12" x14ac:dyDescent="0.25">
      <c r="A77" s="91"/>
      <c r="B77" s="97" t="s">
        <v>40</v>
      </c>
    </row>
    <row r="78" spans="1:2" x14ac:dyDescent="0.25">
      <c r="A78" s="77">
        <v>200</v>
      </c>
      <c r="B78" s="93" t="s">
        <v>103</v>
      </c>
    </row>
    <row r="79" spans="1:2" s="51" customFormat="1" ht="12" x14ac:dyDescent="0.25">
      <c r="A79" s="101">
        <v>100</v>
      </c>
      <c r="B79" s="102" t="s">
        <v>104</v>
      </c>
    </row>
    <row r="80" spans="1:2" s="50" customFormat="1" ht="12" customHeight="1" x14ac:dyDescent="0.25">
      <c r="A80" s="91"/>
      <c r="B80" s="92" t="s">
        <v>41</v>
      </c>
    </row>
    <row r="81" spans="1:6" x14ac:dyDescent="0.25">
      <c r="A81" s="84">
        <v>200</v>
      </c>
      <c r="B81" s="103" t="s">
        <v>105</v>
      </c>
    </row>
    <row r="82" spans="1:6" x14ac:dyDescent="0.25">
      <c r="A82" s="84">
        <v>200</v>
      </c>
      <c r="B82" s="103" t="s">
        <v>106</v>
      </c>
    </row>
    <row r="83" spans="1:6" x14ac:dyDescent="0.25">
      <c r="A83" s="84">
        <v>200</v>
      </c>
      <c r="B83" s="103" t="s">
        <v>107</v>
      </c>
    </row>
    <row r="84" spans="1:6" x14ac:dyDescent="0.25">
      <c r="A84" s="84">
        <v>200</v>
      </c>
      <c r="B84" s="103" t="s">
        <v>108</v>
      </c>
      <c r="F84" s="48"/>
    </row>
    <row r="85" spans="1:6" x14ac:dyDescent="0.25">
      <c r="A85" s="84">
        <v>200</v>
      </c>
      <c r="B85" s="103" t="s">
        <v>109</v>
      </c>
    </row>
    <row r="86" spans="1:6" x14ac:dyDescent="0.25">
      <c r="A86" s="84">
        <v>200</v>
      </c>
      <c r="B86" s="103" t="s">
        <v>110</v>
      </c>
    </row>
    <row r="87" spans="1:6" s="50" customFormat="1" ht="12" customHeight="1" x14ac:dyDescent="0.25">
      <c r="A87" s="91"/>
      <c r="B87" s="92" t="s">
        <v>42</v>
      </c>
    </row>
    <row r="88" spans="1:6" x14ac:dyDescent="0.25">
      <c r="A88" s="84">
        <v>260</v>
      </c>
      <c r="B88" s="103" t="s">
        <v>111</v>
      </c>
    </row>
    <row r="89" spans="1:6" x14ac:dyDescent="0.25">
      <c r="A89" s="84">
        <v>188</v>
      </c>
      <c r="B89" s="103" t="s">
        <v>112</v>
      </c>
    </row>
    <row r="90" spans="1:6" x14ac:dyDescent="0.25">
      <c r="A90" s="84">
        <v>260</v>
      </c>
      <c r="B90" s="103" t="s">
        <v>113</v>
      </c>
    </row>
    <row r="91" spans="1:6" x14ac:dyDescent="0.25">
      <c r="A91" s="84">
        <v>188</v>
      </c>
      <c r="B91" s="103" t="s">
        <v>114</v>
      </c>
    </row>
    <row r="92" spans="1:6" x14ac:dyDescent="0.25">
      <c r="A92" s="84">
        <v>144</v>
      </c>
      <c r="B92" s="103" t="s">
        <v>115</v>
      </c>
    </row>
    <row r="93" spans="1:6" x14ac:dyDescent="0.25">
      <c r="A93" s="84">
        <v>80</v>
      </c>
      <c r="B93" s="103" t="s">
        <v>116</v>
      </c>
    </row>
    <row r="94" spans="1:6" x14ac:dyDescent="0.25">
      <c r="A94" s="84">
        <v>144</v>
      </c>
      <c r="B94" s="103" t="s">
        <v>117</v>
      </c>
    </row>
    <row r="95" spans="1:6" x14ac:dyDescent="0.25">
      <c r="A95" s="84">
        <v>80</v>
      </c>
      <c r="B95" s="103" t="s">
        <v>118</v>
      </c>
    </row>
    <row r="96" spans="1:6" x14ac:dyDescent="0.25">
      <c r="A96" s="84">
        <v>144</v>
      </c>
      <c r="B96" s="103" t="s">
        <v>119</v>
      </c>
    </row>
    <row r="97" spans="1:2" x14ac:dyDescent="0.25">
      <c r="A97" s="84">
        <v>80</v>
      </c>
      <c r="B97" s="103" t="s">
        <v>120</v>
      </c>
    </row>
    <row r="98" spans="1:2" x14ac:dyDescent="0.25">
      <c r="A98" s="84">
        <v>144</v>
      </c>
      <c r="B98" s="103" t="s">
        <v>121</v>
      </c>
    </row>
    <row r="99" spans="1:2" x14ac:dyDescent="0.25">
      <c r="A99" s="84">
        <v>80</v>
      </c>
      <c r="B99" s="103" t="s">
        <v>122</v>
      </c>
    </row>
    <row r="100" spans="1:2" x14ac:dyDescent="0.25">
      <c r="A100" s="77"/>
      <c r="B100" s="93"/>
    </row>
    <row r="101" spans="1:2" x14ac:dyDescent="0.25">
      <c r="A101" s="104" t="s">
        <v>5</v>
      </c>
      <c r="B101" s="93"/>
    </row>
    <row r="102" spans="1:2" x14ac:dyDescent="0.25">
      <c r="A102" s="104" t="s">
        <v>6</v>
      </c>
      <c r="B102" s="76" t="s">
        <v>43</v>
      </c>
    </row>
    <row r="103" spans="1:2" x14ac:dyDescent="0.25">
      <c r="A103" s="105" t="s">
        <v>8</v>
      </c>
      <c r="B103" s="76" t="s">
        <v>44</v>
      </c>
    </row>
    <row r="104" spans="1:2" x14ac:dyDescent="0.25">
      <c r="A104" s="106" t="s">
        <v>7</v>
      </c>
      <c r="B104" s="76" t="s">
        <v>45</v>
      </c>
    </row>
    <row r="105" spans="1:2" x14ac:dyDescent="0.25">
      <c r="A105" s="107" t="s">
        <v>9</v>
      </c>
      <c r="B105" s="76" t="s">
        <v>46</v>
      </c>
    </row>
    <row r="106" spans="1:2" x14ac:dyDescent="0.25">
      <c r="A106" s="105" t="s">
        <v>3</v>
      </c>
      <c r="B106" s="76" t="s">
        <v>47</v>
      </c>
    </row>
    <row r="107" spans="1:2" x14ac:dyDescent="0.25">
      <c r="A107" s="105" t="s">
        <v>4</v>
      </c>
      <c r="B107" s="76" t="s">
        <v>48</v>
      </c>
    </row>
    <row r="108" spans="1:2" x14ac:dyDescent="0.25">
      <c r="A108" s="105" t="s">
        <v>11</v>
      </c>
      <c r="B108" s="76" t="s">
        <v>49</v>
      </c>
    </row>
    <row r="109" spans="1:2" x14ac:dyDescent="0.25">
      <c r="A109" s="105" t="s">
        <v>12</v>
      </c>
      <c r="B109" s="76" t="s">
        <v>50</v>
      </c>
    </row>
    <row r="110" spans="1:2" x14ac:dyDescent="0.25">
      <c r="A110" s="75"/>
      <c r="B110" s="76"/>
    </row>
    <row r="111" spans="1:2" x14ac:dyDescent="0.25">
      <c r="A111" s="108" t="s">
        <v>134</v>
      </c>
      <c r="B111" s="109"/>
    </row>
    <row r="112" spans="1:2" x14ac:dyDescent="0.25">
      <c r="A112" s="110" t="s">
        <v>90</v>
      </c>
      <c r="B112" s="111"/>
    </row>
    <row r="113" spans="1:2" x14ac:dyDescent="0.25">
      <c r="A113" s="112" t="s">
        <v>91</v>
      </c>
      <c r="B113" s="111"/>
    </row>
    <row r="114" spans="1:2" x14ac:dyDescent="0.25">
      <c r="A114" s="108" t="s">
        <v>1</v>
      </c>
      <c r="B114" s="111"/>
    </row>
    <row r="115" spans="1:2" x14ac:dyDescent="0.25">
      <c r="A115" s="113" t="s">
        <v>135</v>
      </c>
      <c r="B115" s="111"/>
    </row>
    <row r="116" spans="1:2" x14ac:dyDescent="0.25">
      <c r="A116" s="113" t="s">
        <v>138</v>
      </c>
      <c r="B116" s="111"/>
    </row>
    <row r="117" spans="1:2" x14ac:dyDescent="0.25">
      <c r="A117" s="114" t="s">
        <v>136</v>
      </c>
      <c r="B117" s="111"/>
    </row>
    <row r="118" spans="1:2" x14ac:dyDescent="0.25">
      <c r="A118" s="115" t="s">
        <v>137</v>
      </c>
      <c r="B118" s="111"/>
    </row>
  </sheetData>
  <sheetProtection password="EF3B" sheet="1" objects="1" scenarios="1" insertColumns="0" insertRows="0"/>
  <phoneticPr fontId="0" type="noConversion"/>
  <conditionalFormatting sqref="A105 F2:G2 A2:B2">
    <cfRule type="cellIs" dxfId="40" priority="3642" stopIfTrue="1" operator="equal">
      <formula>"P"</formula>
    </cfRule>
    <cfRule type="cellIs" dxfId="39" priority="3643" stopIfTrue="1" operator="equal">
      <formula>"N"</formula>
    </cfRule>
    <cfRule type="cellIs" dxfId="38" priority="3644" stopIfTrue="1" operator="equal">
      <formula>"A"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2:FV28"/>
  <sheetViews>
    <sheetView tabSelected="1" workbookViewId="0">
      <selection activeCell="B20" sqref="B20"/>
    </sheetView>
  </sheetViews>
  <sheetFormatPr defaultColWidth="9.109375" defaultRowHeight="13.5" customHeight="1" x14ac:dyDescent="0.25"/>
  <cols>
    <col min="1" max="1" width="59.33203125" style="33" bestFit="1" customWidth="1"/>
    <col min="2" max="3" width="10.88671875" style="33" bestFit="1" customWidth="1"/>
    <col min="4" max="4" width="5.109375" style="33" bestFit="1" customWidth="1"/>
    <col min="5" max="5" width="61" style="33" bestFit="1" customWidth="1"/>
    <col min="6" max="6" width="59.6640625" style="33" customWidth="1"/>
    <col min="7" max="7" width="12.109375" style="33" customWidth="1"/>
    <col min="8" max="8" width="11.5546875" style="33" customWidth="1"/>
    <col min="9" max="9" width="20.6640625" style="33" customWidth="1"/>
    <col min="10" max="10" width="71.33203125" style="33" customWidth="1"/>
    <col min="11" max="11" width="53" style="33" customWidth="1"/>
    <col min="12" max="12" width="44.44140625" style="33" customWidth="1"/>
    <col min="13" max="16384" width="9.109375" style="33"/>
  </cols>
  <sheetData>
    <row r="2" spans="1:178" ht="13.5" customHeight="1" thickBot="1" x14ac:dyDescent="0.35">
      <c r="A2" s="32" t="s">
        <v>69</v>
      </c>
    </row>
    <row r="3" spans="1:178" ht="13.5" customHeight="1" thickBot="1" x14ac:dyDescent="0.3">
      <c r="A3" s="34"/>
      <c r="B3" s="116" t="s">
        <v>70</v>
      </c>
      <c r="C3" s="116" t="s">
        <v>71</v>
      </c>
      <c r="D3" s="116" t="s">
        <v>10</v>
      </c>
    </row>
    <row r="4" spans="1:178" ht="13.5" customHeight="1" thickBot="1" x14ac:dyDescent="0.3">
      <c r="A4" s="35" t="s">
        <v>72</v>
      </c>
      <c r="B4" s="117">
        <v>310</v>
      </c>
      <c r="C4" s="117">
        <v>400</v>
      </c>
      <c r="D4" s="117" t="s">
        <v>2</v>
      </c>
      <c r="L4" s="60"/>
      <c r="M4" s="60"/>
      <c r="N4" s="60"/>
      <c r="O4" s="60"/>
      <c r="P4" s="60"/>
      <c r="FV4" s="33" t="s">
        <v>133</v>
      </c>
    </row>
    <row r="5" spans="1:178" ht="13.5" customHeight="1" thickBot="1" x14ac:dyDescent="0.3">
      <c r="A5" s="35" t="s">
        <v>73</v>
      </c>
      <c r="B5" s="117">
        <v>270</v>
      </c>
      <c r="C5" s="117">
        <v>309</v>
      </c>
      <c r="D5" s="117" t="s">
        <v>2</v>
      </c>
      <c r="L5" s="60"/>
      <c r="M5" s="60"/>
      <c r="N5" s="60"/>
      <c r="O5" s="60"/>
      <c r="P5" s="60"/>
    </row>
    <row r="6" spans="1:178" ht="13.5" customHeight="1" thickBot="1" x14ac:dyDescent="0.3">
      <c r="A6" s="35" t="s">
        <v>74</v>
      </c>
      <c r="B6" s="117">
        <v>235</v>
      </c>
      <c r="C6" s="117">
        <v>269</v>
      </c>
      <c r="D6" s="117" t="s">
        <v>2</v>
      </c>
    </row>
    <row r="7" spans="1:178" ht="13.5" customHeight="1" thickBot="1" x14ac:dyDescent="0.3">
      <c r="A7" s="35" t="s">
        <v>75</v>
      </c>
      <c r="B7" s="117">
        <v>220</v>
      </c>
      <c r="C7" s="117">
        <v>234</v>
      </c>
      <c r="D7" s="117" t="s">
        <v>2</v>
      </c>
    </row>
    <row r="8" spans="1:178" ht="13.5" customHeight="1" thickBot="1" x14ac:dyDescent="0.3">
      <c r="A8" s="35" t="s">
        <v>76</v>
      </c>
      <c r="B8" s="117">
        <v>0</v>
      </c>
      <c r="C8" s="117">
        <v>219</v>
      </c>
      <c r="D8" s="117" t="s">
        <v>0</v>
      </c>
    </row>
    <row r="9" spans="1:178" ht="13.5" customHeight="1" x14ac:dyDescent="0.3">
      <c r="A9" s="36"/>
      <c r="B9" s="118"/>
      <c r="C9" s="118"/>
      <c r="D9" s="118"/>
    </row>
    <row r="10" spans="1:178" ht="13.5" customHeight="1" thickBot="1" x14ac:dyDescent="0.35">
      <c r="A10" s="32" t="s">
        <v>77</v>
      </c>
      <c r="B10" s="118"/>
      <c r="C10" s="118"/>
      <c r="D10" s="118"/>
    </row>
    <row r="11" spans="1:178" ht="13.5" customHeight="1" thickBot="1" x14ac:dyDescent="0.3">
      <c r="A11" s="34"/>
      <c r="B11" s="116" t="s">
        <v>70</v>
      </c>
      <c r="C11" s="116" t="s">
        <v>71</v>
      </c>
      <c r="D11" s="116" t="s">
        <v>10</v>
      </c>
    </row>
    <row r="12" spans="1:178" ht="13.5" customHeight="1" thickBot="1" x14ac:dyDescent="0.3">
      <c r="A12" s="35" t="s">
        <v>72</v>
      </c>
      <c r="B12" s="119">
        <v>118</v>
      </c>
      <c r="C12" s="119">
        <v>200</v>
      </c>
      <c r="D12" s="120" t="s">
        <v>2</v>
      </c>
    </row>
    <row r="13" spans="1:178" ht="13.5" customHeight="1" thickBot="1" x14ac:dyDescent="0.3">
      <c r="A13" s="35" t="s">
        <v>73</v>
      </c>
      <c r="B13" s="119">
        <v>100</v>
      </c>
      <c r="C13" s="119">
        <v>117</v>
      </c>
      <c r="D13" s="120" t="s">
        <v>2</v>
      </c>
    </row>
    <row r="14" spans="1:178" ht="13.5" customHeight="1" thickBot="1" x14ac:dyDescent="0.3">
      <c r="A14" s="35" t="s">
        <v>74</v>
      </c>
      <c r="B14" s="119">
        <v>87</v>
      </c>
      <c r="C14" s="119">
        <v>99</v>
      </c>
      <c r="D14" s="120" t="s">
        <v>2</v>
      </c>
    </row>
    <row r="15" spans="1:178" ht="13.5" customHeight="1" thickBot="1" x14ac:dyDescent="0.3">
      <c r="A15" s="35" t="s">
        <v>75</v>
      </c>
      <c r="B15" s="119">
        <v>80</v>
      </c>
      <c r="C15" s="119">
        <v>86</v>
      </c>
      <c r="D15" s="120" t="s">
        <v>2</v>
      </c>
    </row>
    <row r="16" spans="1:178" ht="13.5" customHeight="1" thickBot="1" x14ac:dyDescent="0.3">
      <c r="A16" s="35" t="s">
        <v>76</v>
      </c>
      <c r="B16" s="119">
        <v>0</v>
      </c>
      <c r="C16" s="119">
        <v>79</v>
      </c>
      <c r="D16" s="120" t="s">
        <v>0</v>
      </c>
    </row>
    <row r="17" spans="1:4" ht="13.5" customHeight="1" x14ac:dyDescent="0.25">
      <c r="B17" s="118"/>
      <c r="C17" s="118"/>
      <c r="D17" s="118"/>
    </row>
    <row r="18" spans="1:4" ht="13.5" customHeight="1" thickBot="1" x14ac:dyDescent="0.35">
      <c r="A18" s="32" t="s">
        <v>78</v>
      </c>
      <c r="B18" s="121"/>
      <c r="C18" s="121"/>
      <c r="D18" s="121"/>
    </row>
    <row r="19" spans="1:4" ht="13.5" customHeight="1" thickBot="1" x14ac:dyDescent="0.3">
      <c r="A19" s="34"/>
      <c r="B19" s="116" t="s">
        <v>70</v>
      </c>
      <c r="C19" s="116" t="s">
        <v>71</v>
      </c>
      <c r="D19" s="116" t="s">
        <v>10</v>
      </c>
    </row>
    <row r="20" spans="1:4" ht="13.5" customHeight="1" thickBot="1" x14ac:dyDescent="0.3">
      <c r="A20" s="35" t="s">
        <v>79</v>
      </c>
      <c r="B20" s="119">
        <v>31</v>
      </c>
      <c r="C20" s="122">
        <v>100</v>
      </c>
      <c r="D20" s="122" t="s">
        <v>2</v>
      </c>
    </row>
    <row r="21" spans="1:4" ht="13.5" customHeight="1" thickBot="1" x14ac:dyDescent="0.3">
      <c r="A21" s="35" t="s">
        <v>74</v>
      </c>
      <c r="B21" s="119">
        <v>26</v>
      </c>
      <c r="C21" s="122">
        <v>30</v>
      </c>
      <c r="D21" s="122" t="s">
        <v>2</v>
      </c>
    </row>
    <row r="22" spans="1:4" ht="13.5" customHeight="1" thickBot="1" x14ac:dyDescent="0.3">
      <c r="A22" s="35" t="s">
        <v>76</v>
      </c>
      <c r="B22" s="119">
        <v>0</v>
      </c>
      <c r="C22" s="122">
        <v>25</v>
      </c>
      <c r="D22" s="122" t="s">
        <v>0</v>
      </c>
    </row>
    <row r="23" spans="1:4" ht="13.5" customHeight="1" x14ac:dyDescent="0.25">
      <c r="B23" s="118"/>
      <c r="C23" s="118"/>
      <c r="D23" s="118"/>
    </row>
    <row r="24" spans="1:4" ht="13.5" customHeight="1" thickBot="1" x14ac:dyDescent="0.35">
      <c r="A24" s="32" t="s">
        <v>145</v>
      </c>
      <c r="B24" s="121"/>
      <c r="C24" s="121"/>
      <c r="D24" s="121"/>
    </row>
    <row r="25" spans="1:4" ht="13.5" customHeight="1" thickBot="1" x14ac:dyDescent="0.3">
      <c r="A25" s="34"/>
      <c r="B25" s="116" t="s">
        <v>70</v>
      </c>
      <c r="C25" s="116" t="s">
        <v>71</v>
      </c>
      <c r="D25" s="116" t="s">
        <v>10</v>
      </c>
    </row>
    <row r="26" spans="1:4" ht="13.5" customHeight="1" thickBot="1" x14ac:dyDescent="0.3">
      <c r="A26" s="35" t="s">
        <v>79</v>
      </c>
      <c r="B26" s="119">
        <v>20</v>
      </c>
      <c r="C26" s="122">
        <v>40</v>
      </c>
      <c r="D26" s="122" t="s">
        <v>2</v>
      </c>
    </row>
    <row r="27" spans="1:4" ht="13.5" customHeight="1" thickBot="1" x14ac:dyDescent="0.3">
      <c r="A27" s="35" t="s">
        <v>74</v>
      </c>
      <c r="B27" s="119">
        <v>10</v>
      </c>
      <c r="C27" s="122">
        <v>19</v>
      </c>
      <c r="D27" s="122" t="s">
        <v>2</v>
      </c>
    </row>
    <row r="28" spans="1:4" ht="13.5" customHeight="1" thickBot="1" x14ac:dyDescent="0.3">
      <c r="A28" s="35" t="s">
        <v>76</v>
      </c>
      <c r="B28" s="119">
        <v>0</v>
      </c>
      <c r="C28" s="122">
        <v>9</v>
      </c>
      <c r="D28" s="122" t="s">
        <v>0</v>
      </c>
    </row>
  </sheetData>
  <sheetProtection password="EF3B" sheet="1" objects="1" scenarios="1"/>
  <phoneticPr fontId="0" type="noConversion"/>
  <conditionalFormatting sqref="D4:D8">
    <cfRule type="cellIs" dxfId="37" priority="39" stopIfTrue="1" operator="equal">
      <formula>"Yes"</formula>
    </cfRule>
    <cfRule type="cellIs" dxfId="36" priority="40" stopIfTrue="1" operator="equal">
      <formula>"No"</formula>
    </cfRule>
  </conditionalFormatting>
  <conditionalFormatting sqref="D12:D16">
    <cfRule type="cellIs" dxfId="35" priority="35" stopIfTrue="1" operator="equal">
      <formula>"Yes"</formula>
    </cfRule>
    <cfRule type="cellIs" dxfId="34" priority="36" stopIfTrue="1" operator="equal">
      <formula>"No"</formula>
    </cfRule>
  </conditionalFormatting>
  <conditionalFormatting sqref="B12:C16">
    <cfRule type="containsText" dxfId="33" priority="28" stopIfTrue="1" operator="containsText" text="No">
      <formula>NOT(ISERROR(SEARCH("No",B12)))</formula>
    </cfRule>
    <cfRule type="containsText" dxfId="32" priority="29" stopIfTrue="1" operator="containsText" text="Yes">
      <formula>NOT(ISERROR(SEARCH("Yes",B12)))</formula>
    </cfRule>
    <cfRule type="containsText" dxfId="31" priority="30" stopIfTrue="1" operator="containsText" text="NT">
      <formula>NOT(ISERROR(SEARCH("NT",B12)))</formula>
    </cfRule>
    <cfRule type="containsText" dxfId="30" priority="31" stopIfTrue="1" operator="containsText" text="Active">
      <formula>NOT(ISERROR(SEARCH("Active",B12)))</formula>
    </cfRule>
    <cfRule type="containsText" dxfId="29" priority="32" stopIfTrue="1" operator="containsText" text="N/A">
      <formula>NOT(ISERROR(SEARCH("N/A",B12)))</formula>
    </cfRule>
    <cfRule type="containsText" dxfId="28" priority="33" stopIfTrue="1" operator="containsText" text="Pass">
      <formula>NOT(ISERROR(SEARCH("Pass",B12)))</formula>
    </cfRule>
    <cfRule type="containsText" dxfId="27" priority="34" stopIfTrue="1" operator="containsText" text="Fail">
      <formula>NOT(ISERROR(SEARCH("Fail",B12)))</formula>
    </cfRule>
  </conditionalFormatting>
  <conditionalFormatting sqref="B12:C16">
    <cfRule type="containsText" dxfId="26" priority="21" stopIfTrue="1" operator="containsText" text="No">
      <formula>NOT(ISERROR(SEARCH("No",B12)))</formula>
    </cfRule>
    <cfRule type="containsText" dxfId="25" priority="22" stopIfTrue="1" operator="containsText" text="Yes">
      <formula>NOT(ISERROR(SEARCH("Yes",B12)))</formula>
    </cfRule>
    <cfRule type="containsText" dxfId="24" priority="23" stopIfTrue="1" operator="containsText" text="NT">
      <formula>NOT(ISERROR(SEARCH("NT",B12)))</formula>
    </cfRule>
    <cfRule type="containsText" dxfId="23" priority="24" stopIfTrue="1" operator="containsText" text="Active">
      <formula>NOT(ISERROR(SEARCH("Active",B12)))</formula>
    </cfRule>
    <cfRule type="containsText" dxfId="22" priority="25" stopIfTrue="1" operator="containsText" text="N/A">
      <formula>NOT(ISERROR(SEARCH("N/A",B12)))</formula>
    </cfRule>
    <cfRule type="containsText" dxfId="21" priority="26" stopIfTrue="1" operator="containsText" text="Pass">
      <formula>NOT(ISERROR(SEARCH("Pass",B12)))</formula>
    </cfRule>
    <cfRule type="containsText" dxfId="20" priority="27" stopIfTrue="1" operator="containsText" text="Fail">
      <formula>NOT(ISERROR(SEARCH("Fail",B12)))</formula>
    </cfRule>
  </conditionalFormatting>
  <conditionalFormatting sqref="B12:C16">
    <cfRule type="containsText" dxfId="19" priority="11" stopIfTrue="1" operator="containsText" text="No">
      <formula>NOT(ISERROR(SEARCH("No",B12)))</formula>
    </cfRule>
    <cfRule type="containsText" dxfId="18" priority="12" stopIfTrue="1" operator="containsText" text="Yes">
      <formula>NOT(ISERROR(SEARCH("Yes",B12)))</formula>
    </cfRule>
    <cfRule type="containsText" dxfId="17" priority="13" stopIfTrue="1" operator="containsText" text="NT">
      <formula>NOT(ISERROR(SEARCH("NT",B12)))</formula>
    </cfRule>
    <cfRule type="containsText" dxfId="16" priority="14" stopIfTrue="1" operator="containsText" text="Active">
      <formula>NOT(ISERROR(SEARCH("Active",B12)))</formula>
    </cfRule>
    <cfRule type="containsText" dxfId="15" priority="15" stopIfTrue="1" operator="containsText" text="N/A">
      <formula>NOT(ISERROR(SEARCH("N/A",B12)))</formula>
    </cfRule>
    <cfRule type="containsText" dxfId="14" priority="16" stopIfTrue="1" operator="containsText" text="Pass">
      <formula>NOT(ISERROR(SEARCH("Pass",B12)))</formula>
    </cfRule>
    <cfRule type="containsText" dxfId="13" priority="17" stopIfTrue="1" operator="containsText" text="Fail">
      <formula>NOT(ISERROR(SEARCH("Fail",B12)))</formula>
    </cfRule>
    <cfRule type="cellIs" dxfId="12" priority="18" stopIfTrue="1" operator="greaterThanOrEqual">
      <formula>100</formula>
    </cfRule>
    <cfRule type="cellIs" dxfId="11" priority="19" stopIfTrue="1" operator="between">
      <formula>80</formula>
      <formula>99</formula>
    </cfRule>
    <cfRule type="cellIs" dxfId="10" priority="20" stopIfTrue="1" operator="between">
      <formula>0</formula>
      <formula>79</formula>
    </cfRule>
  </conditionalFormatting>
  <conditionalFormatting sqref="D20:D22">
    <cfRule type="cellIs" dxfId="9" priority="9" stopIfTrue="1" operator="equal">
      <formula>"Yes"</formula>
    </cfRule>
    <cfRule type="cellIs" dxfId="8" priority="10" stopIfTrue="1" operator="equal">
      <formula>"No"</formula>
    </cfRule>
  </conditionalFormatting>
  <conditionalFormatting sqref="B20:C22">
    <cfRule type="cellIs" dxfId="7" priority="6" stopIfTrue="1" operator="greaterThanOrEqual">
      <formula>31</formula>
    </cfRule>
    <cfRule type="cellIs" dxfId="6" priority="7" stopIfTrue="1" operator="between">
      <formula>26</formula>
      <formula>30</formula>
    </cfRule>
    <cfRule type="cellIs" dxfId="5" priority="8" stopIfTrue="1" operator="between">
      <formula>0</formula>
      <formula>25</formula>
    </cfRule>
  </conditionalFormatting>
  <conditionalFormatting sqref="D26:D28">
    <cfRule type="cellIs" dxfId="4" priority="4" stopIfTrue="1" operator="equal">
      <formula>"Yes"</formula>
    </cfRule>
    <cfRule type="cellIs" dxfId="3" priority="5" stopIfTrue="1" operator="equal">
      <formula>"No"</formula>
    </cfRule>
  </conditionalFormatting>
  <conditionalFormatting sqref="B26:C28">
    <cfRule type="cellIs" dxfId="2" priority="1" stopIfTrue="1" operator="greaterThanOrEqual">
      <formula>20</formula>
    </cfRule>
    <cfRule type="cellIs" dxfId="1" priority="2" stopIfTrue="1" operator="between">
      <formula>10</formula>
      <formula>19</formula>
    </cfRule>
    <cfRule type="cellIs" dxfId="0" priority="3" stopIfTrue="1" operator="between">
      <formula>0</formula>
      <formula>9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D23"/>
  <sheetViews>
    <sheetView workbookViewId="0">
      <selection activeCell="B2" sqref="B2"/>
    </sheetView>
  </sheetViews>
  <sheetFormatPr defaultColWidth="9.109375" defaultRowHeight="13.2" x14ac:dyDescent="0.25"/>
  <cols>
    <col min="1" max="1" width="9.109375" style="64"/>
    <col min="2" max="2" width="93.88671875" style="64" customWidth="1"/>
    <col min="3" max="3" width="9.109375" style="65"/>
    <col min="4" max="16384" width="9.109375" style="64"/>
  </cols>
  <sheetData>
    <row r="1" spans="1:4" s="61" customFormat="1" x14ac:dyDescent="0.25">
      <c r="A1" s="61" t="s">
        <v>126</v>
      </c>
      <c r="B1" s="61" t="s">
        <v>127</v>
      </c>
      <c r="C1" s="62" t="s">
        <v>128</v>
      </c>
      <c r="D1" s="61" t="s">
        <v>129</v>
      </c>
    </row>
    <row r="2" spans="1:4" x14ac:dyDescent="0.25">
      <c r="A2" s="66" t="s">
        <v>141</v>
      </c>
      <c r="B2" s="66" t="s">
        <v>147</v>
      </c>
      <c r="C2" s="67">
        <v>41318</v>
      </c>
      <c r="D2" s="66" t="s">
        <v>139</v>
      </c>
    </row>
    <row r="3" spans="1:4" x14ac:dyDescent="0.25">
      <c r="A3" s="66" t="s">
        <v>142</v>
      </c>
      <c r="B3" s="68"/>
      <c r="C3" s="67"/>
      <c r="D3" s="66"/>
    </row>
    <row r="4" spans="1:4" x14ac:dyDescent="0.25">
      <c r="A4" s="66" t="s">
        <v>143</v>
      </c>
      <c r="B4" s="66"/>
      <c r="C4" s="67"/>
      <c r="D4" s="66"/>
    </row>
    <row r="5" spans="1:4" x14ac:dyDescent="0.25">
      <c r="A5" s="66" t="s">
        <v>144</v>
      </c>
      <c r="B5" s="66"/>
      <c r="C5" s="67"/>
      <c r="D5" s="66"/>
    </row>
    <row r="6" spans="1:4" x14ac:dyDescent="0.25">
      <c r="A6" s="66" t="s">
        <v>140</v>
      </c>
      <c r="B6" s="68"/>
      <c r="C6" s="67"/>
      <c r="D6" s="66"/>
    </row>
    <row r="7" spans="1:4" x14ac:dyDescent="0.25">
      <c r="A7" s="66"/>
      <c r="B7" s="68"/>
      <c r="C7" s="67"/>
      <c r="D7" s="66"/>
    </row>
    <row r="8" spans="1:4" x14ac:dyDescent="0.25">
      <c r="A8" s="66"/>
      <c r="B8" s="68"/>
      <c r="C8" s="67"/>
      <c r="D8" s="66"/>
    </row>
    <row r="9" spans="1:4" x14ac:dyDescent="0.25">
      <c r="A9" s="66"/>
      <c r="B9" s="68"/>
      <c r="C9" s="67"/>
      <c r="D9" s="66"/>
    </row>
    <row r="10" spans="1:4" x14ac:dyDescent="0.25">
      <c r="A10" s="66"/>
      <c r="B10" s="66"/>
      <c r="C10" s="67"/>
      <c r="D10" s="69"/>
    </row>
    <row r="11" spans="1:4" x14ac:dyDescent="0.25">
      <c r="A11" s="66"/>
      <c r="B11" s="66"/>
      <c r="C11" s="67"/>
      <c r="D11" s="69"/>
    </row>
    <row r="12" spans="1:4" x14ac:dyDescent="0.25">
      <c r="A12" s="66"/>
      <c r="B12" s="70"/>
      <c r="C12" s="67"/>
      <c r="D12" s="69"/>
    </row>
    <row r="13" spans="1:4" x14ac:dyDescent="0.25">
      <c r="A13" s="66"/>
      <c r="B13" s="69"/>
      <c r="C13" s="67"/>
      <c r="D13" s="69"/>
    </row>
    <row r="14" spans="1:4" x14ac:dyDescent="0.25">
      <c r="A14" s="66"/>
      <c r="B14" s="69"/>
      <c r="C14" s="67"/>
      <c r="D14" s="69"/>
    </row>
    <row r="15" spans="1:4" x14ac:dyDescent="0.25">
      <c r="A15" s="66"/>
      <c r="B15" s="69"/>
      <c r="C15" s="67"/>
      <c r="D15" s="69"/>
    </row>
    <row r="16" spans="1:4" x14ac:dyDescent="0.25">
      <c r="A16" s="66"/>
      <c r="B16" s="69"/>
      <c r="C16" s="67"/>
      <c r="D16" s="69"/>
    </row>
    <row r="17" spans="1:4" x14ac:dyDescent="0.25">
      <c r="A17" s="69"/>
      <c r="B17" s="69"/>
      <c r="C17" s="67"/>
      <c r="D17" s="69"/>
    </row>
    <row r="18" spans="1:4" x14ac:dyDescent="0.25">
      <c r="A18" s="69"/>
      <c r="B18" s="69"/>
      <c r="C18" s="67"/>
      <c r="D18" s="69"/>
    </row>
    <row r="19" spans="1:4" x14ac:dyDescent="0.25">
      <c r="C19" s="63"/>
    </row>
    <row r="20" spans="1:4" x14ac:dyDescent="0.25">
      <c r="C20" s="63"/>
    </row>
    <row r="21" spans="1:4" x14ac:dyDescent="0.25">
      <c r="C21" s="63"/>
    </row>
    <row r="22" spans="1:4" x14ac:dyDescent="0.25">
      <c r="C22" s="63"/>
    </row>
    <row r="23" spans="1:4" x14ac:dyDescent="0.25">
      <c r="C23" s="63"/>
    </row>
  </sheetData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Active cable calculations</vt:lpstr>
      <vt:lpstr>Compliance Results</vt:lpstr>
      <vt:lpstr>Test Requirements</vt:lpstr>
      <vt:lpstr>Versions</vt:lpstr>
      <vt:lpstr>Legend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LaMontagne</dc:creator>
  <cp:lastModifiedBy>kaonga</cp:lastModifiedBy>
  <cp:lastPrinted>2010-12-02T22:56:55Z</cp:lastPrinted>
  <dcterms:created xsi:type="dcterms:W3CDTF">2003-05-26T20:59:34Z</dcterms:created>
  <dcterms:modified xsi:type="dcterms:W3CDTF">2013-03-13T19:58:55Z</dcterms:modified>
</cp:coreProperties>
</file>