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<sst xmlns="http://schemas.openxmlformats.org/spreadsheetml/2006/main" count="19" uniqueCount="14">
  <si>
    <t>Safety Razor</t>
  </si>
  <si>
    <t>Atra (current razor)</t>
  </si>
  <si>
    <t>Straight Razor and Strop</t>
  </si>
  <si>
    <t>Days per blade</t>
  </si>
  <si>
    <t>-</t>
  </si>
  <si>
    <t>Price per blade</t>
  </si>
  <si>
    <t>New Razor</t>
  </si>
  <si>
    <t>Blade price per day</t>
  </si>
  <si>
    <t>$ Saved per day</t>
  </si>
  <si>
    <t>Days to make back price</t>
  </si>
  <si>
    <t>Years to make back price</t>
  </si>
  <si>
    <t>$ Saved per year</t>
  </si>
  <si>
    <t>Blades per year</t>
  </si>
  <si>
    <t>Cost per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</si>
</sst>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"/>
  </numFmts>
  <fonts count="1">
    <font>
      <b val="0"/>
      <i val="0"/>
      <strike val="0"/>
      <u val="none"/>
      <sz val="10.0"/>
      <color rgb="FF000000"/>
      <name val="Arial"/>
    </font>
  </fonts>
  <fills count="6">
    <fill>
      <patternFill patternType="none"/>
    </fill>
    <fill>
      <patternFill patternType="gray125">
        <bgColor rgb="FFFFFFFF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8">
    <xf applyAlignment="1" fillId="0" xfId="0" numFmtId="0" borderId="0" fontId="0">
      <alignment vertical="bottom" horizontal="general" wrapText="1"/>
    </xf>
    <xf applyAlignment="1" fillId="0" xfId="0" numFmtId="3" borderId="0" fontId="0" applyNumberFormat="1">
      <alignment vertical="bottom" horizontal="general" wrapText="1"/>
    </xf>
    <xf applyAlignment="1" fillId="2" xfId="0" numFmtId="3" borderId="0" fontId="0" applyNumberFormat="1" applyFill="1">
      <alignment vertical="bottom" horizontal="general" wrapText="1"/>
    </xf>
    <xf applyAlignment="1" fillId="0" xfId="0" numFmtId="164" borderId="0" fontId="0" applyNumberFormat="1">
      <alignment vertical="bottom" horizontal="general" wrapText="1"/>
    </xf>
    <xf applyAlignment="1" fillId="3" xfId="0" numFmtId="165" borderId="0" fontId="0" applyNumberFormat="1" applyFill="1">
      <alignment vertical="bottom" horizontal="general" wrapText="1"/>
    </xf>
    <xf applyAlignment="1" fillId="4" xfId="0" numFmtId="4" borderId="0" fontId="0" applyNumberFormat="1" applyFill="1">
      <alignment vertical="bottom" horizontal="general" wrapText="1"/>
    </xf>
    <xf applyAlignment="1" fillId="0" xfId="0" numFmtId="4" borderId="0" fontId="0" applyNumberFormat="1">
      <alignment vertical="bottom" horizontal="general" wrapText="1"/>
    </xf>
    <xf applyAlignment="1" fillId="5" xfId="0" numFmtId="0" borderId="0" fontId="0" applyFill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19.29"/>
  </cols>
  <sheetData>
    <row r="1">
      <c t="s" r="B1">
        <v>0</v>
      </c>
      <c t="s" s="7" r="C1">
        <v>1</v>
      </c>
      <c t="s" r="D1">
        <v>2</v>
      </c>
    </row>
    <row r="2">
      <c t="s" r="A2">
        <v>3</v>
      </c>
      <c r="B2">
        <v>7</v>
      </c>
      <c s="7" r="C2">
        <v>7</v>
      </c>
      <c t="s" r="D2">
        <v>4</v>
      </c>
    </row>
    <row r="3">
      <c t="s" r="A3">
        <v>5</v>
      </c>
      <c s="3" r="B3">
        <v>0.0829</v>
      </c>
      <c s="4" r="C3">
        <v>0.4788</v>
      </c>
      <c t="s" r="D3">
        <v>4</v>
      </c>
    </row>
    <row r="4">
      <c t="s" r="A4">
        <v>6</v>
      </c>
      <c s="3" r="B4">
        <v>35</v>
      </c>
      <c t="s" s="4" r="C4">
        <v>4</v>
      </c>
      <c r="D4">
        <v>150</v>
      </c>
    </row>
    <row r="5">
      <c t="s" r="A5">
        <v>7</v>
      </c>
      <c s="3" r="B5">
        <f>B3/B2</f>
        <v>0.011842857142857</v>
      </c>
      <c s="4" r="C5">
        <f>C3/C2</f>
        <v>0.0684</v>
      </c>
      <c t="s" r="D5">
        <v>4</v>
      </c>
    </row>
    <row r="6">
      <c t="s" r="A6">
        <v>8</v>
      </c>
      <c s="3" r="B6">
        <f>C5-B5</f>
        <v>0.056557142857143</v>
      </c>
      <c s="4" r="C6">
        <f>B5-C5</f>
        <v>-0.056557142857143</v>
      </c>
      <c s="3" r="D6">
        <f>C5</f>
        <v>0.0684</v>
      </c>
    </row>
    <row r="7">
      <c t="s" r="A7">
        <v>9</v>
      </c>
      <c s="1" r="B7">
        <f>B4/B6</f>
        <v>618.843142207628</v>
      </c>
      <c t="s" s="2" r="C7">
        <v>4</v>
      </c>
      <c s="1" r="D7">
        <f>D4/D6</f>
        <v>2192.98245614035</v>
      </c>
    </row>
    <row r="8">
      <c t="s" r="A8">
        <v>10</v>
      </c>
      <c s="6" r="B8">
        <f>B7/365</f>
        <v>1.69546066358254</v>
      </c>
      <c t="s" s="5" r="C8">
        <v>4</v>
      </c>
      <c s="6" r="D8">
        <f>D7/365</f>
        <v>6.00817111271329</v>
      </c>
    </row>
    <row r="9">
      <c t="s" r="A9">
        <v>11</v>
      </c>
      <c s="3" r="B9">
        <f>B6*365</f>
        <v>20.6433571428571</v>
      </c>
      <c s="4" r="C9">
        <f>C6*365</f>
        <v>-20.6433571428571</v>
      </c>
      <c s="3" r="D9">
        <f>D6*365</f>
        <v>24.966</v>
      </c>
    </row>
    <row r="10">
      <c t="s" r="A10">
        <v>12</v>
      </c>
      <c s="6" r="B10">
        <f>365/B2</f>
        <v>52.1428571428571</v>
      </c>
      <c s="5" r="C10">
        <f>365/C2</f>
        <v>52.1428571428571</v>
      </c>
      <c r="D10">
        <v>0</v>
      </c>
    </row>
    <row r="11">
      <c t="s" r="A11">
        <v>13</v>
      </c>
      <c s="3" r="B11">
        <f>B10*B3</f>
        <v>4.32264285714286</v>
      </c>
      <c s="4" r="C11">
        <f>C10*C3</f>
        <v>24.966</v>
      </c>
      <c r="D11">
        <v>0</v>
      </c>
    </row>
  </sheetData>
</worksheet>
</file>