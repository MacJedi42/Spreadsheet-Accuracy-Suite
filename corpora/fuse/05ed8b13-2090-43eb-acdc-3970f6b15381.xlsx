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1600" windowHeight="14200" tabRatio="500"/>
  </bookViews>
  <sheets>
    <sheet name="Sheet1" sheetId="1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W4" i="1"/>
  <c r="X11"/>
  <c r="X13"/>
  <c r="L4"/>
  <c r="M11"/>
  <c r="M13"/>
  <c r="B4"/>
  <c r="C11"/>
  <c r="C13"/>
  <c r="AA4"/>
  <c r="AB9"/>
  <c r="AB11"/>
  <c r="P4"/>
  <c r="Q9"/>
  <c r="Q11"/>
  <c r="F4"/>
  <c r="G9"/>
  <c r="G11"/>
  <c r="X10"/>
  <c r="M10"/>
  <c r="C10"/>
  <c r="X9"/>
  <c r="M9"/>
  <c r="C9"/>
  <c r="AB8"/>
  <c r="X8"/>
  <c r="Q8"/>
  <c r="M8"/>
  <c r="G8"/>
  <c r="C8"/>
  <c r="AB7"/>
  <c r="X7"/>
  <c r="Q7"/>
  <c r="M7"/>
  <c r="G7"/>
  <c r="C7"/>
  <c r="AB6"/>
  <c r="X6"/>
  <c r="Q6"/>
  <c r="M6"/>
  <c r="G6"/>
  <c r="C6"/>
  <c r="AB5"/>
  <c r="X5"/>
  <c r="Q5"/>
  <c r="M5"/>
  <c r="G5"/>
  <c r="C5"/>
</calcChain>
</file>

<file path=xl/sharedStrings.xml><?xml version="1.0" encoding="utf-8"?>
<sst xmlns="http://schemas.openxmlformats.org/spreadsheetml/2006/main" count="72" uniqueCount="25">
  <si>
    <t>Monday</t>
  </si>
  <si>
    <t>Wednesday</t>
  </si>
  <si>
    <t>Satuday</t>
    <phoneticPr fontId="1" type="noConversion"/>
  </si>
  <si>
    <t>Clean</t>
    <phoneticPr fontId="1" type="noConversion"/>
  </si>
  <si>
    <t>Overhead Press</t>
    <phoneticPr fontId="1" type="noConversion"/>
  </si>
  <si>
    <t>Front Squat</t>
  </si>
  <si>
    <t>Max</t>
  </si>
  <si>
    <t>Use</t>
  </si>
  <si>
    <t>Week</t>
  </si>
  <si>
    <t>ASSISTANCE High Pull</t>
    <phoneticPr fontId="1" type="noConversion"/>
  </si>
  <si>
    <t>ASSISTANCE Deadlift</t>
    <phoneticPr fontId="1" type="noConversion"/>
  </si>
  <si>
    <t>Load</t>
    <phoneticPr fontId="1" type="noConversion"/>
  </si>
  <si>
    <t>33333+</t>
    <phoneticPr fontId="1" type="noConversion"/>
  </si>
  <si>
    <t>3 reps</t>
    <phoneticPr fontId="1" type="noConversion"/>
  </si>
  <si>
    <t>Set 1</t>
    <phoneticPr fontId="1" type="noConversion"/>
  </si>
  <si>
    <t>2 reps</t>
    <phoneticPr fontId="1" type="noConversion"/>
  </si>
  <si>
    <t>Set 2</t>
  </si>
  <si>
    <t>1 rep</t>
    <phoneticPr fontId="1" type="noConversion"/>
  </si>
  <si>
    <t>Set 3</t>
  </si>
  <si>
    <t>Set 4</t>
    <phoneticPr fontId="1" type="noConversion"/>
  </si>
  <si>
    <t>Actual Reps</t>
    <phoneticPr fontId="1" type="noConversion"/>
  </si>
  <si>
    <t>Set 5+</t>
    <phoneticPr fontId="1" type="noConversion"/>
  </si>
  <si>
    <t>1+ rep</t>
    <phoneticPr fontId="1" type="noConversion"/>
  </si>
  <si>
    <t>1 RM Calculator</t>
    <phoneticPr fontId="1" type="noConversion"/>
  </si>
  <si>
    <t>ASSISTANCE Dumbbell Bench</t>
    <phoneticPr fontId="1" type="noConversion"/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</si>
</sst>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0"/>
      <name val="Verdana"/>
    </font>
    <font>
      <sz val="8"/>
      <name val="Verdana"/>
    </font>
    <font>
      <b/>
      <sz val="20"/>
      <name val="Arial"/>
      <family val="2"/>
    </font>
    <font>
      <sz val="16"/>
      <name val="Arial"/>
      <family val="2"/>
    </font>
    <font>
      <sz val="10"/>
      <name val="Arial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4" borderId="4" xfId="0" applyFill="1" applyBorder="1"/>
    <xf numFmtId="0" fontId="0" fillId="4" borderId="5" xfId="0" applyFill="1" applyBorder="1"/>
    <xf numFmtId="0" fontId="2" fillId="4" borderId="5" xfId="0" applyFont="1" applyFill="1" applyBorder="1" applyAlignment="1">
      <alignment horizontal="center"/>
    </xf>
    <xf numFmtId="0" fontId="0" fillId="0" borderId="5" xfId="0" applyBorder="1"/>
    <xf numFmtId="0" fontId="2" fillId="5" borderId="5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0" fillId="6" borderId="5" xfId="0" applyFill="1" applyBorder="1"/>
    <xf numFmtId="0" fontId="2" fillId="0" borderId="3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0" borderId="0" xfId="0" applyNumberFormat="1"/>
    <xf numFmtId="1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C24"/>
  <sheetViews>
    <sheetView tabSelected="1" view="pageLayout" topLeftCell="J1" workbookViewId="0">
      <selection activeCell="O3" sqref="O3"/>
    </sheetView>
  </sheetViews>
  <sheetFormatPr baseColWidth="10" defaultColWidth="7.5703125" defaultRowHeight="13"/>
  <sheetData>
    <row r="1" spans="1:29" ht="23">
      <c r="A1" s="1"/>
      <c r="B1" s="1"/>
      <c r="C1" s="2"/>
      <c r="D1" s="3" t="s">
        <v>0</v>
      </c>
      <c r="E1" s="3"/>
      <c r="F1" s="3"/>
      <c r="G1" s="3"/>
      <c r="H1" s="3"/>
      <c r="I1" s="4"/>
      <c r="J1" s="5" t="s">
        <v>1</v>
      </c>
      <c r="K1" s="5"/>
      <c r="L1" s="5"/>
      <c r="M1" s="5"/>
      <c r="N1" s="5"/>
      <c r="O1" s="5"/>
      <c r="P1" s="5"/>
      <c r="Q1" s="5"/>
      <c r="R1" s="5"/>
      <c r="S1" s="5"/>
      <c r="U1" s="6" t="s">
        <v>2</v>
      </c>
      <c r="V1" s="6"/>
      <c r="W1" s="6"/>
      <c r="X1" s="6"/>
      <c r="Y1" s="6"/>
      <c r="Z1" s="6"/>
      <c r="AA1" s="7"/>
      <c r="AB1" s="7"/>
      <c r="AC1" s="7"/>
    </row>
    <row r="2" spans="1:29" ht="23">
      <c r="A2" s="8" t="s">
        <v>3</v>
      </c>
      <c r="B2" s="8"/>
      <c r="C2" s="8"/>
      <c r="D2" s="8"/>
      <c r="E2" s="8"/>
      <c r="F2" s="8"/>
      <c r="G2" s="8"/>
      <c r="H2" s="9"/>
      <c r="I2" s="9"/>
      <c r="J2" s="8" t="s">
        <v>4</v>
      </c>
      <c r="K2" s="8"/>
      <c r="L2" s="8"/>
      <c r="M2" s="8"/>
      <c r="N2" s="8"/>
      <c r="O2" s="8"/>
      <c r="P2" s="8"/>
      <c r="Q2" s="8"/>
      <c r="R2" s="8"/>
      <c r="S2" s="8"/>
      <c r="T2" s="9"/>
      <c r="U2" s="9"/>
      <c r="V2" s="8" t="s">
        <v>5</v>
      </c>
      <c r="W2" s="8"/>
      <c r="X2" s="8"/>
      <c r="Y2" s="8"/>
      <c r="Z2" s="8"/>
      <c r="AA2" s="8"/>
      <c r="AB2" s="8"/>
    </row>
    <row r="3" spans="1:29">
      <c r="A3" s="10" t="s">
        <v>6</v>
      </c>
      <c r="B3" s="10" t="s">
        <v>7</v>
      </c>
      <c r="C3" s="11" t="s">
        <v>8</v>
      </c>
      <c r="D3" s="10"/>
      <c r="E3" t="s">
        <v>9</v>
      </c>
      <c r="G3" s="12"/>
      <c r="K3" s="10" t="s">
        <v>6</v>
      </c>
      <c r="L3" s="10" t="s">
        <v>7</v>
      </c>
      <c r="M3" s="11" t="s">
        <v>8</v>
      </c>
      <c r="N3" s="10"/>
      <c r="O3" t="s">
        <v>24</v>
      </c>
      <c r="Q3" s="12"/>
      <c r="V3" s="10" t="s">
        <v>6</v>
      </c>
      <c r="W3" s="10" t="s">
        <v>7</v>
      </c>
      <c r="X3" s="11" t="s">
        <v>8</v>
      </c>
      <c r="Y3" s="10"/>
      <c r="Z3" t="s">
        <v>10</v>
      </c>
      <c r="AB3" s="12"/>
    </row>
    <row r="4" spans="1:29">
      <c r="A4" s="13">
        <v>40</v>
      </c>
      <c r="B4" s="14">
        <f>A4*0.9</f>
        <v>36</v>
      </c>
      <c r="C4" s="15" t="s">
        <v>11</v>
      </c>
      <c r="E4" s="16">
        <v>50</v>
      </c>
      <c r="F4" s="14">
        <f>E4*0.9</f>
        <v>45</v>
      </c>
      <c r="G4" s="17" t="s">
        <v>12</v>
      </c>
      <c r="K4" s="13">
        <v>40</v>
      </c>
      <c r="L4" s="14">
        <f>K4*0.9</f>
        <v>36</v>
      </c>
      <c r="M4" s="15" t="s">
        <v>11</v>
      </c>
      <c r="O4" s="16">
        <v>50</v>
      </c>
      <c r="P4" s="14">
        <f>O4*0.9</f>
        <v>45</v>
      </c>
      <c r="Q4" s="17" t="s">
        <v>12</v>
      </c>
      <c r="V4" s="13">
        <v>40</v>
      </c>
      <c r="W4" s="14">
        <f>V4*0.9</f>
        <v>36</v>
      </c>
      <c r="X4" s="15" t="s">
        <v>11</v>
      </c>
      <c r="Z4" s="16">
        <v>100</v>
      </c>
      <c r="AA4" s="14">
        <f>Z4*0.9</f>
        <v>90</v>
      </c>
      <c r="AB4" s="17" t="s">
        <v>12</v>
      </c>
    </row>
    <row r="5" spans="1:29">
      <c r="B5" s="18" t="s">
        <v>13</v>
      </c>
      <c r="C5" s="19">
        <f>MROUND(B4*0.9,2.5)</f>
        <v>32.5</v>
      </c>
      <c r="F5" s="20" t="s">
        <v>14</v>
      </c>
      <c r="G5" s="19">
        <f>MROUND(F4*0.85,2.5)</f>
        <v>37.5</v>
      </c>
      <c r="L5" s="18" t="s">
        <v>13</v>
      </c>
      <c r="M5" s="19">
        <f>MROUND(L4*0.9,2.5)</f>
        <v>32.5</v>
      </c>
      <c r="P5" s="20" t="s">
        <v>14</v>
      </c>
      <c r="Q5" s="19">
        <f>MROUND(P4*0.85,2.5)</f>
        <v>37.5</v>
      </c>
      <c r="W5" s="18" t="s">
        <v>13</v>
      </c>
      <c r="X5" s="19">
        <f>MROUND(W4*0.9,2.5)</f>
        <v>32.5</v>
      </c>
      <c r="AA5" s="20" t="s">
        <v>14</v>
      </c>
      <c r="AB5" s="19">
        <f>MROUND(AA4*0.85,2.5)</f>
        <v>77.5</v>
      </c>
    </row>
    <row r="6" spans="1:29">
      <c r="B6" s="18" t="s">
        <v>15</v>
      </c>
      <c r="C6" s="21">
        <f>MROUND(B4*0.95,2.5)</f>
        <v>35</v>
      </c>
      <c r="F6" s="20" t="s">
        <v>16</v>
      </c>
      <c r="G6" s="19">
        <f>MROUND(F4*0.85,2.5)</f>
        <v>37.5</v>
      </c>
      <c r="L6" s="18" t="s">
        <v>15</v>
      </c>
      <c r="M6" s="21">
        <f>MROUND(L4*0.95,2.5)</f>
        <v>35</v>
      </c>
      <c r="P6" s="20" t="s">
        <v>16</v>
      </c>
      <c r="Q6" s="19">
        <f>MROUND(P4*0.85,2.5)</f>
        <v>37.5</v>
      </c>
      <c r="W6" s="18" t="s">
        <v>15</v>
      </c>
      <c r="X6" s="21">
        <f>MROUND(W4*0.95,2.5)</f>
        <v>35</v>
      </c>
      <c r="AA6" s="20" t="s">
        <v>16</v>
      </c>
      <c r="AB6" s="19">
        <f>MROUND(AA4*0.85,2.5)</f>
        <v>77.5</v>
      </c>
    </row>
    <row r="7" spans="1:29">
      <c r="B7" s="18" t="s">
        <v>17</v>
      </c>
      <c r="C7" s="21">
        <f>MROUND(B4*1,2.5)</f>
        <v>35</v>
      </c>
      <c r="F7" s="20" t="s">
        <v>18</v>
      </c>
      <c r="G7" s="19">
        <f>MROUND(F4*0.85,2.5)</f>
        <v>37.5</v>
      </c>
      <c r="L7" s="18" t="s">
        <v>17</v>
      </c>
      <c r="M7" s="21">
        <f>MROUND(L4*1,2.5)</f>
        <v>35</v>
      </c>
      <c r="P7" s="20" t="s">
        <v>18</v>
      </c>
      <c r="Q7" s="19">
        <f>MROUND(P4*0.85,2.5)</f>
        <v>37.5</v>
      </c>
      <c r="W7" s="18" t="s">
        <v>17</v>
      </c>
      <c r="X7" s="21">
        <f>MROUND(W4*1,2.5)</f>
        <v>35</v>
      </c>
      <c r="AA7" s="20" t="s">
        <v>18</v>
      </c>
      <c r="AB7" s="19">
        <f>MROUND(AA4*0.85,2.5)</f>
        <v>77.5</v>
      </c>
    </row>
    <row r="8" spans="1:29" ht="15" customHeight="1">
      <c r="B8" s="18" t="s">
        <v>13</v>
      </c>
      <c r="C8" s="21">
        <f>MROUND(B4*0.95,2.5)</f>
        <v>35</v>
      </c>
      <c r="F8" s="20" t="s">
        <v>19</v>
      </c>
      <c r="G8" s="19">
        <f>MROUND(F4*0.85,2.5)</f>
        <v>37.5</v>
      </c>
      <c r="H8" t="s">
        <v>20</v>
      </c>
      <c r="L8" s="18" t="s">
        <v>13</v>
      </c>
      <c r="M8" s="21">
        <f>MROUND(L4*0.95,2.5)</f>
        <v>35</v>
      </c>
      <c r="P8" s="20" t="s">
        <v>19</v>
      </c>
      <c r="Q8" s="19">
        <f>MROUND(P4*0.85,2.5)</f>
        <v>37.5</v>
      </c>
      <c r="R8" t="s">
        <v>20</v>
      </c>
      <c r="W8" s="18" t="s">
        <v>13</v>
      </c>
      <c r="X8" s="21">
        <f>MROUND(W4*0.95,2.5)</f>
        <v>35</v>
      </c>
      <c r="AA8" s="20" t="s">
        <v>19</v>
      </c>
      <c r="AB8" s="19">
        <f>MROUND(AA4*0.85,2.5)</f>
        <v>77.5</v>
      </c>
      <c r="AC8" t="s">
        <v>20</v>
      </c>
    </row>
    <row r="9" spans="1:29" ht="15" customHeight="1">
      <c r="A9" s="16"/>
      <c r="B9" s="18" t="s">
        <v>17</v>
      </c>
      <c r="C9" s="21">
        <f>MROUND(B4*1,2.5)</f>
        <v>35</v>
      </c>
      <c r="F9" s="20" t="s">
        <v>21</v>
      </c>
      <c r="G9" s="19">
        <f>MROUND(F4*0.85,2.5)</f>
        <v>37.5</v>
      </c>
      <c r="H9" s="19">
        <v>5</v>
      </c>
      <c r="K9" s="16"/>
      <c r="L9" s="18" t="s">
        <v>17</v>
      </c>
      <c r="M9" s="21">
        <f>MROUND(L4*1,2.5)</f>
        <v>35</v>
      </c>
      <c r="P9" s="20" t="s">
        <v>21</v>
      </c>
      <c r="Q9" s="19">
        <f>MROUND(P4*0.85,2.5)</f>
        <v>37.5</v>
      </c>
      <c r="R9" s="19">
        <v>5</v>
      </c>
      <c r="V9" s="16"/>
      <c r="W9" s="18" t="s">
        <v>17</v>
      </c>
      <c r="X9" s="21">
        <f>MROUND(W4*1,2.5)</f>
        <v>35</v>
      </c>
      <c r="AA9" s="20" t="s">
        <v>21</v>
      </c>
      <c r="AB9" s="19">
        <f>MROUND(AA4*0.85,2.5)</f>
        <v>77.5</v>
      </c>
      <c r="AC9" s="19">
        <v>5</v>
      </c>
    </row>
    <row r="10" spans="1:29">
      <c r="B10" s="18" t="s">
        <v>13</v>
      </c>
      <c r="C10" s="21">
        <f>MROUND(B4*0.9,2.5)</f>
        <v>32.5</v>
      </c>
      <c r="D10" t="s">
        <v>20</v>
      </c>
      <c r="G10" s="12"/>
      <c r="L10" s="18" t="s">
        <v>13</v>
      </c>
      <c r="M10" s="21">
        <f>MROUND(L4*0.9,2.5)</f>
        <v>32.5</v>
      </c>
      <c r="N10" t="s">
        <v>20</v>
      </c>
      <c r="Q10" s="12"/>
      <c r="W10" s="18" t="s">
        <v>13</v>
      </c>
      <c r="X10" s="21">
        <f>MROUND(W4*0.9,2.5)</f>
        <v>32.5</v>
      </c>
      <c r="Y10" t="s">
        <v>20</v>
      </c>
      <c r="AB10" s="12"/>
    </row>
    <row r="11" spans="1:29" ht="15" customHeight="1">
      <c r="B11" s="20" t="s">
        <v>22</v>
      </c>
      <c r="C11" s="19">
        <f>MROUND(B4*1.05,2.5)</f>
        <v>37.5</v>
      </c>
      <c r="D11" s="19">
        <v>1</v>
      </c>
      <c r="F11" s="22" t="s">
        <v>23</v>
      </c>
      <c r="G11" s="23">
        <f>G9*H9*0.0333+G9</f>
        <v>43.743749999999999</v>
      </c>
      <c r="I11" s="24"/>
      <c r="L11" s="20" t="s">
        <v>22</v>
      </c>
      <c r="M11" s="19">
        <f>MROUND(L4*1.05,2.5)</f>
        <v>37.5</v>
      </c>
      <c r="N11" s="19">
        <v>1</v>
      </c>
      <c r="P11" s="22" t="s">
        <v>23</v>
      </c>
      <c r="Q11" s="23">
        <f>Q9*R9*0.0333+Q9</f>
        <v>43.743749999999999</v>
      </c>
      <c r="W11" s="20" t="s">
        <v>22</v>
      </c>
      <c r="X11" s="19">
        <f>MROUND(W4*1.05,2.5)</f>
        <v>37.5</v>
      </c>
      <c r="Y11" s="19">
        <v>1</v>
      </c>
      <c r="AA11" s="22" t="s">
        <v>23</v>
      </c>
      <c r="AB11" s="23">
        <f>AB9*AC9*0.0333+AB9</f>
        <v>90.403750000000002</v>
      </c>
    </row>
    <row r="12" spans="1:29" ht="15" customHeight="1">
      <c r="C12" s="12"/>
      <c r="I12" s="24"/>
      <c r="M12" s="12"/>
      <c r="X12" s="12"/>
    </row>
    <row r="13" spans="1:29" ht="15" customHeight="1">
      <c r="B13" s="22" t="s">
        <v>23</v>
      </c>
      <c r="C13" s="23">
        <f>C11*D11*0.0333+C11</f>
        <v>38.748750000000001</v>
      </c>
      <c r="I13" s="24"/>
      <c r="L13" s="22" t="s">
        <v>23</v>
      </c>
      <c r="M13" s="23">
        <f>M11*N11*0.0333+M11</f>
        <v>38.748750000000001</v>
      </c>
      <c r="W13" s="22" t="s">
        <v>23</v>
      </c>
      <c r="X13" s="23">
        <f>X11*Y11*0.0333+X11</f>
        <v>38.748750000000001</v>
      </c>
    </row>
    <row r="14" spans="1:29" ht="15" customHeight="1">
      <c r="I14" s="25"/>
    </row>
    <row r="15" spans="1:29" ht="15" customHeight="1">
      <c r="I15" s="24"/>
    </row>
    <row r="16" spans="1:29" ht="15" customHeight="1">
      <c r="I16" s="24"/>
    </row>
    <row r="17" spans="9:9" ht="15" customHeight="1">
      <c r="I17" s="24"/>
    </row>
    <row r="18" spans="9:9" ht="15" customHeight="1">
      <c r="I18" s="24"/>
    </row>
    <row r="20" spans="9:9" ht="15" customHeight="1"/>
    <row r="21" spans="9:9" ht="15" customHeight="1"/>
    <row r="22" spans="9:9" ht="15" customHeight="1"/>
    <row r="23" spans="9:9" ht="15" customHeight="1"/>
    <row r="24" spans="9:9" ht="15" customHeight="1"/>
  </sheetData>
  <mergeCells count="6">
    <mergeCell ref="D1:H1"/>
    <mergeCell ref="J1:S1"/>
    <mergeCell ref="U1:Z1"/>
    <mergeCell ref="A2:G2"/>
    <mergeCell ref="J2:S2"/>
    <mergeCell ref="V2:AB2"/>
  </mergeCells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Stirling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Behzaad Syed</dc:creator>
  <cp:lastModifiedBy>Behzaad Syed</cp:lastModifiedBy>
  <dcterms:created xsi:type="dcterms:W3CDTF">2012-04-28T22:59:08Z</dcterms:created>
  <dcterms:modified xsi:type="dcterms:W3CDTF">2012-04-28T23:00:04Z</dcterms:modified>
</cp:coreProperties>
</file>