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48" windowWidth="19140" windowHeight="7416"/>
  </bookViews>
  <sheets>
    <sheet name="OxyEnrich" sheetId="1" r:id="rId1"/>
  </sheets>
  <definedNames>
    <definedName name="solver_adj" localSheetId="0" hidden="1">OxyEnrich!$Q$32,OxyEnrich!$K$12</definedName>
    <definedName name="solver_cvg" localSheetId="0" hidden="1">0.0001</definedName>
    <definedName name="solver_drv" localSheetId="0" hidden="1">1</definedName>
    <definedName name="solver_eng" localSheetId="0" hidden="1">1</definedName>
    <definedName name="solver_est" localSheetId="0" hidden="1">1</definedName>
    <definedName name="solver_itr" localSheetId="0" hidden="1">2147483647</definedName>
    <definedName name="solver_lhs1" localSheetId="0" hidden="1">OxyEnrich!$Q$27</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1</definedName>
    <definedName name="solver_nod" localSheetId="0" hidden="1">2147483647</definedName>
    <definedName name="solver_num" localSheetId="0" hidden="1">1</definedName>
    <definedName name="solver_nwt" localSheetId="0" hidden="1">1</definedName>
    <definedName name="solver_opt" localSheetId="0" hidden="1">OxyEnrich!$Q$40</definedName>
    <definedName name="solver_pre" localSheetId="0" hidden="1">0.000001</definedName>
    <definedName name="solver_rbv" localSheetId="0" hidden="1">1</definedName>
    <definedName name="solver_rel1" localSheetId="0" hidden="1">2</definedName>
    <definedName name="solver_rhs1" localSheetId="0" hidden="1">0</definedName>
    <definedName name="solver_rlx" localSheetId="0" hidden="1">2</definedName>
    <definedName name="solver_rsd" localSheetId="0" hidden="1">0</definedName>
    <definedName name="solver_scl" localSheetId="0" hidden="1">1</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3</definedName>
    <definedName name="solver_val" localSheetId="0" hidden="1">0</definedName>
    <definedName name="solver_ver" localSheetId="0" hidden="1">3</definedName>
  </definedNames>
  <calcPr calcId="145621" iterateDelta="1.0000000000000001E-5"/>
</workbook>
</file>

<file path=xl/calcChain.xml><?xml version="1.0" encoding="utf-8"?>
<calcChain xmlns="http://schemas.openxmlformats.org/spreadsheetml/2006/main">
  <c r="V38" i="1" l="1"/>
  <c r="W38" i="1"/>
  <c r="X38" i="1"/>
  <c r="Y38" i="1"/>
  <c r="U38" i="1"/>
  <c r="Q24" i="1" l="1"/>
  <c r="Q39" i="1" l="1"/>
  <c r="Q26" i="1"/>
  <c r="Q25" i="1"/>
  <c r="J22" i="1"/>
  <c r="G18" i="1"/>
  <c r="K13" i="1"/>
  <c r="C8" i="1"/>
  <c r="D30" i="1" l="1"/>
  <c r="K17" i="1"/>
  <c r="C9" i="1"/>
  <c r="E17" i="1"/>
  <c r="E18" i="1" s="1"/>
  <c r="K18" i="1"/>
  <c r="K20" i="1"/>
  <c r="D27" i="1"/>
  <c r="K19" i="1"/>
  <c r="K21" i="1"/>
  <c r="D28" i="1"/>
  <c r="D31" i="1" l="1"/>
  <c r="E27" i="1" s="1"/>
  <c r="Q35" i="1"/>
  <c r="J27" i="1"/>
  <c r="J30" i="1"/>
  <c r="Q37" i="1"/>
  <c r="E30" i="1"/>
  <c r="J28" i="1"/>
  <c r="E28" i="1"/>
  <c r="D29" i="1"/>
  <c r="E20" i="1"/>
  <c r="Q33" i="1"/>
  <c r="E21" i="1"/>
  <c r="E19" i="1"/>
  <c r="C11" i="1"/>
  <c r="Q18" i="1"/>
  <c r="C10" i="1"/>
  <c r="K23" i="1"/>
  <c r="Q22" i="1" l="1"/>
  <c r="Q34" i="1"/>
  <c r="Q40" i="1" s="1"/>
  <c r="Q19" i="1"/>
  <c r="Q38" i="1"/>
  <c r="J29" i="1"/>
  <c r="E29" i="1"/>
  <c r="Q36" i="1"/>
  <c r="Q21" i="1"/>
  <c r="Q20" i="1"/>
  <c r="J31" i="1"/>
  <c r="J32" i="1" s="1"/>
  <c r="K27" i="1" l="1"/>
  <c r="K28" i="1"/>
  <c r="K30" i="1"/>
  <c r="K29" i="1"/>
  <c r="Q23" i="1"/>
  <c r="Q27" i="1" s="1"/>
</calcChain>
</file>

<file path=xl/comments1.xml><?xml version="1.0" encoding="utf-8"?>
<comments xmlns="http://schemas.openxmlformats.org/spreadsheetml/2006/main">
  <authors>
    <author>Art Morris</author>
  </authors>
  <commentList>
    <comment ref="I16" authorId="0">
      <text>
        <r>
          <rPr>
            <sz val="11"/>
            <color indexed="81"/>
            <rFont val="Tahoma"/>
            <family val="2"/>
          </rPr>
          <t>Hydrocarbons other than the listed species are usually present in such small amounts that they do not affect the calculation.  "Other" refers to non-hydrocarbon species.</t>
        </r>
      </text>
    </comment>
    <comment ref="J16" authorId="0">
      <text>
        <r>
          <rPr>
            <sz val="10"/>
            <color indexed="81"/>
            <rFont val="Tahoma"/>
            <family val="2"/>
          </rPr>
          <t>Enter the volume % of natural gas hydrocarbons.  The "other" is calculated as N2.</t>
        </r>
      </text>
    </comment>
    <comment ref="I17" authorId="0">
      <text>
        <r>
          <rPr>
            <sz val="11"/>
            <color indexed="81"/>
            <rFont val="Tahoma"/>
            <family val="2"/>
          </rPr>
          <t>Methane</t>
        </r>
      </text>
    </comment>
    <comment ref="I18" authorId="0">
      <text>
        <r>
          <rPr>
            <sz val="11"/>
            <color indexed="81"/>
            <rFont val="Tahoma"/>
            <family val="2"/>
          </rPr>
          <t>Ethene</t>
        </r>
      </text>
    </comment>
    <comment ref="I19" authorId="0">
      <text>
        <r>
          <rPr>
            <sz val="11"/>
            <color indexed="81"/>
            <rFont val="Tahoma"/>
            <family val="2"/>
          </rPr>
          <t>Ethane</t>
        </r>
      </text>
    </comment>
    <comment ref="I20" authorId="0">
      <text>
        <r>
          <rPr>
            <sz val="11"/>
            <color indexed="81"/>
            <rFont val="Tahoma"/>
            <family val="2"/>
          </rPr>
          <t>Propane</t>
        </r>
      </text>
    </comment>
    <comment ref="I21" authorId="0">
      <text>
        <r>
          <rPr>
            <sz val="11"/>
            <color indexed="81"/>
            <rFont val="Tahoma"/>
            <family val="2"/>
          </rPr>
          <t>Butane &amp; higher</t>
        </r>
      </text>
    </comment>
    <comment ref="I22" authorId="0">
      <text>
        <r>
          <rPr>
            <sz val="11"/>
            <color indexed="81"/>
            <rFont val="Tahoma"/>
            <family val="2"/>
          </rPr>
          <t>Assumed N2</t>
        </r>
      </text>
    </comment>
  </commentList>
</comments>
</file>

<file path=xl/sharedStrings.xml><?xml version="1.0" encoding="utf-8"?>
<sst xmlns="http://schemas.openxmlformats.org/spreadsheetml/2006/main" count="120" uniqueCount="88">
  <si>
    <t>Please read the document</t>
  </si>
  <si>
    <t>C</t>
  </si>
  <si>
    <t>H</t>
  </si>
  <si>
    <t>Oxidant</t>
  </si>
  <si>
    <t>Natural Gas</t>
  </si>
  <si>
    <t>O</t>
  </si>
  <si>
    <t>Combustion air</t>
  </si>
  <si>
    <t>Leak air</t>
  </si>
  <si>
    <t>Temp, °C</t>
  </si>
  <si>
    <t>Aluminum temp. out,</t>
  </si>
  <si>
    <t>°C</t>
  </si>
  <si>
    <t>Furnace stack gas temp., °C</t>
  </si>
  <si>
    <t>N</t>
  </si>
  <si>
    <t>Press, Atm</t>
  </si>
  <si>
    <r>
      <t>Actual flowrate, m</t>
    </r>
    <r>
      <rPr>
        <vertAlign val="superscript"/>
        <sz val="10"/>
        <rFont val="Arial"/>
        <family val="2"/>
      </rPr>
      <t>3</t>
    </r>
    <r>
      <rPr>
        <sz val="10"/>
        <rFont val="Arial"/>
        <family val="2"/>
      </rPr>
      <t>/min</t>
    </r>
  </si>
  <si>
    <r>
      <t>% O</t>
    </r>
    <r>
      <rPr>
        <vertAlign val="subscript"/>
        <sz val="10"/>
        <rFont val="Arial"/>
        <family val="2"/>
      </rPr>
      <t>2</t>
    </r>
  </si>
  <si>
    <t>Molar flowrate, kg-mol/min</t>
  </si>
  <si>
    <t>Heat losses, kJ/min</t>
  </si>
  <si>
    <t>% XS</t>
  </si>
  <si>
    <t>Furnace</t>
  </si>
  <si>
    <t>Burner</t>
  </si>
  <si>
    <t>ΔH°comb NG--LHV</t>
  </si>
  <si>
    <t>NG component</t>
  </si>
  <si>
    <t>Vol %</t>
  </si>
  <si>
    <t>kJ/min</t>
  </si>
  <si>
    <t>Stoich. oxidant flowrate, kg-mol/min</t>
  </si>
  <si>
    <r>
      <t>CH</t>
    </r>
    <r>
      <rPr>
        <vertAlign val="subscript"/>
        <sz val="10"/>
        <rFont val="Arial"/>
        <family val="2"/>
      </rPr>
      <t>4</t>
    </r>
  </si>
  <si>
    <t>Actual oxidant flowrate, kg-mol/min</t>
  </si>
  <si>
    <r>
      <t>C</t>
    </r>
    <r>
      <rPr>
        <vertAlign val="subscript"/>
        <sz val="10"/>
        <rFont val="Arial"/>
        <family val="2"/>
      </rPr>
      <t>2</t>
    </r>
    <r>
      <rPr>
        <sz val="10"/>
        <rFont val="Arial"/>
        <family val="2"/>
      </rPr>
      <t>H</t>
    </r>
    <r>
      <rPr>
        <vertAlign val="subscript"/>
        <sz val="10"/>
        <rFont val="Arial"/>
        <family val="2"/>
      </rPr>
      <t>4</t>
    </r>
  </si>
  <si>
    <t>1.  Bring combustion air to 25°C</t>
  </si>
  <si>
    <r>
      <t>Actual oxidant flowrate, m</t>
    </r>
    <r>
      <rPr>
        <vertAlign val="superscript"/>
        <sz val="10"/>
        <rFont val="Arial"/>
        <family val="2"/>
      </rPr>
      <t>3</t>
    </r>
    <r>
      <rPr>
        <sz val="10"/>
        <rFont val="Arial"/>
        <family val="2"/>
      </rPr>
      <t>/min</t>
    </r>
  </si>
  <si>
    <r>
      <t>C</t>
    </r>
    <r>
      <rPr>
        <vertAlign val="subscript"/>
        <sz val="10"/>
        <rFont val="Arial"/>
        <family val="2"/>
      </rPr>
      <t>2</t>
    </r>
    <r>
      <rPr>
        <sz val="10"/>
        <rFont val="Arial"/>
        <family val="2"/>
      </rPr>
      <t>H</t>
    </r>
    <r>
      <rPr>
        <vertAlign val="subscript"/>
        <sz val="10"/>
        <rFont val="Arial"/>
        <family val="2"/>
      </rPr>
      <t>6</t>
    </r>
  </si>
  <si>
    <t>2.  Burn NatGas</t>
  </si>
  <si>
    <r>
      <t>STP oxidant flowrate, m</t>
    </r>
    <r>
      <rPr>
        <vertAlign val="superscript"/>
        <sz val="10"/>
        <rFont val="Arial"/>
        <family val="2"/>
      </rPr>
      <t>3</t>
    </r>
    <r>
      <rPr>
        <sz val="10"/>
        <rFont val="Arial"/>
        <family val="2"/>
      </rPr>
      <t>/min</t>
    </r>
  </si>
  <si>
    <r>
      <t>C</t>
    </r>
    <r>
      <rPr>
        <vertAlign val="subscript"/>
        <sz val="10"/>
        <rFont val="Arial"/>
        <family val="2"/>
      </rPr>
      <t>3</t>
    </r>
    <r>
      <rPr>
        <sz val="10"/>
        <rFont val="Arial"/>
        <family val="2"/>
      </rPr>
      <t>H</t>
    </r>
    <r>
      <rPr>
        <vertAlign val="subscript"/>
        <sz val="10"/>
        <rFont val="Arial"/>
        <family val="2"/>
      </rPr>
      <t>8</t>
    </r>
  </si>
  <si>
    <r>
      <t>3.  Heat CO</t>
    </r>
    <r>
      <rPr>
        <vertAlign val="subscript"/>
        <sz val="10"/>
        <rFont val="Arial"/>
        <family val="2"/>
      </rPr>
      <t>2</t>
    </r>
    <r>
      <rPr>
        <sz val="10"/>
        <rFont val="Arial"/>
        <family val="2"/>
      </rPr>
      <t xml:space="preserve"> to furn. stack gas temp.</t>
    </r>
  </si>
  <si>
    <t>Molar oxidant/NG ratio</t>
  </si>
  <si>
    <r>
      <t>C</t>
    </r>
    <r>
      <rPr>
        <vertAlign val="subscript"/>
        <sz val="10"/>
        <rFont val="Arial"/>
        <family val="2"/>
      </rPr>
      <t>4</t>
    </r>
    <r>
      <rPr>
        <sz val="10"/>
        <rFont val="Arial"/>
        <family val="2"/>
      </rPr>
      <t>H</t>
    </r>
    <r>
      <rPr>
        <vertAlign val="subscript"/>
        <sz val="10"/>
        <rFont val="Arial"/>
        <family val="2"/>
      </rPr>
      <t>10</t>
    </r>
    <r>
      <rPr>
        <sz val="10"/>
        <rFont val="Arial"/>
        <family val="2"/>
      </rPr>
      <t xml:space="preserve"> + </t>
    </r>
  </si>
  <si>
    <r>
      <t>4.  Heat H</t>
    </r>
    <r>
      <rPr>
        <vertAlign val="subscript"/>
        <sz val="10"/>
        <rFont val="Arial"/>
        <family val="2"/>
      </rPr>
      <t>2</t>
    </r>
    <r>
      <rPr>
        <sz val="10"/>
        <rFont val="Arial"/>
        <family val="2"/>
      </rPr>
      <t>O(g) to furn. stack gas temp.</t>
    </r>
  </si>
  <si>
    <t>Other (N2)</t>
  </si>
  <si>
    <r>
      <t>5.  Heat N</t>
    </r>
    <r>
      <rPr>
        <vertAlign val="subscript"/>
        <sz val="10"/>
        <rFont val="Arial"/>
        <family val="2"/>
      </rPr>
      <t>2</t>
    </r>
    <r>
      <rPr>
        <sz val="10"/>
        <rFont val="Arial"/>
        <family val="2"/>
      </rPr>
      <t xml:space="preserve"> to furn. stack gas temp.</t>
    </r>
  </si>
  <si>
    <t>Total (LHV) Combustion heat (kJ/min):</t>
  </si>
  <si>
    <r>
      <t>6.  Heat O</t>
    </r>
    <r>
      <rPr>
        <vertAlign val="subscript"/>
        <sz val="10"/>
        <rFont val="Arial"/>
        <family val="2"/>
      </rPr>
      <t>2</t>
    </r>
    <r>
      <rPr>
        <sz val="10"/>
        <rFont val="Arial"/>
        <family val="2"/>
      </rPr>
      <t xml:space="preserve"> to furn. stack gas temp.</t>
    </r>
  </si>
  <si>
    <t>7.  Heat aluminum to ingot temp.</t>
  </si>
  <si>
    <t>Combustion Products</t>
  </si>
  <si>
    <t>8.  Heat loss from burner</t>
  </si>
  <si>
    <t>Combustion gas</t>
  </si>
  <si>
    <t>kg-mol/min</t>
  </si>
  <si>
    <t>%</t>
  </si>
  <si>
    <t>Stack gas (includes leak air)</t>
  </si>
  <si>
    <r>
      <t>CO</t>
    </r>
    <r>
      <rPr>
        <vertAlign val="subscript"/>
        <sz val="10"/>
        <rFont val="Arial"/>
        <family val="2"/>
      </rPr>
      <t>2</t>
    </r>
  </si>
  <si>
    <t>Total process heat effect</t>
  </si>
  <si>
    <r>
      <t>H</t>
    </r>
    <r>
      <rPr>
        <vertAlign val="subscript"/>
        <sz val="10"/>
        <rFont val="Arial"/>
        <family val="2"/>
      </rPr>
      <t>2</t>
    </r>
    <r>
      <rPr>
        <sz val="10"/>
        <rFont val="Arial"/>
        <family val="2"/>
      </rPr>
      <t>O(g)</t>
    </r>
  </si>
  <si>
    <r>
      <t>O</t>
    </r>
    <r>
      <rPr>
        <vertAlign val="subscript"/>
        <sz val="10"/>
        <rFont val="Arial"/>
        <family val="2"/>
      </rPr>
      <t>2</t>
    </r>
  </si>
  <si>
    <r>
      <t>N</t>
    </r>
    <r>
      <rPr>
        <vertAlign val="subscript"/>
        <sz val="10"/>
        <rFont val="Arial"/>
        <family val="2"/>
      </rPr>
      <t>2</t>
    </r>
  </si>
  <si>
    <t xml:space="preserve"> </t>
  </si>
  <si>
    <t>Total</t>
  </si>
  <si>
    <r>
      <t>Flow, actual m</t>
    </r>
    <r>
      <rPr>
        <vertAlign val="superscript"/>
        <sz val="10"/>
        <rFont val="Arial"/>
        <family val="2"/>
      </rPr>
      <t>3</t>
    </r>
    <r>
      <rPr>
        <sz val="10"/>
        <rFont val="Arial"/>
        <family val="2"/>
      </rPr>
      <t>/min</t>
    </r>
  </si>
  <si>
    <t>Burner OG temperature</t>
  </si>
  <si>
    <t>Basis case</t>
  </si>
  <si>
    <r>
      <t>3.  Heat CO</t>
    </r>
    <r>
      <rPr>
        <vertAlign val="subscript"/>
        <sz val="10"/>
        <rFont val="Arial"/>
        <family val="2"/>
      </rPr>
      <t>2</t>
    </r>
    <r>
      <rPr>
        <sz val="10"/>
        <rFont val="Arial"/>
        <family val="2"/>
      </rPr>
      <t xml:space="preserve"> to burner OG temp.</t>
    </r>
  </si>
  <si>
    <r>
      <t>%O</t>
    </r>
    <r>
      <rPr>
        <vertAlign val="subscript"/>
        <sz val="10"/>
        <rFont val="Arial"/>
        <family val="2"/>
      </rPr>
      <t>2</t>
    </r>
    <r>
      <rPr>
        <sz val="10"/>
        <rFont val="Arial"/>
        <family val="2"/>
      </rPr>
      <t xml:space="preserve"> in Oxidant</t>
    </r>
  </si>
  <si>
    <r>
      <t>4.  Heat H</t>
    </r>
    <r>
      <rPr>
        <vertAlign val="subscript"/>
        <sz val="10"/>
        <rFont val="Arial"/>
        <family val="2"/>
      </rPr>
      <t>2</t>
    </r>
    <r>
      <rPr>
        <sz val="10"/>
        <rFont val="Arial"/>
        <family val="2"/>
      </rPr>
      <t>O(g) to burner OG temp.</t>
    </r>
  </si>
  <si>
    <r>
      <t>NG flow, actual m</t>
    </r>
    <r>
      <rPr>
        <vertAlign val="superscript"/>
        <sz val="10"/>
        <rFont val="Arial"/>
        <family val="2"/>
      </rPr>
      <t>3</t>
    </r>
    <r>
      <rPr>
        <sz val="10"/>
        <rFont val="Arial"/>
        <family val="2"/>
      </rPr>
      <t>/min</t>
    </r>
  </si>
  <si>
    <r>
      <t>5.  Heat N</t>
    </r>
    <r>
      <rPr>
        <vertAlign val="subscript"/>
        <sz val="10"/>
        <rFont val="Arial"/>
        <family val="2"/>
      </rPr>
      <t>2</t>
    </r>
    <r>
      <rPr>
        <sz val="10"/>
        <rFont val="Arial"/>
        <family val="2"/>
      </rPr>
      <t xml:space="preserve"> to burner OG temp.</t>
    </r>
  </si>
  <si>
    <r>
      <t>Oxidant flow, actual m</t>
    </r>
    <r>
      <rPr>
        <vertAlign val="superscript"/>
        <sz val="10"/>
        <rFont val="Arial"/>
        <family val="2"/>
      </rPr>
      <t>3</t>
    </r>
    <r>
      <rPr>
        <sz val="10"/>
        <rFont val="Arial"/>
        <family val="2"/>
      </rPr>
      <t>/min</t>
    </r>
  </si>
  <si>
    <r>
      <t>6.  Heat O</t>
    </r>
    <r>
      <rPr>
        <vertAlign val="subscript"/>
        <sz val="10"/>
        <rFont val="Arial"/>
        <family val="2"/>
      </rPr>
      <t>2</t>
    </r>
    <r>
      <rPr>
        <sz val="10"/>
        <rFont val="Arial"/>
        <family val="2"/>
      </rPr>
      <t xml:space="preserve"> to burner OG temp.</t>
    </r>
  </si>
  <si>
    <t>7.  Heat loss from burner</t>
  </si>
  <si>
    <t>Total burner heat effect</t>
  </si>
  <si>
    <r>
      <t xml:space="preserve">    FREED Heat Content Data, </t>
    </r>
    <r>
      <rPr>
        <b/>
        <sz val="11"/>
        <rFont val="Arial"/>
        <family val="2"/>
      </rPr>
      <t>kJ/mol</t>
    </r>
    <r>
      <rPr>
        <sz val="11"/>
        <rFont val="Arial"/>
        <family val="2"/>
      </rPr>
      <t xml:space="preserve"> =  A + BT + CT</t>
    </r>
    <r>
      <rPr>
        <vertAlign val="superscript"/>
        <sz val="11"/>
        <rFont val="Arial"/>
        <family val="2"/>
      </rPr>
      <t>2</t>
    </r>
    <r>
      <rPr>
        <sz val="11"/>
        <rFont val="Arial"/>
        <family val="2"/>
      </rPr>
      <t>.   T = °C</t>
    </r>
  </si>
  <si>
    <r>
      <t>N</t>
    </r>
    <r>
      <rPr>
        <vertAlign val="subscript"/>
        <sz val="10"/>
        <rFont val="Arial"/>
        <family val="2"/>
      </rPr>
      <t>2</t>
    </r>
    <r>
      <rPr>
        <sz val="10"/>
        <rFont val="Arial"/>
        <family val="2"/>
      </rPr>
      <t>, 600 - 2200 °C</t>
    </r>
  </si>
  <si>
    <r>
      <t>O</t>
    </r>
    <r>
      <rPr>
        <vertAlign val="subscript"/>
        <sz val="10"/>
        <rFont val="Arial"/>
        <family val="2"/>
      </rPr>
      <t>2</t>
    </r>
    <r>
      <rPr>
        <sz val="10"/>
        <rFont val="Arial"/>
        <family val="2"/>
      </rPr>
      <t>, 600 - 2200 °C</t>
    </r>
  </si>
  <si>
    <t>A</t>
  </si>
  <si>
    <t>B</t>
  </si>
  <si>
    <r>
      <t>H</t>
    </r>
    <r>
      <rPr>
        <vertAlign val="subscript"/>
        <sz val="10"/>
        <rFont val="Arial"/>
        <family val="2"/>
      </rPr>
      <t>2</t>
    </r>
    <r>
      <rPr>
        <sz val="10"/>
        <rFont val="Arial"/>
        <family val="2"/>
      </rPr>
      <t>O(g), 600 - 2200 °C</t>
    </r>
  </si>
  <si>
    <r>
      <t>CO</t>
    </r>
    <r>
      <rPr>
        <vertAlign val="subscript"/>
        <sz val="10"/>
        <rFont val="Arial"/>
        <family val="2"/>
      </rPr>
      <t>2</t>
    </r>
    <r>
      <rPr>
        <sz val="10"/>
        <rFont val="Arial"/>
        <family val="2"/>
      </rPr>
      <t>, 600 - 2200 °C</t>
    </r>
  </si>
  <si>
    <r>
      <t>Figure 1.  Chart of the relationship between %O</t>
    </r>
    <r>
      <rPr>
        <vertAlign val="subscript"/>
        <sz val="10"/>
        <rFont val="Arial"/>
        <family val="2"/>
      </rPr>
      <t>2</t>
    </r>
    <r>
      <rPr>
        <sz val="10"/>
        <rFont val="Arial"/>
        <family val="2"/>
      </rPr>
      <t xml:space="preserve"> in oxidant vs. NG and oxidant flow.</t>
    </r>
  </si>
  <si>
    <t>(note Al heat units)</t>
  </si>
  <si>
    <t>Air, 5 - 550 °C</t>
  </si>
  <si>
    <r>
      <t xml:space="preserve">Solid aluminum, </t>
    </r>
    <r>
      <rPr>
        <b/>
        <sz val="11"/>
        <rFont val="Arial"/>
        <family val="2"/>
      </rPr>
      <t>kJ/kg</t>
    </r>
  </si>
  <si>
    <t>Molar ΔH°comb. at 25 °C--LHV</t>
  </si>
  <si>
    <t>kJ/g-mol</t>
  </si>
  <si>
    <r>
      <t>C</t>
    </r>
    <r>
      <rPr>
        <vertAlign val="subscript"/>
        <sz val="10"/>
        <rFont val="Arial"/>
        <family val="2"/>
      </rPr>
      <t>4</t>
    </r>
    <r>
      <rPr>
        <sz val="10"/>
        <rFont val="Arial"/>
        <family val="2"/>
      </rPr>
      <t>H</t>
    </r>
    <r>
      <rPr>
        <vertAlign val="subscript"/>
        <sz val="10"/>
        <rFont val="Arial"/>
        <family val="2"/>
      </rPr>
      <t>10</t>
    </r>
  </si>
  <si>
    <t>Outstream Temperatures</t>
  </si>
  <si>
    <t>9.  Heat loss from furnace</t>
  </si>
  <si>
    <t>Combustion Element Balance</t>
  </si>
  <si>
    <t>Aluminum, kg/min</t>
  </si>
  <si>
    <t>Oxidant/NG flow ratio</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</si>
</sst>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0.000"/>
    <numFmt numFmtId="165" formatCode="0.0"/>
    <numFmt numFmtId="166" formatCode="0.0%"/>
    <numFmt numFmtId="167" formatCode="#.0#;#.0#;\O\ \K;@"/>
    <numFmt numFmtId="168" formatCode="#,##0.00#"/>
    <numFmt numFmtId="169" formatCode=";;;"/>
    <numFmt numFmtId="170" formatCode="#,##0.00####"/>
  </numFmts>
  <fonts count="21" x14ac:knownFonts="1">
    <font>
      <sz val="10"/>
      <name val="Arial"/>
      <family val="2"/>
    </font>
    <font>
      <sz val="10"/>
      <name val="Arial"/>
      <family val="2"/>
    </font>
    <font>
      <sz val="11"/>
      <name val="Arial"/>
      <family val="2"/>
    </font>
    <font>
      <vertAlign val="superscript"/>
      <sz val="10"/>
      <name val="Arial"/>
      <family val="2"/>
    </font>
    <font>
      <vertAlign val="subscript"/>
      <sz val="10"/>
      <name val="Arial"/>
      <family val="2"/>
    </font>
    <font>
      <sz val="11"/>
      <color theme="1"/>
      <name val="Arial"/>
      <family val="2"/>
    </font>
    <font>
      <sz val="10"/>
      <color theme="1"/>
      <name val="Arial"/>
      <family val="2"/>
    </font>
    <font>
      <b/>
      <sz val="11"/>
      <name val="Arial"/>
      <family val="2"/>
    </font>
    <font>
      <vertAlign val="superscript"/>
      <sz val="11"/>
      <name val="Arial"/>
      <family val="2"/>
    </font>
    <font>
      <sz val="11"/>
      <color indexed="81"/>
      <name val="Tahoma"/>
      <family val="2"/>
    </font>
    <font>
      <sz val="10"/>
      <color indexed="81"/>
      <name val="Tahoma"/>
      <family val="2"/>
    </font>
    <font>
      <sz val="8"/>
      <color indexed="42"/>
      <name val="Arial"/>
      <family val="2"/>
    </font>
    <font>
      <b/>
      <sz val="10"/>
      <color indexed="8"/>
      <name val="Arial"/>
      <family val="2"/>
    </font>
    <font>
      <sz val="7"/>
      <name val="Arial"/>
      <family val="2"/>
    </font>
    <font>
      <sz val="10"/>
      <color indexed="10"/>
      <name val="Arial"/>
      <family val="2"/>
    </font>
    <font>
      <b/>
      <i/>
      <sz val="12"/>
      <color indexed="13"/>
      <name val="Arial"/>
      <family val="2"/>
    </font>
    <font>
      <b/>
      <sz val="10"/>
      <color indexed="13"/>
      <name val="Arial"/>
      <family val="2"/>
    </font>
    <font>
      <sz val="10"/>
      <color indexed="13"/>
      <name val="Arial"/>
      <family val="2"/>
    </font>
    <font>
      <b/>
      <i/>
      <sz val="10"/>
      <color indexed="13"/>
      <name val="Arial"/>
      <family val="2"/>
    </font>
    <font>
      <sz val="10"/>
      <color indexed="9"/>
      <name val="Arial"/>
      <family val="2"/>
    </font>
    <font>
      <b/>
      <sz val="10"/>
      <name val="Arial"/>
      <family val="2"/>
    </font>
  </fonts>
  <fills count="21">
    <fill>
      <patternFill patternType="none"/>
    </fill>
    <fill>
      <patternFill patternType="gray125"/>
    </fill>
    <fill>
      <patternFill patternType="solid">
        <fgColor rgb="FFFFFFA7"/>
        <bgColor indexed="64"/>
      </patternFill>
    </fill>
    <fill>
      <patternFill patternType="solid">
        <fgColor theme="4" tint="0.79998168889431442"/>
        <bgColor indexed="45"/>
      </patternFill>
    </fill>
    <fill>
      <patternFill patternType="solid">
        <fgColor rgb="FFFFC5C5"/>
        <bgColor indexed="45"/>
      </patternFill>
    </fill>
    <fill>
      <patternFill patternType="solid">
        <fgColor theme="6" tint="0.59999389629810485"/>
        <bgColor indexed="64"/>
      </patternFill>
    </fill>
    <fill>
      <patternFill patternType="solid">
        <fgColor rgb="FFFFFF99"/>
        <bgColor indexed="64"/>
      </patternFill>
    </fill>
    <fill>
      <patternFill patternType="solid">
        <fgColor rgb="FF97FFA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indexed="57"/>
      </patternFill>
    </fill>
    <fill>
      <patternFill patternType="solid">
        <fgColor indexed="22"/>
      </patternFill>
    </fill>
    <fill>
      <patternFill patternType="solid">
        <fgColor indexed="44"/>
      </patternFill>
    </fill>
    <fill>
      <patternFill patternType="solid">
        <fgColor indexed="46"/>
        <bgColor indexed="64"/>
      </patternFill>
    </fill>
    <fill>
      <patternFill patternType="solid">
        <fgColor indexed="42"/>
      </patternFill>
    </fill>
    <fill>
      <patternFill patternType="solid">
        <fgColor indexed="21"/>
      </patternFill>
    </fill>
    <fill>
      <patternFill patternType="solid">
        <fgColor indexed="38"/>
      </patternFill>
    </fill>
    <fill>
      <patternFill patternType="solid">
        <fgColor indexed="47"/>
      </patternFill>
    </fill>
    <fill>
      <patternFill patternType="solid">
        <fgColor indexed="21"/>
        <bgColor indexed="64"/>
      </patternFill>
    </fill>
    <fill>
      <patternFill patternType="solid">
        <fgColor indexed="26"/>
      </patternFill>
    </fill>
    <fill>
      <patternFill patternType="solid">
        <fgColor indexed="48"/>
      </patternFill>
    </fill>
  </fills>
  <borders count="1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48"/>
      </left>
      <right style="medium">
        <color indexed="48"/>
      </right>
      <top/>
      <bottom style="medium">
        <color indexed="48"/>
      </bottom>
      <diagonal/>
    </border>
    <border>
      <left/>
      <right/>
      <top/>
      <bottom style="thin">
        <color indexed="64"/>
      </bottom>
      <diagonal/>
    </border>
    <border>
      <left style="medium">
        <color indexed="48"/>
      </left>
      <right style="medium">
        <color indexed="48"/>
      </right>
      <top style="medium">
        <color indexed="48"/>
      </top>
      <bottom style="medium">
        <color indexed="48"/>
      </bottom>
      <diagonal/>
    </border>
    <border>
      <left style="medium">
        <color indexed="48"/>
      </left>
      <right style="medium">
        <color indexed="48"/>
      </right>
      <top style="medium">
        <color indexed="48"/>
      </top>
      <bottom/>
      <diagonal/>
    </border>
    <border>
      <left style="medium">
        <color rgb="FFFF0000"/>
      </left>
      <right style="medium">
        <color rgb="FFFF0000"/>
      </right>
      <top style="medium">
        <color rgb="FFFF0000"/>
      </top>
      <bottom style="medium">
        <color rgb="FFFF0000"/>
      </bottom>
      <diagonal/>
    </border>
    <border>
      <left style="thin">
        <color indexed="64"/>
      </left>
      <right style="thin">
        <color indexed="64"/>
      </right>
      <top/>
      <bottom style="thin">
        <color indexed="64"/>
      </bottom>
      <diagonal/>
    </border>
    <border>
      <left style="medium">
        <color indexed="48"/>
      </left>
      <right/>
      <top style="medium">
        <color indexed="48"/>
      </top>
      <bottom style="medium">
        <color indexed="48"/>
      </bottom>
      <diagonal/>
    </border>
    <border>
      <left style="thin">
        <color indexed="64"/>
      </left>
      <right/>
      <top style="thin">
        <color indexed="64"/>
      </top>
      <bottom style="thin">
        <color indexed="64"/>
      </bottom>
      <diagonal/>
    </border>
    <border>
      <left/>
      <right/>
      <top style="thin">
        <color indexed="64"/>
      </top>
      <bottom/>
      <diagonal/>
    </border>
    <border>
      <left style="medium">
        <color rgb="FF00863D"/>
      </left>
      <right style="medium">
        <color rgb="FF00863D"/>
      </right>
      <top style="medium">
        <color rgb="FF00863D"/>
      </top>
      <bottom style="medium">
        <color rgb="FF00863D"/>
      </bottom>
      <diagonal/>
    </border>
    <border>
      <left/>
      <right style="thin">
        <color indexed="64"/>
      </right>
      <top/>
      <bottom style="hair">
        <color indexed="64"/>
      </bottom>
      <diagonal/>
    </border>
    <border>
      <left style="thin">
        <color indexed="64"/>
      </left>
      <right style="thin">
        <color indexed="64"/>
      </right>
      <top/>
      <bottom style="hair">
        <color indexed="64"/>
      </bottom>
      <diagonal/>
    </border>
    <border>
      <left/>
      <right/>
      <top style="hair">
        <color indexed="64"/>
      </top>
      <bottom/>
      <diagonal/>
    </border>
  </borders>
  <cellStyleXfs count="28">
    <xf numFmtId="0" fontId="0" fillId="0" borderId="0"/>
    <xf numFmtId="9" fontId="1" fillId="0" borderId="0" applyFont="0" applyFill="0" applyBorder="0" applyAlignment="0" applyProtection="0"/>
    <xf numFmtId="167" fontId="11" fillId="10" borderId="13" applyNumberFormat="0" applyBorder="0" applyAlignment="0">
      <alignment horizontal="center" vertical="center"/>
    </xf>
    <xf numFmtId="168" fontId="1" fillId="11" borderId="14" applyNumberFormat="0" applyBorder="0" applyAlignment="0">
      <alignment horizontal="center" vertical="center"/>
      <protection locked="0"/>
    </xf>
    <xf numFmtId="168" fontId="1" fillId="12" borderId="14" applyNumberFormat="0" applyBorder="0" applyAlignment="0">
      <alignment horizontal="center" vertical="center"/>
      <protection locked="0"/>
    </xf>
    <xf numFmtId="168" fontId="1" fillId="11" borderId="14" applyNumberFormat="0" applyBorder="0" applyAlignment="0">
      <alignment horizontal="center" vertical="center"/>
    </xf>
    <xf numFmtId="0" fontId="12" fillId="13" borderId="15">
      <alignment horizontal="center"/>
    </xf>
    <xf numFmtId="0" fontId="13" fillId="14" borderId="1" applyNumberFormat="0" applyBorder="0" applyAlignment="0">
      <alignment horizontal="center" vertical="center"/>
    </xf>
    <xf numFmtId="168" fontId="14" fillId="15" borderId="0" applyNumberFormat="0" applyBorder="0" applyAlignment="0">
      <alignment horizontal="center"/>
    </xf>
    <xf numFmtId="0" fontId="15" fillId="16" borderId="0" applyNumberFormat="0" applyBorder="0" applyAlignment="0"/>
    <xf numFmtId="0" fontId="16" fillId="16" borderId="0" applyNumberFormat="0" applyBorder="0" applyAlignment="0">
      <alignment horizontal="centerContinuous"/>
    </xf>
    <xf numFmtId="0" fontId="17" fillId="16" borderId="0" applyNumberFormat="0" applyBorder="0" applyAlignment="0">
      <alignment horizontal="center"/>
    </xf>
    <xf numFmtId="0" fontId="15" fillId="16" borderId="1" applyNumberFormat="0" applyBorder="0" applyAlignment="0"/>
    <xf numFmtId="0" fontId="16" fillId="16" borderId="1" applyNumberFormat="0" applyBorder="0" applyAlignment="0">
      <alignment horizontal="centerContinuous"/>
    </xf>
    <xf numFmtId="0" fontId="17" fillId="16" borderId="1" applyNumberFormat="0" applyBorder="0" applyAlignment="0">
      <alignment horizontal="center"/>
    </xf>
    <xf numFmtId="0" fontId="18" fillId="16" borderId="0" applyNumberFormat="0" applyBorder="0" applyAlignment="0">
      <alignment horizontal="left"/>
    </xf>
    <xf numFmtId="169" fontId="1" fillId="15" borderId="0" applyNumberFormat="0" applyBorder="0" applyAlignment="0">
      <alignment horizontal="center"/>
      <protection hidden="1"/>
    </xf>
    <xf numFmtId="168" fontId="1" fillId="17" borderId="1" applyNumberFormat="0" applyBorder="0" applyAlignment="0">
      <alignment horizontal="center" vertical="center"/>
    </xf>
    <xf numFmtId="0" fontId="1" fillId="0" borderId="0"/>
    <xf numFmtId="0" fontId="1" fillId="0" borderId="0"/>
    <xf numFmtId="0" fontId="6" fillId="0" borderId="0"/>
    <xf numFmtId="0" fontId="6" fillId="0" borderId="0"/>
    <xf numFmtId="0" fontId="1" fillId="18" borderId="0">
      <alignment horizontal="center"/>
      <protection locked="0"/>
    </xf>
    <xf numFmtId="0" fontId="1" fillId="15" borderId="0" applyNumberFormat="0" applyBorder="0" applyAlignment="0">
      <alignment horizontal="center"/>
    </xf>
    <xf numFmtId="0" fontId="1" fillId="16" borderId="0" applyNumberFormat="0" applyBorder="0" applyAlignment="0">
      <protection locked="0"/>
    </xf>
    <xf numFmtId="170" fontId="1" fillId="19" borderId="14" applyNumberFormat="0" applyBorder="0" applyAlignment="0">
      <alignment horizontal="center" vertical="center"/>
      <protection locked="0"/>
    </xf>
    <xf numFmtId="168" fontId="19" fillId="20" borderId="14" applyNumberFormat="0" applyBorder="0" applyAlignment="0">
      <alignment horizontal="center" vertical="center"/>
      <protection locked="0"/>
    </xf>
    <xf numFmtId="0" fontId="20" fillId="15" borderId="0" applyNumberFormat="0" applyBorder="0" applyAlignment="0">
      <alignment horizontal="center"/>
      <protection locked="0"/>
    </xf>
  </cellStyleXfs>
  <cellXfs count="88">
    <xf numFmtId="0" fontId="0" fillId="0" borderId="0" xfId="0"/>
    <xf numFmtId="0" fontId="0" fillId="0" borderId="1" xfId="0" applyBorder="1" applyAlignment="1">
      <alignment horizontal="center" vertical="center"/>
    </xf>
    <xf numFmtId="164" fontId="0" fillId="0" borderId="1" xfId="0" applyNumberFormat="1" applyBorder="1" applyAlignment="1">
      <alignment horizontal="center" vertical="center"/>
    </xf>
    <xf numFmtId="0" fontId="0" fillId="2" borderId="2" xfId="0" applyFill="1" applyBorder="1"/>
    <xf numFmtId="0" fontId="2" fillId="2" borderId="2" xfId="0" applyFont="1" applyFill="1" applyBorder="1" applyAlignment="1">
      <alignment horizontal="right" vertical="center"/>
    </xf>
    <xf numFmtId="0" fontId="2" fillId="2" borderId="2" xfId="0" applyFont="1" applyFill="1" applyBorder="1" applyAlignment="1">
      <alignment horizontal="center"/>
    </xf>
    <xf numFmtId="0" fontId="2" fillId="0" borderId="0" xfId="0" applyFont="1" applyAlignment="1">
      <alignment horizontal="right"/>
    </xf>
    <xf numFmtId="0" fontId="2" fillId="0" borderId="0" xfId="0" applyFont="1" applyAlignment="1">
      <alignment horizontal="center" vertical="center"/>
    </xf>
    <xf numFmtId="0" fontId="0" fillId="0" borderId="0" xfId="0" applyAlignment="1">
      <alignment horizontal="right"/>
    </xf>
    <xf numFmtId="165" fontId="1" fillId="3" borderId="3" xfId="0" applyNumberFormat="1" applyFont="1" applyFill="1" applyBorder="1" applyAlignment="1">
      <alignment horizontal="center" vertical="center"/>
    </xf>
    <xf numFmtId="0" fontId="2" fillId="0" borderId="4" xfId="0" applyFont="1" applyBorder="1"/>
    <xf numFmtId="0" fontId="2" fillId="0" borderId="0" xfId="0" applyFont="1"/>
    <xf numFmtId="0" fontId="0" fillId="0" borderId="0" xfId="0" applyAlignment="1">
      <alignment horizontal="center" vertical="center"/>
    </xf>
    <xf numFmtId="1" fontId="1" fillId="3" borderId="5" xfId="0" applyNumberFormat="1" applyFont="1" applyFill="1" applyBorder="1" applyAlignment="1">
      <alignment horizontal="center" vertical="center"/>
    </xf>
    <xf numFmtId="165" fontId="1" fillId="3" borderId="5" xfId="0" applyNumberFormat="1" applyFont="1" applyFill="1" applyBorder="1" applyAlignment="1">
      <alignment horizontal="center" vertical="center"/>
    </xf>
    <xf numFmtId="2" fontId="1" fillId="3" borderId="6" xfId="0" applyNumberFormat="1" applyFont="1" applyFill="1" applyBorder="1" applyAlignment="1">
      <alignment horizontal="center" vertical="center"/>
    </xf>
    <xf numFmtId="1" fontId="2" fillId="3" borderId="5" xfId="0" applyNumberFormat="1" applyFont="1" applyFill="1" applyBorder="1" applyAlignment="1">
      <alignment horizontal="center" vertical="center"/>
    </xf>
    <xf numFmtId="0" fontId="0" fillId="0" borderId="0" xfId="0" applyAlignment="1">
      <alignment horizontal="right" vertical="center"/>
    </xf>
    <xf numFmtId="2" fontId="1" fillId="3" borderId="5" xfId="0" applyNumberFormat="1" applyFont="1" applyFill="1" applyBorder="1" applyAlignment="1">
      <alignment horizontal="center" vertical="center"/>
    </xf>
    <xf numFmtId="165" fontId="0" fillId="4" borderId="7" xfId="0" applyNumberFormat="1" applyFont="1" applyFill="1" applyBorder="1" applyAlignment="1">
      <alignment horizontal="center" vertical="center"/>
    </xf>
    <xf numFmtId="166" fontId="1" fillId="3" borderId="5" xfId="0" applyNumberFormat="1" applyFont="1" applyFill="1" applyBorder="1" applyAlignment="1">
      <alignment horizontal="center" vertical="center"/>
    </xf>
    <xf numFmtId="9" fontId="1" fillId="3" borderId="5" xfId="1" applyNumberFormat="1" applyFont="1" applyFill="1" applyBorder="1" applyAlignment="1">
      <alignment horizontal="center" vertical="center"/>
    </xf>
    <xf numFmtId="164" fontId="0" fillId="5" borderId="8" xfId="0" applyNumberFormat="1" applyFill="1" applyBorder="1" applyAlignment="1">
      <alignment horizontal="center" vertical="center"/>
    </xf>
    <xf numFmtId="0" fontId="0" fillId="0" borderId="4" xfId="0" applyBorder="1"/>
    <xf numFmtId="10" fontId="1" fillId="3" borderId="5" xfId="0" applyNumberFormat="1" applyFont="1" applyFill="1" applyBorder="1" applyAlignment="1">
      <alignment horizontal="center" vertical="center"/>
    </xf>
    <xf numFmtId="0" fontId="5" fillId="0" borderId="1" xfId="0" applyFont="1" applyBorder="1" applyAlignment="1">
      <alignment horizontal="center" vertical="center"/>
    </xf>
    <xf numFmtId="3" fontId="2" fillId="3" borderId="5" xfId="0" applyNumberFormat="1" applyFont="1" applyFill="1" applyBorder="1" applyAlignment="1">
      <alignment horizontal="center" vertical="center"/>
    </xf>
    <xf numFmtId="0" fontId="2" fillId="0" borderId="1" xfId="0" applyFont="1" applyBorder="1" applyAlignment="1">
      <alignment horizontal="center" vertical="center"/>
    </xf>
    <xf numFmtId="0" fontId="0" fillId="0" borderId="0" xfId="0" applyFill="1" applyBorder="1" applyAlignment="1">
      <alignment horizontal="right" vertical="center"/>
    </xf>
    <xf numFmtId="0" fontId="0" fillId="0" borderId="0" xfId="0" applyNumberFormat="1" applyAlignment="1">
      <alignment horizontal="right" vertical="center"/>
    </xf>
    <xf numFmtId="0" fontId="0" fillId="0" borderId="0" xfId="0" applyNumberFormat="1" applyAlignment="1">
      <alignment horizontal="center" vertical="center"/>
    </xf>
    <xf numFmtId="164" fontId="0" fillId="5" borderId="1" xfId="0" applyNumberFormat="1" applyFill="1" applyBorder="1" applyAlignment="1">
      <alignment horizontal="center" vertical="center"/>
    </xf>
    <xf numFmtId="0" fontId="1" fillId="0" borderId="0" xfId="0" applyFont="1" applyAlignment="1">
      <alignment horizontal="center" vertical="center"/>
    </xf>
    <xf numFmtId="10" fontId="1" fillId="3" borderId="9" xfId="0" applyNumberFormat="1" applyFont="1" applyFill="1" applyBorder="1" applyAlignment="1">
      <alignment horizontal="center" vertical="center"/>
    </xf>
    <xf numFmtId="3" fontId="0" fillId="0" borderId="1" xfId="0" applyNumberFormat="1" applyBorder="1" applyAlignment="1">
      <alignment vertical="center"/>
    </xf>
    <xf numFmtId="0" fontId="0" fillId="0" borderId="0" xfId="0" applyAlignment="1">
      <alignment vertical="center"/>
    </xf>
    <xf numFmtId="3" fontId="0" fillId="0" borderId="0" xfId="0" applyNumberFormat="1"/>
    <xf numFmtId="165" fontId="0" fillId="5" borderId="1" xfId="0" applyNumberFormat="1" applyFill="1" applyBorder="1" applyAlignment="1">
      <alignment horizontal="center" vertical="center"/>
    </xf>
    <xf numFmtId="2" fontId="1" fillId="3" borderId="3" xfId="0" applyNumberFormat="1" applyFont="1" applyFill="1" applyBorder="1" applyAlignment="1">
      <alignment horizontal="center" vertical="center"/>
    </xf>
    <xf numFmtId="2" fontId="0" fillId="5" borderId="1" xfId="0" applyNumberFormat="1" applyFill="1" applyBorder="1" applyAlignment="1">
      <alignment horizontal="center" vertical="center"/>
    </xf>
    <xf numFmtId="0" fontId="0" fillId="0" borderId="0" xfId="0" applyFont="1" applyAlignment="1">
      <alignment horizontal="center" vertical="center"/>
    </xf>
    <xf numFmtId="0" fontId="0" fillId="0" borderId="0" xfId="0" applyNumberFormat="1" applyFont="1" applyAlignment="1">
      <alignment horizontal="center" vertical="center"/>
    </xf>
    <xf numFmtId="9" fontId="0" fillId="5" borderId="10" xfId="1" applyFont="1" applyFill="1" applyBorder="1" applyAlignment="1">
      <alignment horizontal="center"/>
    </xf>
    <xf numFmtId="0" fontId="0" fillId="5" borderId="0" xfId="0" applyFill="1"/>
    <xf numFmtId="0" fontId="2" fillId="5" borderId="0" xfId="0" applyFont="1" applyFill="1"/>
    <xf numFmtId="0" fontId="2" fillId="5" borderId="0" xfId="0" applyFont="1" applyFill="1" applyAlignment="1">
      <alignment horizontal="right"/>
    </xf>
    <xf numFmtId="3" fontId="2" fillId="5" borderId="1" xfId="0" applyNumberFormat="1" applyFont="1" applyFill="1" applyBorder="1"/>
    <xf numFmtId="0" fontId="0" fillId="0" borderId="0" xfId="0" applyFont="1" applyFill="1" applyBorder="1" applyAlignment="1">
      <alignment horizontal="left" vertical="center"/>
    </xf>
    <xf numFmtId="0" fontId="0" fillId="0" borderId="0" xfId="0" applyAlignment="1">
      <alignment horizontal="left"/>
    </xf>
    <xf numFmtId="0" fontId="0" fillId="6" borderId="2" xfId="0" applyFill="1" applyBorder="1"/>
    <xf numFmtId="0" fontId="0" fillId="6" borderId="11" xfId="0" applyFill="1" applyBorder="1"/>
    <xf numFmtId="0" fontId="2" fillId="6" borderId="2" xfId="0" applyFont="1" applyFill="1" applyBorder="1" applyAlignment="1">
      <alignment horizontal="center"/>
    </xf>
    <xf numFmtId="0" fontId="0" fillId="0" borderId="8" xfId="0" applyBorder="1" applyAlignment="1">
      <alignment horizontal="center" vertical="center"/>
    </xf>
    <xf numFmtId="10" fontId="0" fillId="5" borderId="1" xfId="0" applyNumberFormat="1" applyFill="1" applyBorder="1" applyAlignment="1">
      <alignment horizontal="center" vertical="center"/>
    </xf>
    <xf numFmtId="1" fontId="0" fillId="4" borderId="7" xfId="0" applyNumberFormat="1" applyFont="1" applyFill="1" applyBorder="1" applyAlignment="1">
      <alignment horizontal="center" vertical="center"/>
    </xf>
    <xf numFmtId="1" fontId="0" fillId="5" borderId="1" xfId="0" applyNumberFormat="1" applyFill="1" applyBorder="1" applyAlignment="1">
      <alignment horizontal="center" vertical="center"/>
    </xf>
    <xf numFmtId="0" fontId="0" fillId="0" borderId="0" xfId="0" applyFont="1" applyAlignment="1">
      <alignment horizontal="right" vertical="center"/>
    </xf>
    <xf numFmtId="0" fontId="2" fillId="0" borderId="0" xfId="0" applyFont="1" applyAlignment="1">
      <alignment horizontal="right" vertical="center"/>
    </xf>
    <xf numFmtId="1" fontId="6" fillId="7" borderId="12" xfId="0" applyNumberFormat="1" applyFont="1" applyFill="1" applyBorder="1" applyAlignment="1">
      <alignment horizontal="center" vertical="center"/>
    </xf>
    <xf numFmtId="0" fontId="0" fillId="0" borderId="0" xfId="0" applyBorder="1"/>
    <xf numFmtId="1" fontId="0" fillId="0" borderId="0" xfId="0" applyNumberFormat="1"/>
    <xf numFmtId="0" fontId="0" fillId="6" borderId="1" xfId="0" applyFill="1" applyBorder="1" applyAlignment="1">
      <alignment horizontal="right"/>
    </xf>
    <xf numFmtId="9" fontId="0" fillId="0" borderId="1" xfId="0" applyNumberFormat="1" applyBorder="1" applyAlignment="1">
      <alignment horizontal="center" vertical="center"/>
    </xf>
    <xf numFmtId="9" fontId="0" fillId="6" borderId="1" xfId="0" applyNumberFormat="1" applyFill="1" applyBorder="1" applyAlignment="1">
      <alignment horizontal="center" vertical="center"/>
    </xf>
    <xf numFmtId="0" fontId="0" fillId="6" borderId="1" xfId="0" applyFill="1" applyBorder="1" applyAlignment="1">
      <alignment horizontal="center" vertical="center"/>
    </xf>
    <xf numFmtId="3" fontId="0" fillId="7" borderId="12" xfId="0" applyNumberFormat="1" applyFill="1" applyBorder="1" applyAlignment="1">
      <alignment horizontal="center" vertical="center"/>
    </xf>
    <xf numFmtId="0" fontId="2" fillId="2" borderId="2" xfId="0" applyFont="1" applyFill="1" applyBorder="1" applyAlignment="1">
      <alignment horizontal="left" vertical="center"/>
    </xf>
    <xf numFmtId="0" fontId="2" fillId="2" borderId="2" xfId="0" applyFont="1" applyFill="1" applyBorder="1"/>
    <xf numFmtId="0" fontId="0" fillId="8" borderId="0" xfId="0" applyFill="1"/>
    <xf numFmtId="0" fontId="1" fillId="0" borderId="1" xfId="0" applyFont="1" applyBorder="1" applyAlignment="1">
      <alignment horizontal="center" vertical="center"/>
    </xf>
    <xf numFmtId="0" fontId="0" fillId="0" borderId="1" xfId="0" applyFont="1" applyBorder="1" applyAlignment="1">
      <alignment horizontal="center" vertical="center"/>
    </xf>
    <xf numFmtId="1" fontId="0" fillId="9" borderId="1" xfId="0" applyNumberFormat="1" applyFill="1" applyBorder="1" applyAlignment="1">
      <alignment horizontal="center" vertical="center"/>
    </xf>
    <xf numFmtId="2" fontId="0" fillId="9" borderId="1" xfId="0" applyNumberFormat="1" applyFill="1" applyBorder="1" applyAlignment="1">
      <alignment horizontal="center" vertical="center"/>
    </xf>
    <xf numFmtId="11" fontId="0" fillId="9" borderId="1" xfId="0" applyNumberFormat="1" applyFill="1" applyBorder="1" applyAlignment="1">
      <alignment horizontal="center" vertical="center"/>
    </xf>
    <xf numFmtId="0" fontId="1" fillId="0" borderId="10" xfId="0" applyFont="1" applyBorder="1" applyAlignment="1">
      <alignment horizontal="center" vertical="center"/>
    </xf>
    <xf numFmtId="0" fontId="0" fillId="8" borderId="0" xfId="0" applyFill="1" applyAlignment="1">
      <alignment vertical="top"/>
    </xf>
    <xf numFmtId="0" fontId="2" fillId="8" borderId="0" xfId="0" applyFont="1" applyFill="1" applyAlignment="1">
      <alignment horizontal="center" vertical="top"/>
    </xf>
    <xf numFmtId="165" fontId="0" fillId="9" borderId="1" xfId="0" applyNumberFormat="1" applyFill="1" applyBorder="1" applyAlignment="1">
      <alignment horizontal="center" vertical="center"/>
    </xf>
    <xf numFmtId="164" fontId="0" fillId="9" borderId="1" xfId="0" applyNumberFormat="1" applyFill="1" applyBorder="1" applyAlignment="1">
      <alignment horizontal="center" vertical="center"/>
    </xf>
    <xf numFmtId="0" fontId="2" fillId="0" borderId="4" xfId="0" applyFont="1" applyBorder="1" applyAlignment="1">
      <alignment horizontal="right"/>
    </xf>
    <xf numFmtId="2" fontId="0" fillId="0" borderId="1" xfId="0" applyNumberFormat="1" applyBorder="1" applyAlignment="1">
      <alignment horizontal="center" vertical="center"/>
    </xf>
    <xf numFmtId="0" fontId="0" fillId="0" borderId="1" xfId="0" applyNumberFormat="1" applyBorder="1" applyAlignment="1">
      <alignment horizontal="center" vertical="center"/>
    </xf>
    <xf numFmtId="165" fontId="0" fillId="0" borderId="1" xfId="0" applyNumberFormat="1" applyBorder="1" applyAlignment="1">
      <alignment horizontal="center" vertical="center"/>
    </xf>
    <xf numFmtId="0" fontId="2" fillId="6" borderId="2" xfId="0" applyFont="1" applyFill="1" applyBorder="1" applyAlignment="1">
      <alignment horizontal="center" vertical="center"/>
    </xf>
    <xf numFmtId="0" fontId="0" fillId="0" borderId="1" xfId="0" applyFont="1" applyBorder="1" applyAlignment="1">
      <alignment horizontal="center"/>
    </xf>
    <xf numFmtId="0" fontId="0" fillId="0" borderId="0" xfId="0" applyFill="1" applyBorder="1" applyAlignment="1">
      <alignment horizontal="right"/>
    </xf>
    <xf numFmtId="165" fontId="0" fillId="6" borderId="1" xfId="0" applyNumberFormat="1" applyFill="1" applyBorder="1" applyAlignment="1">
      <alignment horizontal="center" vertical="center"/>
    </xf>
    <xf numFmtId="165" fontId="0" fillId="0" borderId="1" xfId="0" applyNumberFormat="1" applyFill="1" applyBorder="1" applyAlignment="1">
      <alignment horizontal="center" vertical="center"/>
    </xf>
  </cellXfs>
  <cellStyles count="28">
    <cellStyle name="AuditCheck" xfId="2"/>
    <cellStyle name="CalcDataFree" xfId="3"/>
    <cellStyle name="CalcDataLimn" xfId="4"/>
    <cellStyle name="CalculatedData" xfId="5"/>
    <cellStyle name="ControlledCell" xfId="6"/>
    <cellStyle name="DataBlock" xfId="7"/>
    <cellStyle name="Diagnostic" xfId="8"/>
    <cellStyle name="Heading1" xfId="9"/>
    <cellStyle name="Heading2" xfId="10"/>
    <cellStyle name="Heading3" xfId="11"/>
    <cellStyle name="Heading4" xfId="12"/>
    <cellStyle name="Heading5" xfId="13"/>
    <cellStyle name="Heading6" xfId="14"/>
    <cellStyle name="Heading7" xfId="15"/>
    <cellStyle name="Hidden" xfId="16"/>
    <cellStyle name="ManualLinks" xfId="17"/>
    <cellStyle name="Normal" xfId="0" builtinId="0"/>
    <cellStyle name="Normal 2" xfId="18"/>
    <cellStyle name="Normal 3" xfId="19"/>
    <cellStyle name="Normal 4" xfId="20"/>
    <cellStyle name="Normal 4 2" xfId="21"/>
    <cellStyle name="NormalFree_CoalWizard" xfId="22"/>
    <cellStyle name="NormalProtected" xfId="23"/>
    <cellStyle name="NormalUnprotected" xfId="24"/>
    <cellStyle name="Percent" xfId="1" builtinId="5"/>
    <cellStyle name="UserFormula" xfId="25"/>
    <cellStyle name="UserInput" xfId="26"/>
    <cellStyle name="UserText" xfId="27"/>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pPr>
            <a:r>
              <a:rPr lang="en-US" sz="1400"/>
              <a:t>Effect of Oxygen Enrichment of Air</a:t>
            </a:r>
          </a:p>
        </c:rich>
      </c:tx>
      <c:layout/>
      <c:overlay val="0"/>
    </c:title>
    <c:autoTitleDeleted val="0"/>
    <c:plotArea>
      <c:layout>
        <c:manualLayout>
          <c:layoutTarget val="inner"/>
          <c:xMode val="edge"/>
          <c:yMode val="edge"/>
          <c:x val="0.13094444444444445"/>
          <c:y val="0.12164552347623214"/>
          <c:w val="0.74706714785651795"/>
          <c:h val="0.71144867308253135"/>
        </c:manualLayout>
      </c:layout>
      <c:scatterChart>
        <c:scatterStyle val="smoothMarker"/>
        <c:varyColors val="0"/>
        <c:ser>
          <c:idx val="1"/>
          <c:order val="1"/>
          <c:tx>
            <c:strRef>
              <c:f>OxyEnrich!$T$37</c:f>
              <c:strCache>
                <c:ptCount val="1"/>
                <c:pt idx="0">
                  <c:v>Oxidant flow, actual m3/min</c:v>
                </c:pt>
              </c:strCache>
            </c:strRef>
          </c:tx>
          <c:spPr>
            <a:ln w="15875">
              <a:solidFill>
                <a:srgbClr val="FF0000"/>
              </a:solidFill>
            </a:ln>
          </c:spPr>
          <c:xVal>
            <c:numRef>
              <c:f>OxyEnrich!$U$35:$Y$35</c:f>
              <c:numCache>
                <c:formatCode>0%</c:formatCode>
                <c:ptCount val="5"/>
                <c:pt idx="0">
                  <c:v>0.21</c:v>
                </c:pt>
                <c:pt idx="1">
                  <c:v>0.23</c:v>
                </c:pt>
                <c:pt idx="2">
                  <c:v>0.25</c:v>
                </c:pt>
                <c:pt idx="3">
                  <c:v>0.27</c:v>
                </c:pt>
                <c:pt idx="4">
                  <c:v>0.28999999999999998</c:v>
                </c:pt>
              </c:numCache>
            </c:numRef>
          </c:xVal>
          <c:yVal>
            <c:numRef>
              <c:f>OxyEnrich!$U$37:$Y$37</c:f>
              <c:numCache>
                <c:formatCode>General</c:formatCode>
                <c:ptCount val="5"/>
                <c:pt idx="0">
                  <c:v>360.5</c:v>
                </c:pt>
                <c:pt idx="1">
                  <c:v>314.10000000000002</c:v>
                </c:pt>
                <c:pt idx="2">
                  <c:v>278.3</c:v>
                </c:pt>
                <c:pt idx="3">
                  <c:v>249.8</c:v>
                </c:pt>
                <c:pt idx="4">
                  <c:v>226.6</c:v>
                </c:pt>
              </c:numCache>
            </c:numRef>
          </c:yVal>
          <c:smooth val="1"/>
        </c:ser>
        <c:dLbls>
          <c:showLegendKey val="0"/>
          <c:showVal val="0"/>
          <c:showCatName val="0"/>
          <c:showSerName val="0"/>
          <c:showPercent val="0"/>
          <c:showBubbleSize val="0"/>
        </c:dLbls>
        <c:axId val="152911872"/>
        <c:axId val="152913792"/>
      </c:scatterChart>
      <c:scatterChart>
        <c:scatterStyle val="smoothMarker"/>
        <c:varyColors val="0"/>
        <c:ser>
          <c:idx val="0"/>
          <c:order val="0"/>
          <c:tx>
            <c:strRef>
              <c:f>OxyEnrich!$T$36</c:f>
              <c:strCache>
                <c:ptCount val="1"/>
                <c:pt idx="0">
                  <c:v>NG flow, actual m3/min</c:v>
                </c:pt>
              </c:strCache>
            </c:strRef>
          </c:tx>
          <c:spPr>
            <a:ln w="15875">
              <a:solidFill>
                <a:schemeClr val="accent1">
                  <a:lumMod val="75000"/>
                </a:schemeClr>
              </a:solidFill>
            </a:ln>
          </c:spPr>
          <c:xVal>
            <c:numRef>
              <c:f>OxyEnrich!$U$35:$Y$35</c:f>
              <c:numCache>
                <c:formatCode>0%</c:formatCode>
                <c:ptCount val="5"/>
                <c:pt idx="0">
                  <c:v>0.21</c:v>
                </c:pt>
                <c:pt idx="1">
                  <c:v>0.23</c:v>
                </c:pt>
                <c:pt idx="2">
                  <c:v>0.25</c:v>
                </c:pt>
                <c:pt idx="3">
                  <c:v>0.27</c:v>
                </c:pt>
                <c:pt idx="4">
                  <c:v>0.28999999999999998</c:v>
                </c:pt>
              </c:numCache>
            </c:numRef>
          </c:xVal>
          <c:yVal>
            <c:numRef>
              <c:f>OxyEnrich!$U$36:$Y$36</c:f>
              <c:numCache>
                <c:formatCode>General</c:formatCode>
                <c:ptCount val="5"/>
                <c:pt idx="0">
                  <c:v>32</c:v>
                </c:pt>
                <c:pt idx="1">
                  <c:v>30.5</c:v>
                </c:pt>
                <c:pt idx="2">
                  <c:v>29.4</c:v>
                </c:pt>
                <c:pt idx="3">
                  <c:v>28.5</c:v>
                </c:pt>
                <c:pt idx="4">
                  <c:v>27.8</c:v>
                </c:pt>
              </c:numCache>
            </c:numRef>
          </c:yVal>
          <c:smooth val="1"/>
        </c:ser>
        <c:dLbls>
          <c:showLegendKey val="0"/>
          <c:showVal val="0"/>
          <c:showCatName val="0"/>
          <c:showSerName val="0"/>
          <c:showPercent val="0"/>
          <c:showBubbleSize val="0"/>
        </c:dLbls>
        <c:axId val="152921984"/>
        <c:axId val="152920064"/>
      </c:scatterChart>
      <c:valAx>
        <c:axId val="152911872"/>
        <c:scaling>
          <c:orientation val="minMax"/>
          <c:max val="0.30000000000000004"/>
          <c:min val="0.2"/>
        </c:scaling>
        <c:delete val="0"/>
        <c:axPos val="b"/>
        <c:majorGridlines/>
        <c:title>
          <c:tx>
            <c:rich>
              <a:bodyPr/>
              <a:lstStyle/>
              <a:p>
                <a:pPr>
                  <a:defRPr/>
                </a:pPr>
                <a:r>
                  <a:rPr lang="en-US"/>
                  <a:t>%O</a:t>
                </a:r>
                <a:r>
                  <a:rPr lang="en-US" baseline="-25000"/>
                  <a:t>2</a:t>
                </a:r>
                <a:r>
                  <a:rPr lang="en-US"/>
                  <a:t> in oxidant gas</a:t>
                </a:r>
              </a:p>
            </c:rich>
          </c:tx>
          <c:layout/>
          <c:overlay val="0"/>
        </c:title>
        <c:numFmt formatCode="0%" sourceLinked="1"/>
        <c:majorTickMark val="out"/>
        <c:minorTickMark val="none"/>
        <c:tickLblPos val="nextTo"/>
        <c:crossAx val="152913792"/>
        <c:crosses val="autoZero"/>
        <c:crossBetween val="midCat"/>
      </c:valAx>
      <c:valAx>
        <c:axId val="152913792"/>
        <c:scaling>
          <c:orientation val="minMax"/>
          <c:min val="200"/>
        </c:scaling>
        <c:delete val="0"/>
        <c:axPos val="l"/>
        <c:majorGridlines/>
        <c:title>
          <c:tx>
            <c:rich>
              <a:bodyPr rot="-5400000" vert="horz"/>
              <a:lstStyle/>
              <a:p>
                <a:pPr>
                  <a:defRPr/>
                </a:pPr>
                <a:r>
                  <a:rPr lang="en-US"/>
                  <a:t>oxidant flow</a:t>
                </a:r>
              </a:p>
            </c:rich>
          </c:tx>
          <c:layout>
            <c:manualLayout>
              <c:xMode val="edge"/>
              <c:yMode val="edge"/>
              <c:x val="8.1920384951880993E-3"/>
              <c:y val="0.34250874890638672"/>
            </c:manualLayout>
          </c:layout>
          <c:overlay val="0"/>
        </c:title>
        <c:numFmt formatCode="General" sourceLinked="1"/>
        <c:majorTickMark val="out"/>
        <c:minorTickMark val="none"/>
        <c:tickLblPos val="nextTo"/>
        <c:crossAx val="152911872"/>
        <c:crosses val="autoZero"/>
        <c:crossBetween val="midCat"/>
      </c:valAx>
      <c:valAx>
        <c:axId val="152920064"/>
        <c:scaling>
          <c:orientation val="minMax"/>
        </c:scaling>
        <c:delete val="0"/>
        <c:axPos val="r"/>
        <c:title>
          <c:tx>
            <c:rich>
              <a:bodyPr rot="-5400000" vert="horz"/>
              <a:lstStyle/>
              <a:p>
                <a:pPr>
                  <a:defRPr/>
                </a:pPr>
                <a:r>
                  <a:rPr lang="en-US"/>
                  <a:t>NG flow</a:t>
                </a:r>
              </a:p>
            </c:rich>
          </c:tx>
          <c:layout/>
          <c:overlay val="0"/>
        </c:title>
        <c:numFmt formatCode="General" sourceLinked="1"/>
        <c:majorTickMark val="out"/>
        <c:minorTickMark val="none"/>
        <c:tickLblPos val="nextTo"/>
        <c:crossAx val="152921984"/>
        <c:crosses val="max"/>
        <c:crossBetween val="midCat"/>
      </c:valAx>
      <c:valAx>
        <c:axId val="152921984"/>
        <c:scaling>
          <c:orientation val="minMax"/>
        </c:scaling>
        <c:delete val="1"/>
        <c:axPos val="b"/>
        <c:numFmt formatCode="0%" sourceLinked="1"/>
        <c:majorTickMark val="out"/>
        <c:minorTickMark val="none"/>
        <c:tickLblPos val="nextTo"/>
        <c:crossAx val="152920064"/>
        <c:crosses val="autoZero"/>
        <c:crossBetween val="midCat"/>
      </c:valAx>
    </c:plotArea>
    <c:legend>
      <c:legendPos val="t"/>
      <c:layout>
        <c:manualLayout>
          <c:xMode val="edge"/>
          <c:yMode val="edge"/>
          <c:x val="0.39540441819772526"/>
          <c:y val="0.15277777777777779"/>
          <c:w val="0.45363560804899389"/>
          <c:h val="0.12538385826771653"/>
        </c:manualLayout>
      </c:layout>
      <c:overlay val="0"/>
      <c:spPr>
        <a:solidFill>
          <a:schemeClr val="accent2">
            <a:lumMod val="20000"/>
            <a:lumOff val="80000"/>
          </a:schemeClr>
        </a:solidFill>
        <a:ln>
          <a:solidFill>
            <a:schemeClr val="tx1"/>
          </a:solidFill>
        </a:ln>
      </c:spPr>
      <c:txPr>
        <a:bodyPr/>
        <a:lstStyle/>
        <a:p>
          <a:pPr>
            <a:defRPr sz="1050"/>
          </a:pPr>
          <a:endParaRPr lang="en-US"/>
        </a:p>
      </c:tx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3.emf"/><Relationship Id="rId1" Type="http://schemas.openxmlformats.org/officeDocument/2006/relationships/image" Target="../media/image2.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absolute">
    <xdr:from>
      <xdr:col>8</xdr:col>
      <xdr:colOff>216111</xdr:colOff>
      <xdr:row>5</xdr:row>
      <xdr:rowOff>429683</xdr:rowOff>
    </xdr:from>
    <xdr:to>
      <xdr:col>11</xdr:col>
      <xdr:colOff>156845</xdr:colOff>
      <xdr:row>5</xdr:row>
      <xdr:rowOff>1107015</xdr:rowOff>
    </xdr:to>
    <xdr:sp macro="" textlink="">
      <xdr:nvSpPr>
        <xdr:cNvPr id="2" name="Rectangle 1"/>
        <xdr:cNvSpPr/>
      </xdr:nvSpPr>
      <xdr:spPr>
        <a:xfrm>
          <a:off x="5404485" y="1403349"/>
          <a:ext cx="2043853" cy="677332"/>
        </a:xfrm>
        <a:prstGeom prst="rect">
          <a:avLst/>
        </a:prstGeom>
        <a:ln w="9525">
          <a:solidFill>
            <a:schemeClr val="tx1"/>
          </a:solidFill>
        </a:ln>
        <a:effectLst>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oneCellAnchor>
    <xdr:from>
      <xdr:col>0</xdr:col>
      <xdr:colOff>218019</xdr:colOff>
      <xdr:row>11</xdr:row>
      <xdr:rowOff>163779</xdr:rowOff>
    </xdr:from>
    <xdr:ext cx="1512356" cy="684216"/>
    <xdr:sp macro="" textlink="">
      <xdr:nvSpPr>
        <xdr:cNvPr id="3" name="TextBox 2"/>
        <xdr:cNvSpPr txBox="1"/>
      </xdr:nvSpPr>
      <xdr:spPr>
        <a:xfrm>
          <a:off x="218019" y="3211779"/>
          <a:ext cx="1512356" cy="684216"/>
        </a:xfrm>
        <a:prstGeom prst="rect">
          <a:avLst/>
        </a:prstGeom>
        <a:solidFill>
          <a:schemeClr val="bg2"/>
        </a:solidFill>
        <a:ln w="12700">
          <a:solidFill>
            <a:schemeClr val="tx1"/>
          </a:solidFill>
          <a:prstDash val="lgDash"/>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chorCtr="0">
          <a:noAutofit/>
        </a:bodyPr>
        <a:lstStyle/>
        <a:p>
          <a:pPr algn="l"/>
          <a:r>
            <a:rPr lang="en-US" sz="1200">
              <a:latin typeface="Arial" pitchFamily="34" charset="0"/>
              <a:cs typeface="Arial" pitchFamily="34" charset="0"/>
            </a:rPr>
            <a:t>Edit </a:t>
          </a:r>
          <a:r>
            <a:rPr lang="en-US" sz="1200" baseline="0">
              <a:latin typeface="Arial" pitchFamily="34" charset="0"/>
              <a:cs typeface="Arial" pitchFamily="34" charset="0"/>
            </a:rPr>
            <a:t>entries in blue-bordered cells </a:t>
          </a:r>
          <a:r>
            <a:rPr lang="en-US" sz="1200">
              <a:solidFill>
                <a:schemeClr val="tx1"/>
              </a:solidFill>
              <a:effectLst/>
              <a:latin typeface="Arial" pitchFamily="34" charset="0"/>
              <a:ea typeface="+mn-ea"/>
              <a:cs typeface="Arial" pitchFamily="34" charset="0"/>
            </a:rPr>
            <a:t>only!</a:t>
          </a:r>
          <a:endParaRPr lang="en-US" sz="1200">
            <a:latin typeface="Arial" pitchFamily="34" charset="0"/>
            <a:cs typeface="Arial" pitchFamily="34" charset="0"/>
          </a:endParaRPr>
        </a:p>
      </xdr:txBody>
    </xdr:sp>
    <xdr:clientData/>
  </xdr:oneCellAnchor>
  <xdr:oneCellAnchor>
    <xdr:from>
      <xdr:col>0</xdr:col>
      <xdr:colOff>579120</xdr:colOff>
      <xdr:row>13</xdr:row>
      <xdr:rowOff>185057</xdr:rowOff>
    </xdr:from>
    <xdr:ext cx="868680" cy="195943"/>
    <xdr:sp macro="" textlink="">
      <xdr:nvSpPr>
        <xdr:cNvPr id="4" name="TextBox 3"/>
        <xdr:cNvSpPr txBox="1"/>
      </xdr:nvSpPr>
      <xdr:spPr>
        <a:xfrm>
          <a:off x="579120" y="3656390"/>
          <a:ext cx="868680" cy="195943"/>
        </a:xfrm>
        <a:prstGeom prst="rect">
          <a:avLst/>
        </a:prstGeom>
        <a:solidFill>
          <a:schemeClr val="accent1">
            <a:lumMod val="20000"/>
            <a:lumOff val="80000"/>
          </a:schemeClr>
        </a:solidFill>
        <a:ln>
          <a:solidFill>
            <a:srgbClr val="4070AA"/>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noAutofit/>
        </a:bodyPr>
        <a:lstStyle/>
        <a:p>
          <a:pPr algn="ctr"/>
          <a:r>
            <a:rPr lang="en-US" sz="1100"/>
            <a:t>  (like this)</a:t>
          </a:r>
        </a:p>
      </xdr:txBody>
    </xdr:sp>
    <xdr:clientData/>
  </xdr:oneCellAnchor>
  <xdr:oneCellAnchor>
    <xdr:from>
      <xdr:col>11</xdr:col>
      <xdr:colOff>310570</xdr:colOff>
      <xdr:row>15</xdr:row>
      <xdr:rowOff>38784</xdr:rowOff>
    </xdr:from>
    <xdr:ext cx="4286817" cy="243038"/>
    <xdr:sp macro="" textlink="">
      <xdr:nvSpPr>
        <xdr:cNvPr id="5" name="TextBox 4"/>
        <xdr:cNvSpPr txBox="1"/>
      </xdr:nvSpPr>
      <xdr:spPr>
        <a:xfrm>
          <a:off x="7153330" y="3848784"/>
          <a:ext cx="4286817" cy="243038"/>
        </a:xfrm>
        <a:prstGeom prst="rect">
          <a:avLst/>
        </a:prstGeom>
        <a:solidFill>
          <a:schemeClr val="accent6">
            <a:lumMod val="40000"/>
            <a:lumOff val="60000"/>
          </a:schemeClr>
        </a:solidFill>
        <a:ln w="12700"/>
      </xdr:spPr>
      <xdr:style>
        <a:lnRef idx="2">
          <a:schemeClr val="dk1"/>
        </a:lnRef>
        <a:fillRef idx="1">
          <a:schemeClr val="lt1"/>
        </a:fillRef>
        <a:effectRef idx="0">
          <a:schemeClr val="dk1"/>
        </a:effectRef>
        <a:fontRef idx="minor">
          <a:schemeClr val="dk1"/>
        </a:fontRef>
      </xdr:style>
      <xdr:txBody>
        <a:bodyPr vertOverflow="clip" horzOverflow="clip" wrap="none" rtlCol="0" anchor="ctr">
          <a:noAutofit/>
        </a:bodyPr>
        <a:lstStyle/>
        <a:p>
          <a:pPr algn="ctr"/>
          <a:r>
            <a:rPr lang="en-US" sz="1600"/>
            <a:t>System Balance for the Overall </a:t>
          </a:r>
          <a:r>
            <a:rPr kumimoji="0" lang="en-US" sz="1600" b="0" i="0" u="none" strike="noStrike" kern="0" cap="none" spc="0" normalizeH="0" baseline="0" noProof="0">
              <a:ln>
                <a:noFill/>
              </a:ln>
              <a:solidFill>
                <a:prstClr val="black"/>
              </a:solidFill>
              <a:effectLst/>
              <a:uLnTx/>
              <a:uFillTx/>
              <a:latin typeface="+mn-lt"/>
              <a:ea typeface="+mn-ea"/>
              <a:cs typeface="+mn-cs"/>
            </a:rPr>
            <a:t>Process--kJ/minute</a:t>
          </a:r>
          <a:endParaRPr lang="en-US" sz="1400"/>
        </a:p>
      </xdr:txBody>
    </xdr:sp>
    <xdr:clientData/>
  </xdr:oneCellAnchor>
  <xdr:twoCellAnchor editAs="absolute">
    <xdr:from>
      <xdr:col>10</xdr:col>
      <xdr:colOff>114058</xdr:colOff>
      <xdr:row>5</xdr:row>
      <xdr:rowOff>194733</xdr:rowOff>
    </xdr:from>
    <xdr:to>
      <xdr:col>10</xdr:col>
      <xdr:colOff>389648</xdr:colOff>
      <xdr:row>5</xdr:row>
      <xdr:rowOff>484717</xdr:rowOff>
    </xdr:to>
    <xdr:sp macro="" textlink="">
      <xdr:nvSpPr>
        <xdr:cNvPr id="6" name="Lightning Bolt 5"/>
        <xdr:cNvSpPr/>
      </xdr:nvSpPr>
      <xdr:spPr>
        <a:xfrm rot="16200000" flipV="1">
          <a:off x="6652441" y="1174749"/>
          <a:ext cx="289984" cy="277283"/>
        </a:xfrm>
        <a:prstGeom prst="lightningBolt">
          <a:avLst/>
        </a:prstGeom>
        <a:solidFill>
          <a:srgbClr val="FF0000"/>
        </a:solidFill>
        <a:ln w="9525"/>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7</xdr:col>
      <xdr:colOff>392606</xdr:colOff>
      <xdr:row>5</xdr:row>
      <xdr:rowOff>509694</xdr:rowOff>
    </xdr:from>
    <xdr:to>
      <xdr:col>8</xdr:col>
      <xdr:colOff>234068</xdr:colOff>
      <xdr:row>5</xdr:row>
      <xdr:rowOff>509694</xdr:rowOff>
    </xdr:to>
    <xdr:sp macro="" textlink="">
      <xdr:nvSpPr>
        <xdr:cNvPr id="7" name="Line 1319"/>
        <xdr:cNvSpPr>
          <a:spLocks noChangeShapeType="1"/>
        </xdr:cNvSpPr>
      </xdr:nvSpPr>
      <xdr:spPr bwMode="auto">
        <a:xfrm>
          <a:off x="4852846" y="1483360"/>
          <a:ext cx="569596" cy="0"/>
        </a:xfrm>
        <a:prstGeom prst="line">
          <a:avLst/>
        </a:prstGeom>
        <a:noFill/>
        <a:ln w="19050">
          <a:solidFill>
            <a:srgbClr xmlns:mc="http://schemas.openxmlformats.org/markup-compatibility/2006" xmlns:a14="http://schemas.microsoft.com/office/drawing/2010/main" val="000000" mc:Ignorable="a14" a14:legacySpreadsheetColorIndex="8"/>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absolute">
    <xdr:from>
      <xdr:col>7</xdr:col>
      <xdr:colOff>666927</xdr:colOff>
      <xdr:row>5</xdr:row>
      <xdr:rowOff>1013249</xdr:rowOff>
    </xdr:from>
    <xdr:to>
      <xdr:col>8</xdr:col>
      <xdr:colOff>224543</xdr:colOff>
      <xdr:row>5</xdr:row>
      <xdr:rowOff>1013249</xdr:rowOff>
    </xdr:to>
    <xdr:sp macro="" textlink="">
      <xdr:nvSpPr>
        <xdr:cNvPr id="8" name="Line 1320"/>
        <xdr:cNvSpPr>
          <a:spLocks noChangeShapeType="1"/>
        </xdr:cNvSpPr>
      </xdr:nvSpPr>
      <xdr:spPr bwMode="auto">
        <a:xfrm rot="5400000">
          <a:off x="5270042" y="1844040"/>
          <a:ext cx="0" cy="285750"/>
        </a:xfrm>
        <a:prstGeom prst="line">
          <a:avLst/>
        </a:prstGeom>
        <a:noFill/>
        <a:ln w="19050">
          <a:solidFill>
            <a:srgbClr xmlns:mc="http://schemas.openxmlformats.org/markup-compatibility/2006" xmlns:a14="http://schemas.microsoft.com/office/drawing/2010/main" val="000000" mc:Ignorable="a14" a14:legacySpreadsheetColorIndex="8"/>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absolute">
    <xdr:from>
      <xdr:col>7</xdr:col>
      <xdr:colOff>292487</xdr:colOff>
      <xdr:row>5</xdr:row>
      <xdr:rowOff>61903</xdr:rowOff>
    </xdr:from>
    <xdr:to>
      <xdr:col>9</xdr:col>
      <xdr:colOff>221156</xdr:colOff>
      <xdr:row>5</xdr:row>
      <xdr:rowOff>356831</xdr:rowOff>
    </xdr:to>
    <xdr:sp macro="" textlink="">
      <xdr:nvSpPr>
        <xdr:cNvPr id="9" name="Text Box 1324"/>
        <xdr:cNvSpPr txBox="1">
          <a:spLocks noChangeArrowheads="1"/>
        </xdr:cNvSpPr>
      </xdr:nvSpPr>
      <xdr:spPr bwMode="auto">
        <a:xfrm>
          <a:off x="4752727" y="1035569"/>
          <a:ext cx="1266403" cy="294928"/>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18288" tIns="22860" rIns="18288" bIns="0" anchor="ctr" upright="1">
          <a:spAutoFit/>
        </a:bodyPr>
        <a:lstStyle/>
        <a:p>
          <a:pPr algn="ctr" rtl="0">
            <a:lnSpc>
              <a:spcPts val="1000"/>
            </a:lnSpc>
            <a:defRPr sz="1000"/>
          </a:pPr>
          <a:r>
            <a:rPr lang="en-US" sz="1000" b="1" i="0" u="none" strike="noStrike" baseline="0">
              <a:solidFill>
                <a:srgbClr val="000000"/>
              </a:solidFill>
              <a:latin typeface="Arial" pitchFamily="34" charset="0"/>
              <a:cs typeface="Arial" pitchFamily="34" charset="0"/>
            </a:rPr>
            <a:t>Hot combustion gas</a:t>
          </a:r>
        </a:p>
        <a:p>
          <a:pPr algn="ctr" rtl="0">
            <a:lnSpc>
              <a:spcPts val="1100"/>
            </a:lnSpc>
            <a:defRPr sz="1000"/>
          </a:pPr>
          <a:r>
            <a:rPr lang="en-US" sz="1000" b="1" i="0" u="none" strike="noStrike" baseline="0">
              <a:solidFill>
                <a:srgbClr val="000000"/>
              </a:solidFill>
              <a:latin typeface="Arial" pitchFamily="34" charset="0"/>
              <a:cs typeface="Arial" pitchFamily="34" charset="0"/>
            </a:rPr>
            <a:t>(2730 m</a:t>
          </a:r>
          <a:r>
            <a:rPr lang="en-US" sz="1000" b="1" i="0" u="none" strike="noStrike" baseline="30000">
              <a:solidFill>
                <a:srgbClr val="000000"/>
              </a:solidFill>
              <a:latin typeface="Arial" pitchFamily="34" charset="0"/>
              <a:cs typeface="Arial" pitchFamily="34" charset="0"/>
            </a:rPr>
            <a:t>3</a:t>
          </a:r>
          <a:r>
            <a:rPr lang="en-US" sz="1000" b="1" i="0" u="none" strike="noStrike" baseline="0">
              <a:solidFill>
                <a:srgbClr val="000000"/>
              </a:solidFill>
              <a:latin typeface="Arial" pitchFamily="34" charset="0"/>
              <a:cs typeface="Arial" pitchFamily="34" charset="0"/>
            </a:rPr>
            <a:t>, 1800°C)</a:t>
          </a:r>
          <a:endParaRPr lang="en-US">
            <a:latin typeface="Arial" pitchFamily="34" charset="0"/>
            <a:cs typeface="Arial" pitchFamily="34" charset="0"/>
          </a:endParaRPr>
        </a:p>
      </xdr:txBody>
    </xdr:sp>
    <xdr:clientData/>
  </xdr:twoCellAnchor>
  <xdr:twoCellAnchor editAs="absolute">
    <xdr:from>
      <xdr:col>11</xdr:col>
      <xdr:colOff>36591</xdr:colOff>
      <xdr:row>5</xdr:row>
      <xdr:rowOff>18383</xdr:rowOff>
    </xdr:from>
    <xdr:to>
      <xdr:col>12</xdr:col>
      <xdr:colOff>460799</xdr:colOff>
      <xdr:row>5</xdr:row>
      <xdr:rowOff>345460</xdr:rowOff>
    </xdr:to>
    <xdr:sp macro="" textlink="">
      <xdr:nvSpPr>
        <xdr:cNvPr id="10" name="Text Box 1325"/>
        <xdr:cNvSpPr txBox="1">
          <a:spLocks noChangeArrowheads="1"/>
        </xdr:cNvSpPr>
      </xdr:nvSpPr>
      <xdr:spPr bwMode="auto">
        <a:xfrm>
          <a:off x="7328084" y="992049"/>
          <a:ext cx="1033808" cy="327077"/>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18288" tIns="22860" rIns="18288" bIns="0" anchor="ctr" upright="1">
          <a:spAutoFit/>
        </a:bodyPr>
        <a:lstStyle/>
        <a:p>
          <a:pPr algn="ctr" rtl="0">
            <a:defRPr sz="1000"/>
          </a:pPr>
          <a:r>
            <a:rPr lang="en-US" sz="1000" b="1" i="0" u="none" strike="noStrike" baseline="0">
              <a:solidFill>
                <a:srgbClr val="000000"/>
              </a:solidFill>
              <a:latin typeface="Arial"/>
              <a:cs typeface="Arial"/>
            </a:rPr>
            <a:t>Stack gas</a:t>
          </a:r>
        </a:p>
        <a:p>
          <a:pPr algn="ctr" rtl="0">
            <a:defRPr sz="1000"/>
          </a:pPr>
          <a:r>
            <a:rPr lang="en-US" sz="1000" b="1" i="0" u="none" strike="noStrike" baseline="0">
              <a:solidFill>
                <a:srgbClr val="000000"/>
              </a:solidFill>
              <a:latin typeface="Arial"/>
              <a:cs typeface="Arial"/>
            </a:rPr>
            <a:t>(1440 m</a:t>
          </a:r>
          <a:r>
            <a:rPr lang="en-US" sz="1000" b="1" i="0" u="none" strike="noStrike" baseline="30000">
              <a:solidFill>
                <a:srgbClr val="000000"/>
              </a:solidFill>
              <a:latin typeface="Arial"/>
              <a:cs typeface="Arial"/>
            </a:rPr>
            <a:t>3</a:t>
          </a:r>
          <a:r>
            <a:rPr lang="en-US" sz="1000" b="1" i="0" u="none" strike="noStrike" baseline="0">
              <a:solidFill>
                <a:srgbClr val="000000"/>
              </a:solidFill>
              <a:latin typeface="Arial"/>
              <a:cs typeface="Arial"/>
            </a:rPr>
            <a:t>, 800°C)</a:t>
          </a:r>
          <a:endParaRPr lang="en-US"/>
        </a:p>
      </xdr:txBody>
    </xdr:sp>
    <xdr:clientData/>
  </xdr:twoCellAnchor>
  <xdr:twoCellAnchor editAs="absolute">
    <xdr:from>
      <xdr:col>6</xdr:col>
      <xdr:colOff>212021</xdr:colOff>
      <xdr:row>5</xdr:row>
      <xdr:rowOff>828570</xdr:rowOff>
    </xdr:from>
    <xdr:to>
      <xdr:col>8</xdr:col>
      <xdr:colOff>27516</xdr:colOff>
      <xdr:row>5</xdr:row>
      <xdr:rowOff>1120958</xdr:rowOff>
    </xdr:to>
    <xdr:sp macro="" textlink="">
      <xdr:nvSpPr>
        <xdr:cNvPr id="11" name="Text Box 1326"/>
        <xdr:cNvSpPr txBox="1">
          <a:spLocks noChangeArrowheads="1"/>
        </xdr:cNvSpPr>
      </xdr:nvSpPr>
      <xdr:spPr bwMode="auto">
        <a:xfrm>
          <a:off x="4110074" y="1802236"/>
          <a:ext cx="1105816" cy="292388"/>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18288" tIns="22860" rIns="18288" bIns="0" anchor="ctr" upright="1">
          <a:spAutoFit/>
        </a:bodyPr>
        <a:lstStyle/>
        <a:p>
          <a:pPr algn="ctr" rtl="0">
            <a:lnSpc>
              <a:spcPts val="1000"/>
            </a:lnSpc>
            <a:defRPr sz="1000"/>
          </a:pPr>
          <a:r>
            <a:rPr lang="en-US" sz="1000" b="1" i="0" u="none" strike="noStrike" baseline="0">
              <a:solidFill>
                <a:srgbClr val="000000"/>
              </a:solidFill>
              <a:latin typeface="Arial"/>
              <a:cs typeface="Arial"/>
            </a:rPr>
            <a:t>Heated aluminum</a:t>
          </a:r>
        </a:p>
        <a:p>
          <a:pPr algn="ctr" rtl="0">
            <a:lnSpc>
              <a:spcPts val="1100"/>
            </a:lnSpc>
            <a:defRPr sz="1000"/>
          </a:pPr>
          <a:r>
            <a:rPr lang="en-US" sz="1000" b="1" i="0" u="none" strike="noStrike" baseline="0">
              <a:solidFill>
                <a:srgbClr val="000000"/>
              </a:solidFill>
              <a:latin typeface="Arial"/>
              <a:cs typeface="Arial"/>
            </a:rPr>
            <a:t>(800 kg, 550</a:t>
          </a:r>
          <a:r>
            <a:rPr kumimoji="0" lang="en-US" sz="1000" b="1" i="0" u="none" strike="noStrike" kern="0" cap="none" spc="0" normalizeH="0" baseline="0" noProof="0">
              <a:ln>
                <a:noFill/>
              </a:ln>
              <a:solidFill>
                <a:srgbClr val="000000"/>
              </a:solidFill>
              <a:effectLst/>
              <a:uLnTx/>
              <a:uFillTx/>
              <a:latin typeface="Arial"/>
              <a:ea typeface="+mn-ea"/>
              <a:cs typeface="Arial"/>
            </a:rPr>
            <a:t>°C</a:t>
          </a:r>
          <a:r>
            <a:rPr lang="en-US" sz="1000" b="1" i="0" u="none" strike="noStrike" baseline="0">
              <a:solidFill>
                <a:srgbClr val="000000"/>
              </a:solidFill>
              <a:latin typeface="Arial"/>
              <a:cs typeface="Arial"/>
            </a:rPr>
            <a:t>)</a:t>
          </a:r>
          <a:endParaRPr lang="en-US"/>
        </a:p>
      </xdr:txBody>
    </xdr:sp>
    <xdr:clientData/>
  </xdr:twoCellAnchor>
  <xdr:twoCellAnchor editAs="absolute">
    <xdr:from>
      <xdr:col>11</xdr:col>
      <xdr:colOff>422039</xdr:colOff>
      <xdr:row>5</xdr:row>
      <xdr:rowOff>795236</xdr:rowOff>
    </xdr:from>
    <xdr:to>
      <xdr:col>13</xdr:col>
      <xdr:colOff>305680</xdr:colOff>
      <xdr:row>5</xdr:row>
      <xdr:rowOff>1122313</xdr:rowOff>
    </xdr:to>
    <xdr:sp macro="" textlink="">
      <xdr:nvSpPr>
        <xdr:cNvPr id="12" name="Text Box 1327"/>
        <xdr:cNvSpPr txBox="1">
          <a:spLocks noChangeArrowheads="1"/>
        </xdr:cNvSpPr>
      </xdr:nvSpPr>
      <xdr:spPr bwMode="auto">
        <a:xfrm>
          <a:off x="7713532" y="1768902"/>
          <a:ext cx="1100301" cy="327077"/>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18288" tIns="22860" rIns="18288" bIns="0" anchor="ctr" upright="1">
          <a:spAutoFit/>
        </a:bodyPr>
        <a:lstStyle/>
        <a:p>
          <a:pPr algn="ctr" rtl="0">
            <a:defRPr sz="1000"/>
          </a:pPr>
          <a:r>
            <a:rPr lang="en-US" sz="1000" b="1" i="0" u="none" strike="noStrike" baseline="0">
              <a:solidFill>
                <a:srgbClr val="000000"/>
              </a:solidFill>
              <a:latin typeface="Arial"/>
              <a:cs typeface="Arial"/>
            </a:rPr>
            <a:t>Aluminum ingots</a:t>
          </a:r>
        </a:p>
        <a:p>
          <a:pPr algn="ctr" rtl="0">
            <a:defRPr sz="1000"/>
          </a:pPr>
          <a:r>
            <a:rPr lang="en-US" sz="1000" b="1" i="0" u="none" strike="noStrike" baseline="0">
              <a:solidFill>
                <a:srgbClr val="000000"/>
              </a:solidFill>
              <a:latin typeface="Arial"/>
              <a:cs typeface="Arial"/>
            </a:rPr>
            <a:t>(800 kg, 25°C)</a:t>
          </a:r>
          <a:endParaRPr lang="en-US"/>
        </a:p>
      </xdr:txBody>
    </xdr:sp>
    <xdr:clientData/>
  </xdr:twoCellAnchor>
  <xdr:twoCellAnchor editAs="absolute">
    <xdr:from>
      <xdr:col>11</xdr:col>
      <xdr:colOff>150460</xdr:colOff>
      <xdr:row>5</xdr:row>
      <xdr:rowOff>1006899</xdr:rowOff>
    </xdr:from>
    <xdr:to>
      <xdr:col>11</xdr:col>
      <xdr:colOff>497417</xdr:colOff>
      <xdr:row>5</xdr:row>
      <xdr:rowOff>1006899</xdr:rowOff>
    </xdr:to>
    <xdr:sp macro="" textlink="">
      <xdr:nvSpPr>
        <xdr:cNvPr id="13" name="Line 1330"/>
        <xdr:cNvSpPr>
          <a:spLocks noChangeShapeType="1"/>
        </xdr:cNvSpPr>
      </xdr:nvSpPr>
      <xdr:spPr bwMode="auto">
        <a:xfrm rot="5400000">
          <a:off x="7615432" y="1807086"/>
          <a:ext cx="0" cy="346957"/>
        </a:xfrm>
        <a:prstGeom prst="line">
          <a:avLst/>
        </a:prstGeom>
        <a:noFill/>
        <a:ln w="19050">
          <a:solidFill>
            <a:srgbClr xmlns:mc="http://schemas.openxmlformats.org/markup-compatibility/2006" xmlns:a14="http://schemas.microsoft.com/office/drawing/2010/main" val="000000" mc:Ignorable="a14" a14:legacySpreadsheetColorIndex="8"/>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absolute">
    <xdr:from>
      <xdr:col>6</xdr:col>
      <xdr:colOff>230893</xdr:colOff>
      <xdr:row>5</xdr:row>
      <xdr:rowOff>136949</xdr:rowOff>
    </xdr:from>
    <xdr:to>
      <xdr:col>6</xdr:col>
      <xdr:colOff>411868</xdr:colOff>
      <xdr:row>5</xdr:row>
      <xdr:rowOff>339514</xdr:rowOff>
    </xdr:to>
    <xdr:sp macro="" textlink="">
      <xdr:nvSpPr>
        <xdr:cNvPr id="14" name="Text Box 1342"/>
        <xdr:cNvSpPr txBox="1">
          <a:spLocks noChangeArrowheads="1"/>
        </xdr:cNvSpPr>
      </xdr:nvSpPr>
      <xdr:spPr bwMode="auto">
        <a:xfrm>
          <a:off x="4128946" y="1110615"/>
          <a:ext cx="180975" cy="20256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27432" bIns="0" anchor="ctr" upright="1"/>
        <a:lstStyle/>
        <a:p>
          <a:pPr algn="ctr" rtl="0">
            <a:defRPr sz="1000"/>
          </a:pPr>
          <a:r>
            <a:rPr lang="en-US" sz="900" b="1" i="0" u="none" strike="noStrike" baseline="0">
              <a:solidFill>
                <a:srgbClr val="000000"/>
              </a:solidFill>
              <a:latin typeface="Arial"/>
              <a:cs typeface="Arial"/>
            </a:rPr>
            <a:t>1</a:t>
          </a:r>
        </a:p>
      </xdr:txBody>
    </xdr:sp>
    <xdr:clientData/>
  </xdr:twoCellAnchor>
  <xdr:twoCellAnchor editAs="absolute">
    <xdr:from>
      <xdr:col>6</xdr:col>
      <xdr:colOff>497997</xdr:colOff>
      <xdr:row>5</xdr:row>
      <xdr:rowOff>270934</xdr:rowOff>
    </xdr:from>
    <xdr:to>
      <xdr:col>7</xdr:col>
      <xdr:colOff>501650</xdr:colOff>
      <xdr:row>5</xdr:row>
      <xdr:rowOff>747184</xdr:rowOff>
    </xdr:to>
    <xdr:sp macro="" textlink="">
      <xdr:nvSpPr>
        <xdr:cNvPr id="15" name="AutoShape 1379"/>
        <xdr:cNvSpPr>
          <a:spLocks noChangeArrowheads="1"/>
        </xdr:cNvSpPr>
      </xdr:nvSpPr>
      <xdr:spPr bwMode="auto">
        <a:xfrm rot="-5400000">
          <a:off x="4440845" y="1199805"/>
          <a:ext cx="476250" cy="565840"/>
        </a:xfrm>
        <a:custGeom>
          <a:avLst/>
          <a:gdLst>
            <a:gd name="G0" fmla="+- 5400 0 0"/>
            <a:gd name="G1" fmla="+- 21600 0 5400"/>
            <a:gd name="G2" fmla="*/ 5400 1 2"/>
            <a:gd name="G3" fmla="+- 21600 0 G2"/>
            <a:gd name="G4" fmla="+/ 5400 21600 2"/>
            <a:gd name="G5" fmla="+/ G1 0 2"/>
            <a:gd name="G6" fmla="*/ 21600 21600 5400"/>
            <a:gd name="G7" fmla="*/ G6 1 2"/>
            <a:gd name="G8" fmla="+- 21600 0 G7"/>
            <a:gd name="G9" fmla="*/ 21600 1 2"/>
            <a:gd name="G10" fmla="+- 5400 0 G9"/>
            <a:gd name="G11" fmla="?: G10 G8 0"/>
            <a:gd name="G12" fmla="?: G10 G7 21600"/>
            <a:gd name="T0" fmla="*/ 18900 w 21600"/>
            <a:gd name="T1" fmla="*/ 10800 h 21600"/>
            <a:gd name="T2" fmla="*/ 10800 w 21600"/>
            <a:gd name="T3" fmla="*/ 21600 h 21600"/>
            <a:gd name="T4" fmla="*/ 2700 w 21600"/>
            <a:gd name="T5" fmla="*/ 10800 h 21600"/>
            <a:gd name="T6" fmla="*/ 10800 w 21600"/>
            <a:gd name="T7" fmla="*/ 0 h 21600"/>
            <a:gd name="T8" fmla="*/ 4500 w 21600"/>
            <a:gd name="T9" fmla="*/ 4500 h 21600"/>
            <a:gd name="T10" fmla="*/ 17100 w 21600"/>
            <a:gd name="T11" fmla="*/ 17100 h 21600"/>
          </a:gdLst>
          <a:ahLst/>
          <a:cxnLst>
            <a:cxn ang="0">
              <a:pos x="T0" y="T1"/>
            </a:cxn>
            <a:cxn ang="0">
              <a:pos x="T2" y="T3"/>
            </a:cxn>
            <a:cxn ang="0">
              <a:pos x="T4" y="T5"/>
            </a:cxn>
            <a:cxn ang="0">
              <a:pos x="T6" y="T7"/>
            </a:cxn>
          </a:cxnLst>
          <a:rect l="T8" t="T9" r="T10" b="T11"/>
          <a:pathLst>
            <a:path w="21600" h="21600">
              <a:moveTo>
                <a:pt x="0" y="0"/>
              </a:moveTo>
              <a:lnTo>
                <a:pt x="5400" y="21600"/>
              </a:lnTo>
              <a:lnTo>
                <a:pt x="16200" y="21600"/>
              </a:lnTo>
              <a:lnTo>
                <a:pt x="21600" y="0"/>
              </a:lnTo>
              <a:close/>
            </a:path>
          </a:pathLst>
        </a:custGeom>
        <a:solidFill>
          <a:srgbClr val="CFCFCF"/>
        </a:solidFill>
        <a:ln w="19050" algn="ctr">
          <a:solidFill>
            <a:srgbClr xmlns:mc="http://schemas.openxmlformats.org/markup-compatibility/2006" xmlns:a14="http://schemas.microsoft.com/office/drawing/2010/main" val="000000" mc:Ignorable="a14" a14:legacySpreadsheetColorIndex="8"/>
          </a:solidFill>
          <a:miter lim="800000"/>
          <a:headEnd/>
          <a:tailEnd/>
        </a:ln>
        <a:effectLst/>
      </xdr:spPr>
    </xdr:sp>
    <xdr:clientData/>
  </xdr:twoCellAnchor>
  <xdr:twoCellAnchor editAs="absolute">
    <xdr:from>
      <xdr:col>6</xdr:col>
      <xdr:colOff>193887</xdr:colOff>
      <xdr:row>5</xdr:row>
      <xdr:rowOff>329989</xdr:rowOff>
    </xdr:from>
    <xdr:to>
      <xdr:col>6</xdr:col>
      <xdr:colOff>492301</xdr:colOff>
      <xdr:row>5</xdr:row>
      <xdr:rowOff>329989</xdr:rowOff>
    </xdr:to>
    <xdr:sp macro="" textlink="">
      <xdr:nvSpPr>
        <xdr:cNvPr id="16" name="Line 1380"/>
        <xdr:cNvSpPr>
          <a:spLocks noChangeShapeType="1"/>
        </xdr:cNvSpPr>
      </xdr:nvSpPr>
      <xdr:spPr bwMode="auto">
        <a:xfrm>
          <a:off x="4091940" y="1303655"/>
          <a:ext cx="298414" cy="0"/>
        </a:xfrm>
        <a:prstGeom prst="line">
          <a:avLst/>
        </a:prstGeom>
        <a:noFill/>
        <a:ln w="19050">
          <a:solidFill>
            <a:srgbClr xmlns:mc="http://schemas.openxmlformats.org/markup-compatibility/2006" xmlns:a14="http://schemas.microsoft.com/office/drawing/2010/main" val="000000" mc:Ignorable="a14" a14:legacySpreadsheetColorIndex="8"/>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absolute">
    <xdr:from>
      <xdr:col>4</xdr:col>
      <xdr:colOff>174022</xdr:colOff>
      <xdr:row>5</xdr:row>
      <xdr:rowOff>108231</xdr:rowOff>
    </xdr:from>
    <xdr:to>
      <xdr:col>6</xdr:col>
      <xdr:colOff>321850</xdr:colOff>
      <xdr:row>5</xdr:row>
      <xdr:rowOff>475261</xdr:rowOff>
    </xdr:to>
    <xdr:sp macro="" textlink="">
      <xdr:nvSpPr>
        <xdr:cNvPr id="17" name="Text Box 1381"/>
        <xdr:cNvSpPr txBox="1">
          <a:spLocks noChangeArrowheads="1"/>
        </xdr:cNvSpPr>
      </xdr:nvSpPr>
      <xdr:spPr bwMode="auto">
        <a:xfrm>
          <a:off x="3144975" y="1081897"/>
          <a:ext cx="1074928" cy="36703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18288" tIns="22860" rIns="18288" bIns="0" anchor="ctr" upright="1">
          <a:noAutofit/>
        </a:bodyPr>
        <a:lstStyle/>
        <a:p>
          <a:pPr algn="ctr" rtl="0">
            <a:defRPr sz="1000"/>
          </a:pPr>
          <a:r>
            <a:rPr lang="en-US" sz="1000" b="1" i="0" u="none" strike="noStrike" baseline="0">
              <a:solidFill>
                <a:srgbClr val="000000"/>
              </a:solidFill>
              <a:latin typeface="Arial"/>
              <a:cs typeface="Arial"/>
            </a:rPr>
            <a:t>Nat Gas</a:t>
          </a:r>
        </a:p>
        <a:p>
          <a:pPr algn="ctr" rtl="0">
            <a:defRPr sz="1000"/>
          </a:pPr>
          <a:r>
            <a:rPr lang="en-US" sz="1000" b="1" i="0" u="none" strike="noStrike" baseline="0">
              <a:solidFill>
                <a:srgbClr val="000000"/>
              </a:solidFill>
              <a:latin typeface="Arial"/>
              <a:cs typeface="Arial"/>
            </a:rPr>
            <a:t>(32 m</a:t>
          </a:r>
          <a:r>
            <a:rPr lang="en-US" sz="1000" b="1" i="0" u="none" strike="noStrike" baseline="30000">
              <a:solidFill>
                <a:srgbClr val="000000"/>
              </a:solidFill>
              <a:latin typeface="Arial"/>
              <a:cs typeface="Arial"/>
            </a:rPr>
            <a:t>3</a:t>
          </a:r>
          <a:r>
            <a:rPr lang="en-US" sz="1000" b="1" i="0" u="none" strike="noStrike" baseline="0">
              <a:solidFill>
                <a:srgbClr val="000000"/>
              </a:solidFill>
              <a:latin typeface="Arial"/>
              <a:cs typeface="Arial"/>
            </a:rPr>
            <a:t>, 25°C)</a:t>
          </a:r>
          <a:endParaRPr lang="en-US"/>
        </a:p>
      </xdr:txBody>
    </xdr:sp>
    <xdr:clientData/>
  </xdr:twoCellAnchor>
  <xdr:twoCellAnchor editAs="absolute">
    <xdr:from>
      <xdr:col>6</xdr:col>
      <xdr:colOff>135643</xdr:colOff>
      <xdr:row>5</xdr:row>
      <xdr:rowOff>699617</xdr:rowOff>
    </xdr:from>
    <xdr:to>
      <xdr:col>6</xdr:col>
      <xdr:colOff>492301</xdr:colOff>
      <xdr:row>5</xdr:row>
      <xdr:rowOff>699617</xdr:rowOff>
    </xdr:to>
    <xdr:sp macro="" textlink="">
      <xdr:nvSpPr>
        <xdr:cNvPr id="18" name="Line 1382"/>
        <xdr:cNvSpPr>
          <a:spLocks noChangeShapeType="1"/>
        </xdr:cNvSpPr>
      </xdr:nvSpPr>
      <xdr:spPr bwMode="auto">
        <a:xfrm>
          <a:off x="4033696" y="1673283"/>
          <a:ext cx="356658" cy="0"/>
        </a:xfrm>
        <a:prstGeom prst="line">
          <a:avLst/>
        </a:prstGeom>
        <a:noFill/>
        <a:ln w="19050">
          <a:solidFill>
            <a:srgbClr xmlns:mc="http://schemas.openxmlformats.org/markup-compatibility/2006" xmlns:a14="http://schemas.microsoft.com/office/drawing/2010/main" val="000000" mc:Ignorable="a14" a14:legacySpreadsheetColorIndex="8"/>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absolute">
    <xdr:from>
      <xdr:col>11</xdr:col>
      <xdr:colOff>105207</xdr:colOff>
      <xdr:row>5</xdr:row>
      <xdr:rowOff>447938</xdr:rowOff>
    </xdr:from>
    <xdr:to>
      <xdr:col>13</xdr:col>
      <xdr:colOff>221026</xdr:colOff>
      <xdr:row>5</xdr:row>
      <xdr:rowOff>794328</xdr:rowOff>
    </xdr:to>
    <xdr:sp macro="" textlink="">
      <xdr:nvSpPr>
        <xdr:cNvPr id="19" name="Text Box 1384"/>
        <xdr:cNvSpPr txBox="1">
          <a:spLocks noChangeArrowheads="1"/>
        </xdr:cNvSpPr>
      </xdr:nvSpPr>
      <xdr:spPr bwMode="auto">
        <a:xfrm>
          <a:off x="7396700" y="1421604"/>
          <a:ext cx="1335019" cy="34639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27432" bIns="0" anchor="ctr" upright="1"/>
        <a:lstStyle/>
        <a:p>
          <a:pPr algn="ctr" rtl="0">
            <a:defRPr sz="1000"/>
          </a:pPr>
          <a:r>
            <a:rPr lang="en-US" sz="1000" b="1" i="0" u="none" strike="noStrike" baseline="0">
              <a:solidFill>
                <a:srgbClr val="000000"/>
              </a:solidFill>
              <a:latin typeface="Arial"/>
              <a:cs typeface="Arial"/>
            </a:rPr>
            <a:t>Leak air</a:t>
          </a:r>
        </a:p>
        <a:p>
          <a:pPr algn="ctr" rtl="0">
            <a:defRPr sz="1000"/>
          </a:pPr>
          <a:r>
            <a:rPr lang="en-US" sz="1000" b="1" i="0" u="none" strike="noStrike" baseline="0">
              <a:solidFill>
                <a:srgbClr val="000000"/>
              </a:solidFill>
              <a:latin typeface="Arial"/>
              <a:cs typeface="Arial"/>
            </a:rPr>
            <a:t>(8 m</a:t>
          </a:r>
          <a:r>
            <a:rPr lang="en-US" sz="1000" b="1" i="0" u="none" strike="noStrike" baseline="30000">
              <a:solidFill>
                <a:srgbClr val="000000"/>
              </a:solidFill>
              <a:latin typeface="Arial"/>
              <a:cs typeface="Arial"/>
            </a:rPr>
            <a:t>3</a:t>
          </a:r>
          <a:r>
            <a:rPr lang="en-US" sz="1000" b="1" i="0" u="none" strike="noStrike" baseline="0">
              <a:solidFill>
                <a:srgbClr val="000000"/>
              </a:solidFill>
              <a:latin typeface="Arial"/>
              <a:cs typeface="Arial"/>
            </a:rPr>
            <a:t>, 25°C)</a:t>
          </a:r>
          <a:endParaRPr lang="en-US" baseline="0"/>
        </a:p>
      </xdr:txBody>
    </xdr:sp>
    <xdr:clientData/>
  </xdr:twoCellAnchor>
  <xdr:twoCellAnchor editAs="absolute">
    <xdr:from>
      <xdr:col>6</xdr:col>
      <xdr:colOff>493340</xdr:colOff>
      <xdr:row>5</xdr:row>
      <xdr:rowOff>394605</xdr:rowOff>
    </xdr:from>
    <xdr:to>
      <xdr:col>7</xdr:col>
      <xdr:colOff>491051</xdr:colOff>
      <xdr:row>5</xdr:row>
      <xdr:rowOff>609542</xdr:rowOff>
    </xdr:to>
    <xdr:sp macro="" textlink="">
      <xdr:nvSpPr>
        <xdr:cNvPr id="20" name="Text Box 1385"/>
        <xdr:cNvSpPr txBox="1">
          <a:spLocks noChangeArrowheads="1"/>
        </xdr:cNvSpPr>
      </xdr:nvSpPr>
      <xdr:spPr bwMode="auto">
        <a:xfrm>
          <a:off x="4391393" y="1368271"/>
          <a:ext cx="559898" cy="214937"/>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27432" tIns="27432" rIns="27432" bIns="0" anchor="ctr" upright="1">
          <a:spAutoFit/>
        </a:bodyPr>
        <a:lstStyle/>
        <a:p>
          <a:pPr algn="ctr" rtl="0">
            <a:defRPr sz="1000"/>
          </a:pPr>
          <a:r>
            <a:rPr lang="en-US" sz="1200" b="1" i="0" u="none" strike="noStrike" baseline="0">
              <a:solidFill>
                <a:srgbClr val="000000"/>
              </a:solidFill>
              <a:latin typeface="Arial"/>
              <a:cs typeface="Arial"/>
            </a:rPr>
            <a:t>Burner</a:t>
          </a:r>
          <a:endParaRPr lang="en-US"/>
        </a:p>
      </xdr:txBody>
    </xdr:sp>
    <xdr:clientData/>
  </xdr:twoCellAnchor>
  <xdr:twoCellAnchor editAs="absolute">
    <xdr:from>
      <xdr:col>8</xdr:col>
      <xdr:colOff>262643</xdr:colOff>
      <xdr:row>5</xdr:row>
      <xdr:rowOff>838805</xdr:rowOff>
    </xdr:from>
    <xdr:to>
      <xdr:col>9</xdr:col>
      <xdr:colOff>62617</xdr:colOff>
      <xdr:row>5</xdr:row>
      <xdr:rowOff>984220</xdr:rowOff>
    </xdr:to>
    <xdr:sp macro="" textlink="">
      <xdr:nvSpPr>
        <xdr:cNvPr id="21" name="Freeform 1390"/>
        <xdr:cNvSpPr>
          <a:spLocks/>
        </xdr:cNvSpPr>
      </xdr:nvSpPr>
      <xdr:spPr bwMode="auto">
        <a:xfrm>
          <a:off x="5451017" y="1812471"/>
          <a:ext cx="409574" cy="145415"/>
        </a:xfrm>
        <a:custGeom>
          <a:avLst/>
          <a:gdLst>
            <a:gd name="T0" fmla="*/ 0 w 100"/>
            <a:gd name="T1" fmla="*/ 22 h 22"/>
            <a:gd name="T2" fmla="*/ 19 w 100"/>
            <a:gd name="T3" fmla="*/ 0 h 22"/>
            <a:gd name="T4" fmla="*/ 80 w 100"/>
            <a:gd name="T5" fmla="*/ 0 h 22"/>
            <a:gd name="T6" fmla="*/ 100 w 100"/>
            <a:gd name="T7" fmla="*/ 22 h 22"/>
            <a:gd name="T8" fmla="*/ 0 w 100"/>
            <a:gd name="T9" fmla="*/ 22 h 22"/>
          </a:gdLst>
          <a:ahLst/>
          <a:cxnLst>
            <a:cxn ang="0">
              <a:pos x="T0" y="T1"/>
            </a:cxn>
            <a:cxn ang="0">
              <a:pos x="T2" y="T3"/>
            </a:cxn>
            <a:cxn ang="0">
              <a:pos x="T4" y="T5"/>
            </a:cxn>
            <a:cxn ang="0">
              <a:pos x="T6" y="T7"/>
            </a:cxn>
            <a:cxn ang="0">
              <a:pos x="T8" y="T9"/>
            </a:cxn>
          </a:cxnLst>
          <a:rect l="0" t="0" r="r" b="b"/>
          <a:pathLst>
            <a:path w="100" h="22">
              <a:moveTo>
                <a:pt x="0" y="22"/>
              </a:moveTo>
              <a:lnTo>
                <a:pt x="19" y="0"/>
              </a:lnTo>
              <a:lnTo>
                <a:pt x="80" y="0"/>
              </a:lnTo>
              <a:lnTo>
                <a:pt x="100" y="22"/>
              </a:lnTo>
              <a:lnTo>
                <a:pt x="0" y="22"/>
              </a:lnTo>
              <a:close/>
            </a:path>
          </a:pathLst>
        </a:custGeom>
        <a:solidFill>
          <a:srgbClr xmlns:mc="http://schemas.openxmlformats.org/markup-compatibility/2006" xmlns:a14="http://schemas.microsoft.com/office/drawing/2010/main" val="FFFFFF" mc:Ignorable="a14" a14:legacySpreadsheetColorIndex="65"/>
        </a:solidFill>
        <a:ln w="19050" cap="flat" cmpd="sng">
          <a:prstDash val="solid"/>
          <a:round/>
          <a:headEnd/>
          <a:tailEnd/>
        </a:ln>
        <a:effectLst/>
        <a:scene3d>
          <a:camera prst="legacyObliqueTopRight"/>
          <a:lightRig rig="legacyFlat3" dir="b"/>
        </a:scene3d>
        <a:sp3d extrusionH="163500" prstMaterial="legacyMetal">
          <a:bevelT w="13500" h="13500" prst="angle"/>
          <a:bevelB w="13500" h="13500" prst="angle"/>
          <a:extrusionClr>
            <a:srgbClr xmlns:mc="http://schemas.openxmlformats.org/markup-compatibility/2006" xmlns:a14="http://schemas.microsoft.com/office/drawing/2010/main" val="FFFFFF" mc:Ignorable="a14" a14:legacySpreadsheetColorIndex="65"/>
          </a:extrusionClr>
        </a:sp3d>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absolute">
    <xdr:from>
      <xdr:col>10</xdr:col>
      <xdr:colOff>359799</xdr:colOff>
      <xdr:row>5</xdr:row>
      <xdr:rowOff>838805</xdr:rowOff>
    </xdr:from>
    <xdr:to>
      <xdr:col>11</xdr:col>
      <xdr:colOff>22402</xdr:colOff>
      <xdr:row>5</xdr:row>
      <xdr:rowOff>984220</xdr:rowOff>
    </xdr:to>
    <xdr:sp macro="" textlink="">
      <xdr:nvSpPr>
        <xdr:cNvPr id="22" name="Freeform 1393"/>
        <xdr:cNvSpPr>
          <a:spLocks/>
        </xdr:cNvSpPr>
      </xdr:nvSpPr>
      <xdr:spPr bwMode="auto">
        <a:xfrm>
          <a:off x="6906225" y="1812471"/>
          <a:ext cx="407670" cy="145415"/>
        </a:xfrm>
        <a:custGeom>
          <a:avLst/>
          <a:gdLst>
            <a:gd name="T0" fmla="*/ 0 w 100"/>
            <a:gd name="T1" fmla="*/ 22 h 22"/>
            <a:gd name="T2" fmla="*/ 19 w 100"/>
            <a:gd name="T3" fmla="*/ 0 h 22"/>
            <a:gd name="T4" fmla="*/ 80 w 100"/>
            <a:gd name="T5" fmla="*/ 0 h 22"/>
            <a:gd name="T6" fmla="*/ 100 w 100"/>
            <a:gd name="T7" fmla="*/ 22 h 22"/>
            <a:gd name="T8" fmla="*/ 0 w 100"/>
            <a:gd name="T9" fmla="*/ 22 h 22"/>
          </a:gdLst>
          <a:ahLst/>
          <a:cxnLst>
            <a:cxn ang="0">
              <a:pos x="T0" y="T1"/>
            </a:cxn>
            <a:cxn ang="0">
              <a:pos x="T2" y="T3"/>
            </a:cxn>
            <a:cxn ang="0">
              <a:pos x="T4" y="T5"/>
            </a:cxn>
            <a:cxn ang="0">
              <a:pos x="T6" y="T7"/>
            </a:cxn>
            <a:cxn ang="0">
              <a:pos x="T8" y="T9"/>
            </a:cxn>
          </a:cxnLst>
          <a:rect l="0" t="0" r="r" b="b"/>
          <a:pathLst>
            <a:path w="100" h="22">
              <a:moveTo>
                <a:pt x="0" y="22"/>
              </a:moveTo>
              <a:lnTo>
                <a:pt x="19" y="0"/>
              </a:lnTo>
              <a:lnTo>
                <a:pt x="80" y="0"/>
              </a:lnTo>
              <a:lnTo>
                <a:pt x="100" y="22"/>
              </a:lnTo>
              <a:lnTo>
                <a:pt x="0" y="22"/>
              </a:lnTo>
              <a:close/>
            </a:path>
          </a:pathLst>
        </a:custGeom>
        <a:solidFill>
          <a:srgbClr xmlns:mc="http://schemas.openxmlformats.org/markup-compatibility/2006" xmlns:a14="http://schemas.microsoft.com/office/drawing/2010/main" val="FFFFFF" mc:Ignorable="a14" a14:legacySpreadsheetColorIndex="65"/>
        </a:solidFill>
        <a:ln w="19050" cap="flat" cmpd="sng">
          <a:prstDash val="solid"/>
          <a:round/>
          <a:headEnd/>
          <a:tailEnd/>
        </a:ln>
        <a:effectLst/>
        <a:scene3d>
          <a:camera prst="legacyObliqueTopRight"/>
          <a:lightRig rig="legacyFlat3" dir="b"/>
        </a:scene3d>
        <a:sp3d extrusionH="163500" prstMaterial="legacyMetal">
          <a:bevelT w="13500" h="13500" prst="angle"/>
          <a:bevelB w="13500" h="13500" prst="angle"/>
          <a:extrusionClr>
            <a:srgbClr xmlns:mc="http://schemas.openxmlformats.org/markup-compatibility/2006" xmlns:a14="http://schemas.microsoft.com/office/drawing/2010/main" val="FFFFFF" mc:Ignorable="a14" a14:legacySpreadsheetColorIndex="65"/>
          </a:extrusionClr>
        </a:sp3d>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absolute">
    <xdr:from>
      <xdr:col>9</xdr:col>
      <xdr:colOff>617184</xdr:colOff>
      <xdr:row>5</xdr:row>
      <xdr:rowOff>838805</xdr:rowOff>
    </xdr:from>
    <xdr:to>
      <xdr:col>10</xdr:col>
      <xdr:colOff>287832</xdr:colOff>
      <xdr:row>5</xdr:row>
      <xdr:rowOff>984220</xdr:rowOff>
    </xdr:to>
    <xdr:sp macro="" textlink="">
      <xdr:nvSpPr>
        <xdr:cNvPr id="23" name="Freeform 1394"/>
        <xdr:cNvSpPr>
          <a:spLocks/>
        </xdr:cNvSpPr>
      </xdr:nvSpPr>
      <xdr:spPr bwMode="auto">
        <a:xfrm>
          <a:off x="6416851" y="1812471"/>
          <a:ext cx="415714" cy="145415"/>
        </a:xfrm>
        <a:custGeom>
          <a:avLst/>
          <a:gdLst>
            <a:gd name="T0" fmla="*/ 0 w 100"/>
            <a:gd name="T1" fmla="*/ 22 h 22"/>
            <a:gd name="T2" fmla="*/ 19 w 100"/>
            <a:gd name="T3" fmla="*/ 0 h 22"/>
            <a:gd name="T4" fmla="*/ 80 w 100"/>
            <a:gd name="T5" fmla="*/ 0 h 22"/>
            <a:gd name="T6" fmla="*/ 100 w 100"/>
            <a:gd name="T7" fmla="*/ 22 h 22"/>
            <a:gd name="T8" fmla="*/ 0 w 100"/>
            <a:gd name="T9" fmla="*/ 22 h 22"/>
          </a:gdLst>
          <a:ahLst/>
          <a:cxnLst>
            <a:cxn ang="0">
              <a:pos x="T0" y="T1"/>
            </a:cxn>
            <a:cxn ang="0">
              <a:pos x="T2" y="T3"/>
            </a:cxn>
            <a:cxn ang="0">
              <a:pos x="T4" y="T5"/>
            </a:cxn>
            <a:cxn ang="0">
              <a:pos x="T6" y="T7"/>
            </a:cxn>
            <a:cxn ang="0">
              <a:pos x="T8" y="T9"/>
            </a:cxn>
          </a:cxnLst>
          <a:rect l="0" t="0" r="r" b="b"/>
          <a:pathLst>
            <a:path w="100" h="22">
              <a:moveTo>
                <a:pt x="0" y="22"/>
              </a:moveTo>
              <a:lnTo>
                <a:pt x="19" y="0"/>
              </a:lnTo>
              <a:lnTo>
                <a:pt x="80" y="0"/>
              </a:lnTo>
              <a:lnTo>
                <a:pt x="100" y="22"/>
              </a:lnTo>
              <a:lnTo>
                <a:pt x="0" y="22"/>
              </a:lnTo>
              <a:close/>
            </a:path>
          </a:pathLst>
        </a:custGeom>
        <a:solidFill>
          <a:srgbClr xmlns:mc="http://schemas.openxmlformats.org/markup-compatibility/2006" xmlns:a14="http://schemas.microsoft.com/office/drawing/2010/main" val="FFFFFF" mc:Ignorable="a14" a14:legacySpreadsheetColorIndex="65"/>
        </a:solidFill>
        <a:ln w="19050" cap="flat" cmpd="sng">
          <a:prstDash val="solid"/>
          <a:round/>
          <a:headEnd/>
          <a:tailEnd/>
        </a:ln>
        <a:effectLst/>
        <a:scene3d>
          <a:camera prst="legacyObliqueTopRight"/>
          <a:lightRig rig="legacyFlat3" dir="b"/>
        </a:scene3d>
        <a:sp3d extrusionH="163500" prstMaterial="legacyMetal">
          <a:bevelT w="13500" h="13500" prst="angle"/>
          <a:bevelB w="13500" h="13500" prst="angle"/>
          <a:extrusionClr>
            <a:srgbClr xmlns:mc="http://schemas.openxmlformats.org/markup-compatibility/2006" xmlns:a14="http://schemas.microsoft.com/office/drawing/2010/main" val="FFFFFF" mc:Ignorable="a14" a14:legacySpreadsheetColorIndex="65"/>
          </a:extrusionClr>
        </a:sp3d>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absolute">
    <xdr:from>
      <xdr:col>9</xdr:col>
      <xdr:colOff>138817</xdr:colOff>
      <xdr:row>5</xdr:row>
      <xdr:rowOff>838805</xdr:rowOff>
    </xdr:from>
    <xdr:to>
      <xdr:col>9</xdr:col>
      <xdr:colOff>550509</xdr:colOff>
      <xdr:row>5</xdr:row>
      <xdr:rowOff>984220</xdr:rowOff>
    </xdr:to>
    <xdr:sp macro="" textlink="">
      <xdr:nvSpPr>
        <xdr:cNvPr id="24" name="Freeform 1395"/>
        <xdr:cNvSpPr>
          <a:spLocks/>
        </xdr:cNvSpPr>
      </xdr:nvSpPr>
      <xdr:spPr bwMode="auto">
        <a:xfrm>
          <a:off x="5936791" y="1812471"/>
          <a:ext cx="413385" cy="145415"/>
        </a:xfrm>
        <a:custGeom>
          <a:avLst/>
          <a:gdLst>
            <a:gd name="T0" fmla="*/ 0 w 100"/>
            <a:gd name="T1" fmla="*/ 22 h 22"/>
            <a:gd name="T2" fmla="*/ 19 w 100"/>
            <a:gd name="T3" fmla="*/ 0 h 22"/>
            <a:gd name="T4" fmla="*/ 80 w 100"/>
            <a:gd name="T5" fmla="*/ 0 h 22"/>
            <a:gd name="T6" fmla="*/ 100 w 100"/>
            <a:gd name="T7" fmla="*/ 22 h 22"/>
            <a:gd name="T8" fmla="*/ 0 w 100"/>
            <a:gd name="T9" fmla="*/ 22 h 22"/>
          </a:gdLst>
          <a:ahLst/>
          <a:cxnLst>
            <a:cxn ang="0">
              <a:pos x="T0" y="T1"/>
            </a:cxn>
            <a:cxn ang="0">
              <a:pos x="T2" y="T3"/>
            </a:cxn>
            <a:cxn ang="0">
              <a:pos x="T4" y="T5"/>
            </a:cxn>
            <a:cxn ang="0">
              <a:pos x="T6" y="T7"/>
            </a:cxn>
            <a:cxn ang="0">
              <a:pos x="T8" y="T9"/>
            </a:cxn>
          </a:cxnLst>
          <a:rect l="0" t="0" r="r" b="b"/>
          <a:pathLst>
            <a:path w="100" h="22">
              <a:moveTo>
                <a:pt x="0" y="22"/>
              </a:moveTo>
              <a:lnTo>
                <a:pt x="19" y="0"/>
              </a:lnTo>
              <a:lnTo>
                <a:pt x="80" y="0"/>
              </a:lnTo>
              <a:lnTo>
                <a:pt x="100" y="22"/>
              </a:lnTo>
              <a:lnTo>
                <a:pt x="0" y="22"/>
              </a:lnTo>
              <a:close/>
            </a:path>
          </a:pathLst>
        </a:custGeom>
        <a:solidFill>
          <a:srgbClr xmlns:mc="http://schemas.openxmlformats.org/markup-compatibility/2006" xmlns:a14="http://schemas.microsoft.com/office/drawing/2010/main" val="FFFFFF" mc:Ignorable="a14" a14:legacySpreadsheetColorIndex="65"/>
        </a:solidFill>
        <a:ln w="19050" cap="flat" cmpd="sng">
          <a:prstDash val="solid"/>
          <a:round/>
          <a:headEnd/>
          <a:tailEnd/>
        </a:ln>
        <a:effectLst/>
        <a:scene3d>
          <a:camera prst="legacyObliqueTopRight"/>
          <a:lightRig rig="legacyFlat3" dir="b"/>
        </a:scene3d>
        <a:sp3d extrusionH="163500" prstMaterial="legacyMetal">
          <a:bevelT w="13500" h="13500" prst="angle"/>
          <a:bevelB w="13500" h="13500" prst="angle"/>
          <a:extrusionClr>
            <a:srgbClr xmlns:mc="http://schemas.openxmlformats.org/markup-compatibility/2006" xmlns:a14="http://schemas.microsoft.com/office/drawing/2010/main" val="FFFFFF" mc:Ignorable="a14" a14:legacySpreadsheetColorIndex="65"/>
          </a:extrusionClr>
        </a:sp3d>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absolute">
    <xdr:from>
      <xdr:col>9</xdr:col>
      <xdr:colOff>263736</xdr:colOff>
      <xdr:row>4</xdr:row>
      <xdr:rowOff>56516</xdr:rowOff>
    </xdr:from>
    <xdr:to>
      <xdr:col>10</xdr:col>
      <xdr:colOff>401407</xdr:colOff>
      <xdr:row>5</xdr:row>
      <xdr:rowOff>212144</xdr:rowOff>
    </xdr:to>
    <xdr:sp macro="" textlink="">
      <xdr:nvSpPr>
        <xdr:cNvPr id="25" name="Text Box 1399"/>
        <xdr:cNvSpPr txBox="1">
          <a:spLocks noChangeArrowheads="1"/>
        </xdr:cNvSpPr>
      </xdr:nvSpPr>
      <xdr:spPr bwMode="auto">
        <a:xfrm>
          <a:off x="6061710" y="860849"/>
          <a:ext cx="886123" cy="324961"/>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square" lIns="18288" tIns="22860" rIns="18288" bIns="0" anchor="t" upright="1">
          <a:spAutoFit/>
        </a:bodyPr>
        <a:lstStyle/>
        <a:p>
          <a:pPr algn="ctr" rtl="0">
            <a:defRPr sz="1000"/>
          </a:pPr>
          <a:r>
            <a:rPr lang="en-US" sz="1000" b="1" i="0" u="none" strike="noStrike" baseline="0">
              <a:solidFill>
                <a:srgbClr val="000000"/>
              </a:solidFill>
              <a:latin typeface="Arial"/>
              <a:cs typeface="Arial"/>
            </a:rPr>
            <a:t>Heat loss</a:t>
          </a:r>
        </a:p>
        <a:p>
          <a:pPr algn="ctr" rtl="0">
            <a:defRPr sz="1000"/>
          </a:pPr>
          <a:r>
            <a:rPr lang="en-US" sz="1000" b="1" i="0" u="none" strike="noStrike" baseline="0">
              <a:solidFill>
                <a:srgbClr val="000000"/>
              </a:solidFill>
              <a:latin typeface="Arial"/>
              <a:cs typeface="Arial"/>
            </a:rPr>
            <a:t>(186,600 kJ)</a:t>
          </a:r>
          <a:endParaRPr lang="en-US"/>
        </a:p>
      </xdr:txBody>
    </xdr:sp>
    <xdr:clientData/>
  </xdr:twoCellAnchor>
  <xdr:twoCellAnchor editAs="absolute">
    <xdr:from>
      <xdr:col>8</xdr:col>
      <xdr:colOff>395284</xdr:colOff>
      <xdr:row>5</xdr:row>
      <xdr:rowOff>485837</xdr:rowOff>
    </xdr:from>
    <xdr:to>
      <xdr:col>10</xdr:col>
      <xdr:colOff>718449</xdr:colOff>
      <xdr:row>5</xdr:row>
      <xdr:rowOff>700774</xdr:rowOff>
    </xdr:to>
    <xdr:sp macro="" textlink="">
      <xdr:nvSpPr>
        <xdr:cNvPr id="26" name="Text Box 1405"/>
        <xdr:cNvSpPr txBox="1">
          <a:spLocks noChangeArrowheads="1"/>
        </xdr:cNvSpPr>
      </xdr:nvSpPr>
      <xdr:spPr bwMode="auto">
        <a:xfrm>
          <a:off x="5583658" y="1459503"/>
          <a:ext cx="1681217" cy="214937"/>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27432" tIns="27432" rIns="27432" bIns="0" anchor="t" upright="1">
          <a:spAutoFit/>
        </a:bodyPr>
        <a:lstStyle/>
        <a:p>
          <a:pPr algn="ctr" rtl="0">
            <a:defRPr sz="1000"/>
          </a:pPr>
          <a:r>
            <a:rPr lang="en-US" sz="1200" b="1" i="0" u="none" strike="noStrike" baseline="0">
              <a:solidFill>
                <a:srgbClr val="000000"/>
              </a:solidFill>
              <a:latin typeface="Arial"/>
              <a:cs typeface="Arial"/>
            </a:rPr>
            <a:t>Ingot Heating Furnace</a:t>
          </a:r>
          <a:endParaRPr lang="en-US"/>
        </a:p>
      </xdr:txBody>
    </xdr:sp>
    <xdr:clientData/>
  </xdr:twoCellAnchor>
  <xdr:twoCellAnchor editAs="absolute">
    <xdr:from>
      <xdr:col>10</xdr:col>
      <xdr:colOff>487862</xdr:colOff>
      <xdr:row>5</xdr:row>
      <xdr:rowOff>125309</xdr:rowOff>
    </xdr:from>
    <xdr:to>
      <xdr:col>11</xdr:col>
      <xdr:colOff>188564</xdr:colOff>
      <xdr:row>5</xdr:row>
      <xdr:rowOff>433073</xdr:rowOff>
    </xdr:to>
    <xdr:sp macro="" textlink="">
      <xdr:nvSpPr>
        <xdr:cNvPr id="27" name="Freeform 26"/>
        <xdr:cNvSpPr/>
      </xdr:nvSpPr>
      <xdr:spPr>
        <a:xfrm>
          <a:off x="7034288" y="1098975"/>
          <a:ext cx="445769" cy="307764"/>
        </a:xfrm>
        <a:custGeom>
          <a:avLst/>
          <a:gdLst>
            <a:gd name="connsiteX0" fmla="*/ 0 w 447675"/>
            <a:gd name="connsiteY0" fmla="*/ 295275 h 295275"/>
            <a:gd name="connsiteX1" fmla="*/ 0 w 447675"/>
            <a:gd name="connsiteY1" fmla="*/ 0 h 295275"/>
            <a:gd name="connsiteX2" fmla="*/ 447675 w 447675"/>
            <a:gd name="connsiteY2" fmla="*/ 0 h 295275"/>
            <a:gd name="connsiteX3" fmla="*/ 447675 w 447675"/>
            <a:gd name="connsiteY3" fmla="*/ 9525 h 295275"/>
          </a:gdLst>
          <a:ahLst/>
          <a:cxnLst>
            <a:cxn ang="0">
              <a:pos x="connsiteX0" y="connsiteY0"/>
            </a:cxn>
            <a:cxn ang="0">
              <a:pos x="connsiteX1" y="connsiteY1"/>
            </a:cxn>
            <a:cxn ang="0">
              <a:pos x="connsiteX2" y="connsiteY2"/>
            </a:cxn>
            <a:cxn ang="0">
              <a:pos x="connsiteX3" y="connsiteY3"/>
            </a:cxn>
          </a:cxnLst>
          <a:rect l="l" t="t" r="r" b="b"/>
          <a:pathLst>
            <a:path w="447675" h="295275">
              <a:moveTo>
                <a:pt x="0" y="295275"/>
              </a:moveTo>
              <a:lnTo>
                <a:pt x="0" y="0"/>
              </a:lnTo>
              <a:lnTo>
                <a:pt x="447675" y="0"/>
              </a:lnTo>
              <a:lnTo>
                <a:pt x="447675" y="9525"/>
              </a:lnTo>
            </a:path>
          </a:pathLst>
        </a:custGeom>
        <a:ln w="19050">
          <a:solidFill>
            <a:schemeClr val="tx1"/>
          </a:solidFill>
          <a:headEnd type="none" w="med" len="med"/>
          <a:tailEnd type="triangle" w="med" len="med"/>
        </a:ln>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lang="en-US" sz="1100"/>
        </a:p>
      </xdr:txBody>
    </xdr:sp>
    <xdr:clientData/>
  </xdr:twoCellAnchor>
  <xdr:twoCellAnchor editAs="absolute">
    <xdr:from>
      <xdr:col>6</xdr:col>
      <xdr:colOff>240418</xdr:colOff>
      <xdr:row>5</xdr:row>
      <xdr:rowOff>511338</xdr:rowOff>
    </xdr:from>
    <xdr:to>
      <xdr:col>6</xdr:col>
      <xdr:colOff>421393</xdr:colOff>
      <xdr:row>5</xdr:row>
      <xdr:rowOff>719618</xdr:rowOff>
    </xdr:to>
    <xdr:sp macro="" textlink="">
      <xdr:nvSpPr>
        <xdr:cNvPr id="28" name="Text Box 1342"/>
        <xdr:cNvSpPr txBox="1">
          <a:spLocks noChangeArrowheads="1"/>
        </xdr:cNvSpPr>
      </xdr:nvSpPr>
      <xdr:spPr bwMode="auto">
        <a:xfrm>
          <a:off x="4138471" y="1485004"/>
          <a:ext cx="180975" cy="20828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27432" bIns="0" anchor="ctr" upright="1"/>
        <a:lstStyle/>
        <a:p>
          <a:pPr algn="ctr" rtl="0">
            <a:defRPr sz="1000"/>
          </a:pPr>
          <a:r>
            <a:rPr lang="en-US" sz="900" b="1" i="0" u="none" strike="noStrike" baseline="0">
              <a:solidFill>
                <a:srgbClr val="000000"/>
              </a:solidFill>
              <a:latin typeface="Arial"/>
              <a:cs typeface="Arial"/>
            </a:rPr>
            <a:t>2</a:t>
          </a:r>
        </a:p>
      </xdr:txBody>
    </xdr:sp>
    <xdr:clientData/>
  </xdr:twoCellAnchor>
  <xdr:twoCellAnchor editAs="absolute">
    <xdr:from>
      <xdr:col>8</xdr:col>
      <xdr:colOff>24518</xdr:colOff>
      <xdr:row>5</xdr:row>
      <xdr:rowOff>803274</xdr:rowOff>
    </xdr:from>
    <xdr:to>
      <xdr:col>8</xdr:col>
      <xdr:colOff>205493</xdr:colOff>
      <xdr:row>5</xdr:row>
      <xdr:rowOff>1009014</xdr:rowOff>
    </xdr:to>
    <xdr:sp macro="" textlink="">
      <xdr:nvSpPr>
        <xdr:cNvPr id="29" name="Text Box 1342"/>
        <xdr:cNvSpPr txBox="1">
          <a:spLocks noChangeArrowheads="1"/>
        </xdr:cNvSpPr>
      </xdr:nvSpPr>
      <xdr:spPr bwMode="auto">
        <a:xfrm>
          <a:off x="5212892" y="1776940"/>
          <a:ext cx="180975" cy="20574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27432" bIns="0" anchor="ctr" upright="1"/>
        <a:lstStyle/>
        <a:p>
          <a:pPr algn="ctr" rtl="0">
            <a:defRPr sz="1000"/>
          </a:pPr>
          <a:r>
            <a:rPr lang="en-US" sz="900" b="1" i="0" u="none" strike="noStrike" baseline="0">
              <a:solidFill>
                <a:srgbClr val="000000"/>
              </a:solidFill>
              <a:latin typeface="Arial"/>
              <a:cs typeface="Arial"/>
            </a:rPr>
            <a:t>7</a:t>
          </a:r>
        </a:p>
      </xdr:txBody>
    </xdr:sp>
    <xdr:clientData/>
  </xdr:twoCellAnchor>
  <xdr:twoCellAnchor editAs="absolute">
    <xdr:from>
      <xdr:col>7</xdr:col>
      <xdr:colOff>609777</xdr:colOff>
      <xdr:row>5</xdr:row>
      <xdr:rowOff>320464</xdr:rowOff>
    </xdr:from>
    <xdr:to>
      <xdr:col>8</xdr:col>
      <xdr:colOff>62618</xdr:colOff>
      <xdr:row>5</xdr:row>
      <xdr:rowOff>523029</xdr:rowOff>
    </xdr:to>
    <xdr:sp macro="" textlink="">
      <xdr:nvSpPr>
        <xdr:cNvPr id="30" name="Text Box 1342"/>
        <xdr:cNvSpPr txBox="1">
          <a:spLocks noChangeArrowheads="1"/>
        </xdr:cNvSpPr>
      </xdr:nvSpPr>
      <xdr:spPr bwMode="auto">
        <a:xfrm>
          <a:off x="5070017" y="1294130"/>
          <a:ext cx="180975" cy="20256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27432" bIns="0" anchor="ctr" upright="1"/>
        <a:lstStyle/>
        <a:p>
          <a:pPr algn="ctr" rtl="0">
            <a:defRPr sz="1000"/>
          </a:pPr>
          <a:r>
            <a:rPr lang="en-US" sz="900" b="1" i="0" u="none" strike="noStrike" baseline="0">
              <a:solidFill>
                <a:srgbClr val="000000"/>
              </a:solidFill>
              <a:latin typeface="Arial"/>
              <a:cs typeface="Arial"/>
            </a:rPr>
            <a:t>3</a:t>
          </a:r>
        </a:p>
      </xdr:txBody>
    </xdr:sp>
    <xdr:clientData/>
  </xdr:twoCellAnchor>
  <xdr:twoCellAnchor editAs="absolute">
    <xdr:from>
      <xdr:col>10</xdr:col>
      <xdr:colOff>494737</xdr:colOff>
      <xdr:row>5</xdr:row>
      <xdr:rowOff>117899</xdr:rowOff>
    </xdr:from>
    <xdr:to>
      <xdr:col>10</xdr:col>
      <xdr:colOff>678040</xdr:colOff>
      <xdr:row>5</xdr:row>
      <xdr:rowOff>320464</xdr:rowOff>
    </xdr:to>
    <xdr:sp macro="" textlink="">
      <xdr:nvSpPr>
        <xdr:cNvPr id="31" name="Text Box 1342"/>
        <xdr:cNvSpPr txBox="1">
          <a:spLocks noChangeArrowheads="1"/>
        </xdr:cNvSpPr>
      </xdr:nvSpPr>
      <xdr:spPr bwMode="auto">
        <a:xfrm>
          <a:off x="7041163" y="1091565"/>
          <a:ext cx="183303" cy="20256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27432" bIns="0" anchor="ctr" upright="1"/>
        <a:lstStyle/>
        <a:p>
          <a:pPr algn="ctr" rtl="0">
            <a:defRPr sz="1000"/>
          </a:pPr>
          <a:endParaRPr lang="en-US" sz="900" b="1" i="0" u="none" strike="noStrike" baseline="0">
            <a:solidFill>
              <a:srgbClr val="000000"/>
            </a:solidFill>
            <a:latin typeface="Arial"/>
            <a:cs typeface="Arial"/>
          </a:endParaRPr>
        </a:p>
      </xdr:txBody>
    </xdr:sp>
    <xdr:clientData/>
  </xdr:twoCellAnchor>
  <xdr:twoCellAnchor editAs="absolute">
    <xdr:from>
      <xdr:col>11</xdr:col>
      <xdr:colOff>266877</xdr:colOff>
      <xdr:row>5</xdr:row>
      <xdr:rowOff>987848</xdr:rowOff>
    </xdr:from>
    <xdr:to>
      <xdr:col>11</xdr:col>
      <xdr:colOff>465314</xdr:colOff>
      <xdr:row>5</xdr:row>
      <xdr:rowOff>1156018</xdr:rowOff>
    </xdr:to>
    <xdr:sp macro="" textlink="">
      <xdr:nvSpPr>
        <xdr:cNvPr id="32" name="Text Box 1342"/>
        <xdr:cNvSpPr txBox="1">
          <a:spLocks noChangeArrowheads="1"/>
        </xdr:cNvSpPr>
      </xdr:nvSpPr>
      <xdr:spPr bwMode="auto">
        <a:xfrm>
          <a:off x="7558370" y="1961514"/>
          <a:ext cx="198437" cy="16817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27432" bIns="0" anchor="ctr" upright="1"/>
        <a:lstStyle/>
        <a:p>
          <a:pPr algn="ctr" rtl="0">
            <a:defRPr sz="1000"/>
          </a:pPr>
          <a:r>
            <a:rPr lang="en-US" sz="900" b="1" i="0" u="none" strike="noStrike" baseline="0">
              <a:solidFill>
                <a:srgbClr val="000000"/>
              </a:solidFill>
              <a:latin typeface="Arial"/>
              <a:cs typeface="Arial"/>
            </a:rPr>
            <a:t>6</a:t>
          </a:r>
        </a:p>
      </xdr:txBody>
    </xdr:sp>
    <xdr:clientData/>
  </xdr:twoCellAnchor>
  <xdr:twoCellAnchor editAs="absolute">
    <xdr:from>
      <xdr:col>5</xdr:col>
      <xdr:colOff>159574</xdr:colOff>
      <xdr:row>4</xdr:row>
      <xdr:rowOff>65904</xdr:rowOff>
    </xdr:from>
    <xdr:to>
      <xdr:col>7</xdr:col>
      <xdr:colOff>625650</xdr:colOff>
      <xdr:row>5</xdr:row>
      <xdr:rowOff>76172</xdr:rowOff>
    </xdr:to>
    <xdr:sp macro="" textlink="">
      <xdr:nvSpPr>
        <xdr:cNvPr id="33" name="Text Box 1399"/>
        <xdr:cNvSpPr txBox="1">
          <a:spLocks noChangeArrowheads="1"/>
        </xdr:cNvSpPr>
      </xdr:nvSpPr>
      <xdr:spPr bwMode="auto">
        <a:xfrm>
          <a:off x="3789234" y="870237"/>
          <a:ext cx="1296656" cy="179601"/>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18288" tIns="22860" rIns="18288" bIns="0" anchor="t" upright="1">
          <a:spAutoFit/>
        </a:bodyPr>
        <a:lstStyle/>
        <a:p>
          <a:pPr algn="ctr" rtl="0">
            <a:defRPr sz="1000"/>
          </a:pPr>
          <a:r>
            <a:rPr lang="en-US" sz="1000" b="1" i="0" u="none" strike="noStrike" baseline="0">
              <a:solidFill>
                <a:srgbClr val="000000"/>
              </a:solidFill>
              <a:latin typeface="Arial"/>
              <a:cs typeface="Arial"/>
            </a:rPr>
            <a:t>Heat loss (13,400 kJ)</a:t>
          </a:r>
          <a:endParaRPr lang="en-US"/>
        </a:p>
      </xdr:txBody>
    </xdr:sp>
    <xdr:clientData/>
  </xdr:twoCellAnchor>
  <xdr:twoCellAnchor editAs="absolute">
    <xdr:from>
      <xdr:col>11</xdr:col>
      <xdr:colOff>150460</xdr:colOff>
      <xdr:row>5</xdr:row>
      <xdr:rowOff>611296</xdr:rowOff>
    </xdr:from>
    <xdr:to>
      <xdr:col>11</xdr:col>
      <xdr:colOff>478367</xdr:colOff>
      <xdr:row>5</xdr:row>
      <xdr:rowOff>611296</xdr:rowOff>
    </xdr:to>
    <xdr:sp macro="" textlink="">
      <xdr:nvSpPr>
        <xdr:cNvPr id="34" name="Line 1330"/>
        <xdr:cNvSpPr>
          <a:spLocks noChangeShapeType="1"/>
        </xdr:cNvSpPr>
      </xdr:nvSpPr>
      <xdr:spPr bwMode="auto">
        <a:xfrm rot="5400000">
          <a:off x="7605907" y="1421008"/>
          <a:ext cx="0" cy="327907"/>
        </a:xfrm>
        <a:prstGeom prst="line">
          <a:avLst/>
        </a:prstGeom>
        <a:noFill/>
        <a:ln w="19050">
          <a:solidFill>
            <a:srgbClr xmlns:mc="http://schemas.openxmlformats.org/markup-compatibility/2006" xmlns:a14="http://schemas.microsoft.com/office/drawing/2010/main" val="000000" mc:Ignorable="a14" a14:legacySpreadsheetColorIndex="8"/>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absolute">
    <xdr:from>
      <xdr:col>11</xdr:col>
      <xdr:colOff>266877</xdr:colOff>
      <xdr:row>5</xdr:row>
      <xdr:rowOff>427780</xdr:rowOff>
    </xdr:from>
    <xdr:to>
      <xdr:col>11</xdr:col>
      <xdr:colOff>465314</xdr:colOff>
      <xdr:row>5</xdr:row>
      <xdr:rowOff>597008</xdr:rowOff>
    </xdr:to>
    <xdr:sp macro="" textlink="">
      <xdr:nvSpPr>
        <xdr:cNvPr id="35" name="Text Box 1342"/>
        <xdr:cNvSpPr txBox="1">
          <a:spLocks noChangeArrowheads="1"/>
        </xdr:cNvSpPr>
      </xdr:nvSpPr>
      <xdr:spPr bwMode="auto">
        <a:xfrm>
          <a:off x="7558370" y="1401446"/>
          <a:ext cx="198437" cy="169228"/>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27432" bIns="0" anchor="ctr" upright="1"/>
        <a:lstStyle/>
        <a:p>
          <a:pPr algn="ctr" rtl="0">
            <a:defRPr sz="1000"/>
          </a:pPr>
          <a:r>
            <a:rPr lang="en-US" sz="900" b="1" i="0" u="none" strike="noStrike" baseline="0">
              <a:solidFill>
                <a:srgbClr val="000000"/>
              </a:solidFill>
              <a:latin typeface="Arial"/>
              <a:cs typeface="Arial"/>
            </a:rPr>
            <a:t>5</a:t>
          </a:r>
        </a:p>
      </xdr:txBody>
    </xdr:sp>
    <xdr:clientData/>
  </xdr:twoCellAnchor>
  <xdr:twoCellAnchor editAs="absolute">
    <xdr:from>
      <xdr:col>4</xdr:col>
      <xdr:colOff>28276</xdr:colOff>
      <xdr:row>5</xdr:row>
      <xdr:rowOff>477569</xdr:rowOff>
    </xdr:from>
    <xdr:to>
      <xdr:col>6</xdr:col>
      <xdr:colOff>404469</xdr:colOff>
      <xdr:row>5</xdr:row>
      <xdr:rowOff>962119</xdr:rowOff>
    </xdr:to>
    <xdr:sp macro="" textlink="">
      <xdr:nvSpPr>
        <xdr:cNvPr id="36" name="Text Box 1384"/>
        <xdr:cNvSpPr txBox="1">
          <a:spLocks noChangeArrowheads="1"/>
        </xdr:cNvSpPr>
      </xdr:nvSpPr>
      <xdr:spPr bwMode="auto">
        <a:xfrm>
          <a:off x="2999229" y="1451235"/>
          <a:ext cx="1303293" cy="484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27432" bIns="0" anchor="ctr" upright="1"/>
        <a:lstStyle/>
        <a:p>
          <a:pPr algn="ctr" rtl="0">
            <a:defRPr sz="1000"/>
          </a:pPr>
          <a:r>
            <a:rPr lang="en-US" sz="1000" b="1" i="0" u="none" strike="noStrike" baseline="0">
              <a:solidFill>
                <a:srgbClr val="000000"/>
              </a:solidFill>
              <a:latin typeface="Arial"/>
              <a:cs typeface="Arial"/>
            </a:rPr>
            <a:t>Burner air</a:t>
          </a:r>
        </a:p>
        <a:p>
          <a:pPr algn="ctr" rtl="0">
            <a:defRPr sz="1000"/>
          </a:pPr>
          <a:r>
            <a:rPr lang="en-US" sz="1000" b="1" i="0" u="none" strike="noStrike" baseline="0">
              <a:solidFill>
                <a:srgbClr val="000000"/>
              </a:solidFill>
              <a:latin typeface="Arial"/>
              <a:cs typeface="Arial"/>
            </a:rPr>
            <a:t>118% stoich.</a:t>
          </a:r>
        </a:p>
        <a:p>
          <a:pPr algn="ctr" rtl="0">
            <a:defRPr sz="1000"/>
          </a:pPr>
          <a:r>
            <a:rPr lang="en-US" sz="1000" b="1" i="0" u="none" strike="noStrike" baseline="0">
              <a:solidFill>
                <a:srgbClr val="000000"/>
              </a:solidFill>
              <a:latin typeface="Arial"/>
              <a:cs typeface="Arial"/>
            </a:rPr>
            <a:t>(360 m</a:t>
          </a:r>
          <a:r>
            <a:rPr lang="en-US" sz="1000" b="1" i="0" u="none" strike="noStrike" baseline="30000">
              <a:solidFill>
                <a:srgbClr val="000000"/>
              </a:solidFill>
              <a:latin typeface="Arial"/>
              <a:cs typeface="Arial"/>
            </a:rPr>
            <a:t>3</a:t>
          </a:r>
          <a:r>
            <a:rPr lang="en-US" sz="1000" b="1" i="0" u="none" strike="noStrike" baseline="0">
              <a:solidFill>
                <a:srgbClr val="000000"/>
              </a:solidFill>
              <a:latin typeface="Arial"/>
              <a:cs typeface="Arial"/>
            </a:rPr>
            <a:t>, 25°C)</a:t>
          </a:r>
          <a:endParaRPr lang="en-US" baseline="0"/>
        </a:p>
      </xdr:txBody>
    </xdr:sp>
    <xdr:clientData/>
  </xdr:twoCellAnchor>
  <xdr:twoCellAnchor editAs="absolute">
    <xdr:from>
      <xdr:col>7</xdr:col>
      <xdr:colOff>29946</xdr:colOff>
      <xdr:row>5</xdr:row>
      <xdr:rowOff>98959</xdr:rowOff>
    </xdr:from>
    <xdr:to>
      <xdr:col>7</xdr:col>
      <xdr:colOff>268867</xdr:colOff>
      <xdr:row>5</xdr:row>
      <xdr:rowOff>356060</xdr:rowOff>
    </xdr:to>
    <xdr:sp macro="" textlink="">
      <xdr:nvSpPr>
        <xdr:cNvPr id="37" name="Lightning Bolt 36"/>
        <xdr:cNvSpPr/>
      </xdr:nvSpPr>
      <xdr:spPr>
        <a:xfrm rot="17218768" flipV="1">
          <a:off x="4477709" y="1081715"/>
          <a:ext cx="257101" cy="238921"/>
        </a:xfrm>
        <a:prstGeom prst="lightningBolt">
          <a:avLst/>
        </a:prstGeom>
        <a:solidFill>
          <a:srgbClr val="FF0000"/>
        </a:solidFill>
        <a:ln w="9525"/>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oneCellAnchor>
    <xdr:from>
      <xdr:col>4</xdr:col>
      <xdr:colOff>7620</xdr:colOff>
      <xdr:row>0</xdr:row>
      <xdr:rowOff>63043</xdr:rowOff>
    </xdr:from>
    <xdr:ext cx="6457949" cy="666911"/>
    <xdr:sp macro="" textlink="">
      <xdr:nvSpPr>
        <xdr:cNvPr id="38" name="TextBox 37"/>
        <xdr:cNvSpPr txBox="1"/>
      </xdr:nvSpPr>
      <xdr:spPr>
        <a:xfrm>
          <a:off x="2529840" y="63043"/>
          <a:ext cx="6457949" cy="666911"/>
        </a:xfrm>
        <a:prstGeom prst="rect">
          <a:avLst/>
        </a:prstGeom>
        <a:solidFill>
          <a:schemeClr val="tx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nchorCtr="1">
          <a:noAutofit/>
        </a:bodyPr>
        <a:lstStyle/>
        <a:p>
          <a:pPr algn="ctr"/>
          <a:endParaRPr lang="en-US" sz="1600">
            <a:latin typeface="Arial" pitchFamily="34" charset="0"/>
            <a:cs typeface="Arial" pitchFamily="34" charset="0"/>
          </a:endParaRPr>
        </a:p>
        <a:p>
          <a:pPr algn="ctr"/>
          <a:r>
            <a:rPr lang="en-US" sz="1600" b="1">
              <a:solidFill>
                <a:schemeClr val="bg1"/>
              </a:solidFill>
              <a:latin typeface="Arial" pitchFamily="34" charset="0"/>
              <a:cs typeface="Arial" pitchFamily="34" charset="0"/>
            </a:rPr>
            <a:t>A System  Balance Calculator for an</a:t>
          </a:r>
          <a:r>
            <a:rPr lang="en-US" sz="1600" b="1" baseline="0">
              <a:solidFill>
                <a:schemeClr val="bg1"/>
              </a:solidFill>
              <a:latin typeface="Arial" pitchFamily="34" charset="0"/>
              <a:cs typeface="Arial" pitchFamily="34" charset="0"/>
            </a:rPr>
            <a:t> Aluminum Heating Process</a:t>
          </a:r>
          <a:endParaRPr lang="en-US" sz="1100" b="1">
            <a:latin typeface="Arial" pitchFamily="34" charset="0"/>
            <a:cs typeface="Arial" pitchFamily="34" charset="0"/>
          </a:endParaRPr>
        </a:p>
      </xdr:txBody>
    </xdr:sp>
    <xdr:clientData/>
  </xdr:oneCellAnchor>
  <xdr:oneCellAnchor>
    <xdr:from>
      <xdr:col>7</xdr:col>
      <xdr:colOff>693420</xdr:colOff>
      <xdr:row>0</xdr:row>
      <xdr:rowOff>160559</xdr:rowOff>
    </xdr:from>
    <xdr:ext cx="2011680" cy="275329"/>
    <xdr:sp macro="" textlink="">
      <xdr:nvSpPr>
        <xdr:cNvPr id="39" name="Rectangle 38"/>
        <xdr:cNvSpPr/>
      </xdr:nvSpPr>
      <xdr:spPr>
        <a:xfrm>
          <a:off x="4701540" y="160559"/>
          <a:ext cx="2011680" cy="275329"/>
        </a:xfrm>
        <a:prstGeom prst="rect">
          <a:avLst/>
        </a:prstGeom>
        <a:solidFill>
          <a:srgbClr val="D0CAFE"/>
        </a:solidFill>
        <a:ln>
          <a:solidFill>
            <a:schemeClr val="tx1"/>
          </a:solidFill>
        </a:ln>
      </xdr:spPr>
      <xdr:txBody>
        <a:bodyPr wrap="none" lIns="91440" tIns="45720" rIns="91440" bIns="45720" anchor="ctr">
          <a:noAutofit/>
        </a:bodyPr>
        <a:lstStyle/>
        <a:p>
          <a:pPr algn="ctr"/>
          <a:r>
            <a:rPr lang="en-US" sz="2400" b="1" cap="none" spc="0" baseline="0">
              <a:ln w="3175" cmpd="sng">
                <a:solidFill>
                  <a:srgbClr val="FFFFFF"/>
                </a:solidFill>
                <a:prstDash val="solid"/>
                <a:miter lim="800000"/>
              </a:ln>
              <a:solidFill>
                <a:srgbClr val="000000">
                  <a:tint val="92000"/>
                  <a:shade val="100000"/>
                  <a:satMod val="150000"/>
                </a:srgbClr>
              </a:solidFill>
              <a:effectLst>
                <a:outerShdw blurRad="50800" algn="tl" rotWithShape="0">
                  <a:srgbClr val="000000"/>
                </a:outerShdw>
              </a:effectLst>
            </a:rPr>
            <a:t>SysBalCalc-1</a:t>
          </a:r>
        </a:p>
      </xdr:txBody>
    </xdr:sp>
    <xdr:clientData/>
  </xdr:oneCellAnchor>
  <xdr:oneCellAnchor>
    <xdr:from>
      <xdr:col>1</xdr:col>
      <xdr:colOff>211667</xdr:colOff>
      <xdr:row>5</xdr:row>
      <xdr:rowOff>101599</xdr:rowOff>
    </xdr:from>
    <xdr:ext cx="1542258" cy="904615"/>
    <xdr:sp macro="" textlink="">
      <xdr:nvSpPr>
        <xdr:cNvPr id="40" name="TextBox 39"/>
        <xdr:cNvSpPr txBox="1"/>
      </xdr:nvSpPr>
      <xdr:spPr>
        <a:xfrm>
          <a:off x="821267" y="939799"/>
          <a:ext cx="1542258" cy="904615"/>
        </a:xfrm>
        <a:prstGeom prst="rect">
          <a:avLst/>
        </a:prstGeom>
        <a:solidFill>
          <a:schemeClr val="accent6">
            <a:lumMod val="50000"/>
          </a:schemeClr>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a:solidFill>
                <a:schemeClr val="bg1"/>
              </a:solidFill>
              <a:latin typeface="Arial" pitchFamily="34" charset="0"/>
              <a:cs typeface="Arial" pitchFamily="34" charset="0"/>
            </a:rPr>
            <a:t>SysBalCalc is a </a:t>
          </a:r>
        </a:p>
        <a:p>
          <a:pPr algn="ctr"/>
          <a:r>
            <a:rPr lang="en-US" sz="1100" b="1">
              <a:solidFill>
                <a:schemeClr val="bg1"/>
              </a:solidFill>
              <a:latin typeface="Arial" pitchFamily="34" charset="0"/>
              <a:cs typeface="Arial" pitchFamily="34" charset="0"/>
            </a:rPr>
            <a:t>Thermart Software </a:t>
          </a:r>
        </a:p>
        <a:p>
          <a:pPr algn="ctr"/>
          <a:r>
            <a:rPr lang="en-US" sz="1100" b="1">
              <a:solidFill>
                <a:schemeClr val="bg1"/>
              </a:solidFill>
              <a:latin typeface="Arial" pitchFamily="34" charset="0"/>
              <a:cs typeface="Arial" pitchFamily="34" charset="0"/>
            </a:rPr>
            <a:t>program.   © 2012</a:t>
          </a:r>
        </a:p>
        <a:p>
          <a:pPr algn="ctr"/>
          <a:r>
            <a:rPr lang="en-US" sz="1100" b="1">
              <a:solidFill>
                <a:schemeClr val="bg1"/>
              </a:solidFill>
              <a:latin typeface="Arial" pitchFamily="34" charset="0"/>
              <a:cs typeface="Arial" pitchFamily="34" charset="0"/>
            </a:rPr>
            <a:t>by Arthur E. Morris.</a:t>
          </a:r>
        </a:p>
        <a:p>
          <a:pPr algn="ctr"/>
          <a:r>
            <a:rPr lang="en-US" sz="1100" b="1">
              <a:solidFill>
                <a:schemeClr val="bg1"/>
              </a:solidFill>
              <a:latin typeface="Arial" pitchFamily="34" charset="0"/>
              <a:cs typeface="Arial" pitchFamily="34" charset="0"/>
            </a:rPr>
            <a:t>www.thermart.net</a:t>
          </a:r>
        </a:p>
      </xdr:txBody>
    </xdr:sp>
    <xdr:clientData/>
  </xdr:oneCellAnchor>
  <xdr:oneCellAnchor>
    <xdr:from>
      <xdr:col>11</xdr:col>
      <xdr:colOff>606917</xdr:colOff>
      <xdr:row>28</xdr:row>
      <xdr:rowOff>94419</xdr:rowOff>
    </xdr:from>
    <xdr:ext cx="3526934" cy="243038"/>
    <xdr:sp macro="" textlink="">
      <xdr:nvSpPr>
        <xdr:cNvPr id="41" name="TextBox 40"/>
        <xdr:cNvSpPr txBox="1"/>
      </xdr:nvSpPr>
      <xdr:spPr>
        <a:xfrm>
          <a:off x="7449677" y="6220899"/>
          <a:ext cx="3526934" cy="243038"/>
        </a:xfrm>
        <a:prstGeom prst="rect">
          <a:avLst/>
        </a:prstGeom>
        <a:solidFill>
          <a:schemeClr val="accent6">
            <a:lumMod val="40000"/>
            <a:lumOff val="60000"/>
          </a:schemeClr>
        </a:solidFill>
        <a:ln w="12700"/>
      </xdr:spPr>
      <xdr:style>
        <a:lnRef idx="2">
          <a:schemeClr val="dk1"/>
        </a:lnRef>
        <a:fillRef idx="1">
          <a:schemeClr val="lt1"/>
        </a:fillRef>
        <a:effectRef idx="0">
          <a:schemeClr val="dk1"/>
        </a:effectRef>
        <a:fontRef idx="minor">
          <a:schemeClr val="dk1"/>
        </a:fontRef>
      </xdr:style>
      <xdr:txBody>
        <a:bodyPr vertOverflow="clip" horzOverflow="clip" wrap="none" rtlCol="0" anchor="ctr">
          <a:noAutofit/>
        </a:bodyPr>
        <a:lstStyle/>
        <a:p>
          <a:pPr algn="ctr"/>
          <a:r>
            <a:rPr lang="en-US" sz="1600"/>
            <a:t>Heat Balance for the </a:t>
          </a:r>
          <a:r>
            <a:rPr kumimoji="0" lang="en-US" sz="1600" b="0" i="0" u="none" strike="noStrike" kern="0" cap="none" spc="0" normalizeH="0" baseline="0" noProof="0">
              <a:ln>
                <a:noFill/>
              </a:ln>
              <a:solidFill>
                <a:prstClr val="black"/>
              </a:solidFill>
              <a:effectLst/>
              <a:uLnTx/>
              <a:uFillTx/>
              <a:latin typeface="+mn-lt"/>
              <a:ea typeface="+mn-ea"/>
              <a:cs typeface="+mn-cs"/>
            </a:rPr>
            <a:t>Burner--kJ/minute</a:t>
          </a:r>
          <a:endParaRPr lang="en-US" sz="1400"/>
        </a:p>
      </xdr:txBody>
    </xdr:sp>
    <xdr:clientData/>
  </xdr:oneCellAnchor>
  <xdr:oneCellAnchor>
    <xdr:from>
      <xdr:col>11</xdr:col>
      <xdr:colOff>142875</xdr:colOff>
      <xdr:row>42</xdr:row>
      <xdr:rowOff>136757</xdr:rowOff>
    </xdr:from>
    <xdr:ext cx="3819526" cy="243038"/>
    <xdr:sp macro="" textlink="">
      <xdr:nvSpPr>
        <xdr:cNvPr id="42" name="TextBox 41"/>
        <xdr:cNvSpPr txBox="1"/>
      </xdr:nvSpPr>
      <xdr:spPr>
        <a:xfrm>
          <a:off x="6985635" y="8823557"/>
          <a:ext cx="3819526" cy="243038"/>
        </a:xfrm>
        <a:prstGeom prst="rect">
          <a:avLst/>
        </a:prstGeom>
        <a:solidFill>
          <a:schemeClr val="accent6">
            <a:lumMod val="40000"/>
            <a:lumOff val="60000"/>
          </a:schemeClr>
        </a:solidFill>
        <a:ln w="12700"/>
      </xdr:spPr>
      <xdr:style>
        <a:lnRef idx="2">
          <a:schemeClr val="dk1"/>
        </a:lnRef>
        <a:fillRef idx="1">
          <a:schemeClr val="lt1"/>
        </a:fillRef>
        <a:effectRef idx="0">
          <a:schemeClr val="dk1"/>
        </a:effectRef>
        <a:fontRef idx="minor">
          <a:schemeClr val="dk1"/>
        </a:fontRef>
      </xdr:style>
      <xdr:txBody>
        <a:bodyPr vertOverflow="clip" horzOverflow="clip" wrap="none" rtlCol="0" anchor="ctr">
          <a:noAutofit/>
        </a:bodyPr>
        <a:lstStyle/>
        <a:p>
          <a:pPr algn="ctr"/>
          <a:r>
            <a:rPr lang="en-US" sz="1600"/>
            <a:t>Table 1.  Thermodynamic Data</a:t>
          </a:r>
          <a:endParaRPr lang="en-US" sz="1400"/>
        </a:p>
      </xdr:txBody>
    </xdr:sp>
    <xdr:clientData/>
  </xdr:oneCellAnchor>
  <xdr:oneCellAnchor>
    <xdr:from>
      <xdr:col>0</xdr:col>
      <xdr:colOff>342900</xdr:colOff>
      <xdr:row>33</xdr:row>
      <xdr:rowOff>24445</xdr:rowOff>
    </xdr:from>
    <xdr:ext cx="6124575" cy="5024196"/>
    <xdr:sp macro="" textlink="">
      <xdr:nvSpPr>
        <xdr:cNvPr id="43" name="TextBox 42"/>
        <xdr:cNvSpPr txBox="1"/>
      </xdr:nvSpPr>
      <xdr:spPr>
        <a:xfrm>
          <a:off x="342900" y="7034845"/>
          <a:ext cx="6124575" cy="5024196"/>
        </a:xfrm>
        <a:prstGeom prst="rect">
          <a:avLst/>
        </a:prstGeom>
        <a:solidFill>
          <a:srgbClr val="FBCBA3"/>
        </a:solidFill>
        <a:ln w="9525"/>
        <a:effectLst>
          <a:innerShdw blurRad="114300">
            <a:prstClr val="black"/>
          </a:innerShdw>
        </a:effectLst>
      </xdr:spPr>
      <xdr:style>
        <a:lnRef idx="2">
          <a:schemeClr val="dk1"/>
        </a:lnRef>
        <a:fillRef idx="1">
          <a:schemeClr val="lt1"/>
        </a:fillRef>
        <a:effectRef idx="0">
          <a:schemeClr val="dk1"/>
        </a:effectRef>
        <a:fontRef idx="minor">
          <a:schemeClr val="dk1"/>
        </a:fontRef>
      </xdr:style>
      <xdr:txBody>
        <a:bodyPr vertOverflow="clip" horzOverflow="clip" wrap="square" rtlCol="0" anchor="ctr">
          <a:spAutoFit/>
        </a:bodyPr>
        <a:lstStyle/>
        <a:p>
          <a:r>
            <a:rPr lang="en-US" sz="1400"/>
            <a:t>Constructing</a:t>
          </a:r>
          <a:r>
            <a:rPr lang="en-US" sz="1400" baseline="0"/>
            <a:t> a System Balance</a:t>
          </a:r>
        </a:p>
        <a:p>
          <a:pPr algn="l"/>
          <a:r>
            <a:rPr lang="en-US" sz="1300" baseline="0"/>
            <a:t>Note: before starting, you may want to review all 5 previous workbooks and articles in this series.  </a:t>
          </a:r>
        </a:p>
        <a:p>
          <a:r>
            <a:rPr lang="en-US" sz="1100" baseline="0"/>
            <a:t>1.  Look at </a:t>
          </a:r>
          <a:r>
            <a:rPr kumimoji="0" lang="en-US" sz="1100" b="0" i="0" u="none" strike="noStrike" kern="0" cap="none" spc="0" normalizeH="0" baseline="0" noProof="0">
              <a:ln>
                <a:noFill/>
              </a:ln>
              <a:solidFill>
                <a:prstClr val="black"/>
              </a:solidFill>
              <a:effectLst/>
              <a:uLnTx/>
              <a:uFillTx/>
              <a:latin typeface="+mn-lt"/>
              <a:ea typeface="+mn-ea"/>
              <a:cs typeface="+mn-cs"/>
            </a:rPr>
            <a:t>workbook </a:t>
          </a:r>
          <a:r>
            <a:rPr lang="en-US" sz="1100" u="sng" baseline="0">
              <a:solidFill>
                <a:schemeClr val="dk1"/>
              </a:solidFill>
              <a:effectLst/>
              <a:latin typeface="+mn-lt"/>
              <a:ea typeface="+mn-ea"/>
              <a:cs typeface="+mn-cs"/>
            </a:rPr>
            <a:t>HeatCalc</a:t>
          </a:r>
          <a:r>
            <a:rPr lang="en-US" sz="1100" baseline="0">
              <a:solidFill>
                <a:schemeClr val="dk1"/>
              </a:solidFill>
              <a:effectLst/>
              <a:latin typeface="+mn-lt"/>
              <a:ea typeface="+mn-ea"/>
              <a:cs typeface="+mn-cs"/>
            </a:rPr>
            <a:t> </a:t>
          </a:r>
          <a:r>
            <a:rPr lang="en-US" sz="1100" baseline="0"/>
            <a:t> to obtain the stream flowrates for the process basis case.  This is for heating 800 kg of Al/min using 32 m</a:t>
          </a:r>
          <a:r>
            <a:rPr lang="en-US" sz="1100" baseline="30000"/>
            <a:t>3</a:t>
          </a:r>
          <a:r>
            <a:rPr lang="en-US" sz="1100" baseline="0"/>
            <a:t>/min of natural gas and 18% excess air, with a leak air flow of 8 m</a:t>
          </a:r>
          <a:r>
            <a:rPr lang="en-US" sz="1100" baseline="30000"/>
            <a:t>3</a:t>
          </a:r>
          <a:r>
            <a:rPr lang="en-US" sz="1100" baseline="0"/>
            <a:t>/min.  All instreams are initially at 25°C and 1 atm pressure.  Please make an archive copy of this worksheet so you can easily refer to the basis case conditions.  </a:t>
          </a:r>
        </a:p>
        <a:p>
          <a:r>
            <a:rPr lang="en-US" sz="1100" baseline="0"/>
            <a:t>2.  Review prior workbooks to understand the source of heat content and heat of combustion data displayed in Table 1.  </a:t>
          </a:r>
        </a:p>
        <a:p>
          <a:r>
            <a:rPr lang="en-US" sz="1100" baseline="0"/>
            <a:t>3.  Examine the system balance equation set for the overall process, and note the value in cell Q27.  This value must be within ±200 kJ of zero for adequate closure of the system balance.</a:t>
          </a:r>
        </a:p>
        <a:p>
          <a:r>
            <a:rPr lang="en-US" sz="1100" baseline="0"/>
            <a:t>4.  Examine heat balance equation set for the burner, and note the value in cell Q40.  </a:t>
          </a:r>
          <a:r>
            <a:rPr lang="en-US" sz="1100" baseline="0">
              <a:solidFill>
                <a:schemeClr val="dk1"/>
              </a:solidFill>
              <a:effectLst/>
              <a:latin typeface="+mn-lt"/>
              <a:ea typeface="+mn-ea"/>
              <a:cs typeface="+mn-cs"/>
            </a:rPr>
            <a:t>This value must be within ±200 kJ of zero for adequate closure of the burner heat balance.</a:t>
          </a:r>
        </a:p>
        <a:p>
          <a:r>
            <a:rPr lang="en-US" sz="1100" baseline="0">
              <a:solidFill>
                <a:schemeClr val="dk1"/>
              </a:solidFill>
              <a:effectLst/>
              <a:latin typeface="+mn-lt"/>
              <a:ea typeface="+mn-ea"/>
              <a:cs typeface="+mn-cs"/>
            </a:rPr>
            <a:t>5.  Select one of the variables in the editable cells (blue border and shade).  For example, to examine the effect of oxygen enrichment on natural gas flow, change the value in cell E13 to 24%.  A new material balance is performed that recalculates the required combustion air (cells E17:E21).  This causes the process system balance and burner heat balance to be out of closure (i.e., cells Q27 and Q40 are no longer close to zero).    We need to use Goal Seek (</a:t>
          </a:r>
          <a:r>
            <a:rPr lang="en-US" sz="1100" i="1" baseline="0">
              <a:solidFill>
                <a:schemeClr val="dk1"/>
              </a:solidFill>
              <a:effectLst/>
              <a:latin typeface="+mn-lt"/>
              <a:ea typeface="+mn-ea"/>
              <a:cs typeface="+mn-cs"/>
            </a:rPr>
            <a:t>What-if Analysis</a:t>
          </a:r>
          <a:r>
            <a:rPr lang="en-US" sz="1100" baseline="0">
              <a:solidFill>
                <a:schemeClr val="dk1"/>
              </a:solidFill>
              <a:effectLst/>
              <a:latin typeface="+mn-lt"/>
              <a:ea typeface="+mn-ea"/>
              <a:cs typeface="+mn-cs"/>
            </a:rPr>
            <a:t>) </a:t>
          </a:r>
          <a:r>
            <a:rPr lang="en-US" sz="1100" u="sng" baseline="0">
              <a:solidFill>
                <a:schemeClr val="dk1"/>
              </a:solidFill>
              <a:effectLst/>
              <a:latin typeface="+mn-lt"/>
              <a:ea typeface="+mn-ea"/>
              <a:cs typeface="+mn-cs"/>
            </a:rPr>
            <a:t>twice</a:t>
          </a:r>
          <a:r>
            <a:rPr lang="en-US" sz="1100" baseline="0">
              <a:solidFill>
                <a:schemeClr val="dk1"/>
              </a:solidFill>
              <a:effectLst/>
              <a:latin typeface="+mn-lt"/>
              <a:ea typeface="+mn-ea"/>
              <a:cs typeface="+mn-cs"/>
            </a:rPr>
            <a:t> to get the system and burner heat balances to close.  [Please read the WordPad document].</a:t>
          </a:r>
          <a:endParaRPr lang="en-US" sz="1100" baseline="0"/>
        </a:p>
        <a:p>
          <a:r>
            <a:rPr lang="en-US" sz="1100" baseline="0"/>
            <a:t>6.  First, use Goal Seek to set the value in cell Q27 to 0 by changing the value in cell K12 (the NatGas flow).  Goal Seek finds that the NatGas flow should be 29.9 m</a:t>
          </a:r>
          <a:r>
            <a:rPr lang="en-US" sz="1100" baseline="30000"/>
            <a:t>3</a:t>
          </a:r>
          <a:r>
            <a:rPr lang="en-US" sz="1100" baseline="0"/>
            <a:t>/min to close the system balance.  </a:t>
          </a:r>
        </a:p>
        <a:p>
          <a:r>
            <a:rPr lang="en-US" sz="1100" baseline="0"/>
            <a:t>7.  Second, use Goal Seek to calculate the hot burner gas temperature (stream 3) for the oxygen-enriched air case.  Set cell Q40 to 0 by changing cell Q32.  The burner heat balance closes at 1981°C .  </a:t>
          </a:r>
        </a:p>
        <a:p>
          <a:r>
            <a:rPr lang="en-US" sz="1100" baseline="0"/>
            <a:t>8.  Repeat the above calculations over a range of oxygen enrichments and chart the results (as shown in Figure 1).  Notice the trends, and try fitting a quadratic equation to them using Excel's Trendline tool.  Notice how the flow ratio of oxidant/NG varies with %O</a:t>
          </a:r>
          <a:r>
            <a:rPr lang="en-US" sz="1100" baseline="-25000"/>
            <a:t>2</a:t>
          </a:r>
          <a:r>
            <a:rPr lang="en-US" sz="1100" baseline="0"/>
            <a:t> in oxidant.  </a:t>
          </a:r>
        </a:p>
        <a:p>
          <a:r>
            <a:rPr lang="en-US" sz="1100" baseline="0"/>
            <a:t>9.  Restore the basis case values, and pick another variable (from a </a:t>
          </a:r>
          <a:r>
            <a:rPr lang="en-US" sz="1100" i="1" baseline="0"/>
            <a:t>blue-shaded cell only</a:t>
          </a:r>
          <a:r>
            <a:rPr lang="en-US" sz="1100" baseline="0"/>
            <a:t>).  For example, explore the effect of increasing the combustion air temperature or decreasing the % excess air.  </a:t>
          </a:r>
        </a:p>
      </xdr:txBody>
    </xdr:sp>
    <xdr:clientData/>
  </xdr:oneCellAnchor>
  <xdr:twoCellAnchor>
    <xdr:from>
      <xdr:col>12</xdr:col>
      <xdr:colOff>596901</xdr:colOff>
      <xdr:row>5</xdr:row>
      <xdr:rowOff>236220</xdr:rowOff>
    </xdr:from>
    <xdr:to>
      <xdr:col>15</xdr:col>
      <xdr:colOff>643467</xdr:colOff>
      <xdr:row>5</xdr:row>
      <xdr:rowOff>1013460</xdr:rowOff>
    </xdr:to>
    <xdr:sp macro="" textlink="">
      <xdr:nvSpPr>
        <xdr:cNvPr id="44" name="Left Arrow Callout 43"/>
        <xdr:cNvSpPr/>
      </xdr:nvSpPr>
      <xdr:spPr>
        <a:xfrm>
          <a:off x="8496301" y="1082887"/>
          <a:ext cx="1638299" cy="777240"/>
        </a:xfrm>
        <a:prstGeom prst="leftArrowCallout">
          <a:avLst>
            <a:gd name="adj1" fmla="val 19118"/>
            <a:gd name="adj2" fmla="val 19117"/>
            <a:gd name="adj3" fmla="val 32843"/>
            <a:gd name="adj4" fmla="val 68135"/>
          </a:avLst>
        </a:prstGeom>
        <a:solidFill>
          <a:schemeClr val="bg1">
            <a:lumMod val="9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aseline="0">
              <a:solidFill>
                <a:schemeClr val="tx1"/>
              </a:solidFill>
              <a:latin typeface="Arial" pitchFamily="34" charset="0"/>
              <a:cs typeface="Arial" pitchFamily="34" charset="0"/>
            </a:rPr>
            <a:t>Basis case stream values.  Flows are actual.</a:t>
          </a:r>
        </a:p>
      </xdr:txBody>
    </xdr:sp>
    <xdr:clientData/>
  </xdr:twoCellAnchor>
  <mc:AlternateContent xmlns:mc="http://schemas.openxmlformats.org/markup-compatibility/2006">
    <mc:Choice xmlns:a14="http://schemas.microsoft.com/office/drawing/2010/main" Requires="a14">
      <xdr:twoCellAnchor editAs="oneCell">
        <xdr:from>
          <xdr:col>15</xdr:col>
          <xdr:colOff>332741</xdr:colOff>
          <xdr:row>1</xdr:row>
          <xdr:rowOff>2540</xdr:rowOff>
        </xdr:from>
        <xdr:to>
          <xdr:col>16</xdr:col>
          <xdr:colOff>588434</xdr:colOff>
          <xdr:row>5</xdr:row>
          <xdr:rowOff>84667</xdr:rowOff>
        </xdr:to>
        <xdr:sp macro="" textlink="">
          <xdr:nvSpPr>
            <xdr:cNvPr id="1025" name="Object 1" hidden="1">
              <a:extLst>
                <a:ext uri="{63B3BB69-23CF-44E3-9099-C40C66FF867C}">
                  <a14:compatExt spid="_x0000_s1025"/>
                </a:ext>
              </a:extLst>
            </xdr:cNvPr>
            <xdr:cNvSpPr/>
          </xdr:nvSpPr>
          <xdr:spPr>
            <a:xfrm>
              <a:off x="0" y="0"/>
              <a:ext cx="0" cy="0"/>
            </a:xfrm>
            <a:prstGeom prst="rect">
              <a:avLst/>
            </a:prstGeom>
          </xdr:spPr>
        </xdr:sp>
        <xdr:clientData/>
      </xdr:twoCellAnchor>
    </mc:Choice>
    <mc:Fallback/>
  </mc:AlternateContent>
  <xdr:twoCellAnchor editAs="oneCell">
    <xdr:from>
      <xdr:col>19</xdr:col>
      <xdr:colOff>16935</xdr:colOff>
      <xdr:row>13</xdr:row>
      <xdr:rowOff>33867</xdr:rowOff>
    </xdr:from>
    <xdr:to>
      <xdr:col>22</xdr:col>
      <xdr:colOff>390316</xdr:colOff>
      <xdr:row>21</xdr:row>
      <xdr:rowOff>147320</xdr:rowOff>
    </xdr:to>
    <xdr:pic>
      <xdr:nvPicPr>
        <xdr:cNvPr id="46" name="Picture 45"/>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690775" y="3493347"/>
          <a:ext cx="2263140" cy="15307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67734</xdr:colOff>
      <xdr:row>22</xdr:row>
      <xdr:rowOff>50800</xdr:rowOff>
    </xdr:from>
    <xdr:to>
      <xdr:col>22</xdr:col>
      <xdr:colOff>398782</xdr:colOff>
      <xdr:row>30</xdr:row>
      <xdr:rowOff>123614</xdr:rowOff>
    </xdr:to>
    <xdr:pic>
      <xdr:nvPicPr>
        <xdr:cNvPr id="47" name="Picture 46"/>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741574" y="5102860"/>
          <a:ext cx="2220807" cy="14825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23</xdr:col>
      <xdr:colOff>135465</xdr:colOff>
      <xdr:row>12</xdr:row>
      <xdr:rowOff>67734</xdr:rowOff>
    </xdr:from>
    <xdr:to>
      <xdr:col>25</xdr:col>
      <xdr:colOff>304800</xdr:colOff>
      <xdr:row>17</xdr:row>
      <xdr:rowOff>0</xdr:rowOff>
    </xdr:to>
    <xdr:sp macro="" textlink="">
      <xdr:nvSpPr>
        <xdr:cNvPr id="48" name="Rounded Rectangular Callout 47"/>
        <xdr:cNvSpPr/>
      </xdr:nvSpPr>
      <xdr:spPr>
        <a:xfrm>
          <a:off x="14308665" y="3353859"/>
          <a:ext cx="1636185" cy="875241"/>
        </a:xfrm>
        <a:prstGeom prst="wedgeRoundRectCallout">
          <a:avLst>
            <a:gd name="adj1" fmla="val -80755"/>
            <a:gd name="adj2" fmla="val 38575"/>
            <a:gd name="adj3" fmla="val 16667"/>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lang="en-US" sz="1100"/>
            <a:t>Goal-Seeking a system balance for a</a:t>
          </a:r>
          <a:r>
            <a:rPr lang="en-US" sz="1100" baseline="0"/>
            <a:t> new %O</a:t>
          </a:r>
          <a:r>
            <a:rPr lang="en-US" sz="1100" baseline="-25000"/>
            <a:t>2</a:t>
          </a:r>
          <a:r>
            <a:rPr lang="en-US" sz="1100" baseline="0"/>
            <a:t> in the combustion air by changing cell K12.</a:t>
          </a:r>
          <a:endParaRPr lang="en-US" sz="1100"/>
        </a:p>
      </xdr:txBody>
    </xdr:sp>
    <xdr:clientData/>
  </xdr:twoCellAnchor>
  <xdr:twoCellAnchor>
    <xdr:from>
      <xdr:col>23</xdr:col>
      <xdr:colOff>330198</xdr:colOff>
      <xdr:row>20</xdr:row>
      <xdr:rowOff>135465</xdr:rowOff>
    </xdr:from>
    <xdr:to>
      <xdr:col>25</xdr:col>
      <xdr:colOff>685800</xdr:colOff>
      <xdr:row>25</xdr:row>
      <xdr:rowOff>118533</xdr:rowOff>
    </xdr:to>
    <xdr:sp macro="" textlink="">
      <xdr:nvSpPr>
        <xdr:cNvPr id="49" name="Rounded Rectangular Callout 48"/>
        <xdr:cNvSpPr/>
      </xdr:nvSpPr>
      <xdr:spPr>
        <a:xfrm>
          <a:off x="14503398" y="4859865"/>
          <a:ext cx="1828802" cy="889001"/>
        </a:xfrm>
        <a:prstGeom prst="wedgeRoundRectCallout">
          <a:avLst>
            <a:gd name="adj1" fmla="val -87616"/>
            <a:gd name="adj2" fmla="val 33124"/>
            <a:gd name="adj3" fmla="val 16667"/>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lang="en-US" sz="1100"/>
            <a:t>Goal-Seeking a new burner</a:t>
          </a:r>
          <a:r>
            <a:rPr lang="en-US" sz="1100" baseline="0"/>
            <a:t> OG temperature </a:t>
          </a:r>
          <a:r>
            <a:rPr lang="en-US" sz="1100"/>
            <a:t> for a</a:t>
          </a:r>
          <a:r>
            <a:rPr lang="en-US" sz="1100" baseline="0"/>
            <a:t> new %O</a:t>
          </a:r>
          <a:r>
            <a:rPr lang="en-US" sz="1100" baseline="-25000"/>
            <a:t>2</a:t>
          </a:r>
          <a:r>
            <a:rPr lang="en-US" sz="1100" baseline="0"/>
            <a:t> in the combustion air by changing cell Q32.</a:t>
          </a:r>
          <a:endParaRPr lang="en-US" sz="1100"/>
        </a:p>
      </xdr:txBody>
    </xdr:sp>
    <xdr:clientData/>
  </xdr:twoCellAnchor>
  <xdr:twoCellAnchor>
    <xdr:from>
      <xdr:col>18</xdr:col>
      <xdr:colOff>539750</xdr:colOff>
      <xdr:row>38</xdr:row>
      <xdr:rowOff>87312</xdr:rowOff>
    </xdr:from>
    <xdr:to>
      <xdr:col>25</xdr:col>
      <xdr:colOff>454025</xdr:colOff>
      <xdr:row>53</xdr:row>
      <xdr:rowOff>158221</xdr:rowOff>
    </xdr:to>
    <xdr:graphicFrame macro="">
      <xdr:nvGraphicFramePr>
        <xdr:cNvPr id="50" name="Chart 4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10</xdr:col>
      <xdr:colOff>497594</xdr:colOff>
      <xdr:row>5</xdr:row>
      <xdr:rowOff>132505</xdr:rowOff>
    </xdr:from>
    <xdr:to>
      <xdr:col>10</xdr:col>
      <xdr:colOff>696031</xdr:colOff>
      <xdr:row>5</xdr:row>
      <xdr:rowOff>301733</xdr:rowOff>
    </xdr:to>
    <xdr:sp macro="" textlink="">
      <xdr:nvSpPr>
        <xdr:cNvPr id="51" name="Text Box 1342"/>
        <xdr:cNvSpPr txBox="1">
          <a:spLocks noChangeArrowheads="1"/>
        </xdr:cNvSpPr>
      </xdr:nvSpPr>
      <xdr:spPr bwMode="auto">
        <a:xfrm>
          <a:off x="7040210" y="1125221"/>
          <a:ext cx="198437" cy="169228"/>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27432" bIns="0" anchor="ctr" upright="1"/>
        <a:lstStyle/>
        <a:p>
          <a:pPr algn="ctr" rtl="0">
            <a:defRPr sz="1000"/>
          </a:pPr>
          <a:r>
            <a:rPr lang="en-US" sz="900" b="1" i="0" u="none" strike="noStrike" baseline="0">
              <a:solidFill>
                <a:srgbClr val="000000"/>
              </a:solidFill>
              <a:latin typeface="Arial"/>
              <a:cs typeface="Arial"/>
            </a:rPr>
            <a:t>4</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AB67"/>
  <sheetViews>
    <sheetView tabSelected="1" zoomScale="90" zoomScaleNormal="90" workbookViewId="0"/>
  </sheetViews>
  <sheetFormatPr defaultRowHeight="13.2" x14ac:dyDescent="0.25"/>
  <cols>
    <col min="1" max="1" width="8.88671875" customWidth="1"/>
    <col min="2" max="2" width="15.44140625" customWidth="1"/>
    <col min="3" max="3" width="10.109375" customWidth="1"/>
    <col min="5" max="5" width="9.6640625" customWidth="1"/>
    <col min="6" max="6" width="3.88671875" customWidth="1"/>
    <col min="7" max="7" width="8.109375" customWidth="1"/>
    <col min="8" max="8" width="10.6640625" customWidth="1"/>
    <col min="10" max="11" width="10.88671875" customWidth="1"/>
    <col min="14" max="14" width="10.33203125" customWidth="1"/>
    <col min="15" max="15" width="3.88671875" customWidth="1"/>
    <col min="16" max="16" width="9.6640625" customWidth="1"/>
    <col min="17" max="17" width="10.6640625" customWidth="1"/>
    <col min="18" max="18" width="8.109375" customWidth="1"/>
    <col min="19" max="19" width="10" customWidth="1"/>
    <col min="21" max="21" width="10.21875" customWidth="1"/>
    <col min="22" max="22" width="8.44140625" customWidth="1"/>
    <col min="24" max="24" width="10.5546875" customWidth="1"/>
    <col min="25" max="25" width="10.88671875" customWidth="1"/>
    <col min="26" max="26" width="10.44140625" customWidth="1"/>
    <col min="28" max="28" width="13.33203125" customWidth="1"/>
  </cols>
  <sheetData>
    <row r="1" spans="2:22" ht="24" customHeight="1" x14ac:dyDescent="0.25">
      <c r="P1" s="35" t="s">
        <v>0</v>
      </c>
    </row>
    <row r="6" spans="2:22" ht="106.2" customHeight="1" x14ac:dyDescent="0.25"/>
    <row r="7" spans="2:22" ht="14.4" thickBot="1" x14ac:dyDescent="0.3">
      <c r="B7" s="84" t="s">
        <v>85</v>
      </c>
      <c r="C7" s="84"/>
      <c r="G7" s="3"/>
      <c r="H7" s="67" t="s">
        <v>86</v>
      </c>
      <c r="I7" s="3"/>
    </row>
    <row r="8" spans="2:22" ht="13.8" thickBot="1" x14ac:dyDescent="0.3">
      <c r="B8" s="1" t="s">
        <v>1</v>
      </c>
      <c r="C8" s="2">
        <f>K13*(J17+2*J18+2*J19+3*J20+4*J21)</f>
        <v>1.3210469630304937</v>
      </c>
      <c r="H8" s="13">
        <v>800</v>
      </c>
    </row>
    <row r="9" spans="2:22" ht="13.8" x14ac:dyDescent="0.25">
      <c r="B9" s="1" t="s">
        <v>2</v>
      </c>
      <c r="C9" s="2">
        <f>K13*(4*J17+4*J18+6*J19+8*J20+10*J21)</f>
        <v>5.2057098147142229</v>
      </c>
      <c r="E9" s="3"/>
      <c r="F9" s="4" t="s">
        <v>3</v>
      </c>
      <c r="G9" s="3"/>
      <c r="I9" s="3"/>
      <c r="J9" s="5" t="s">
        <v>4</v>
      </c>
      <c r="K9" s="3"/>
      <c r="N9" s="3"/>
      <c r="O9" s="3"/>
      <c r="P9" s="5" t="s">
        <v>83</v>
      </c>
      <c r="Q9" s="3"/>
    </row>
    <row r="10" spans="2:22" ht="13.5" customHeight="1" thickBot="1" x14ac:dyDescent="0.3">
      <c r="B10" s="1" t="s">
        <v>5</v>
      </c>
      <c r="C10" s="2">
        <f>E18*2*E13+G18*2*G13</f>
        <v>6.326376188896921</v>
      </c>
      <c r="E10" s="6" t="s">
        <v>6</v>
      </c>
      <c r="G10" s="7" t="s">
        <v>7</v>
      </c>
      <c r="J10" s="8" t="s">
        <v>8</v>
      </c>
      <c r="K10" s="9">
        <v>25</v>
      </c>
      <c r="M10" s="10" t="s">
        <v>9</v>
      </c>
      <c r="N10" s="10"/>
      <c r="O10" s="10" t="s">
        <v>10</v>
      </c>
      <c r="P10" s="11"/>
      <c r="Q10" s="10" t="s">
        <v>11</v>
      </c>
      <c r="R10" s="10"/>
      <c r="S10" s="10"/>
      <c r="T10" s="11"/>
    </row>
    <row r="11" spans="2:22" ht="14.4" thickBot="1" x14ac:dyDescent="0.3">
      <c r="B11" s="1" t="s">
        <v>12</v>
      </c>
      <c r="C11" s="2">
        <f>E18*2*(1-E13) + G18*2*(1-G13) + K13*2*J22</f>
        <v>23.851543402217398</v>
      </c>
      <c r="D11" s="12" t="s">
        <v>8</v>
      </c>
      <c r="E11" s="13">
        <v>25</v>
      </c>
      <c r="G11" s="14">
        <v>25</v>
      </c>
      <c r="J11" s="8" t="s">
        <v>13</v>
      </c>
      <c r="K11" s="15">
        <v>1</v>
      </c>
      <c r="N11" s="16">
        <v>550</v>
      </c>
      <c r="R11" s="16">
        <v>800</v>
      </c>
      <c r="S11" s="11"/>
    </row>
    <row r="12" spans="2:22" ht="16.2" thickBot="1" x14ac:dyDescent="0.3">
      <c r="D12" s="17" t="s">
        <v>13</v>
      </c>
      <c r="E12" s="18">
        <v>1</v>
      </c>
      <c r="G12" s="18">
        <v>1</v>
      </c>
      <c r="J12" s="8" t="s">
        <v>14</v>
      </c>
      <c r="K12" s="19">
        <v>32</v>
      </c>
    </row>
    <row r="13" spans="2:22" ht="16.2" thickBot="1" x14ac:dyDescent="0.3">
      <c r="D13" s="12" t="s">
        <v>15</v>
      </c>
      <c r="E13" s="20">
        <v>0.21</v>
      </c>
      <c r="G13" s="21">
        <v>0.21</v>
      </c>
      <c r="J13" s="17" t="s">
        <v>16</v>
      </c>
      <c r="K13" s="22">
        <f>K11*K12/(0.0820575*(K10+273.15))</f>
        <v>1.3079672901292017</v>
      </c>
      <c r="M13" s="23"/>
      <c r="N13" s="49"/>
      <c r="O13" s="49"/>
      <c r="P13" s="83" t="s">
        <v>17</v>
      </c>
      <c r="Q13" s="49"/>
      <c r="R13" s="23"/>
      <c r="S13" s="23"/>
      <c r="V13" s="12"/>
    </row>
    <row r="14" spans="2:22" ht="14.4" thickBot="1" x14ac:dyDescent="0.3">
      <c r="D14" s="12" t="s">
        <v>18</v>
      </c>
      <c r="E14" s="24">
        <v>0.18</v>
      </c>
      <c r="M14" s="25" t="s">
        <v>19</v>
      </c>
      <c r="N14" s="26">
        <v>186600</v>
      </c>
      <c r="Q14" s="27" t="s">
        <v>20</v>
      </c>
      <c r="R14" s="26">
        <v>13400</v>
      </c>
    </row>
    <row r="15" spans="2:22" x14ac:dyDescent="0.25">
      <c r="D15" s="28"/>
      <c r="K15" s="12" t="s">
        <v>21</v>
      </c>
    </row>
    <row r="16" spans="2:22" ht="13.5" customHeight="1" thickBot="1" x14ac:dyDescent="0.3">
      <c r="I16" s="29" t="s">
        <v>22</v>
      </c>
      <c r="J16" s="30" t="s">
        <v>23</v>
      </c>
      <c r="K16" s="12" t="s">
        <v>24</v>
      </c>
    </row>
    <row r="17" spans="3:28" ht="16.2" thickBot="1" x14ac:dyDescent="0.3">
      <c r="D17" s="17" t="s">
        <v>25</v>
      </c>
      <c r="E17" s="31">
        <f>K13*(2*J17 + 3*J18 + 3.5*J19+ 5*J20 + 6.5*J21)/E13</f>
        <v>12.487973412900233</v>
      </c>
      <c r="I17" s="32" t="s">
        <v>26</v>
      </c>
      <c r="J17" s="33">
        <v>0.95</v>
      </c>
      <c r="K17" s="34">
        <f>$K$13*J17*M63*1000</f>
        <v>-996946.59838811727</v>
      </c>
    </row>
    <row r="18" spans="3:28" ht="13.5" customHeight="1" thickBot="1" x14ac:dyDescent="0.3">
      <c r="D18" s="17" t="s">
        <v>27</v>
      </c>
      <c r="E18" s="31">
        <f>E17*(1+E14)</f>
        <v>14.735808627222275</v>
      </c>
      <c r="G18" s="31">
        <f>G12*G19/(0.0820575*(G11+273.15))</f>
        <v>0.32699182253230041</v>
      </c>
      <c r="I18" s="30" t="s">
        <v>28</v>
      </c>
      <c r="J18" s="33">
        <v>0</v>
      </c>
      <c r="K18" s="34">
        <f>$K$13*J18*M64*1000</f>
        <v>0</v>
      </c>
      <c r="M18" s="35" t="s">
        <v>29</v>
      </c>
      <c r="Q18" s="36">
        <f>-E18*(L59+M59*E11+N59*E11^2)</f>
        <v>1.9340748823229248</v>
      </c>
    </row>
    <row r="19" spans="3:28" ht="14.25" customHeight="1" thickBot="1" x14ac:dyDescent="0.3">
      <c r="D19" s="17" t="s">
        <v>30</v>
      </c>
      <c r="E19" s="37">
        <f>E18*0.0820575*(E11+273.15)/E12</f>
        <v>360.51809523809521</v>
      </c>
      <c r="G19" s="38">
        <v>8</v>
      </c>
      <c r="I19" s="32" t="s">
        <v>31</v>
      </c>
      <c r="J19" s="33">
        <v>0.03</v>
      </c>
      <c r="K19" s="34">
        <f>$K$13*J19*M65*1000</f>
        <v>-56024.52916894533</v>
      </c>
      <c r="M19" s="35" t="s">
        <v>32</v>
      </c>
      <c r="Q19" s="36">
        <f>K23</f>
        <v>-1052971.1275570625</v>
      </c>
      <c r="AB19" s="36"/>
    </row>
    <row r="20" spans="3:28" ht="14.25" customHeight="1" thickBot="1" x14ac:dyDescent="0.3">
      <c r="D20" s="17" t="s">
        <v>33</v>
      </c>
      <c r="E20" s="37">
        <f>E18*22.414</f>
        <v>330.28841457056006</v>
      </c>
      <c r="I20" s="32" t="s">
        <v>34</v>
      </c>
      <c r="J20" s="33">
        <v>0</v>
      </c>
      <c r="K20" s="34">
        <f>$K$13*J20*M66*1000</f>
        <v>0</v>
      </c>
      <c r="M20" s="35" t="s">
        <v>35</v>
      </c>
      <c r="Q20" s="36">
        <f>J27*(P54+Q54*R11+R54*R11^2)</f>
        <v>49426.285177365149</v>
      </c>
    </row>
    <row r="21" spans="3:28" ht="14.25" customHeight="1" thickBot="1" x14ac:dyDescent="0.3">
      <c r="D21" s="28" t="s">
        <v>36</v>
      </c>
      <c r="E21" s="39">
        <f>E18/K13</f>
        <v>11.266190476190474</v>
      </c>
      <c r="I21" s="40" t="s">
        <v>37</v>
      </c>
      <c r="J21" s="33">
        <v>0</v>
      </c>
      <c r="K21" s="34">
        <f>$K$13*J21*M67*1000</f>
        <v>0</v>
      </c>
      <c r="M21" s="35" t="s">
        <v>38</v>
      </c>
      <c r="Q21" s="36">
        <f>J28*(L54+M54*R11+N54*R11^2)</f>
        <v>75575.766290647036</v>
      </c>
    </row>
    <row r="22" spans="3:28" ht="14.25" customHeight="1" x14ac:dyDescent="0.25">
      <c r="I22" s="41" t="s">
        <v>39</v>
      </c>
      <c r="J22" s="42">
        <f>1-SUM(J17:J21)</f>
        <v>2.0000000000000018E-2</v>
      </c>
      <c r="K22" s="34">
        <v>0</v>
      </c>
      <c r="M22" s="35" t="s">
        <v>40</v>
      </c>
      <c r="Q22" s="36">
        <f>J30*(L49+M49*R11+N49*R11^2)</f>
        <v>284857.55176007829</v>
      </c>
    </row>
    <row r="23" spans="3:28" ht="15.6" x14ac:dyDescent="0.25">
      <c r="G23" s="43"/>
      <c r="H23" s="43"/>
      <c r="I23" s="44"/>
      <c r="J23" s="45" t="s">
        <v>41</v>
      </c>
      <c r="K23" s="46">
        <f>SUM(K17:K22)</f>
        <v>-1052971.1275570625</v>
      </c>
      <c r="M23" s="35" t="s">
        <v>42</v>
      </c>
      <c r="Q23" s="36">
        <f>J29*(P49+Q49*R11+R49*R11^2)</f>
        <v>13661.779924499522</v>
      </c>
    </row>
    <row r="24" spans="3:28" x14ac:dyDescent="0.25">
      <c r="M24" s="47" t="s">
        <v>43</v>
      </c>
      <c r="N24" s="48"/>
      <c r="Q24" s="36">
        <f>H8*(P59+Q59*N11+R59*N11^2)</f>
        <v>429484.14202060632</v>
      </c>
      <c r="T24" s="8"/>
      <c r="V24" s="36"/>
      <c r="X24" s="12"/>
      <c r="Y24" s="12"/>
      <c r="Z24" s="12"/>
    </row>
    <row r="25" spans="3:28" ht="14.4" customHeight="1" x14ac:dyDescent="0.25">
      <c r="C25" s="49"/>
      <c r="D25" s="50"/>
      <c r="E25" s="50"/>
      <c r="F25" s="49"/>
      <c r="G25" s="51" t="s">
        <v>44</v>
      </c>
      <c r="H25" s="49"/>
      <c r="I25" s="49"/>
      <c r="J25" s="49"/>
      <c r="K25" s="49"/>
      <c r="M25" t="s">
        <v>45</v>
      </c>
      <c r="Q25" s="36">
        <f>R14</f>
        <v>13400</v>
      </c>
      <c r="T25" s="8"/>
      <c r="X25" s="12"/>
      <c r="Y25" s="12"/>
      <c r="Z25" s="12"/>
    </row>
    <row r="26" spans="3:28" ht="15.75" customHeight="1" thickBot="1" x14ac:dyDescent="0.3">
      <c r="C26" s="8" t="s">
        <v>46</v>
      </c>
      <c r="D26" s="1" t="s">
        <v>47</v>
      </c>
      <c r="E26" s="1" t="s">
        <v>48</v>
      </c>
      <c r="I26" s="8" t="s">
        <v>49</v>
      </c>
      <c r="J26" s="52" t="s">
        <v>47</v>
      </c>
      <c r="K26" s="52" t="s">
        <v>48</v>
      </c>
      <c r="M26" t="s">
        <v>84</v>
      </c>
      <c r="Q26" s="36">
        <f>N14</f>
        <v>186600</v>
      </c>
      <c r="T26" s="8"/>
    </row>
    <row r="27" spans="3:28" ht="12.75" customHeight="1" thickBot="1" x14ac:dyDescent="0.3">
      <c r="C27" s="12" t="s">
        <v>50</v>
      </c>
      <c r="D27" s="31">
        <f>K13*(J17+2*J18+2*J19+3*J20+4*J21)</f>
        <v>1.3210469630304937</v>
      </c>
      <c r="E27" s="53">
        <f>D27/$D$31</f>
        <v>8.2239584343072075E-2</v>
      </c>
      <c r="I27" s="12" t="s">
        <v>50</v>
      </c>
      <c r="J27" s="31">
        <f>D27</f>
        <v>1.3210469630304937</v>
      </c>
      <c r="K27" s="53">
        <f>J27/$J$31</f>
        <v>8.059888658775248E-2</v>
      </c>
      <c r="M27" t="s">
        <v>51</v>
      </c>
      <c r="Q27" s="54">
        <f>SUM(Q18:Q26)</f>
        <v>36.331691016210243</v>
      </c>
      <c r="T27" s="8"/>
    </row>
    <row r="28" spans="3:28" ht="13.65" customHeight="1" x14ac:dyDescent="0.25">
      <c r="C28" s="12" t="s">
        <v>52</v>
      </c>
      <c r="D28" s="31">
        <f>K13*(2*J17+2*J18+3*J19+4*J20+5*J21)</f>
        <v>2.6028549073571114</v>
      </c>
      <c r="E28" s="53">
        <f>D28/$D$31</f>
        <v>0.16203640875516181</v>
      </c>
      <c r="I28" s="12" t="s">
        <v>52</v>
      </c>
      <c r="J28" s="31">
        <f>D28</f>
        <v>2.6028549073571114</v>
      </c>
      <c r="K28" s="53">
        <f>J28/$J$31</f>
        <v>0.15880374684121529</v>
      </c>
    </row>
    <row r="29" spans="3:28" ht="13.65" customHeight="1" x14ac:dyDescent="0.25">
      <c r="C29" s="12" t="s">
        <v>53</v>
      </c>
      <c r="D29" s="31">
        <f>E13*(E18-E17)</f>
        <v>0.47204539500762865</v>
      </c>
      <c r="E29" s="53">
        <f>D29/$D$31</f>
        <v>2.9386401969717521E-2</v>
      </c>
      <c r="I29" s="12" t="s">
        <v>53</v>
      </c>
      <c r="J29" s="31">
        <f>D29+G13*G18</f>
        <v>0.5407136777394117</v>
      </c>
      <c r="K29" s="53">
        <f>J29/$J$31</f>
        <v>3.2989682886511738E-2</v>
      </c>
    </row>
    <row r="30" spans="3:28" ht="13.5" customHeight="1" x14ac:dyDescent="0.25">
      <c r="C30" s="12" t="s">
        <v>54</v>
      </c>
      <c r="D30" s="31">
        <f>K13*J22+E18*(1-E13)</f>
        <v>11.667448161308181</v>
      </c>
      <c r="E30" s="53">
        <f>D30/$D$31</f>
        <v>0.72633760493204858</v>
      </c>
      <c r="G30" t="s">
        <v>55</v>
      </c>
      <c r="I30" s="12" t="s">
        <v>54</v>
      </c>
      <c r="J30" s="31">
        <f>D30+(1-G13)*G18</f>
        <v>11.925771701108699</v>
      </c>
      <c r="K30" s="53">
        <f>J30/$J$31</f>
        <v>0.72760768368452056</v>
      </c>
    </row>
    <row r="31" spans="3:28" ht="13.8" thickBot="1" x14ac:dyDescent="0.3">
      <c r="C31" s="12" t="s">
        <v>56</v>
      </c>
      <c r="D31" s="31">
        <f>SUM(D27:D30)</f>
        <v>16.063395426703416</v>
      </c>
      <c r="I31" s="12" t="s">
        <v>56</v>
      </c>
      <c r="J31" s="31">
        <f>SUM(J27:J30)</f>
        <v>16.390387249235715</v>
      </c>
    </row>
    <row r="32" spans="3:28" ht="16.2" thickBot="1" x14ac:dyDescent="0.3">
      <c r="I32" s="17" t="s">
        <v>57</v>
      </c>
      <c r="J32" s="55">
        <f>J31*0.0820575*(R11+273.15)</f>
        <v>1443.3376015588192</v>
      </c>
      <c r="O32" s="56" t="s">
        <v>58</v>
      </c>
      <c r="P32" s="57"/>
      <c r="Q32" s="58">
        <v>1800</v>
      </c>
      <c r="R32" s="59"/>
    </row>
    <row r="33" spans="12:27" x14ac:dyDescent="0.25">
      <c r="M33" t="s">
        <v>29</v>
      </c>
      <c r="Q33" s="60">
        <f>-E18*(L59+M59*E11+N59*E11^2)</f>
        <v>1.9340748823229248</v>
      </c>
    </row>
    <row r="34" spans="12:27" x14ac:dyDescent="0.25">
      <c r="M34" t="s">
        <v>32</v>
      </c>
      <c r="Q34" s="36">
        <f>K23</f>
        <v>-1052971.1275570625</v>
      </c>
      <c r="U34" s="61" t="s">
        <v>59</v>
      </c>
      <c r="AA34" s="62"/>
    </row>
    <row r="35" spans="12:27" ht="15.6" x14ac:dyDescent="0.35">
      <c r="M35" t="s">
        <v>60</v>
      </c>
      <c r="Q35" s="36">
        <f>D27*(P54+Q54*Q32+R54*Q32^2)</f>
        <v>126506.997585661</v>
      </c>
      <c r="T35" s="8" t="s">
        <v>61</v>
      </c>
      <c r="U35" s="63">
        <v>0.21</v>
      </c>
      <c r="V35" s="62">
        <v>0.23</v>
      </c>
      <c r="W35" s="62">
        <v>0.25</v>
      </c>
      <c r="X35" s="62">
        <v>0.27</v>
      </c>
      <c r="Y35" s="62">
        <v>0.28999999999999998</v>
      </c>
    </row>
    <row r="36" spans="12:27" ht="16.8" x14ac:dyDescent="0.35">
      <c r="M36" t="s">
        <v>62</v>
      </c>
      <c r="Q36" s="36">
        <f>J28*(L54+M54*Q32+N54*Q32^2)</f>
        <v>198638.2257395098</v>
      </c>
      <c r="T36" s="8" t="s">
        <v>63</v>
      </c>
      <c r="U36" s="64">
        <v>32</v>
      </c>
      <c r="V36" s="1">
        <v>30.5</v>
      </c>
      <c r="W36" s="1">
        <v>29.4</v>
      </c>
      <c r="X36" s="1">
        <v>28.5</v>
      </c>
      <c r="Y36" s="1">
        <v>27.8</v>
      </c>
    </row>
    <row r="37" spans="12:27" ht="16.8" x14ac:dyDescent="0.35">
      <c r="M37" t="s">
        <v>64</v>
      </c>
      <c r="Q37" s="36">
        <f>D30*(L49+M49*Q32+N49*Q32^2)</f>
        <v>684996.81494625623</v>
      </c>
      <c r="T37" s="8" t="s">
        <v>65</v>
      </c>
      <c r="U37" s="64">
        <v>360.5</v>
      </c>
      <c r="V37" s="1">
        <v>314.10000000000002</v>
      </c>
      <c r="W37" s="1">
        <v>278.3</v>
      </c>
      <c r="X37" s="1">
        <v>249.8</v>
      </c>
      <c r="Y37" s="1">
        <v>226.6</v>
      </c>
      <c r="Z37" s="60"/>
    </row>
    <row r="38" spans="12:27" ht="15.6" x14ac:dyDescent="0.35">
      <c r="M38" t="s">
        <v>66</v>
      </c>
      <c r="Q38" s="36">
        <f>D29*(P49+Q49*Q32+R49*Q32^2)</f>
        <v>29238.114130456506</v>
      </c>
      <c r="T38" s="85" t="s">
        <v>87</v>
      </c>
      <c r="U38" s="86">
        <f>U37/U36</f>
        <v>11.265625</v>
      </c>
      <c r="V38" s="87">
        <f t="shared" ref="V38:Y38" si="0">V37/V36</f>
        <v>10.298360655737707</v>
      </c>
      <c r="W38" s="87">
        <f t="shared" si="0"/>
        <v>9.4659863945578238</v>
      </c>
      <c r="X38" s="87">
        <f t="shared" si="0"/>
        <v>8.7649122807017541</v>
      </c>
      <c r="Y38" s="87">
        <f t="shared" si="0"/>
        <v>8.1510791366906474</v>
      </c>
    </row>
    <row r="39" spans="12:27" ht="13.8" thickBot="1" x14ac:dyDescent="0.3">
      <c r="M39" t="s">
        <v>67</v>
      </c>
      <c r="Q39" s="36">
        <f>R14</f>
        <v>13400</v>
      </c>
      <c r="S39" t="s">
        <v>55</v>
      </c>
    </row>
    <row r="40" spans="12:27" ht="13.8" thickBot="1" x14ac:dyDescent="0.3">
      <c r="M40" t="s">
        <v>68</v>
      </c>
      <c r="Q40" s="65">
        <f>SUM(Q33:Q39)</f>
        <v>-189.04108029658164</v>
      </c>
    </row>
    <row r="46" spans="12:27" ht="16.2" x14ac:dyDescent="0.25">
      <c r="L46" s="66" t="s">
        <v>69</v>
      </c>
      <c r="M46" s="3"/>
      <c r="N46" s="3"/>
      <c r="O46" s="67"/>
      <c r="P46" s="67"/>
      <c r="Q46" s="67"/>
      <c r="R46" s="67"/>
    </row>
    <row r="47" spans="12:27" ht="15.6" x14ac:dyDescent="0.35">
      <c r="L47" s="68"/>
      <c r="M47" s="68" t="s">
        <v>70</v>
      </c>
      <c r="N47" s="68"/>
      <c r="P47" s="68"/>
      <c r="Q47" s="68" t="s">
        <v>71</v>
      </c>
      <c r="R47" s="68"/>
    </row>
    <row r="48" spans="12:27" x14ac:dyDescent="0.25">
      <c r="L48" s="69" t="s">
        <v>72</v>
      </c>
      <c r="M48" s="69" t="s">
        <v>73</v>
      </c>
      <c r="N48" s="70" t="s">
        <v>1</v>
      </c>
      <c r="P48" s="69" t="s">
        <v>72</v>
      </c>
      <c r="Q48" s="69" t="s">
        <v>73</v>
      </c>
      <c r="R48" s="70" t="s">
        <v>1</v>
      </c>
    </row>
    <row r="49" spans="12:20" x14ac:dyDescent="0.25">
      <c r="L49" s="71">
        <v>-2077</v>
      </c>
      <c r="M49" s="72">
        <v>31.4</v>
      </c>
      <c r="N49" s="73">
        <v>1.317E-3</v>
      </c>
      <c r="P49" s="71">
        <v>-2265</v>
      </c>
      <c r="Q49" s="72">
        <v>33.409999999999997</v>
      </c>
      <c r="R49" s="73">
        <v>1.255E-3</v>
      </c>
    </row>
    <row r="52" spans="12:20" ht="15.6" x14ac:dyDescent="0.35">
      <c r="L52" s="68"/>
      <c r="M52" s="68" t="s">
        <v>74</v>
      </c>
      <c r="N52" s="68"/>
      <c r="P52" s="68"/>
      <c r="Q52" s="68" t="s">
        <v>75</v>
      </c>
      <c r="R52" s="68"/>
    </row>
    <row r="53" spans="12:20" x14ac:dyDescent="0.25">
      <c r="L53" s="69" t="s">
        <v>72</v>
      </c>
      <c r="M53" s="69" t="s">
        <v>73</v>
      </c>
      <c r="N53" s="69" t="s">
        <v>1</v>
      </c>
      <c r="P53" s="69" t="s">
        <v>72</v>
      </c>
      <c r="Q53" s="69" t="s">
        <v>73</v>
      </c>
      <c r="R53" s="74" t="s">
        <v>1</v>
      </c>
    </row>
    <row r="54" spans="12:20" x14ac:dyDescent="0.25">
      <c r="L54" s="71">
        <v>-2563</v>
      </c>
      <c r="M54" s="72">
        <v>36.04</v>
      </c>
      <c r="N54" s="73">
        <v>4.3229999999999996E-3</v>
      </c>
      <c r="P54" s="71">
        <v>-6014</v>
      </c>
      <c r="Q54" s="72">
        <v>52.48</v>
      </c>
      <c r="R54" s="73">
        <v>2.2569999999999999E-3</v>
      </c>
    </row>
    <row r="55" spans="12:20" ht="15.6" x14ac:dyDescent="0.35">
      <c r="T55" t="s">
        <v>76</v>
      </c>
    </row>
    <row r="56" spans="12:20" x14ac:dyDescent="0.25">
      <c r="R56" s="12" t="s">
        <v>77</v>
      </c>
    </row>
    <row r="57" spans="12:20" ht="13.8" x14ac:dyDescent="0.25">
      <c r="L57" s="68"/>
      <c r="M57" s="68" t="s">
        <v>78</v>
      </c>
      <c r="N57" s="68"/>
      <c r="P57" s="75"/>
      <c r="Q57" s="76" t="s">
        <v>79</v>
      </c>
      <c r="R57" s="75"/>
    </row>
    <row r="58" spans="12:20" x14ac:dyDescent="0.25">
      <c r="L58" s="69" t="s">
        <v>72</v>
      </c>
      <c r="M58" s="69" t="s">
        <v>73</v>
      </c>
      <c r="N58" s="69" t="s">
        <v>1</v>
      </c>
      <c r="P58" s="69" t="s">
        <v>72</v>
      </c>
      <c r="Q58" s="69" t="s">
        <v>73</v>
      </c>
      <c r="R58" s="69" t="s">
        <v>1</v>
      </c>
    </row>
    <row r="59" spans="12:20" x14ac:dyDescent="0.25">
      <c r="L59" s="71">
        <v>-713</v>
      </c>
      <c r="M59" s="72">
        <v>28.43</v>
      </c>
      <c r="N59" s="73">
        <v>3.3899999999999998E-3</v>
      </c>
      <c r="P59" s="77">
        <v>-21.08902231117041</v>
      </c>
      <c r="Q59" s="78">
        <v>0.87457416055147885</v>
      </c>
      <c r="R59" s="73">
        <v>2.5430879845823141E-4</v>
      </c>
    </row>
    <row r="61" spans="12:20" ht="13.8" x14ac:dyDescent="0.25">
      <c r="L61" s="23"/>
      <c r="M61" s="23"/>
      <c r="N61" s="79" t="s">
        <v>80</v>
      </c>
    </row>
    <row r="62" spans="12:20" x14ac:dyDescent="0.25">
      <c r="M62" s="12" t="s">
        <v>81</v>
      </c>
    </row>
    <row r="63" spans="12:20" ht="15.6" x14ac:dyDescent="0.25">
      <c r="L63" s="69" t="s">
        <v>26</v>
      </c>
      <c r="M63" s="80">
        <v>-802.327</v>
      </c>
    </row>
    <row r="64" spans="12:20" ht="15.6" x14ac:dyDescent="0.25">
      <c r="L64" s="81" t="s">
        <v>28</v>
      </c>
      <c r="M64" s="82">
        <v>-1323.1130000000001</v>
      </c>
    </row>
    <row r="65" spans="12:13" ht="15.6" x14ac:dyDescent="0.25">
      <c r="L65" s="69" t="s">
        <v>31</v>
      </c>
      <c r="M65" s="82">
        <v>-1427.7760000000001</v>
      </c>
    </row>
    <row r="66" spans="12:13" ht="15.6" x14ac:dyDescent="0.25">
      <c r="L66" s="69" t="s">
        <v>34</v>
      </c>
      <c r="M66" s="82">
        <v>-2043.9359999999999</v>
      </c>
    </row>
    <row r="67" spans="12:13" ht="15.6" x14ac:dyDescent="0.25">
      <c r="L67" s="70" t="s">
        <v>82</v>
      </c>
      <c r="M67" s="82">
        <v>-2656.9579999999996</v>
      </c>
    </row>
  </sheetData>
  <mergeCells count="1">
    <mergeCell ref="B7:C7"/>
  </mergeCells>
  <pageMargins left="0.7" right="0.7" top="0.75" bottom="0.75" header="0.3" footer="0.3"/>
  <pageSetup orientation="portrait" verticalDpi="300" r:id="rId1"/>
  <drawing r:id="rId2"/>
  <legacyDrawing r:id="rId3"/>
  <oleObjects>
    <mc:AlternateContent xmlns:mc="http://schemas.openxmlformats.org/markup-compatibility/2006">
      <mc:Choice Requires="x14">
        <oleObject progId="Wordpad.Document.1" dvAspect="DVASPECT_ICON" shapeId="1025" r:id="rId4">
          <objectPr defaultSize="0" autoPict="0" r:id="rId5">
            <anchor moveWithCells="1">
              <from>
                <xdr:col>15</xdr:col>
                <xdr:colOff>335280</xdr:colOff>
                <xdr:row>1</xdr:row>
                <xdr:rowOff>0</xdr:rowOff>
              </from>
              <to>
                <xdr:col>16</xdr:col>
                <xdr:colOff>586740</xdr:colOff>
                <xdr:row>5</xdr:row>
                <xdr:rowOff>83820</xdr:rowOff>
              </to>
            </anchor>
          </objectPr>
        </oleObject>
      </mc:Choice>
      <mc:Fallback>
        <oleObject progId="Wordpad.Document.1" dvAspect="DVASPECT_ICON"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OxyEnrich</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thermart</dc:creator>
  <cp:lastModifiedBy>thermart</cp:lastModifiedBy>
  <dcterms:created xsi:type="dcterms:W3CDTF">2012-12-10T06:08:05Z</dcterms:created>
  <dcterms:modified xsi:type="dcterms:W3CDTF">2012-12-11T21:33:18Z</dcterms:modified>
</cp:coreProperties>
</file>