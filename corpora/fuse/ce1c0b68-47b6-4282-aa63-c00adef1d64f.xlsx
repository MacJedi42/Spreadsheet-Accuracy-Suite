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40" yWindow="330" windowWidth="18915" windowHeight="11535"/>
  </bookViews>
  <sheets>
    <sheet name="Metadata" sheetId="6" r:id="rId1"/>
    <sheet name="Data" sheetId="1" r:id="rId2"/>
    <sheet name="Sites(Do NOT Edit)" sheetId="7" r:id="rId3"/>
  </sheets>
  <definedNames>
    <definedName name="_xlnm._FilterDatabase" localSheetId="2" hidden="1">'Sites(Do NOT Edit)'!$A$2:$N$637</definedName>
    <definedName name="ABSTRACT" localSheetId="0">Metadata!$A$6</definedName>
    <definedName name="ABSTRACT" localSheetId="2">Metadata!$A$6</definedName>
    <definedName name="Address_line_2" localSheetId="0">Metadata!$A$22</definedName>
    <definedName name="Address_line_2" localSheetId="2">Metadata!$A$22</definedName>
    <definedName name="Address_line_3" localSheetId="0">Metadata!$A$23</definedName>
    <definedName name="Address_line_3" localSheetId="2">Metadata!$A$23</definedName>
    <definedName name="Availability_Status" localSheetId="0">Metadata!$A$37</definedName>
    <definedName name="Availability_Status" localSheetId="2">Metadata!$A$37</definedName>
    <definedName name="Beginning_Date" localSheetId="0">Metadata!$A$33</definedName>
    <definedName name="Beginning_Date" localSheetId="2">Metadata!$A$33</definedName>
    <definedName name="City" localSheetId="0">Metadata!$A$24</definedName>
    <definedName name="City" localSheetId="2">Metadata!$A$24</definedName>
    <definedName name="Code_Information" localSheetId="0">Metadata!$F$222</definedName>
    <definedName name="Code_Information" localSheetId="2">Metadata!$F$222</definedName>
    <definedName name="Country" localSheetId="0">Metadata!$A$27</definedName>
    <definedName name="Country" localSheetId="2">Metadata!$A$27</definedName>
    <definedName name="DATA_FILE_INFORMATION" localSheetId="0">Metadata!$A$30</definedName>
    <definedName name="DATA_FILE_INFORMATION" localSheetId="2">Metadata!$A$30</definedName>
    <definedName name="Data_File_Name" localSheetId="0">Metadata!$A$32</definedName>
    <definedName name="Data_File_Name" localSheetId="2">Metadata!$A$32</definedName>
    <definedName name="Data_File_URL" localSheetId="0">Metadata!$A$31</definedName>
    <definedName name="Data_File_URL" localSheetId="2">Metadata!$A$31</definedName>
    <definedName name="Data_Type" localSheetId="0">Metadata!$C$222</definedName>
    <definedName name="Data_Type" localSheetId="2">Metadata!$C$222</definedName>
    <definedName name="DATASET_ID" localSheetId="0">Metadata!$A$14</definedName>
    <definedName name="DATASET_ID" localSheetId="2">Metadata!$A$14</definedName>
    <definedName name="DATASET_TITLE" localSheetId="0">Metadata!$A$5</definedName>
    <definedName name="DATASET_TITLE" localSheetId="2">Metadata!$A$5</definedName>
    <definedName name="DateTime_Format" localSheetId="0">Metadata!$E$222</definedName>
    <definedName name="DateTime_Format" localSheetId="2">Metadata!$E$222</definedName>
    <definedName name="Distribution_URL_for_file" localSheetId="0">Metadata!$A$4</definedName>
    <definedName name="Distribution_URL_for_file" localSheetId="2">Metadata!$A$4</definedName>
    <definedName name="East_Bounding_Coordinate" localSheetId="0">Metadata!$A$51</definedName>
    <definedName name="East_Bounding_Coordinate" localSheetId="2">Metadata!$A$51</definedName>
    <definedName name="Elevation" localSheetId="0">Metadata!$A$57</definedName>
    <definedName name="Elevation" localSheetId="2">Metadata!$A$57</definedName>
    <definedName name="Email" localSheetId="0">Metadata!$A$18</definedName>
    <definedName name="Email" localSheetId="2">Metadata!$A$18</definedName>
    <definedName name="End_Date" localSheetId="0">Metadata!$A$34</definedName>
    <definedName name="End_Date" localSheetId="2">Metadata!$A$34</definedName>
    <definedName name="First_Name" localSheetId="0">Metadata!$A$19</definedName>
    <definedName name="First_Name" localSheetId="2">Metadata!$A$19</definedName>
    <definedName name="Geographic_Description" localSheetId="0">Metadata!$A$48</definedName>
    <definedName name="Geographic_Description" localSheetId="2">Metadata!$A$48</definedName>
    <definedName name="INVESTIGATOR_INFORMATION" localSheetId="0">Metadata!$A$16</definedName>
    <definedName name="INVESTIGATOR_INFORMATION" localSheetId="2">Metadata!$A$16</definedName>
    <definedName name="KEYWORD_INFORMATION" localSheetId="0">Metadata!$A$63</definedName>
    <definedName name="KEYWORD_INFORMATION" localSheetId="2">Metadata!$A$63</definedName>
    <definedName name="KEYWORDS" localSheetId="0">Metadata!$A$64</definedName>
    <definedName name="KEYWORDS" localSheetId="2">Metadata!$A$64</definedName>
    <definedName name="Last_Name" localSheetId="0">Metadata!$A$20</definedName>
    <definedName name="Last_Name" localSheetId="2">Metadata!$A$20</definedName>
    <definedName name="Latitude" localSheetId="0">Metadata!$A$55</definedName>
    <definedName name="Latitude" localSheetId="2">Metadata!$A$55</definedName>
    <definedName name="Link_to_Google_Map">Metadata!$A$58</definedName>
    <definedName name="Location_Bounding_Box" localSheetId="0">Metadata!$A$49</definedName>
    <definedName name="Location_Bounding_Box" localSheetId="2">Metadata!$A$49</definedName>
    <definedName name="Location_Name">Metadata!$A$47</definedName>
    <definedName name="Log_of_Changes" localSheetId="0">Metadata!$A$40</definedName>
    <definedName name="Log_of_Changes" localSheetId="2">Metadata!$A$40</definedName>
    <definedName name="Longitude" localSheetId="0">Metadata!$A$56</definedName>
    <definedName name="Longitude" localSheetId="2">Metadata!$A$56</definedName>
    <definedName name="LTER_Sites_number">'Sites(Do NOT Edit)'!$A$2:$A$637</definedName>
    <definedName name="Maintenance_Description" localSheetId="0">Metadata!$A$39</definedName>
    <definedName name="Maintenance_Description" localSheetId="2">Metadata!$A$39</definedName>
    <definedName name="Metacat_Package_ID" localSheetId="0">Metadata!$A$2</definedName>
    <definedName name="Metacat_Package_ID" localSheetId="2">Metadata!$A$2</definedName>
    <definedName name="METHODS" localSheetId="0">Metadata!$A$67</definedName>
    <definedName name="METHODS" localSheetId="2">Metadata!$A$67</definedName>
    <definedName name="Missing_Value_Code" localSheetId="0">Metadata!$G$222</definedName>
    <definedName name="Missing_Value_Code" localSheetId="2">Metadata!$G$222</definedName>
    <definedName name="North_Bounding_Coordinate" localSheetId="0">Metadata!$A$52</definedName>
    <definedName name="North_Bounding_Coordinate" localSheetId="2">Metadata!$A$52</definedName>
    <definedName name="Number_of_Data_Records" localSheetId="0">Metadata!$A$35</definedName>
    <definedName name="Number_of_Data_Records" localSheetId="2">Metadata!$A$35</definedName>
    <definedName name="OR" localSheetId="0">Metadata!$A$213</definedName>
    <definedName name="OR" localSheetId="2">Metadata!$A$213</definedName>
    <definedName name="OR_if_single_point_location" localSheetId="0">Metadata!$A$54</definedName>
    <definedName name="OR_if_single_point_location" localSheetId="2">Metadata!$A$54</definedName>
    <definedName name="Organisms_studied" localSheetId="0">Metadata!$A$61</definedName>
    <definedName name="Organisms_studied" localSheetId="2">Metadata!$A$61</definedName>
    <definedName name="Organization" localSheetId="0">Metadata!$A$21</definedName>
    <definedName name="Organization" localSheetId="2">Metadata!$A$21</definedName>
    <definedName name="Other_Files_to_Reference" localSheetId="0">Metadata!$A$36</definedName>
    <definedName name="Other_Files_to_Reference" localSheetId="2">Metadata!$A$36</definedName>
    <definedName name="Protocol_Document" localSheetId="0">Metadata!$A$214</definedName>
    <definedName name="Protocol_Document" localSheetId="2">Metadata!$A$214</definedName>
    <definedName name="Protocol_Title" localSheetId="0">Metadata!$A$211</definedName>
    <definedName name="Protocol_Title" localSheetId="2">Metadata!$A$211</definedName>
    <definedName name="Quality_Control_Information" localSheetId="0">Metadata!$A$38</definedName>
    <definedName name="Quality_Control_Information" localSheetId="2">Metadata!$A$38</definedName>
    <definedName name="RESEARCH_LOCATION" localSheetId="0">Metadata!$A$46</definedName>
    <definedName name="RESEARCH_LOCATION" localSheetId="2">Metadata!$A$46</definedName>
    <definedName name="Role" localSheetId="0">Metadata!$A$17</definedName>
    <definedName name="Role" localSheetId="2">Metadata!$A$17</definedName>
    <definedName name="Sampling_and_or_Lab_Protocols" localSheetId="0">Metadata!$A$210</definedName>
    <definedName name="Sampling_and_or_Lab_Protocols" localSheetId="2">Metadata!$A$210</definedName>
    <definedName name="Site_name">'Sites(Do NOT Edit)'!$B$3:$B$637</definedName>
    <definedName name="Site_name_list">'Sites(Do NOT Edit)'!$B$2:$B$637</definedName>
    <definedName name="Sites">'Sites(Do NOT Edit)'!$A$3:$M$637</definedName>
    <definedName name="South_Bounding_Coordinate" localSheetId="0">Metadata!$A$53</definedName>
    <definedName name="South_Bounding_Coordinate" localSheetId="2">Metadata!$A$53</definedName>
    <definedName name="State" localSheetId="0">Metadata!$A$25</definedName>
    <definedName name="State" localSheetId="2">Metadata!$A$25</definedName>
    <definedName name="TAXONOMIC_COVERAGE" localSheetId="0">Metadata!$A$60</definedName>
    <definedName name="TAXONOMIC_COVERAGE" localSheetId="2">Metadata!$A$60</definedName>
    <definedName name="Units" localSheetId="0">Metadata!$D$222</definedName>
    <definedName name="Units" localSheetId="2">Metadata!$D$222</definedName>
    <definedName name="URL_of_online_Protocol" localSheetId="0">Metadata!$A$212</definedName>
    <definedName name="URL_of_online_Protocol" localSheetId="2">Metadata!$A$212</definedName>
    <definedName name="Variable_Description" localSheetId="0">Metadata!$B$222</definedName>
    <definedName name="Variable_Description" localSheetId="2">Metadata!$B$222</definedName>
    <definedName name="VARIABLE_DESCRIPTIONS" localSheetId="0">Metadata!$A$221</definedName>
    <definedName name="VARIABLE_DESCRIPTIONS" localSheetId="2">Metadata!$A$221</definedName>
    <definedName name="Variable_Name" localSheetId="0">Metadata!$A$222</definedName>
    <definedName name="Variable_Name" localSheetId="2">Metadata!$A$222</definedName>
    <definedName name="West_Bounding_Coordinate" localSheetId="0">Metadata!$A$50</definedName>
    <definedName name="West_Bounding_Coordinate" localSheetId="2">Metadata!$A$50</definedName>
    <definedName name="Year_Released_to_Public" localSheetId="0">Metadata!$A$3</definedName>
    <definedName name="Year_Released_to_Public" localSheetId="2">Metadata!$A$3</definedName>
    <definedName name="Zip_Code" localSheetId="0">Metadata!$A$26</definedName>
    <definedName name="Zip_Code" localSheetId="2">Metadata!$A$26</definedName>
  </definedNames>
  <calcPr calcId="145621"/>
</workbook>
</file>

<file path=xl/calcChain.xml><?xml version="1.0" encoding="utf-8"?>
<calcChain xmlns="http://schemas.openxmlformats.org/spreadsheetml/2006/main">
  <c r="M637" i="7" l="1"/>
  <c r="M636" i="7"/>
  <c r="M635" i="7"/>
  <c r="M634" i="7"/>
  <c r="M633" i="7"/>
  <c r="M632" i="7"/>
  <c r="M631" i="7"/>
  <c r="M630" i="7"/>
  <c r="M629" i="7"/>
  <c r="M628" i="7"/>
  <c r="M627" i="7"/>
  <c r="M626" i="7"/>
  <c r="M625" i="7"/>
  <c r="M624" i="7"/>
  <c r="M623" i="7"/>
  <c r="M622" i="7"/>
  <c r="M621" i="7"/>
  <c r="M620" i="7"/>
  <c r="M619" i="7"/>
  <c r="M618" i="7"/>
  <c r="M617" i="7"/>
  <c r="M616" i="7"/>
  <c r="M615" i="7"/>
  <c r="M614" i="7"/>
  <c r="M613" i="7"/>
  <c r="M612" i="7"/>
  <c r="M611" i="7"/>
  <c r="M610" i="7"/>
  <c r="M609" i="7"/>
  <c r="M608" i="7"/>
  <c r="M607" i="7"/>
  <c r="M606" i="7"/>
  <c r="M605" i="7"/>
  <c r="M604" i="7"/>
  <c r="M603" i="7"/>
  <c r="M602" i="7"/>
  <c r="M601" i="7"/>
  <c r="M600" i="7"/>
  <c r="M599" i="7"/>
  <c r="M598" i="7"/>
  <c r="M597" i="7"/>
  <c r="M596" i="7"/>
  <c r="M595" i="7"/>
  <c r="M594" i="7"/>
  <c r="M593" i="7"/>
  <c r="M592" i="7"/>
  <c r="M591" i="7"/>
  <c r="M590" i="7"/>
  <c r="M589" i="7"/>
  <c r="M588" i="7"/>
  <c r="M587" i="7"/>
  <c r="M586" i="7"/>
  <c r="M585" i="7"/>
  <c r="M584" i="7"/>
  <c r="M583" i="7"/>
  <c r="M582" i="7"/>
  <c r="M581" i="7"/>
  <c r="M580" i="7"/>
  <c r="M579" i="7"/>
  <c r="M578" i="7"/>
  <c r="M577" i="7"/>
  <c r="M576" i="7"/>
  <c r="M575" i="7"/>
  <c r="M574" i="7"/>
  <c r="M573" i="7"/>
  <c r="M572" i="7"/>
  <c r="M571" i="7"/>
  <c r="M570" i="7"/>
  <c r="M569" i="7"/>
  <c r="M568" i="7"/>
  <c r="M567" i="7"/>
  <c r="M566" i="7"/>
  <c r="M565" i="7"/>
  <c r="M564" i="7"/>
  <c r="M563" i="7"/>
  <c r="M562" i="7"/>
  <c r="M561" i="7"/>
  <c r="M560" i="7"/>
  <c r="M559" i="7"/>
  <c r="M558" i="7"/>
  <c r="M557" i="7"/>
  <c r="M556" i="7"/>
  <c r="M555" i="7"/>
  <c r="M554" i="7"/>
  <c r="M553" i="7"/>
  <c r="M552" i="7"/>
  <c r="M551" i="7"/>
  <c r="M550" i="7"/>
  <c r="M549" i="7"/>
  <c r="M548" i="7"/>
  <c r="M547" i="7"/>
  <c r="M546" i="7"/>
  <c r="M545" i="7"/>
  <c r="M544" i="7"/>
  <c r="M543" i="7"/>
  <c r="M542" i="7"/>
  <c r="M541" i="7"/>
  <c r="M540" i="7"/>
  <c r="M539" i="7"/>
  <c r="M538" i="7"/>
  <c r="M537" i="7"/>
  <c r="M536" i="7"/>
  <c r="M535" i="7"/>
  <c r="M534" i="7"/>
  <c r="M533" i="7"/>
  <c r="M532" i="7"/>
  <c r="M531" i="7"/>
  <c r="M530" i="7"/>
  <c r="M529" i="7"/>
  <c r="M528" i="7"/>
  <c r="M527" i="7"/>
  <c r="M526" i="7"/>
  <c r="M525" i="7"/>
  <c r="M524" i="7"/>
  <c r="M523" i="7"/>
  <c r="M522" i="7"/>
  <c r="M521" i="7"/>
  <c r="M520" i="7"/>
  <c r="M519" i="7"/>
  <c r="M518" i="7"/>
  <c r="M517" i="7"/>
  <c r="M516" i="7"/>
  <c r="M515" i="7"/>
  <c r="M514" i="7"/>
  <c r="M513" i="7"/>
  <c r="M512" i="7"/>
  <c r="M511" i="7"/>
  <c r="M510" i="7"/>
  <c r="M509" i="7"/>
  <c r="M508" i="7"/>
  <c r="M507" i="7"/>
  <c r="M506" i="7"/>
  <c r="M505" i="7"/>
  <c r="M504" i="7"/>
  <c r="M503" i="7"/>
  <c r="M502" i="7"/>
  <c r="M501" i="7"/>
  <c r="M500" i="7"/>
  <c r="M499" i="7"/>
  <c r="M498" i="7"/>
  <c r="M497" i="7"/>
  <c r="M496" i="7"/>
  <c r="M495" i="7"/>
  <c r="M494" i="7"/>
  <c r="M493" i="7"/>
  <c r="M492" i="7"/>
  <c r="M491" i="7"/>
  <c r="M490" i="7"/>
  <c r="M489" i="7"/>
  <c r="M488" i="7"/>
  <c r="M487" i="7"/>
  <c r="M486" i="7"/>
  <c r="M485" i="7"/>
  <c r="M484" i="7"/>
  <c r="M483" i="7"/>
  <c r="M482" i="7"/>
  <c r="M481" i="7"/>
  <c r="M480" i="7"/>
  <c r="M479" i="7"/>
  <c r="M478" i="7"/>
  <c r="M477" i="7"/>
  <c r="M476" i="7"/>
  <c r="M475" i="7"/>
  <c r="M474" i="7"/>
  <c r="M473" i="7"/>
  <c r="M472" i="7"/>
  <c r="M471" i="7"/>
  <c r="M470" i="7"/>
  <c r="M469" i="7"/>
  <c r="M468" i="7"/>
  <c r="M467" i="7"/>
  <c r="M466" i="7"/>
  <c r="M465" i="7"/>
  <c r="M464" i="7"/>
  <c r="M463" i="7"/>
  <c r="M462" i="7"/>
  <c r="M461" i="7"/>
  <c r="M460" i="7"/>
  <c r="M459" i="7"/>
  <c r="M458" i="7"/>
  <c r="M457" i="7"/>
  <c r="M456" i="7"/>
  <c r="M455" i="7"/>
  <c r="M454" i="7"/>
  <c r="M453" i="7"/>
  <c r="M452" i="7"/>
  <c r="M451" i="7"/>
  <c r="M450" i="7"/>
  <c r="M449" i="7"/>
  <c r="M448" i="7"/>
  <c r="M447" i="7"/>
  <c r="M446" i="7"/>
  <c r="M445" i="7"/>
  <c r="M444" i="7"/>
  <c r="M443" i="7"/>
  <c r="M442" i="7"/>
  <c r="M441" i="7"/>
  <c r="M440" i="7"/>
  <c r="M439" i="7"/>
  <c r="M438" i="7"/>
  <c r="M437" i="7"/>
  <c r="M436" i="7"/>
  <c r="M435" i="7"/>
  <c r="N434" i="7"/>
  <c r="M434" i="7"/>
  <c r="N433" i="7"/>
  <c r="M433" i="7"/>
  <c r="N432" i="7"/>
  <c r="M432" i="7"/>
  <c r="N431" i="7"/>
  <c r="M431" i="7"/>
  <c r="N430" i="7"/>
  <c r="M430" i="7"/>
  <c r="N429" i="7"/>
  <c r="M429" i="7"/>
  <c r="N428" i="7"/>
  <c r="M428" i="7"/>
  <c r="N427" i="7"/>
  <c r="M427" i="7"/>
  <c r="N426" i="7"/>
  <c r="M426" i="7"/>
  <c r="N425" i="7"/>
  <c r="M425" i="7"/>
  <c r="N424" i="7"/>
  <c r="M424" i="7"/>
  <c r="N423" i="7"/>
  <c r="M423" i="7"/>
  <c r="N422" i="7"/>
  <c r="M422" i="7"/>
  <c r="N421" i="7"/>
  <c r="M421" i="7"/>
  <c r="N420" i="7"/>
  <c r="M420" i="7"/>
  <c r="N419" i="7"/>
  <c r="M419" i="7"/>
  <c r="N418" i="7"/>
  <c r="M418" i="7"/>
  <c r="N417" i="7"/>
  <c r="M417" i="7"/>
  <c r="N416" i="7"/>
  <c r="M416" i="7"/>
  <c r="N415" i="7"/>
  <c r="M415" i="7"/>
  <c r="N414" i="7"/>
  <c r="M414" i="7"/>
  <c r="N413" i="7"/>
  <c r="M413" i="7"/>
  <c r="N412" i="7"/>
  <c r="M412" i="7"/>
  <c r="N411" i="7"/>
  <c r="M411" i="7"/>
  <c r="N410" i="7"/>
  <c r="M410" i="7"/>
  <c r="N409" i="7"/>
  <c r="M409" i="7"/>
  <c r="N408" i="7"/>
  <c r="M408" i="7"/>
  <c r="N407" i="7"/>
  <c r="M407" i="7"/>
  <c r="N406" i="7"/>
  <c r="M406" i="7"/>
  <c r="N405" i="7"/>
  <c r="M405" i="7"/>
  <c r="N404" i="7"/>
  <c r="M404" i="7"/>
  <c r="N403" i="7"/>
  <c r="M403" i="7"/>
  <c r="N402" i="7"/>
  <c r="M402" i="7"/>
  <c r="N401" i="7"/>
  <c r="M401" i="7"/>
  <c r="N400" i="7"/>
  <c r="M400" i="7"/>
  <c r="N399" i="7"/>
  <c r="M399" i="7"/>
  <c r="N398" i="7"/>
  <c r="M398" i="7"/>
  <c r="N397" i="7"/>
  <c r="M397" i="7"/>
  <c r="N396" i="7"/>
  <c r="M396" i="7"/>
  <c r="N395" i="7"/>
  <c r="M395" i="7"/>
  <c r="N394" i="7"/>
  <c r="M394" i="7"/>
  <c r="N393" i="7"/>
  <c r="M393" i="7"/>
  <c r="N392" i="7"/>
  <c r="M392" i="7"/>
  <c r="N391" i="7"/>
  <c r="M391" i="7"/>
  <c r="N390" i="7"/>
  <c r="M390" i="7"/>
  <c r="N389" i="7"/>
  <c r="M389" i="7"/>
  <c r="N388" i="7"/>
  <c r="M388" i="7"/>
  <c r="N387" i="7"/>
  <c r="M387" i="7"/>
  <c r="N386" i="7"/>
  <c r="M386" i="7"/>
  <c r="N385" i="7"/>
  <c r="M385" i="7"/>
  <c r="N384" i="7"/>
  <c r="M384" i="7"/>
  <c r="N383" i="7"/>
  <c r="M383" i="7"/>
  <c r="N382" i="7"/>
  <c r="M382" i="7"/>
  <c r="N381" i="7"/>
  <c r="M381" i="7"/>
  <c r="N380" i="7"/>
  <c r="M380" i="7"/>
  <c r="N379" i="7"/>
  <c r="M379" i="7"/>
  <c r="N378" i="7"/>
  <c r="M378" i="7"/>
  <c r="N377" i="7"/>
  <c r="M377" i="7"/>
  <c r="N376" i="7"/>
  <c r="M376" i="7"/>
  <c r="N375" i="7"/>
  <c r="M375" i="7"/>
  <c r="N374" i="7"/>
  <c r="M374" i="7"/>
  <c r="N373" i="7"/>
  <c r="M373" i="7"/>
  <c r="N372" i="7"/>
  <c r="M372" i="7"/>
  <c r="N371" i="7"/>
  <c r="M371" i="7"/>
  <c r="N370" i="7"/>
  <c r="M370" i="7"/>
  <c r="N369" i="7"/>
  <c r="M369" i="7"/>
  <c r="N368" i="7"/>
  <c r="M368" i="7"/>
  <c r="N367" i="7"/>
  <c r="M367" i="7"/>
  <c r="N366" i="7"/>
  <c r="M366" i="7"/>
  <c r="N365" i="7"/>
  <c r="M365" i="7"/>
  <c r="N364" i="7"/>
  <c r="M364" i="7"/>
  <c r="N363" i="7"/>
  <c r="M363" i="7"/>
  <c r="N362" i="7"/>
  <c r="M362" i="7"/>
  <c r="N361" i="7"/>
  <c r="M361" i="7"/>
  <c r="N360" i="7"/>
  <c r="M360" i="7"/>
  <c r="N359" i="7"/>
  <c r="M359" i="7"/>
  <c r="N358" i="7"/>
  <c r="M358" i="7"/>
  <c r="N357" i="7"/>
  <c r="M357" i="7"/>
  <c r="N356" i="7"/>
  <c r="M356" i="7"/>
  <c r="M355" i="7"/>
  <c r="M354" i="7"/>
  <c r="M353" i="7"/>
  <c r="M352" i="7"/>
  <c r="M351" i="7"/>
  <c r="M350" i="7"/>
  <c r="M349" i="7"/>
  <c r="M348" i="7"/>
  <c r="M347" i="7"/>
  <c r="M346" i="7"/>
  <c r="M345" i="7"/>
  <c r="M344" i="7"/>
  <c r="M343" i="7"/>
  <c r="M342" i="7"/>
  <c r="M341" i="7"/>
  <c r="M340" i="7"/>
  <c r="M339" i="7"/>
  <c r="M338" i="7"/>
  <c r="M337" i="7"/>
  <c r="M336" i="7"/>
  <c r="M335" i="7"/>
  <c r="M334" i="7"/>
  <c r="M333" i="7"/>
  <c r="M332" i="7"/>
  <c r="M331" i="7"/>
  <c r="M330" i="7"/>
  <c r="M329" i="7"/>
  <c r="M328" i="7"/>
  <c r="M327" i="7"/>
  <c r="M326" i="7"/>
  <c r="M325" i="7"/>
  <c r="M324" i="7"/>
  <c r="M323" i="7"/>
  <c r="M322" i="7"/>
  <c r="M321" i="7"/>
  <c r="M320" i="7"/>
  <c r="M319" i="7"/>
  <c r="M318" i="7"/>
  <c r="M317" i="7"/>
  <c r="M316" i="7"/>
  <c r="M315" i="7"/>
  <c r="M314" i="7"/>
  <c r="M313" i="7"/>
  <c r="M312" i="7"/>
  <c r="M311" i="7"/>
  <c r="M310" i="7"/>
  <c r="M309" i="7"/>
  <c r="M308" i="7"/>
  <c r="M307" i="7"/>
  <c r="M306" i="7"/>
  <c r="M305" i="7"/>
  <c r="M304" i="7"/>
  <c r="M303" i="7"/>
  <c r="M302" i="7"/>
  <c r="M301" i="7"/>
  <c r="M300" i="7"/>
  <c r="M299" i="7"/>
  <c r="M298" i="7"/>
  <c r="M297" i="7"/>
  <c r="M296" i="7"/>
  <c r="M295" i="7"/>
  <c r="M294" i="7"/>
  <c r="M293" i="7"/>
  <c r="M292" i="7"/>
  <c r="M291" i="7"/>
  <c r="M290" i="7"/>
  <c r="M289" i="7"/>
  <c r="M288" i="7"/>
  <c r="M287" i="7"/>
  <c r="M286" i="7"/>
  <c r="M285" i="7"/>
  <c r="M284" i="7"/>
  <c r="M283" i="7"/>
  <c r="M282" i="7"/>
  <c r="M281" i="7"/>
  <c r="M280" i="7"/>
  <c r="M279" i="7"/>
  <c r="M278" i="7"/>
  <c r="M277" i="7"/>
  <c r="M276" i="7"/>
  <c r="M275" i="7"/>
  <c r="M274" i="7"/>
  <c r="M273" i="7"/>
  <c r="M272" i="7"/>
  <c r="M271" i="7"/>
  <c r="M270" i="7"/>
  <c r="M269" i="7"/>
  <c r="M268" i="7"/>
  <c r="M267" i="7"/>
  <c r="M266" i="7"/>
  <c r="M265" i="7"/>
  <c r="M264" i="7"/>
  <c r="M263" i="7"/>
  <c r="M262" i="7"/>
  <c r="M261" i="7"/>
  <c r="M260" i="7"/>
  <c r="M259" i="7"/>
  <c r="M258" i="7"/>
  <c r="M257" i="7"/>
  <c r="M256" i="7"/>
  <c r="M255" i="7"/>
  <c r="M254" i="7"/>
  <c r="M253" i="7"/>
  <c r="M252" i="7"/>
  <c r="M251" i="7"/>
  <c r="M250" i="7"/>
  <c r="M249" i="7"/>
  <c r="M248" i="7"/>
  <c r="M247" i="7"/>
  <c r="M246" i="7"/>
  <c r="M245" i="7"/>
  <c r="M244" i="7"/>
  <c r="M243" i="7"/>
  <c r="M242" i="7"/>
  <c r="M241" i="7"/>
  <c r="M240" i="7"/>
  <c r="M239" i="7"/>
  <c r="M238" i="7"/>
  <c r="M237" i="7"/>
  <c r="M236" i="7"/>
  <c r="M235" i="7"/>
  <c r="M234" i="7"/>
  <c r="M233" i="7"/>
  <c r="M232" i="7"/>
  <c r="M231" i="7"/>
  <c r="M230" i="7"/>
  <c r="M229" i="7"/>
  <c r="M228" i="7"/>
  <c r="M227" i="7"/>
  <c r="M226" i="7"/>
  <c r="M225" i="7"/>
  <c r="M224" i="7"/>
  <c r="M223" i="7"/>
  <c r="M222" i="7"/>
  <c r="M221" i="7"/>
  <c r="M220" i="7"/>
  <c r="M219" i="7"/>
  <c r="M218" i="7"/>
  <c r="M217" i="7"/>
  <c r="M216" i="7"/>
  <c r="M215" i="7"/>
  <c r="M214" i="7"/>
  <c r="M213" i="7"/>
  <c r="M212" i="7"/>
  <c r="M211" i="7"/>
  <c r="M210" i="7"/>
  <c r="M209" i="7"/>
  <c r="M208" i="7"/>
  <c r="M207" i="7"/>
  <c r="M206" i="7"/>
  <c r="M205" i="7"/>
  <c r="M204" i="7"/>
  <c r="M203" i="7"/>
  <c r="M202" i="7"/>
  <c r="M201" i="7"/>
  <c r="M200" i="7"/>
  <c r="N199" i="7"/>
  <c r="M199" i="7"/>
  <c r="N198" i="7"/>
  <c r="M198" i="7"/>
  <c r="N197" i="7"/>
  <c r="M197" i="7"/>
  <c r="N196" i="7"/>
  <c r="M196" i="7"/>
  <c r="N195" i="7"/>
  <c r="M195" i="7"/>
  <c r="N194" i="7"/>
  <c r="M194" i="7"/>
  <c r="N193" i="7"/>
  <c r="M193" i="7"/>
  <c r="N192" i="7"/>
  <c r="M192" i="7"/>
  <c r="N191" i="7"/>
  <c r="M191" i="7"/>
  <c r="N190" i="7"/>
  <c r="M190" i="7"/>
  <c r="N189" i="7"/>
  <c r="M189" i="7"/>
  <c r="N188" i="7"/>
  <c r="M188" i="7"/>
  <c r="N187" i="7"/>
  <c r="M187" i="7"/>
  <c r="N186" i="7"/>
  <c r="M186" i="7"/>
  <c r="N185" i="7"/>
  <c r="M185" i="7"/>
  <c r="N184" i="7"/>
  <c r="M184" i="7"/>
  <c r="N183" i="7"/>
  <c r="M183" i="7"/>
  <c r="N182" i="7"/>
  <c r="M182" i="7"/>
  <c r="N181" i="7"/>
  <c r="M181" i="7"/>
  <c r="N180" i="7"/>
  <c r="M180" i="7"/>
  <c r="N179" i="7"/>
  <c r="M179" i="7"/>
  <c r="N178" i="7"/>
  <c r="M178" i="7"/>
  <c r="N177" i="7"/>
  <c r="M177" i="7"/>
  <c r="N176" i="7"/>
  <c r="M176" i="7"/>
  <c r="N175" i="7"/>
  <c r="M175" i="7"/>
  <c r="N174" i="7"/>
  <c r="M174" i="7"/>
  <c r="N173" i="7"/>
  <c r="M173" i="7"/>
  <c r="N172" i="7"/>
  <c r="M172" i="7"/>
  <c r="N171" i="7"/>
  <c r="M171" i="7"/>
  <c r="N170" i="7"/>
  <c r="M170" i="7"/>
  <c r="N169" i="7"/>
  <c r="M169" i="7"/>
  <c r="N168" i="7"/>
  <c r="M168" i="7"/>
  <c r="N167" i="7"/>
  <c r="M167" i="7"/>
  <c r="M166" i="7"/>
  <c r="M165" i="7"/>
  <c r="M164" i="7"/>
  <c r="M163" i="7"/>
  <c r="M162" i="7"/>
  <c r="M161" i="7"/>
  <c r="M160" i="7"/>
  <c r="M159" i="7"/>
  <c r="M158" i="7"/>
  <c r="M157" i="7"/>
  <c r="M156" i="7"/>
  <c r="M155" i="7"/>
  <c r="M154" i="7"/>
  <c r="M153" i="7"/>
  <c r="M152" i="7"/>
  <c r="M151" i="7"/>
  <c r="M150" i="7"/>
  <c r="M149" i="7"/>
  <c r="M148" i="7"/>
  <c r="M147" i="7"/>
  <c r="M146" i="7"/>
  <c r="M145" i="7"/>
  <c r="M144" i="7"/>
  <c r="M143" i="7"/>
  <c r="M142" i="7"/>
  <c r="M141" i="7"/>
  <c r="M140" i="7"/>
  <c r="M139" i="7"/>
  <c r="M138" i="7"/>
  <c r="M137" i="7"/>
  <c r="M136" i="7"/>
  <c r="M135" i="7"/>
  <c r="M134" i="7"/>
  <c r="M133" i="7"/>
  <c r="M132" i="7"/>
  <c r="M131" i="7"/>
  <c r="M130" i="7"/>
  <c r="M129" i="7"/>
  <c r="M128" i="7"/>
  <c r="M127" i="7"/>
  <c r="M126" i="7"/>
  <c r="M125" i="7"/>
  <c r="M124" i="7"/>
  <c r="M123" i="7"/>
  <c r="M122" i="7"/>
  <c r="M121" i="7"/>
  <c r="M120" i="7"/>
  <c r="M119" i="7"/>
  <c r="M118" i="7"/>
  <c r="M117" i="7"/>
  <c r="M116" i="7"/>
  <c r="M115" i="7"/>
  <c r="M114" i="7"/>
  <c r="M113" i="7"/>
  <c r="M112" i="7"/>
  <c r="M111" i="7"/>
  <c r="M110" i="7"/>
  <c r="M109" i="7"/>
  <c r="M108" i="7"/>
  <c r="M107" i="7"/>
  <c r="M106" i="7"/>
  <c r="M105" i="7"/>
  <c r="M104" i="7"/>
  <c r="M103" i="7"/>
  <c r="M102" i="7"/>
  <c r="M101" i="7"/>
  <c r="M100" i="7"/>
  <c r="M99" i="7"/>
  <c r="M98" i="7"/>
  <c r="M97" i="7"/>
  <c r="M96" i="7"/>
  <c r="M95" i="7"/>
  <c r="M94" i="7"/>
  <c r="M93" i="7"/>
  <c r="M92" i="7"/>
  <c r="M91" i="7"/>
  <c r="M90" i="7"/>
  <c r="M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C48" i="6"/>
  <c r="D48" i="6"/>
  <c r="E48" i="6"/>
  <c r="F48" i="6"/>
  <c r="G48" i="6"/>
  <c r="H48" i="6"/>
  <c r="I48" i="6"/>
  <c r="B55" i="6"/>
  <c r="B58" i="6" s="1"/>
  <c r="C55" i="6"/>
  <c r="C58" i="6" s="1"/>
  <c r="D55" i="6"/>
  <c r="D58" i="6" s="1"/>
  <c r="E55" i="6"/>
  <c r="E58" i="6" s="1"/>
  <c r="F55" i="6"/>
  <c r="F58" i="6" s="1"/>
  <c r="G55" i="6"/>
  <c r="G58" i="6" s="1"/>
  <c r="H55" i="6"/>
  <c r="H58" i="6" s="1"/>
  <c r="I55" i="6"/>
  <c r="I58" i="6" s="1"/>
  <c r="B56" i="6"/>
  <c r="C56" i="6"/>
  <c r="D56" i="6"/>
  <c r="E56" i="6"/>
  <c r="F56" i="6"/>
  <c r="G56" i="6"/>
  <c r="H56" i="6"/>
  <c r="I56" i="6"/>
  <c r="B57" i="6"/>
  <c r="C57" i="6"/>
  <c r="D57" i="6"/>
  <c r="E57" i="6"/>
  <c r="F57" i="6"/>
  <c r="G57" i="6"/>
  <c r="H57" i="6"/>
  <c r="I57" i="6"/>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6"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7"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7" authorId="1">
      <text>
        <r>
          <rPr>
            <b/>
            <sz val="9"/>
            <color indexed="81"/>
            <rFont val="Tahoma"/>
            <family val="2"/>
          </rPr>
          <t xml:space="preserve">The name of the sampling location or site number (from the official ARC LTER site list) see the "ARC LTER sites" worksheet Or enter a new site here.
</t>
        </r>
      </text>
    </comment>
    <comment ref="A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8"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1"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3"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5"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6"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7"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8" authorId="1">
      <text>
        <r>
          <rPr>
            <b/>
            <sz val="9"/>
            <color indexed="81"/>
            <rFont val="Tahoma"/>
            <family val="2"/>
          </rPr>
          <t>This link is generated by a formula using the lat long.  It's a way oc checking the values entered.</t>
        </r>
      </text>
    </comment>
    <comment ref="A61"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1"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4"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4"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7"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211"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212" authorId="0">
      <text>
        <r>
          <rPr>
            <b/>
            <sz val="8"/>
            <color indexed="81"/>
            <rFont val="Tahoma"/>
            <family val="2"/>
          </rPr>
          <t>List the URL to an online protocol document.</t>
        </r>
      </text>
    </comment>
    <comment ref="A214" authorId="0">
      <text>
        <r>
          <rPr>
            <b/>
            <sz val="8"/>
            <color indexed="81"/>
            <rFont val="Tahoma"/>
            <family val="2"/>
          </rPr>
          <t>Describe the protocol used. Be as complete as possible.  Include any references and deviations used from references.</t>
        </r>
      </text>
    </comment>
    <comment ref="A221" authorId="3">
      <text>
        <r>
          <rPr>
            <b/>
            <sz val="8"/>
            <color indexed="81"/>
            <rFont val="Tahoma"/>
            <family val="2"/>
          </rPr>
          <t>This section describes the variables in the data set. Please be as complete as necessary.</t>
        </r>
      </text>
    </comment>
    <comment ref="A222"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222" authorId="3">
      <text>
        <r>
          <rPr>
            <b/>
            <sz val="8"/>
            <color indexed="81"/>
            <rFont val="Tahoma"/>
            <family val="2"/>
          </rPr>
          <t>Variable Description is an explanation of what the Variable represents. 
Include details about the units, e.g. microgram of NH4-N per gram of oven dried soil.</t>
        </r>
      </text>
    </comment>
    <comment ref="C22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22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222"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22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222" authorId="0">
      <text>
        <r>
          <rPr>
            <b/>
            <sz val="8"/>
            <color indexed="81"/>
            <rFont val="Tahoma"/>
            <family val="2"/>
          </rPr>
          <t>Indicate the code used for missing values, e.g. blanks or -99999</t>
        </r>
      </text>
    </comment>
    <comment ref="A223"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223" authorId="3">
      <text>
        <r>
          <rPr>
            <b/>
            <sz val="8"/>
            <color indexed="81"/>
            <rFont val="Tahoma"/>
            <family val="2"/>
          </rPr>
          <t>Variable Description is an explanation of what the Variable represents. 
Include details about the units, e.g. microgram of NH4-N per gram of oven dried soil.</t>
        </r>
      </text>
    </comment>
    <comment ref="C223"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223"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223"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223"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223" authorId="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<sst xmlns="http://schemas.openxmlformats.org/spreadsheetml/2006/main" count="5765" uniqueCount="1640">
  <si>
    <t>Field code</t>
  </si>
  <si>
    <t>Site number</t>
  </si>
  <si>
    <t>122, ARF-B</t>
  </si>
  <si>
    <t>Pre-fire SOL depth</t>
  </si>
  <si>
    <t>Post-fire SOL depth</t>
  </si>
  <si>
    <t>Pre-fire plant C</t>
  </si>
  <si>
    <t>Pre-fire plant N</t>
  </si>
  <si>
    <t>Pre-fire SOL C</t>
  </si>
  <si>
    <t>Pre-fire SOL N</t>
  </si>
  <si>
    <t>Pre-fire total Ecosystem C</t>
  </si>
  <si>
    <t>Pre-fire total ecosystem N</t>
  </si>
  <si>
    <t>SOL depth loss</t>
  </si>
  <si>
    <t>Plant C lost</t>
  </si>
  <si>
    <t>Plant N lost</t>
  </si>
  <si>
    <t>SOL C lost</t>
  </si>
  <si>
    <t>SOL N lost</t>
  </si>
  <si>
    <t>Total ecosystem C lost</t>
  </si>
  <si>
    <t>Total ecosystem N lost</t>
  </si>
  <si>
    <t>State</t>
  </si>
  <si>
    <t>Burned</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</si>
  <si>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</si>
  <si>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</si>
  <si>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</si>
  <si>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</si>
  <si>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</si>
  <si>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</si>
  <si>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</si>
  <si>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</si>
  <si>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</si>
  <si>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</si>
  <si>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</si>
  <si>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</si>
  <si>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</si>
  <si>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</si>
  <si>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</si>
  <si>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</si>
  <si>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</si>
  <si>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</si>
  <si>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Associated Researcher </t>
  </si>
  <si>
    <t>Email</t>
  </si>
  <si>
    <t>mcmack@ufl.edu</t>
  </si>
  <si>
    <t xml:space="preserve">First Name  </t>
  </si>
  <si>
    <t>Michelle</t>
  </si>
  <si>
    <t xml:space="preserve">Last Name  </t>
  </si>
  <si>
    <t>Mack</t>
  </si>
  <si>
    <t>Organization</t>
  </si>
  <si>
    <t>University of Florida</t>
  </si>
  <si>
    <t>Address line 2</t>
  </si>
  <si>
    <t>220 Bartram Hall</t>
  </si>
  <si>
    <t>Address line 3</t>
  </si>
  <si>
    <t>Department of Biology</t>
  </si>
  <si>
    <t xml:space="preserve"> City  </t>
  </si>
  <si>
    <t>Gainesville</t>
  </si>
  <si>
    <t xml:space="preserve">State  </t>
  </si>
  <si>
    <t>FL</t>
  </si>
  <si>
    <t xml:space="preserve">Zip Code  </t>
  </si>
  <si>
    <t>32611</t>
  </si>
  <si>
    <t>Country</t>
  </si>
  <si>
    <t>USA</t>
  </si>
  <si>
    <t xml:space="preserve">DATA FILE INFORMATION: </t>
  </si>
  <si>
    <t>Data File URL</t>
  </si>
  <si>
    <t>Data File Name</t>
  </si>
  <si>
    <t>Beginning Date</t>
  </si>
  <si>
    <t>End Date</t>
  </si>
  <si>
    <t>Number of Data Records</t>
  </si>
  <si>
    <t>Other Files to Reference</t>
  </si>
  <si>
    <t>Availability Status</t>
  </si>
  <si>
    <t>Manuscript in press at Nature, data embargoed until publication</t>
  </si>
  <si>
    <t>Quality Control Information</t>
  </si>
  <si>
    <t>Maintenance Description</t>
  </si>
  <si>
    <t>Log of Changes:</t>
  </si>
  <si>
    <t>Note you can add more sites.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</si>
  <si>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</si>
  <si>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</si>
  <si>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</si>
  <si>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</si>
  <si>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</si>
  <si>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</si>
  <si>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</si>
  <si>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</si>
  <si>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</si>
  <si>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</si>
  <si>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</si>
  <si>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TAXONOMIC COVERAGE:</t>
  </si>
  <si>
    <t>Organisms studied</t>
  </si>
  <si>
    <t xml:space="preserve">Example:  Eriophorum; Betula nana; Carex aquatilis var. aquatilis; Carex atlantica ssp. atlantica </t>
  </si>
  <si>
    <t>KEYWORD INFORMATION</t>
  </si>
  <si>
    <t xml:space="preserve">KEYWORDS: </t>
  </si>
  <si>
    <t xml:space="preserve">METHODS: </t>
  </si>
  <si>
    <t>Sampling and/or Lab Protocols</t>
  </si>
  <si>
    <t>Protocol Title</t>
  </si>
  <si>
    <t>URL of online Protocol</t>
  </si>
  <si>
    <t>Not yet available; online supplement for Nature paper</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</si>
  <si>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</si>
  <si>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</si>
  <si>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</si>
  <si>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</si>
  <si>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</si>
  <si>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</si>
  <si>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</si>
  <si>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</si>
  <si>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</si>
  <si>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</si>
  <si>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</si>
  <si>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</si>
  <si>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</si>
  <si>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</si>
  <si>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Burned or unburned status of site</t>
  </si>
  <si>
    <t>text</t>
  </si>
  <si>
    <t xml:space="preserve"> </t>
  </si>
  <si>
    <t>number</t>
  </si>
  <si>
    <t>datetime</t>
  </si>
  <si>
    <t>ampere</t>
  </si>
  <si>
    <t>interval</t>
  </si>
  <si>
    <t>amperePerMeter</t>
  </si>
  <si>
    <t>degree</t>
  </si>
  <si>
    <t xml:space="preserve">Data Manager </t>
  </si>
  <si>
    <t>nominal</t>
  </si>
  <si>
    <t>amperePerMeterSquared</t>
  </si>
  <si>
    <t xml:space="preserve">Field Crew </t>
  </si>
  <si>
    <t>ordinal</t>
  </si>
  <si>
    <t>angstrom</t>
  </si>
  <si>
    <t>meter</t>
  </si>
  <si>
    <t xml:space="preserve">Lab Crew </t>
  </si>
  <si>
    <t>ratio</t>
  </si>
  <si>
    <t>atmosphere</t>
  </si>
  <si>
    <t>bar</t>
  </si>
  <si>
    <t>becquerel</t>
  </si>
  <si>
    <t>dimensionless</t>
  </si>
  <si>
    <t>becquerelPerGram</t>
  </si>
  <si>
    <t>centimeter</t>
  </si>
  <si>
    <t>becquerelPerMilliliter</t>
  </si>
  <si>
    <t>calorie</t>
  </si>
  <si>
    <t>candela</t>
  </si>
  <si>
    <t>candelaPerMeterSquared</t>
  </si>
  <si>
    <t>celsius</t>
  </si>
  <si>
    <t>centigram</t>
  </si>
  <si>
    <t>numberPerMeterSquared</t>
  </si>
  <si>
    <t>centimeterCubedPerCentimeterCubed</t>
  </si>
  <si>
    <t>centimeterPerSecond</t>
  </si>
  <si>
    <t>percent</t>
  </si>
  <si>
    <t>coulomb</t>
  </si>
  <si>
    <t>decibar</t>
  </si>
  <si>
    <t>decigram</t>
  </si>
  <si>
    <t>decimeter</t>
  </si>
  <si>
    <t>decisecond</t>
  </si>
  <si>
    <t>disintegrationPerMinute</t>
  </si>
  <si>
    <t>gram</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</si>
  <si>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</si>
  <si>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</si>
  <si>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</si>
  <si>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</si>
  <si>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</si>
  <si>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</si>
  <si>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</si>
  <si>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</si>
  <si>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</si>
  <si>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</si>
  <si>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</si>
  <si>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</si>
  <si>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</si>
  <si>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</si>
  <si>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</si>
  <si>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</si>
  <si>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</si>
  <si>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</si>
  <si>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</si>
  <si>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</si>
  <si>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</si>
  <si>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</si>
  <si>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</si>
  <si>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</si>
  <si>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</si>
  <si>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</si>
  <si>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</si>
  <si>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</si>
  <si>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</si>
  <si>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</si>
  <si>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</si>
  <si>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</si>
  <si>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</si>
  <si>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</si>
  <si>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</si>
  <si>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</si>
  <si>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</si>
  <si>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</si>
  <si>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</si>
  <si>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</si>
  <si>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</si>
  <si>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</si>
  <si>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</si>
  <si>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</si>
  <si>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</si>
  <si>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</si>
  <si>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</si>
  <si>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</si>
  <si>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</si>
  <si>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</si>
  <si>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</si>
  <si>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</si>
  <si>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</si>
  <si>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</si>
  <si>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megameter</t>
  </si>
  <si>
    <t>megapascal</t>
  </si>
  <si>
    <t>megasecond</t>
  </si>
  <si>
    <t>megavolt</t>
  </si>
  <si>
    <t>megawatt</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</si>
  <si>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</si>
  <si>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</si>
  <si>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</si>
  <si>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</si>
  <si>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</si>
  <si>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</si>
  <si>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</si>
  <si>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</si>
  <si>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</si>
  <si>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</si>
  <si>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</si>
  <si>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</si>
  <si>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</si>
  <si>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</si>
  <si>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</si>
  <si>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</si>
  <si>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</si>
  <si>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</si>
  <si>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</si>
  <si>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</si>
  <si>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</si>
  <si>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</si>
  <si>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</si>
  <si>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</si>
  <si>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</si>
  <si>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</si>
  <si>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</si>
  <si>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</si>
  <si>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</si>
  <si>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</si>
  <si>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</si>
  <si>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micromolePerGram</t>
  </si>
  <si>
    <t>micromolePerKilogram</t>
  </si>
  <si>
    <t>micromolePerLiter</t>
  </si>
  <si>
    <t>micromolePerMeterSquaredPerSecond</t>
  </si>
  <si>
    <t>micromolePerMeterSquaredPerMinute</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</si>
  <si>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</si>
  <si>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</si>
  <si>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</si>
  <si>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</si>
  <si>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</si>
  <si>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</si>
  <si>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</si>
  <si>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</si>
  <si>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</si>
  <si>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</si>
  <si>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</si>
  <si>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</si>
  <si>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</si>
  <si>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</si>
  <si>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</si>
  <si>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</si>
  <si>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</si>
  <si>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</si>
  <si>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</si>
  <si>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</si>
  <si>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</si>
  <si>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</si>
  <si>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</si>
  <si>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</si>
  <si>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</si>
  <si>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</si>
  <si>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</si>
  <si>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</si>
  <si>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</si>
  <si>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</si>
  <si>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</si>
  <si>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</si>
  <si>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</si>
  <si>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</si>
  <si>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</si>
  <si>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</si>
  <si>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</si>
  <si>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</si>
  <si>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</si>
  <si>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</si>
  <si>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</si>
  <si>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</si>
  <si>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</si>
  <si>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</si>
  <si>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</si>
  <si>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</si>
  <si>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</si>
  <si>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numberPerCentimeterSquaredPerHour</t>
  </si>
  <si>
    <t>numberPerGram</t>
  </si>
  <si>
    <t>numberPerKilometerSquared</t>
  </si>
  <si>
    <t>numberPerLiter</t>
  </si>
  <si>
    <t>numberPerMeterCubed</t>
  </si>
  <si>
    <t>numberPerMilliliter</t>
  </si>
  <si>
    <t>ohm</t>
  </si>
  <si>
    <t>ohmMeter</t>
  </si>
  <si>
    <t>partPerMillion</t>
  </si>
  <si>
    <t>partPerThousand</t>
  </si>
  <si>
    <t>pascal</t>
  </si>
  <si>
    <t>picomolePerLiter</t>
  </si>
  <si>
    <t>picomolePerLiterPerHour</t>
  </si>
  <si>
    <t>radian</t>
  </si>
  <si>
    <t>second</t>
  </si>
  <si>
    <t>siemenPerMeter</t>
  </si>
  <si>
    <t>siemens</t>
  </si>
  <si>
    <t>tesla</t>
  </si>
  <si>
    <t>tonne</t>
  </si>
  <si>
    <t>tonnePerHectare</t>
  </si>
  <si>
    <t>tonnePerYear</t>
  </si>
  <si>
    <t>volt</t>
  </si>
  <si>
    <t>watt</t>
  </si>
  <si>
    <t>wattPerMeterSquared</t>
  </si>
  <si>
    <t>waveNumber</t>
  </si>
  <si>
    <t>weber</t>
  </si>
  <si>
    <t>Estimates of C and N loss from moist acidic tundra sites burned in the 2007 Anaktuvuk River Fire.</t>
  </si>
  <si>
    <t>Anaktuvuk River Fire scar (2007)</t>
  </si>
  <si>
    <t>Soil organic layer, carbon and nitrogen pools, carbon and nitrogen loss</t>
  </si>
  <si>
    <t>Sites are individually numbered</t>
  </si>
  <si>
    <t>Site code assigned in field sampling</t>
  </si>
  <si>
    <t>Mean estimated depth of soil organic layer before fire</t>
  </si>
  <si>
    <t>Mean depth of soil organic layer measured in site after fire, summer 2008</t>
  </si>
  <si>
    <t>Mean estimated plant carbon pools before fire</t>
  </si>
  <si>
    <t>Mean estimated plant nitrogen pools before fire</t>
  </si>
  <si>
    <t>Mean estimated soil organic layer carbon pools before fire</t>
  </si>
  <si>
    <t>Mean estimated soil organic layer nitrogen pools before fire</t>
  </si>
  <si>
    <t>Mean estimated total ecosystem carbon pools before fire</t>
  </si>
  <si>
    <t>Mean estimated total ecosystem nitrogen pools before fire</t>
  </si>
  <si>
    <t>Mean estimated loss of soil organic layer depth during fire</t>
  </si>
  <si>
    <t>Mean estimated loss of plant carbon pool during fire</t>
  </si>
  <si>
    <t>Mean estimated loss of plant nitrogen pool during fire</t>
  </si>
  <si>
    <t>Mean estimated loss of soil organic layer carbon pool during fire</t>
  </si>
  <si>
    <t>Mean estimated loss of soil organnic layer nitrogen pool during fire</t>
  </si>
  <si>
    <t>Mean estimated loss of ecosystem carbon pool during fire</t>
  </si>
  <si>
    <t>Mean estimated loss of ecosystem nitrogen pool during fire</t>
  </si>
  <si>
    <t>2008_MCM_ARFloss.xls</t>
  </si>
  <si>
    <t>2008_MCM_ARFsites.xls,2008_MCM_ARF14C.xls, 2008_MCM_ARFsoilCN.xls</t>
  </si>
  <si>
    <t>Version 1: checked and generated EML and Web files.  Jim L 12Jul2011</t>
  </si>
  <si>
    <t>http://metacat.lternet.edu/das/dataAccessServlet?docid=knb-lter-arc.10126&amp;amp;urlTail=burn/terrestrial/data/2008_MCM_ARFloss.csv</t>
  </si>
  <si>
    <t xml:space="preserve">Version 2: Updated to newer metadata form (with sites sheet). Fixed discrepency with variable names. Units updated to current standards. CH March 2013. </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</si>
  <si>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</si>
  <si>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</si>
  <si>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</si>
  <si>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</si>
  <si>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</si>
  <si>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</si>
  <si>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</si>
  <si>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</si>
  <si>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</si>
  <si>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</si>
  <si>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</si>
  <si>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</si>
  <si>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</si>
  <si>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</si>
  <si>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</si>
  <si>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</si>
  <si>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</si>
  <si>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centisecond</t>
  </si>
  <si>
    <t>centimolePerKilogram</t>
  </si>
  <si>
    <t>centimeterSquaredPerGram</t>
  </si>
  <si>
    <t>centimeterSquaredPerFourHundredthMeterSquared</t>
  </si>
  <si>
    <t>centimeterSquared</t>
  </si>
  <si>
    <t>centimeterPerYear</t>
  </si>
  <si>
    <t>becquerelPerMilligram</t>
  </si>
  <si>
    <t>Link to Google Map</t>
  </si>
  <si>
    <t>Select Site or enter New One</t>
  </si>
  <si>
    <t>Location Name</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</si>
  <si>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</si>
  <si>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</si>
  <si>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</si>
  <si>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</si>
  <si>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</si>
  <si>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</si>
  <si>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</si>
  <si>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</si>
  <si>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</si>
  <si>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</si>
  <si>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</si>
  <si>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</si>
  <si>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</si>
  <si>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 xml:space="preserve">Severe burn flux Tower </t>
  </si>
  <si>
    <t>Anaktuvuk River Fire - Severe burn flux tower (Station 2304 ) North Slope, Alaska</t>
  </si>
  <si>
    <t/>
  </si>
  <si>
    <t>Terrestrial</t>
  </si>
  <si>
    <t>Landscapes_Shaver</t>
  </si>
  <si>
    <t>Moderate burn flux tower</t>
  </si>
  <si>
    <t>Anaktuvuk River Fire - Moderate burn flux tower (Station 2308 ) North Slope, Alaska</t>
  </si>
  <si>
    <t>Unburned flux tower</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</si>
  <si>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</si>
  <si>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</si>
  <si>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</si>
  <si>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</si>
  <si>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</si>
  <si>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</si>
  <si>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</si>
  <si>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</si>
  <si>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</si>
  <si>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</si>
  <si>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</si>
  <si>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</si>
  <si>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</si>
  <si>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</si>
  <si>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</si>
  <si>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</si>
  <si>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</si>
  <si>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</si>
  <si>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</si>
  <si>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</si>
  <si>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</si>
  <si>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</si>
  <si>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</si>
  <si>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</si>
  <si>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</si>
  <si>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</si>
  <si>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</si>
  <si>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</si>
  <si>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</si>
  <si>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</si>
  <si>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</si>
  <si>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</si>
  <si>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</si>
  <si>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</si>
  <si>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</si>
  <si>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</si>
  <si>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</si>
  <si>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</si>
  <si>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</si>
  <si>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</si>
  <si>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</si>
  <si>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</si>
  <si>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</si>
  <si>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</si>
  <si>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</si>
  <si>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</si>
  <si>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</si>
  <si>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</si>
  <si>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</si>
  <si>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</si>
  <si>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</si>
  <si>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</si>
  <si>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</si>
  <si>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</si>
  <si>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</si>
  <si>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</si>
  <si>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</si>
  <si>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</si>
  <si>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</si>
  <si>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</si>
  <si>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</si>
  <si>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</si>
  <si>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</si>
  <si>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</si>
  <si>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</si>
  <si>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</si>
  <si>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</si>
  <si>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</si>
  <si>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</si>
  <si>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</si>
  <si>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</si>
  <si>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</si>
  <si>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</si>
  <si>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</si>
  <si>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</si>
  <si>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</si>
  <si>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</si>
  <si>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</si>
  <si>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</si>
  <si>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</si>
  <si>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</si>
  <si>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</si>
  <si>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</si>
  <si>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</si>
  <si>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</si>
  <si>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</si>
  <si>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</si>
  <si>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</si>
  <si>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</si>
  <si>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</si>
  <si>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</si>
  <si>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</si>
  <si>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</si>
  <si>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</si>
  <si>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</si>
  <si>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</si>
  <si>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</si>
  <si>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</si>
  <si>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</si>
  <si>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</si>
  <si>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</si>
  <si>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</si>
  <si>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</si>
  <si>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</si>
  <si>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</si>
  <si>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</si>
  <si>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</si>
  <si>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</si>
  <si>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</si>
  <si>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</si>
  <si>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</si>
  <si>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</si>
  <si>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</si>
  <si>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</si>
  <si>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</si>
  <si>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</si>
  <si>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</si>
  <si>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</si>
  <si>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</si>
  <si>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</si>
  <si>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</si>
  <si>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</si>
  <si>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</si>
  <si>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</si>
  <si>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</si>
  <si>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</si>
  <si>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</si>
  <si>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</si>
  <si>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</si>
  <si>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</si>
  <si>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</si>
  <si>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</si>
  <si>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</si>
  <si>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</si>
  <si>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</si>
  <si>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</si>
  <si>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</si>
  <si>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</si>
  <si>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</si>
  <si>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</si>
  <si>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</si>
  <si>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</si>
  <si>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</si>
  <si>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</si>
  <si>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</si>
  <si>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</si>
  <si>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</si>
  <si>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</si>
  <si>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</si>
  <si>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</si>
  <si>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</si>
  <si>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</si>
  <si>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</si>
  <si>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</si>
  <si>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</si>
  <si>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</si>
  <si>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</si>
  <si>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</si>
  <si>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</si>
  <si>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</si>
  <si>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</si>
  <si>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</si>
  <si>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</si>
  <si>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</si>
  <si>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</si>
  <si>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</si>
  <si>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</si>
  <si>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</si>
  <si>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</si>
  <si>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</si>
  <si>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</si>
  <si>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</si>
  <si>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</si>
  <si>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</si>
  <si>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</si>
  <si>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</si>
  <si>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</si>
  <si>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</si>
  <si>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</si>
  <si>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</si>
  <si>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</si>
  <si>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</si>
  <si>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</si>
  <si>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</si>
  <si>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</si>
  <si>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</si>
  <si>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</si>
  <si>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</si>
  <si>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</si>
  <si>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</si>
  <si>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</si>
  <si>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</si>
  <si>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</si>
  <si>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</si>
  <si>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</si>
  <si>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</si>
  <si>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</si>
  <si>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</si>
  <si>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</si>
  <si>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</si>
  <si>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</si>
  <si>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</si>
  <si>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</si>
  <si>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</si>
  <si>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</si>
  <si>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</si>
  <si>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</si>
  <si>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</si>
  <si>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</si>
  <si>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</si>
  <si>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</si>
  <si>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</si>
  <si>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</si>
  <si>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</si>
  <si>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</si>
  <si>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</si>
  <si>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</si>
  <si>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</si>
  <si>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</si>
  <si>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</si>
  <si>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</si>
  <si>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</si>
  <si>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</si>
  <si>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</si>
  <si>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</si>
  <si>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</si>
  <si>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</si>
  <si>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</si>
  <si>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</si>
  <si>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</si>
  <si>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</si>
  <si>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</si>
  <si>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</si>
  <si>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</si>
  <si>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</si>
  <si>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</si>
  <si>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</si>
  <si>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</si>
  <si>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</si>
  <si>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</si>
  <si>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</si>
  <si>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</si>
  <si>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</si>
  <si>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</si>
  <si>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</si>
  <si>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</si>
  <si>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</si>
  <si>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</si>
  <si>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</si>
  <si>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</si>
  <si>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</si>
  <si>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</si>
  <si>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</si>
  <si>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</si>
  <si>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</si>
  <si>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</si>
  <si>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</si>
  <si>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</si>
  <si>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</si>
  <si>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</si>
  <si>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</si>
  <si>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</si>
  <si>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</si>
  <si>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</si>
  <si>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</si>
  <si>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</si>
  <si>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</si>
  <si>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</si>
  <si>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</si>
  <si>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</si>
  <si>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</si>
  <si>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</si>
  <si>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</si>
  <si>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</si>
  <si>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</si>
  <si>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</si>
  <si>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</si>
  <si>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</si>
  <si>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</si>
  <si>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</si>
  <si>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</si>
  <si>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</si>
  <si>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</si>
  <si>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</si>
  <si>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</si>
  <si>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</si>
  <si>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</si>
  <si>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</si>
  <si>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</si>
  <si>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</si>
  <si>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</si>
  <si>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</si>
  <si>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</si>
  <si>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</si>
  <si>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</si>
  <si>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</si>
  <si>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</si>
  <si>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</si>
  <si>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</si>
  <si>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</si>
  <si>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</si>
  <si>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</si>
  <si>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</si>
  <si>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</si>
  <si>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</si>
  <si>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</si>
  <si>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</si>
  <si>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</si>
  <si>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</si>
  <si>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</si>
  <si>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</si>
  <si>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</si>
  <si>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</si>
  <si>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</si>
  <si>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</si>
  <si>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</si>
  <si>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</si>
  <si>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</si>
  <si>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</si>
  <si>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</si>
  <si>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</si>
  <si>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</si>
  <si>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</si>
  <si>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</si>
  <si>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</si>
  <si>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</si>
  <si>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</si>
  <si>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</si>
  <si>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</si>
  <si>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</si>
  <si>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</si>
  <si>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</si>
  <si>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</si>
  <si>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</si>
  <si>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</si>
  <si>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</si>
  <si>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</si>
  <si>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</si>
  <si>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</si>
  <si>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</si>
  <si>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</si>
  <si>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</si>
  <si>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</si>
  <si>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</si>
  <si>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</si>
  <si>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</si>
  <si>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</si>
  <si>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</si>
  <si>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</si>
  <si>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</si>
  <si>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</si>
  <si>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</si>
  <si>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</si>
  <si>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</si>
  <si>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</si>
  <si>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</si>
  <si>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</si>
  <si>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</si>
  <si>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</si>
  <si>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</si>
  <si>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</si>
  <si>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</si>
  <si>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</si>
  <si>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</si>
  <si>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</si>
  <si>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</si>
  <si>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</si>
  <si>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</si>
  <si>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</si>
  <si>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</si>
  <si>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</si>
  <si>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</si>
  <si>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</si>
  <si>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</si>
  <si>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</si>
  <si>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</si>
  <si>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</si>
  <si>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</si>
  <si>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</si>
  <si>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</si>
  <si>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</si>
  <si>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</si>
  <si>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</si>
  <si>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</si>
  <si>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</si>
  <si>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</si>
  <si>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</si>
  <si>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</si>
  <si>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</si>
  <si>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</si>
  <si>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</si>
  <si>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</si>
  <si>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</si>
  <si>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</si>
  <si>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</si>
  <si>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</si>
  <si>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</si>
  <si>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</si>
  <si>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</si>
  <si>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</si>
  <si>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</si>
  <si>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</si>
  <si>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</si>
  <si>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</si>
  <si>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</si>
  <si>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</si>
  <si>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</si>
  <si>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</si>
  <si>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</si>
  <si>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</si>
  <si>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</si>
  <si>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</si>
  <si>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</si>
  <si>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</si>
  <si>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</si>
  <si>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</si>
  <si>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</si>
  <si>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</si>
  <si>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</si>
  <si>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</si>
  <si>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</si>
  <si>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</si>
  <si>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</si>
  <si>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</si>
  <si>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</si>
  <si>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</si>
  <si>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</si>
  <si>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</si>
  <si>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</si>
  <si>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</si>
  <si>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</si>
  <si>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</si>
  <si>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</si>
  <si>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</si>
  <si>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</si>
  <si>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</si>
  <si>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</si>
  <si>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</si>
  <si>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</si>
  <si>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</si>
  <si>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</si>
  <si>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</si>
  <si>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</si>
  <si>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</si>
  <si>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</si>
  <si>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</si>
  <si>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</si>
  <si>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</si>
  <si>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</si>
  <si>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</si>
  <si>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</si>
  <si>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</si>
  <si>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</si>
  <si>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</si>
  <si>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</si>
  <si>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</si>
  <si>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</si>
  <si>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</si>
  <si>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</si>
  <si>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</si>
  <si>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</si>
  <si>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</si>
  <si>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</si>
  <si>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</si>
  <si>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</si>
  <si>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</si>
  <si>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</si>
  <si>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</si>
  <si>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</si>
  <si>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</si>
  <si>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</si>
  <si>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</si>
  <si>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</si>
  <si>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</si>
  <si>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</si>
  <si>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</si>
  <si>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</si>
  <si>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</si>
  <si>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</si>
  <si>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</si>
  <si>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</si>
  <si>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</si>
  <si>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</si>
  <si>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</si>
  <si>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</si>
  <si>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</si>
  <si>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</si>
  <si>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</si>
  <si>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</si>
  <si>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</si>
  <si>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</si>
  <si>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</si>
  <si>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</si>
  <si>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</si>
  <si>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</si>
  <si>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</si>
  <si>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</si>
  <si>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</si>
  <si>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</si>
  <si>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</si>
  <si>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</si>
  <si>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</si>
  <si>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</si>
  <si>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</si>
  <si>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</si>
  <si>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</si>
  <si>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</si>
  <si>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</si>
  <si>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</si>
  <si>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</si>
  <si>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</si>
  <si>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</si>
  <si>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</si>
  <si>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</si>
  <si>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</si>
  <si>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</si>
  <si>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</si>
  <si>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</si>
  <si>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</si>
  <si>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</si>
  <si>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</si>
  <si>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</si>
  <si>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</si>
  <si>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</si>
  <si>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</si>
  <si>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</si>
  <si>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</si>
  <si>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</si>
  <si>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</si>
  <si>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</si>
  <si>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</si>
  <si>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</si>
  <si>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</si>
  <si>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</si>
  <si>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</si>
  <si>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</si>
  <si>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</si>
  <si>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</si>
  <si>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</si>
  <si>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</si>
  <si>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</si>
  <si>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</si>
  <si>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</si>
  <si>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</si>
  <si>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</si>
  <si>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</si>
  <si>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</si>
  <si>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</si>
  <si>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</si>
  <si>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</si>
  <si>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</si>
  <si>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</si>
  <si>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</si>
  <si>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</si>
  <si>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</si>
  <si>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</si>
  <si>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</si>
  <si>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</si>
  <si>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</si>
  <si>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</si>
  <si>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</si>
  <si>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</si>
  <si>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</si>
  <si>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</si>
  <si>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</si>
  <si>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</si>
  <si>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</si>
  <si>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</si>
  <si>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</si>
  <si>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</si>
  <si>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</si>
  <si>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</si>
  <si>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</si>
  <si>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</si>
  <si>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</si>
  <si>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</si>
  <si>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</si>
  <si>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</si>
  <si>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</si>
  <si>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</si>
  <si>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</si>
  <si>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</si>
  <si>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</si>
  <si>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</si>
  <si>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</si>
  <si>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</si>
  <si>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</si>
  <si>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</si>
  <si>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</si>
  <si>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</si>
  <si>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</si>
  <si>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</si>
  <si>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</si>
  <si>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</si>
  <si>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</si>
  <si>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</si>
  <si>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</si>
  <si>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</si>
  <si>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</si>
  <si>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</si>
  <si>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</si>
  <si>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</si>
  <si>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</si>
  <si>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</si>
  <si>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</si>
  <si>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</si>
  <si>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</si>
  <si>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</si>
  <si>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</si>
  <si>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</si>
  <si>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</si>
  <si>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</si>
  <si>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</si>
  <si>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</si>
  <si>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</si>
  <si>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</si>
  <si>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</si>
  <si>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</si>
  <si>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</si>
  <si>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</si>
  <si>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</si>
  <si>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</si>
  <si>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</si>
  <si>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</si>
  <si>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</si>
  <si>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</si>
  <si>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</si>
  <si>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</si>
  <si>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</si>
  <si>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</si>
  <si>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</si>
  <si>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</si>
  <si>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</si>
  <si>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</si>
  <si>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</si>
  <si>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</si>
  <si>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</si>
  <si>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</si>
  <si>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</si>
  <si>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</si>
  <si>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</si>
  <si>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</si>
  <si>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</si>
  <si>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</si>
  <si>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</si>
  <si>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</si>
  <si>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</si>
  <si>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</si>
  <si>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</si>
  <si>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</si>
  <si>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</si>
  <si>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</si>
  <si>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</si>
  <si>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</si>
  <si>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</si>
  <si>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</si>
  <si>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</si>
  <si>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</si>
  <si>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</si>
  <si>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</si>
  <si>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</si>
  <si>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</si>
  <si>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</si>
  <si>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</si>
  <si>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</si>
  <si>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</si>
  <si>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</si>
  <si>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</si>
  <si>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</si>
  <si>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</si>
  <si>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</si>
  <si>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</si>
  <si>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</si>
  <si>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</si>
  <si>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</si>
  <si>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</si>
  <si>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</si>
  <si>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</si>
  <si>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</si>
  <si>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</si>
  <si>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</si>
  <si>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</si>
  <si>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</si>
  <si>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</si>
  <si>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</si>
  <si>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</si>
  <si>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</si>
  <si>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</si>
  <si>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</si>
  <si>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</si>
  <si>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</si>
  <si>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</si>
  <si>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</si>
  <si>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</si>
  <si>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</si>
  <si>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</si>
  <si>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</si>
  <si>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</si>
  <si>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</si>
  <si>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</si>
  <si>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</si>
  <si>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</si>
  <si>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</si>
  <si>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</si>
  <si>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</si>
  <si>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</si>
  <si>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</si>
  <si>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</si>
  <si>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</si>
  <si>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</si>
  <si>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</si>
  <si>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</si>
  <si>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</si>
  <si>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</si>
  <si>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</si>
  <si>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</si>
  <si>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</si>
  <si>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</si>
  <si>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</si>
  <si>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</si>
  <si>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</si>
  <si>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</si>
  <si>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</si>
  <si>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</si>
  <si>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</si>
  <si>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</si>
  <si>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</si>
  <si>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</si>
  <si>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</si>
  <si>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</si>
  <si>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</si>
  <si>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</si>
  <si>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</si>
  <si>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</si>
  <si>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</si>
  <si>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</si>
  <si>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</si>
  <si>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</si>
  <si>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</si>
  <si>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</si>
  <si>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</si>
  <si>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</si>
  <si>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</si>
  <si>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</si>
  <si>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</si>
  <si>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</si>
  <si>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</si>
  <si>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</si>
  <si>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</si>
  <si>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</si>
  <si>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</si>
  <si>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</si>
  <si>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</si>
  <si>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</si>
  <si>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</si>
  <si>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</si>
  <si>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</si>
  <si>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</si>
  <si>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</si>
  <si>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</si>
  <si>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</si>
  <si>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</si>
  <si>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</si>
  <si>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</si>
  <si>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</si>
  <si>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</si>
  <si>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</si>
  <si>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</si>
  <si>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</si>
  <si>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</si>
  <si>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</si>
  <si>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</si>
  <si>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</si>
  <si>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</si>
  <si>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</si>
  <si>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</si>
  <si>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</si>
  <si>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</si>
  <si>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</si>
  <si>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</si>
  <si>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</si>
  <si>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</si>
  <si>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</si>
  <si>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</si>
  <si>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</si>
  <si>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</si>
  <si>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</si>
  <si>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</si>
  <si>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</si>
  <si>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</si>
  <si>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</si>
  <si>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</si>
  <si>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</si>
  <si>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</si>
  <si>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</si>
  <si>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</si>
  <si>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</si>
  <si>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</si>
  <si>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</si>
  <si>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</si>
  <si>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</si>
  <si>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</si>
  <si>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</si>
  <si>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</si>
  <si>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</si>
  <si>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</si>
  <si>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</si>
  <si>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</si>
  <si>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</si>
  <si>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</si>
  <si>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</si>
  <si>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</si>
  <si>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</si>
  <si>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</si>
  <si>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</si>
  <si>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</si>
  <si>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</si>
  <si>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</si>
  <si>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</si>
  <si>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</si>
  <si>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</si>
  <si>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</si>
  <si>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</si>
  <si>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</si>
  <si>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</si>
  <si>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</si>
  <si>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</si>
  <si>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</si>
  <si>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</si>
  <si>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</si>
  <si>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</si>
  <si>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</si>
  <si>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</si>
  <si>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</si>
  <si>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</si>
  <si>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</si>
  <si>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</si>
  <si>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</si>
  <si>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</si>
  <si>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</si>
  <si>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</si>
  <si>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</si>
  <si>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</si>
  <si>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</si>
  <si>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</si>
  <si>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</si>
  <si>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</si>
  <si>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</si>
  <si>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</si>
  <si>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</si>
  <si>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</si>
  <si>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</si>
  <si>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</si>
  <si>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</si>
  <si>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</si>
  <si>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</si>
  <si>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</si>
  <si>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</si>
  <si>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</si>
  <si>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</si>
  <si>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</si>
  <si>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</si>
  <si>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</si>
  <si>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</si>
  <si>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</si>
  <si>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</si>
  <si>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</si>
  <si>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</si>
  <si>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</si>
  <si>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</si>
  <si>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</si>
  <si>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</si>
  <si>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</si>
  <si>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</si>
  <si>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</si>
  <si>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</si>
  <si>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</si>
  <si>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</si>
  <si>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</si>
  <si>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</si>
  <si>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</si>
  <si>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</si>
  <si>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</si>
  <si>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</si>
  <si>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</si>
  <si>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</si>
  <si>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</si>
  <si>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</si>
  <si>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</si>
  <si>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</si>
  <si>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</si>
  <si>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</si>
  <si>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</si>
  <si>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</si>
  <si>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</si>
  <si>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</si>
  <si>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</si>
  <si>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</si>
  <si>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</si>
  <si>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</si>
  <si>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</si>
  <si>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</si>
  <si>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</si>
  <si>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</si>
  <si>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</si>
  <si>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</si>
  <si>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</si>
  <si>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</si>
  <si>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</si>
  <si>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</si>
  <si>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</si>
  <si>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</si>
  <si>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</si>
  <si>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</si>
  <si>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</si>
  <si>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</si>
  <si>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</si>
  <si>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</si>
  <si>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</si>
  <si>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</si>
  <si>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</si>
  <si>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</si>
  <si>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</si>
  <si>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</si>
  <si>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</si>
  <si>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</si>
  <si>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</si>
  <si>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</si>
  <si>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</si>
  <si>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</si>
  <si>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</si>
  <si>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</si>
  <si>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</si>
  <si>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</si>
  <si>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</si>
  <si>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</si>
  <si>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</si>
  <si>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</si>
  <si>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</si>
  <si>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</si>
  <si>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</si>
  <si>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</si>
  <si>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</si>
  <si>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</si>
  <si>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</si>
  <si>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</si>
  <si>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</si>
  <si>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</si>
  <si>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</si>
  <si>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</si>
  <si>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</si>
  <si>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</si>
  <si>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</si>
  <si>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</si>
  <si>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</si>
  <si>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</si>
  <si>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</si>
  <si>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</si>
  <si>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</si>
  <si>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</si>
  <si>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</si>
  <si>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</si>
  <si>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</si>
  <si>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</si>
  <si>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</si>
  <si>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</si>
  <si>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</si>
  <si>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</si>
  <si>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</si>
  <si>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</si>
  <si>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</si>
  <si>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</si>
  <si>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</si>
  <si>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</si>
  <si>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</si>
  <si>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</si>
  <si>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</si>
  <si>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</si>
  <si>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</si>
  <si>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</si>
  <si>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</si>
  <si>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</si>
  <si>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</si>
  <si>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</si>
  <si>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</si>
  <si>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</si>
  <si>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</si>
  <si>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</si>
  <si>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</si>
  <si>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</si>
  <si>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</si>
  <si>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</si>
  <si>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</si>
  <si>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</si>
  <si>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</si>
  <si>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</si>
  <si>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</si>
  <si>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</si>
  <si>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</si>
  <si>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</si>
  <si>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</si>
  <si>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</si>
  <si>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</si>
  <si>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</si>
  <si>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</si>
  <si>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</si>
  <si>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</si>
  <si>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</si>
  <si>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</si>
  <si>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</si>
  <si>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</si>
  <si>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</si>
  <si>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</si>
  <si>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</si>
  <si>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</si>
  <si>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</si>
  <si>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</si>
  <si>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</si>
  <si>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</si>
  <si>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</si>
  <si>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</si>
  <si>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</si>
  <si>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</si>
  <si>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</si>
  <si>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</si>
  <si>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</si>
  <si>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</si>
  <si>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</si>
  <si>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</si>
  <si>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</si>
  <si>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</si>
  <si>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</si>
  <si>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</si>
  <si>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</si>
  <si>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</si>
  <si>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</si>
  <si>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</si>
  <si>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</si>
  <si>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</si>
  <si>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</si>
  <si>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</si>
  <si>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</si>
  <si>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</si>
  <si>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</si>
  <si>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</si>
  <si>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</si>
  <si>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</si>
  <si>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</si>
  <si>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</si>
  <si>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</si>
  <si>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</si>
  <si>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</si>
  <si>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</si>
  <si>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</si>
  <si>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</si>
  <si>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</si>
  <si>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</si>
  <si>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</si>
  <si>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</si>
  <si>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</si>
  <si>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</si>
  <si>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</si>
  <si>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</si>
  <si>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</si>
  <si>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</si>
  <si>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</si>
  <si>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</si>
  <si>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</si>
  <si>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</si>
  <si>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</si>
  <si>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</si>
  <si>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</si>
  <si>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</si>
  <si>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</si>
  <si>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</si>
  <si>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</si>
  <si>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</si>
  <si>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</si>
  <si>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</si>
  <si>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</si>
  <si>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</si>
  <si>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</si>
  <si>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</si>
  <si>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</si>
  <si>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</si>
  <si>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</si>
  <si>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</si>
  <si>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</si>
  <si>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</si>
  <si>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</si>
  <si>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</si>
  <si>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</si>
  <si>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</si>
  <si>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</si>
  <si>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</si>
  <si>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</si>
  <si>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</si>
  <si>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</si>
  <si>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</si>
  <si>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</si>
  <si>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</si>
  <si>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</si>
  <si>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</si>
  <si>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</si>
  <si>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</si>
  <si>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</si>
  <si>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</si>
  <si>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</si>
  <si>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</si>
  <si>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</si>
  <si>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</si>
  <si>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</si>
  <si>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</si>
  <si>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</si>
  <si>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</si>
  <si>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</si>
  <si>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</si>
  <si>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</si>
  <si>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</si>
  <si>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</si>
  <si>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</si>
  <si>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</si>
  <si>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</si>
  <si>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</si>
  <si>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</si>
  <si>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</si>
  <si>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</si>
  <si>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</si>
  <si>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</si>
  <si>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</si>
  <si>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</si>
  <si>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</si>
  <si>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</si>
  <si>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</si>
  <si>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</si>
  <si>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</si>
  <si>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</si>
  <si>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</si>
  <si>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</si>
  <si>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</si>
  <si>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</si>
  <si>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</si>
  <si>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</si>
  <si>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</si>
  <si>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</si>
  <si>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</si>
  <si>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</si>
  <si>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</si>
  <si>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</si>
  <si>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</si>
  <si>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</si>
  <si>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</si>
  <si>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</si>
  <si>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</si>
  <si>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</si>
  <si>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</si>
  <si>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</si>
  <si>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</si>
  <si>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</si>
  <si>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</si>
  <si>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</si>
  <si>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</si>
  <si>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</si>
  <si>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</si>
  <si>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</si>
  <si>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</si>
  <si>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</si>
  <si>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</si>
  <si>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</si>
  <si>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</si>
  <si>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</si>
  <si>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</si>
  <si>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</si>
  <si>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</si>
  <si>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</si>
  <si>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</si>
  <si>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</si>
  <si>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</si>
  <si>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</si>
  <si>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</si>
  <si>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</si>
  <si>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</si>
  <si>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</si>
  <si>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</si>
  <si>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</si>
  <si>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</si>
  <si>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</si>
  <si>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</si>
  <si>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</si>
  <si>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</si>
  <si>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</si>
  <si>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</si>
  <si>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</si>
  <si>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</si>
  <si>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</si>
  <si>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</si>
  <si>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</si>
  <si>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</si>
  <si>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</si>
  <si>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</si>
  <si>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</si>
  <si>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</si>
  <si>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</si>
  <si>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</si>
  <si>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</si>
  <si>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</si>
  <si>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</si>
  <si>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</si>
  <si>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</si>
  <si>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</si>
  <si>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</si>
  <si>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</si>
  <si>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</si>
  <si>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</si>
  <si>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</si>
  <si>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</si>
  <si>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</si>
  <si>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</si>
  <si>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</si>
  <si>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</si>
  <si>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</si>
  <si>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</si>
  <si>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</si>
  <si>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</si>
  <si>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</si>
  <si>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</si>
  <si>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</si>
  <si>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</si>
  <si>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</si>
  <si>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</si>
  <si>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</si>
  <si>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</si>
  <si>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</si>
  <si>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</si>
  <si>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</si>
  <si>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</si>
  <si>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</si>
  <si>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</si>
  <si>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</si>
  <si>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</si>
  <si>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</si>
  <si>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</si>
  <si>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</si>
  <si>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</si>
  <si>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</si>
  <si>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</si>
  <si>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2008_MCM_ARFloss.2</t>
  </si>
  <si>
    <t>Anaktuvuk River Fire Scar</t>
  </si>
  <si>
    <t>http://ecosystems.mbl.edu/ARC/meta_template.php?FileName=./burn/terrestrial/xlsfiles/2008_MCM_ARFloss.html</t>
  </si>
  <si>
    <t>Version 3 corrected eml exel file name JimL 16May13</t>
  </si>
  <si>
    <t>knb-lter-arc.10126.3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</si>
</sst>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dd\-mmm\-yyyy"/>
    <numFmt numFmtId="166" formatCode="0.00000"/>
  </numFmts>
  <fonts count="24" x14ac:knownFonts="1">
    <font>
      <sz val="11"/>
      <color theme="1"/>
      <name val="Calibri"/>
      <family val="2"/>
      <scheme val="minor"/>
    </font>
    <font>
      <sz val="10"/>
      <name val="Arial"/>
      <family val="2"/>
    </font>
    <font>
      <b/>
      <sz val="14"/>
      <name val="Arial"/>
      <family val="2"/>
    </font>
    <font>
      <b/>
      <sz val="12"/>
      <color indexed="10"/>
      <name val="Arial"/>
      <family val="2"/>
    </font>
    <font>
      <b/>
      <sz val="10"/>
      <name val="Arial"/>
      <family val="2"/>
    </font>
    <font>
      <sz val="10"/>
      <color indexed="22"/>
      <name val="Arial"/>
      <family val="2"/>
    </font>
    <font>
      <u/>
      <sz val="10"/>
      <color indexed="12"/>
      <name val="Arial"/>
      <family val="2"/>
    </font>
    <font>
      <sz val="12"/>
      <name val="Arial"/>
      <family val="2"/>
    </font>
    <font>
      <b/>
      <sz val="9"/>
      <name val="Arial"/>
      <family val="2"/>
    </font>
    <font>
      <b/>
      <sz val="9"/>
      <color indexed="48"/>
      <name val="Arial"/>
      <family val="2"/>
    </font>
    <font>
      <b/>
      <u/>
      <sz val="10"/>
      <color indexed="10"/>
      <name val="Arial"/>
      <family val="2"/>
    </font>
    <font>
      <b/>
      <sz val="10"/>
      <color indexed="12"/>
      <name val="Arial"/>
      <family val="2"/>
    </font>
    <font>
      <sz val="10"/>
      <color indexed="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sz val="8"/>
      <color indexed="10"/>
      <name val="Tahoma"/>
      <family val="2"/>
    </font>
    <font>
      <b/>
      <sz val="9"/>
      <color indexed="81"/>
      <name val="Tahoma"/>
      <family val="2"/>
    </font>
    <font>
      <b/>
      <sz val="8"/>
      <color indexed="39"/>
      <name val="Tahoma"/>
      <family val="2"/>
    </font>
    <font>
      <b/>
      <sz val="8"/>
      <color indexed="12"/>
      <name val="Arial"/>
      <family val="2"/>
    </font>
    <font>
      <b/>
      <sz val="8"/>
      <color indexed="10"/>
      <name val="Arial"/>
      <family val="2"/>
    </font>
  </fonts>
  <fills count="9">
    <fill>
      <patternFill patternType="none"/>
    </fill>
    <fill>
      <patternFill patternType="gray125"/>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6" fillId="0" borderId="0" applyNumberFormat="0" applyFill="0" applyBorder="0" applyAlignment="0" applyProtection="0">
      <alignment vertical="top"/>
      <protection locked="0"/>
    </xf>
    <xf numFmtId="0" fontId="1" fillId="0" borderId="0"/>
  </cellStyleXfs>
  <cellXfs count="97">
    <xf numFmtId="0" fontId="0" fillId="0" borderId="0" xfId="0"/>
    <xf numFmtId="164" fontId="0" fillId="0" borderId="0" xfId="0" applyNumberFormat="1"/>
    <xf numFmtId="164" fontId="0" fillId="0" borderId="0" xfId="0" applyNumberFormat="1" applyFill="1"/>
    <xf numFmtId="2" fontId="0" fillId="0" borderId="0" xfId="0" applyNumberFormat="1"/>
    <xf numFmtId="0" fontId="4" fillId="7" borderId="1" xfId="2" applyFont="1" applyFill="1" applyBorder="1" applyAlignment="1" applyProtection="1">
      <alignment vertical="center" wrapText="1"/>
    </xf>
    <xf numFmtId="0" fontId="4" fillId="7" borderId="1" xfId="2" applyFont="1" applyFill="1" applyBorder="1" applyAlignment="1" applyProtection="1">
      <alignment horizontal="left" vertical="center" wrapText="1"/>
    </xf>
    <xf numFmtId="0" fontId="1" fillId="0" borderId="0" xfId="2" applyFont="1" applyAlignment="1" applyProtection="1">
      <alignment wrapText="1"/>
      <protection locked="0"/>
    </xf>
    <xf numFmtId="0" fontId="1" fillId="0" borderId="0" xfId="2" applyFont="1" applyAlignment="1" applyProtection="1">
      <alignment vertical="top" wrapText="1"/>
      <protection locked="0"/>
    </xf>
    <xf numFmtId="0" fontId="6" fillId="0" borderId="2" xfId="1" applyFill="1" applyBorder="1" applyAlignment="1" applyProtection="1">
      <alignment horizontal="left"/>
    </xf>
    <xf numFmtId="0" fontId="1" fillId="0" borderId="0" xfId="2" applyFont="1"/>
    <xf numFmtId="0" fontId="1" fillId="0" borderId="0" xfId="2" applyFont="1" applyProtection="1">
      <protection locked="0"/>
    </xf>
    <xf numFmtId="0" fontId="1" fillId="0" borderId="0" xfId="2" applyFont="1" applyAlignment="1" applyProtection="1">
      <alignment horizontal="left" wrapText="1"/>
      <protection locked="0"/>
    </xf>
    <xf numFmtId="0" fontId="1" fillId="0" borderId="0" xfId="2" applyFont="1" applyAlignment="1">
      <alignment vertical="top"/>
    </xf>
    <xf numFmtId="0" fontId="1" fillId="0" borderId="0" xfId="2" applyFont="1" applyAlignment="1">
      <alignment vertical="center" wrapText="1"/>
    </xf>
    <xf numFmtId="0" fontId="12" fillId="0" borderId="0" xfId="2" applyFont="1"/>
    <xf numFmtId="0" fontId="11" fillId="0" borderId="0" xfId="2" applyFont="1"/>
    <xf numFmtId="0" fontId="4" fillId="0" borderId="0" xfId="2" applyFont="1" applyFill="1" applyBorder="1" applyAlignment="1" applyProtection="1">
      <alignment vertical="center" wrapText="1"/>
    </xf>
    <xf numFmtId="0" fontId="10" fillId="0" borderId="0" xfId="2" applyFont="1"/>
    <xf numFmtId="0" fontId="4" fillId="2" borderId="1" xfId="2" applyFont="1" applyFill="1" applyBorder="1" applyAlignment="1" applyProtection="1">
      <alignment vertical="top" wrapText="1"/>
    </xf>
    <xf numFmtId="0" fontId="1" fillId="0" borderId="0" xfId="2" applyFont="1" applyFill="1" applyBorder="1" applyAlignment="1" applyProtection="1">
      <alignment horizontal="left" wrapText="1"/>
      <protection locked="0"/>
    </xf>
    <xf numFmtId="0" fontId="4" fillId="0" borderId="0" xfId="2" applyFont="1" applyFill="1" applyBorder="1" applyAlignment="1" applyProtection="1">
      <alignment horizontal="right" vertical="top"/>
    </xf>
    <xf numFmtId="0" fontId="1" fillId="0" borderId="0" xfId="2" applyFont="1" applyAlignment="1" applyProtection="1">
      <alignment vertical="top"/>
    </xf>
    <xf numFmtId="0" fontId="1" fillId="0" borderId="0" xfId="2" applyFont="1" applyAlignment="1" applyProtection="1">
      <protection locked="0"/>
    </xf>
    <xf numFmtId="0" fontId="4" fillId="0" borderId="0" xfId="2" applyFont="1" applyAlignment="1" applyProtection="1">
      <alignment horizontal="center" vertical="top"/>
    </xf>
    <xf numFmtId="0" fontId="4" fillId="2" borderId="1" xfId="2" applyFont="1" applyFill="1" applyBorder="1" applyAlignment="1" applyProtection="1">
      <alignment horizontal="right" vertical="top"/>
    </xf>
    <xf numFmtId="0" fontId="1" fillId="6" borderId="10" xfId="2" applyFont="1" applyFill="1" applyBorder="1" applyAlignment="1" applyProtection="1">
      <protection locked="0"/>
    </xf>
    <xf numFmtId="0" fontId="1" fillId="3" borderId="9" xfId="2" applyFont="1" applyFill="1" applyBorder="1" applyAlignment="1" applyProtection="1">
      <alignment horizontal="left"/>
      <protection locked="0"/>
    </xf>
    <xf numFmtId="0" fontId="4" fillId="2" borderId="2" xfId="2" applyFont="1" applyFill="1" applyBorder="1" applyAlignment="1" applyProtection="1">
      <alignment horizontal="right"/>
    </xf>
    <xf numFmtId="0" fontId="1" fillId="6" borderId="3" xfId="2" applyFont="1" applyFill="1" applyBorder="1" applyAlignment="1" applyProtection="1">
      <protection locked="0"/>
    </xf>
    <xf numFmtId="0" fontId="1" fillId="3" borderId="2" xfId="2" applyFont="1" applyFill="1" applyBorder="1" applyAlignment="1" applyProtection="1">
      <alignment horizontal="left"/>
      <protection locked="0"/>
    </xf>
    <xf numFmtId="0" fontId="4" fillId="2" borderId="9" xfId="2" applyFont="1" applyFill="1" applyBorder="1" applyAlignment="1" applyProtection="1">
      <alignment horizontal="right" wrapText="1"/>
    </xf>
    <xf numFmtId="0" fontId="1" fillId="2" borderId="8" xfId="2" applyNumberFormat="1" applyFont="1" applyFill="1" applyBorder="1" applyAlignment="1" applyProtection="1">
      <alignment horizontal="left"/>
    </xf>
    <xf numFmtId="0" fontId="4" fillId="2" borderId="7" xfId="2" applyFont="1" applyFill="1" applyBorder="1" applyAlignment="1" applyProtection="1">
      <alignment horizontal="left"/>
    </xf>
    <xf numFmtId="0" fontId="1" fillId="0" borderId="0" xfId="2" applyNumberFormat="1" applyFont="1" applyAlignment="1" applyProtection="1">
      <alignment horizontal="left"/>
      <protection locked="0"/>
    </xf>
    <xf numFmtId="0" fontId="1" fillId="0" borderId="0" xfId="2" applyFont="1" applyAlignment="1" applyProtection="1">
      <alignment horizontal="left"/>
      <protection locked="0"/>
    </xf>
    <xf numFmtId="0" fontId="1" fillId="0" borderId="0" xfId="2" applyFont="1" applyAlignment="1" applyProtection="1">
      <alignment vertical="center"/>
      <protection locked="0"/>
    </xf>
    <xf numFmtId="0" fontId="1" fillId="0" borderId="0" xfId="2" applyFont="1" applyFill="1" applyAlignment="1" applyProtection="1">
      <alignment vertical="center"/>
      <protection locked="0"/>
    </xf>
    <xf numFmtId="0" fontId="1" fillId="0" borderId="0" xfId="2" applyNumberFormat="1" applyFont="1" applyAlignment="1" applyProtection="1">
      <protection locked="0"/>
    </xf>
    <xf numFmtId="0" fontId="1" fillId="0" borderId="0" xfId="2" applyFont="1" applyAlignment="1" applyProtection="1"/>
    <xf numFmtId="0" fontId="7" fillId="0" borderId="0" xfId="2" applyFont="1"/>
    <xf numFmtId="0" fontId="7" fillId="0" borderId="0" xfId="2" applyFont="1" applyAlignment="1" applyProtection="1">
      <protection locked="0"/>
    </xf>
    <xf numFmtId="0" fontId="1" fillId="4" borderId="1" xfId="2" applyFont="1" applyFill="1" applyBorder="1" applyAlignment="1" applyProtection="1">
      <alignment horizontal="left" wrapText="1"/>
      <protection locked="0"/>
    </xf>
    <xf numFmtId="0" fontId="4" fillId="7" borderId="2" xfId="2" applyFont="1" applyFill="1" applyBorder="1" applyAlignment="1" applyProtection="1">
      <alignment horizontal="right" wrapText="1"/>
    </xf>
    <xf numFmtId="0" fontId="4" fillId="2" borderId="1" xfId="2" applyFont="1" applyFill="1" applyBorder="1" applyAlignment="1" applyProtection="1">
      <alignment wrapText="1"/>
    </xf>
    <xf numFmtId="0" fontId="1" fillId="0" borderId="0" xfId="2" applyFont="1" applyFill="1" applyBorder="1" applyAlignment="1" applyProtection="1">
      <alignment horizontal="right" vertical="top"/>
    </xf>
    <xf numFmtId="0" fontId="4" fillId="7" borderId="0" xfId="2" applyFont="1" applyFill="1" applyBorder="1" applyAlignment="1" applyProtection="1">
      <alignment horizontal="right" wrapText="1"/>
    </xf>
    <xf numFmtId="0" fontId="1" fillId="0" borderId="0" xfId="2" applyFont="1" applyFill="1" applyProtection="1">
      <protection locked="0"/>
    </xf>
    <xf numFmtId="0" fontId="6" fillId="3" borderId="1" xfId="1" applyFill="1" applyBorder="1" applyAlignment="1" applyProtection="1">
      <alignment horizontal="left" vertical="top" wrapText="1"/>
    </xf>
    <xf numFmtId="0" fontId="4" fillId="7" borderId="0" xfId="2" applyFont="1" applyFill="1" applyBorder="1" applyAlignment="1" applyProtection="1">
      <alignment horizontal="right" vertical="top"/>
    </xf>
    <xf numFmtId="0" fontId="1" fillId="3" borderId="1" xfId="2" applyFont="1" applyFill="1" applyBorder="1" applyAlignment="1" applyProtection="1">
      <alignment horizontal="left" vertical="top" wrapText="1"/>
      <protection locked="0"/>
    </xf>
    <xf numFmtId="0" fontId="1" fillId="0" borderId="1" xfId="2" applyFont="1" applyBorder="1" applyAlignment="1" applyProtection="1">
      <alignment horizontal="left" wrapText="1"/>
      <protection locked="0"/>
    </xf>
    <xf numFmtId="0" fontId="4" fillId="2" borderId="1" xfId="2" applyFont="1" applyFill="1" applyBorder="1" applyAlignment="1" applyProtection="1">
      <alignment horizontal="left" vertical="top"/>
    </xf>
    <xf numFmtId="0" fontId="1" fillId="3" borderId="6" xfId="2" applyFont="1" applyFill="1" applyBorder="1" applyAlignment="1" applyProtection="1">
      <alignment horizontal="left" wrapText="1"/>
      <protection locked="0"/>
    </xf>
    <xf numFmtId="0" fontId="4" fillId="7" borderId="0" xfId="2" applyFont="1" applyFill="1" applyBorder="1" applyAlignment="1" applyProtection="1">
      <alignment horizontal="left" vertical="top"/>
    </xf>
    <xf numFmtId="0" fontId="1" fillId="3" borderId="5" xfId="2" applyFont="1" applyFill="1" applyBorder="1" applyAlignment="1" applyProtection="1">
      <alignment horizontal="left" wrapText="1"/>
      <protection locked="0"/>
    </xf>
    <xf numFmtId="0" fontId="4" fillId="2" borderId="4" xfId="2" applyFont="1" applyFill="1" applyBorder="1" applyAlignment="1" applyProtection="1">
      <alignment horizontal="left" vertical="top"/>
    </xf>
    <xf numFmtId="0" fontId="1" fillId="8" borderId="1" xfId="2" applyFont="1" applyFill="1" applyBorder="1" applyAlignment="1" applyProtection="1">
      <alignment horizontal="center" wrapText="1"/>
      <protection locked="0"/>
    </xf>
    <xf numFmtId="0" fontId="4" fillId="2" borderId="1" xfId="2" applyNumberFormat="1" applyFont="1" applyFill="1" applyBorder="1" applyAlignment="1" applyProtection="1">
      <alignment vertical="top" wrapText="1"/>
    </xf>
    <xf numFmtId="0" fontId="1" fillId="0" borderId="0" xfId="2" applyFont="1" applyAlignment="1" applyProtection="1">
      <alignment horizontal="right" vertical="top"/>
    </xf>
    <xf numFmtId="0" fontId="4" fillId="7" borderId="0" xfId="2" applyFont="1" applyFill="1" applyAlignment="1" applyProtection="1">
      <alignment horizontal="right" vertical="top"/>
    </xf>
    <xf numFmtId="165" fontId="1" fillId="3" borderId="1" xfId="2" applyNumberFormat="1" applyFont="1" applyFill="1" applyBorder="1" applyAlignment="1" applyProtection="1">
      <alignment horizontal="left" wrapText="1"/>
      <protection locked="0"/>
    </xf>
    <xf numFmtId="0" fontId="4" fillId="7" borderId="0" xfId="2" applyFont="1" applyFill="1" applyAlignment="1" applyProtection="1">
      <alignment horizontal="right" vertical="top" wrapText="1"/>
    </xf>
    <xf numFmtId="0" fontId="4" fillId="7" borderId="0" xfId="2" applyNumberFormat="1" applyFont="1" applyFill="1" applyAlignment="1" applyProtection="1">
      <alignment horizontal="right" vertical="top" wrapText="1"/>
    </xf>
    <xf numFmtId="0" fontId="5" fillId="0" borderId="3" xfId="2" applyFont="1" applyBorder="1" applyAlignment="1"/>
    <xf numFmtId="0" fontId="5" fillId="0" borderId="1" xfId="2" applyFont="1" applyFill="1" applyBorder="1" applyAlignment="1" applyProtection="1">
      <alignment horizontal="right"/>
    </xf>
    <xf numFmtId="0" fontId="1" fillId="0" borderId="0" xfId="2" applyFont="1" applyBorder="1" applyAlignment="1" applyProtection="1">
      <alignment horizontal="left" wrapText="1"/>
      <protection locked="0"/>
    </xf>
    <xf numFmtId="0" fontId="1" fillId="0" borderId="0" xfId="2" applyFont="1" applyFill="1" applyAlignment="1" applyProtection="1">
      <alignment horizontal="right" vertical="top" wrapText="1"/>
    </xf>
    <xf numFmtId="0" fontId="1" fillId="0" borderId="0" xfId="2" applyFont="1" applyFill="1" applyAlignment="1" applyProtection="1">
      <alignment horizontal="left" wrapText="1"/>
      <protection locked="0"/>
    </xf>
    <xf numFmtId="49" fontId="1" fillId="0" borderId="0" xfId="2" applyNumberFormat="1" applyFont="1"/>
    <xf numFmtId="49" fontId="1" fillId="6" borderId="1" xfId="2" applyNumberFormat="1" applyFont="1" applyFill="1" applyBorder="1" applyAlignment="1" applyProtection="1">
      <alignment horizontal="left" wrapText="1"/>
      <protection locked="0"/>
    </xf>
    <xf numFmtId="49" fontId="4" fillId="5" borderId="0" xfId="2" applyNumberFormat="1" applyFont="1" applyFill="1" applyBorder="1" applyAlignment="1" applyProtection="1">
      <alignment horizontal="right" vertical="top"/>
    </xf>
    <xf numFmtId="0" fontId="4" fillId="2" borderId="1" xfId="2" applyFont="1" applyFill="1" applyBorder="1" applyAlignment="1" applyProtection="1">
      <alignment horizontal="left" wrapText="1"/>
    </xf>
    <xf numFmtId="0" fontId="8" fillId="2" borderId="1" xfId="2" applyFont="1" applyFill="1" applyBorder="1" applyAlignment="1" applyProtection="1">
      <alignment vertical="top" wrapText="1"/>
    </xf>
    <xf numFmtId="0" fontId="1" fillId="0" borderId="0" xfId="2" applyFont="1" applyAlignment="1" applyProtection="1">
      <alignment vertical="top" wrapText="1"/>
    </xf>
    <xf numFmtId="0" fontId="4" fillId="2" borderId="1" xfId="2" applyFont="1" applyFill="1" applyBorder="1" applyAlignment="1" applyProtection="1">
      <alignment vertical="top"/>
    </xf>
    <xf numFmtId="0" fontId="1" fillId="0" borderId="0" xfId="2" applyFont="1" applyFill="1" applyBorder="1" applyAlignment="1"/>
    <xf numFmtId="0" fontId="4" fillId="0" borderId="0" xfId="2" applyFont="1" applyFill="1" applyBorder="1" applyAlignment="1" applyProtection="1">
      <alignment horizontal="left" wrapText="1"/>
      <protection locked="0"/>
    </xf>
    <xf numFmtId="0" fontId="1" fillId="0" borderId="0" xfId="2" applyFont="1" applyFill="1" applyBorder="1"/>
    <xf numFmtId="0" fontId="5" fillId="0" borderId="3" xfId="2" applyFont="1" applyBorder="1" applyAlignment="1" applyProtection="1"/>
    <xf numFmtId="0" fontId="5" fillId="0" borderId="1" xfId="2" applyFont="1" applyFill="1" applyBorder="1" applyAlignment="1" applyProtection="1"/>
    <xf numFmtId="0" fontId="5" fillId="0" borderId="1" xfId="2" applyFont="1" applyFill="1" applyBorder="1" applyAlignment="1" applyProtection="1">
      <alignment horizontal="left"/>
    </xf>
    <xf numFmtId="0" fontId="4" fillId="0" borderId="0" xfId="2" applyFont="1" applyProtection="1">
      <protection locked="0"/>
    </xf>
    <xf numFmtId="0" fontId="3" fillId="0" borderId="0" xfId="2" applyFont="1" applyProtection="1">
      <protection locked="0"/>
    </xf>
    <xf numFmtId="0" fontId="2" fillId="0" borderId="0" xfId="2" applyFont="1" applyAlignment="1" applyProtection="1">
      <alignment vertical="top"/>
    </xf>
    <xf numFmtId="0" fontId="1" fillId="0" borderId="0" xfId="2"/>
    <xf numFmtId="0" fontId="22" fillId="0" borderId="0" xfId="2" applyFont="1" applyAlignment="1">
      <alignment horizontal="center" wrapText="1"/>
    </xf>
    <xf numFmtId="0" fontId="22" fillId="0" borderId="0" xfId="2" applyFont="1" applyAlignment="1">
      <alignment wrapText="1"/>
    </xf>
    <xf numFmtId="166" fontId="22" fillId="0" borderId="0" xfId="2" applyNumberFormat="1" applyFont="1" applyAlignment="1">
      <alignment wrapText="1"/>
    </xf>
    <xf numFmtId="1" fontId="22" fillId="0" borderId="0" xfId="2" applyNumberFormat="1" applyFont="1" applyAlignment="1">
      <alignment wrapText="1"/>
    </xf>
    <xf numFmtId="0" fontId="23" fillId="0" borderId="0" xfId="2" applyFont="1" applyAlignment="1">
      <alignment horizontal="center" wrapText="1"/>
    </xf>
    <xf numFmtId="0" fontId="6" fillId="0" borderId="0" xfId="1" applyAlignment="1" applyProtection="1"/>
    <xf numFmtId="0" fontId="1" fillId="0" borderId="0" xfId="2" applyAlignment="1"/>
    <xf numFmtId="1" fontId="1" fillId="0" borderId="0" xfId="2" applyNumberFormat="1"/>
    <xf numFmtId="0" fontId="1" fillId="3" borderId="2" xfId="2" applyFont="1" applyFill="1" applyBorder="1" applyAlignment="1" applyProtection="1">
      <alignment horizontal="left" wrapText="1"/>
      <protection locked="0"/>
    </xf>
    <xf numFmtId="0" fontId="1" fillId="0" borderId="3" xfId="2" applyFont="1" applyBorder="1" applyAlignment="1"/>
    <xf numFmtId="0" fontId="4" fillId="0" borderId="0" xfId="2" applyFont="1" applyFill="1" applyBorder="1" applyAlignment="1" applyProtection="1">
      <alignment horizontal="left" wrapText="1"/>
      <protection locked="0"/>
    </xf>
    <xf numFmtId="0" fontId="1" fillId="0" borderId="0" xfId="2" applyFont="1" applyFill="1" applyBorder="1" applyAlignment="1"/>
  </cellXfs>
  <cellStyles count="3">
    <cellStyle name="Hyperlink" xfId="1" builtinId="8"/>
    <cellStyle name="Normal" xfId="0" builtinId="0"/>
    <cellStyle name="Normal 2" xfId="2"/>
  </cellStyles>
  <dxfs count="11">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971550"/>
          <a:ext cx="1771646" cy="994410"/>
        </a:xfrm>
        <a:prstGeom prst="rect">
          <a:avLst/>
        </a:prstGeom>
        <a:solidFill>
          <a:srgbClr val="CCFFFF"/>
        </a:solidFill>
        <a:ln w="9525">
          <a:solidFill>
            <a:srgbClr val="000000"/>
          </a:solidFill>
          <a:miter lim="800000"/>
          <a:headEnd/>
          <a:tailEnd/>
        </a:ln>
      </xdr:spPr>
      <xdr:txBody>
        <a:bodyPr/>
        <a:lstStyle/>
        <a:p>
          <a:r>
            <a:rPr lang="en-US"/>
            <a:t> Estimated mean pre-fire C and N pools, and C and N loss from 20 sites in the Anaktuvuk River Fire (2007).  These sites were sampled in summer of 2008.  In each site, we characterized residual organic soils and used biometric relationships developed in unburned sites to reconstruct pre-fire soil organic layer depth, and plant and soil C and N pools.   We then estimated fire-driven losses of C and N from plant and soil organic layer pools.
 </a:t>
          </a:r>
        </a:p>
      </xdr:txBody>
    </xdr:sp>
    <xdr:clientData fLocksWithSheet="0"/>
  </xdr:twoCellAnchor>
  <xdr:twoCellAnchor>
    <xdr:from>
      <xdr:col>1</xdr:col>
      <xdr:colOff>30480</xdr:colOff>
      <xdr:row>66</xdr:row>
      <xdr:rowOff>17145</xdr:rowOff>
    </xdr:from>
    <xdr:to>
      <xdr:col>6</xdr:col>
      <xdr:colOff>817247</xdr:colOff>
      <xdr:row>207</xdr:row>
      <xdr:rowOff>6</xdr:rowOff>
    </xdr:to>
    <xdr:sp macro="" textlink="">
      <xdr:nvSpPr>
        <xdr:cNvPr id="3" name="method"/>
        <xdr:cNvSpPr txBox="1">
          <a:spLocks noChangeArrowheads="1"/>
        </xdr:cNvSpPr>
      </xdr:nvSpPr>
      <xdr:spPr bwMode="auto">
        <a:xfrm>
          <a:off x="621030" y="10704195"/>
          <a:ext cx="3510917" cy="6621786"/>
        </a:xfrm>
        <a:prstGeom prst="rect">
          <a:avLst/>
        </a:prstGeom>
        <a:solidFill>
          <a:srgbClr val="FFFFFF"/>
        </a:solidFill>
        <a:ln w="9525">
          <a:solidFill>
            <a:srgbClr val="000000"/>
          </a:solidFill>
          <a:miter lim="800000"/>
          <a:headEnd/>
          <a:tailEnd/>
        </a:ln>
      </xdr:spPr>
      <xdr:txBody>
        <a:bodyPr/>
        <a:lstStyle/>
        <a:p>
          <a:r>
            <a:rPr lang="en-US"/>
            <a:t>A detailed methods supplement is available online (link here).
 Study area: The Anaktuvuk River Fire scar is located on the North Slope of the Brooks Range, Alaska, USA , approximately 23 km NW of Toolik Field Station (68.5833 oN, 149.7167 oW).   It is bounded on the east by the Nanushuk River and on the west by the Itkillik River, extending approximately 65 km from North to South (NW corner, 69.4273 oN , 151.0619 oW; NE corner, 69.4274 oN, 150.6980 oW; SW corner, 68.8637 oN, 150.5114 oW; SE corner, 68.9122 oN, 150.1311 oW). This region is underlain by permafrost.  Mean annual temperature is approximately -10° C and mean annual precipitation is 30 cm.  Long-term average growing season temperature (1971-2000) is about 10° C and tends to be somewhat warmer (1-2° C) at lower elevations, which range from 130 m asl at the north end of the burn to 450 m asl at the south end.  
In July of  2007, the Anaktuvuk River Fire was started by lightning and sustained by growing season temperatures that were the warmest recorded over the 19 year record and precipitation that was only 25% of the long term average33.  Warm and dry conditions were maintained by anomalous high pressure over the North Slope that appeared to be related to summer sea ice recession34.    By the time snowfall extinguished the fire in early October, it had burned 1,039 km2 of arctic tundra, doubling the cumulative area burned in this region over the past 50 years .  This fire was an order of magnitude larger than the average fire size in the historic record for the North Slope and remotely sensed indices of severity were substantially higher than for other recorded tundra burns33.  
Prior to the fire, 54% of the vegetated area within the burn perimeter was classified as upland moist acidic tundra (MAT; soil pH &lt;5.5), 15% as moist non-acidic tundra (soil pH&gt;5.5), and 30% as shrubland35. MAT is pan-Arctic in distribution and covers as much as 336 x 106 km2 of the tundra biome36.  We focused our study on MAT because of its widespread distribution and because the surviving growing points of the dominant plant species, Eriophorum vaginatum L., provided a benchmark of pre-fire soil organic matter depth and plant biomass.   From this, we developed a method (described below) for estimating soil and plant organic matter consumption during fire using techniques similar to those described for boreal spruce forests37.  Upland tundra soils contain, on average, 7,500 g C m-2 in the combustible organic horizon, but this varies substantially across the landscape, ranging from 100 to 63,000 g C m-2 (ref. 38). Mineral soils contain approximately 18,000 g C m-2 above the permafrost and a similar amount from the surface of the permafrost to 1 m depth38.  Relict glacial ice wedges and lenses are common across the North Slope, as is high ice volume in near-surface permafrost39. 
 Field sites: Twenty MAT sites within the burn were accessed via helicopter from either Umiat or Toolik Lake in July and August of 2008.  Burn severity was mapped using the differenced Normalized burn Ratio (dNBR) method40 and sites 1-12 were randomly chosen to represent the range and frequency of dNBR values as described in Jones et al. (2009).  The remaining sites, 13-20, were chosen randomly along hillslope transects from areas where collaborators had previously established eddy covariance towers and lake/stream monitoring.  
To obtain empirical relationships between ecosystem structure and the element pools necessary for reconstruction of pre-fire soil C and N pools, 10 unburned MAT sites were also sampled  Two unburned sites were adventitiously encountered within the burn perimeter, an additional site was located near the 2007 Kuparuk Fire (69.2974 °N, 150.3221 °W), and seven others were systematically selected along the Dalton Highway. The latter sites were randomly selected from a GIS database that included all MAT areas along the Dalton within the elevation and climate range of the burn scar and were allocated to span the same elevations as the burn scar.  All sites were &gt;300 m from the road to minimize the effects of dust and other disturbances41,42.
Tussock morphology:  Our method for reconstructing pre-fire soil organic matter pools in burned sites was based on the relationship between the morphology of E. vaginatum tussocks and SOL depth.  Tussocks are a columnar, caespitose growth form.  At the top, many layers old leaf sheaths tightly clasp vertically growing short rhizomes (unthickened corms) that bear the tussock's living leaves and have apical and axillary growing points.  These rhizomes are nestled in what we term the crown of the plant, a dense, compact mass of old leaf sheaths (upper arrow, Figure 4-A).  The tussock's growing points are located 4.39 ± 0.26 cm (mean ± 1 SE, n=12 individual tussocks) below the crown's surface .  The crown's dense, usually moist, mass of leaf sheaths resists burning and protects the growing points from heat damage during the fire, enabling rapid re-sprouting of leaves after fire .  In unburned tundra, tussock crowns are located somewhat above the surface of the inter-tussock green moss (see below), and new leaf blades are further elevated above the moss layer .  Beneath the crown, a deep, fibrous network of sheath-enclosed, proximal portions of corms tangles with a network of live and dead roots, to form a column that extends down through the organic soil layer into the mineral soil.  Eriophorum vaginatum is one of the few MAT species whose roots grow down into the mineral soil43.  The tussock columns, topped with re-sprouting leaves, were a striking feature of the post-fire landscape .
Field sampling—unburned sites:  We quantified the relationship between E. vaginatum crowns and SOL depth or biomass, and characterized SOL bulk density and element concentration across the 10 unburned sites.  Along a 50 m transect in each site, we measured the depth of thaw and SOL at 5 m intervals (random point) and directly adjacent to the tussock nearest to the random point (n=10 random and 10 tussock points).  We measured at both random and tussock points to determine whether the relationship between soil organic matter depth and tussock crowns was related to distance to tussock. Thaw depth was measured by inserting a metal rod into the soil until it hit ice or rock (differentiated by the sound and texture of the hit), marking the surface of the green moss on the rod, removing it, and measuring the distance from the tip to the mark with a meter stick.   Soil organic layer depth was measured by slicing a square pit with a serrated knife, removing a monolith of organic soil, exposing the surface of the mineral soil, and measuring the distance from the surface of the green moss to mineral soil on two sides of the pit.  The two depth measurements per pit were averaged to yield one SOL depth measurement per point.
At each point where SOL depth was measured, we used two meter sticks attached at a sliding right angle and fitted with a tubular spirit level to measure the depth of the green moss below a plane parallel to the crown of the nearest E. vaginatum tussock .  Use of the level ensured that the right angle was parallel to the crown and orthogonal to the ground.  For the randomly located sample point, we also measured the distance to the nearest tussock using this apparatus.  We measured the distance to, crown diameter of, and survivorship of the three next closest tussocks and used a nearest-neighbor method to estimate tussock density44.  For each tussock, two crown diameter measurements were made (and averaged) at right angles by compressing the leaves and manually locating the sides of the crown.
 To determine soil bulk density and element concentration, organic soil horizons were sampled volumetrically with a serrated knife.  At 10 m intervals, a pit was dug and a 10 x 20 cm soil monolith was excised from the side of the pit, extending from the surface of the green moss to the surface of the mineral soil (roughly 5-30 cm depth depending on location). This monolith was wrapped in tinfoil to preserve structure, returned to the field station and frozen prior to shipping to the University of Florida (UF) for analyses of bulk density, moisture, C and N concentration, and C isotopes.  All aboveground plant material attached to the surface of the soil monolith was included in the sampling.  Tussocks were also harvested at 15 m intervals to develop allometric relationships between tussock diameter and combustible biomass (see below).  Biomass was shaved from the live tussock with a serrated knife and returned to the field station, where it was dried at 70° C for 48 hours before weighing and shipping to UF for analyses of C and N concentration.
Field sampling—burned sites:  Measurements in burned sites were similar to those in unburned sites except that measurements were made on the surface of the residual burned organic layer rather than the surface of the green moss , and tussock leaves were not sampled. 
Laboratory analyses: Approximately 155 soil monoliths comprising ~1000 individual 5 cm increment soil samples were collected in total from the 20 burned and 10 unburned sites. In the lab, each monolith was bisected depth-wise with an electric carving knife.  One half of the monolith was processed for radiocarbon measurements, as described below, and re-frozen for archival purposes.  In the remaining half, green moss and dwarf shrubs were sliced off and the remainder of the core was sliced into 5 cm depth intervals with the last sample of variable depth depending on the location of the organic/mineral interface.   Samples were homogenized by hand and coarse organic materials (&gt;2.5 cm twigs and roots) and rocks were removed.  Coarse and fine organic fractions were weighed wet, dried at 70° C for 48 hours to determine dry matter content, then ground on a Wiley mill with a 40 mm sieve.  Carbon and N content was measured on a Costech Elemental Analyzer (Costech Analytical, Los Angeles, California, USA) calibrated with the NIST peach leaves standard (SRM 1547, National Institute of Standards and Technology, Gaithersburg, MD, USA).  The volume of each monolith layer was calculated as depth times area minus the volume of rocks.  Bulk density, C or N pools were calculated for both fine and coarse organic fractions. 
Estimating pre- and post-fire organic matter pools and losses:  Post-fire SOL C and N pools were calculated for each 5 cm depth increment of residual organic soil at each sampling point in the burned sites (Supplementary Table 2 ).  Total residual soil profile depth of randomly located samples did not differ significantly from those measured adjacent to tussocks (paired-t=0.68, P=0.50, n=20 sites), so we used the randomly located sampling points for our calculations.  Coarse and fine fraction pools were summed at each depth and depths were summed across the profile to estimate total SOL element pools on a per site basis.  The only aboveground vegetation encountered was from re-sprouting individuals and thus was not included in the post-fire pool estimates.  No green moss was found on the surface of any of the soil monoliths, emphasizing the homogeneity of surface burning in this fire. 
Estimates of depth and element loss on a per site basis required reconstruction of pre-fire depth or element pools for each site.  Reconstruction of pre-fire SOL depth in burned sites was based on the observation that E. vaginatum crowns tended to be at the same height as the SOL surface in unburned tundra.  We used the transect measurements in the unburned reference sites (described above) to derive a predictive relationship between tussock crown height (TCH) above the mineral soil surface and SOL depth, here the distance between the top of the green moss and the mineral soil surface.  Soil organic layer depth measurements did not differ detectably between random and tussock points (paired-t=0.21, P=0.70, n=10 sites), so we again used the randomly located points for our analyses.  Tussock crown height was highly positively correlated with SOL depth (least squares regression, SOL depth (cm) = -1.126 + ln (TCH) x 1.242, R2=0.94, P&lt;0.001, n=10 sites;.  Depths calculated with least squares regression differed from geometric mean regression by &lt;1%, so we used the former with burned site TCH and residual soil depth measurements to estimate pre-fire SOL depth.  Pre-fire SOL C and N pools were then calculated for each 5 cm depth increment using the average unburned bulk density and C or N concentration for that layer .  Finally, combustion C or N losses from the SOL were calculated as the pre-fire C or N pool minus the post-fire C or N pool of any remaining organic soil.    
Pre-fire biomass and element pools in green mosses, lichens, shrubs, forbs and graminoids were included in SOL loss estimates above because they were sampled quantitatively with the soil monoliths.  To estimate pre-fire combustible tussock biomass (CTB), we first derived a predictive relationship between CTB and tussock diameter (TD) in the unburned sites (ln(CTB (dry gtussock-1)) = 3.097 + TD2 x 0.003, R2=0.67, P&lt;0.001, n=35 tussocks).  We used this equation to predict combustible biomass per tussock in the burned sites, which was then multiplied by density to scale to biomass per m2.  The latter was multiplied by the average C (43 ± 1, mean ± SE) or N (0.78 ± 0.05) concentration of CTB across the unburned sites to calculate the combusted C or N pool for the tussocks.  All statistical analyses were performed in SYSTAT 11.00.01 (SYSTAT software, Inc., Chicago, IL). 
Literature Cited
33Jones, B. M., Kolden, C. A., Jandt, R., Abatzoglou, J. T., Urban, F., and Arp, C. D., Fire behavior, weather, and burn severity of the 2007 Anaktuvuk river tundra fire, North Slope, Alaska. Arctic Antarctic and Alpine Research 41 (3), 309-316 (2009).
34Hu, F. S., Higuera, P. E., Walsh, J. E., Chapman, W. L., Duffy, P. A., Brubaker, L. B. et al., Tundra burning in Alaska: Linkages to climatic change and sea ice retreat. Journal of Geophysical Research-Biogeosciences 115, - (2010).
35Auerbach, N. A., Walker, D. A., and Bockheim, J. G., Landcover map of the Kaparuk River basin, Alaska (Alaska Geobotany Center, Fairbanks, AK 1997).
36Walker, D. A., Raynolds, M. K., Daniels, F. J. A., Einarsson, E., Elvebakk, A., Gould, W. A. et al., The circumpolar Arctic vegetation map. Journal of Vegetation Science 16 (3), 267-282 (2005).
37Boby, L. A., Schuur, E. A. G., Mack, M. C., Johnstone, J. F., and Verbyla, D. L., Quantifying fire severity, carbon and nitrogen emissions in Alaska's boreal forests. Ecological Applications 26 (6), 1633-1647 (2010).
38Ping, C. L., Michaelson, G. J., Jorgenson, M. T., Kimble, J. M., Epstein, H., Romanovsky, V. E. et al., High stocks of soil organic carbon in the North American Arctic region. Nature Geoscience 1 (9), 615-619 (2008).
39Jorgenson, M. T. and Osterkamp, T. E., Response of boreal ecosystems to varying modes of permafrost degradation. Canadian Journal of Forest Research-Revue Canadienne De Recherche Forestiere 35 (9), 2100-2111 (2005).
40Key, C. H. and Benson, N. C., in Firemon: Fire effects monitoring and inventory system, edited by D. C.  Lutes, R. E.  Keane, J. F.  Caratti et al. (USDA Forest Service, Rocky Mountain Monitoring and Inventory System, Ogden, UT, 2005), pp. 25-36.
41Walker, D. A. and Everett, K. R., Road dust and its environmental impact on Alaskan taiga and tundra. Arctic and Alpine Research 19, 479-489 (1987).
42Myers-Smith, I. H., Arnesen, B. K., Thompson, R. M., and Chapin, F. S., Cumulative impacts on Alaskan arctic tundra of a quarter century of road dust. Ecoscience 13 (4), 503-510 (2006).
43Kummerow, J., Ellis, B. A., Kummerow, S., and Chapin, F. S., Iii, Spring growth of shoots and roots in shrubs of an Alaskan muskeg. American Journal of Botany 70, 1509-1515 (1983).
44West, P. W., Tree and forest measurement, 2nd ed. (Springer-Verlag, Heidleberg, 2009). 
  </a:t>
          </a:r>
        </a:p>
      </xdr:txBody>
    </xdr:sp>
    <xdr:clientData fLocksWithSheet="0"/>
  </xdr:twoCellAnchor>
  <xdr:twoCellAnchor>
    <xdr:from>
      <xdr:col>1</xdr:col>
      <xdr:colOff>19050</xdr:colOff>
      <xdr:row>212</xdr:row>
      <xdr:rowOff>152400</xdr:rowOff>
    </xdr:from>
    <xdr:to>
      <xdr:col>3</xdr:col>
      <xdr:colOff>2076450</xdr:colOff>
      <xdr:row>219</xdr:row>
      <xdr:rowOff>19050</xdr:rowOff>
    </xdr:to>
    <xdr:sp macro="" textlink="">
      <xdr:nvSpPr>
        <xdr:cNvPr id="4" name="protocol1"/>
        <xdr:cNvSpPr txBox="1">
          <a:spLocks noChangeArrowheads="1"/>
        </xdr:cNvSpPr>
      </xdr:nvSpPr>
      <xdr:spPr bwMode="auto">
        <a:xfrm>
          <a:off x="609600" y="18288000"/>
          <a:ext cx="1752600" cy="1000125"/>
        </a:xfrm>
        <a:prstGeom prst="rect">
          <a:avLst/>
        </a:prstGeom>
        <a:solidFill>
          <a:srgbClr val="FFFFFF"/>
        </a:solidFill>
        <a:ln w="9525">
          <a:solidFill>
            <a:srgbClr val="000000"/>
          </a:solidFill>
          <a:miter lim="800000"/>
          <a:headEnd/>
          <a:tailEnd/>
        </a:ln>
      </xdr:spPr>
      <xdr:txBody>
        <a:bodyPr/>
        <a:lstStyle/>
        <a:p>
          <a:r>
            <a:rPr lang="en-US"/>
            <a:t> Not yet available; online supplement for Nature paper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100964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67</xdr:row>
      <xdr:rowOff>121920</xdr:rowOff>
    </xdr:from>
    <xdr:to>
      <xdr:col>0</xdr:col>
      <xdr:colOff>1727751</xdr:colOff>
      <xdr:row>81</xdr:row>
      <xdr:rowOff>61622</xdr:rowOff>
    </xdr:to>
    <xdr:sp macro="" textlink="">
      <xdr:nvSpPr>
        <xdr:cNvPr id="6" name="Note2"/>
        <xdr:cNvSpPr txBox="1"/>
      </xdr:nvSpPr>
      <xdr:spPr>
        <a:xfrm>
          <a:off x="15240" y="10970895"/>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26&amp;amp;urlTail=burn/terrestrial/data/2008_MCM_ARFloss.csv" TargetMode="External"/><Relationship Id="rId1" Type="http://schemas.openxmlformats.org/officeDocument/2006/relationships/hyperlink" Target="http://ecosystems.mbl.edu/ARC/meta_template.php?FileName=./burn/terrestrial/xlsfiles/2008_MCM_ARFloss.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446"/>
  <sheetViews>
    <sheetView tabSelected="1" zoomScale="96" zoomScaleNormal="96" workbookViewId="0">
      <selection activeCell="B4" sqref="B4"/>
    </sheetView>
  </sheetViews>
  <sheetFormatPr defaultColWidth="8.85546875" defaultRowHeight="12.75" x14ac:dyDescent="0.2"/>
  <cols>
    <col min="1" max="1" width="26.140625" style="12" customWidth="1"/>
    <col min="2" max="2" width="46" style="11" bestFit="1" customWidth="1"/>
    <col min="3" max="4" width="30.7109375" style="10" customWidth="1"/>
    <col min="5" max="9" width="30.7109375" style="9" customWidth="1"/>
    <col min="10" max="16384" width="8.85546875" style="9"/>
  </cols>
  <sheetData>
    <row r="1" spans="1:9" ht="18" x14ac:dyDescent="0.25">
      <c r="A1" s="83" t="s">
        <v>20</v>
      </c>
      <c r="C1" s="82"/>
      <c r="D1" s="81"/>
    </row>
    <row r="2" spans="1:9" hidden="1" x14ac:dyDescent="0.2">
      <c r="A2" s="79" t="s">
        <v>21</v>
      </c>
      <c r="B2" s="80" t="s">
        <v>1639</v>
      </c>
    </row>
    <row r="3" spans="1:9" hidden="1" x14ac:dyDescent="0.2">
      <c r="A3" s="79" t="s">
        <v>22</v>
      </c>
      <c r="B3" s="80">
        <v>2011</v>
      </c>
    </row>
    <row r="4" spans="1:9" hidden="1" x14ac:dyDescent="0.2">
      <c r="A4" s="79" t="s">
        <v>23</v>
      </c>
      <c r="B4" s="8" t="s">
        <v>1637</v>
      </c>
      <c r="C4" s="78"/>
    </row>
    <row r="5" spans="1:9" ht="22.5" customHeight="1" x14ac:dyDescent="0.2">
      <c r="A5" s="74" t="s">
        <v>24</v>
      </c>
      <c r="B5" s="93" t="s">
        <v>316</v>
      </c>
      <c r="C5" s="94"/>
      <c r="D5" s="9"/>
    </row>
    <row r="6" spans="1:9" ht="12.75" customHeight="1" x14ac:dyDescent="0.2">
      <c r="A6" s="74" t="s">
        <v>25</v>
      </c>
      <c r="B6" s="9"/>
      <c r="C6" s="9"/>
      <c r="D6" s="9"/>
      <c r="E6" s="77"/>
      <c r="F6" s="77"/>
    </row>
    <row r="7" spans="1:9" s="22" customFormat="1" x14ac:dyDescent="0.2">
      <c r="A7" s="21"/>
      <c r="B7" s="95"/>
      <c r="C7" s="96"/>
      <c r="D7" s="96"/>
    </row>
    <row r="8" spans="1:9" s="22" customFormat="1" x14ac:dyDescent="0.2">
      <c r="A8" s="21"/>
      <c r="B8" s="76"/>
      <c r="C8" s="75"/>
      <c r="D8" s="75"/>
    </row>
    <row r="9" spans="1:9" s="22" customFormat="1" x14ac:dyDescent="0.2">
      <c r="A9" s="21"/>
      <c r="B9" s="33"/>
    </row>
    <row r="10" spans="1:9" s="22" customFormat="1" x14ac:dyDescent="0.2">
      <c r="A10" s="21"/>
      <c r="B10" s="33"/>
    </row>
    <row r="11" spans="1:9" s="22" customFormat="1" x14ac:dyDescent="0.2">
      <c r="A11" s="21"/>
      <c r="B11" s="33"/>
    </row>
    <row r="12" spans="1:9" s="22" customFormat="1" ht="15" x14ac:dyDescent="0.2">
      <c r="A12" s="21"/>
      <c r="B12" s="40"/>
    </row>
    <row r="13" spans="1:9" s="22" customFormat="1" ht="15" x14ac:dyDescent="0.2">
      <c r="A13" s="21"/>
      <c r="B13" s="40"/>
    </row>
    <row r="14" spans="1:9" x14ac:dyDescent="0.2">
      <c r="A14" s="74" t="s">
        <v>26</v>
      </c>
      <c r="B14" s="41" t="s">
        <v>1635</v>
      </c>
    </row>
    <row r="15" spans="1:9" x14ac:dyDescent="0.2">
      <c r="A15" s="73"/>
    </row>
    <row r="16" spans="1:9" x14ac:dyDescent="0.2">
      <c r="A16" s="72" t="s">
        <v>27</v>
      </c>
      <c r="B16" s="71" t="s">
        <v>28</v>
      </c>
      <c r="C16" s="71" t="s">
        <v>29</v>
      </c>
      <c r="D16" s="71" t="s">
        <v>30</v>
      </c>
      <c r="E16" s="71" t="s">
        <v>31</v>
      </c>
      <c r="F16" s="71" t="s">
        <v>32</v>
      </c>
      <c r="G16" s="71" t="s">
        <v>33</v>
      </c>
      <c r="H16" s="71" t="s">
        <v>34</v>
      </c>
      <c r="I16" s="71" t="s">
        <v>35</v>
      </c>
    </row>
    <row r="17" spans="1:9" x14ac:dyDescent="0.2">
      <c r="A17" s="70" t="s">
        <v>36</v>
      </c>
      <c r="B17" s="69" t="s">
        <v>37</v>
      </c>
      <c r="C17" s="69"/>
      <c r="D17" s="69"/>
      <c r="E17" s="69"/>
      <c r="F17" s="69"/>
      <c r="G17" s="69"/>
      <c r="H17" s="69"/>
      <c r="I17" s="69"/>
    </row>
    <row r="18" spans="1:9" s="68" customFormat="1" x14ac:dyDescent="0.2">
      <c r="A18" s="70" t="s">
        <v>39</v>
      </c>
      <c r="B18" s="69" t="s">
        <v>40</v>
      </c>
      <c r="C18" s="69"/>
      <c r="D18" s="69"/>
      <c r="E18" s="69"/>
      <c r="F18" s="69"/>
      <c r="G18" s="69"/>
      <c r="H18" s="69"/>
      <c r="I18" s="69"/>
    </row>
    <row r="19" spans="1:9" s="68" customFormat="1" x14ac:dyDescent="0.2">
      <c r="A19" s="70" t="s">
        <v>41</v>
      </c>
      <c r="B19" s="69" t="s">
        <v>42</v>
      </c>
      <c r="C19" s="69"/>
      <c r="D19" s="69"/>
      <c r="E19" s="69"/>
      <c r="F19" s="69"/>
      <c r="G19" s="69"/>
      <c r="H19" s="69"/>
      <c r="I19" s="69"/>
    </row>
    <row r="20" spans="1:9" s="68" customFormat="1" x14ac:dyDescent="0.2">
      <c r="A20" s="70" t="s">
        <v>43</v>
      </c>
      <c r="B20" s="69" t="s">
        <v>44</v>
      </c>
      <c r="C20" s="69"/>
      <c r="D20" s="69"/>
      <c r="E20" s="69"/>
      <c r="F20" s="69"/>
      <c r="G20" s="69"/>
      <c r="H20" s="69"/>
      <c r="I20" s="69"/>
    </row>
    <row r="21" spans="1:9" s="68" customFormat="1" x14ac:dyDescent="0.2">
      <c r="A21" s="70" t="s">
        <v>45</v>
      </c>
      <c r="B21" s="69" t="s">
        <v>46</v>
      </c>
      <c r="C21" s="69"/>
      <c r="D21" s="69"/>
      <c r="E21" s="69"/>
      <c r="F21" s="69"/>
      <c r="G21" s="69"/>
      <c r="H21" s="69"/>
      <c r="I21" s="69"/>
    </row>
    <row r="22" spans="1:9" s="68" customFormat="1" x14ac:dyDescent="0.2">
      <c r="A22" s="70" t="s">
        <v>47</v>
      </c>
      <c r="B22" s="69" t="s">
        <v>48</v>
      </c>
      <c r="C22" s="69"/>
      <c r="D22" s="69"/>
      <c r="E22" s="69"/>
      <c r="F22" s="69"/>
      <c r="G22" s="69"/>
      <c r="H22" s="69"/>
      <c r="I22" s="69"/>
    </row>
    <row r="23" spans="1:9" s="68" customFormat="1" x14ac:dyDescent="0.2">
      <c r="A23" s="70" t="s">
        <v>49</v>
      </c>
      <c r="B23" s="69" t="s">
        <v>50</v>
      </c>
      <c r="C23" s="69"/>
      <c r="D23" s="69"/>
      <c r="E23" s="69"/>
      <c r="F23" s="69"/>
      <c r="G23" s="69"/>
      <c r="H23" s="69"/>
      <c r="I23" s="69"/>
    </row>
    <row r="24" spans="1:9" s="68" customFormat="1" x14ac:dyDescent="0.2">
      <c r="A24" s="70" t="s">
        <v>51</v>
      </c>
      <c r="B24" s="69" t="s">
        <v>52</v>
      </c>
      <c r="C24" s="69"/>
      <c r="D24" s="69"/>
      <c r="E24" s="69"/>
      <c r="F24" s="69"/>
      <c r="G24" s="69"/>
      <c r="H24" s="69"/>
      <c r="I24" s="69"/>
    </row>
    <row r="25" spans="1:9" s="68" customFormat="1" x14ac:dyDescent="0.2">
      <c r="A25" s="70" t="s">
        <v>53</v>
      </c>
      <c r="B25" s="69" t="s">
        <v>54</v>
      </c>
      <c r="C25" s="69"/>
      <c r="D25" s="69"/>
      <c r="E25" s="69"/>
      <c r="F25" s="69"/>
      <c r="G25" s="69"/>
      <c r="H25" s="69"/>
      <c r="I25" s="69"/>
    </row>
    <row r="26" spans="1:9" s="68" customFormat="1" x14ac:dyDescent="0.2">
      <c r="A26" s="70" t="s">
        <v>55</v>
      </c>
      <c r="B26" s="69" t="s">
        <v>56</v>
      </c>
      <c r="C26" s="69"/>
      <c r="D26" s="69"/>
      <c r="E26" s="69"/>
      <c r="F26" s="69"/>
      <c r="G26" s="69"/>
      <c r="H26" s="69"/>
      <c r="I26" s="69"/>
    </row>
    <row r="27" spans="1:9" s="68" customFormat="1" x14ac:dyDescent="0.2">
      <c r="A27" s="70" t="s">
        <v>57</v>
      </c>
      <c r="B27" s="69" t="s">
        <v>58</v>
      </c>
      <c r="C27" s="69"/>
      <c r="D27" s="69"/>
      <c r="E27" s="69"/>
      <c r="F27" s="69"/>
      <c r="G27" s="69"/>
      <c r="H27" s="69"/>
      <c r="I27" s="69"/>
    </row>
    <row r="28" spans="1:9" x14ac:dyDescent="0.2">
      <c r="A28" s="44"/>
      <c r="B28" s="67"/>
      <c r="C28" s="46"/>
    </row>
    <row r="29" spans="1:9" x14ac:dyDescent="0.2">
      <c r="A29" s="66"/>
    </row>
    <row r="30" spans="1:9" x14ac:dyDescent="0.2">
      <c r="A30" s="57" t="s">
        <v>59</v>
      </c>
      <c r="B30" s="65"/>
    </row>
    <row r="31" spans="1:9" hidden="1" x14ac:dyDescent="0.2">
      <c r="A31" s="64" t="s">
        <v>60</v>
      </c>
      <c r="B31" s="8" t="s">
        <v>339</v>
      </c>
      <c r="C31" s="63"/>
    </row>
    <row r="32" spans="1:9" x14ac:dyDescent="0.2">
      <c r="A32" s="62" t="s">
        <v>61</v>
      </c>
      <c r="B32" s="41" t="s">
        <v>336</v>
      </c>
    </row>
    <row r="33" spans="1:17" x14ac:dyDescent="0.2">
      <c r="A33" s="61" t="s">
        <v>62</v>
      </c>
      <c r="B33" s="60">
        <v>39624</v>
      </c>
    </row>
    <row r="34" spans="1:17" x14ac:dyDescent="0.2">
      <c r="A34" s="61" t="s">
        <v>63</v>
      </c>
      <c r="B34" s="60">
        <v>39670</v>
      </c>
    </row>
    <row r="35" spans="1:17" x14ac:dyDescent="0.2">
      <c r="A35" s="59" t="s">
        <v>64</v>
      </c>
      <c r="B35" s="41">
        <v>20</v>
      </c>
    </row>
    <row r="36" spans="1:17" ht="25.5" x14ac:dyDescent="0.2">
      <c r="A36" s="59" t="s">
        <v>65</v>
      </c>
      <c r="B36" s="41" t="s">
        <v>337</v>
      </c>
    </row>
    <row r="37" spans="1:17" x14ac:dyDescent="0.2">
      <c r="A37" s="59" t="s">
        <v>66</v>
      </c>
      <c r="B37" s="41">
        <v>1</v>
      </c>
      <c r="C37" s="10" t="s">
        <v>67</v>
      </c>
    </row>
    <row r="38" spans="1:17" x14ac:dyDescent="0.2">
      <c r="A38" s="48" t="s">
        <v>68</v>
      </c>
      <c r="B38" s="41"/>
    </row>
    <row r="39" spans="1:17" x14ac:dyDescent="0.2">
      <c r="A39" s="48" t="s">
        <v>69</v>
      </c>
      <c r="B39" s="41"/>
    </row>
    <row r="40" spans="1:17" ht="25.5" x14ac:dyDescent="0.2">
      <c r="A40" s="59" t="s">
        <v>70</v>
      </c>
      <c r="B40" s="41" t="s">
        <v>338</v>
      </c>
    </row>
    <row r="41" spans="1:17" ht="38.25" x14ac:dyDescent="0.2">
      <c r="A41" s="59"/>
      <c r="B41" s="41" t="s">
        <v>340</v>
      </c>
    </row>
    <row r="42" spans="1:17" ht="25.5" x14ac:dyDescent="0.2">
      <c r="A42" s="59"/>
      <c r="B42" s="41" t="s">
        <v>1638</v>
      </c>
    </row>
    <row r="43" spans="1:17" x14ac:dyDescent="0.2">
      <c r="A43" s="59"/>
      <c r="B43" s="41"/>
    </row>
    <row r="44" spans="1:17" x14ac:dyDescent="0.2">
      <c r="A44" s="59"/>
      <c r="B44" s="41"/>
    </row>
    <row r="45" spans="1:17" x14ac:dyDescent="0.2">
      <c r="A45" s="58"/>
      <c r="I45" s="9" t="s">
        <v>71</v>
      </c>
    </row>
    <row r="46" spans="1:17" x14ac:dyDescent="0.2">
      <c r="A46" s="57" t="s">
        <v>72</v>
      </c>
    </row>
    <row r="47" spans="1:17" x14ac:dyDescent="0.2">
      <c r="A47" s="48" t="s">
        <v>367</v>
      </c>
      <c r="B47" s="56" t="s">
        <v>1636</v>
      </c>
      <c r="C47" s="56" t="s">
        <v>366</v>
      </c>
      <c r="D47" s="56" t="s">
        <v>366</v>
      </c>
      <c r="E47" s="56" t="s">
        <v>366</v>
      </c>
      <c r="F47" s="56" t="s">
        <v>366</v>
      </c>
      <c r="G47" s="56" t="s">
        <v>366</v>
      </c>
      <c r="H47" s="56" t="s">
        <v>366</v>
      </c>
      <c r="I47" s="56" t="s">
        <v>366</v>
      </c>
      <c r="J47" s="10"/>
      <c r="K47" s="10"/>
      <c r="L47" s="10"/>
      <c r="M47" s="10"/>
      <c r="N47" s="10"/>
      <c r="O47" s="10"/>
      <c r="P47" s="10"/>
      <c r="Q47" s="10"/>
    </row>
    <row r="48" spans="1:17" x14ac:dyDescent="0.2">
      <c r="A48" s="48" t="s">
        <v>73</v>
      </c>
      <c r="B48" s="49" t="s">
        <v>317</v>
      </c>
      <c r="C48" s="49" t="str">
        <f t="shared" ref="C48:I48" si="0">IF(ISNA(INDEX(Sites,MATCH(C47,Site_name,0),3)),"Enter Description", INDEX(Sites,MATCH(C47,Site_name,0),3))</f>
        <v>Enter Description</v>
      </c>
      <c r="D48" s="49" t="str">
        <f t="shared" si="0"/>
        <v>Enter Description</v>
      </c>
      <c r="E48" s="49" t="str">
        <f t="shared" si="0"/>
        <v>Enter Description</v>
      </c>
      <c r="F48" s="49" t="str">
        <f t="shared" si="0"/>
        <v>Enter Description</v>
      </c>
      <c r="G48" s="49" t="str">
        <f t="shared" si="0"/>
        <v>Enter Description</v>
      </c>
      <c r="H48" s="49" t="str">
        <f t="shared" si="0"/>
        <v>Enter Description</v>
      </c>
      <c r="I48" s="49" t="str">
        <f t="shared" si="0"/>
        <v>Enter Description</v>
      </c>
      <c r="J48" s="10"/>
      <c r="K48" s="10"/>
      <c r="L48" s="10"/>
      <c r="M48" s="10"/>
      <c r="N48" s="10"/>
      <c r="O48" s="10"/>
    </row>
    <row r="49" spans="1:19" x14ac:dyDescent="0.2">
      <c r="A49" s="55" t="s">
        <v>74</v>
      </c>
      <c r="C49" s="11"/>
      <c r="D49" s="11"/>
      <c r="E49" s="11"/>
      <c r="F49" s="11"/>
      <c r="G49" s="11"/>
      <c r="H49" s="11"/>
      <c r="I49" s="11"/>
    </row>
    <row r="50" spans="1:19" x14ac:dyDescent="0.2">
      <c r="A50" s="53" t="s">
        <v>75</v>
      </c>
      <c r="B50" s="41">
        <v>-150.90848</v>
      </c>
      <c r="C50" s="41"/>
      <c r="D50" s="41"/>
      <c r="E50" s="41"/>
      <c r="F50" s="41"/>
      <c r="G50" s="41"/>
      <c r="H50" s="41"/>
      <c r="I50" s="41"/>
      <c r="J50" s="10"/>
      <c r="K50" s="10"/>
      <c r="L50" s="10"/>
      <c r="M50" s="10"/>
      <c r="N50" s="10"/>
      <c r="O50" s="10"/>
      <c r="P50" s="10"/>
      <c r="Q50" s="10"/>
      <c r="R50" s="10"/>
      <c r="S50" s="10"/>
    </row>
    <row r="51" spans="1:19" x14ac:dyDescent="0.2">
      <c r="A51" s="53" t="s">
        <v>76</v>
      </c>
      <c r="B51" s="54">
        <v>-150.19672</v>
      </c>
      <c r="C51" s="54"/>
      <c r="D51" s="54"/>
      <c r="E51" s="54"/>
      <c r="F51" s="54"/>
      <c r="G51" s="54"/>
      <c r="H51" s="54"/>
      <c r="I51" s="54"/>
      <c r="J51" s="10"/>
      <c r="K51" s="10"/>
      <c r="L51" s="10"/>
      <c r="M51" s="10"/>
      <c r="N51" s="10"/>
      <c r="O51" s="10"/>
      <c r="P51" s="10"/>
      <c r="Q51" s="10"/>
      <c r="R51" s="10"/>
      <c r="S51" s="10"/>
    </row>
    <row r="52" spans="1:19" x14ac:dyDescent="0.2">
      <c r="A52" s="53" t="s">
        <v>77</v>
      </c>
      <c r="B52" s="41">
        <v>69.34084</v>
      </c>
      <c r="C52" s="41"/>
      <c r="D52" s="41"/>
      <c r="E52" s="41"/>
      <c r="F52" s="41"/>
      <c r="G52" s="41"/>
      <c r="H52" s="41"/>
      <c r="I52" s="41"/>
      <c r="J52" s="10"/>
      <c r="K52" s="10"/>
      <c r="L52" s="10"/>
      <c r="M52" s="10"/>
      <c r="N52" s="10"/>
      <c r="O52" s="10"/>
      <c r="P52" s="10"/>
      <c r="Q52" s="10"/>
      <c r="R52" s="10"/>
      <c r="S52" s="10"/>
    </row>
    <row r="53" spans="1:19" x14ac:dyDescent="0.2">
      <c r="A53" s="53" t="s">
        <v>78</v>
      </c>
      <c r="B53" s="52">
        <v>68.949629999999999</v>
      </c>
      <c r="C53" s="52"/>
      <c r="D53" s="52"/>
      <c r="E53" s="52"/>
      <c r="F53" s="52"/>
      <c r="G53" s="52"/>
      <c r="H53" s="52"/>
      <c r="I53" s="52"/>
      <c r="J53" s="10"/>
      <c r="K53" s="10"/>
      <c r="L53" s="10"/>
      <c r="M53" s="10"/>
      <c r="N53" s="10"/>
      <c r="O53" s="10"/>
      <c r="P53" s="10"/>
      <c r="Q53" s="10"/>
      <c r="R53" s="10"/>
      <c r="S53" s="10"/>
    </row>
    <row r="54" spans="1:19" x14ac:dyDescent="0.2">
      <c r="A54" s="51" t="s">
        <v>79</v>
      </c>
      <c r="B54" s="50"/>
      <c r="C54" s="50"/>
      <c r="D54" s="50"/>
      <c r="E54" s="50"/>
      <c r="F54" s="50"/>
      <c r="G54" s="50"/>
      <c r="H54" s="50"/>
      <c r="I54" s="50"/>
    </row>
    <row r="55" spans="1:19" x14ac:dyDescent="0.2">
      <c r="A55" s="48" t="s">
        <v>80</v>
      </c>
      <c r="B55" s="49" t="str">
        <f t="shared" ref="B55:I55" si="1">IF(ISNA(INDEX(Sites,MATCH(B47,Site_name,0),4)),"In Decimal Degrees", INDEX(Sites,MATCH(B47,Site_name,0),4))</f>
        <v>In Decimal Degrees</v>
      </c>
      <c r="C55" s="49" t="str">
        <f t="shared" si="1"/>
        <v>In Decimal Degrees</v>
      </c>
      <c r="D55" s="49" t="str">
        <f t="shared" si="1"/>
        <v>In Decimal Degrees</v>
      </c>
      <c r="E55" s="49" t="str">
        <f t="shared" si="1"/>
        <v>In Decimal Degrees</v>
      </c>
      <c r="F55" s="49" t="str">
        <f t="shared" si="1"/>
        <v>In Decimal Degrees</v>
      </c>
      <c r="G55" s="49" t="str">
        <f t="shared" si="1"/>
        <v>In Decimal Degrees</v>
      </c>
      <c r="H55" s="49" t="str">
        <f t="shared" si="1"/>
        <v>In Decimal Degrees</v>
      </c>
      <c r="I55" s="49" t="str">
        <f t="shared" si="1"/>
        <v>In Decimal Degrees</v>
      </c>
      <c r="J55" s="10"/>
      <c r="K55" s="10"/>
      <c r="L55" s="10"/>
      <c r="M55" s="10"/>
      <c r="N55" s="10"/>
      <c r="O55" s="10"/>
      <c r="P55" s="10"/>
      <c r="Q55" s="10"/>
    </row>
    <row r="56" spans="1:19" x14ac:dyDescent="0.2">
      <c r="A56" s="48" t="s">
        <v>81</v>
      </c>
      <c r="B56" s="49" t="str">
        <f t="shared" ref="B56:I56" si="2">IF(ISNA(INDEX(Sites,MATCH(B47,Site_name,0),5)),"In Decimal Degrees", INDEX(Sites,MATCH(B47,Site_name,0),5))</f>
        <v>In Decimal Degrees</v>
      </c>
      <c r="C56" s="49" t="str">
        <f t="shared" si="2"/>
        <v>In Decimal Degrees</v>
      </c>
      <c r="D56" s="49" t="str">
        <f t="shared" si="2"/>
        <v>In Decimal Degrees</v>
      </c>
      <c r="E56" s="49" t="str">
        <f t="shared" si="2"/>
        <v>In Decimal Degrees</v>
      </c>
      <c r="F56" s="49" t="str">
        <f t="shared" si="2"/>
        <v>In Decimal Degrees</v>
      </c>
      <c r="G56" s="49" t="str">
        <f t="shared" si="2"/>
        <v>In Decimal Degrees</v>
      </c>
      <c r="H56" s="49" t="str">
        <f t="shared" si="2"/>
        <v>In Decimal Degrees</v>
      </c>
      <c r="I56" s="49" t="str">
        <f t="shared" si="2"/>
        <v>In Decimal Degrees</v>
      </c>
      <c r="J56" s="10"/>
      <c r="K56" s="10"/>
      <c r="L56" s="10"/>
      <c r="M56" s="10"/>
      <c r="N56" s="10"/>
      <c r="O56" s="10"/>
      <c r="P56" s="10"/>
      <c r="Q56" s="10"/>
    </row>
    <row r="57" spans="1:19" x14ac:dyDescent="0.2">
      <c r="A57" s="48" t="s">
        <v>82</v>
      </c>
      <c r="B57" s="49" t="str">
        <f t="shared" ref="B57:I57" si="3">IF(ISNA(INDEX(Sites,MATCH(B47,Site_name,0),6)),"In Meters", INDEX(Sites,MATCH(B47,Site_name,0),6))</f>
        <v>In Meters</v>
      </c>
      <c r="C57" s="49" t="str">
        <f t="shared" si="3"/>
        <v>In Meters</v>
      </c>
      <c r="D57" s="49" t="str">
        <f t="shared" si="3"/>
        <v>In Meters</v>
      </c>
      <c r="E57" s="49" t="str">
        <f t="shared" si="3"/>
        <v>In Meters</v>
      </c>
      <c r="F57" s="49" t="str">
        <f t="shared" si="3"/>
        <v>In Meters</v>
      </c>
      <c r="G57" s="49" t="str">
        <f t="shared" si="3"/>
        <v>In Meters</v>
      </c>
      <c r="H57" s="49" t="str">
        <f t="shared" si="3"/>
        <v>In Meters</v>
      </c>
      <c r="I57" s="49" t="str">
        <f t="shared" si="3"/>
        <v>In Meters</v>
      </c>
      <c r="J57" s="10"/>
      <c r="K57" s="10"/>
      <c r="L57" s="10"/>
      <c r="M57" s="10"/>
      <c r="N57" s="10"/>
      <c r="O57" s="10"/>
      <c r="P57" s="10"/>
      <c r="Q57" s="10"/>
    </row>
    <row r="58" spans="1:19" x14ac:dyDescent="0.2">
      <c r="A58" s="48" t="s">
        <v>365</v>
      </c>
      <c r="B58" s="47" t="str">
        <f t="shared" ref="B58:I58" si="4">IF(ISNUMBER(B$55),HYPERLINK("http://maps.google.com/maps?q="&amp;B55&amp;","&amp;B56,"View on Google Map"),"")</f>
        <v/>
      </c>
      <c r="C58" s="47" t="str">
        <f t="shared" si="4"/>
        <v/>
      </c>
      <c r="D58" s="47" t="str">
        <f t="shared" si="4"/>
        <v/>
      </c>
      <c r="E58" s="47" t="str">
        <f t="shared" si="4"/>
        <v/>
      </c>
      <c r="F58" s="47" t="str">
        <f t="shared" si="4"/>
        <v/>
      </c>
      <c r="G58" s="47" t="str">
        <f t="shared" si="4"/>
        <v/>
      </c>
      <c r="H58" s="47" t="str">
        <f t="shared" si="4"/>
        <v/>
      </c>
      <c r="I58" s="47" t="str">
        <f t="shared" si="4"/>
        <v/>
      </c>
    </row>
    <row r="59" spans="1:19" x14ac:dyDescent="0.2">
      <c r="A59" s="20"/>
      <c r="B59" s="19"/>
      <c r="C59" s="19"/>
      <c r="D59" s="19"/>
    </row>
    <row r="60" spans="1:19" x14ac:dyDescent="0.2">
      <c r="A60" s="43" t="s">
        <v>83</v>
      </c>
      <c r="B60" s="19"/>
      <c r="C60" s="46"/>
    </row>
    <row r="61" spans="1:19" x14ac:dyDescent="0.2">
      <c r="A61" s="45" t="s">
        <v>84</v>
      </c>
      <c r="B61" s="41"/>
      <c r="C61" s="10" t="s">
        <v>85</v>
      </c>
    </row>
    <row r="62" spans="1:19" x14ac:dyDescent="0.2">
      <c r="A62" s="44"/>
    </row>
    <row r="63" spans="1:19" x14ac:dyDescent="0.2">
      <c r="A63" s="43" t="s">
        <v>86</v>
      </c>
    </row>
    <row r="64" spans="1:19" ht="25.5" x14ac:dyDescent="0.2">
      <c r="A64" s="42" t="s">
        <v>87</v>
      </c>
      <c r="B64" s="41" t="s">
        <v>318</v>
      </c>
    </row>
    <row r="65" spans="1:2" x14ac:dyDescent="0.2">
      <c r="A65" s="20"/>
      <c r="B65" s="19"/>
    </row>
    <row r="66" spans="1:2" s="22" customFormat="1" ht="15" x14ac:dyDescent="0.2">
      <c r="A66" s="21"/>
      <c r="B66" s="40"/>
    </row>
    <row r="67" spans="1:2" ht="15" x14ac:dyDescent="0.2">
      <c r="A67" s="18" t="s">
        <v>88</v>
      </c>
      <c r="B67" s="39"/>
    </row>
    <row r="68" spans="1:2" s="22" customFormat="1" x14ac:dyDescent="0.2">
      <c r="A68" s="38"/>
    </row>
    <row r="69" spans="1:2" s="22" customFormat="1" x14ac:dyDescent="0.2">
      <c r="A69" s="21"/>
      <c r="B69" s="37"/>
    </row>
    <row r="70" spans="1:2" s="22" customFormat="1" x14ac:dyDescent="0.2">
      <c r="A70" s="21"/>
    </row>
    <row r="71" spans="1:2" s="22" customFormat="1" x14ac:dyDescent="0.2">
      <c r="A71" s="21"/>
    </row>
    <row r="72" spans="1:2" s="22" customFormat="1" x14ac:dyDescent="0.2">
      <c r="A72" s="21"/>
    </row>
    <row r="73" spans="1:2" s="22" customFormat="1" x14ac:dyDescent="0.2">
      <c r="A73" s="21"/>
    </row>
    <row r="74" spans="1:2" s="22" customFormat="1" x14ac:dyDescent="0.2">
      <c r="A74" s="21"/>
    </row>
    <row r="75" spans="1:2" s="22" customFormat="1" x14ac:dyDescent="0.2">
      <c r="A75" s="21"/>
    </row>
    <row r="76" spans="1:2" s="22" customFormat="1" x14ac:dyDescent="0.2">
      <c r="A76" s="21"/>
    </row>
    <row r="77" spans="1:2" s="22" customFormat="1" x14ac:dyDescent="0.2">
      <c r="A77" s="21"/>
    </row>
    <row r="78" spans="1:2" s="22" customFormat="1" x14ac:dyDescent="0.2">
      <c r="A78" s="21"/>
    </row>
    <row r="79" spans="1:2" s="22" customFormat="1" x14ac:dyDescent="0.2">
      <c r="A79" s="21"/>
    </row>
    <row r="80" spans="1:2" s="22" customFormat="1" x14ac:dyDescent="0.2">
      <c r="A80" s="21"/>
    </row>
    <row r="81" spans="1:1" s="22" customFormat="1" x14ac:dyDescent="0.2">
      <c r="A81" s="21"/>
    </row>
    <row r="82" spans="1:1" s="22" customFormat="1" x14ac:dyDescent="0.2">
      <c r="A82" s="21"/>
    </row>
    <row r="83" spans="1:1" s="22" customFormat="1" x14ac:dyDescent="0.2">
      <c r="A83" s="21"/>
    </row>
    <row r="84" spans="1:1" s="22" customFormat="1" x14ac:dyDescent="0.2">
      <c r="A84" s="21"/>
    </row>
    <row r="85" spans="1:1" s="22" customFormat="1" x14ac:dyDescent="0.2">
      <c r="A85" s="21"/>
    </row>
    <row r="86" spans="1:1" s="22" customFormat="1" x14ac:dyDescent="0.2">
      <c r="A86" s="21"/>
    </row>
    <row r="87" spans="1:1" s="22" customFormat="1" x14ac:dyDescent="0.2">
      <c r="A87" s="21"/>
    </row>
    <row r="88" spans="1:1" s="22" customFormat="1" x14ac:dyDescent="0.2">
      <c r="A88" s="21"/>
    </row>
    <row r="89" spans="1:1" s="22" customFormat="1" x14ac:dyDescent="0.2">
      <c r="A89" s="21"/>
    </row>
    <row r="90" spans="1:1" s="22" customFormat="1" x14ac:dyDescent="0.2">
      <c r="A90" s="21"/>
    </row>
    <row r="91" spans="1:1" s="22" customFormat="1" x14ac:dyDescent="0.2">
      <c r="A91" s="21"/>
    </row>
    <row r="92" spans="1:1" s="22" customFormat="1" x14ac:dyDescent="0.2">
      <c r="A92" s="21"/>
    </row>
    <row r="93" spans="1:1" s="22" customFormat="1" x14ac:dyDescent="0.2">
      <c r="A93" s="21"/>
    </row>
    <row r="94" spans="1:1" s="22" customFormat="1" x14ac:dyDescent="0.2">
      <c r="A94" s="21"/>
    </row>
    <row r="95" spans="1:1" s="22" customFormat="1" x14ac:dyDescent="0.2">
      <c r="A95" s="21"/>
    </row>
    <row r="96" spans="1:1" s="22" customFormat="1" x14ac:dyDescent="0.2">
      <c r="A96" s="21"/>
    </row>
    <row r="97" spans="1:1" s="22" customFormat="1" x14ac:dyDescent="0.2">
      <c r="A97" s="21"/>
    </row>
    <row r="98" spans="1:1" s="22" customFormat="1" x14ac:dyDescent="0.2">
      <c r="A98" s="21"/>
    </row>
    <row r="99" spans="1:1" s="22" customFormat="1" x14ac:dyDescent="0.2">
      <c r="A99" s="21"/>
    </row>
    <row r="100" spans="1:1" s="22" customFormat="1" x14ac:dyDescent="0.2">
      <c r="A100" s="21"/>
    </row>
    <row r="101" spans="1:1" s="22" customFormat="1" x14ac:dyDescent="0.2">
      <c r="A101" s="21"/>
    </row>
    <row r="102" spans="1:1" s="22" customFormat="1" x14ac:dyDescent="0.2">
      <c r="A102" s="21"/>
    </row>
    <row r="103" spans="1:1" s="22" customFormat="1" x14ac:dyDescent="0.2">
      <c r="A103" s="21"/>
    </row>
    <row r="104" spans="1:1" s="22" customFormat="1" x14ac:dyDescent="0.2">
      <c r="A104" s="21"/>
    </row>
    <row r="105" spans="1:1" s="22" customFormat="1" x14ac:dyDescent="0.2">
      <c r="A105" s="21"/>
    </row>
    <row r="106" spans="1:1" s="22" customFormat="1" x14ac:dyDescent="0.2">
      <c r="A106" s="21"/>
    </row>
    <row r="107" spans="1:1" s="22" customFormat="1" x14ac:dyDescent="0.2">
      <c r="A107" s="21"/>
    </row>
    <row r="108" spans="1:1" s="22" customFormat="1" x14ac:dyDescent="0.2">
      <c r="A108" s="21"/>
    </row>
    <row r="109" spans="1:1" s="22" customFormat="1" x14ac:dyDescent="0.2">
      <c r="A109" s="21"/>
    </row>
    <row r="110" spans="1:1" s="22" customFormat="1" x14ac:dyDescent="0.2">
      <c r="A110" s="21"/>
    </row>
    <row r="111" spans="1:1" s="22" customFormat="1" x14ac:dyDescent="0.2">
      <c r="A111" s="21"/>
    </row>
    <row r="112" spans="1:1" s="22" customFormat="1" x14ac:dyDescent="0.2">
      <c r="A112" s="21"/>
    </row>
    <row r="113" spans="1:1" s="22" customFormat="1" x14ac:dyDescent="0.2">
      <c r="A113" s="21"/>
    </row>
    <row r="114" spans="1:1" s="22" customFormat="1" x14ac:dyDescent="0.2">
      <c r="A114" s="21"/>
    </row>
    <row r="115" spans="1:1" s="22" customFormat="1" x14ac:dyDescent="0.2">
      <c r="A115" s="21"/>
    </row>
    <row r="116" spans="1:1" s="22" customFormat="1" x14ac:dyDescent="0.2">
      <c r="A116" s="21"/>
    </row>
    <row r="117" spans="1:1" s="22" customFormat="1" x14ac:dyDescent="0.2">
      <c r="A117" s="21"/>
    </row>
    <row r="118" spans="1:1" s="22" customFormat="1" x14ac:dyDescent="0.2">
      <c r="A118" s="21"/>
    </row>
    <row r="119" spans="1:1" s="22" customFormat="1" x14ac:dyDescent="0.2">
      <c r="A119" s="21"/>
    </row>
    <row r="120" spans="1:1" s="22" customFormat="1" x14ac:dyDescent="0.2">
      <c r="A120" s="21"/>
    </row>
    <row r="121" spans="1:1" s="22" customFormat="1" x14ac:dyDescent="0.2">
      <c r="A121" s="21"/>
    </row>
    <row r="122" spans="1:1" s="22" customFormat="1" x14ac:dyDescent="0.2">
      <c r="A122" s="21"/>
    </row>
    <row r="123" spans="1:1" s="22" customFormat="1" x14ac:dyDescent="0.2">
      <c r="A123" s="21"/>
    </row>
    <row r="124" spans="1:1" s="22" customFormat="1" x14ac:dyDescent="0.2">
      <c r="A124" s="21"/>
    </row>
    <row r="125" spans="1:1" s="22" customFormat="1" x14ac:dyDescent="0.2">
      <c r="A125" s="21"/>
    </row>
    <row r="126" spans="1:1" s="22" customFormat="1" x14ac:dyDescent="0.2">
      <c r="A126" s="21"/>
    </row>
    <row r="127" spans="1:1" s="22" customFormat="1" x14ac:dyDescent="0.2">
      <c r="A127" s="21"/>
    </row>
    <row r="128" spans="1:1" s="22" customFormat="1" x14ac:dyDescent="0.2">
      <c r="A128" s="21"/>
    </row>
    <row r="129" spans="1:1" s="22" customFormat="1" x14ac:dyDescent="0.2">
      <c r="A129" s="21"/>
    </row>
    <row r="130" spans="1:1" s="22" customFormat="1" x14ac:dyDescent="0.2">
      <c r="A130" s="21"/>
    </row>
    <row r="131" spans="1:1" s="22" customFormat="1" x14ac:dyDescent="0.2">
      <c r="A131" s="21"/>
    </row>
    <row r="132" spans="1:1" s="22" customFormat="1" x14ac:dyDescent="0.2">
      <c r="A132" s="21"/>
    </row>
    <row r="133" spans="1:1" s="22" customFormat="1" x14ac:dyDescent="0.2">
      <c r="A133" s="21"/>
    </row>
    <row r="134" spans="1:1" s="22" customFormat="1" x14ac:dyDescent="0.2">
      <c r="A134" s="21"/>
    </row>
    <row r="135" spans="1:1" s="22" customFormat="1" x14ac:dyDescent="0.2">
      <c r="A135" s="21"/>
    </row>
    <row r="136" spans="1:1" s="22" customFormat="1" x14ac:dyDescent="0.2">
      <c r="A136" s="21"/>
    </row>
    <row r="137" spans="1:1" s="22" customFormat="1" x14ac:dyDescent="0.2">
      <c r="A137" s="21"/>
    </row>
    <row r="138" spans="1:1" s="22" customFormat="1" x14ac:dyDescent="0.2">
      <c r="A138" s="21"/>
    </row>
    <row r="139" spans="1:1" s="22" customFormat="1" x14ac:dyDescent="0.2">
      <c r="A139" s="21"/>
    </row>
    <row r="140" spans="1:1" s="22" customFormat="1" x14ac:dyDescent="0.2">
      <c r="A140" s="21"/>
    </row>
    <row r="141" spans="1:1" s="22" customFormat="1" x14ac:dyDescent="0.2">
      <c r="A141" s="21"/>
    </row>
    <row r="142" spans="1:1" s="22" customFormat="1" x14ac:dyDescent="0.2">
      <c r="A142" s="21"/>
    </row>
    <row r="143" spans="1:1" s="22" customFormat="1" x14ac:dyDescent="0.2">
      <c r="A143" s="21"/>
    </row>
    <row r="144" spans="1:1" s="22" customFormat="1" x14ac:dyDescent="0.2">
      <c r="A144" s="21"/>
    </row>
    <row r="145" spans="1:1" s="22" customFormat="1" x14ac:dyDescent="0.2">
      <c r="A145" s="21"/>
    </row>
    <row r="146" spans="1:1" s="22" customFormat="1" x14ac:dyDescent="0.2">
      <c r="A146" s="21"/>
    </row>
    <row r="147" spans="1:1" s="22" customFormat="1" x14ac:dyDescent="0.2">
      <c r="A147" s="21"/>
    </row>
    <row r="148" spans="1:1" s="22" customFormat="1" x14ac:dyDescent="0.2">
      <c r="A148" s="21"/>
    </row>
    <row r="149" spans="1:1" s="22" customFormat="1" x14ac:dyDescent="0.2">
      <c r="A149" s="21"/>
    </row>
    <row r="150" spans="1:1" s="22" customFormat="1" x14ac:dyDescent="0.2">
      <c r="A150" s="21"/>
    </row>
    <row r="151" spans="1:1" s="22" customFormat="1" x14ac:dyDescent="0.2">
      <c r="A151" s="21"/>
    </row>
    <row r="152" spans="1:1" s="22" customFormat="1" x14ac:dyDescent="0.2">
      <c r="A152" s="21"/>
    </row>
    <row r="153" spans="1:1" s="22" customFormat="1" x14ac:dyDescent="0.2">
      <c r="A153" s="21"/>
    </row>
    <row r="154" spans="1:1" s="22" customFormat="1" x14ac:dyDescent="0.2">
      <c r="A154" s="21"/>
    </row>
    <row r="155" spans="1:1" s="22" customFormat="1" x14ac:dyDescent="0.2">
      <c r="A155" s="21"/>
    </row>
    <row r="156" spans="1:1" s="22" customFormat="1" x14ac:dyDescent="0.2">
      <c r="A156" s="21"/>
    </row>
    <row r="157" spans="1:1" s="22" customFormat="1" x14ac:dyDescent="0.2">
      <c r="A157" s="21"/>
    </row>
    <row r="158" spans="1:1" s="22" customFormat="1" x14ac:dyDescent="0.2">
      <c r="A158" s="21"/>
    </row>
    <row r="159" spans="1:1" s="22" customFormat="1" x14ac:dyDescent="0.2">
      <c r="A159" s="21"/>
    </row>
    <row r="160" spans="1:1" s="22" customFormat="1" x14ac:dyDescent="0.2">
      <c r="A160" s="21"/>
    </row>
    <row r="161" spans="1:1" s="22" customFormat="1" x14ac:dyDescent="0.2">
      <c r="A161" s="21"/>
    </row>
    <row r="162" spans="1:1" s="22" customFormat="1" x14ac:dyDescent="0.2">
      <c r="A162" s="21"/>
    </row>
    <row r="163" spans="1:1" s="22" customFormat="1" x14ac:dyDescent="0.2">
      <c r="A163" s="21"/>
    </row>
    <row r="164" spans="1:1" s="22" customFormat="1" x14ac:dyDescent="0.2">
      <c r="A164" s="21"/>
    </row>
    <row r="165" spans="1:1" s="22" customFormat="1" x14ac:dyDescent="0.2">
      <c r="A165" s="21"/>
    </row>
    <row r="166" spans="1:1" s="22" customFormat="1" x14ac:dyDescent="0.2">
      <c r="A166" s="21"/>
    </row>
    <row r="167" spans="1:1" s="22" customFormat="1" x14ac:dyDescent="0.2">
      <c r="A167" s="21"/>
    </row>
    <row r="168" spans="1:1" s="22" customFormat="1" x14ac:dyDescent="0.2">
      <c r="A168" s="21"/>
    </row>
    <row r="169" spans="1:1" s="22" customFormat="1" x14ac:dyDescent="0.2">
      <c r="A169" s="21"/>
    </row>
    <row r="170" spans="1:1" s="22" customFormat="1" x14ac:dyDescent="0.2">
      <c r="A170" s="21"/>
    </row>
    <row r="171" spans="1:1" s="22" customFormat="1" x14ac:dyDescent="0.2">
      <c r="A171" s="21"/>
    </row>
    <row r="172" spans="1:1" s="22" customFormat="1" x14ac:dyDescent="0.2">
      <c r="A172" s="21"/>
    </row>
    <row r="173" spans="1:1" s="22" customFormat="1" x14ac:dyDescent="0.2">
      <c r="A173" s="21"/>
    </row>
    <row r="174" spans="1:1" s="22" customFormat="1" x14ac:dyDescent="0.2">
      <c r="A174" s="21"/>
    </row>
    <row r="175" spans="1:1" s="22" customFormat="1" x14ac:dyDescent="0.2">
      <c r="A175" s="21"/>
    </row>
    <row r="176" spans="1:1" s="22" customFormat="1" x14ac:dyDescent="0.2">
      <c r="A176" s="21"/>
    </row>
    <row r="177" spans="1:2" s="22" customFormat="1" x14ac:dyDescent="0.2">
      <c r="A177" s="21"/>
    </row>
    <row r="178" spans="1:2" s="22" customFormat="1" x14ac:dyDescent="0.2">
      <c r="A178" s="21"/>
    </row>
    <row r="179" spans="1:2" s="22" customFormat="1" x14ac:dyDescent="0.2">
      <c r="A179" s="21"/>
    </row>
    <row r="180" spans="1:2" s="22" customFormat="1" x14ac:dyDescent="0.2">
      <c r="A180" s="21"/>
    </row>
    <row r="181" spans="1:2" s="22" customFormat="1" x14ac:dyDescent="0.2">
      <c r="A181" s="21"/>
    </row>
    <row r="182" spans="1:2" s="22" customFormat="1" x14ac:dyDescent="0.2">
      <c r="A182" s="21"/>
    </row>
    <row r="183" spans="1:2" s="22" customFormat="1" x14ac:dyDescent="0.2">
      <c r="A183" s="21"/>
    </row>
    <row r="184" spans="1:2" s="22" customFormat="1" x14ac:dyDescent="0.2">
      <c r="A184" s="21"/>
    </row>
    <row r="185" spans="1:2" s="22" customFormat="1" x14ac:dyDescent="0.2">
      <c r="A185" s="21"/>
    </row>
    <row r="186" spans="1:2" s="22" customFormat="1" x14ac:dyDescent="0.2">
      <c r="A186" s="21"/>
    </row>
    <row r="187" spans="1:2" s="22" customFormat="1" x14ac:dyDescent="0.2">
      <c r="A187" s="21"/>
    </row>
    <row r="188" spans="1:2" s="22" customFormat="1" x14ac:dyDescent="0.2">
      <c r="A188" s="21"/>
    </row>
    <row r="189" spans="1:2" s="22" customFormat="1" x14ac:dyDescent="0.2">
      <c r="A189" s="21"/>
    </row>
    <row r="190" spans="1:2" s="22" customFormat="1" x14ac:dyDescent="0.2">
      <c r="A190" s="21"/>
    </row>
    <row r="191" spans="1:2" s="22" customFormat="1" x14ac:dyDescent="0.2">
      <c r="A191" s="21"/>
    </row>
    <row r="192" spans="1:2" s="22" customFormat="1" x14ac:dyDescent="0.2">
      <c r="A192" s="21"/>
      <c r="B192" s="33"/>
    </row>
    <row r="193" spans="1:10" s="22" customFormat="1" x14ac:dyDescent="0.2">
      <c r="A193" s="21"/>
      <c r="B193" s="33"/>
    </row>
    <row r="194" spans="1:10" s="22" customFormat="1" x14ac:dyDescent="0.2">
      <c r="A194" s="21"/>
      <c r="B194" s="33"/>
    </row>
    <row r="195" spans="1:10" s="35" customFormat="1" x14ac:dyDescent="0.2">
      <c r="A195" s="21"/>
      <c r="B195" s="33"/>
      <c r="C195" s="22"/>
      <c r="D195" s="22"/>
      <c r="E195" s="22"/>
      <c r="F195" s="22"/>
      <c r="G195" s="22"/>
      <c r="H195" s="22"/>
      <c r="I195" s="22"/>
      <c r="J195" s="36"/>
    </row>
    <row r="196" spans="1:10" s="22" customFormat="1" x14ac:dyDescent="0.2">
      <c r="A196" s="21"/>
      <c r="B196" s="33"/>
    </row>
    <row r="197" spans="1:10" s="22" customFormat="1" x14ac:dyDescent="0.2">
      <c r="A197" s="21"/>
      <c r="B197" s="33"/>
    </row>
    <row r="198" spans="1:10" s="22" customFormat="1" x14ac:dyDescent="0.2">
      <c r="A198" s="21"/>
      <c r="B198" s="33"/>
    </row>
    <row r="199" spans="1:10" s="22" customFormat="1" x14ac:dyDescent="0.2">
      <c r="A199" s="21"/>
      <c r="B199" s="33"/>
    </row>
    <row r="200" spans="1:10" s="22" customFormat="1" x14ac:dyDescent="0.2">
      <c r="A200" s="21"/>
      <c r="B200" s="33"/>
    </row>
    <row r="201" spans="1:10" s="22" customFormat="1" x14ac:dyDescent="0.2">
      <c r="A201" s="21"/>
      <c r="B201" s="33"/>
    </row>
    <row r="202" spans="1:10" s="22" customFormat="1" x14ac:dyDescent="0.2">
      <c r="A202" s="21"/>
      <c r="B202" s="33"/>
    </row>
    <row r="203" spans="1:10" s="22" customFormat="1" x14ac:dyDescent="0.2">
      <c r="A203" s="21"/>
      <c r="B203" s="33"/>
    </row>
    <row r="204" spans="1:10" s="22" customFormat="1" x14ac:dyDescent="0.2">
      <c r="A204" s="21"/>
      <c r="B204" s="33"/>
    </row>
    <row r="205" spans="1:10" s="22" customFormat="1" x14ac:dyDescent="0.2">
      <c r="A205" s="21"/>
      <c r="B205" s="33"/>
    </row>
    <row r="206" spans="1:10" s="22" customFormat="1" x14ac:dyDescent="0.2">
      <c r="A206" s="21"/>
      <c r="B206" s="33"/>
    </row>
    <row r="207" spans="1:10" s="22" customFormat="1" x14ac:dyDescent="0.2">
      <c r="A207" s="21"/>
      <c r="B207" s="33"/>
    </row>
    <row r="208" spans="1:10" s="22" customFormat="1" x14ac:dyDescent="0.2">
      <c r="A208" s="21"/>
      <c r="B208" s="34"/>
    </row>
    <row r="209" spans="1:14" s="22" customFormat="1" ht="13.5" thickBot="1" x14ac:dyDescent="0.25">
      <c r="A209" s="21"/>
      <c r="B209" s="33"/>
    </row>
    <row r="210" spans="1:14" s="22" customFormat="1" ht="13.5" thickBot="1" x14ac:dyDescent="0.25">
      <c r="A210" s="32" t="s">
        <v>89</v>
      </c>
      <c r="B210" s="31"/>
    </row>
    <row r="211" spans="1:14" s="22" customFormat="1" x14ac:dyDescent="0.2">
      <c r="A211" s="30" t="s">
        <v>90</v>
      </c>
      <c r="B211" s="29"/>
      <c r="C211" s="28"/>
    </row>
    <row r="212" spans="1:14" s="22" customFormat="1" x14ac:dyDescent="0.2">
      <c r="A212" s="27" t="s">
        <v>91</v>
      </c>
      <c r="B212" s="26"/>
      <c r="C212" s="25"/>
      <c r="D212" s="22" t="s">
        <v>92</v>
      </c>
    </row>
    <row r="213" spans="1:14" s="22" customFormat="1" x14ac:dyDescent="0.2">
      <c r="A213" s="23" t="s">
        <v>93</v>
      </c>
      <c r="B213" s="11"/>
    </row>
    <row r="214" spans="1:14" s="22" customFormat="1" x14ac:dyDescent="0.2">
      <c r="A214" s="24" t="s">
        <v>94</v>
      </c>
      <c r="B214" s="11"/>
    </row>
    <row r="215" spans="1:14" s="22" customFormat="1" x14ac:dyDescent="0.2">
      <c r="A215" s="23"/>
      <c r="B215" s="11"/>
    </row>
    <row r="216" spans="1:14" s="22" customFormat="1" x14ac:dyDescent="0.2">
      <c r="A216" s="23"/>
      <c r="B216" s="11"/>
    </row>
    <row r="217" spans="1:14" s="22" customFormat="1" x14ac:dyDescent="0.2">
      <c r="A217" s="23"/>
      <c r="B217" s="11"/>
    </row>
    <row r="218" spans="1:14" x14ac:dyDescent="0.2">
      <c r="A218" s="21"/>
      <c r="C218" s="20"/>
      <c r="D218" s="19"/>
    </row>
    <row r="219" spans="1:14" x14ac:dyDescent="0.2">
      <c r="A219" s="21"/>
      <c r="C219" s="20"/>
      <c r="D219" s="19"/>
    </row>
    <row r="220" spans="1:14" x14ac:dyDescent="0.2">
      <c r="A220" s="21"/>
      <c r="C220" s="20"/>
      <c r="D220" s="19"/>
    </row>
    <row r="221" spans="1:14" x14ac:dyDescent="0.2">
      <c r="A221" s="18" t="s">
        <v>95</v>
      </c>
      <c r="K221" s="17" t="s">
        <v>96</v>
      </c>
    </row>
    <row r="222" spans="1:14" ht="28.15" customHeight="1" x14ac:dyDescent="0.2">
      <c r="A222" s="4" t="s">
        <v>97</v>
      </c>
      <c r="B222" s="4" t="s">
        <v>98</v>
      </c>
      <c r="C222" s="4" t="s">
        <v>99</v>
      </c>
      <c r="D222" s="5" t="s">
        <v>100</v>
      </c>
      <c r="E222" s="4" t="s">
        <v>101</v>
      </c>
      <c r="F222" s="4" t="s">
        <v>102</v>
      </c>
      <c r="G222" s="4" t="s">
        <v>103</v>
      </c>
      <c r="H222" s="16"/>
      <c r="I222" s="16"/>
      <c r="K222" s="15" t="s">
        <v>36</v>
      </c>
      <c r="L222" s="15" t="s">
        <v>104</v>
      </c>
      <c r="M222" s="15" t="s">
        <v>105</v>
      </c>
      <c r="N222" s="15" t="s">
        <v>106</v>
      </c>
    </row>
    <row r="223" spans="1:14" x14ac:dyDescent="0.2">
      <c r="A223" s="7" t="s">
        <v>18</v>
      </c>
      <c r="B223" s="6" t="s">
        <v>107</v>
      </c>
      <c r="C223" s="6" t="s">
        <v>108</v>
      </c>
      <c r="D223" s="6"/>
      <c r="E223" s="6"/>
      <c r="F223" s="6"/>
      <c r="G223" s="6"/>
      <c r="H223" s="6"/>
      <c r="I223" s="6"/>
      <c r="L223" s="9" t="s">
        <v>109</v>
      </c>
      <c r="M223" s="14"/>
    </row>
    <row r="224" spans="1:14" x14ac:dyDescent="0.2">
      <c r="A224" s="7" t="s">
        <v>1</v>
      </c>
      <c r="B224" s="6" t="s">
        <v>319</v>
      </c>
      <c r="C224" s="6" t="s">
        <v>110</v>
      </c>
      <c r="D224" s="6" t="s">
        <v>110</v>
      </c>
      <c r="E224" s="6"/>
      <c r="F224" s="6"/>
      <c r="G224" s="6"/>
      <c r="H224" s="6"/>
      <c r="I224" s="6"/>
      <c r="K224" s="9" t="s">
        <v>37</v>
      </c>
      <c r="L224" s="9" t="s">
        <v>111</v>
      </c>
      <c r="M224" s="9" t="s">
        <v>108</v>
      </c>
      <c r="N224" s="9" t="s">
        <v>112</v>
      </c>
    </row>
    <row r="225" spans="1:14" x14ac:dyDescent="0.2">
      <c r="A225" s="7" t="s">
        <v>0</v>
      </c>
      <c r="B225" s="6" t="s">
        <v>320</v>
      </c>
      <c r="C225" s="6" t="s">
        <v>108</v>
      </c>
      <c r="D225" s="6"/>
      <c r="E225" s="6"/>
      <c r="F225" s="6"/>
      <c r="G225" s="6"/>
      <c r="H225" s="6"/>
      <c r="I225" s="6"/>
      <c r="K225" s="9" t="s">
        <v>38</v>
      </c>
      <c r="L225" s="9" t="s">
        <v>113</v>
      </c>
      <c r="M225" s="9" t="s">
        <v>110</v>
      </c>
      <c r="N225" s="9" t="s">
        <v>114</v>
      </c>
    </row>
    <row r="226" spans="1:14" ht="25.5" x14ac:dyDescent="0.2">
      <c r="A226" s="7" t="s">
        <v>4</v>
      </c>
      <c r="B226" s="6" t="s">
        <v>322</v>
      </c>
      <c r="C226" s="6" t="s">
        <v>110</v>
      </c>
      <c r="D226" s="6" t="s">
        <v>130</v>
      </c>
      <c r="E226" s="6"/>
      <c r="F226" s="6"/>
      <c r="G226" s="6"/>
      <c r="H226" s="6"/>
      <c r="I226" s="6"/>
      <c r="K226" s="9" t="s">
        <v>116</v>
      </c>
      <c r="L226" s="9" t="s">
        <v>117</v>
      </c>
      <c r="M226" s="9" t="s">
        <v>111</v>
      </c>
      <c r="N226" s="9" t="s">
        <v>118</v>
      </c>
    </row>
    <row r="227" spans="1:14" x14ac:dyDescent="0.2">
      <c r="A227" s="7" t="s">
        <v>3</v>
      </c>
      <c r="B227" s="6" t="s">
        <v>321</v>
      </c>
      <c r="C227" s="6" t="s">
        <v>110</v>
      </c>
      <c r="D227" s="6" t="s">
        <v>130</v>
      </c>
      <c r="E227" s="6"/>
      <c r="F227" s="6"/>
      <c r="G227" s="6"/>
      <c r="H227" s="6"/>
      <c r="I227" s="6"/>
      <c r="K227" s="9" t="s">
        <v>119</v>
      </c>
      <c r="L227" s="9" t="s">
        <v>120</v>
      </c>
      <c r="N227" s="9" t="s">
        <v>121</v>
      </c>
    </row>
    <row r="228" spans="1:14" x14ac:dyDescent="0.2">
      <c r="A228" s="7" t="s">
        <v>5</v>
      </c>
      <c r="B228" s="6" t="s">
        <v>323</v>
      </c>
      <c r="C228" s="6" t="s">
        <v>110</v>
      </c>
      <c r="D228" s="6" t="s">
        <v>157</v>
      </c>
      <c r="E228" s="6"/>
      <c r="F228" s="6"/>
      <c r="G228" s="6"/>
      <c r="H228" s="6"/>
      <c r="I228" s="6"/>
      <c r="K228" s="9" t="s">
        <v>123</v>
      </c>
      <c r="L228" s="9" t="s">
        <v>124</v>
      </c>
      <c r="N228" s="9" t="s">
        <v>125</v>
      </c>
    </row>
    <row r="229" spans="1:14" x14ac:dyDescent="0.2">
      <c r="A229" s="7" t="s">
        <v>6</v>
      </c>
      <c r="B229" s="6" t="s">
        <v>324</v>
      </c>
      <c r="C229" s="6" t="s">
        <v>110</v>
      </c>
      <c r="D229" s="6" t="s">
        <v>157</v>
      </c>
      <c r="E229" s="6"/>
      <c r="F229" s="6"/>
      <c r="G229" s="6"/>
      <c r="H229" s="6"/>
      <c r="I229" s="6"/>
      <c r="N229" s="9" t="s">
        <v>126</v>
      </c>
    </row>
    <row r="230" spans="1:14" ht="25.5" x14ac:dyDescent="0.2">
      <c r="A230" s="7" t="s">
        <v>7</v>
      </c>
      <c r="B230" s="6" t="s">
        <v>325</v>
      </c>
      <c r="C230" s="6" t="s">
        <v>110</v>
      </c>
      <c r="D230" s="6" t="s">
        <v>157</v>
      </c>
      <c r="E230" s="6"/>
      <c r="F230" s="6"/>
      <c r="G230" s="6"/>
      <c r="H230" s="6"/>
      <c r="I230" s="6"/>
      <c r="N230" s="9" t="s">
        <v>127</v>
      </c>
    </row>
    <row r="231" spans="1:14" ht="25.5" x14ac:dyDescent="0.2">
      <c r="A231" s="7" t="s">
        <v>8</v>
      </c>
      <c r="B231" s="6" t="s">
        <v>326</v>
      </c>
      <c r="C231" s="6" t="s">
        <v>110</v>
      </c>
      <c r="D231" s="6" t="s">
        <v>157</v>
      </c>
      <c r="E231" s="6"/>
      <c r="F231" s="6"/>
      <c r="G231" s="6"/>
      <c r="H231" s="6"/>
      <c r="I231" s="6"/>
      <c r="N231" s="9" t="s">
        <v>129</v>
      </c>
    </row>
    <row r="232" spans="1:14" ht="25.5" x14ac:dyDescent="0.2">
      <c r="A232" s="7" t="s">
        <v>9</v>
      </c>
      <c r="B232" s="6" t="s">
        <v>327</v>
      </c>
      <c r="C232" s="6" t="s">
        <v>110</v>
      </c>
      <c r="D232" s="6" t="s">
        <v>157</v>
      </c>
      <c r="E232" s="6"/>
      <c r="F232" s="6"/>
      <c r="G232" s="6"/>
      <c r="H232" s="6"/>
      <c r="I232" s="6"/>
      <c r="N232" s="9" t="s">
        <v>364</v>
      </c>
    </row>
    <row r="233" spans="1:14" ht="25.5" x14ac:dyDescent="0.2">
      <c r="A233" s="7" t="s">
        <v>10</v>
      </c>
      <c r="B233" s="6" t="s">
        <v>328</v>
      </c>
      <c r="C233" s="6" t="s">
        <v>110</v>
      </c>
      <c r="D233" s="6" t="s">
        <v>157</v>
      </c>
      <c r="E233" s="6"/>
      <c r="F233" s="6"/>
      <c r="G233" s="6"/>
      <c r="H233" s="6"/>
      <c r="I233" s="6"/>
      <c r="N233" s="9" t="s">
        <v>131</v>
      </c>
    </row>
    <row r="234" spans="1:14" ht="25.5" x14ac:dyDescent="0.2">
      <c r="A234" s="7" t="s">
        <v>11</v>
      </c>
      <c r="B234" s="6" t="s">
        <v>329</v>
      </c>
      <c r="C234" s="6" t="s">
        <v>110</v>
      </c>
      <c r="D234" s="6" t="s">
        <v>130</v>
      </c>
      <c r="E234" s="6"/>
      <c r="F234" s="6"/>
      <c r="G234" s="6"/>
      <c r="H234" s="6"/>
      <c r="I234" s="6"/>
      <c r="N234" s="9" t="s">
        <v>132</v>
      </c>
    </row>
    <row r="235" spans="1:14" x14ac:dyDescent="0.2">
      <c r="A235" s="7" t="s">
        <v>12</v>
      </c>
      <c r="B235" s="6" t="s">
        <v>330</v>
      </c>
      <c r="C235" s="6" t="s">
        <v>110</v>
      </c>
      <c r="D235" s="6" t="s">
        <v>157</v>
      </c>
      <c r="E235" s="6"/>
      <c r="F235" s="6"/>
      <c r="G235" s="6"/>
      <c r="H235" s="6"/>
      <c r="I235" s="6"/>
      <c r="N235" s="9" t="s">
        <v>133</v>
      </c>
    </row>
    <row r="236" spans="1:14" x14ac:dyDescent="0.2">
      <c r="A236" s="7" t="s">
        <v>13</v>
      </c>
      <c r="B236" s="6" t="s">
        <v>331</v>
      </c>
      <c r="C236" s="6" t="s">
        <v>110</v>
      </c>
      <c r="D236" s="6" t="s">
        <v>157</v>
      </c>
      <c r="E236" s="6"/>
      <c r="F236" s="6"/>
      <c r="G236" s="6"/>
      <c r="H236" s="6"/>
      <c r="I236" s="6"/>
      <c r="N236" s="9" t="s">
        <v>134</v>
      </c>
    </row>
    <row r="237" spans="1:14" ht="25.5" x14ac:dyDescent="0.2">
      <c r="A237" s="7" t="s">
        <v>14</v>
      </c>
      <c r="B237" s="6" t="s">
        <v>332</v>
      </c>
      <c r="C237" s="6" t="s">
        <v>110</v>
      </c>
      <c r="D237" s="6" t="s">
        <v>157</v>
      </c>
      <c r="E237" s="6"/>
      <c r="F237" s="6"/>
      <c r="G237" s="6"/>
      <c r="H237" s="6"/>
      <c r="I237" s="6"/>
      <c r="N237" s="9" t="s">
        <v>135</v>
      </c>
    </row>
    <row r="238" spans="1:14" ht="25.5" x14ac:dyDescent="0.2">
      <c r="A238" s="7" t="s">
        <v>15</v>
      </c>
      <c r="B238" s="6" t="s">
        <v>333</v>
      </c>
      <c r="C238" s="6" t="s">
        <v>110</v>
      </c>
      <c r="D238" s="6" t="s">
        <v>157</v>
      </c>
      <c r="E238" s="6"/>
      <c r="F238" s="6"/>
      <c r="G238" s="6"/>
      <c r="H238" s="6"/>
      <c r="I238" s="6"/>
      <c r="N238" s="9" t="s">
        <v>136</v>
      </c>
    </row>
    <row r="239" spans="1:14" ht="25.5" x14ac:dyDescent="0.2">
      <c r="A239" s="7" t="s">
        <v>16</v>
      </c>
      <c r="B239" s="6" t="s">
        <v>334</v>
      </c>
      <c r="C239" s="6" t="s">
        <v>110</v>
      </c>
      <c r="D239" s="6" t="s">
        <v>157</v>
      </c>
      <c r="E239" s="6"/>
      <c r="F239" s="6"/>
      <c r="G239" s="6"/>
      <c r="H239" s="6"/>
      <c r="I239" s="6"/>
      <c r="N239" s="9" t="s">
        <v>130</v>
      </c>
    </row>
    <row r="240" spans="1:14" ht="25.5" x14ac:dyDescent="0.2">
      <c r="A240" s="7" t="s">
        <v>17</v>
      </c>
      <c r="B240" s="6" t="s">
        <v>335</v>
      </c>
      <c r="C240" s="6" t="s">
        <v>110</v>
      </c>
      <c r="D240" s="6" t="s">
        <v>157</v>
      </c>
      <c r="E240" s="6"/>
      <c r="F240" s="6"/>
      <c r="G240" s="6"/>
      <c r="H240" s="6"/>
      <c r="I240" s="6"/>
      <c r="N240" s="9" t="s">
        <v>138</v>
      </c>
    </row>
    <row r="241" spans="1:14" x14ac:dyDescent="0.2">
      <c r="A241" s="7"/>
      <c r="B241" s="6"/>
      <c r="C241" s="6"/>
      <c r="D241" s="6"/>
      <c r="E241" s="6"/>
      <c r="F241" s="6"/>
      <c r="G241" s="6"/>
      <c r="H241" s="6"/>
      <c r="I241" s="6"/>
      <c r="N241" s="9" t="s">
        <v>139</v>
      </c>
    </row>
    <row r="242" spans="1:14" x14ac:dyDescent="0.2">
      <c r="A242" s="7"/>
      <c r="B242" s="6"/>
      <c r="C242" s="6"/>
      <c r="D242" s="6"/>
      <c r="E242" s="6"/>
      <c r="F242" s="6"/>
      <c r="G242" s="6"/>
      <c r="H242" s="6"/>
      <c r="I242" s="6"/>
      <c r="N242" s="9" t="s">
        <v>363</v>
      </c>
    </row>
    <row r="243" spans="1:14" x14ac:dyDescent="0.2">
      <c r="A243" s="7"/>
      <c r="B243" s="6"/>
      <c r="C243" s="6"/>
      <c r="D243" s="6"/>
      <c r="E243" s="6"/>
      <c r="F243" s="6"/>
      <c r="G243" s="6"/>
      <c r="H243" s="6"/>
      <c r="I243" s="6"/>
      <c r="N243" s="9" t="s">
        <v>362</v>
      </c>
    </row>
    <row r="244" spans="1:14" x14ac:dyDescent="0.2">
      <c r="A244" s="7"/>
      <c r="B244" s="6"/>
      <c r="C244" s="6"/>
      <c r="D244" s="6"/>
      <c r="E244" s="6"/>
      <c r="F244" s="6"/>
      <c r="G244" s="6"/>
      <c r="H244" s="6"/>
      <c r="I244" s="6"/>
      <c r="N244" s="9" t="s">
        <v>361</v>
      </c>
    </row>
    <row r="245" spans="1:14" x14ac:dyDescent="0.2">
      <c r="A245" s="7"/>
      <c r="B245" s="6"/>
      <c r="C245" s="6"/>
      <c r="D245" s="6"/>
      <c r="E245" s="6"/>
      <c r="F245" s="6"/>
      <c r="G245" s="6"/>
      <c r="H245" s="6"/>
      <c r="I245" s="6"/>
      <c r="N245" s="9" t="s">
        <v>360</v>
      </c>
    </row>
    <row r="246" spans="1:14" x14ac:dyDescent="0.2">
      <c r="A246" s="7"/>
      <c r="B246" s="6"/>
      <c r="C246" s="6"/>
      <c r="D246" s="6"/>
      <c r="E246" s="6"/>
      <c r="F246" s="6"/>
      <c r="G246" s="6"/>
      <c r="H246" s="6"/>
      <c r="I246" s="6"/>
      <c r="N246" s="9" t="s">
        <v>359</v>
      </c>
    </row>
    <row r="247" spans="1:14" x14ac:dyDescent="0.2">
      <c r="A247" s="7"/>
      <c r="B247" s="6"/>
      <c r="C247" s="6"/>
      <c r="D247" s="6"/>
      <c r="E247" s="6"/>
      <c r="F247" s="6"/>
      <c r="G247" s="6"/>
      <c r="H247" s="6"/>
      <c r="I247" s="6"/>
      <c r="N247" s="9" t="s">
        <v>358</v>
      </c>
    </row>
    <row r="248" spans="1:14" x14ac:dyDescent="0.2">
      <c r="A248" s="7"/>
      <c r="B248" s="6"/>
      <c r="C248" s="6"/>
      <c r="D248" s="6"/>
      <c r="E248" s="6"/>
      <c r="F248" s="6"/>
      <c r="G248" s="6"/>
      <c r="H248" s="6"/>
      <c r="I248" s="6"/>
      <c r="N248" s="9" t="s">
        <v>141</v>
      </c>
    </row>
    <row r="249" spans="1:14" x14ac:dyDescent="0.2">
      <c r="A249" s="7"/>
      <c r="B249" s="6"/>
      <c r="C249" s="6"/>
      <c r="D249" s="6"/>
      <c r="E249" s="6"/>
      <c r="F249" s="6"/>
      <c r="G249" s="6"/>
      <c r="H249" s="6"/>
      <c r="I249" s="6"/>
      <c r="N249" s="9" t="s">
        <v>142</v>
      </c>
    </row>
    <row r="250" spans="1:14" x14ac:dyDescent="0.2">
      <c r="A250" s="7"/>
      <c r="B250" s="6"/>
      <c r="C250" s="6"/>
      <c r="D250" s="6"/>
      <c r="E250" s="6"/>
      <c r="F250" s="6"/>
      <c r="G250" s="6"/>
      <c r="H250" s="6"/>
      <c r="I250" s="6"/>
      <c r="N250" s="9" t="s">
        <v>143</v>
      </c>
    </row>
    <row r="251" spans="1:14" x14ac:dyDescent="0.2">
      <c r="A251" s="7"/>
      <c r="B251" s="6"/>
      <c r="C251" s="6"/>
      <c r="D251" s="6"/>
      <c r="E251" s="6"/>
      <c r="F251" s="6"/>
      <c r="G251" s="6"/>
      <c r="H251" s="6"/>
      <c r="I251" s="6"/>
      <c r="N251" s="9" t="s">
        <v>144</v>
      </c>
    </row>
    <row r="252" spans="1:14" x14ac:dyDescent="0.2">
      <c r="A252" s="7"/>
      <c r="B252" s="6"/>
      <c r="C252" s="6"/>
      <c r="D252" s="6"/>
      <c r="E252" s="6"/>
      <c r="F252" s="6"/>
      <c r="G252" s="6"/>
      <c r="H252" s="6"/>
      <c r="I252" s="6"/>
      <c r="N252" s="9" t="s">
        <v>145</v>
      </c>
    </row>
    <row r="253" spans="1:14" x14ac:dyDescent="0.2">
      <c r="A253" s="7"/>
      <c r="B253" s="6"/>
      <c r="C253" s="6"/>
      <c r="D253" s="6"/>
      <c r="E253" s="6"/>
      <c r="F253" s="6"/>
      <c r="G253" s="6"/>
      <c r="H253" s="6"/>
      <c r="I253" s="6"/>
      <c r="N253" s="9" t="s">
        <v>115</v>
      </c>
    </row>
    <row r="254" spans="1:14" x14ac:dyDescent="0.2">
      <c r="A254" s="7"/>
      <c r="B254" s="6"/>
      <c r="C254" s="6"/>
      <c r="D254" s="6"/>
      <c r="E254" s="6"/>
      <c r="F254" s="6"/>
      <c r="G254" s="6"/>
      <c r="H254" s="6"/>
      <c r="I254" s="6"/>
      <c r="N254" s="9" t="s">
        <v>128</v>
      </c>
    </row>
    <row r="255" spans="1:14" x14ac:dyDescent="0.2">
      <c r="A255" s="7"/>
      <c r="B255" s="6"/>
      <c r="C255" s="6"/>
      <c r="D255" s="6"/>
      <c r="E255" s="6"/>
      <c r="F255" s="6"/>
      <c r="G255" s="6"/>
      <c r="H255" s="6"/>
      <c r="I255" s="6"/>
      <c r="N255" s="9" t="s">
        <v>146</v>
      </c>
    </row>
    <row r="256" spans="1:14" x14ac:dyDescent="0.2">
      <c r="A256" s="7"/>
      <c r="B256" s="6"/>
      <c r="C256" s="6"/>
      <c r="D256" s="6"/>
      <c r="E256" s="6"/>
      <c r="F256" s="6"/>
      <c r="G256" s="6"/>
      <c r="H256" s="6"/>
      <c r="I256" s="6"/>
      <c r="N256" s="9" t="s">
        <v>147</v>
      </c>
    </row>
    <row r="257" spans="1:14" x14ac:dyDescent="0.2">
      <c r="A257" s="7"/>
      <c r="B257" s="6"/>
      <c r="C257" s="6"/>
      <c r="D257" s="6"/>
      <c r="E257" s="6"/>
      <c r="F257" s="6"/>
      <c r="G257" s="6"/>
      <c r="H257" s="6"/>
      <c r="I257" s="6"/>
      <c r="N257" s="9" t="s">
        <v>357</v>
      </c>
    </row>
    <row r="258" spans="1:14" x14ac:dyDescent="0.2">
      <c r="A258" s="7"/>
      <c r="B258" s="6"/>
      <c r="C258" s="6"/>
      <c r="D258" s="6"/>
      <c r="E258" s="6"/>
      <c r="F258" s="6"/>
      <c r="G258" s="6"/>
      <c r="H258" s="6"/>
      <c r="I258" s="6"/>
      <c r="N258" s="9" t="s">
        <v>148</v>
      </c>
    </row>
    <row r="259" spans="1:14" x14ac:dyDescent="0.2">
      <c r="A259" s="7"/>
      <c r="B259" s="6"/>
      <c r="C259" s="6"/>
      <c r="D259" s="6"/>
      <c r="E259" s="6"/>
      <c r="F259" s="6"/>
      <c r="G259" s="6"/>
      <c r="H259" s="6"/>
      <c r="I259" s="6"/>
      <c r="N259" s="9" t="s">
        <v>149</v>
      </c>
    </row>
    <row r="260" spans="1:14" x14ac:dyDescent="0.2">
      <c r="A260" s="7"/>
      <c r="B260" s="6"/>
      <c r="C260" s="6"/>
      <c r="D260" s="6"/>
      <c r="E260" s="6"/>
      <c r="F260" s="6"/>
      <c r="G260" s="6"/>
      <c r="H260" s="6"/>
      <c r="I260" s="6"/>
      <c r="N260" s="9" t="s">
        <v>150</v>
      </c>
    </row>
    <row r="261" spans="1:14" x14ac:dyDescent="0.2">
      <c r="A261" s="7"/>
      <c r="B261" s="6"/>
      <c r="C261" s="6"/>
      <c r="D261" s="6"/>
      <c r="E261" s="6"/>
      <c r="F261" s="6"/>
      <c r="G261" s="6"/>
      <c r="H261" s="6"/>
      <c r="I261" s="6"/>
      <c r="N261" s="9" t="s">
        <v>151</v>
      </c>
    </row>
    <row r="262" spans="1:14" x14ac:dyDescent="0.2">
      <c r="A262" s="7"/>
      <c r="B262" s="6"/>
      <c r="C262" s="6"/>
      <c r="D262" s="6"/>
      <c r="E262" s="6"/>
      <c r="F262" s="6"/>
      <c r="G262" s="6"/>
      <c r="H262" s="6"/>
      <c r="I262" s="6"/>
      <c r="N262" s="9" t="s">
        <v>152</v>
      </c>
    </row>
    <row r="263" spans="1:14" x14ac:dyDescent="0.2">
      <c r="A263" s="7"/>
      <c r="B263" s="6"/>
      <c r="C263" s="6"/>
      <c r="D263" s="6"/>
      <c r="E263" s="6"/>
      <c r="F263" s="6"/>
      <c r="G263" s="6"/>
      <c r="H263" s="6"/>
      <c r="I263" s="6"/>
      <c r="N263" s="9" t="s">
        <v>153</v>
      </c>
    </row>
    <row r="264" spans="1:14" x14ac:dyDescent="0.2">
      <c r="A264" s="7"/>
      <c r="B264" s="6"/>
      <c r="C264" s="6"/>
      <c r="D264" s="6"/>
      <c r="E264" s="6"/>
      <c r="F264" s="6"/>
      <c r="G264" s="6"/>
      <c r="H264" s="6"/>
      <c r="I264" s="6"/>
      <c r="N264" s="9" t="s">
        <v>154</v>
      </c>
    </row>
    <row r="265" spans="1:14" x14ac:dyDescent="0.2">
      <c r="A265" s="7"/>
      <c r="B265" s="6"/>
      <c r="C265" s="6"/>
      <c r="D265" s="6"/>
      <c r="E265" s="6"/>
      <c r="F265" s="6"/>
      <c r="G265" s="6"/>
      <c r="H265" s="6"/>
      <c r="I265" s="6"/>
      <c r="N265" s="9" t="s">
        <v>155</v>
      </c>
    </row>
    <row r="266" spans="1:14" x14ac:dyDescent="0.2">
      <c r="A266" s="7"/>
      <c r="B266" s="6"/>
      <c r="C266" s="6"/>
      <c r="D266" s="6"/>
      <c r="E266" s="6"/>
      <c r="F266" s="6"/>
      <c r="G266" s="6"/>
      <c r="H266" s="6"/>
      <c r="I266" s="6"/>
      <c r="N266" s="9" t="s">
        <v>156</v>
      </c>
    </row>
    <row r="267" spans="1:14" x14ac:dyDescent="0.2">
      <c r="A267" s="7"/>
      <c r="B267" s="6"/>
      <c r="C267" s="6"/>
      <c r="D267" s="6"/>
      <c r="E267" s="6"/>
      <c r="F267" s="6"/>
      <c r="G267" s="6"/>
      <c r="H267" s="6"/>
      <c r="I267" s="6"/>
      <c r="N267" s="9" t="s">
        <v>157</v>
      </c>
    </row>
    <row r="268" spans="1:14" x14ac:dyDescent="0.2">
      <c r="A268" s="7"/>
      <c r="B268" s="6"/>
      <c r="C268" s="6"/>
      <c r="D268" s="6"/>
      <c r="E268" s="6"/>
      <c r="F268" s="6"/>
      <c r="G268" s="6"/>
      <c r="H268" s="6"/>
      <c r="I268" s="6"/>
      <c r="N268" s="9" t="s">
        <v>158</v>
      </c>
    </row>
    <row r="269" spans="1:14" x14ac:dyDescent="0.2">
      <c r="A269" s="7"/>
      <c r="B269" s="6"/>
      <c r="C269" s="6"/>
      <c r="D269" s="6"/>
      <c r="E269" s="6"/>
      <c r="F269" s="6"/>
      <c r="G269" s="6"/>
      <c r="H269" s="6"/>
      <c r="I269" s="6"/>
      <c r="N269" s="9" t="s">
        <v>159</v>
      </c>
    </row>
    <row r="270" spans="1:14" x14ac:dyDescent="0.2">
      <c r="A270" s="7"/>
      <c r="B270" s="6"/>
      <c r="C270" s="6"/>
      <c r="D270" s="6"/>
      <c r="E270" s="6"/>
      <c r="F270" s="6"/>
      <c r="G270" s="6"/>
      <c r="H270" s="6"/>
      <c r="I270" s="6"/>
      <c r="N270" s="9" t="s">
        <v>160</v>
      </c>
    </row>
    <row r="271" spans="1:14" x14ac:dyDescent="0.2">
      <c r="A271" s="7"/>
      <c r="B271" s="6"/>
      <c r="C271" s="6"/>
      <c r="D271" s="6"/>
      <c r="E271" s="6"/>
      <c r="F271" s="6"/>
      <c r="G271" s="6"/>
      <c r="H271" s="6"/>
      <c r="I271" s="6"/>
      <c r="N271" s="9" t="s">
        <v>161</v>
      </c>
    </row>
    <row r="272" spans="1:14" x14ac:dyDescent="0.2">
      <c r="A272" s="7"/>
      <c r="B272" s="6"/>
      <c r="C272" s="6"/>
      <c r="D272" s="6"/>
      <c r="E272" s="6"/>
      <c r="F272" s="6"/>
      <c r="G272" s="6"/>
      <c r="H272" s="6"/>
      <c r="I272" s="6"/>
      <c r="N272" s="9" t="s">
        <v>162</v>
      </c>
    </row>
    <row r="273" spans="1:14" x14ac:dyDescent="0.2">
      <c r="A273" s="7"/>
      <c r="B273" s="6"/>
      <c r="C273" s="6"/>
      <c r="D273" s="6"/>
      <c r="E273" s="6"/>
      <c r="F273" s="6"/>
      <c r="G273" s="6"/>
      <c r="H273" s="6"/>
      <c r="I273" s="6"/>
      <c r="N273" s="9" t="s">
        <v>163</v>
      </c>
    </row>
    <row r="274" spans="1:14" x14ac:dyDescent="0.2">
      <c r="A274" s="7"/>
      <c r="B274" s="6"/>
      <c r="C274" s="6"/>
      <c r="D274" s="6"/>
      <c r="E274" s="6"/>
      <c r="F274" s="6"/>
      <c r="G274" s="6"/>
      <c r="H274" s="6"/>
      <c r="I274" s="6"/>
      <c r="N274" s="9" t="s">
        <v>164</v>
      </c>
    </row>
    <row r="275" spans="1:14" x14ac:dyDescent="0.2">
      <c r="A275" s="7"/>
      <c r="B275" s="6"/>
      <c r="C275" s="6"/>
      <c r="D275" s="6"/>
      <c r="E275" s="6"/>
      <c r="F275" s="6"/>
      <c r="G275" s="6"/>
      <c r="H275" s="6"/>
      <c r="I275" s="6"/>
      <c r="N275" s="9" t="s">
        <v>165</v>
      </c>
    </row>
    <row r="276" spans="1:14" x14ac:dyDescent="0.2">
      <c r="A276" s="7"/>
      <c r="B276" s="6"/>
      <c r="C276" s="6"/>
      <c r="D276" s="6"/>
      <c r="E276" s="6"/>
      <c r="F276" s="6"/>
      <c r="G276" s="6"/>
      <c r="H276" s="6"/>
      <c r="I276" s="6"/>
      <c r="N276" s="9" t="s">
        <v>166</v>
      </c>
    </row>
    <row r="277" spans="1:14" x14ac:dyDescent="0.2">
      <c r="A277" s="7"/>
      <c r="B277" s="6"/>
      <c r="C277" s="6"/>
      <c r="D277" s="6"/>
      <c r="E277" s="6"/>
      <c r="F277" s="6"/>
      <c r="G277" s="6"/>
      <c r="H277" s="6"/>
      <c r="I277" s="6"/>
      <c r="N277" s="9" t="s">
        <v>167</v>
      </c>
    </row>
    <row r="278" spans="1:14" x14ac:dyDescent="0.2">
      <c r="A278" s="7"/>
      <c r="B278" s="6"/>
      <c r="C278" s="6"/>
      <c r="D278" s="6"/>
      <c r="E278" s="6"/>
      <c r="F278" s="6"/>
      <c r="G278" s="6"/>
      <c r="H278" s="6"/>
      <c r="I278" s="6"/>
      <c r="N278" s="9" t="s">
        <v>168</v>
      </c>
    </row>
    <row r="279" spans="1:14" x14ac:dyDescent="0.2">
      <c r="A279" s="7"/>
      <c r="B279" s="6"/>
      <c r="C279" s="6"/>
      <c r="D279" s="6"/>
      <c r="E279" s="6"/>
      <c r="F279" s="6"/>
      <c r="G279" s="6"/>
      <c r="H279" s="6"/>
      <c r="I279" s="6"/>
      <c r="N279" s="9" t="s">
        <v>169</v>
      </c>
    </row>
    <row r="280" spans="1:14" x14ac:dyDescent="0.2">
      <c r="A280" s="7"/>
      <c r="B280" s="6"/>
      <c r="C280" s="6"/>
      <c r="D280" s="6"/>
      <c r="E280" s="6"/>
      <c r="F280" s="6"/>
      <c r="G280" s="6"/>
      <c r="H280" s="6"/>
      <c r="I280" s="6"/>
      <c r="N280" s="9" t="s">
        <v>170</v>
      </c>
    </row>
    <row r="281" spans="1:14" x14ac:dyDescent="0.2">
      <c r="A281" s="7"/>
      <c r="B281" s="6"/>
      <c r="C281" s="6"/>
      <c r="D281" s="6"/>
      <c r="E281" s="6"/>
      <c r="F281" s="6"/>
      <c r="G281" s="6"/>
      <c r="H281" s="6"/>
      <c r="I281" s="6"/>
      <c r="N281" s="9" t="s">
        <v>171</v>
      </c>
    </row>
    <row r="282" spans="1:14" x14ac:dyDescent="0.2">
      <c r="A282" s="7"/>
      <c r="B282" s="6"/>
      <c r="C282" s="6"/>
      <c r="D282" s="6"/>
      <c r="E282" s="6"/>
      <c r="F282" s="6"/>
      <c r="G282" s="6"/>
      <c r="H282" s="6"/>
      <c r="I282" s="6"/>
      <c r="N282" s="9" t="s">
        <v>172</v>
      </c>
    </row>
    <row r="283" spans="1:14" x14ac:dyDescent="0.2">
      <c r="A283" s="7"/>
      <c r="B283" s="6"/>
      <c r="C283" s="6"/>
      <c r="D283" s="6"/>
      <c r="E283" s="6"/>
      <c r="F283" s="6"/>
      <c r="G283" s="6"/>
      <c r="H283" s="6"/>
      <c r="I283" s="6"/>
      <c r="N283" s="9" t="s">
        <v>173</v>
      </c>
    </row>
    <row r="284" spans="1:14" x14ac:dyDescent="0.2">
      <c r="A284" s="7"/>
      <c r="B284" s="6"/>
      <c r="C284" s="6"/>
      <c r="D284" s="6"/>
      <c r="E284" s="6"/>
      <c r="F284" s="6"/>
      <c r="G284" s="6"/>
      <c r="H284" s="6"/>
      <c r="I284" s="6"/>
      <c r="N284" s="9" t="s">
        <v>174</v>
      </c>
    </row>
    <row r="285" spans="1:14" x14ac:dyDescent="0.2">
      <c r="A285" s="7"/>
      <c r="B285" s="6"/>
      <c r="C285" s="6"/>
      <c r="D285" s="6"/>
      <c r="E285" s="6"/>
      <c r="F285" s="6"/>
      <c r="G285" s="6"/>
      <c r="H285" s="6"/>
      <c r="I285" s="6"/>
      <c r="N285" s="9" t="s">
        <v>175</v>
      </c>
    </row>
    <row r="286" spans="1:14" x14ac:dyDescent="0.2">
      <c r="A286" s="7"/>
      <c r="B286" s="6"/>
      <c r="C286" s="6"/>
      <c r="D286" s="6"/>
      <c r="E286" s="6"/>
      <c r="F286" s="6"/>
      <c r="G286" s="6"/>
      <c r="H286" s="6"/>
      <c r="I286" s="6"/>
      <c r="N286" s="9" t="s">
        <v>176</v>
      </c>
    </row>
    <row r="287" spans="1:14" x14ac:dyDescent="0.2">
      <c r="A287" s="7"/>
      <c r="B287" s="6"/>
      <c r="C287" s="6"/>
      <c r="D287" s="6"/>
      <c r="E287" s="6"/>
      <c r="F287" s="6"/>
      <c r="G287" s="6"/>
      <c r="H287" s="6"/>
      <c r="I287" s="6"/>
      <c r="N287" s="9" t="s">
        <v>177</v>
      </c>
    </row>
    <row r="288" spans="1:14" x14ac:dyDescent="0.2">
      <c r="A288" s="7"/>
      <c r="B288" s="6"/>
      <c r="C288" s="6"/>
      <c r="D288" s="6"/>
      <c r="E288" s="6"/>
      <c r="F288" s="6"/>
      <c r="G288" s="6"/>
      <c r="H288" s="6"/>
      <c r="I288" s="6"/>
      <c r="N288" s="9" t="s">
        <v>178</v>
      </c>
    </row>
    <row r="289" spans="1:14" x14ac:dyDescent="0.2">
      <c r="A289" s="7"/>
      <c r="B289" s="6"/>
      <c r="C289" s="6"/>
      <c r="D289" s="6"/>
      <c r="E289" s="6"/>
      <c r="F289" s="6"/>
      <c r="G289" s="6"/>
      <c r="H289" s="6"/>
      <c r="I289" s="6"/>
      <c r="N289" s="9" t="s">
        <v>179</v>
      </c>
    </row>
    <row r="290" spans="1:14" x14ac:dyDescent="0.2">
      <c r="A290" s="7"/>
      <c r="B290" s="6"/>
      <c r="C290" s="6"/>
      <c r="D290" s="6"/>
      <c r="E290" s="6"/>
      <c r="F290" s="6"/>
      <c r="G290" s="6"/>
      <c r="H290" s="6"/>
      <c r="I290" s="6"/>
      <c r="N290" s="9" t="s">
        <v>180</v>
      </c>
    </row>
    <row r="291" spans="1:14" x14ac:dyDescent="0.2">
      <c r="A291" s="7"/>
      <c r="B291" s="6"/>
      <c r="C291" s="6"/>
      <c r="D291" s="6"/>
      <c r="E291" s="6"/>
      <c r="F291" s="6"/>
      <c r="G291" s="6"/>
      <c r="H291" s="6"/>
      <c r="I291" s="6"/>
      <c r="N291" s="9" t="s">
        <v>181</v>
      </c>
    </row>
    <row r="292" spans="1:14" x14ac:dyDescent="0.2">
      <c r="A292" s="7"/>
      <c r="B292" s="6"/>
      <c r="C292" s="6"/>
      <c r="D292" s="6"/>
      <c r="E292" s="6"/>
      <c r="F292" s="6"/>
      <c r="G292" s="6"/>
      <c r="H292" s="6"/>
      <c r="I292" s="6"/>
      <c r="N292" s="9" t="s">
        <v>182</v>
      </c>
    </row>
    <row r="293" spans="1:14" x14ac:dyDescent="0.2">
      <c r="A293" s="7"/>
      <c r="B293" s="6"/>
      <c r="C293" s="6"/>
      <c r="D293" s="6"/>
      <c r="E293" s="6"/>
      <c r="F293" s="6"/>
      <c r="G293" s="6"/>
      <c r="H293" s="6"/>
      <c r="I293" s="6"/>
      <c r="N293" s="9" t="s">
        <v>183</v>
      </c>
    </row>
    <row r="294" spans="1:14" x14ac:dyDescent="0.2">
      <c r="A294" s="7"/>
      <c r="B294" s="6"/>
      <c r="C294" s="6"/>
      <c r="D294" s="6"/>
      <c r="E294" s="6"/>
      <c r="F294" s="6"/>
      <c r="G294" s="6"/>
      <c r="H294" s="6"/>
      <c r="I294" s="6"/>
      <c r="N294" s="9" t="s">
        <v>356</v>
      </c>
    </row>
    <row r="295" spans="1:14" x14ac:dyDescent="0.2">
      <c r="A295" s="7"/>
      <c r="B295" s="6"/>
      <c r="C295" s="6"/>
      <c r="D295" s="6"/>
      <c r="E295" s="6"/>
      <c r="F295" s="6"/>
      <c r="G295" s="6"/>
      <c r="H295" s="6"/>
      <c r="I295" s="6"/>
      <c r="N295" s="9" t="s">
        <v>184</v>
      </c>
    </row>
    <row r="296" spans="1:14" x14ac:dyDescent="0.2">
      <c r="A296" s="7"/>
      <c r="B296" s="6"/>
      <c r="C296" s="6"/>
      <c r="D296" s="6"/>
      <c r="E296" s="6"/>
      <c r="F296" s="6"/>
      <c r="G296" s="6"/>
      <c r="H296" s="6"/>
      <c r="I296" s="6"/>
      <c r="N296" s="9" t="s">
        <v>185</v>
      </c>
    </row>
    <row r="297" spans="1:14" x14ac:dyDescent="0.2">
      <c r="A297" s="7"/>
      <c r="B297" s="6"/>
      <c r="C297" s="6"/>
      <c r="D297" s="6"/>
      <c r="E297" s="6"/>
      <c r="F297" s="6"/>
      <c r="G297" s="6"/>
      <c r="H297" s="6"/>
      <c r="I297" s="6"/>
      <c r="N297" s="9" t="s">
        <v>186</v>
      </c>
    </row>
    <row r="298" spans="1:14" x14ac:dyDescent="0.2">
      <c r="A298" s="7"/>
      <c r="B298" s="6"/>
      <c r="C298" s="6"/>
      <c r="D298" s="6"/>
      <c r="E298" s="6"/>
      <c r="F298" s="6"/>
      <c r="G298" s="6"/>
      <c r="H298" s="6"/>
      <c r="I298" s="6"/>
      <c r="N298" s="9" t="s">
        <v>187</v>
      </c>
    </row>
    <row r="299" spans="1:14" x14ac:dyDescent="0.2">
      <c r="A299" s="7"/>
      <c r="B299" s="6"/>
      <c r="C299" s="6"/>
      <c r="D299" s="6"/>
      <c r="E299" s="6"/>
      <c r="F299" s="6"/>
      <c r="G299" s="6"/>
      <c r="H299" s="6"/>
      <c r="I299" s="6"/>
      <c r="N299" s="9" t="s">
        <v>188</v>
      </c>
    </row>
    <row r="300" spans="1:14" x14ac:dyDescent="0.2">
      <c r="A300" s="7"/>
      <c r="B300" s="6"/>
      <c r="C300" s="6"/>
      <c r="D300" s="6"/>
      <c r="E300" s="6"/>
      <c r="F300" s="6"/>
      <c r="G300" s="6"/>
      <c r="H300" s="6"/>
      <c r="I300" s="6"/>
      <c r="N300" s="9" t="s">
        <v>189</v>
      </c>
    </row>
    <row r="301" spans="1:14" x14ac:dyDescent="0.2">
      <c r="A301" s="7"/>
      <c r="B301" s="6"/>
      <c r="C301" s="6"/>
      <c r="D301" s="6"/>
      <c r="E301" s="6"/>
      <c r="F301" s="6"/>
      <c r="G301" s="6"/>
      <c r="H301" s="6"/>
      <c r="I301" s="6"/>
      <c r="N301" s="9" t="s">
        <v>190</v>
      </c>
    </row>
    <row r="302" spans="1:14" x14ac:dyDescent="0.2">
      <c r="A302" s="7"/>
      <c r="B302" s="6"/>
      <c r="C302" s="6"/>
      <c r="D302" s="6"/>
      <c r="E302" s="6"/>
      <c r="F302" s="6"/>
      <c r="G302" s="6"/>
      <c r="H302" s="6"/>
      <c r="I302" s="6"/>
      <c r="N302" s="9" t="s">
        <v>191</v>
      </c>
    </row>
    <row r="303" spans="1:14" x14ac:dyDescent="0.2">
      <c r="A303" s="7"/>
      <c r="B303" s="6"/>
      <c r="C303" s="6"/>
      <c r="D303" s="6"/>
      <c r="E303" s="6"/>
      <c r="F303" s="6"/>
      <c r="G303" s="6"/>
      <c r="H303" s="6"/>
      <c r="I303" s="6"/>
      <c r="N303" s="9" t="s">
        <v>192</v>
      </c>
    </row>
    <row r="304" spans="1:14" x14ac:dyDescent="0.2">
      <c r="A304" s="7"/>
      <c r="B304" s="6"/>
      <c r="C304" s="6"/>
      <c r="D304" s="6"/>
      <c r="E304" s="6"/>
      <c r="F304" s="6"/>
      <c r="G304" s="6"/>
      <c r="H304" s="6"/>
      <c r="I304" s="6"/>
      <c r="L304" s="13"/>
      <c r="M304" s="13"/>
      <c r="N304" s="9" t="s">
        <v>193</v>
      </c>
    </row>
    <row r="305" spans="1:14" x14ac:dyDescent="0.2">
      <c r="A305" s="7"/>
      <c r="B305" s="6"/>
      <c r="C305" s="6"/>
      <c r="D305" s="6"/>
      <c r="E305" s="6"/>
      <c r="F305" s="6"/>
      <c r="G305" s="6"/>
      <c r="H305" s="6"/>
      <c r="I305" s="6"/>
      <c r="N305" s="9" t="s">
        <v>194</v>
      </c>
    </row>
    <row r="306" spans="1:14" x14ac:dyDescent="0.2">
      <c r="A306" s="7"/>
      <c r="B306" s="6"/>
      <c r="C306" s="6"/>
      <c r="D306" s="6"/>
      <c r="E306" s="6"/>
      <c r="F306" s="6"/>
      <c r="G306" s="6"/>
      <c r="H306" s="6"/>
      <c r="I306" s="6"/>
      <c r="N306" s="9" t="s">
        <v>195</v>
      </c>
    </row>
    <row r="307" spans="1:14" x14ac:dyDescent="0.2">
      <c r="A307" s="7"/>
      <c r="B307" s="6"/>
      <c r="C307" s="6"/>
      <c r="D307" s="6"/>
      <c r="E307" s="6"/>
      <c r="F307" s="6"/>
      <c r="G307" s="6"/>
      <c r="H307" s="6"/>
      <c r="I307" s="6"/>
      <c r="N307" s="9" t="s">
        <v>196</v>
      </c>
    </row>
    <row r="308" spans="1:14" x14ac:dyDescent="0.2">
      <c r="A308" s="7"/>
      <c r="B308" s="6"/>
      <c r="C308" s="6"/>
      <c r="D308" s="6"/>
      <c r="E308" s="6"/>
      <c r="F308" s="6"/>
      <c r="G308" s="6"/>
      <c r="H308" s="6"/>
      <c r="I308" s="6"/>
      <c r="N308" s="9" t="s">
        <v>197</v>
      </c>
    </row>
    <row r="309" spans="1:14" x14ac:dyDescent="0.2">
      <c r="A309" s="7"/>
      <c r="B309" s="6"/>
      <c r="C309" s="6"/>
      <c r="D309" s="6"/>
      <c r="E309" s="6"/>
      <c r="F309" s="6"/>
      <c r="G309" s="6"/>
      <c r="H309" s="6"/>
      <c r="I309" s="6"/>
      <c r="N309" s="9" t="s">
        <v>198</v>
      </c>
    </row>
    <row r="310" spans="1:14" x14ac:dyDescent="0.2">
      <c r="A310" s="7"/>
      <c r="B310" s="6"/>
      <c r="C310" s="6"/>
      <c r="D310" s="6"/>
      <c r="E310" s="6"/>
      <c r="F310" s="6"/>
      <c r="G310" s="6"/>
      <c r="H310" s="6"/>
      <c r="I310" s="6"/>
      <c r="N310" s="9" t="s">
        <v>199</v>
      </c>
    </row>
    <row r="311" spans="1:14" x14ac:dyDescent="0.2">
      <c r="A311" s="7"/>
      <c r="B311" s="6"/>
      <c r="C311" s="6"/>
      <c r="D311" s="6"/>
      <c r="E311" s="6"/>
      <c r="F311" s="6"/>
      <c r="G311" s="6"/>
      <c r="H311" s="6"/>
      <c r="I311" s="6"/>
      <c r="N311" s="9" t="s">
        <v>200</v>
      </c>
    </row>
    <row r="312" spans="1:14" x14ac:dyDescent="0.2">
      <c r="A312" s="7"/>
      <c r="B312" s="6"/>
      <c r="C312" s="6"/>
      <c r="D312" s="6"/>
      <c r="E312" s="6"/>
      <c r="F312" s="6"/>
      <c r="G312" s="6"/>
      <c r="H312" s="6"/>
      <c r="I312" s="6"/>
      <c r="N312" s="9" t="s">
        <v>201</v>
      </c>
    </row>
    <row r="313" spans="1:14" x14ac:dyDescent="0.2">
      <c r="A313" s="7"/>
      <c r="B313" s="6"/>
      <c r="C313" s="6"/>
      <c r="D313" s="6"/>
      <c r="E313" s="6"/>
      <c r="F313" s="6"/>
      <c r="G313" s="6"/>
      <c r="H313" s="6"/>
      <c r="I313" s="6"/>
      <c r="N313" s="9" t="s">
        <v>355</v>
      </c>
    </row>
    <row r="314" spans="1:14" x14ac:dyDescent="0.2">
      <c r="A314" s="7"/>
      <c r="B314" s="6"/>
      <c r="C314" s="6"/>
      <c r="D314" s="6"/>
      <c r="E314" s="6"/>
      <c r="F314" s="6"/>
      <c r="G314" s="6"/>
      <c r="H314" s="6"/>
      <c r="I314" s="6"/>
      <c r="N314" s="9" t="s">
        <v>202</v>
      </c>
    </row>
    <row r="315" spans="1:14" x14ac:dyDescent="0.2">
      <c r="A315" s="7"/>
      <c r="B315" s="6"/>
      <c r="C315" s="6"/>
      <c r="D315" s="6"/>
      <c r="E315" s="6"/>
      <c r="F315" s="6"/>
      <c r="G315" s="6"/>
      <c r="H315" s="6"/>
      <c r="I315" s="6"/>
      <c r="N315" s="9" t="s">
        <v>203</v>
      </c>
    </row>
    <row r="316" spans="1:14" x14ac:dyDescent="0.2">
      <c r="A316" s="7"/>
      <c r="B316" s="6"/>
      <c r="C316" s="6"/>
      <c r="D316" s="6"/>
      <c r="E316" s="6"/>
      <c r="F316" s="6"/>
      <c r="G316" s="6"/>
      <c r="H316" s="6"/>
      <c r="I316" s="6"/>
      <c r="N316" s="9" t="s">
        <v>204</v>
      </c>
    </row>
    <row r="317" spans="1:14" x14ac:dyDescent="0.2">
      <c r="A317" s="7"/>
      <c r="B317" s="6"/>
      <c r="C317" s="6"/>
      <c r="D317" s="6"/>
      <c r="E317" s="6"/>
      <c r="F317" s="6"/>
      <c r="G317" s="6"/>
      <c r="H317" s="6"/>
      <c r="I317" s="6"/>
      <c r="N317" s="9" t="s">
        <v>205</v>
      </c>
    </row>
    <row r="318" spans="1:14" x14ac:dyDescent="0.2">
      <c r="A318" s="7"/>
      <c r="B318" s="6"/>
      <c r="C318" s="6"/>
      <c r="D318" s="6"/>
      <c r="E318" s="6"/>
      <c r="F318" s="6"/>
      <c r="G318" s="6"/>
      <c r="H318" s="6"/>
      <c r="I318" s="6"/>
      <c r="N318" s="9" t="s">
        <v>206</v>
      </c>
    </row>
    <row r="319" spans="1:14" x14ac:dyDescent="0.2">
      <c r="A319" s="7"/>
      <c r="B319" s="6"/>
      <c r="C319" s="6"/>
      <c r="D319" s="6"/>
      <c r="E319" s="6"/>
      <c r="F319" s="6"/>
      <c r="G319" s="6"/>
      <c r="H319" s="6"/>
      <c r="I319" s="6"/>
      <c r="N319" s="9" t="s">
        <v>122</v>
      </c>
    </row>
    <row r="320" spans="1:14" x14ac:dyDescent="0.2">
      <c r="A320" s="7"/>
      <c r="B320" s="6"/>
      <c r="C320" s="6"/>
      <c r="D320" s="6"/>
      <c r="E320" s="6"/>
      <c r="F320" s="6"/>
      <c r="G320" s="6"/>
      <c r="H320" s="6"/>
      <c r="I320" s="6"/>
      <c r="N320" s="9" t="s">
        <v>207</v>
      </c>
    </row>
    <row r="321" spans="1:14" x14ac:dyDescent="0.2">
      <c r="A321" s="7"/>
      <c r="B321" s="6"/>
      <c r="C321" s="6"/>
      <c r="D321" s="6"/>
      <c r="E321" s="6"/>
      <c r="F321" s="6"/>
      <c r="G321" s="6"/>
      <c r="H321" s="6"/>
      <c r="I321" s="6"/>
      <c r="N321" s="9" t="s">
        <v>354</v>
      </c>
    </row>
    <row r="322" spans="1:14" x14ac:dyDescent="0.2">
      <c r="A322" s="7"/>
      <c r="B322" s="6"/>
      <c r="C322" s="6"/>
      <c r="D322" s="6"/>
      <c r="E322" s="6"/>
      <c r="F322" s="6"/>
      <c r="G322" s="6"/>
      <c r="H322" s="6"/>
      <c r="I322" s="6"/>
      <c r="N322" s="9" t="s">
        <v>208</v>
      </c>
    </row>
    <row r="323" spans="1:14" x14ac:dyDescent="0.2">
      <c r="A323" s="7"/>
      <c r="B323" s="6"/>
      <c r="C323" s="6"/>
      <c r="D323" s="6"/>
      <c r="E323" s="6"/>
      <c r="F323" s="6"/>
      <c r="G323" s="6"/>
      <c r="H323" s="6"/>
      <c r="I323" s="6"/>
      <c r="N323" s="9" t="s">
        <v>209</v>
      </c>
    </row>
    <row r="324" spans="1:14" x14ac:dyDescent="0.2">
      <c r="A324" s="7"/>
      <c r="B324" s="6"/>
      <c r="C324" s="6"/>
      <c r="D324" s="6"/>
      <c r="E324" s="6"/>
      <c r="F324" s="6"/>
      <c r="G324" s="6"/>
      <c r="H324" s="6"/>
      <c r="I324" s="6"/>
      <c r="N324" s="9" t="s">
        <v>210</v>
      </c>
    </row>
    <row r="325" spans="1:14" x14ac:dyDescent="0.2">
      <c r="A325" s="7"/>
      <c r="B325" s="6"/>
      <c r="C325" s="6"/>
      <c r="D325" s="6"/>
      <c r="E325" s="6"/>
      <c r="F325" s="6"/>
      <c r="G325" s="6"/>
      <c r="H325" s="6"/>
      <c r="I325" s="6"/>
      <c r="N325" s="9" t="s">
        <v>353</v>
      </c>
    </row>
    <row r="326" spans="1:14" x14ac:dyDescent="0.2">
      <c r="A326" s="7"/>
      <c r="B326" s="6"/>
      <c r="C326" s="6"/>
      <c r="D326" s="6"/>
      <c r="E326" s="6"/>
      <c r="F326" s="6"/>
      <c r="G326" s="6"/>
      <c r="H326" s="6"/>
      <c r="I326" s="6"/>
      <c r="N326" s="9" t="s">
        <v>211</v>
      </c>
    </row>
    <row r="327" spans="1:14" x14ac:dyDescent="0.2">
      <c r="A327" s="7"/>
      <c r="B327" s="6"/>
      <c r="C327" s="6"/>
      <c r="D327" s="6"/>
      <c r="E327" s="6"/>
      <c r="F327" s="6"/>
      <c r="G327" s="6"/>
      <c r="H327" s="6"/>
      <c r="I327" s="6"/>
      <c r="N327" s="9" t="s">
        <v>212</v>
      </c>
    </row>
    <row r="328" spans="1:14" x14ac:dyDescent="0.2">
      <c r="A328" s="7"/>
      <c r="B328" s="6"/>
      <c r="C328" s="6"/>
      <c r="D328" s="6"/>
      <c r="E328" s="6"/>
      <c r="F328" s="6"/>
      <c r="G328" s="6"/>
      <c r="H328" s="6"/>
      <c r="I328" s="6"/>
      <c r="N328" s="9" t="s">
        <v>213</v>
      </c>
    </row>
    <row r="329" spans="1:14" x14ac:dyDescent="0.2">
      <c r="A329" s="7"/>
      <c r="B329" s="6"/>
      <c r="C329" s="6"/>
      <c r="D329" s="6"/>
      <c r="E329" s="6"/>
      <c r="F329" s="6"/>
      <c r="G329" s="6"/>
      <c r="H329" s="6"/>
      <c r="I329" s="6"/>
      <c r="N329" s="9" t="s">
        <v>214</v>
      </c>
    </row>
    <row r="330" spans="1:14" x14ac:dyDescent="0.2">
      <c r="A330" s="7"/>
      <c r="B330" s="6"/>
      <c r="C330" s="6"/>
      <c r="D330" s="6"/>
      <c r="E330" s="6"/>
      <c r="F330" s="6"/>
      <c r="G330" s="6"/>
      <c r="H330" s="6"/>
      <c r="I330" s="6"/>
      <c r="N330" s="9" t="s">
        <v>215</v>
      </c>
    </row>
    <row r="331" spans="1:14" x14ac:dyDescent="0.2">
      <c r="A331" s="7"/>
      <c r="B331" s="6"/>
      <c r="C331" s="6"/>
      <c r="D331" s="6"/>
      <c r="E331" s="6"/>
      <c r="F331" s="6"/>
      <c r="G331" s="6"/>
      <c r="H331" s="6"/>
      <c r="I331" s="6"/>
      <c r="N331" s="9" t="s">
        <v>216</v>
      </c>
    </row>
    <row r="332" spans="1:14" x14ac:dyDescent="0.2">
      <c r="A332" s="7"/>
      <c r="B332" s="6"/>
      <c r="C332" s="6"/>
      <c r="D332" s="6"/>
      <c r="E332" s="6"/>
      <c r="F332" s="6"/>
      <c r="G332" s="6"/>
      <c r="H332" s="6"/>
      <c r="I332" s="6"/>
      <c r="N332" s="9" t="s">
        <v>217</v>
      </c>
    </row>
    <row r="333" spans="1:14" x14ac:dyDescent="0.2">
      <c r="A333" s="7"/>
      <c r="B333" s="6"/>
      <c r="C333" s="6"/>
      <c r="D333" s="6"/>
      <c r="E333" s="6"/>
      <c r="F333" s="6"/>
      <c r="G333" s="6"/>
      <c r="H333" s="6"/>
      <c r="I333" s="6"/>
      <c r="N333" s="9" t="s">
        <v>218</v>
      </c>
    </row>
    <row r="334" spans="1:14" x14ac:dyDescent="0.2">
      <c r="A334" s="7"/>
      <c r="B334" s="6"/>
      <c r="C334" s="6"/>
      <c r="D334" s="6"/>
      <c r="E334" s="6"/>
      <c r="F334" s="6"/>
      <c r="G334" s="6"/>
      <c r="H334" s="6"/>
      <c r="I334" s="6"/>
      <c r="N334" s="9" t="s">
        <v>219</v>
      </c>
    </row>
    <row r="335" spans="1:14" x14ac:dyDescent="0.2">
      <c r="A335" s="7"/>
      <c r="B335" s="6"/>
      <c r="C335" s="6"/>
      <c r="D335" s="6"/>
      <c r="E335" s="6"/>
      <c r="F335" s="6"/>
      <c r="G335" s="6"/>
      <c r="H335" s="6"/>
      <c r="I335" s="6"/>
      <c r="N335" s="9" t="s">
        <v>220</v>
      </c>
    </row>
    <row r="336" spans="1:14" x14ac:dyDescent="0.2">
      <c r="A336" s="7"/>
      <c r="B336" s="6"/>
      <c r="C336" s="6"/>
      <c r="D336" s="6"/>
      <c r="E336" s="6"/>
      <c r="F336" s="6"/>
      <c r="G336" s="6"/>
      <c r="H336" s="6"/>
      <c r="I336" s="6"/>
      <c r="N336" s="9" t="s">
        <v>221</v>
      </c>
    </row>
    <row r="337" spans="1:14" x14ac:dyDescent="0.2">
      <c r="A337" s="7"/>
      <c r="B337" s="6"/>
      <c r="C337" s="6"/>
      <c r="D337" s="6"/>
      <c r="E337" s="6"/>
      <c r="F337" s="6"/>
      <c r="G337" s="6"/>
      <c r="H337" s="6"/>
      <c r="I337" s="6"/>
      <c r="N337" s="9" t="s">
        <v>222</v>
      </c>
    </row>
    <row r="338" spans="1:14" x14ac:dyDescent="0.2">
      <c r="A338" s="7"/>
      <c r="B338" s="6"/>
      <c r="C338" s="6"/>
      <c r="D338" s="6"/>
      <c r="E338" s="6"/>
      <c r="F338" s="6"/>
      <c r="G338" s="6"/>
      <c r="H338" s="6"/>
      <c r="I338" s="6"/>
      <c r="N338" s="9" t="s">
        <v>223</v>
      </c>
    </row>
    <row r="339" spans="1:14" x14ac:dyDescent="0.2">
      <c r="A339" s="7"/>
      <c r="B339" s="6"/>
      <c r="C339" s="6"/>
      <c r="D339" s="6"/>
      <c r="E339" s="6"/>
      <c r="F339" s="6"/>
      <c r="G339" s="6"/>
      <c r="H339" s="6"/>
      <c r="I339" s="6"/>
      <c r="N339" s="9" t="s">
        <v>224</v>
      </c>
    </row>
    <row r="340" spans="1:14" x14ac:dyDescent="0.2">
      <c r="A340" s="7"/>
      <c r="B340" s="6"/>
      <c r="C340" s="6"/>
      <c r="D340" s="6"/>
      <c r="E340" s="6"/>
      <c r="F340" s="6"/>
      <c r="G340" s="6"/>
      <c r="H340" s="6"/>
      <c r="I340" s="6"/>
      <c r="N340" s="9" t="s">
        <v>225</v>
      </c>
    </row>
    <row r="341" spans="1:14" x14ac:dyDescent="0.2">
      <c r="A341" s="7"/>
      <c r="B341" s="6"/>
      <c r="C341" s="6"/>
      <c r="D341" s="6"/>
      <c r="E341" s="6"/>
      <c r="F341" s="6"/>
      <c r="G341" s="6"/>
      <c r="H341" s="6"/>
      <c r="I341" s="6"/>
      <c r="N341" s="9" t="s">
        <v>226</v>
      </c>
    </row>
    <row r="342" spans="1:14" x14ac:dyDescent="0.2">
      <c r="A342" s="7"/>
      <c r="B342" s="6"/>
      <c r="C342" s="6"/>
      <c r="D342" s="6"/>
      <c r="E342" s="6"/>
      <c r="F342" s="6"/>
      <c r="G342" s="6"/>
      <c r="H342" s="6"/>
      <c r="I342" s="6"/>
      <c r="N342" s="9" t="s">
        <v>227</v>
      </c>
    </row>
    <row r="343" spans="1:14" x14ac:dyDescent="0.2">
      <c r="A343" s="7"/>
      <c r="B343" s="6"/>
      <c r="C343" s="6"/>
      <c r="D343" s="6"/>
      <c r="E343" s="6"/>
      <c r="F343" s="6"/>
      <c r="G343" s="6"/>
      <c r="H343" s="6"/>
      <c r="I343" s="6"/>
      <c r="N343" s="9" t="s">
        <v>228</v>
      </c>
    </row>
    <row r="344" spans="1:14" x14ac:dyDescent="0.2">
      <c r="A344" s="7"/>
      <c r="B344" s="6"/>
      <c r="C344" s="6"/>
      <c r="D344" s="6"/>
      <c r="E344" s="6"/>
      <c r="F344" s="6"/>
      <c r="G344" s="6"/>
      <c r="H344" s="6"/>
      <c r="I344" s="6"/>
      <c r="N344" s="9" t="s">
        <v>229</v>
      </c>
    </row>
    <row r="345" spans="1:14" x14ac:dyDescent="0.2">
      <c r="A345" s="7"/>
      <c r="B345" s="6"/>
      <c r="C345" s="6"/>
      <c r="D345" s="6"/>
      <c r="E345" s="6"/>
      <c r="F345" s="6"/>
      <c r="G345" s="6"/>
      <c r="H345" s="6"/>
      <c r="I345" s="6"/>
      <c r="N345" s="9" t="s">
        <v>230</v>
      </c>
    </row>
    <row r="346" spans="1:14" x14ac:dyDescent="0.2">
      <c r="A346" s="7"/>
      <c r="B346" s="6"/>
      <c r="C346" s="6"/>
      <c r="D346" s="6"/>
      <c r="E346" s="6"/>
      <c r="F346" s="6"/>
      <c r="G346" s="6"/>
      <c r="H346" s="6"/>
      <c r="I346" s="6"/>
      <c r="N346" s="9" t="s">
        <v>230</v>
      </c>
    </row>
    <row r="347" spans="1:14" x14ac:dyDescent="0.2">
      <c r="A347" s="7"/>
      <c r="B347" s="6"/>
      <c r="C347" s="6"/>
      <c r="D347" s="6"/>
      <c r="E347" s="6"/>
      <c r="F347" s="6"/>
      <c r="G347" s="6"/>
      <c r="H347" s="6"/>
      <c r="I347" s="6"/>
      <c r="N347" s="9" t="s">
        <v>231</v>
      </c>
    </row>
    <row r="348" spans="1:14" x14ac:dyDescent="0.2">
      <c r="A348" s="7"/>
      <c r="B348" s="6"/>
      <c r="C348" s="6"/>
      <c r="D348" s="6"/>
      <c r="E348" s="6"/>
      <c r="F348" s="6"/>
      <c r="G348" s="6"/>
      <c r="H348" s="6"/>
      <c r="I348" s="6"/>
      <c r="N348" s="9" t="s">
        <v>232</v>
      </c>
    </row>
    <row r="349" spans="1:14" x14ac:dyDescent="0.2">
      <c r="A349" s="7"/>
      <c r="B349" s="6"/>
      <c r="C349" s="6"/>
      <c r="D349" s="6"/>
      <c r="E349" s="6"/>
      <c r="F349" s="6"/>
      <c r="G349" s="6"/>
      <c r="H349" s="6"/>
      <c r="I349" s="6"/>
      <c r="N349" s="9" t="s">
        <v>233</v>
      </c>
    </row>
    <row r="350" spans="1:14" x14ac:dyDescent="0.2">
      <c r="A350" s="7"/>
      <c r="B350" s="6"/>
      <c r="C350" s="6"/>
      <c r="D350" s="6"/>
      <c r="E350" s="6"/>
      <c r="F350" s="6"/>
      <c r="G350" s="6"/>
      <c r="H350" s="6"/>
      <c r="I350" s="6"/>
      <c r="N350" s="9" t="s">
        <v>234</v>
      </c>
    </row>
    <row r="351" spans="1:14" x14ac:dyDescent="0.2">
      <c r="A351" s="7"/>
      <c r="B351" s="6"/>
      <c r="C351" s="6"/>
      <c r="D351" s="6"/>
      <c r="E351" s="6"/>
      <c r="F351" s="6"/>
      <c r="G351" s="6"/>
      <c r="H351" s="6"/>
      <c r="I351" s="6"/>
      <c r="N351" s="9" t="s">
        <v>235</v>
      </c>
    </row>
    <row r="352" spans="1:14" x14ac:dyDescent="0.2">
      <c r="A352" s="7"/>
      <c r="B352" s="6"/>
      <c r="C352" s="6"/>
      <c r="D352" s="6"/>
      <c r="E352" s="6"/>
      <c r="F352" s="6"/>
      <c r="G352" s="6"/>
      <c r="H352" s="6"/>
      <c r="I352" s="6"/>
      <c r="N352" s="9" t="s">
        <v>236</v>
      </c>
    </row>
    <row r="353" spans="1:14" x14ac:dyDescent="0.2">
      <c r="A353" s="7"/>
      <c r="B353" s="6"/>
      <c r="C353" s="6"/>
      <c r="D353" s="6"/>
      <c r="E353" s="6"/>
      <c r="F353" s="6"/>
      <c r="G353" s="6"/>
      <c r="H353" s="6"/>
      <c r="I353" s="6"/>
      <c r="N353" s="9" t="s">
        <v>237</v>
      </c>
    </row>
    <row r="354" spans="1:14" x14ac:dyDescent="0.2">
      <c r="A354" s="7"/>
      <c r="B354" s="6"/>
      <c r="C354" s="6"/>
      <c r="D354" s="6"/>
      <c r="E354" s="6"/>
      <c r="F354" s="6"/>
      <c r="G354" s="6"/>
      <c r="H354" s="6"/>
      <c r="I354" s="6"/>
      <c r="N354" s="9" t="s">
        <v>352</v>
      </c>
    </row>
    <row r="355" spans="1:14" x14ac:dyDescent="0.2">
      <c r="A355" s="7"/>
      <c r="B355" s="6"/>
      <c r="C355" s="6"/>
      <c r="D355" s="6"/>
      <c r="E355" s="6"/>
      <c r="F355" s="6"/>
      <c r="G355" s="6"/>
      <c r="H355" s="6"/>
      <c r="I355" s="6"/>
      <c r="N355" s="9" t="s">
        <v>238</v>
      </c>
    </row>
    <row r="356" spans="1:14" x14ac:dyDescent="0.2">
      <c r="A356" s="7"/>
      <c r="B356" s="6"/>
      <c r="C356" s="6"/>
      <c r="D356" s="6"/>
      <c r="E356" s="6"/>
      <c r="F356" s="6"/>
      <c r="G356" s="6"/>
      <c r="H356" s="6"/>
      <c r="I356" s="6"/>
      <c r="N356" s="9" t="s">
        <v>239</v>
      </c>
    </row>
    <row r="357" spans="1:14" x14ac:dyDescent="0.2">
      <c r="A357" s="7"/>
      <c r="B357" s="6"/>
      <c r="C357" s="6"/>
      <c r="D357" s="6"/>
      <c r="E357" s="6"/>
      <c r="F357" s="6"/>
      <c r="G357" s="6"/>
      <c r="H357" s="6"/>
      <c r="I357" s="6"/>
      <c r="N357" s="9" t="s">
        <v>240</v>
      </c>
    </row>
    <row r="358" spans="1:14" x14ac:dyDescent="0.2">
      <c r="A358" s="7"/>
      <c r="B358" s="6"/>
      <c r="C358" s="6"/>
      <c r="D358" s="6"/>
      <c r="E358" s="6"/>
      <c r="F358" s="6"/>
      <c r="G358" s="6"/>
      <c r="H358" s="6"/>
      <c r="I358" s="6"/>
      <c r="N358" s="9" t="s">
        <v>242</v>
      </c>
    </row>
    <row r="359" spans="1:14" x14ac:dyDescent="0.2">
      <c r="A359" s="7"/>
      <c r="B359" s="6"/>
      <c r="C359" s="6"/>
      <c r="D359" s="6"/>
      <c r="E359" s="6"/>
      <c r="F359" s="6"/>
      <c r="G359" s="6"/>
      <c r="H359" s="6"/>
      <c r="I359" s="6"/>
      <c r="N359" s="9" t="s">
        <v>241</v>
      </c>
    </row>
    <row r="360" spans="1:14" x14ac:dyDescent="0.2">
      <c r="A360" s="7"/>
      <c r="B360" s="6"/>
      <c r="C360" s="6"/>
      <c r="D360" s="6"/>
      <c r="E360" s="6"/>
      <c r="F360" s="6"/>
      <c r="G360" s="6"/>
      <c r="H360" s="6"/>
      <c r="I360" s="6"/>
      <c r="N360" s="9" t="s">
        <v>243</v>
      </c>
    </row>
    <row r="361" spans="1:14" x14ac:dyDescent="0.2">
      <c r="A361" s="7"/>
      <c r="B361" s="6"/>
      <c r="C361" s="6"/>
      <c r="D361" s="6"/>
      <c r="E361" s="6"/>
      <c r="F361" s="6"/>
      <c r="G361" s="6"/>
      <c r="H361" s="6"/>
      <c r="I361" s="6"/>
      <c r="N361" s="9" t="s">
        <v>244</v>
      </c>
    </row>
    <row r="362" spans="1:14" x14ac:dyDescent="0.2">
      <c r="A362" s="7"/>
      <c r="B362" s="6"/>
      <c r="C362" s="6"/>
      <c r="D362" s="6"/>
      <c r="E362" s="6"/>
      <c r="F362" s="6"/>
      <c r="G362" s="6"/>
      <c r="H362" s="6"/>
      <c r="I362" s="6"/>
      <c r="N362" s="9" t="s">
        <v>245</v>
      </c>
    </row>
    <row r="363" spans="1:14" x14ac:dyDescent="0.2">
      <c r="A363" s="7"/>
      <c r="B363" s="6"/>
      <c r="C363" s="6"/>
      <c r="D363" s="6"/>
      <c r="E363" s="6"/>
      <c r="F363" s="6"/>
      <c r="G363" s="6"/>
      <c r="H363" s="6"/>
      <c r="I363" s="6"/>
      <c r="N363" s="9" t="s">
        <v>246</v>
      </c>
    </row>
    <row r="364" spans="1:14" x14ac:dyDescent="0.2">
      <c r="A364" s="7"/>
      <c r="B364" s="6"/>
      <c r="C364" s="6"/>
      <c r="D364" s="6"/>
      <c r="E364" s="6"/>
      <c r="F364" s="6"/>
      <c r="G364" s="6"/>
      <c r="H364" s="6"/>
      <c r="I364" s="6"/>
      <c r="N364" s="9" t="s">
        <v>247</v>
      </c>
    </row>
    <row r="365" spans="1:14" x14ac:dyDescent="0.2">
      <c r="A365" s="7"/>
      <c r="B365" s="6"/>
      <c r="C365" s="6"/>
      <c r="D365" s="6"/>
      <c r="E365" s="6"/>
      <c r="F365" s="6"/>
      <c r="G365" s="6"/>
      <c r="H365" s="6"/>
      <c r="I365" s="6"/>
      <c r="N365" s="9" t="s">
        <v>248</v>
      </c>
    </row>
    <row r="366" spans="1:14" x14ac:dyDescent="0.2">
      <c r="A366" s="7"/>
      <c r="B366" s="6"/>
      <c r="C366" s="6"/>
      <c r="D366" s="6"/>
      <c r="E366" s="6"/>
      <c r="F366" s="6"/>
      <c r="G366" s="6"/>
      <c r="H366" s="6"/>
      <c r="I366" s="6"/>
      <c r="N366" s="9" t="s">
        <v>249</v>
      </c>
    </row>
    <row r="367" spans="1:14" x14ac:dyDescent="0.2">
      <c r="A367" s="7"/>
      <c r="B367" s="6"/>
      <c r="C367" s="6"/>
      <c r="D367" s="6"/>
      <c r="E367" s="6"/>
      <c r="F367" s="6"/>
      <c r="G367" s="6"/>
      <c r="H367" s="6"/>
      <c r="I367" s="6"/>
      <c r="N367" s="9" t="s">
        <v>250</v>
      </c>
    </row>
    <row r="368" spans="1:14" x14ac:dyDescent="0.2">
      <c r="A368" s="7"/>
      <c r="B368" s="6"/>
      <c r="C368" s="6"/>
      <c r="D368" s="6"/>
      <c r="E368" s="6"/>
      <c r="F368" s="6"/>
      <c r="G368" s="6"/>
      <c r="H368" s="6"/>
      <c r="I368" s="6"/>
      <c r="N368" s="9" t="s">
        <v>251</v>
      </c>
    </row>
    <row r="369" spans="1:14" x14ac:dyDescent="0.2">
      <c r="A369" s="7"/>
      <c r="B369" s="6"/>
      <c r="C369" s="6"/>
      <c r="D369" s="6"/>
      <c r="E369" s="6"/>
      <c r="F369" s="6"/>
      <c r="G369" s="6"/>
      <c r="H369" s="6"/>
      <c r="I369" s="6"/>
      <c r="N369" s="9" t="s">
        <v>252</v>
      </c>
    </row>
    <row r="370" spans="1:14" x14ac:dyDescent="0.2">
      <c r="A370" s="7"/>
      <c r="B370" s="6"/>
      <c r="C370" s="6"/>
      <c r="D370" s="6"/>
      <c r="E370" s="6"/>
      <c r="F370" s="6"/>
      <c r="G370" s="6"/>
      <c r="H370" s="6"/>
      <c r="I370" s="6"/>
      <c r="N370" s="9" t="s">
        <v>253</v>
      </c>
    </row>
    <row r="371" spans="1:14" x14ac:dyDescent="0.2">
      <c r="A371" s="7"/>
      <c r="B371" s="6"/>
      <c r="C371" s="6"/>
      <c r="D371" s="6"/>
      <c r="E371" s="6"/>
      <c r="F371" s="6"/>
      <c r="G371" s="6"/>
      <c r="H371" s="6"/>
      <c r="I371" s="6"/>
      <c r="N371" s="9" t="s">
        <v>254</v>
      </c>
    </row>
    <row r="372" spans="1:14" x14ac:dyDescent="0.2">
      <c r="A372" s="7"/>
      <c r="B372" s="6"/>
      <c r="C372" s="6"/>
      <c r="D372" s="6"/>
      <c r="E372" s="6"/>
      <c r="F372" s="6"/>
      <c r="G372" s="6"/>
      <c r="H372" s="6"/>
      <c r="I372" s="6"/>
      <c r="N372" s="9" t="s">
        <v>255</v>
      </c>
    </row>
    <row r="373" spans="1:14" x14ac:dyDescent="0.2">
      <c r="A373" s="7"/>
      <c r="B373" s="6"/>
      <c r="C373" s="6"/>
      <c r="D373" s="6"/>
      <c r="E373" s="6"/>
      <c r="F373" s="6"/>
      <c r="G373" s="6"/>
      <c r="H373" s="6"/>
      <c r="I373" s="6"/>
      <c r="N373" s="9" t="s">
        <v>256</v>
      </c>
    </row>
    <row r="374" spans="1:14" x14ac:dyDescent="0.2">
      <c r="A374" s="7"/>
      <c r="B374" s="6"/>
      <c r="C374" s="6"/>
      <c r="D374" s="6"/>
      <c r="E374" s="6"/>
      <c r="F374" s="6"/>
      <c r="G374" s="6"/>
      <c r="H374" s="6"/>
      <c r="I374" s="6"/>
      <c r="N374" s="9" t="s">
        <v>257</v>
      </c>
    </row>
    <row r="375" spans="1:14" x14ac:dyDescent="0.2">
      <c r="A375" s="7"/>
      <c r="B375" s="6"/>
      <c r="C375" s="6"/>
      <c r="D375" s="6"/>
      <c r="E375" s="6"/>
      <c r="F375" s="6"/>
      <c r="G375" s="6"/>
      <c r="H375" s="6"/>
      <c r="I375" s="6"/>
      <c r="N375" s="9" t="s">
        <v>258</v>
      </c>
    </row>
    <row r="376" spans="1:14" x14ac:dyDescent="0.2">
      <c r="A376" s="7"/>
      <c r="B376" s="6"/>
      <c r="C376" s="6"/>
      <c r="D376" s="6"/>
      <c r="E376" s="6"/>
      <c r="F376" s="6"/>
      <c r="G376" s="6"/>
      <c r="H376" s="6"/>
      <c r="I376" s="6"/>
      <c r="N376" s="9" t="s">
        <v>259</v>
      </c>
    </row>
    <row r="377" spans="1:14" x14ac:dyDescent="0.2">
      <c r="A377" s="7"/>
      <c r="B377" s="6"/>
      <c r="C377" s="6"/>
      <c r="D377" s="6"/>
      <c r="E377" s="6"/>
      <c r="F377" s="6"/>
      <c r="G377" s="6"/>
      <c r="H377" s="6"/>
      <c r="I377" s="6"/>
      <c r="N377" s="9" t="s">
        <v>260</v>
      </c>
    </row>
    <row r="378" spans="1:14" x14ac:dyDescent="0.2">
      <c r="A378" s="7"/>
      <c r="B378" s="6"/>
      <c r="C378" s="6"/>
      <c r="D378" s="6"/>
      <c r="E378" s="6"/>
      <c r="F378" s="6"/>
      <c r="G378" s="6"/>
      <c r="H378" s="6"/>
      <c r="I378" s="6"/>
      <c r="N378" s="9" t="s">
        <v>261</v>
      </c>
    </row>
    <row r="379" spans="1:14" x14ac:dyDescent="0.2">
      <c r="A379" s="7"/>
      <c r="B379" s="6"/>
      <c r="C379" s="6"/>
      <c r="D379" s="6"/>
      <c r="E379" s="6"/>
      <c r="F379" s="6"/>
      <c r="G379" s="6"/>
      <c r="H379" s="6"/>
      <c r="I379" s="6"/>
      <c r="N379" s="9" t="s">
        <v>262</v>
      </c>
    </row>
    <row r="380" spans="1:14" x14ac:dyDescent="0.2">
      <c r="A380" s="7"/>
      <c r="B380" s="6"/>
      <c r="C380" s="6"/>
      <c r="D380" s="6"/>
      <c r="E380" s="6"/>
      <c r="F380" s="6"/>
      <c r="G380" s="6"/>
      <c r="H380" s="6"/>
      <c r="I380" s="6"/>
      <c r="N380" s="9" t="s">
        <v>263</v>
      </c>
    </row>
    <row r="381" spans="1:14" x14ac:dyDescent="0.2">
      <c r="A381" s="7"/>
      <c r="B381" s="6"/>
      <c r="C381" s="6"/>
      <c r="D381" s="6"/>
      <c r="E381" s="6"/>
      <c r="F381" s="6"/>
      <c r="G381" s="6"/>
      <c r="H381" s="6"/>
      <c r="I381" s="6"/>
      <c r="N381" s="9" t="s">
        <v>264</v>
      </c>
    </row>
    <row r="382" spans="1:14" x14ac:dyDescent="0.2">
      <c r="A382" s="7"/>
      <c r="B382" s="6"/>
      <c r="C382" s="6"/>
      <c r="D382" s="6"/>
      <c r="E382" s="6"/>
      <c r="F382" s="6"/>
      <c r="G382" s="6"/>
      <c r="H382" s="6"/>
      <c r="I382" s="6"/>
      <c r="N382" s="9" t="s">
        <v>265</v>
      </c>
    </row>
    <row r="383" spans="1:14" x14ac:dyDescent="0.2">
      <c r="A383" s="7"/>
      <c r="B383" s="6"/>
      <c r="C383" s="6"/>
      <c r="D383" s="6"/>
      <c r="E383" s="6"/>
      <c r="F383" s="6"/>
      <c r="G383" s="6"/>
      <c r="H383" s="6"/>
      <c r="I383" s="6"/>
      <c r="N383" s="9" t="s">
        <v>266</v>
      </c>
    </row>
    <row r="384" spans="1:14" x14ac:dyDescent="0.2">
      <c r="A384" s="7"/>
      <c r="B384" s="6"/>
      <c r="C384" s="6"/>
      <c r="D384" s="6"/>
      <c r="E384" s="6"/>
      <c r="F384" s="6"/>
      <c r="G384" s="6"/>
      <c r="H384" s="6"/>
      <c r="I384" s="6"/>
      <c r="N384" s="9" t="s">
        <v>267</v>
      </c>
    </row>
    <row r="385" spans="1:14" x14ac:dyDescent="0.2">
      <c r="A385" s="7"/>
      <c r="B385" s="6"/>
      <c r="C385" s="6"/>
      <c r="D385" s="6"/>
      <c r="E385" s="6"/>
      <c r="F385" s="6"/>
      <c r="G385" s="6"/>
      <c r="H385" s="6"/>
      <c r="I385" s="6"/>
      <c r="N385" s="9" t="s">
        <v>351</v>
      </c>
    </row>
    <row r="386" spans="1:14" x14ac:dyDescent="0.2">
      <c r="A386" s="7"/>
      <c r="B386" s="6"/>
      <c r="C386" s="6"/>
      <c r="D386" s="6"/>
      <c r="E386" s="6"/>
      <c r="F386" s="6"/>
      <c r="G386" s="6"/>
      <c r="H386" s="6"/>
      <c r="I386" s="6"/>
      <c r="N386" s="9" t="s">
        <v>268</v>
      </c>
    </row>
    <row r="387" spans="1:14" x14ac:dyDescent="0.2">
      <c r="A387" s="7"/>
      <c r="B387" s="6"/>
      <c r="C387" s="6"/>
      <c r="D387" s="6"/>
      <c r="E387" s="6"/>
      <c r="F387" s="6"/>
      <c r="G387" s="6"/>
      <c r="H387" s="6"/>
      <c r="I387" s="6"/>
      <c r="N387" s="9" t="s">
        <v>350</v>
      </c>
    </row>
    <row r="388" spans="1:14" x14ac:dyDescent="0.2">
      <c r="A388" s="7"/>
      <c r="B388" s="6"/>
      <c r="C388" s="6"/>
      <c r="D388" s="6"/>
      <c r="E388" s="6"/>
      <c r="F388" s="6"/>
      <c r="G388" s="6"/>
      <c r="H388" s="6"/>
      <c r="I388" s="6"/>
      <c r="N388" s="9" t="s">
        <v>269</v>
      </c>
    </row>
    <row r="389" spans="1:14" x14ac:dyDescent="0.2">
      <c r="A389" s="7"/>
      <c r="B389" s="6"/>
      <c r="C389" s="6"/>
      <c r="D389" s="6"/>
      <c r="E389" s="6"/>
      <c r="F389" s="6"/>
      <c r="G389" s="6"/>
      <c r="H389" s="6"/>
      <c r="I389" s="6"/>
      <c r="N389" s="9" t="s">
        <v>270</v>
      </c>
    </row>
    <row r="390" spans="1:14" x14ac:dyDescent="0.2">
      <c r="A390" s="7"/>
      <c r="B390" s="6"/>
      <c r="C390" s="6"/>
      <c r="D390" s="6"/>
      <c r="E390" s="6"/>
      <c r="F390" s="6"/>
      <c r="G390" s="6"/>
      <c r="H390" s="6"/>
      <c r="I390" s="6"/>
      <c r="N390" s="9" t="s">
        <v>271</v>
      </c>
    </row>
    <row r="391" spans="1:14" x14ac:dyDescent="0.2">
      <c r="A391" s="7"/>
      <c r="B391" s="6"/>
      <c r="C391" s="6"/>
      <c r="D391" s="6"/>
      <c r="E391" s="6"/>
      <c r="F391" s="6"/>
      <c r="G391" s="6"/>
      <c r="H391" s="6"/>
      <c r="I391" s="6"/>
      <c r="N391" s="9" t="s">
        <v>272</v>
      </c>
    </row>
    <row r="392" spans="1:14" x14ac:dyDescent="0.2">
      <c r="A392" s="7"/>
      <c r="B392" s="6"/>
      <c r="C392" s="6"/>
      <c r="D392" s="6"/>
      <c r="E392" s="6"/>
      <c r="F392" s="6"/>
      <c r="G392" s="6"/>
      <c r="H392" s="6"/>
      <c r="I392" s="6"/>
      <c r="N392" s="9" t="s">
        <v>273</v>
      </c>
    </row>
    <row r="393" spans="1:14" x14ac:dyDescent="0.2">
      <c r="A393" s="7"/>
      <c r="B393" s="6"/>
      <c r="C393" s="6"/>
      <c r="D393" s="6"/>
      <c r="E393" s="6"/>
      <c r="F393" s="6"/>
      <c r="G393" s="6"/>
      <c r="H393" s="6"/>
      <c r="I393" s="6"/>
      <c r="N393" s="9" t="s">
        <v>274</v>
      </c>
    </row>
    <row r="394" spans="1:14" x14ac:dyDescent="0.2">
      <c r="A394" s="7"/>
      <c r="B394" s="6"/>
      <c r="C394" s="6"/>
      <c r="D394" s="6"/>
      <c r="E394" s="6"/>
      <c r="F394" s="6"/>
      <c r="G394" s="6"/>
      <c r="H394" s="6"/>
      <c r="I394" s="6"/>
      <c r="N394" s="9" t="s">
        <v>275</v>
      </c>
    </row>
    <row r="395" spans="1:14" x14ac:dyDescent="0.2">
      <c r="A395" s="7"/>
      <c r="B395" s="6"/>
      <c r="C395" s="6"/>
      <c r="D395" s="6"/>
      <c r="E395" s="6"/>
      <c r="F395" s="6"/>
      <c r="G395" s="6"/>
      <c r="H395" s="6"/>
      <c r="I395" s="6"/>
      <c r="N395" s="9" t="s">
        <v>276</v>
      </c>
    </row>
    <row r="396" spans="1:14" x14ac:dyDescent="0.2">
      <c r="A396" s="7"/>
      <c r="B396" s="6"/>
      <c r="C396" s="6"/>
      <c r="D396" s="6"/>
      <c r="E396" s="6"/>
      <c r="F396" s="6"/>
      <c r="G396" s="6"/>
      <c r="H396" s="6"/>
      <c r="I396" s="6"/>
      <c r="N396" s="9" t="s">
        <v>277</v>
      </c>
    </row>
    <row r="397" spans="1:14" x14ac:dyDescent="0.2">
      <c r="A397" s="7"/>
      <c r="B397" s="6"/>
      <c r="C397" s="6"/>
      <c r="D397" s="6"/>
      <c r="E397" s="6"/>
      <c r="F397" s="6"/>
      <c r="G397" s="6"/>
      <c r="H397" s="6"/>
      <c r="I397" s="6"/>
      <c r="N397" s="9" t="s">
        <v>278</v>
      </c>
    </row>
    <row r="398" spans="1:14" x14ac:dyDescent="0.2">
      <c r="A398" s="7"/>
      <c r="B398" s="6"/>
      <c r="C398" s="6"/>
      <c r="D398" s="6"/>
      <c r="E398" s="6"/>
      <c r="F398" s="6"/>
      <c r="G398" s="6"/>
      <c r="H398" s="6"/>
      <c r="I398" s="6"/>
      <c r="N398" s="9" t="s">
        <v>279</v>
      </c>
    </row>
    <row r="399" spans="1:14" x14ac:dyDescent="0.2">
      <c r="A399" s="7"/>
      <c r="B399" s="6"/>
      <c r="C399" s="6"/>
      <c r="D399" s="6"/>
      <c r="E399" s="6"/>
      <c r="F399" s="6"/>
      <c r="G399" s="6"/>
      <c r="H399" s="6"/>
      <c r="I399" s="6"/>
      <c r="N399" s="9" t="s">
        <v>280</v>
      </c>
    </row>
    <row r="400" spans="1:14" x14ac:dyDescent="0.2">
      <c r="A400" s="7"/>
      <c r="B400" s="6"/>
      <c r="C400" s="6"/>
      <c r="D400" s="6"/>
      <c r="E400" s="6"/>
      <c r="F400" s="6"/>
      <c r="G400" s="6"/>
      <c r="H400" s="6"/>
      <c r="I400" s="6"/>
      <c r="N400" s="9" t="s">
        <v>281</v>
      </c>
    </row>
    <row r="401" spans="1:14" x14ac:dyDescent="0.2">
      <c r="A401" s="7"/>
      <c r="B401" s="6"/>
      <c r="C401" s="6"/>
      <c r="D401" s="6"/>
      <c r="E401" s="6"/>
      <c r="F401" s="6"/>
      <c r="G401" s="6"/>
      <c r="H401" s="6"/>
      <c r="I401" s="6"/>
      <c r="N401" s="9" t="s">
        <v>282</v>
      </c>
    </row>
    <row r="402" spans="1:14" x14ac:dyDescent="0.2">
      <c r="A402" s="7"/>
      <c r="B402" s="6"/>
      <c r="C402" s="6"/>
      <c r="D402" s="6"/>
      <c r="E402" s="6"/>
      <c r="F402" s="6"/>
      <c r="G402" s="6"/>
      <c r="H402" s="6"/>
      <c r="I402" s="6"/>
      <c r="N402" s="9" t="s">
        <v>283</v>
      </c>
    </row>
    <row r="403" spans="1:14" x14ac:dyDescent="0.2">
      <c r="A403" s="7"/>
      <c r="B403" s="6"/>
      <c r="C403" s="6"/>
      <c r="D403" s="6"/>
      <c r="E403" s="6"/>
      <c r="F403" s="6"/>
      <c r="G403" s="6"/>
      <c r="H403" s="6"/>
      <c r="I403" s="6"/>
      <c r="N403" s="9" t="s">
        <v>284</v>
      </c>
    </row>
    <row r="404" spans="1:14" x14ac:dyDescent="0.2">
      <c r="A404" s="7"/>
      <c r="B404" s="6"/>
      <c r="C404" s="6"/>
      <c r="D404" s="6"/>
      <c r="E404" s="6"/>
      <c r="F404" s="6"/>
      <c r="G404" s="6"/>
      <c r="H404" s="6"/>
      <c r="I404" s="6"/>
      <c r="N404" s="9" t="s">
        <v>285</v>
      </c>
    </row>
    <row r="405" spans="1:14" x14ac:dyDescent="0.2">
      <c r="A405" s="7"/>
      <c r="B405" s="6"/>
      <c r="C405" s="6"/>
      <c r="D405" s="6"/>
      <c r="E405" s="6"/>
      <c r="F405" s="6"/>
      <c r="G405" s="6"/>
      <c r="H405" s="6"/>
      <c r="I405" s="6"/>
      <c r="N405" s="9" t="s">
        <v>286</v>
      </c>
    </row>
    <row r="406" spans="1:14" x14ac:dyDescent="0.2">
      <c r="A406" s="7"/>
      <c r="B406" s="6"/>
      <c r="C406" s="6"/>
      <c r="D406" s="6"/>
      <c r="E406" s="6"/>
      <c r="F406" s="6"/>
      <c r="G406" s="6"/>
      <c r="N406" s="9" t="s">
        <v>287</v>
      </c>
    </row>
    <row r="407" spans="1:14" x14ac:dyDescent="0.2">
      <c r="A407" s="7"/>
      <c r="B407" s="6"/>
      <c r="C407" s="6"/>
      <c r="D407" s="6"/>
      <c r="E407" s="6"/>
      <c r="F407" s="6"/>
      <c r="G407" s="6"/>
      <c r="N407" s="9" t="s">
        <v>288</v>
      </c>
    </row>
    <row r="408" spans="1:14" x14ac:dyDescent="0.2">
      <c r="A408" s="7"/>
      <c r="B408" s="6"/>
      <c r="C408" s="6"/>
      <c r="D408" s="6"/>
      <c r="E408" s="6"/>
      <c r="F408" s="6"/>
      <c r="G408" s="6"/>
      <c r="N408" s="9" t="s">
        <v>289</v>
      </c>
    </row>
    <row r="409" spans="1:14" x14ac:dyDescent="0.2">
      <c r="A409" s="7"/>
      <c r="B409" s="6"/>
      <c r="C409" s="6"/>
      <c r="D409" s="6"/>
      <c r="E409" s="6"/>
      <c r="F409" s="6"/>
      <c r="G409" s="6"/>
      <c r="N409" s="9" t="s">
        <v>349</v>
      </c>
    </row>
    <row r="410" spans="1:14" x14ac:dyDescent="0.2">
      <c r="A410" s="7"/>
      <c r="B410" s="6"/>
      <c r="C410" s="6"/>
      <c r="D410" s="6"/>
      <c r="E410" s="6"/>
      <c r="F410" s="6"/>
      <c r="G410" s="6"/>
      <c r="N410" s="9" t="s">
        <v>348</v>
      </c>
    </row>
    <row r="411" spans="1:14" x14ac:dyDescent="0.2">
      <c r="A411" s="7"/>
      <c r="B411" s="6"/>
      <c r="C411" s="6"/>
      <c r="D411" s="6"/>
      <c r="E411" s="6"/>
      <c r="F411" s="6"/>
      <c r="G411" s="6"/>
      <c r="N411" s="9" t="s">
        <v>347</v>
      </c>
    </row>
    <row r="412" spans="1:14" x14ac:dyDescent="0.2">
      <c r="A412" s="7"/>
      <c r="B412" s="6"/>
      <c r="C412" s="6"/>
      <c r="D412" s="6"/>
      <c r="E412" s="6"/>
      <c r="F412" s="6"/>
      <c r="G412" s="6"/>
      <c r="N412" s="9" t="s">
        <v>346</v>
      </c>
    </row>
    <row r="413" spans="1:14" x14ac:dyDescent="0.2">
      <c r="A413" s="7"/>
      <c r="B413" s="6"/>
      <c r="C413" s="6"/>
      <c r="D413" s="6"/>
      <c r="E413" s="6"/>
      <c r="F413" s="6"/>
      <c r="G413" s="6"/>
      <c r="N413" s="9" t="s">
        <v>345</v>
      </c>
    </row>
    <row r="414" spans="1:14" x14ac:dyDescent="0.2">
      <c r="A414" s="7"/>
      <c r="B414" s="6"/>
      <c r="C414" s="6"/>
      <c r="D414" s="6"/>
      <c r="E414" s="6"/>
      <c r="F414" s="6"/>
      <c r="G414" s="6"/>
      <c r="N414" s="9" t="s">
        <v>344</v>
      </c>
    </row>
    <row r="415" spans="1:14" x14ac:dyDescent="0.2">
      <c r="A415" s="7"/>
      <c r="B415" s="6"/>
      <c r="C415" s="6"/>
      <c r="D415" s="6"/>
      <c r="E415" s="6"/>
      <c r="F415" s="6"/>
      <c r="G415" s="6"/>
      <c r="N415" s="9" t="s">
        <v>110</v>
      </c>
    </row>
    <row r="416" spans="1:14" x14ac:dyDescent="0.2">
      <c r="A416" s="7"/>
      <c r="B416" s="6"/>
      <c r="C416" s="6"/>
      <c r="D416" s="6"/>
      <c r="E416" s="6"/>
      <c r="F416" s="6"/>
      <c r="G416" s="6"/>
      <c r="N416" s="9" t="s">
        <v>290</v>
      </c>
    </row>
    <row r="417" spans="1:14" x14ac:dyDescent="0.2">
      <c r="A417" s="7"/>
      <c r="B417" s="6"/>
      <c r="C417" s="6"/>
      <c r="D417" s="6"/>
      <c r="E417" s="6"/>
      <c r="F417" s="6"/>
      <c r="G417" s="6"/>
      <c r="N417" s="9" t="s">
        <v>291</v>
      </c>
    </row>
    <row r="418" spans="1:14" x14ac:dyDescent="0.2">
      <c r="A418" s="7"/>
      <c r="B418" s="6"/>
      <c r="C418" s="6"/>
      <c r="D418" s="6"/>
      <c r="E418" s="6"/>
      <c r="F418" s="6"/>
      <c r="G418" s="6"/>
      <c r="N418" s="9" t="s">
        <v>292</v>
      </c>
    </row>
    <row r="419" spans="1:14" x14ac:dyDescent="0.2">
      <c r="A419" s="7"/>
      <c r="B419" s="6"/>
      <c r="C419" s="6"/>
      <c r="D419" s="6"/>
      <c r="E419" s="6"/>
      <c r="F419" s="6"/>
      <c r="G419" s="6"/>
      <c r="N419" s="9" t="s">
        <v>293</v>
      </c>
    </row>
    <row r="420" spans="1:14" x14ac:dyDescent="0.2">
      <c r="A420" s="7"/>
      <c r="B420" s="6"/>
      <c r="C420" s="6"/>
      <c r="D420" s="6"/>
      <c r="E420" s="6"/>
      <c r="F420" s="6"/>
      <c r="G420" s="6"/>
      <c r="N420" s="9" t="s">
        <v>294</v>
      </c>
    </row>
    <row r="421" spans="1:14" x14ac:dyDescent="0.2">
      <c r="A421" s="7"/>
      <c r="B421" s="6"/>
      <c r="C421" s="6"/>
      <c r="D421" s="6"/>
      <c r="E421" s="6"/>
      <c r="F421" s="6"/>
      <c r="G421" s="6"/>
      <c r="N421" s="9" t="s">
        <v>137</v>
      </c>
    </row>
    <row r="422" spans="1:14" x14ac:dyDescent="0.2">
      <c r="A422" s="7"/>
      <c r="B422" s="6"/>
      <c r="C422" s="6"/>
      <c r="D422" s="6"/>
      <c r="E422" s="6"/>
      <c r="F422" s="6"/>
      <c r="G422" s="6"/>
      <c r="N422" s="9" t="s">
        <v>295</v>
      </c>
    </row>
    <row r="423" spans="1:14" x14ac:dyDescent="0.2">
      <c r="A423" s="7"/>
      <c r="B423" s="6"/>
      <c r="C423" s="6"/>
      <c r="D423" s="6"/>
      <c r="E423" s="6"/>
      <c r="F423" s="6"/>
      <c r="G423" s="6"/>
      <c r="N423" s="9" t="s">
        <v>296</v>
      </c>
    </row>
    <row r="424" spans="1:14" x14ac:dyDescent="0.2">
      <c r="A424" s="7"/>
      <c r="B424" s="6"/>
      <c r="C424" s="6"/>
      <c r="D424" s="6"/>
      <c r="E424" s="6"/>
      <c r="F424" s="6"/>
      <c r="G424" s="6"/>
      <c r="N424" s="9" t="s">
        <v>297</v>
      </c>
    </row>
    <row r="425" spans="1:14" x14ac:dyDescent="0.2">
      <c r="A425" s="7"/>
      <c r="B425" s="6"/>
      <c r="C425" s="6"/>
      <c r="D425" s="6"/>
      <c r="E425" s="6"/>
      <c r="F425" s="6"/>
      <c r="G425" s="6"/>
      <c r="N425" s="9" t="s">
        <v>298</v>
      </c>
    </row>
    <row r="426" spans="1:14" x14ac:dyDescent="0.2">
      <c r="A426" s="7"/>
      <c r="B426" s="6"/>
      <c r="C426" s="6"/>
      <c r="D426" s="6"/>
      <c r="E426" s="6"/>
      <c r="F426" s="6"/>
      <c r="G426" s="6"/>
      <c r="N426" s="9" t="s">
        <v>299</v>
      </c>
    </row>
    <row r="427" spans="1:14" x14ac:dyDescent="0.2">
      <c r="A427" s="7"/>
      <c r="B427" s="6"/>
      <c r="C427" s="6"/>
      <c r="D427" s="6"/>
      <c r="E427" s="6"/>
      <c r="F427" s="6"/>
      <c r="G427" s="6"/>
      <c r="N427" s="9" t="s">
        <v>300</v>
      </c>
    </row>
    <row r="428" spans="1:14" x14ac:dyDescent="0.2">
      <c r="A428" s="7"/>
      <c r="B428" s="6"/>
      <c r="C428" s="6"/>
      <c r="D428" s="6"/>
      <c r="E428" s="6"/>
      <c r="F428" s="6"/>
      <c r="G428" s="6"/>
      <c r="N428" s="9" t="s">
        <v>140</v>
      </c>
    </row>
    <row r="429" spans="1:14" x14ac:dyDescent="0.2">
      <c r="A429" s="7"/>
      <c r="B429" s="6"/>
      <c r="C429" s="6"/>
      <c r="D429" s="6"/>
      <c r="E429" s="6"/>
      <c r="F429" s="6"/>
      <c r="G429" s="6"/>
      <c r="N429" s="9" t="s">
        <v>301</v>
      </c>
    </row>
    <row r="430" spans="1:14" x14ac:dyDescent="0.2">
      <c r="A430" s="7"/>
      <c r="B430" s="6"/>
      <c r="C430" s="6"/>
      <c r="D430" s="6"/>
      <c r="E430" s="6"/>
      <c r="F430" s="6"/>
      <c r="G430" s="6"/>
      <c r="N430" s="9" t="s">
        <v>302</v>
      </c>
    </row>
    <row r="431" spans="1:14" x14ac:dyDescent="0.2">
      <c r="A431" s="7"/>
      <c r="B431" s="6"/>
      <c r="C431" s="6"/>
      <c r="D431" s="6"/>
      <c r="E431" s="6"/>
      <c r="F431" s="6"/>
      <c r="G431" s="6"/>
      <c r="N431" s="9" t="s">
        <v>343</v>
      </c>
    </row>
    <row r="432" spans="1:14" x14ac:dyDescent="0.2">
      <c r="A432" s="7"/>
      <c r="B432" s="6"/>
      <c r="C432" s="6"/>
      <c r="D432" s="6"/>
      <c r="E432" s="6"/>
      <c r="F432" s="6"/>
      <c r="G432" s="6"/>
      <c r="N432" s="9" t="s">
        <v>303</v>
      </c>
    </row>
    <row r="433" spans="1:14" x14ac:dyDescent="0.2">
      <c r="A433" s="7"/>
      <c r="B433" s="6"/>
      <c r="C433" s="6"/>
      <c r="D433" s="6"/>
      <c r="E433" s="6"/>
      <c r="F433" s="6"/>
      <c r="G433" s="6"/>
      <c r="N433" s="9" t="s">
        <v>304</v>
      </c>
    </row>
    <row r="434" spans="1:14" x14ac:dyDescent="0.2">
      <c r="A434" s="7"/>
      <c r="B434" s="6"/>
      <c r="C434" s="6"/>
      <c r="D434" s="6"/>
      <c r="E434" s="6"/>
      <c r="F434" s="6"/>
      <c r="G434" s="6"/>
      <c r="N434" s="9" t="s">
        <v>342</v>
      </c>
    </row>
    <row r="435" spans="1:14" x14ac:dyDescent="0.2">
      <c r="C435" s="6"/>
      <c r="N435" s="9" t="s">
        <v>305</v>
      </c>
    </row>
    <row r="436" spans="1:14" x14ac:dyDescent="0.2">
      <c r="N436" s="9" t="s">
        <v>306</v>
      </c>
    </row>
    <row r="437" spans="1:14" x14ac:dyDescent="0.2">
      <c r="N437" s="9" t="s">
        <v>341</v>
      </c>
    </row>
    <row r="438" spans="1:14" x14ac:dyDescent="0.2">
      <c r="N438" s="9" t="s">
        <v>307</v>
      </c>
    </row>
    <row r="439" spans="1:14" x14ac:dyDescent="0.2">
      <c r="N439" s="9" t="s">
        <v>308</v>
      </c>
    </row>
    <row r="440" spans="1:14" x14ac:dyDescent="0.2">
      <c r="N440" s="9" t="s">
        <v>309</v>
      </c>
    </row>
    <row r="441" spans="1:14" x14ac:dyDescent="0.2">
      <c r="N441" s="9" t="s">
        <v>310</v>
      </c>
    </row>
    <row r="442" spans="1:14" x14ac:dyDescent="0.2">
      <c r="N442" s="9" t="s">
        <v>311</v>
      </c>
    </row>
    <row r="443" spans="1:14" x14ac:dyDescent="0.2">
      <c r="N443" s="9" t="s">
        <v>312</v>
      </c>
    </row>
    <row r="444" spans="1:14" x14ac:dyDescent="0.2">
      <c r="N444" s="9" t="s">
        <v>313</v>
      </c>
    </row>
    <row r="445" spans="1:14" x14ac:dyDescent="0.2">
      <c r="N445" s="9" t="s">
        <v>314</v>
      </c>
    </row>
    <row r="446" spans="1:14" x14ac:dyDescent="0.2">
      <c r="N446" s="9" t="s">
        <v>315</v>
      </c>
    </row>
  </sheetData>
  <sheetProtection sheet="1" objects="1" scenarios="1"/>
  <mergeCells count="2">
    <mergeCell ref="B5:C5"/>
    <mergeCell ref="B7:D7"/>
  </mergeCells>
  <conditionalFormatting sqref="B223:B434">
    <cfRule type="expression" dxfId="10" priority="10" stopIfTrue="1">
      <formula>A223&lt;&gt;""</formula>
    </cfRule>
  </conditionalFormatting>
  <conditionalFormatting sqref="C223:C435">
    <cfRule type="expression" dxfId="9" priority="9" stopIfTrue="1">
      <formula>A223&lt;&gt;""</formula>
    </cfRule>
  </conditionalFormatting>
  <conditionalFormatting sqref="D223:D434">
    <cfRule type="expression" dxfId="8" priority="7" stopIfTrue="1">
      <formula>OR(C223="date",C223="text")</formula>
    </cfRule>
    <cfRule type="expression" dxfId="7" priority="8" stopIfTrue="1">
      <formula>OR(C223="number")</formula>
    </cfRule>
  </conditionalFormatting>
  <conditionalFormatting sqref="E223:E434">
    <cfRule type="expression" dxfId="6" priority="5" stopIfTrue="1">
      <formula>OR(C223="number",C223="text")</formula>
    </cfRule>
    <cfRule type="expression" dxfId="5" priority="6" stopIfTrue="1">
      <formula>OR(C223="datetime")</formula>
    </cfRule>
  </conditionalFormatting>
  <conditionalFormatting sqref="F223:G434">
    <cfRule type="expression" dxfId="4" priority="3" stopIfTrue="1">
      <formula>OR($C223="number", $C223="text")</formula>
    </cfRule>
    <cfRule type="expression" dxfId="3" priority="4" stopIfTrue="1">
      <formula>OR($C223="date")</formula>
    </cfRule>
  </conditionalFormatting>
  <conditionalFormatting sqref="B48:I48">
    <cfRule type="expression" dxfId="2" priority="2" stopIfTrue="1">
      <formula>NOT(ISBLANK($B$50:$B$57))</formula>
    </cfRule>
  </conditionalFormatting>
  <conditionalFormatting sqref="B55:AO58">
    <cfRule type="expression" dxfId="1" priority="1" stopIfTrue="1">
      <formula>NOT(ISBLANK($B$50:$B$57))</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223:D434 IZ223:IZ434 SV223:SV434 ACR223:ACR434 AMN223:AMN434 AWJ223:AWJ434 BGF223:BGF434 BQB223:BQB434 BZX223:BZX434 CJT223:CJT434 CTP223:CTP434 DDL223:DDL434 DNH223:DNH434 DXD223:DXD434 EGZ223:EGZ434 EQV223:EQV434 FAR223:FAR434 FKN223:FKN434 FUJ223:FUJ434 GEF223:GEF434 GOB223:GOB434 GXX223:GXX434 HHT223:HHT434 HRP223:HRP434 IBL223:IBL434 ILH223:ILH434 IVD223:IVD434 JEZ223:JEZ434 JOV223:JOV434 JYR223:JYR434 KIN223:KIN434 KSJ223:KSJ434 LCF223:LCF434 LMB223:LMB434 LVX223:LVX434 MFT223:MFT434 MPP223:MPP434 MZL223:MZL434 NJH223:NJH434 NTD223:NTD434 OCZ223:OCZ434 OMV223:OMV434 OWR223:OWR434 PGN223:PGN434 PQJ223:PQJ434 QAF223:QAF434 QKB223:QKB434 QTX223:QTX434 RDT223:RDT434 RNP223:RNP434 RXL223:RXL434 SHH223:SHH434 SRD223:SRD434 TAZ223:TAZ434 TKV223:TKV434 TUR223:TUR434 UEN223:UEN434 UOJ223:UOJ434 UYF223:UYF434 VIB223:VIB434 VRX223:VRX434 WBT223:WBT434 WLP223:WLP434 WVL223:WVL434 D65759:D65970 IZ65759:IZ65970 SV65759:SV65970 ACR65759:ACR65970 AMN65759:AMN65970 AWJ65759:AWJ65970 BGF65759:BGF65970 BQB65759:BQB65970 BZX65759:BZX65970 CJT65759:CJT65970 CTP65759:CTP65970 DDL65759:DDL65970 DNH65759:DNH65970 DXD65759:DXD65970 EGZ65759:EGZ65970 EQV65759:EQV65970 FAR65759:FAR65970 FKN65759:FKN65970 FUJ65759:FUJ65970 GEF65759:GEF65970 GOB65759:GOB65970 GXX65759:GXX65970 HHT65759:HHT65970 HRP65759:HRP65970 IBL65759:IBL65970 ILH65759:ILH65970 IVD65759:IVD65970 JEZ65759:JEZ65970 JOV65759:JOV65970 JYR65759:JYR65970 KIN65759:KIN65970 KSJ65759:KSJ65970 LCF65759:LCF65970 LMB65759:LMB65970 LVX65759:LVX65970 MFT65759:MFT65970 MPP65759:MPP65970 MZL65759:MZL65970 NJH65759:NJH65970 NTD65759:NTD65970 OCZ65759:OCZ65970 OMV65759:OMV65970 OWR65759:OWR65970 PGN65759:PGN65970 PQJ65759:PQJ65970 QAF65759:QAF65970 QKB65759:QKB65970 QTX65759:QTX65970 RDT65759:RDT65970 RNP65759:RNP65970 RXL65759:RXL65970 SHH65759:SHH65970 SRD65759:SRD65970 TAZ65759:TAZ65970 TKV65759:TKV65970 TUR65759:TUR65970 UEN65759:UEN65970 UOJ65759:UOJ65970 UYF65759:UYF65970 VIB65759:VIB65970 VRX65759:VRX65970 WBT65759:WBT65970 WLP65759:WLP65970 WVL65759:WVL65970 D131295:D131506 IZ131295:IZ131506 SV131295:SV131506 ACR131295:ACR131506 AMN131295:AMN131506 AWJ131295:AWJ131506 BGF131295:BGF131506 BQB131295:BQB131506 BZX131295:BZX131506 CJT131295:CJT131506 CTP131295:CTP131506 DDL131295:DDL131506 DNH131295:DNH131506 DXD131295:DXD131506 EGZ131295:EGZ131506 EQV131295:EQV131506 FAR131295:FAR131506 FKN131295:FKN131506 FUJ131295:FUJ131506 GEF131295:GEF131506 GOB131295:GOB131506 GXX131295:GXX131506 HHT131295:HHT131506 HRP131295:HRP131506 IBL131295:IBL131506 ILH131295:ILH131506 IVD131295:IVD131506 JEZ131295:JEZ131506 JOV131295:JOV131506 JYR131295:JYR131506 KIN131295:KIN131506 KSJ131295:KSJ131506 LCF131295:LCF131506 LMB131295:LMB131506 LVX131295:LVX131506 MFT131295:MFT131506 MPP131295:MPP131506 MZL131295:MZL131506 NJH131295:NJH131506 NTD131295:NTD131506 OCZ131295:OCZ131506 OMV131295:OMV131506 OWR131295:OWR131506 PGN131295:PGN131506 PQJ131295:PQJ131506 QAF131295:QAF131506 QKB131295:QKB131506 QTX131295:QTX131506 RDT131295:RDT131506 RNP131295:RNP131506 RXL131295:RXL131506 SHH131295:SHH131506 SRD131295:SRD131506 TAZ131295:TAZ131506 TKV131295:TKV131506 TUR131295:TUR131506 UEN131295:UEN131506 UOJ131295:UOJ131506 UYF131295:UYF131506 VIB131295:VIB131506 VRX131295:VRX131506 WBT131295:WBT131506 WLP131295:WLP131506 WVL131295:WVL131506 D196831:D197042 IZ196831:IZ197042 SV196831:SV197042 ACR196831:ACR197042 AMN196831:AMN197042 AWJ196831:AWJ197042 BGF196831:BGF197042 BQB196831:BQB197042 BZX196831:BZX197042 CJT196831:CJT197042 CTP196831:CTP197042 DDL196831:DDL197042 DNH196831:DNH197042 DXD196831:DXD197042 EGZ196831:EGZ197042 EQV196831:EQV197042 FAR196831:FAR197042 FKN196831:FKN197042 FUJ196831:FUJ197042 GEF196831:GEF197042 GOB196831:GOB197042 GXX196831:GXX197042 HHT196831:HHT197042 HRP196831:HRP197042 IBL196831:IBL197042 ILH196831:ILH197042 IVD196831:IVD197042 JEZ196831:JEZ197042 JOV196831:JOV197042 JYR196831:JYR197042 KIN196831:KIN197042 KSJ196831:KSJ197042 LCF196831:LCF197042 LMB196831:LMB197042 LVX196831:LVX197042 MFT196831:MFT197042 MPP196831:MPP197042 MZL196831:MZL197042 NJH196831:NJH197042 NTD196831:NTD197042 OCZ196831:OCZ197042 OMV196831:OMV197042 OWR196831:OWR197042 PGN196831:PGN197042 PQJ196831:PQJ197042 QAF196831:QAF197042 QKB196831:QKB197042 QTX196831:QTX197042 RDT196831:RDT197042 RNP196831:RNP197042 RXL196831:RXL197042 SHH196831:SHH197042 SRD196831:SRD197042 TAZ196831:TAZ197042 TKV196831:TKV197042 TUR196831:TUR197042 UEN196831:UEN197042 UOJ196831:UOJ197042 UYF196831:UYF197042 VIB196831:VIB197042 VRX196831:VRX197042 WBT196831:WBT197042 WLP196831:WLP197042 WVL196831:WVL197042 D262367:D262578 IZ262367:IZ262578 SV262367:SV262578 ACR262367:ACR262578 AMN262367:AMN262578 AWJ262367:AWJ262578 BGF262367:BGF262578 BQB262367:BQB262578 BZX262367:BZX262578 CJT262367:CJT262578 CTP262367:CTP262578 DDL262367:DDL262578 DNH262367:DNH262578 DXD262367:DXD262578 EGZ262367:EGZ262578 EQV262367:EQV262578 FAR262367:FAR262578 FKN262367:FKN262578 FUJ262367:FUJ262578 GEF262367:GEF262578 GOB262367:GOB262578 GXX262367:GXX262578 HHT262367:HHT262578 HRP262367:HRP262578 IBL262367:IBL262578 ILH262367:ILH262578 IVD262367:IVD262578 JEZ262367:JEZ262578 JOV262367:JOV262578 JYR262367:JYR262578 KIN262367:KIN262578 KSJ262367:KSJ262578 LCF262367:LCF262578 LMB262367:LMB262578 LVX262367:LVX262578 MFT262367:MFT262578 MPP262367:MPP262578 MZL262367:MZL262578 NJH262367:NJH262578 NTD262367:NTD262578 OCZ262367:OCZ262578 OMV262367:OMV262578 OWR262367:OWR262578 PGN262367:PGN262578 PQJ262367:PQJ262578 QAF262367:QAF262578 QKB262367:QKB262578 QTX262367:QTX262578 RDT262367:RDT262578 RNP262367:RNP262578 RXL262367:RXL262578 SHH262367:SHH262578 SRD262367:SRD262578 TAZ262367:TAZ262578 TKV262367:TKV262578 TUR262367:TUR262578 UEN262367:UEN262578 UOJ262367:UOJ262578 UYF262367:UYF262578 VIB262367:VIB262578 VRX262367:VRX262578 WBT262367:WBT262578 WLP262367:WLP262578 WVL262367:WVL262578 D327903:D328114 IZ327903:IZ328114 SV327903:SV328114 ACR327903:ACR328114 AMN327903:AMN328114 AWJ327903:AWJ328114 BGF327903:BGF328114 BQB327903:BQB328114 BZX327903:BZX328114 CJT327903:CJT328114 CTP327903:CTP328114 DDL327903:DDL328114 DNH327903:DNH328114 DXD327903:DXD328114 EGZ327903:EGZ328114 EQV327903:EQV328114 FAR327903:FAR328114 FKN327903:FKN328114 FUJ327903:FUJ328114 GEF327903:GEF328114 GOB327903:GOB328114 GXX327903:GXX328114 HHT327903:HHT328114 HRP327903:HRP328114 IBL327903:IBL328114 ILH327903:ILH328114 IVD327903:IVD328114 JEZ327903:JEZ328114 JOV327903:JOV328114 JYR327903:JYR328114 KIN327903:KIN328114 KSJ327903:KSJ328114 LCF327903:LCF328114 LMB327903:LMB328114 LVX327903:LVX328114 MFT327903:MFT328114 MPP327903:MPP328114 MZL327903:MZL328114 NJH327903:NJH328114 NTD327903:NTD328114 OCZ327903:OCZ328114 OMV327903:OMV328114 OWR327903:OWR328114 PGN327903:PGN328114 PQJ327903:PQJ328114 QAF327903:QAF328114 QKB327903:QKB328114 QTX327903:QTX328114 RDT327903:RDT328114 RNP327903:RNP328114 RXL327903:RXL328114 SHH327903:SHH328114 SRD327903:SRD328114 TAZ327903:TAZ328114 TKV327903:TKV328114 TUR327903:TUR328114 UEN327903:UEN328114 UOJ327903:UOJ328114 UYF327903:UYF328114 VIB327903:VIB328114 VRX327903:VRX328114 WBT327903:WBT328114 WLP327903:WLP328114 WVL327903:WVL328114 D393439:D393650 IZ393439:IZ393650 SV393439:SV393650 ACR393439:ACR393650 AMN393439:AMN393650 AWJ393439:AWJ393650 BGF393439:BGF393650 BQB393439:BQB393650 BZX393439:BZX393650 CJT393439:CJT393650 CTP393439:CTP393650 DDL393439:DDL393650 DNH393439:DNH393650 DXD393439:DXD393650 EGZ393439:EGZ393650 EQV393439:EQV393650 FAR393439:FAR393650 FKN393439:FKN393650 FUJ393439:FUJ393650 GEF393439:GEF393650 GOB393439:GOB393650 GXX393439:GXX393650 HHT393439:HHT393650 HRP393439:HRP393650 IBL393439:IBL393650 ILH393439:ILH393650 IVD393439:IVD393650 JEZ393439:JEZ393650 JOV393439:JOV393650 JYR393439:JYR393650 KIN393439:KIN393650 KSJ393439:KSJ393650 LCF393439:LCF393650 LMB393439:LMB393650 LVX393439:LVX393650 MFT393439:MFT393650 MPP393439:MPP393650 MZL393439:MZL393650 NJH393439:NJH393650 NTD393439:NTD393650 OCZ393439:OCZ393650 OMV393439:OMV393650 OWR393439:OWR393650 PGN393439:PGN393650 PQJ393439:PQJ393650 QAF393439:QAF393650 QKB393439:QKB393650 QTX393439:QTX393650 RDT393439:RDT393650 RNP393439:RNP393650 RXL393439:RXL393650 SHH393439:SHH393650 SRD393439:SRD393650 TAZ393439:TAZ393650 TKV393439:TKV393650 TUR393439:TUR393650 UEN393439:UEN393650 UOJ393439:UOJ393650 UYF393439:UYF393650 VIB393439:VIB393650 VRX393439:VRX393650 WBT393439:WBT393650 WLP393439:WLP393650 WVL393439:WVL393650 D458975:D459186 IZ458975:IZ459186 SV458975:SV459186 ACR458975:ACR459186 AMN458975:AMN459186 AWJ458975:AWJ459186 BGF458975:BGF459186 BQB458975:BQB459186 BZX458975:BZX459186 CJT458975:CJT459186 CTP458975:CTP459186 DDL458975:DDL459186 DNH458975:DNH459186 DXD458975:DXD459186 EGZ458975:EGZ459186 EQV458975:EQV459186 FAR458975:FAR459186 FKN458975:FKN459186 FUJ458975:FUJ459186 GEF458975:GEF459186 GOB458975:GOB459186 GXX458975:GXX459186 HHT458975:HHT459186 HRP458975:HRP459186 IBL458975:IBL459186 ILH458975:ILH459186 IVD458975:IVD459186 JEZ458975:JEZ459186 JOV458975:JOV459186 JYR458975:JYR459186 KIN458975:KIN459186 KSJ458975:KSJ459186 LCF458975:LCF459186 LMB458975:LMB459186 LVX458975:LVX459186 MFT458975:MFT459186 MPP458975:MPP459186 MZL458975:MZL459186 NJH458975:NJH459186 NTD458975:NTD459186 OCZ458975:OCZ459186 OMV458975:OMV459186 OWR458975:OWR459186 PGN458975:PGN459186 PQJ458975:PQJ459186 QAF458975:QAF459186 QKB458975:QKB459186 QTX458975:QTX459186 RDT458975:RDT459186 RNP458975:RNP459186 RXL458975:RXL459186 SHH458975:SHH459186 SRD458975:SRD459186 TAZ458975:TAZ459186 TKV458975:TKV459186 TUR458975:TUR459186 UEN458975:UEN459186 UOJ458975:UOJ459186 UYF458975:UYF459186 VIB458975:VIB459186 VRX458975:VRX459186 WBT458975:WBT459186 WLP458975:WLP459186 WVL458975:WVL459186 D524511:D524722 IZ524511:IZ524722 SV524511:SV524722 ACR524511:ACR524722 AMN524511:AMN524722 AWJ524511:AWJ524722 BGF524511:BGF524722 BQB524511:BQB524722 BZX524511:BZX524722 CJT524511:CJT524722 CTP524511:CTP524722 DDL524511:DDL524722 DNH524511:DNH524722 DXD524511:DXD524722 EGZ524511:EGZ524722 EQV524511:EQV524722 FAR524511:FAR524722 FKN524511:FKN524722 FUJ524511:FUJ524722 GEF524511:GEF524722 GOB524511:GOB524722 GXX524511:GXX524722 HHT524511:HHT524722 HRP524511:HRP524722 IBL524511:IBL524722 ILH524511:ILH524722 IVD524511:IVD524722 JEZ524511:JEZ524722 JOV524511:JOV524722 JYR524511:JYR524722 KIN524511:KIN524722 KSJ524511:KSJ524722 LCF524511:LCF524722 LMB524511:LMB524722 LVX524511:LVX524722 MFT524511:MFT524722 MPP524511:MPP524722 MZL524511:MZL524722 NJH524511:NJH524722 NTD524511:NTD524722 OCZ524511:OCZ524722 OMV524511:OMV524722 OWR524511:OWR524722 PGN524511:PGN524722 PQJ524511:PQJ524722 QAF524511:QAF524722 QKB524511:QKB524722 QTX524511:QTX524722 RDT524511:RDT524722 RNP524511:RNP524722 RXL524511:RXL524722 SHH524511:SHH524722 SRD524511:SRD524722 TAZ524511:TAZ524722 TKV524511:TKV524722 TUR524511:TUR524722 UEN524511:UEN524722 UOJ524511:UOJ524722 UYF524511:UYF524722 VIB524511:VIB524722 VRX524511:VRX524722 WBT524511:WBT524722 WLP524511:WLP524722 WVL524511:WVL524722 D590047:D590258 IZ590047:IZ590258 SV590047:SV590258 ACR590047:ACR590258 AMN590047:AMN590258 AWJ590047:AWJ590258 BGF590047:BGF590258 BQB590047:BQB590258 BZX590047:BZX590258 CJT590047:CJT590258 CTP590047:CTP590258 DDL590047:DDL590258 DNH590047:DNH590258 DXD590047:DXD590258 EGZ590047:EGZ590258 EQV590047:EQV590258 FAR590047:FAR590258 FKN590047:FKN590258 FUJ590047:FUJ590258 GEF590047:GEF590258 GOB590047:GOB590258 GXX590047:GXX590258 HHT590047:HHT590258 HRP590047:HRP590258 IBL590047:IBL590258 ILH590047:ILH590258 IVD590047:IVD590258 JEZ590047:JEZ590258 JOV590047:JOV590258 JYR590047:JYR590258 KIN590047:KIN590258 KSJ590047:KSJ590258 LCF590047:LCF590258 LMB590047:LMB590258 LVX590047:LVX590258 MFT590047:MFT590258 MPP590047:MPP590258 MZL590047:MZL590258 NJH590047:NJH590258 NTD590047:NTD590258 OCZ590047:OCZ590258 OMV590047:OMV590258 OWR590047:OWR590258 PGN590047:PGN590258 PQJ590047:PQJ590258 QAF590047:QAF590258 QKB590047:QKB590258 QTX590047:QTX590258 RDT590047:RDT590258 RNP590047:RNP590258 RXL590047:RXL590258 SHH590047:SHH590258 SRD590047:SRD590258 TAZ590047:TAZ590258 TKV590047:TKV590258 TUR590047:TUR590258 UEN590047:UEN590258 UOJ590047:UOJ590258 UYF590047:UYF590258 VIB590047:VIB590258 VRX590047:VRX590258 WBT590047:WBT590258 WLP590047:WLP590258 WVL590047:WVL590258 D655583:D655794 IZ655583:IZ655794 SV655583:SV655794 ACR655583:ACR655794 AMN655583:AMN655794 AWJ655583:AWJ655794 BGF655583:BGF655794 BQB655583:BQB655794 BZX655583:BZX655794 CJT655583:CJT655794 CTP655583:CTP655794 DDL655583:DDL655794 DNH655583:DNH655794 DXD655583:DXD655794 EGZ655583:EGZ655794 EQV655583:EQV655794 FAR655583:FAR655794 FKN655583:FKN655794 FUJ655583:FUJ655794 GEF655583:GEF655794 GOB655583:GOB655794 GXX655583:GXX655794 HHT655583:HHT655794 HRP655583:HRP655794 IBL655583:IBL655794 ILH655583:ILH655794 IVD655583:IVD655794 JEZ655583:JEZ655794 JOV655583:JOV655794 JYR655583:JYR655794 KIN655583:KIN655794 KSJ655583:KSJ655794 LCF655583:LCF655794 LMB655583:LMB655794 LVX655583:LVX655794 MFT655583:MFT655794 MPP655583:MPP655794 MZL655583:MZL655794 NJH655583:NJH655794 NTD655583:NTD655794 OCZ655583:OCZ655794 OMV655583:OMV655794 OWR655583:OWR655794 PGN655583:PGN655794 PQJ655583:PQJ655794 QAF655583:QAF655794 QKB655583:QKB655794 QTX655583:QTX655794 RDT655583:RDT655794 RNP655583:RNP655794 RXL655583:RXL655794 SHH655583:SHH655794 SRD655583:SRD655794 TAZ655583:TAZ655794 TKV655583:TKV655794 TUR655583:TUR655794 UEN655583:UEN655794 UOJ655583:UOJ655794 UYF655583:UYF655794 VIB655583:VIB655794 VRX655583:VRX655794 WBT655583:WBT655794 WLP655583:WLP655794 WVL655583:WVL655794 D721119:D721330 IZ721119:IZ721330 SV721119:SV721330 ACR721119:ACR721330 AMN721119:AMN721330 AWJ721119:AWJ721330 BGF721119:BGF721330 BQB721119:BQB721330 BZX721119:BZX721330 CJT721119:CJT721330 CTP721119:CTP721330 DDL721119:DDL721330 DNH721119:DNH721330 DXD721119:DXD721330 EGZ721119:EGZ721330 EQV721119:EQV721330 FAR721119:FAR721330 FKN721119:FKN721330 FUJ721119:FUJ721330 GEF721119:GEF721330 GOB721119:GOB721330 GXX721119:GXX721330 HHT721119:HHT721330 HRP721119:HRP721330 IBL721119:IBL721330 ILH721119:ILH721330 IVD721119:IVD721330 JEZ721119:JEZ721330 JOV721119:JOV721330 JYR721119:JYR721330 KIN721119:KIN721330 KSJ721119:KSJ721330 LCF721119:LCF721330 LMB721119:LMB721330 LVX721119:LVX721330 MFT721119:MFT721330 MPP721119:MPP721330 MZL721119:MZL721330 NJH721119:NJH721330 NTD721119:NTD721330 OCZ721119:OCZ721330 OMV721119:OMV721330 OWR721119:OWR721330 PGN721119:PGN721330 PQJ721119:PQJ721330 QAF721119:QAF721330 QKB721119:QKB721330 QTX721119:QTX721330 RDT721119:RDT721330 RNP721119:RNP721330 RXL721119:RXL721330 SHH721119:SHH721330 SRD721119:SRD721330 TAZ721119:TAZ721330 TKV721119:TKV721330 TUR721119:TUR721330 UEN721119:UEN721330 UOJ721119:UOJ721330 UYF721119:UYF721330 VIB721119:VIB721330 VRX721119:VRX721330 WBT721119:WBT721330 WLP721119:WLP721330 WVL721119:WVL721330 D786655:D786866 IZ786655:IZ786866 SV786655:SV786866 ACR786655:ACR786866 AMN786655:AMN786866 AWJ786655:AWJ786866 BGF786655:BGF786866 BQB786655:BQB786866 BZX786655:BZX786866 CJT786655:CJT786866 CTP786655:CTP786866 DDL786655:DDL786866 DNH786655:DNH786866 DXD786655:DXD786866 EGZ786655:EGZ786866 EQV786655:EQV786866 FAR786655:FAR786866 FKN786655:FKN786866 FUJ786655:FUJ786866 GEF786655:GEF786866 GOB786655:GOB786866 GXX786655:GXX786866 HHT786655:HHT786866 HRP786655:HRP786866 IBL786655:IBL786866 ILH786655:ILH786866 IVD786655:IVD786866 JEZ786655:JEZ786866 JOV786655:JOV786866 JYR786655:JYR786866 KIN786655:KIN786866 KSJ786655:KSJ786866 LCF786655:LCF786866 LMB786655:LMB786866 LVX786655:LVX786866 MFT786655:MFT786866 MPP786655:MPP786866 MZL786655:MZL786866 NJH786655:NJH786866 NTD786655:NTD786866 OCZ786655:OCZ786866 OMV786655:OMV786866 OWR786655:OWR786866 PGN786655:PGN786866 PQJ786655:PQJ786866 QAF786655:QAF786866 QKB786655:QKB786866 QTX786655:QTX786866 RDT786655:RDT786866 RNP786655:RNP786866 RXL786655:RXL786866 SHH786655:SHH786866 SRD786655:SRD786866 TAZ786655:TAZ786866 TKV786655:TKV786866 TUR786655:TUR786866 UEN786655:UEN786866 UOJ786655:UOJ786866 UYF786655:UYF786866 VIB786655:VIB786866 VRX786655:VRX786866 WBT786655:WBT786866 WLP786655:WLP786866 WVL786655:WVL786866 D852191:D852402 IZ852191:IZ852402 SV852191:SV852402 ACR852191:ACR852402 AMN852191:AMN852402 AWJ852191:AWJ852402 BGF852191:BGF852402 BQB852191:BQB852402 BZX852191:BZX852402 CJT852191:CJT852402 CTP852191:CTP852402 DDL852191:DDL852402 DNH852191:DNH852402 DXD852191:DXD852402 EGZ852191:EGZ852402 EQV852191:EQV852402 FAR852191:FAR852402 FKN852191:FKN852402 FUJ852191:FUJ852402 GEF852191:GEF852402 GOB852191:GOB852402 GXX852191:GXX852402 HHT852191:HHT852402 HRP852191:HRP852402 IBL852191:IBL852402 ILH852191:ILH852402 IVD852191:IVD852402 JEZ852191:JEZ852402 JOV852191:JOV852402 JYR852191:JYR852402 KIN852191:KIN852402 KSJ852191:KSJ852402 LCF852191:LCF852402 LMB852191:LMB852402 LVX852191:LVX852402 MFT852191:MFT852402 MPP852191:MPP852402 MZL852191:MZL852402 NJH852191:NJH852402 NTD852191:NTD852402 OCZ852191:OCZ852402 OMV852191:OMV852402 OWR852191:OWR852402 PGN852191:PGN852402 PQJ852191:PQJ852402 QAF852191:QAF852402 QKB852191:QKB852402 QTX852191:QTX852402 RDT852191:RDT852402 RNP852191:RNP852402 RXL852191:RXL852402 SHH852191:SHH852402 SRD852191:SRD852402 TAZ852191:TAZ852402 TKV852191:TKV852402 TUR852191:TUR852402 UEN852191:UEN852402 UOJ852191:UOJ852402 UYF852191:UYF852402 VIB852191:VIB852402 VRX852191:VRX852402 WBT852191:WBT852402 WLP852191:WLP852402 WVL852191:WVL852402 D917727:D917938 IZ917727:IZ917938 SV917727:SV917938 ACR917727:ACR917938 AMN917727:AMN917938 AWJ917727:AWJ917938 BGF917727:BGF917938 BQB917727:BQB917938 BZX917727:BZX917938 CJT917727:CJT917938 CTP917727:CTP917938 DDL917727:DDL917938 DNH917727:DNH917938 DXD917727:DXD917938 EGZ917727:EGZ917938 EQV917727:EQV917938 FAR917727:FAR917938 FKN917727:FKN917938 FUJ917727:FUJ917938 GEF917727:GEF917938 GOB917727:GOB917938 GXX917727:GXX917938 HHT917727:HHT917938 HRP917727:HRP917938 IBL917727:IBL917938 ILH917727:ILH917938 IVD917727:IVD917938 JEZ917727:JEZ917938 JOV917727:JOV917938 JYR917727:JYR917938 KIN917727:KIN917938 KSJ917727:KSJ917938 LCF917727:LCF917938 LMB917727:LMB917938 LVX917727:LVX917938 MFT917727:MFT917938 MPP917727:MPP917938 MZL917727:MZL917938 NJH917727:NJH917938 NTD917727:NTD917938 OCZ917727:OCZ917938 OMV917727:OMV917938 OWR917727:OWR917938 PGN917727:PGN917938 PQJ917727:PQJ917938 QAF917727:QAF917938 QKB917727:QKB917938 QTX917727:QTX917938 RDT917727:RDT917938 RNP917727:RNP917938 RXL917727:RXL917938 SHH917727:SHH917938 SRD917727:SRD917938 TAZ917727:TAZ917938 TKV917727:TKV917938 TUR917727:TUR917938 UEN917727:UEN917938 UOJ917727:UOJ917938 UYF917727:UYF917938 VIB917727:VIB917938 VRX917727:VRX917938 WBT917727:WBT917938 WLP917727:WLP917938 WVL917727:WVL917938 D983263:D983474 IZ983263:IZ983474 SV983263:SV983474 ACR983263:ACR983474 AMN983263:AMN983474 AWJ983263:AWJ983474 BGF983263:BGF983474 BQB983263:BQB983474 BZX983263:BZX983474 CJT983263:CJT983474 CTP983263:CTP983474 DDL983263:DDL983474 DNH983263:DNH983474 DXD983263:DXD983474 EGZ983263:EGZ983474 EQV983263:EQV983474 FAR983263:FAR983474 FKN983263:FKN983474 FUJ983263:FUJ983474 GEF983263:GEF983474 GOB983263:GOB983474 GXX983263:GXX983474 HHT983263:HHT983474 HRP983263:HRP983474 IBL983263:IBL983474 ILH983263:ILH983474 IVD983263:IVD983474 JEZ983263:JEZ983474 JOV983263:JOV983474 JYR983263:JYR983474 KIN983263:KIN983474 KSJ983263:KSJ983474 LCF983263:LCF983474 LMB983263:LMB983474 LVX983263:LVX983474 MFT983263:MFT983474 MPP983263:MPP983474 MZL983263:MZL983474 NJH983263:NJH983474 NTD983263:NTD983474 OCZ983263:OCZ983474 OMV983263:OMV983474 OWR983263:OWR983474 PGN983263:PGN983474 PQJ983263:PQJ983474 QAF983263:QAF983474 QKB983263:QKB983474 QTX983263:QTX983474 RDT983263:RDT983474 RNP983263:RNP983474 RXL983263:RXL983474 SHH983263:SHH983474 SRD983263:SRD983474 TAZ983263:TAZ983474 TKV983263:TKV983474 TUR983263:TUR983474 UEN983263:UEN983474 UOJ983263:UOJ983474 UYF983263:UYF983474 VIB983263:VIB983474 VRX983263:VRX983474 WBT983263:WBT983474 WLP983263:WLP983474 WVL983263:WVL983474">
      <formula1>$N$223:$N$446</formula1>
    </dataValidation>
    <dataValidation type="list" errorStyle="information" allowBlank="1" showInputMessage="1" showErrorMessage="1" errorTitle="New Site" error="If a site is not in the list enter a new Name" prompt="Select a site name or enter a new one" sqref="B47:I47 IX47:JE47 ST47:TA47 ACP47:ACW47 AML47:AMS47 AWH47:AWO47 BGD47:BGK47 BPZ47:BQG47 BZV47:CAC47 CJR47:CJY47 CTN47:CTU47 DDJ47:DDQ47 DNF47:DNM47 DXB47:DXI47 EGX47:EHE47 EQT47:ERA47 FAP47:FAW47 FKL47:FKS47 FUH47:FUO47 GED47:GEK47 GNZ47:GOG47 GXV47:GYC47 HHR47:HHY47 HRN47:HRU47 IBJ47:IBQ47 ILF47:ILM47 IVB47:IVI47 JEX47:JFE47 JOT47:JPA47 JYP47:JYW47 KIL47:KIS47 KSH47:KSO47 LCD47:LCK47 LLZ47:LMG47 LVV47:LWC47 MFR47:MFY47 MPN47:MPU47 MZJ47:MZQ47 NJF47:NJM47 NTB47:NTI47 OCX47:ODE47 OMT47:ONA47 OWP47:OWW47 PGL47:PGS47 PQH47:PQO47 QAD47:QAK47 QJZ47:QKG47 QTV47:QUC47 RDR47:RDY47 RNN47:RNU47 RXJ47:RXQ47 SHF47:SHM47 SRB47:SRI47 TAX47:TBE47 TKT47:TLA47 TUP47:TUW47 UEL47:UES47 UOH47:UOO47 UYD47:UYK47 VHZ47:VIG47 VRV47:VSC47 WBR47:WBY47 WLN47:WLU47 WVJ47:WVQ47 B65683:I65683 IX65683:JE65683 ST65683:TA65683 ACP65683:ACW65683 AML65683:AMS65683 AWH65683:AWO65683 BGD65683:BGK65683 BPZ65683:BQG65683 BZV65683:CAC65683 CJR65683:CJY65683 CTN65683:CTU65683 DDJ65683:DDQ65683 DNF65683:DNM65683 DXB65683:DXI65683 EGX65683:EHE65683 EQT65683:ERA65683 FAP65683:FAW65683 FKL65683:FKS65683 FUH65683:FUO65683 GED65683:GEK65683 GNZ65683:GOG65683 GXV65683:GYC65683 HHR65683:HHY65683 HRN65683:HRU65683 IBJ65683:IBQ65683 ILF65683:ILM65683 IVB65683:IVI65683 JEX65683:JFE65683 JOT65683:JPA65683 JYP65683:JYW65683 KIL65683:KIS65683 KSH65683:KSO65683 LCD65683:LCK65683 LLZ65683:LMG65683 LVV65683:LWC65683 MFR65683:MFY65683 MPN65683:MPU65683 MZJ65683:MZQ65683 NJF65683:NJM65683 NTB65683:NTI65683 OCX65683:ODE65683 OMT65683:ONA65683 OWP65683:OWW65683 PGL65683:PGS65683 PQH65683:PQO65683 QAD65683:QAK65683 QJZ65683:QKG65683 QTV65683:QUC65683 RDR65683:RDY65683 RNN65683:RNU65683 RXJ65683:RXQ65683 SHF65683:SHM65683 SRB65683:SRI65683 TAX65683:TBE65683 TKT65683:TLA65683 TUP65683:TUW65683 UEL65683:UES65683 UOH65683:UOO65683 UYD65683:UYK65683 VHZ65683:VIG65683 VRV65683:VSC65683 WBR65683:WBY65683 WLN65683:WLU65683 WVJ65683:WVQ65683 B131219:I131219 IX131219:JE131219 ST131219:TA131219 ACP131219:ACW131219 AML131219:AMS131219 AWH131219:AWO131219 BGD131219:BGK131219 BPZ131219:BQG131219 BZV131219:CAC131219 CJR131219:CJY131219 CTN131219:CTU131219 DDJ131219:DDQ131219 DNF131219:DNM131219 DXB131219:DXI131219 EGX131219:EHE131219 EQT131219:ERA131219 FAP131219:FAW131219 FKL131219:FKS131219 FUH131219:FUO131219 GED131219:GEK131219 GNZ131219:GOG131219 GXV131219:GYC131219 HHR131219:HHY131219 HRN131219:HRU131219 IBJ131219:IBQ131219 ILF131219:ILM131219 IVB131219:IVI131219 JEX131219:JFE131219 JOT131219:JPA131219 JYP131219:JYW131219 KIL131219:KIS131219 KSH131219:KSO131219 LCD131219:LCK131219 LLZ131219:LMG131219 LVV131219:LWC131219 MFR131219:MFY131219 MPN131219:MPU131219 MZJ131219:MZQ131219 NJF131219:NJM131219 NTB131219:NTI131219 OCX131219:ODE131219 OMT131219:ONA131219 OWP131219:OWW131219 PGL131219:PGS131219 PQH131219:PQO131219 QAD131219:QAK131219 QJZ131219:QKG131219 QTV131219:QUC131219 RDR131219:RDY131219 RNN131219:RNU131219 RXJ131219:RXQ131219 SHF131219:SHM131219 SRB131219:SRI131219 TAX131219:TBE131219 TKT131219:TLA131219 TUP131219:TUW131219 UEL131219:UES131219 UOH131219:UOO131219 UYD131219:UYK131219 VHZ131219:VIG131219 VRV131219:VSC131219 WBR131219:WBY131219 WLN131219:WLU131219 WVJ131219:WVQ131219 B196755:I196755 IX196755:JE196755 ST196755:TA196755 ACP196755:ACW196755 AML196755:AMS196755 AWH196755:AWO196755 BGD196755:BGK196755 BPZ196755:BQG196755 BZV196755:CAC196755 CJR196755:CJY196755 CTN196755:CTU196755 DDJ196755:DDQ196755 DNF196755:DNM196755 DXB196755:DXI196755 EGX196755:EHE196755 EQT196755:ERA196755 FAP196755:FAW196755 FKL196755:FKS196755 FUH196755:FUO196755 GED196755:GEK196755 GNZ196755:GOG196755 GXV196755:GYC196755 HHR196755:HHY196755 HRN196755:HRU196755 IBJ196755:IBQ196755 ILF196755:ILM196755 IVB196755:IVI196755 JEX196755:JFE196755 JOT196755:JPA196755 JYP196755:JYW196755 KIL196755:KIS196755 KSH196755:KSO196755 LCD196755:LCK196755 LLZ196755:LMG196755 LVV196755:LWC196755 MFR196755:MFY196755 MPN196755:MPU196755 MZJ196755:MZQ196755 NJF196755:NJM196755 NTB196755:NTI196755 OCX196755:ODE196755 OMT196755:ONA196755 OWP196755:OWW196755 PGL196755:PGS196755 PQH196755:PQO196755 QAD196755:QAK196755 QJZ196755:QKG196755 QTV196755:QUC196755 RDR196755:RDY196755 RNN196755:RNU196755 RXJ196755:RXQ196755 SHF196755:SHM196755 SRB196755:SRI196755 TAX196755:TBE196755 TKT196755:TLA196755 TUP196755:TUW196755 UEL196755:UES196755 UOH196755:UOO196755 UYD196755:UYK196755 VHZ196755:VIG196755 VRV196755:VSC196755 WBR196755:WBY196755 WLN196755:WLU196755 WVJ196755:WVQ196755 B262291:I262291 IX262291:JE262291 ST262291:TA262291 ACP262291:ACW262291 AML262291:AMS262291 AWH262291:AWO262291 BGD262291:BGK262291 BPZ262291:BQG262291 BZV262291:CAC262291 CJR262291:CJY262291 CTN262291:CTU262291 DDJ262291:DDQ262291 DNF262291:DNM262291 DXB262291:DXI262291 EGX262291:EHE262291 EQT262291:ERA262291 FAP262291:FAW262291 FKL262291:FKS262291 FUH262291:FUO262291 GED262291:GEK262291 GNZ262291:GOG262291 GXV262291:GYC262291 HHR262291:HHY262291 HRN262291:HRU262291 IBJ262291:IBQ262291 ILF262291:ILM262291 IVB262291:IVI262291 JEX262291:JFE262291 JOT262291:JPA262291 JYP262291:JYW262291 KIL262291:KIS262291 KSH262291:KSO262291 LCD262291:LCK262291 LLZ262291:LMG262291 LVV262291:LWC262291 MFR262291:MFY262291 MPN262291:MPU262291 MZJ262291:MZQ262291 NJF262291:NJM262291 NTB262291:NTI262291 OCX262291:ODE262291 OMT262291:ONA262291 OWP262291:OWW262291 PGL262291:PGS262291 PQH262291:PQO262291 QAD262291:QAK262291 QJZ262291:QKG262291 QTV262291:QUC262291 RDR262291:RDY262291 RNN262291:RNU262291 RXJ262291:RXQ262291 SHF262291:SHM262291 SRB262291:SRI262291 TAX262291:TBE262291 TKT262291:TLA262291 TUP262291:TUW262291 UEL262291:UES262291 UOH262291:UOO262291 UYD262291:UYK262291 VHZ262291:VIG262291 VRV262291:VSC262291 WBR262291:WBY262291 WLN262291:WLU262291 WVJ262291:WVQ262291 B327827:I327827 IX327827:JE327827 ST327827:TA327827 ACP327827:ACW327827 AML327827:AMS327827 AWH327827:AWO327827 BGD327827:BGK327827 BPZ327827:BQG327827 BZV327827:CAC327827 CJR327827:CJY327827 CTN327827:CTU327827 DDJ327827:DDQ327827 DNF327827:DNM327827 DXB327827:DXI327827 EGX327827:EHE327827 EQT327827:ERA327827 FAP327827:FAW327827 FKL327827:FKS327827 FUH327827:FUO327827 GED327827:GEK327827 GNZ327827:GOG327827 GXV327827:GYC327827 HHR327827:HHY327827 HRN327827:HRU327827 IBJ327827:IBQ327827 ILF327827:ILM327827 IVB327827:IVI327827 JEX327827:JFE327827 JOT327827:JPA327827 JYP327827:JYW327827 KIL327827:KIS327827 KSH327827:KSO327827 LCD327827:LCK327827 LLZ327827:LMG327827 LVV327827:LWC327827 MFR327827:MFY327827 MPN327827:MPU327827 MZJ327827:MZQ327827 NJF327827:NJM327827 NTB327827:NTI327827 OCX327827:ODE327827 OMT327827:ONA327827 OWP327827:OWW327827 PGL327827:PGS327827 PQH327827:PQO327827 QAD327827:QAK327827 QJZ327827:QKG327827 QTV327827:QUC327827 RDR327827:RDY327827 RNN327827:RNU327827 RXJ327827:RXQ327827 SHF327827:SHM327827 SRB327827:SRI327827 TAX327827:TBE327827 TKT327827:TLA327827 TUP327827:TUW327827 UEL327827:UES327827 UOH327827:UOO327827 UYD327827:UYK327827 VHZ327827:VIG327827 VRV327827:VSC327827 WBR327827:WBY327827 WLN327827:WLU327827 WVJ327827:WVQ327827 B393363:I393363 IX393363:JE393363 ST393363:TA393363 ACP393363:ACW393363 AML393363:AMS393363 AWH393363:AWO393363 BGD393363:BGK393363 BPZ393363:BQG393363 BZV393363:CAC393363 CJR393363:CJY393363 CTN393363:CTU393363 DDJ393363:DDQ393363 DNF393363:DNM393363 DXB393363:DXI393363 EGX393363:EHE393363 EQT393363:ERA393363 FAP393363:FAW393363 FKL393363:FKS393363 FUH393363:FUO393363 GED393363:GEK393363 GNZ393363:GOG393363 GXV393363:GYC393363 HHR393363:HHY393363 HRN393363:HRU393363 IBJ393363:IBQ393363 ILF393363:ILM393363 IVB393363:IVI393363 JEX393363:JFE393363 JOT393363:JPA393363 JYP393363:JYW393363 KIL393363:KIS393363 KSH393363:KSO393363 LCD393363:LCK393363 LLZ393363:LMG393363 LVV393363:LWC393363 MFR393363:MFY393363 MPN393363:MPU393363 MZJ393363:MZQ393363 NJF393363:NJM393363 NTB393363:NTI393363 OCX393363:ODE393363 OMT393363:ONA393363 OWP393363:OWW393363 PGL393363:PGS393363 PQH393363:PQO393363 QAD393363:QAK393363 QJZ393363:QKG393363 QTV393363:QUC393363 RDR393363:RDY393363 RNN393363:RNU393363 RXJ393363:RXQ393363 SHF393363:SHM393363 SRB393363:SRI393363 TAX393363:TBE393363 TKT393363:TLA393363 TUP393363:TUW393363 UEL393363:UES393363 UOH393363:UOO393363 UYD393363:UYK393363 VHZ393363:VIG393363 VRV393363:VSC393363 WBR393363:WBY393363 WLN393363:WLU393363 WVJ393363:WVQ393363 B458899:I458899 IX458899:JE458899 ST458899:TA458899 ACP458899:ACW458899 AML458899:AMS458899 AWH458899:AWO458899 BGD458899:BGK458899 BPZ458899:BQG458899 BZV458899:CAC458899 CJR458899:CJY458899 CTN458899:CTU458899 DDJ458899:DDQ458899 DNF458899:DNM458899 DXB458899:DXI458899 EGX458899:EHE458899 EQT458899:ERA458899 FAP458899:FAW458899 FKL458899:FKS458899 FUH458899:FUO458899 GED458899:GEK458899 GNZ458899:GOG458899 GXV458899:GYC458899 HHR458899:HHY458899 HRN458899:HRU458899 IBJ458899:IBQ458899 ILF458899:ILM458899 IVB458899:IVI458899 JEX458899:JFE458899 JOT458899:JPA458899 JYP458899:JYW458899 KIL458899:KIS458899 KSH458899:KSO458899 LCD458899:LCK458899 LLZ458899:LMG458899 LVV458899:LWC458899 MFR458899:MFY458899 MPN458899:MPU458899 MZJ458899:MZQ458899 NJF458899:NJM458899 NTB458899:NTI458899 OCX458899:ODE458899 OMT458899:ONA458899 OWP458899:OWW458899 PGL458899:PGS458899 PQH458899:PQO458899 QAD458899:QAK458899 QJZ458899:QKG458899 QTV458899:QUC458899 RDR458899:RDY458899 RNN458899:RNU458899 RXJ458899:RXQ458899 SHF458899:SHM458899 SRB458899:SRI458899 TAX458899:TBE458899 TKT458899:TLA458899 TUP458899:TUW458899 UEL458899:UES458899 UOH458899:UOO458899 UYD458899:UYK458899 VHZ458899:VIG458899 VRV458899:VSC458899 WBR458899:WBY458899 WLN458899:WLU458899 WVJ458899:WVQ458899 B524435:I524435 IX524435:JE524435 ST524435:TA524435 ACP524435:ACW524435 AML524435:AMS524435 AWH524435:AWO524435 BGD524435:BGK524435 BPZ524435:BQG524435 BZV524435:CAC524435 CJR524435:CJY524435 CTN524435:CTU524435 DDJ524435:DDQ524435 DNF524435:DNM524435 DXB524435:DXI524435 EGX524435:EHE524435 EQT524435:ERA524435 FAP524435:FAW524435 FKL524435:FKS524435 FUH524435:FUO524435 GED524435:GEK524435 GNZ524435:GOG524435 GXV524435:GYC524435 HHR524435:HHY524435 HRN524435:HRU524435 IBJ524435:IBQ524435 ILF524435:ILM524435 IVB524435:IVI524435 JEX524435:JFE524435 JOT524435:JPA524435 JYP524435:JYW524435 KIL524435:KIS524435 KSH524435:KSO524435 LCD524435:LCK524435 LLZ524435:LMG524435 LVV524435:LWC524435 MFR524435:MFY524435 MPN524435:MPU524435 MZJ524435:MZQ524435 NJF524435:NJM524435 NTB524435:NTI524435 OCX524435:ODE524435 OMT524435:ONA524435 OWP524435:OWW524435 PGL524435:PGS524435 PQH524435:PQO524435 QAD524435:QAK524435 QJZ524435:QKG524435 QTV524435:QUC524435 RDR524435:RDY524435 RNN524435:RNU524435 RXJ524435:RXQ524435 SHF524435:SHM524435 SRB524435:SRI524435 TAX524435:TBE524435 TKT524435:TLA524435 TUP524435:TUW524435 UEL524435:UES524435 UOH524435:UOO524435 UYD524435:UYK524435 VHZ524435:VIG524435 VRV524435:VSC524435 WBR524435:WBY524435 WLN524435:WLU524435 WVJ524435:WVQ524435 B589971:I589971 IX589971:JE589971 ST589971:TA589971 ACP589971:ACW589971 AML589971:AMS589971 AWH589971:AWO589971 BGD589971:BGK589971 BPZ589971:BQG589971 BZV589971:CAC589971 CJR589971:CJY589971 CTN589971:CTU589971 DDJ589971:DDQ589971 DNF589971:DNM589971 DXB589971:DXI589971 EGX589971:EHE589971 EQT589971:ERA589971 FAP589971:FAW589971 FKL589971:FKS589971 FUH589971:FUO589971 GED589971:GEK589971 GNZ589971:GOG589971 GXV589971:GYC589971 HHR589971:HHY589971 HRN589971:HRU589971 IBJ589971:IBQ589971 ILF589971:ILM589971 IVB589971:IVI589971 JEX589971:JFE589971 JOT589971:JPA589971 JYP589971:JYW589971 KIL589971:KIS589971 KSH589971:KSO589971 LCD589971:LCK589971 LLZ589971:LMG589971 LVV589971:LWC589971 MFR589971:MFY589971 MPN589971:MPU589971 MZJ589971:MZQ589971 NJF589971:NJM589971 NTB589971:NTI589971 OCX589971:ODE589971 OMT589971:ONA589971 OWP589971:OWW589971 PGL589971:PGS589971 PQH589971:PQO589971 QAD589971:QAK589971 QJZ589971:QKG589971 QTV589971:QUC589971 RDR589971:RDY589971 RNN589971:RNU589971 RXJ589971:RXQ589971 SHF589971:SHM589971 SRB589971:SRI589971 TAX589971:TBE589971 TKT589971:TLA589971 TUP589971:TUW589971 UEL589971:UES589971 UOH589971:UOO589971 UYD589971:UYK589971 VHZ589971:VIG589971 VRV589971:VSC589971 WBR589971:WBY589971 WLN589971:WLU589971 WVJ589971:WVQ589971 B655507:I655507 IX655507:JE655507 ST655507:TA655507 ACP655507:ACW655507 AML655507:AMS655507 AWH655507:AWO655507 BGD655507:BGK655507 BPZ655507:BQG655507 BZV655507:CAC655507 CJR655507:CJY655507 CTN655507:CTU655507 DDJ655507:DDQ655507 DNF655507:DNM655507 DXB655507:DXI655507 EGX655507:EHE655507 EQT655507:ERA655507 FAP655507:FAW655507 FKL655507:FKS655507 FUH655507:FUO655507 GED655507:GEK655507 GNZ655507:GOG655507 GXV655507:GYC655507 HHR655507:HHY655507 HRN655507:HRU655507 IBJ655507:IBQ655507 ILF655507:ILM655507 IVB655507:IVI655507 JEX655507:JFE655507 JOT655507:JPA655507 JYP655507:JYW655507 KIL655507:KIS655507 KSH655507:KSO655507 LCD655507:LCK655507 LLZ655507:LMG655507 LVV655507:LWC655507 MFR655507:MFY655507 MPN655507:MPU655507 MZJ655507:MZQ655507 NJF655507:NJM655507 NTB655507:NTI655507 OCX655507:ODE655507 OMT655507:ONA655507 OWP655507:OWW655507 PGL655507:PGS655507 PQH655507:PQO655507 QAD655507:QAK655507 QJZ655507:QKG655507 QTV655507:QUC655507 RDR655507:RDY655507 RNN655507:RNU655507 RXJ655507:RXQ655507 SHF655507:SHM655507 SRB655507:SRI655507 TAX655507:TBE655507 TKT655507:TLA655507 TUP655507:TUW655507 UEL655507:UES655507 UOH655507:UOO655507 UYD655507:UYK655507 VHZ655507:VIG655507 VRV655507:VSC655507 WBR655507:WBY655507 WLN655507:WLU655507 WVJ655507:WVQ655507 B721043:I721043 IX721043:JE721043 ST721043:TA721043 ACP721043:ACW721043 AML721043:AMS721043 AWH721043:AWO721043 BGD721043:BGK721043 BPZ721043:BQG721043 BZV721043:CAC721043 CJR721043:CJY721043 CTN721043:CTU721043 DDJ721043:DDQ721043 DNF721043:DNM721043 DXB721043:DXI721043 EGX721043:EHE721043 EQT721043:ERA721043 FAP721043:FAW721043 FKL721043:FKS721043 FUH721043:FUO721043 GED721043:GEK721043 GNZ721043:GOG721043 GXV721043:GYC721043 HHR721043:HHY721043 HRN721043:HRU721043 IBJ721043:IBQ721043 ILF721043:ILM721043 IVB721043:IVI721043 JEX721043:JFE721043 JOT721043:JPA721043 JYP721043:JYW721043 KIL721043:KIS721043 KSH721043:KSO721043 LCD721043:LCK721043 LLZ721043:LMG721043 LVV721043:LWC721043 MFR721043:MFY721043 MPN721043:MPU721043 MZJ721043:MZQ721043 NJF721043:NJM721043 NTB721043:NTI721043 OCX721043:ODE721043 OMT721043:ONA721043 OWP721043:OWW721043 PGL721043:PGS721043 PQH721043:PQO721043 QAD721043:QAK721043 QJZ721043:QKG721043 QTV721043:QUC721043 RDR721043:RDY721043 RNN721043:RNU721043 RXJ721043:RXQ721043 SHF721043:SHM721043 SRB721043:SRI721043 TAX721043:TBE721043 TKT721043:TLA721043 TUP721043:TUW721043 UEL721043:UES721043 UOH721043:UOO721043 UYD721043:UYK721043 VHZ721043:VIG721043 VRV721043:VSC721043 WBR721043:WBY721043 WLN721043:WLU721043 WVJ721043:WVQ721043 B786579:I786579 IX786579:JE786579 ST786579:TA786579 ACP786579:ACW786579 AML786579:AMS786579 AWH786579:AWO786579 BGD786579:BGK786579 BPZ786579:BQG786579 BZV786579:CAC786579 CJR786579:CJY786579 CTN786579:CTU786579 DDJ786579:DDQ786579 DNF786579:DNM786579 DXB786579:DXI786579 EGX786579:EHE786579 EQT786579:ERA786579 FAP786579:FAW786579 FKL786579:FKS786579 FUH786579:FUO786579 GED786579:GEK786579 GNZ786579:GOG786579 GXV786579:GYC786579 HHR786579:HHY786579 HRN786579:HRU786579 IBJ786579:IBQ786579 ILF786579:ILM786579 IVB786579:IVI786579 JEX786579:JFE786579 JOT786579:JPA786579 JYP786579:JYW786579 KIL786579:KIS786579 KSH786579:KSO786579 LCD786579:LCK786579 LLZ786579:LMG786579 LVV786579:LWC786579 MFR786579:MFY786579 MPN786579:MPU786579 MZJ786579:MZQ786579 NJF786579:NJM786579 NTB786579:NTI786579 OCX786579:ODE786579 OMT786579:ONA786579 OWP786579:OWW786579 PGL786579:PGS786579 PQH786579:PQO786579 QAD786579:QAK786579 QJZ786579:QKG786579 QTV786579:QUC786579 RDR786579:RDY786579 RNN786579:RNU786579 RXJ786579:RXQ786579 SHF786579:SHM786579 SRB786579:SRI786579 TAX786579:TBE786579 TKT786579:TLA786579 TUP786579:TUW786579 UEL786579:UES786579 UOH786579:UOO786579 UYD786579:UYK786579 VHZ786579:VIG786579 VRV786579:VSC786579 WBR786579:WBY786579 WLN786579:WLU786579 WVJ786579:WVQ786579 B852115:I852115 IX852115:JE852115 ST852115:TA852115 ACP852115:ACW852115 AML852115:AMS852115 AWH852115:AWO852115 BGD852115:BGK852115 BPZ852115:BQG852115 BZV852115:CAC852115 CJR852115:CJY852115 CTN852115:CTU852115 DDJ852115:DDQ852115 DNF852115:DNM852115 DXB852115:DXI852115 EGX852115:EHE852115 EQT852115:ERA852115 FAP852115:FAW852115 FKL852115:FKS852115 FUH852115:FUO852115 GED852115:GEK852115 GNZ852115:GOG852115 GXV852115:GYC852115 HHR852115:HHY852115 HRN852115:HRU852115 IBJ852115:IBQ852115 ILF852115:ILM852115 IVB852115:IVI852115 JEX852115:JFE852115 JOT852115:JPA852115 JYP852115:JYW852115 KIL852115:KIS852115 KSH852115:KSO852115 LCD852115:LCK852115 LLZ852115:LMG852115 LVV852115:LWC852115 MFR852115:MFY852115 MPN852115:MPU852115 MZJ852115:MZQ852115 NJF852115:NJM852115 NTB852115:NTI852115 OCX852115:ODE852115 OMT852115:ONA852115 OWP852115:OWW852115 PGL852115:PGS852115 PQH852115:PQO852115 QAD852115:QAK852115 QJZ852115:QKG852115 QTV852115:QUC852115 RDR852115:RDY852115 RNN852115:RNU852115 RXJ852115:RXQ852115 SHF852115:SHM852115 SRB852115:SRI852115 TAX852115:TBE852115 TKT852115:TLA852115 TUP852115:TUW852115 UEL852115:UES852115 UOH852115:UOO852115 UYD852115:UYK852115 VHZ852115:VIG852115 VRV852115:VSC852115 WBR852115:WBY852115 WLN852115:WLU852115 WVJ852115:WVQ852115 B917651:I917651 IX917651:JE917651 ST917651:TA917651 ACP917651:ACW917651 AML917651:AMS917651 AWH917651:AWO917651 BGD917651:BGK917651 BPZ917651:BQG917651 BZV917651:CAC917651 CJR917651:CJY917651 CTN917651:CTU917651 DDJ917651:DDQ917651 DNF917651:DNM917651 DXB917651:DXI917651 EGX917651:EHE917651 EQT917651:ERA917651 FAP917651:FAW917651 FKL917651:FKS917651 FUH917651:FUO917651 GED917651:GEK917651 GNZ917651:GOG917651 GXV917651:GYC917651 HHR917651:HHY917651 HRN917651:HRU917651 IBJ917651:IBQ917651 ILF917651:ILM917651 IVB917651:IVI917651 JEX917651:JFE917651 JOT917651:JPA917651 JYP917651:JYW917651 KIL917651:KIS917651 KSH917651:KSO917651 LCD917651:LCK917651 LLZ917651:LMG917651 LVV917651:LWC917651 MFR917651:MFY917651 MPN917651:MPU917651 MZJ917651:MZQ917651 NJF917651:NJM917651 NTB917651:NTI917651 OCX917651:ODE917651 OMT917651:ONA917651 OWP917651:OWW917651 PGL917651:PGS917651 PQH917651:PQO917651 QAD917651:QAK917651 QJZ917651:QKG917651 QTV917651:QUC917651 RDR917651:RDY917651 RNN917651:RNU917651 RXJ917651:RXQ917651 SHF917651:SHM917651 SRB917651:SRI917651 TAX917651:TBE917651 TKT917651:TLA917651 TUP917651:TUW917651 UEL917651:UES917651 UOH917651:UOO917651 UYD917651:UYK917651 VHZ917651:VIG917651 VRV917651:VSC917651 WBR917651:WBY917651 WLN917651:WLU917651 WVJ917651:WVQ917651 B983187:I983187 IX983187:JE983187 ST983187:TA983187 ACP983187:ACW983187 AML983187:AMS983187 AWH983187:AWO983187 BGD983187:BGK983187 BPZ983187:BQG983187 BZV983187:CAC983187 CJR983187:CJY983187 CTN983187:CTU983187 DDJ983187:DDQ983187 DNF983187:DNM983187 DXB983187:DXI983187 EGX983187:EHE983187 EQT983187:ERA983187 FAP983187:FAW983187 FKL983187:FKS983187 FUH983187:FUO983187 GED983187:GEK983187 GNZ983187:GOG983187 GXV983187:GYC983187 HHR983187:HHY983187 HRN983187:HRU983187 IBJ983187:IBQ983187 ILF983187:ILM983187 IVB983187:IVI983187 JEX983187:JFE983187 JOT983187:JPA983187 JYP983187:JYW983187 KIL983187:KIS983187 KSH983187:KSO983187 LCD983187:LCK983187 LLZ983187:LMG983187 LVV983187:LWC983187 MFR983187:MFY983187 MPN983187:MPU983187 MZJ983187:MZQ983187 NJF983187:NJM983187 NTB983187:NTI983187 OCX983187:ODE983187 OMT983187:ONA983187 OWP983187:OWW983187 PGL983187:PGS983187 PQH983187:PQO983187 QAD983187:QAK983187 QJZ983187:QKG983187 QTV983187:QUC983187 RDR983187:RDY983187 RNN983187:RNU983187 RXJ983187:RXQ983187 SHF983187:SHM983187 SRB983187:SRI983187 TAX983187:TBE983187 TKT983187:TLA983187 TUP983187:TUW983187 UEL983187:UES983187 UOH983187:UOO983187 UYD983187:UYK983187 VHZ983187:VIG983187 VRV983187:VSC983187 WBR983187:WBY983187 WLN983187:WLU983187 WVJ983187:WVQ983187">
      <formula1>Site_name_list</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654:I65654 IX65654:JE65654 ST65654:TA65654 ACP65654:ACW65654 AML65654:AMS65654 AWH65654:AWO65654 BGD65654:BGK65654 BPZ65654:BQG65654 BZV65654:CAC65654 CJR65654:CJY65654 CTN65654:CTU65654 DDJ65654:DDQ65654 DNF65654:DNM65654 DXB65654:DXI65654 EGX65654:EHE65654 EQT65654:ERA65654 FAP65654:FAW65654 FKL65654:FKS65654 FUH65654:FUO65654 GED65654:GEK65654 GNZ65654:GOG65654 GXV65654:GYC65654 HHR65654:HHY65654 HRN65654:HRU65654 IBJ65654:IBQ65654 ILF65654:ILM65654 IVB65654:IVI65654 JEX65654:JFE65654 JOT65654:JPA65654 JYP65654:JYW65654 KIL65654:KIS65654 KSH65654:KSO65654 LCD65654:LCK65654 LLZ65654:LMG65654 LVV65654:LWC65654 MFR65654:MFY65654 MPN65654:MPU65654 MZJ65654:MZQ65654 NJF65654:NJM65654 NTB65654:NTI65654 OCX65654:ODE65654 OMT65654:ONA65654 OWP65654:OWW65654 PGL65654:PGS65654 PQH65654:PQO65654 QAD65654:QAK65654 QJZ65654:QKG65654 QTV65654:QUC65654 RDR65654:RDY65654 RNN65654:RNU65654 RXJ65654:RXQ65654 SHF65654:SHM65654 SRB65654:SRI65654 TAX65654:TBE65654 TKT65654:TLA65654 TUP65654:TUW65654 UEL65654:UES65654 UOH65654:UOO65654 UYD65654:UYK65654 VHZ65654:VIG65654 VRV65654:VSC65654 WBR65654:WBY65654 WLN65654:WLU65654 WVJ65654:WVQ65654 B131190:I131190 IX131190:JE131190 ST131190:TA131190 ACP131190:ACW131190 AML131190:AMS131190 AWH131190:AWO131190 BGD131190:BGK131190 BPZ131190:BQG131190 BZV131190:CAC131190 CJR131190:CJY131190 CTN131190:CTU131190 DDJ131190:DDQ131190 DNF131190:DNM131190 DXB131190:DXI131190 EGX131190:EHE131190 EQT131190:ERA131190 FAP131190:FAW131190 FKL131190:FKS131190 FUH131190:FUO131190 GED131190:GEK131190 GNZ131190:GOG131190 GXV131190:GYC131190 HHR131190:HHY131190 HRN131190:HRU131190 IBJ131190:IBQ131190 ILF131190:ILM131190 IVB131190:IVI131190 JEX131190:JFE131190 JOT131190:JPA131190 JYP131190:JYW131190 KIL131190:KIS131190 KSH131190:KSO131190 LCD131190:LCK131190 LLZ131190:LMG131190 LVV131190:LWC131190 MFR131190:MFY131190 MPN131190:MPU131190 MZJ131190:MZQ131190 NJF131190:NJM131190 NTB131190:NTI131190 OCX131190:ODE131190 OMT131190:ONA131190 OWP131190:OWW131190 PGL131190:PGS131190 PQH131190:PQO131190 QAD131190:QAK131190 QJZ131190:QKG131190 QTV131190:QUC131190 RDR131190:RDY131190 RNN131190:RNU131190 RXJ131190:RXQ131190 SHF131190:SHM131190 SRB131190:SRI131190 TAX131190:TBE131190 TKT131190:TLA131190 TUP131190:TUW131190 UEL131190:UES131190 UOH131190:UOO131190 UYD131190:UYK131190 VHZ131190:VIG131190 VRV131190:VSC131190 WBR131190:WBY131190 WLN131190:WLU131190 WVJ131190:WVQ131190 B196726:I196726 IX196726:JE196726 ST196726:TA196726 ACP196726:ACW196726 AML196726:AMS196726 AWH196726:AWO196726 BGD196726:BGK196726 BPZ196726:BQG196726 BZV196726:CAC196726 CJR196726:CJY196726 CTN196726:CTU196726 DDJ196726:DDQ196726 DNF196726:DNM196726 DXB196726:DXI196726 EGX196726:EHE196726 EQT196726:ERA196726 FAP196726:FAW196726 FKL196726:FKS196726 FUH196726:FUO196726 GED196726:GEK196726 GNZ196726:GOG196726 GXV196726:GYC196726 HHR196726:HHY196726 HRN196726:HRU196726 IBJ196726:IBQ196726 ILF196726:ILM196726 IVB196726:IVI196726 JEX196726:JFE196726 JOT196726:JPA196726 JYP196726:JYW196726 KIL196726:KIS196726 KSH196726:KSO196726 LCD196726:LCK196726 LLZ196726:LMG196726 LVV196726:LWC196726 MFR196726:MFY196726 MPN196726:MPU196726 MZJ196726:MZQ196726 NJF196726:NJM196726 NTB196726:NTI196726 OCX196726:ODE196726 OMT196726:ONA196726 OWP196726:OWW196726 PGL196726:PGS196726 PQH196726:PQO196726 QAD196726:QAK196726 QJZ196726:QKG196726 QTV196726:QUC196726 RDR196726:RDY196726 RNN196726:RNU196726 RXJ196726:RXQ196726 SHF196726:SHM196726 SRB196726:SRI196726 TAX196726:TBE196726 TKT196726:TLA196726 TUP196726:TUW196726 UEL196726:UES196726 UOH196726:UOO196726 UYD196726:UYK196726 VHZ196726:VIG196726 VRV196726:VSC196726 WBR196726:WBY196726 WLN196726:WLU196726 WVJ196726:WVQ196726 B262262:I262262 IX262262:JE262262 ST262262:TA262262 ACP262262:ACW262262 AML262262:AMS262262 AWH262262:AWO262262 BGD262262:BGK262262 BPZ262262:BQG262262 BZV262262:CAC262262 CJR262262:CJY262262 CTN262262:CTU262262 DDJ262262:DDQ262262 DNF262262:DNM262262 DXB262262:DXI262262 EGX262262:EHE262262 EQT262262:ERA262262 FAP262262:FAW262262 FKL262262:FKS262262 FUH262262:FUO262262 GED262262:GEK262262 GNZ262262:GOG262262 GXV262262:GYC262262 HHR262262:HHY262262 HRN262262:HRU262262 IBJ262262:IBQ262262 ILF262262:ILM262262 IVB262262:IVI262262 JEX262262:JFE262262 JOT262262:JPA262262 JYP262262:JYW262262 KIL262262:KIS262262 KSH262262:KSO262262 LCD262262:LCK262262 LLZ262262:LMG262262 LVV262262:LWC262262 MFR262262:MFY262262 MPN262262:MPU262262 MZJ262262:MZQ262262 NJF262262:NJM262262 NTB262262:NTI262262 OCX262262:ODE262262 OMT262262:ONA262262 OWP262262:OWW262262 PGL262262:PGS262262 PQH262262:PQO262262 QAD262262:QAK262262 QJZ262262:QKG262262 QTV262262:QUC262262 RDR262262:RDY262262 RNN262262:RNU262262 RXJ262262:RXQ262262 SHF262262:SHM262262 SRB262262:SRI262262 TAX262262:TBE262262 TKT262262:TLA262262 TUP262262:TUW262262 UEL262262:UES262262 UOH262262:UOO262262 UYD262262:UYK262262 VHZ262262:VIG262262 VRV262262:VSC262262 WBR262262:WBY262262 WLN262262:WLU262262 WVJ262262:WVQ262262 B327798:I327798 IX327798:JE327798 ST327798:TA327798 ACP327798:ACW327798 AML327798:AMS327798 AWH327798:AWO327798 BGD327798:BGK327798 BPZ327798:BQG327798 BZV327798:CAC327798 CJR327798:CJY327798 CTN327798:CTU327798 DDJ327798:DDQ327798 DNF327798:DNM327798 DXB327798:DXI327798 EGX327798:EHE327798 EQT327798:ERA327798 FAP327798:FAW327798 FKL327798:FKS327798 FUH327798:FUO327798 GED327798:GEK327798 GNZ327798:GOG327798 GXV327798:GYC327798 HHR327798:HHY327798 HRN327798:HRU327798 IBJ327798:IBQ327798 ILF327798:ILM327798 IVB327798:IVI327798 JEX327798:JFE327798 JOT327798:JPA327798 JYP327798:JYW327798 KIL327798:KIS327798 KSH327798:KSO327798 LCD327798:LCK327798 LLZ327798:LMG327798 LVV327798:LWC327798 MFR327798:MFY327798 MPN327798:MPU327798 MZJ327798:MZQ327798 NJF327798:NJM327798 NTB327798:NTI327798 OCX327798:ODE327798 OMT327798:ONA327798 OWP327798:OWW327798 PGL327798:PGS327798 PQH327798:PQO327798 QAD327798:QAK327798 QJZ327798:QKG327798 QTV327798:QUC327798 RDR327798:RDY327798 RNN327798:RNU327798 RXJ327798:RXQ327798 SHF327798:SHM327798 SRB327798:SRI327798 TAX327798:TBE327798 TKT327798:TLA327798 TUP327798:TUW327798 UEL327798:UES327798 UOH327798:UOO327798 UYD327798:UYK327798 VHZ327798:VIG327798 VRV327798:VSC327798 WBR327798:WBY327798 WLN327798:WLU327798 WVJ327798:WVQ327798 B393334:I393334 IX393334:JE393334 ST393334:TA393334 ACP393334:ACW393334 AML393334:AMS393334 AWH393334:AWO393334 BGD393334:BGK393334 BPZ393334:BQG393334 BZV393334:CAC393334 CJR393334:CJY393334 CTN393334:CTU393334 DDJ393334:DDQ393334 DNF393334:DNM393334 DXB393334:DXI393334 EGX393334:EHE393334 EQT393334:ERA393334 FAP393334:FAW393334 FKL393334:FKS393334 FUH393334:FUO393334 GED393334:GEK393334 GNZ393334:GOG393334 GXV393334:GYC393334 HHR393334:HHY393334 HRN393334:HRU393334 IBJ393334:IBQ393334 ILF393334:ILM393334 IVB393334:IVI393334 JEX393334:JFE393334 JOT393334:JPA393334 JYP393334:JYW393334 KIL393334:KIS393334 KSH393334:KSO393334 LCD393334:LCK393334 LLZ393334:LMG393334 LVV393334:LWC393334 MFR393334:MFY393334 MPN393334:MPU393334 MZJ393334:MZQ393334 NJF393334:NJM393334 NTB393334:NTI393334 OCX393334:ODE393334 OMT393334:ONA393334 OWP393334:OWW393334 PGL393334:PGS393334 PQH393334:PQO393334 QAD393334:QAK393334 QJZ393334:QKG393334 QTV393334:QUC393334 RDR393334:RDY393334 RNN393334:RNU393334 RXJ393334:RXQ393334 SHF393334:SHM393334 SRB393334:SRI393334 TAX393334:TBE393334 TKT393334:TLA393334 TUP393334:TUW393334 UEL393334:UES393334 UOH393334:UOO393334 UYD393334:UYK393334 VHZ393334:VIG393334 VRV393334:VSC393334 WBR393334:WBY393334 WLN393334:WLU393334 WVJ393334:WVQ393334 B458870:I458870 IX458870:JE458870 ST458870:TA458870 ACP458870:ACW458870 AML458870:AMS458870 AWH458870:AWO458870 BGD458870:BGK458870 BPZ458870:BQG458870 BZV458870:CAC458870 CJR458870:CJY458870 CTN458870:CTU458870 DDJ458870:DDQ458870 DNF458870:DNM458870 DXB458870:DXI458870 EGX458870:EHE458870 EQT458870:ERA458870 FAP458870:FAW458870 FKL458870:FKS458870 FUH458870:FUO458870 GED458870:GEK458870 GNZ458870:GOG458870 GXV458870:GYC458870 HHR458870:HHY458870 HRN458870:HRU458870 IBJ458870:IBQ458870 ILF458870:ILM458870 IVB458870:IVI458870 JEX458870:JFE458870 JOT458870:JPA458870 JYP458870:JYW458870 KIL458870:KIS458870 KSH458870:KSO458870 LCD458870:LCK458870 LLZ458870:LMG458870 LVV458870:LWC458870 MFR458870:MFY458870 MPN458870:MPU458870 MZJ458870:MZQ458870 NJF458870:NJM458870 NTB458870:NTI458870 OCX458870:ODE458870 OMT458870:ONA458870 OWP458870:OWW458870 PGL458870:PGS458870 PQH458870:PQO458870 QAD458870:QAK458870 QJZ458870:QKG458870 QTV458870:QUC458870 RDR458870:RDY458870 RNN458870:RNU458870 RXJ458870:RXQ458870 SHF458870:SHM458870 SRB458870:SRI458870 TAX458870:TBE458870 TKT458870:TLA458870 TUP458870:TUW458870 UEL458870:UES458870 UOH458870:UOO458870 UYD458870:UYK458870 VHZ458870:VIG458870 VRV458870:VSC458870 WBR458870:WBY458870 WLN458870:WLU458870 WVJ458870:WVQ458870 B524406:I524406 IX524406:JE524406 ST524406:TA524406 ACP524406:ACW524406 AML524406:AMS524406 AWH524406:AWO524406 BGD524406:BGK524406 BPZ524406:BQG524406 BZV524406:CAC524406 CJR524406:CJY524406 CTN524406:CTU524406 DDJ524406:DDQ524406 DNF524406:DNM524406 DXB524406:DXI524406 EGX524406:EHE524406 EQT524406:ERA524406 FAP524406:FAW524406 FKL524406:FKS524406 FUH524406:FUO524406 GED524406:GEK524406 GNZ524406:GOG524406 GXV524406:GYC524406 HHR524406:HHY524406 HRN524406:HRU524406 IBJ524406:IBQ524406 ILF524406:ILM524406 IVB524406:IVI524406 JEX524406:JFE524406 JOT524406:JPA524406 JYP524406:JYW524406 KIL524406:KIS524406 KSH524406:KSO524406 LCD524406:LCK524406 LLZ524406:LMG524406 LVV524406:LWC524406 MFR524406:MFY524406 MPN524406:MPU524406 MZJ524406:MZQ524406 NJF524406:NJM524406 NTB524406:NTI524406 OCX524406:ODE524406 OMT524406:ONA524406 OWP524406:OWW524406 PGL524406:PGS524406 PQH524406:PQO524406 QAD524406:QAK524406 QJZ524406:QKG524406 QTV524406:QUC524406 RDR524406:RDY524406 RNN524406:RNU524406 RXJ524406:RXQ524406 SHF524406:SHM524406 SRB524406:SRI524406 TAX524406:TBE524406 TKT524406:TLA524406 TUP524406:TUW524406 UEL524406:UES524406 UOH524406:UOO524406 UYD524406:UYK524406 VHZ524406:VIG524406 VRV524406:VSC524406 WBR524406:WBY524406 WLN524406:WLU524406 WVJ524406:WVQ524406 B589942:I589942 IX589942:JE589942 ST589942:TA589942 ACP589942:ACW589942 AML589942:AMS589942 AWH589942:AWO589942 BGD589942:BGK589942 BPZ589942:BQG589942 BZV589942:CAC589942 CJR589942:CJY589942 CTN589942:CTU589942 DDJ589942:DDQ589942 DNF589942:DNM589942 DXB589942:DXI589942 EGX589942:EHE589942 EQT589942:ERA589942 FAP589942:FAW589942 FKL589942:FKS589942 FUH589942:FUO589942 GED589942:GEK589942 GNZ589942:GOG589942 GXV589942:GYC589942 HHR589942:HHY589942 HRN589942:HRU589942 IBJ589942:IBQ589942 ILF589942:ILM589942 IVB589942:IVI589942 JEX589942:JFE589942 JOT589942:JPA589942 JYP589942:JYW589942 KIL589942:KIS589942 KSH589942:KSO589942 LCD589942:LCK589942 LLZ589942:LMG589942 LVV589942:LWC589942 MFR589942:MFY589942 MPN589942:MPU589942 MZJ589942:MZQ589942 NJF589942:NJM589942 NTB589942:NTI589942 OCX589942:ODE589942 OMT589942:ONA589942 OWP589942:OWW589942 PGL589942:PGS589942 PQH589942:PQO589942 QAD589942:QAK589942 QJZ589942:QKG589942 QTV589942:QUC589942 RDR589942:RDY589942 RNN589942:RNU589942 RXJ589942:RXQ589942 SHF589942:SHM589942 SRB589942:SRI589942 TAX589942:TBE589942 TKT589942:TLA589942 TUP589942:TUW589942 UEL589942:UES589942 UOH589942:UOO589942 UYD589942:UYK589942 VHZ589942:VIG589942 VRV589942:VSC589942 WBR589942:WBY589942 WLN589942:WLU589942 WVJ589942:WVQ589942 B655478:I655478 IX655478:JE655478 ST655478:TA655478 ACP655478:ACW655478 AML655478:AMS655478 AWH655478:AWO655478 BGD655478:BGK655478 BPZ655478:BQG655478 BZV655478:CAC655478 CJR655478:CJY655478 CTN655478:CTU655478 DDJ655478:DDQ655478 DNF655478:DNM655478 DXB655478:DXI655478 EGX655478:EHE655478 EQT655478:ERA655478 FAP655478:FAW655478 FKL655478:FKS655478 FUH655478:FUO655478 GED655478:GEK655478 GNZ655478:GOG655478 GXV655478:GYC655478 HHR655478:HHY655478 HRN655478:HRU655478 IBJ655478:IBQ655478 ILF655478:ILM655478 IVB655478:IVI655478 JEX655478:JFE655478 JOT655478:JPA655478 JYP655478:JYW655478 KIL655478:KIS655478 KSH655478:KSO655478 LCD655478:LCK655478 LLZ655478:LMG655478 LVV655478:LWC655478 MFR655478:MFY655478 MPN655478:MPU655478 MZJ655478:MZQ655478 NJF655478:NJM655478 NTB655478:NTI655478 OCX655478:ODE655478 OMT655478:ONA655478 OWP655478:OWW655478 PGL655478:PGS655478 PQH655478:PQO655478 QAD655478:QAK655478 QJZ655478:QKG655478 QTV655478:QUC655478 RDR655478:RDY655478 RNN655478:RNU655478 RXJ655478:RXQ655478 SHF655478:SHM655478 SRB655478:SRI655478 TAX655478:TBE655478 TKT655478:TLA655478 TUP655478:TUW655478 UEL655478:UES655478 UOH655478:UOO655478 UYD655478:UYK655478 VHZ655478:VIG655478 VRV655478:VSC655478 WBR655478:WBY655478 WLN655478:WLU655478 WVJ655478:WVQ655478 B721014:I721014 IX721014:JE721014 ST721014:TA721014 ACP721014:ACW721014 AML721014:AMS721014 AWH721014:AWO721014 BGD721014:BGK721014 BPZ721014:BQG721014 BZV721014:CAC721014 CJR721014:CJY721014 CTN721014:CTU721014 DDJ721014:DDQ721014 DNF721014:DNM721014 DXB721014:DXI721014 EGX721014:EHE721014 EQT721014:ERA721014 FAP721014:FAW721014 FKL721014:FKS721014 FUH721014:FUO721014 GED721014:GEK721014 GNZ721014:GOG721014 GXV721014:GYC721014 HHR721014:HHY721014 HRN721014:HRU721014 IBJ721014:IBQ721014 ILF721014:ILM721014 IVB721014:IVI721014 JEX721014:JFE721014 JOT721014:JPA721014 JYP721014:JYW721014 KIL721014:KIS721014 KSH721014:KSO721014 LCD721014:LCK721014 LLZ721014:LMG721014 LVV721014:LWC721014 MFR721014:MFY721014 MPN721014:MPU721014 MZJ721014:MZQ721014 NJF721014:NJM721014 NTB721014:NTI721014 OCX721014:ODE721014 OMT721014:ONA721014 OWP721014:OWW721014 PGL721014:PGS721014 PQH721014:PQO721014 QAD721014:QAK721014 QJZ721014:QKG721014 QTV721014:QUC721014 RDR721014:RDY721014 RNN721014:RNU721014 RXJ721014:RXQ721014 SHF721014:SHM721014 SRB721014:SRI721014 TAX721014:TBE721014 TKT721014:TLA721014 TUP721014:TUW721014 UEL721014:UES721014 UOH721014:UOO721014 UYD721014:UYK721014 VHZ721014:VIG721014 VRV721014:VSC721014 WBR721014:WBY721014 WLN721014:WLU721014 WVJ721014:WVQ721014 B786550:I786550 IX786550:JE786550 ST786550:TA786550 ACP786550:ACW786550 AML786550:AMS786550 AWH786550:AWO786550 BGD786550:BGK786550 BPZ786550:BQG786550 BZV786550:CAC786550 CJR786550:CJY786550 CTN786550:CTU786550 DDJ786550:DDQ786550 DNF786550:DNM786550 DXB786550:DXI786550 EGX786550:EHE786550 EQT786550:ERA786550 FAP786550:FAW786550 FKL786550:FKS786550 FUH786550:FUO786550 GED786550:GEK786550 GNZ786550:GOG786550 GXV786550:GYC786550 HHR786550:HHY786550 HRN786550:HRU786550 IBJ786550:IBQ786550 ILF786550:ILM786550 IVB786550:IVI786550 JEX786550:JFE786550 JOT786550:JPA786550 JYP786550:JYW786550 KIL786550:KIS786550 KSH786550:KSO786550 LCD786550:LCK786550 LLZ786550:LMG786550 LVV786550:LWC786550 MFR786550:MFY786550 MPN786550:MPU786550 MZJ786550:MZQ786550 NJF786550:NJM786550 NTB786550:NTI786550 OCX786550:ODE786550 OMT786550:ONA786550 OWP786550:OWW786550 PGL786550:PGS786550 PQH786550:PQO786550 QAD786550:QAK786550 QJZ786550:QKG786550 QTV786550:QUC786550 RDR786550:RDY786550 RNN786550:RNU786550 RXJ786550:RXQ786550 SHF786550:SHM786550 SRB786550:SRI786550 TAX786550:TBE786550 TKT786550:TLA786550 TUP786550:TUW786550 UEL786550:UES786550 UOH786550:UOO786550 UYD786550:UYK786550 VHZ786550:VIG786550 VRV786550:VSC786550 WBR786550:WBY786550 WLN786550:WLU786550 WVJ786550:WVQ786550 B852086:I852086 IX852086:JE852086 ST852086:TA852086 ACP852086:ACW852086 AML852086:AMS852086 AWH852086:AWO852086 BGD852086:BGK852086 BPZ852086:BQG852086 BZV852086:CAC852086 CJR852086:CJY852086 CTN852086:CTU852086 DDJ852086:DDQ852086 DNF852086:DNM852086 DXB852086:DXI852086 EGX852086:EHE852086 EQT852086:ERA852086 FAP852086:FAW852086 FKL852086:FKS852086 FUH852086:FUO852086 GED852086:GEK852086 GNZ852086:GOG852086 GXV852086:GYC852086 HHR852086:HHY852086 HRN852086:HRU852086 IBJ852086:IBQ852086 ILF852086:ILM852086 IVB852086:IVI852086 JEX852086:JFE852086 JOT852086:JPA852086 JYP852086:JYW852086 KIL852086:KIS852086 KSH852086:KSO852086 LCD852086:LCK852086 LLZ852086:LMG852086 LVV852086:LWC852086 MFR852086:MFY852086 MPN852086:MPU852086 MZJ852086:MZQ852086 NJF852086:NJM852086 NTB852086:NTI852086 OCX852086:ODE852086 OMT852086:ONA852086 OWP852086:OWW852086 PGL852086:PGS852086 PQH852086:PQO852086 QAD852086:QAK852086 QJZ852086:QKG852086 QTV852086:QUC852086 RDR852086:RDY852086 RNN852086:RNU852086 RXJ852086:RXQ852086 SHF852086:SHM852086 SRB852086:SRI852086 TAX852086:TBE852086 TKT852086:TLA852086 TUP852086:TUW852086 UEL852086:UES852086 UOH852086:UOO852086 UYD852086:UYK852086 VHZ852086:VIG852086 VRV852086:VSC852086 WBR852086:WBY852086 WLN852086:WLU852086 WVJ852086:WVQ852086 B917622:I917622 IX917622:JE917622 ST917622:TA917622 ACP917622:ACW917622 AML917622:AMS917622 AWH917622:AWO917622 BGD917622:BGK917622 BPZ917622:BQG917622 BZV917622:CAC917622 CJR917622:CJY917622 CTN917622:CTU917622 DDJ917622:DDQ917622 DNF917622:DNM917622 DXB917622:DXI917622 EGX917622:EHE917622 EQT917622:ERA917622 FAP917622:FAW917622 FKL917622:FKS917622 FUH917622:FUO917622 GED917622:GEK917622 GNZ917622:GOG917622 GXV917622:GYC917622 HHR917622:HHY917622 HRN917622:HRU917622 IBJ917622:IBQ917622 ILF917622:ILM917622 IVB917622:IVI917622 JEX917622:JFE917622 JOT917622:JPA917622 JYP917622:JYW917622 KIL917622:KIS917622 KSH917622:KSO917622 LCD917622:LCK917622 LLZ917622:LMG917622 LVV917622:LWC917622 MFR917622:MFY917622 MPN917622:MPU917622 MZJ917622:MZQ917622 NJF917622:NJM917622 NTB917622:NTI917622 OCX917622:ODE917622 OMT917622:ONA917622 OWP917622:OWW917622 PGL917622:PGS917622 PQH917622:PQO917622 QAD917622:QAK917622 QJZ917622:QKG917622 QTV917622:QUC917622 RDR917622:RDY917622 RNN917622:RNU917622 RXJ917622:RXQ917622 SHF917622:SHM917622 SRB917622:SRI917622 TAX917622:TBE917622 TKT917622:TLA917622 TUP917622:TUW917622 UEL917622:UES917622 UOH917622:UOO917622 UYD917622:UYK917622 VHZ917622:VIG917622 VRV917622:VSC917622 WBR917622:WBY917622 WLN917622:WLU917622 WVJ917622:WVQ917622 B983158:I983158 IX983158:JE983158 ST983158:TA983158 ACP983158:ACW983158 AML983158:AMS983158 AWH983158:AWO983158 BGD983158:BGK983158 BPZ983158:BQG983158 BZV983158:CAC983158 CJR983158:CJY983158 CTN983158:CTU983158 DDJ983158:DDQ983158 DNF983158:DNM983158 DXB983158:DXI983158 EGX983158:EHE983158 EQT983158:ERA983158 FAP983158:FAW983158 FKL983158:FKS983158 FUH983158:FUO983158 GED983158:GEK983158 GNZ983158:GOG983158 GXV983158:GYC983158 HHR983158:HHY983158 HRN983158:HRU983158 IBJ983158:IBQ983158 ILF983158:ILM983158 IVB983158:IVI983158 JEX983158:JFE983158 JOT983158:JPA983158 JYP983158:JYW983158 KIL983158:KIS983158 KSH983158:KSO983158 LCD983158:LCK983158 LLZ983158:LMG983158 LVV983158:LWC983158 MFR983158:MFY983158 MPN983158:MPU983158 MZJ983158:MZQ983158 NJF983158:NJM983158 NTB983158:NTI983158 OCX983158:ODE983158 OMT983158:ONA983158 OWP983158:OWW983158 PGL983158:PGS983158 PQH983158:PQO983158 QAD983158:QAK983158 QJZ983158:QKG983158 QTV983158:QUC983158 RDR983158:RDY983158 RNN983158:RNU983158 RXJ983158:RXQ983158 SHF983158:SHM983158 SRB983158:SRI983158 TAX983158:TBE983158 TKT983158:TLA983158 TUP983158:TUW983158 UEL983158:UES983158 UOH983158:UOO983158 UYD983158:UYK983158 VHZ983158:VIG983158 VRV983158:VSC983158 WBR983158:WBY983158 WLN983158:WLU983158 WVJ983158:WVQ983158">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653:I65653 IX65653:JE65653 ST65653:TA65653 ACP65653:ACW65653 AML65653:AMS65653 AWH65653:AWO65653 BGD65653:BGK65653 BPZ65653:BQG65653 BZV65653:CAC65653 CJR65653:CJY65653 CTN65653:CTU65653 DDJ65653:DDQ65653 DNF65653:DNM65653 DXB65653:DXI65653 EGX65653:EHE65653 EQT65653:ERA65653 FAP65653:FAW65653 FKL65653:FKS65653 FUH65653:FUO65653 GED65653:GEK65653 GNZ65653:GOG65653 GXV65653:GYC65653 HHR65653:HHY65653 HRN65653:HRU65653 IBJ65653:IBQ65653 ILF65653:ILM65653 IVB65653:IVI65653 JEX65653:JFE65653 JOT65653:JPA65653 JYP65653:JYW65653 KIL65653:KIS65653 KSH65653:KSO65653 LCD65653:LCK65653 LLZ65653:LMG65653 LVV65653:LWC65653 MFR65653:MFY65653 MPN65653:MPU65653 MZJ65653:MZQ65653 NJF65653:NJM65653 NTB65653:NTI65653 OCX65653:ODE65653 OMT65653:ONA65653 OWP65653:OWW65653 PGL65653:PGS65653 PQH65653:PQO65653 QAD65653:QAK65653 QJZ65653:QKG65653 QTV65653:QUC65653 RDR65653:RDY65653 RNN65653:RNU65653 RXJ65653:RXQ65653 SHF65653:SHM65653 SRB65653:SRI65653 TAX65653:TBE65653 TKT65653:TLA65653 TUP65653:TUW65653 UEL65653:UES65653 UOH65653:UOO65653 UYD65653:UYK65653 VHZ65653:VIG65653 VRV65653:VSC65653 WBR65653:WBY65653 WLN65653:WLU65653 WVJ65653:WVQ65653 B131189:I131189 IX131189:JE131189 ST131189:TA131189 ACP131189:ACW131189 AML131189:AMS131189 AWH131189:AWO131189 BGD131189:BGK131189 BPZ131189:BQG131189 BZV131189:CAC131189 CJR131189:CJY131189 CTN131189:CTU131189 DDJ131189:DDQ131189 DNF131189:DNM131189 DXB131189:DXI131189 EGX131189:EHE131189 EQT131189:ERA131189 FAP131189:FAW131189 FKL131189:FKS131189 FUH131189:FUO131189 GED131189:GEK131189 GNZ131189:GOG131189 GXV131189:GYC131189 HHR131189:HHY131189 HRN131189:HRU131189 IBJ131189:IBQ131189 ILF131189:ILM131189 IVB131189:IVI131189 JEX131189:JFE131189 JOT131189:JPA131189 JYP131189:JYW131189 KIL131189:KIS131189 KSH131189:KSO131189 LCD131189:LCK131189 LLZ131189:LMG131189 LVV131189:LWC131189 MFR131189:MFY131189 MPN131189:MPU131189 MZJ131189:MZQ131189 NJF131189:NJM131189 NTB131189:NTI131189 OCX131189:ODE131189 OMT131189:ONA131189 OWP131189:OWW131189 PGL131189:PGS131189 PQH131189:PQO131189 QAD131189:QAK131189 QJZ131189:QKG131189 QTV131189:QUC131189 RDR131189:RDY131189 RNN131189:RNU131189 RXJ131189:RXQ131189 SHF131189:SHM131189 SRB131189:SRI131189 TAX131189:TBE131189 TKT131189:TLA131189 TUP131189:TUW131189 UEL131189:UES131189 UOH131189:UOO131189 UYD131189:UYK131189 VHZ131189:VIG131189 VRV131189:VSC131189 WBR131189:WBY131189 WLN131189:WLU131189 WVJ131189:WVQ131189 B196725:I196725 IX196725:JE196725 ST196725:TA196725 ACP196725:ACW196725 AML196725:AMS196725 AWH196725:AWO196725 BGD196725:BGK196725 BPZ196725:BQG196725 BZV196725:CAC196725 CJR196725:CJY196725 CTN196725:CTU196725 DDJ196725:DDQ196725 DNF196725:DNM196725 DXB196725:DXI196725 EGX196725:EHE196725 EQT196725:ERA196725 FAP196725:FAW196725 FKL196725:FKS196725 FUH196725:FUO196725 GED196725:GEK196725 GNZ196725:GOG196725 GXV196725:GYC196725 HHR196725:HHY196725 HRN196725:HRU196725 IBJ196725:IBQ196725 ILF196725:ILM196725 IVB196725:IVI196725 JEX196725:JFE196725 JOT196725:JPA196725 JYP196725:JYW196725 KIL196725:KIS196725 KSH196725:KSO196725 LCD196725:LCK196725 LLZ196725:LMG196725 LVV196725:LWC196725 MFR196725:MFY196725 MPN196725:MPU196725 MZJ196725:MZQ196725 NJF196725:NJM196725 NTB196725:NTI196725 OCX196725:ODE196725 OMT196725:ONA196725 OWP196725:OWW196725 PGL196725:PGS196725 PQH196725:PQO196725 QAD196725:QAK196725 QJZ196725:QKG196725 QTV196725:QUC196725 RDR196725:RDY196725 RNN196725:RNU196725 RXJ196725:RXQ196725 SHF196725:SHM196725 SRB196725:SRI196725 TAX196725:TBE196725 TKT196725:TLA196725 TUP196725:TUW196725 UEL196725:UES196725 UOH196725:UOO196725 UYD196725:UYK196725 VHZ196725:VIG196725 VRV196725:VSC196725 WBR196725:WBY196725 WLN196725:WLU196725 WVJ196725:WVQ196725 B262261:I262261 IX262261:JE262261 ST262261:TA262261 ACP262261:ACW262261 AML262261:AMS262261 AWH262261:AWO262261 BGD262261:BGK262261 BPZ262261:BQG262261 BZV262261:CAC262261 CJR262261:CJY262261 CTN262261:CTU262261 DDJ262261:DDQ262261 DNF262261:DNM262261 DXB262261:DXI262261 EGX262261:EHE262261 EQT262261:ERA262261 FAP262261:FAW262261 FKL262261:FKS262261 FUH262261:FUO262261 GED262261:GEK262261 GNZ262261:GOG262261 GXV262261:GYC262261 HHR262261:HHY262261 HRN262261:HRU262261 IBJ262261:IBQ262261 ILF262261:ILM262261 IVB262261:IVI262261 JEX262261:JFE262261 JOT262261:JPA262261 JYP262261:JYW262261 KIL262261:KIS262261 KSH262261:KSO262261 LCD262261:LCK262261 LLZ262261:LMG262261 LVV262261:LWC262261 MFR262261:MFY262261 MPN262261:MPU262261 MZJ262261:MZQ262261 NJF262261:NJM262261 NTB262261:NTI262261 OCX262261:ODE262261 OMT262261:ONA262261 OWP262261:OWW262261 PGL262261:PGS262261 PQH262261:PQO262261 QAD262261:QAK262261 QJZ262261:QKG262261 QTV262261:QUC262261 RDR262261:RDY262261 RNN262261:RNU262261 RXJ262261:RXQ262261 SHF262261:SHM262261 SRB262261:SRI262261 TAX262261:TBE262261 TKT262261:TLA262261 TUP262261:TUW262261 UEL262261:UES262261 UOH262261:UOO262261 UYD262261:UYK262261 VHZ262261:VIG262261 VRV262261:VSC262261 WBR262261:WBY262261 WLN262261:WLU262261 WVJ262261:WVQ262261 B327797:I327797 IX327797:JE327797 ST327797:TA327797 ACP327797:ACW327797 AML327797:AMS327797 AWH327797:AWO327797 BGD327797:BGK327797 BPZ327797:BQG327797 BZV327797:CAC327797 CJR327797:CJY327797 CTN327797:CTU327797 DDJ327797:DDQ327797 DNF327797:DNM327797 DXB327797:DXI327797 EGX327797:EHE327797 EQT327797:ERA327797 FAP327797:FAW327797 FKL327797:FKS327797 FUH327797:FUO327797 GED327797:GEK327797 GNZ327797:GOG327797 GXV327797:GYC327797 HHR327797:HHY327797 HRN327797:HRU327797 IBJ327797:IBQ327797 ILF327797:ILM327797 IVB327797:IVI327797 JEX327797:JFE327797 JOT327797:JPA327797 JYP327797:JYW327797 KIL327797:KIS327797 KSH327797:KSO327797 LCD327797:LCK327797 LLZ327797:LMG327797 LVV327797:LWC327797 MFR327797:MFY327797 MPN327797:MPU327797 MZJ327797:MZQ327797 NJF327797:NJM327797 NTB327797:NTI327797 OCX327797:ODE327797 OMT327797:ONA327797 OWP327797:OWW327797 PGL327797:PGS327797 PQH327797:PQO327797 QAD327797:QAK327797 QJZ327797:QKG327797 QTV327797:QUC327797 RDR327797:RDY327797 RNN327797:RNU327797 RXJ327797:RXQ327797 SHF327797:SHM327797 SRB327797:SRI327797 TAX327797:TBE327797 TKT327797:TLA327797 TUP327797:TUW327797 UEL327797:UES327797 UOH327797:UOO327797 UYD327797:UYK327797 VHZ327797:VIG327797 VRV327797:VSC327797 WBR327797:WBY327797 WLN327797:WLU327797 WVJ327797:WVQ327797 B393333:I393333 IX393333:JE393333 ST393333:TA393333 ACP393333:ACW393333 AML393333:AMS393333 AWH393333:AWO393333 BGD393333:BGK393333 BPZ393333:BQG393333 BZV393333:CAC393333 CJR393333:CJY393333 CTN393333:CTU393333 DDJ393333:DDQ393333 DNF393333:DNM393333 DXB393333:DXI393333 EGX393333:EHE393333 EQT393333:ERA393333 FAP393333:FAW393333 FKL393333:FKS393333 FUH393333:FUO393333 GED393333:GEK393333 GNZ393333:GOG393333 GXV393333:GYC393333 HHR393333:HHY393333 HRN393333:HRU393333 IBJ393333:IBQ393333 ILF393333:ILM393333 IVB393333:IVI393333 JEX393333:JFE393333 JOT393333:JPA393333 JYP393333:JYW393333 KIL393333:KIS393333 KSH393333:KSO393333 LCD393333:LCK393333 LLZ393333:LMG393333 LVV393333:LWC393333 MFR393333:MFY393333 MPN393333:MPU393333 MZJ393333:MZQ393333 NJF393333:NJM393333 NTB393333:NTI393333 OCX393333:ODE393333 OMT393333:ONA393333 OWP393333:OWW393333 PGL393333:PGS393333 PQH393333:PQO393333 QAD393333:QAK393333 QJZ393333:QKG393333 QTV393333:QUC393333 RDR393333:RDY393333 RNN393333:RNU393333 RXJ393333:RXQ393333 SHF393333:SHM393333 SRB393333:SRI393333 TAX393333:TBE393333 TKT393333:TLA393333 TUP393333:TUW393333 UEL393333:UES393333 UOH393333:UOO393333 UYD393333:UYK393333 VHZ393333:VIG393333 VRV393333:VSC393333 WBR393333:WBY393333 WLN393333:WLU393333 WVJ393333:WVQ393333 B458869:I458869 IX458869:JE458869 ST458869:TA458869 ACP458869:ACW458869 AML458869:AMS458869 AWH458869:AWO458869 BGD458869:BGK458869 BPZ458869:BQG458869 BZV458869:CAC458869 CJR458869:CJY458869 CTN458869:CTU458869 DDJ458869:DDQ458869 DNF458869:DNM458869 DXB458869:DXI458869 EGX458869:EHE458869 EQT458869:ERA458869 FAP458869:FAW458869 FKL458869:FKS458869 FUH458869:FUO458869 GED458869:GEK458869 GNZ458869:GOG458869 GXV458869:GYC458869 HHR458869:HHY458869 HRN458869:HRU458869 IBJ458869:IBQ458869 ILF458869:ILM458869 IVB458869:IVI458869 JEX458869:JFE458869 JOT458869:JPA458869 JYP458869:JYW458869 KIL458869:KIS458869 KSH458869:KSO458869 LCD458869:LCK458869 LLZ458869:LMG458869 LVV458869:LWC458869 MFR458869:MFY458869 MPN458869:MPU458869 MZJ458869:MZQ458869 NJF458869:NJM458869 NTB458869:NTI458869 OCX458869:ODE458869 OMT458869:ONA458869 OWP458869:OWW458869 PGL458869:PGS458869 PQH458869:PQO458869 QAD458869:QAK458869 QJZ458869:QKG458869 QTV458869:QUC458869 RDR458869:RDY458869 RNN458869:RNU458869 RXJ458869:RXQ458869 SHF458869:SHM458869 SRB458869:SRI458869 TAX458869:TBE458869 TKT458869:TLA458869 TUP458869:TUW458869 UEL458869:UES458869 UOH458869:UOO458869 UYD458869:UYK458869 VHZ458869:VIG458869 VRV458869:VSC458869 WBR458869:WBY458869 WLN458869:WLU458869 WVJ458869:WVQ458869 B524405:I524405 IX524405:JE524405 ST524405:TA524405 ACP524405:ACW524405 AML524405:AMS524405 AWH524405:AWO524405 BGD524405:BGK524405 BPZ524405:BQG524405 BZV524405:CAC524405 CJR524405:CJY524405 CTN524405:CTU524405 DDJ524405:DDQ524405 DNF524405:DNM524405 DXB524405:DXI524405 EGX524405:EHE524405 EQT524405:ERA524405 FAP524405:FAW524405 FKL524405:FKS524405 FUH524405:FUO524405 GED524405:GEK524405 GNZ524405:GOG524405 GXV524405:GYC524405 HHR524405:HHY524405 HRN524405:HRU524405 IBJ524405:IBQ524405 ILF524405:ILM524405 IVB524405:IVI524405 JEX524405:JFE524405 JOT524405:JPA524405 JYP524405:JYW524405 KIL524405:KIS524405 KSH524405:KSO524405 LCD524405:LCK524405 LLZ524405:LMG524405 LVV524405:LWC524405 MFR524405:MFY524405 MPN524405:MPU524405 MZJ524405:MZQ524405 NJF524405:NJM524405 NTB524405:NTI524405 OCX524405:ODE524405 OMT524405:ONA524405 OWP524405:OWW524405 PGL524405:PGS524405 PQH524405:PQO524405 QAD524405:QAK524405 QJZ524405:QKG524405 QTV524405:QUC524405 RDR524405:RDY524405 RNN524405:RNU524405 RXJ524405:RXQ524405 SHF524405:SHM524405 SRB524405:SRI524405 TAX524405:TBE524405 TKT524405:TLA524405 TUP524405:TUW524405 UEL524405:UES524405 UOH524405:UOO524405 UYD524405:UYK524405 VHZ524405:VIG524405 VRV524405:VSC524405 WBR524405:WBY524405 WLN524405:WLU524405 WVJ524405:WVQ524405 B589941:I589941 IX589941:JE589941 ST589941:TA589941 ACP589941:ACW589941 AML589941:AMS589941 AWH589941:AWO589941 BGD589941:BGK589941 BPZ589941:BQG589941 BZV589941:CAC589941 CJR589941:CJY589941 CTN589941:CTU589941 DDJ589941:DDQ589941 DNF589941:DNM589941 DXB589941:DXI589941 EGX589941:EHE589941 EQT589941:ERA589941 FAP589941:FAW589941 FKL589941:FKS589941 FUH589941:FUO589941 GED589941:GEK589941 GNZ589941:GOG589941 GXV589941:GYC589941 HHR589941:HHY589941 HRN589941:HRU589941 IBJ589941:IBQ589941 ILF589941:ILM589941 IVB589941:IVI589941 JEX589941:JFE589941 JOT589941:JPA589941 JYP589941:JYW589941 KIL589941:KIS589941 KSH589941:KSO589941 LCD589941:LCK589941 LLZ589941:LMG589941 LVV589941:LWC589941 MFR589941:MFY589941 MPN589941:MPU589941 MZJ589941:MZQ589941 NJF589941:NJM589941 NTB589941:NTI589941 OCX589941:ODE589941 OMT589941:ONA589941 OWP589941:OWW589941 PGL589941:PGS589941 PQH589941:PQO589941 QAD589941:QAK589941 QJZ589941:QKG589941 QTV589941:QUC589941 RDR589941:RDY589941 RNN589941:RNU589941 RXJ589941:RXQ589941 SHF589941:SHM589941 SRB589941:SRI589941 TAX589941:TBE589941 TKT589941:TLA589941 TUP589941:TUW589941 UEL589941:UES589941 UOH589941:UOO589941 UYD589941:UYK589941 VHZ589941:VIG589941 VRV589941:VSC589941 WBR589941:WBY589941 WLN589941:WLU589941 WVJ589941:WVQ589941 B655477:I655477 IX655477:JE655477 ST655477:TA655477 ACP655477:ACW655477 AML655477:AMS655477 AWH655477:AWO655477 BGD655477:BGK655477 BPZ655477:BQG655477 BZV655477:CAC655477 CJR655477:CJY655477 CTN655477:CTU655477 DDJ655477:DDQ655477 DNF655477:DNM655477 DXB655477:DXI655477 EGX655477:EHE655477 EQT655477:ERA655477 FAP655477:FAW655477 FKL655477:FKS655477 FUH655477:FUO655477 GED655477:GEK655477 GNZ655477:GOG655477 GXV655477:GYC655477 HHR655477:HHY655477 HRN655477:HRU655477 IBJ655477:IBQ655477 ILF655477:ILM655477 IVB655477:IVI655477 JEX655477:JFE655477 JOT655477:JPA655477 JYP655477:JYW655477 KIL655477:KIS655477 KSH655477:KSO655477 LCD655477:LCK655477 LLZ655477:LMG655477 LVV655477:LWC655477 MFR655477:MFY655477 MPN655477:MPU655477 MZJ655477:MZQ655477 NJF655477:NJM655477 NTB655477:NTI655477 OCX655477:ODE655477 OMT655477:ONA655477 OWP655477:OWW655477 PGL655477:PGS655477 PQH655477:PQO655477 QAD655477:QAK655477 QJZ655477:QKG655477 QTV655477:QUC655477 RDR655477:RDY655477 RNN655477:RNU655477 RXJ655477:RXQ655477 SHF655477:SHM655477 SRB655477:SRI655477 TAX655477:TBE655477 TKT655477:TLA655477 TUP655477:TUW655477 UEL655477:UES655477 UOH655477:UOO655477 UYD655477:UYK655477 VHZ655477:VIG655477 VRV655477:VSC655477 WBR655477:WBY655477 WLN655477:WLU655477 WVJ655477:WVQ655477 B721013:I721013 IX721013:JE721013 ST721013:TA721013 ACP721013:ACW721013 AML721013:AMS721013 AWH721013:AWO721013 BGD721013:BGK721013 BPZ721013:BQG721013 BZV721013:CAC721013 CJR721013:CJY721013 CTN721013:CTU721013 DDJ721013:DDQ721013 DNF721013:DNM721013 DXB721013:DXI721013 EGX721013:EHE721013 EQT721013:ERA721013 FAP721013:FAW721013 FKL721013:FKS721013 FUH721013:FUO721013 GED721013:GEK721013 GNZ721013:GOG721013 GXV721013:GYC721013 HHR721013:HHY721013 HRN721013:HRU721013 IBJ721013:IBQ721013 ILF721013:ILM721013 IVB721013:IVI721013 JEX721013:JFE721013 JOT721013:JPA721013 JYP721013:JYW721013 KIL721013:KIS721013 KSH721013:KSO721013 LCD721013:LCK721013 LLZ721013:LMG721013 LVV721013:LWC721013 MFR721013:MFY721013 MPN721013:MPU721013 MZJ721013:MZQ721013 NJF721013:NJM721013 NTB721013:NTI721013 OCX721013:ODE721013 OMT721013:ONA721013 OWP721013:OWW721013 PGL721013:PGS721013 PQH721013:PQO721013 QAD721013:QAK721013 QJZ721013:QKG721013 QTV721013:QUC721013 RDR721013:RDY721013 RNN721013:RNU721013 RXJ721013:RXQ721013 SHF721013:SHM721013 SRB721013:SRI721013 TAX721013:TBE721013 TKT721013:TLA721013 TUP721013:TUW721013 UEL721013:UES721013 UOH721013:UOO721013 UYD721013:UYK721013 VHZ721013:VIG721013 VRV721013:VSC721013 WBR721013:WBY721013 WLN721013:WLU721013 WVJ721013:WVQ721013 B786549:I786549 IX786549:JE786549 ST786549:TA786549 ACP786549:ACW786549 AML786549:AMS786549 AWH786549:AWO786549 BGD786549:BGK786549 BPZ786549:BQG786549 BZV786549:CAC786549 CJR786549:CJY786549 CTN786549:CTU786549 DDJ786549:DDQ786549 DNF786549:DNM786549 DXB786549:DXI786549 EGX786549:EHE786549 EQT786549:ERA786549 FAP786549:FAW786549 FKL786549:FKS786549 FUH786549:FUO786549 GED786549:GEK786549 GNZ786549:GOG786549 GXV786549:GYC786549 HHR786549:HHY786549 HRN786549:HRU786549 IBJ786549:IBQ786549 ILF786549:ILM786549 IVB786549:IVI786549 JEX786549:JFE786549 JOT786549:JPA786549 JYP786549:JYW786549 KIL786549:KIS786549 KSH786549:KSO786549 LCD786549:LCK786549 LLZ786549:LMG786549 LVV786549:LWC786549 MFR786549:MFY786549 MPN786549:MPU786549 MZJ786549:MZQ786549 NJF786549:NJM786549 NTB786549:NTI786549 OCX786549:ODE786549 OMT786549:ONA786549 OWP786549:OWW786549 PGL786549:PGS786549 PQH786549:PQO786549 QAD786549:QAK786549 QJZ786549:QKG786549 QTV786549:QUC786549 RDR786549:RDY786549 RNN786549:RNU786549 RXJ786549:RXQ786549 SHF786549:SHM786549 SRB786549:SRI786549 TAX786549:TBE786549 TKT786549:TLA786549 TUP786549:TUW786549 UEL786549:UES786549 UOH786549:UOO786549 UYD786549:UYK786549 VHZ786549:VIG786549 VRV786549:VSC786549 WBR786549:WBY786549 WLN786549:WLU786549 WVJ786549:WVQ786549 B852085:I852085 IX852085:JE852085 ST852085:TA852085 ACP852085:ACW852085 AML852085:AMS852085 AWH852085:AWO852085 BGD852085:BGK852085 BPZ852085:BQG852085 BZV852085:CAC852085 CJR852085:CJY852085 CTN852085:CTU852085 DDJ852085:DDQ852085 DNF852085:DNM852085 DXB852085:DXI852085 EGX852085:EHE852085 EQT852085:ERA852085 FAP852085:FAW852085 FKL852085:FKS852085 FUH852085:FUO852085 GED852085:GEK852085 GNZ852085:GOG852085 GXV852085:GYC852085 HHR852085:HHY852085 HRN852085:HRU852085 IBJ852085:IBQ852085 ILF852085:ILM852085 IVB852085:IVI852085 JEX852085:JFE852085 JOT852085:JPA852085 JYP852085:JYW852085 KIL852085:KIS852085 KSH852085:KSO852085 LCD852085:LCK852085 LLZ852085:LMG852085 LVV852085:LWC852085 MFR852085:MFY852085 MPN852085:MPU852085 MZJ852085:MZQ852085 NJF852085:NJM852085 NTB852085:NTI852085 OCX852085:ODE852085 OMT852085:ONA852085 OWP852085:OWW852085 PGL852085:PGS852085 PQH852085:PQO852085 QAD852085:QAK852085 QJZ852085:QKG852085 QTV852085:QUC852085 RDR852085:RDY852085 RNN852085:RNU852085 RXJ852085:RXQ852085 SHF852085:SHM852085 SRB852085:SRI852085 TAX852085:TBE852085 TKT852085:TLA852085 TUP852085:TUW852085 UEL852085:UES852085 UOH852085:UOO852085 UYD852085:UYK852085 VHZ852085:VIG852085 VRV852085:VSC852085 WBR852085:WBY852085 WLN852085:WLU852085 WVJ852085:WVQ852085 B917621:I917621 IX917621:JE917621 ST917621:TA917621 ACP917621:ACW917621 AML917621:AMS917621 AWH917621:AWO917621 BGD917621:BGK917621 BPZ917621:BQG917621 BZV917621:CAC917621 CJR917621:CJY917621 CTN917621:CTU917621 DDJ917621:DDQ917621 DNF917621:DNM917621 DXB917621:DXI917621 EGX917621:EHE917621 EQT917621:ERA917621 FAP917621:FAW917621 FKL917621:FKS917621 FUH917621:FUO917621 GED917621:GEK917621 GNZ917621:GOG917621 GXV917621:GYC917621 HHR917621:HHY917621 HRN917621:HRU917621 IBJ917621:IBQ917621 ILF917621:ILM917621 IVB917621:IVI917621 JEX917621:JFE917621 JOT917621:JPA917621 JYP917621:JYW917621 KIL917621:KIS917621 KSH917621:KSO917621 LCD917621:LCK917621 LLZ917621:LMG917621 LVV917621:LWC917621 MFR917621:MFY917621 MPN917621:MPU917621 MZJ917621:MZQ917621 NJF917621:NJM917621 NTB917621:NTI917621 OCX917621:ODE917621 OMT917621:ONA917621 OWP917621:OWW917621 PGL917621:PGS917621 PQH917621:PQO917621 QAD917621:QAK917621 QJZ917621:QKG917621 QTV917621:QUC917621 RDR917621:RDY917621 RNN917621:RNU917621 RXJ917621:RXQ917621 SHF917621:SHM917621 SRB917621:SRI917621 TAX917621:TBE917621 TKT917621:TLA917621 TUP917621:TUW917621 UEL917621:UES917621 UOH917621:UOO917621 UYD917621:UYK917621 VHZ917621:VIG917621 VRV917621:VSC917621 WBR917621:WBY917621 WLN917621:WLU917621 WVJ917621:WVQ917621 B983157:I983157 IX983157:JE983157 ST983157:TA983157 ACP983157:ACW983157 AML983157:AMS983157 AWH983157:AWO983157 BGD983157:BGK983157 BPZ983157:BQG983157 BZV983157:CAC983157 CJR983157:CJY983157 CTN983157:CTU983157 DDJ983157:DDQ983157 DNF983157:DNM983157 DXB983157:DXI983157 EGX983157:EHE983157 EQT983157:ERA983157 FAP983157:FAW983157 FKL983157:FKS983157 FUH983157:FUO983157 GED983157:GEK983157 GNZ983157:GOG983157 GXV983157:GYC983157 HHR983157:HHY983157 HRN983157:HRU983157 IBJ983157:IBQ983157 ILF983157:ILM983157 IVB983157:IVI983157 JEX983157:JFE983157 JOT983157:JPA983157 JYP983157:JYW983157 KIL983157:KIS983157 KSH983157:KSO983157 LCD983157:LCK983157 LLZ983157:LMG983157 LVV983157:LWC983157 MFR983157:MFY983157 MPN983157:MPU983157 MZJ983157:MZQ983157 NJF983157:NJM983157 NTB983157:NTI983157 OCX983157:ODE983157 OMT983157:ONA983157 OWP983157:OWW983157 PGL983157:PGS983157 PQH983157:PQO983157 QAD983157:QAK983157 QJZ983157:QKG983157 QTV983157:QUC983157 RDR983157:RDY983157 RNN983157:RNU983157 RXJ983157:RXQ983157 SHF983157:SHM983157 SRB983157:SRI983157 TAX983157:TBE983157 TKT983157:TLA983157 TUP983157:TUW983157 UEL983157:UES983157 UOH983157:UOO983157 UYD983157:UYK983157 VHZ983157:VIG983157 VRV983157:VSC983157 WBR983157:WBY983157 WLN983157:WLU983157 WVJ983157:WVQ983157">
      <formula1>$K$223:$K$228</formula1>
    </dataValidation>
    <dataValidation type="list" allowBlank="1" showInputMessage="1" showErrorMessage="1" error="Please Select fromt he drop-down list." promptTitle="Data Type" prompt="Please select DateTime, Number or Text from the drop-down list." sqref="C223:C435 IY223:IY435 SU223:SU435 ACQ223:ACQ435 AMM223:AMM435 AWI223:AWI435 BGE223:BGE435 BQA223:BQA435 BZW223:BZW435 CJS223:CJS435 CTO223:CTO435 DDK223:DDK435 DNG223:DNG435 DXC223:DXC435 EGY223:EGY435 EQU223:EQU435 FAQ223:FAQ435 FKM223:FKM435 FUI223:FUI435 GEE223:GEE435 GOA223:GOA435 GXW223:GXW435 HHS223:HHS435 HRO223:HRO435 IBK223:IBK435 ILG223:ILG435 IVC223:IVC435 JEY223:JEY435 JOU223:JOU435 JYQ223:JYQ435 KIM223:KIM435 KSI223:KSI435 LCE223:LCE435 LMA223:LMA435 LVW223:LVW435 MFS223:MFS435 MPO223:MPO435 MZK223:MZK435 NJG223:NJG435 NTC223:NTC435 OCY223:OCY435 OMU223:OMU435 OWQ223:OWQ435 PGM223:PGM435 PQI223:PQI435 QAE223:QAE435 QKA223:QKA435 QTW223:QTW435 RDS223:RDS435 RNO223:RNO435 RXK223:RXK435 SHG223:SHG435 SRC223:SRC435 TAY223:TAY435 TKU223:TKU435 TUQ223:TUQ435 UEM223:UEM435 UOI223:UOI435 UYE223:UYE435 VIA223:VIA435 VRW223:VRW435 WBS223:WBS435 WLO223:WLO435 WVK223:WVK435 C65759:C65971 IY65759:IY65971 SU65759:SU65971 ACQ65759:ACQ65971 AMM65759:AMM65971 AWI65759:AWI65971 BGE65759:BGE65971 BQA65759:BQA65971 BZW65759:BZW65971 CJS65759:CJS65971 CTO65759:CTO65971 DDK65759:DDK65971 DNG65759:DNG65971 DXC65759:DXC65971 EGY65759:EGY65971 EQU65759:EQU65971 FAQ65759:FAQ65971 FKM65759:FKM65971 FUI65759:FUI65971 GEE65759:GEE65971 GOA65759:GOA65971 GXW65759:GXW65971 HHS65759:HHS65971 HRO65759:HRO65971 IBK65759:IBK65971 ILG65759:ILG65971 IVC65759:IVC65971 JEY65759:JEY65971 JOU65759:JOU65971 JYQ65759:JYQ65971 KIM65759:KIM65971 KSI65759:KSI65971 LCE65759:LCE65971 LMA65759:LMA65971 LVW65759:LVW65971 MFS65759:MFS65971 MPO65759:MPO65971 MZK65759:MZK65971 NJG65759:NJG65971 NTC65759:NTC65971 OCY65759:OCY65971 OMU65759:OMU65971 OWQ65759:OWQ65971 PGM65759:PGM65971 PQI65759:PQI65971 QAE65759:QAE65971 QKA65759:QKA65971 QTW65759:QTW65971 RDS65759:RDS65971 RNO65759:RNO65971 RXK65759:RXK65971 SHG65759:SHG65971 SRC65759:SRC65971 TAY65759:TAY65971 TKU65759:TKU65971 TUQ65759:TUQ65971 UEM65759:UEM65971 UOI65759:UOI65971 UYE65759:UYE65971 VIA65759:VIA65971 VRW65759:VRW65971 WBS65759:WBS65971 WLO65759:WLO65971 WVK65759:WVK65971 C131295:C131507 IY131295:IY131507 SU131295:SU131507 ACQ131295:ACQ131507 AMM131295:AMM131507 AWI131295:AWI131507 BGE131295:BGE131507 BQA131295:BQA131507 BZW131295:BZW131507 CJS131295:CJS131507 CTO131295:CTO131507 DDK131295:DDK131507 DNG131295:DNG131507 DXC131295:DXC131507 EGY131295:EGY131507 EQU131295:EQU131507 FAQ131295:FAQ131507 FKM131295:FKM131507 FUI131295:FUI131507 GEE131295:GEE131507 GOA131295:GOA131507 GXW131295:GXW131507 HHS131295:HHS131507 HRO131295:HRO131507 IBK131295:IBK131507 ILG131295:ILG131507 IVC131295:IVC131507 JEY131295:JEY131507 JOU131295:JOU131507 JYQ131295:JYQ131507 KIM131295:KIM131507 KSI131295:KSI131507 LCE131295:LCE131507 LMA131295:LMA131507 LVW131295:LVW131507 MFS131295:MFS131507 MPO131295:MPO131507 MZK131295:MZK131507 NJG131295:NJG131507 NTC131295:NTC131507 OCY131295:OCY131507 OMU131295:OMU131507 OWQ131295:OWQ131507 PGM131295:PGM131507 PQI131295:PQI131507 QAE131295:QAE131507 QKA131295:QKA131507 QTW131295:QTW131507 RDS131295:RDS131507 RNO131295:RNO131507 RXK131295:RXK131507 SHG131295:SHG131507 SRC131295:SRC131507 TAY131295:TAY131507 TKU131295:TKU131507 TUQ131295:TUQ131507 UEM131295:UEM131507 UOI131295:UOI131507 UYE131295:UYE131507 VIA131295:VIA131507 VRW131295:VRW131507 WBS131295:WBS131507 WLO131295:WLO131507 WVK131295:WVK131507 C196831:C197043 IY196831:IY197043 SU196831:SU197043 ACQ196831:ACQ197043 AMM196831:AMM197043 AWI196831:AWI197043 BGE196831:BGE197043 BQA196831:BQA197043 BZW196831:BZW197043 CJS196831:CJS197043 CTO196831:CTO197043 DDK196831:DDK197043 DNG196831:DNG197043 DXC196831:DXC197043 EGY196831:EGY197043 EQU196831:EQU197043 FAQ196831:FAQ197043 FKM196831:FKM197043 FUI196831:FUI197043 GEE196831:GEE197043 GOA196831:GOA197043 GXW196831:GXW197043 HHS196831:HHS197043 HRO196831:HRO197043 IBK196831:IBK197043 ILG196831:ILG197043 IVC196831:IVC197043 JEY196831:JEY197043 JOU196831:JOU197043 JYQ196831:JYQ197043 KIM196831:KIM197043 KSI196831:KSI197043 LCE196831:LCE197043 LMA196831:LMA197043 LVW196831:LVW197043 MFS196831:MFS197043 MPO196831:MPO197043 MZK196831:MZK197043 NJG196831:NJG197043 NTC196831:NTC197043 OCY196831:OCY197043 OMU196831:OMU197043 OWQ196831:OWQ197043 PGM196831:PGM197043 PQI196831:PQI197043 QAE196831:QAE197043 QKA196831:QKA197043 QTW196831:QTW197043 RDS196831:RDS197043 RNO196831:RNO197043 RXK196831:RXK197043 SHG196831:SHG197043 SRC196831:SRC197043 TAY196831:TAY197043 TKU196831:TKU197043 TUQ196831:TUQ197043 UEM196831:UEM197043 UOI196831:UOI197043 UYE196831:UYE197043 VIA196831:VIA197043 VRW196831:VRW197043 WBS196831:WBS197043 WLO196831:WLO197043 WVK196831:WVK197043 C262367:C262579 IY262367:IY262579 SU262367:SU262579 ACQ262367:ACQ262579 AMM262367:AMM262579 AWI262367:AWI262579 BGE262367:BGE262579 BQA262367:BQA262579 BZW262367:BZW262579 CJS262367:CJS262579 CTO262367:CTO262579 DDK262367:DDK262579 DNG262367:DNG262579 DXC262367:DXC262579 EGY262367:EGY262579 EQU262367:EQU262579 FAQ262367:FAQ262579 FKM262367:FKM262579 FUI262367:FUI262579 GEE262367:GEE262579 GOA262367:GOA262579 GXW262367:GXW262579 HHS262367:HHS262579 HRO262367:HRO262579 IBK262367:IBK262579 ILG262367:ILG262579 IVC262367:IVC262579 JEY262367:JEY262579 JOU262367:JOU262579 JYQ262367:JYQ262579 KIM262367:KIM262579 KSI262367:KSI262579 LCE262367:LCE262579 LMA262367:LMA262579 LVW262367:LVW262579 MFS262367:MFS262579 MPO262367:MPO262579 MZK262367:MZK262579 NJG262367:NJG262579 NTC262367:NTC262579 OCY262367:OCY262579 OMU262367:OMU262579 OWQ262367:OWQ262579 PGM262367:PGM262579 PQI262367:PQI262579 QAE262367:QAE262579 QKA262367:QKA262579 QTW262367:QTW262579 RDS262367:RDS262579 RNO262367:RNO262579 RXK262367:RXK262579 SHG262367:SHG262579 SRC262367:SRC262579 TAY262367:TAY262579 TKU262367:TKU262579 TUQ262367:TUQ262579 UEM262367:UEM262579 UOI262367:UOI262579 UYE262367:UYE262579 VIA262367:VIA262579 VRW262367:VRW262579 WBS262367:WBS262579 WLO262367:WLO262579 WVK262367:WVK262579 C327903:C328115 IY327903:IY328115 SU327903:SU328115 ACQ327903:ACQ328115 AMM327903:AMM328115 AWI327903:AWI328115 BGE327903:BGE328115 BQA327903:BQA328115 BZW327903:BZW328115 CJS327903:CJS328115 CTO327903:CTO328115 DDK327903:DDK328115 DNG327903:DNG328115 DXC327903:DXC328115 EGY327903:EGY328115 EQU327903:EQU328115 FAQ327903:FAQ328115 FKM327903:FKM328115 FUI327903:FUI328115 GEE327903:GEE328115 GOA327903:GOA328115 GXW327903:GXW328115 HHS327903:HHS328115 HRO327903:HRO328115 IBK327903:IBK328115 ILG327903:ILG328115 IVC327903:IVC328115 JEY327903:JEY328115 JOU327903:JOU328115 JYQ327903:JYQ328115 KIM327903:KIM328115 KSI327903:KSI328115 LCE327903:LCE328115 LMA327903:LMA328115 LVW327903:LVW328115 MFS327903:MFS328115 MPO327903:MPO328115 MZK327903:MZK328115 NJG327903:NJG328115 NTC327903:NTC328115 OCY327903:OCY328115 OMU327903:OMU328115 OWQ327903:OWQ328115 PGM327903:PGM328115 PQI327903:PQI328115 QAE327903:QAE328115 QKA327903:QKA328115 QTW327903:QTW328115 RDS327903:RDS328115 RNO327903:RNO328115 RXK327903:RXK328115 SHG327903:SHG328115 SRC327903:SRC328115 TAY327903:TAY328115 TKU327903:TKU328115 TUQ327903:TUQ328115 UEM327903:UEM328115 UOI327903:UOI328115 UYE327903:UYE328115 VIA327903:VIA328115 VRW327903:VRW328115 WBS327903:WBS328115 WLO327903:WLO328115 WVK327903:WVK328115 C393439:C393651 IY393439:IY393651 SU393439:SU393651 ACQ393439:ACQ393651 AMM393439:AMM393651 AWI393439:AWI393651 BGE393439:BGE393651 BQA393439:BQA393651 BZW393439:BZW393651 CJS393439:CJS393651 CTO393439:CTO393651 DDK393439:DDK393651 DNG393439:DNG393651 DXC393439:DXC393651 EGY393439:EGY393651 EQU393439:EQU393651 FAQ393439:FAQ393651 FKM393439:FKM393651 FUI393439:FUI393651 GEE393439:GEE393651 GOA393439:GOA393651 GXW393439:GXW393651 HHS393439:HHS393651 HRO393439:HRO393651 IBK393439:IBK393651 ILG393439:ILG393651 IVC393439:IVC393651 JEY393439:JEY393651 JOU393439:JOU393651 JYQ393439:JYQ393651 KIM393439:KIM393651 KSI393439:KSI393651 LCE393439:LCE393651 LMA393439:LMA393651 LVW393439:LVW393651 MFS393439:MFS393651 MPO393439:MPO393651 MZK393439:MZK393651 NJG393439:NJG393651 NTC393439:NTC393651 OCY393439:OCY393651 OMU393439:OMU393651 OWQ393439:OWQ393651 PGM393439:PGM393651 PQI393439:PQI393651 QAE393439:QAE393651 QKA393439:QKA393651 QTW393439:QTW393651 RDS393439:RDS393651 RNO393439:RNO393651 RXK393439:RXK393651 SHG393439:SHG393651 SRC393439:SRC393651 TAY393439:TAY393651 TKU393439:TKU393651 TUQ393439:TUQ393651 UEM393439:UEM393651 UOI393439:UOI393651 UYE393439:UYE393651 VIA393439:VIA393651 VRW393439:VRW393651 WBS393439:WBS393651 WLO393439:WLO393651 WVK393439:WVK393651 C458975:C459187 IY458975:IY459187 SU458975:SU459187 ACQ458975:ACQ459187 AMM458975:AMM459187 AWI458975:AWI459187 BGE458975:BGE459187 BQA458975:BQA459187 BZW458975:BZW459187 CJS458975:CJS459187 CTO458975:CTO459187 DDK458975:DDK459187 DNG458975:DNG459187 DXC458975:DXC459187 EGY458975:EGY459187 EQU458975:EQU459187 FAQ458975:FAQ459187 FKM458975:FKM459187 FUI458975:FUI459187 GEE458975:GEE459187 GOA458975:GOA459187 GXW458975:GXW459187 HHS458975:HHS459187 HRO458975:HRO459187 IBK458975:IBK459187 ILG458975:ILG459187 IVC458975:IVC459187 JEY458975:JEY459187 JOU458975:JOU459187 JYQ458975:JYQ459187 KIM458975:KIM459187 KSI458975:KSI459187 LCE458975:LCE459187 LMA458975:LMA459187 LVW458975:LVW459187 MFS458975:MFS459187 MPO458975:MPO459187 MZK458975:MZK459187 NJG458975:NJG459187 NTC458975:NTC459187 OCY458975:OCY459187 OMU458975:OMU459187 OWQ458975:OWQ459187 PGM458975:PGM459187 PQI458975:PQI459187 QAE458975:QAE459187 QKA458975:QKA459187 QTW458975:QTW459187 RDS458975:RDS459187 RNO458975:RNO459187 RXK458975:RXK459187 SHG458975:SHG459187 SRC458975:SRC459187 TAY458975:TAY459187 TKU458975:TKU459187 TUQ458975:TUQ459187 UEM458975:UEM459187 UOI458975:UOI459187 UYE458975:UYE459187 VIA458975:VIA459187 VRW458975:VRW459187 WBS458975:WBS459187 WLO458975:WLO459187 WVK458975:WVK459187 C524511:C524723 IY524511:IY524723 SU524511:SU524723 ACQ524511:ACQ524723 AMM524511:AMM524723 AWI524511:AWI524723 BGE524511:BGE524723 BQA524511:BQA524723 BZW524511:BZW524723 CJS524511:CJS524723 CTO524511:CTO524723 DDK524511:DDK524723 DNG524511:DNG524723 DXC524511:DXC524723 EGY524511:EGY524723 EQU524511:EQU524723 FAQ524511:FAQ524723 FKM524511:FKM524723 FUI524511:FUI524723 GEE524511:GEE524723 GOA524511:GOA524723 GXW524511:GXW524723 HHS524511:HHS524723 HRO524511:HRO524723 IBK524511:IBK524723 ILG524511:ILG524723 IVC524511:IVC524723 JEY524511:JEY524723 JOU524511:JOU524723 JYQ524511:JYQ524723 KIM524511:KIM524723 KSI524511:KSI524723 LCE524511:LCE524723 LMA524511:LMA524723 LVW524511:LVW524723 MFS524511:MFS524723 MPO524511:MPO524723 MZK524511:MZK524723 NJG524511:NJG524723 NTC524511:NTC524723 OCY524511:OCY524723 OMU524511:OMU524723 OWQ524511:OWQ524723 PGM524511:PGM524723 PQI524511:PQI524723 QAE524511:QAE524723 QKA524511:QKA524723 QTW524511:QTW524723 RDS524511:RDS524723 RNO524511:RNO524723 RXK524511:RXK524723 SHG524511:SHG524723 SRC524511:SRC524723 TAY524511:TAY524723 TKU524511:TKU524723 TUQ524511:TUQ524723 UEM524511:UEM524723 UOI524511:UOI524723 UYE524511:UYE524723 VIA524511:VIA524723 VRW524511:VRW524723 WBS524511:WBS524723 WLO524511:WLO524723 WVK524511:WVK524723 C590047:C590259 IY590047:IY590259 SU590047:SU590259 ACQ590047:ACQ590259 AMM590047:AMM590259 AWI590047:AWI590259 BGE590047:BGE590259 BQA590047:BQA590259 BZW590047:BZW590259 CJS590047:CJS590259 CTO590047:CTO590259 DDK590047:DDK590259 DNG590047:DNG590259 DXC590047:DXC590259 EGY590047:EGY590259 EQU590047:EQU590259 FAQ590047:FAQ590259 FKM590047:FKM590259 FUI590047:FUI590259 GEE590047:GEE590259 GOA590047:GOA590259 GXW590047:GXW590259 HHS590047:HHS590259 HRO590047:HRO590259 IBK590047:IBK590259 ILG590047:ILG590259 IVC590047:IVC590259 JEY590047:JEY590259 JOU590047:JOU590259 JYQ590047:JYQ590259 KIM590047:KIM590259 KSI590047:KSI590259 LCE590047:LCE590259 LMA590047:LMA590259 LVW590047:LVW590259 MFS590047:MFS590259 MPO590047:MPO590259 MZK590047:MZK590259 NJG590047:NJG590259 NTC590047:NTC590259 OCY590047:OCY590259 OMU590047:OMU590259 OWQ590047:OWQ590259 PGM590047:PGM590259 PQI590047:PQI590259 QAE590047:QAE590259 QKA590047:QKA590259 QTW590047:QTW590259 RDS590047:RDS590259 RNO590047:RNO590259 RXK590047:RXK590259 SHG590047:SHG590259 SRC590047:SRC590259 TAY590047:TAY590259 TKU590047:TKU590259 TUQ590047:TUQ590259 UEM590047:UEM590259 UOI590047:UOI590259 UYE590047:UYE590259 VIA590047:VIA590259 VRW590047:VRW590259 WBS590047:WBS590259 WLO590047:WLO590259 WVK590047:WVK590259 C655583:C655795 IY655583:IY655795 SU655583:SU655795 ACQ655583:ACQ655795 AMM655583:AMM655795 AWI655583:AWI655795 BGE655583:BGE655795 BQA655583:BQA655795 BZW655583:BZW655795 CJS655583:CJS655795 CTO655583:CTO655795 DDK655583:DDK655795 DNG655583:DNG655795 DXC655583:DXC655795 EGY655583:EGY655795 EQU655583:EQU655795 FAQ655583:FAQ655795 FKM655583:FKM655795 FUI655583:FUI655795 GEE655583:GEE655795 GOA655583:GOA655795 GXW655583:GXW655795 HHS655583:HHS655795 HRO655583:HRO655795 IBK655583:IBK655795 ILG655583:ILG655795 IVC655583:IVC655795 JEY655583:JEY655795 JOU655583:JOU655795 JYQ655583:JYQ655795 KIM655583:KIM655795 KSI655583:KSI655795 LCE655583:LCE655795 LMA655583:LMA655795 LVW655583:LVW655795 MFS655583:MFS655795 MPO655583:MPO655795 MZK655583:MZK655795 NJG655583:NJG655795 NTC655583:NTC655795 OCY655583:OCY655795 OMU655583:OMU655795 OWQ655583:OWQ655795 PGM655583:PGM655795 PQI655583:PQI655795 QAE655583:QAE655795 QKA655583:QKA655795 QTW655583:QTW655795 RDS655583:RDS655795 RNO655583:RNO655795 RXK655583:RXK655795 SHG655583:SHG655795 SRC655583:SRC655795 TAY655583:TAY655795 TKU655583:TKU655795 TUQ655583:TUQ655795 UEM655583:UEM655795 UOI655583:UOI655795 UYE655583:UYE655795 VIA655583:VIA655795 VRW655583:VRW655795 WBS655583:WBS655795 WLO655583:WLO655795 WVK655583:WVK655795 C721119:C721331 IY721119:IY721331 SU721119:SU721331 ACQ721119:ACQ721331 AMM721119:AMM721331 AWI721119:AWI721331 BGE721119:BGE721331 BQA721119:BQA721331 BZW721119:BZW721331 CJS721119:CJS721331 CTO721119:CTO721331 DDK721119:DDK721331 DNG721119:DNG721331 DXC721119:DXC721331 EGY721119:EGY721331 EQU721119:EQU721331 FAQ721119:FAQ721331 FKM721119:FKM721331 FUI721119:FUI721331 GEE721119:GEE721331 GOA721119:GOA721331 GXW721119:GXW721331 HHS721119:HHS721331 HRO721119:HRO721331 IBK721119:IBK721331 ILG721119:ILG721331 IVC721119:IVC721331 JEY721119:JEY721331 JOU721119:JOU721331 JYQ721119:JYQ721331 KIM721119:KIM721331 KSI721119:KSI721331 LCE721119:LCE721331 LMA721119:LMA721331 LVW721119:LVW721331 MFS721119:MFS721331 MPO721119:MPO721331 MZK721119:MZK721331 NJG721119:NJG721331 NTC721119:NTC721331 OCY721119:OCY721331 OMU721119:OMU721331 OWQ721119:OWQ721331 PGM721119:PGM721331 PQI721119:PQI721331 QAE721119:QAE721331 QKA721119:QKA721331 QTW721119:QTW721331 RDS721119:RDS721331 RNO721119:RNO721331 RXK721119:RXK721331 SHG721119:SHG721331 SRC721119:SRC721331 TAY721119:TAY721331 TKU721119:TKU721331 TUQ721119:TUQ721331 UEM721119:UEM721331 UOI721119:UOI721331 UYE721119:UYE721331 VIA721119:VIA721331 VRW721119:VRW721331 WBS721119:WBS721331 WLO721119:WLO721331 WVK721119:WVK721331 C786655:C786867 IY786655:IY786867 SU786655:SU786867 ACQ786655:ACQ786867 AMM786655:AMM786867 AWI786655:AWI786867 BGE786655:BGE786867 BQA786655:BQA786867 BZW786655:BZW786867 CJS786655:CJS786867 CTO786655:CTO786867 DDK786655:DDK786867 DNG786655:DNG786867 DXC786655:DXC786867 EGY786655:EGY786867 EQU786655:EQU786867 FAQ786655:FAQ786867 FKM786655:FKM786867 FUI786655:FUI786867 GEE786655:GEE786867 GOA786655:GOA786867 GXW786655:GXW786867 HHS786655:HHS786867 HRO786655:HRO786867 IBK786655:IBK786867 ILG786655:ILG786867 IVC786655:IVC786867 JEY786655:JEY786867 JOU786655:JOU786867 JYQ786655:JYQ786867 KIM786655:KIM786867 KSI786655:KSI786867 LCE786655:LCE786867 LMA786655:LMA786867 LVW786655:LVW786867 MFS786655:MFS786867 MPO786655:MPO786867 MZK786655:MZK786867 NJG786655:NJG786867 NTC786655:NTC786867 OCY786655:OCY786867 OMU786655:OMU786867 OWQ786655:OWQ786867 PGM786655:PGM786867 PQI786655:PQI786867 QAE786655:QAE786867 QKA786655:QKA786867 QTW786655:QTW786867 RDS786655:RDS786867 RNO786655:RNO786867 RXK786655:RXK786867 SHG786655:SHG786867 SRC786655:SRC786867 TAY786655:TAY786867 TKU786655:TKU786867 TUQ786655:TUQ786867 UEM786655:UEM786867 UOI786655:UOI786867 UYE786655:UYE786867 VIA786655:VIA786867 VRW786655:VRW786867 WBS786655:WBS786867 WLO786655:WLO786867 WVK786655:WVK786867 C852191:C852403 IY852191:IY852403 SU852191:SU852403 ACQ852191:ACQ852403 AMM852191:AMM852403 AWI852191:AWI852403 BGE852191:BGE852403 BQA852191:BQA852403 BZW852191:BZW852403 CJS852191:CJS852403 CTO852191:CTO852403 DDK852191:DDK852403 DNG852191:DNG852403 DXC852191:DXC852403 EGY852191:EGY852403 EQU852191:EQU852403 FAQ852191:FAQ852403 FKM852191:FKM852403 FUI852191:FUI852403 GEE852191:GEE852403 GOA852191:GOA852403 GXW852191:GXW852403 HHS852191:HHS852403 HRO852191:HRO852403 IBK852191:IBK852403 ILG852191:ILG852403 IVC852191:IVC852403 JEY852191:JEY852403 JOU852191:JOU852403 JYQ852191:JYQ852403 KIM852191:KIM852403 KSI852191:KSI852403 LCE852191:LCE852403 LMA852191:LMA852403 LVW852191:LVW852403 MFS852191:MFS852403 MPO852191:MPO852403 MZK852191:MZK852403 NJG852191:NJG852403 NTC852191:NTC852403 OCY852191:OCY852403 OMU852191:OMU852403 OWQ852191:OWQ852403 PGM852191:PGM852403 PQI852191:PQI852403 QAE852191:QAE852403 QKA852191:QKA852403 QTW852191:QTW852403 RDS852191:RDS852403 RNO852191:RNO852403 RXK852191:RXK852403 SHG852191:SHG852403 SRC852191:SRC852403 TAY852191:TAY852403 TKU852191:TKU852403 TUQ852191:TUQ852403 UEM852191:UEM852403 UOI852191:UOI852403 UYE852191:UYE852403 VIA852191:VIA852403 VRW852191:VRW852403 WBS852191:WBS852403 WLO852191:WLO852403 WVK852191:WVK852403 C917727:C917939 IY917727:IY917939 SU917727:SU917939 ACQ917727:ACQ917939 AMM917727:AMM917939 AWI917727:AWI917939 BGE917727:BGE917939 BQA917727:BQA917939 BZW917727:BZW917939 CJS917727:CJS917939 CTO917727:CTO917939 DDK917727:DDK917939 DNG917727:DNG917939 DXC917727:DXC917939 EGY917727:EGY917939 EQU917727:EQU917939 FAQ917727:FAQ917939 FKM917727:FKM917939 FUI917727:FUI917939 GEE917727:GEE917939 GOA917727:GOA917939 GXW917727:GXW917939 HHS917727:HHS917939 HRO917727:HRO917939 IBK917727:IBK917939 ILG917727:ILG917939 IVC917727:IVC917939 JEY917727:JEY917939 JOU917727:JOU917939 JYQ917727:JYQ917939 KIM917727:KIM917939 KSI917727:KSI917939 LCE917727:LCE917939 LMA917727:LMA917939 LVW917727:LVW917939 MFS917727:MFS917939 MPO917727:MPO917939 MZK917727:MZK917939 NJG917727:NJG917939 NTC917727:NTC917939 OCY917727:OCY917939 OMU917727:OMU917939 OWQ917727:OWQ917939 PGM917727:PGM917939 PQI917727:PQI917939 QAE917727:QAE917939 QKA917727:QKA917939 QTW917727:QTW917939 RDS917727:RDS917939 RNO917727:RNO917939 RXK917727:RXK917939 SHG917727:SHG917939 SRC917727:SRC917939 TAY917727:TAY917939 TKU917727:TKU917939 TUQ917727:TUQ917939 UEM917727:UEM917939 UOI917727:UOI917939 UYE917727:UYE917939 VIA917727:VIA917939 VRW917727:VRW917939 WBS917727:WBS917939 WLO917727:WLO917939 WVK917727:WVK917939 C983263:C983475 IY983263:IY983475 SU983263:SU983475 ACQ983263:ACQ983475 AMM983263:AMM983475 AWI983263:AWI983475 BGE983263:BGE983475 BQA983263:BQA983475 BZW983263:BZW983475 CJS983263:CJS983475 CTO983263:CTO983475 DDK983263:DDK983475 DNG983263:DNG983475 DXC983263:DXC983475 EGY983263:EGY983475 EQU983263:EQU983475 FAQ983263:FAQ983475 FKM983263:FKM983475 FUI983263:FUI983475 GEE983263:GEE983475 GOA983263:GOA983475 GXW983263:GXW983475 HHS983263:HHS983475 HRO983263:HRO983475 IBK983263:IBK983475 ILG983263:ILG983475 IVC983263:IVC983475 JEY983263:JEY983475 JOU983263:JOU983475 JYQ983263:JYQ983475 KIM983263:KIM983475 KSI983263:KSI983475 LCE983263:LCE983475 LMA983263:LMA983475 LVW983263:LVW983475 MFS983263:MFS983475 MPO983263:MPO983475 MZK983263:MZK983475 NJG983263:NJG983475 NTC983263:NTC983475 OCY983263:OCY983475 OMU983263:OMU983475 OWQ983263:OWQ983475 PGM983263:PGM983475 PQI983263:PQI983475 QAE983263:QAE983475 QKA983263:QKA983475 QTW983263:QTW983475 RDS983263:RDS983475 RNO983263:RNO983475 RXK983263:RXK983475 SHG983263:SHG983475 SRC983263:SRC983475 TAY983263:TAY983475 TKU983263:TKU983475 TUQ983263:TUQ983475 UEM983263:UEM983475 UOI983263:UOI983475 UYE983263:UYE983475 VIA983263:VIA983475 VRW983263:VRW983475 WBS983263:WBS983475 WLO983263:WLO983475 WVK983263:WVK983475">
      <formula1>$M$224:$M$226</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1"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21"/>
  <sheetViews>
    <sheetView workbookViewId="0"/>
  </sheetViews>
  <sheetFormatPr defaultRowHeight="15" x14ac:dyDescent="0.25"/>
  <cols>
    <col min="3" max="3" width="11" bestFit="1" customWidth="1"/>
    <col min="4" max="5" width="9.140625" style="2"/>
    <col min="6" max="11" width="9.140625" style="3"/>
    <col min="12" max="12" width="9.140625" style="1"/>
    <col min="13" max="18" width="9.140625" style="3"/>
  </cols>
  <sheetData>
    <row r="1" spans="1:18" x14ac:dyDescent="0.25">
      <c r="A1" t="s">
        <v>18</v>
      </c>
      <c r="B1" t="s">
        <v>1</v>
      </c>
      <c r="C1" t="s">
        <v>0</v>
      </c>
      <c r="D1" s="2" t="s">
        <v>4</v>
      </c>
      <c r="E1" s="2" t="s">
        <v>3</v>
      </c>
      <c r="F1" s="3" t="s">
        <v>5</v>
      </c>
      <c r="G1" s="3" t="s">
        <v>6</v>
      </c>
      <c r="H1" s="3" t="s">
        <v>7</v>
      </c>
      <c r="I1" s="3" t="s">
        <v>8</v>
      </c>
      <c r="J1" s="3" t="s">
        <v>9</v>
      </c>
      <c r="K1" s="3" t="s">
        <v>10</v>
      </c>
      <c r="L1" s="1" t="s">
        <v>11</v>
      </c>
      <c r="M1" s="3" t="s">
        <v>12</v>
      </c>
      <c r="N1" s="3" t="s">
        <v>13</v>
      </c>
      <c r="O1" s="3" t="s">
        <v>14</v>
      </c>
      <c r="P1" s="3" t="s">
        <v>15</v>
      </c>
      <c r="Q1" s="3" t="s">
        <v>16</v>
      </c>
      <c r="R1" s="3" t="s">
        <v>17</v>
      </c>
    </row>
    <row r="2" spans="1:18" x14ac:dyDescent="0.25">
      <c r="A2" t="s">
        <v>19</v>
      </c>
      <c r="B2">
        <v>1</v>
      </c>
      <c r="C2">
        <v>5</v>
      </c>
      <c r="D2" s="2">
        <v>28</v>
      </c>
      <c r="E2" s="2">
        <v>32.294905600550003</v>
      </c>
      <c r="F2" s="3">
        <v>605.92385362499999</v>
      </c>
      <c r="G2" s="3">
        <v>18.60495414755</v>
      </c>
      <c r="H2" s="3">
        <v>12669.565709623001</v>
      </c>
      <c r="I2" s="3">
        <v>513.56325667969998</v>
      </c>
      <c r="J2" s="3">
        <v>13275.489563248</v>
      </c>
      <c r="K2" s="3">
        <v>532.16821082724903</v>
      </c>
      <c r="L2" s="1">
        <v>4.2949056005499999</v>
      </c>
      <c r="M2" s="3">
        <v>605.92385364799998</v>
      </c>
      <c r="N2" s="3">
        <v>18.604954147249998</v>
      </c>
      <c r="O2" s="3">
        <v>680.6576374184998</v>
      </c>
      <c r="P2" s="3">
        <v>18.172154641249996</v>
      </c>
      <c r="Q2" s="3">
        <v>1286.5814910280003</v>
      </c>
      <c r="R2" s="3">
        <v>36.777108788500009</v>
      </c>
    </row>
    <row r="3" spans="1:18" x14ac:dyDescent="0.25">
      <c r="A3" t="s">
        <v>19</v>
      </c>
      <c r="B3">
        <v>2</v>
      </c>
      <c r="C3">
        <v>13</v>
      </c>
      <c r="D3" s="2">
        <v>12.05</v>
      </c>
      <c r="E3" s="2">
        <v>17.743913106400001</v>
      </c>
      <c r="F3" s="3">
        <v>500.66396683999994</v>
      </c>
      <c r="G3" s="3">
        <v>14.394558672950001</v>
      </c>
      <c r="H3" s="3">
        <v>6313.0540846744998</v>
      </c>
      <c r="I3" s="3">
        <v>232.24535346715001</v>
      </c>
      <c r="J3" s="3">
        <v>6813.7180515144901</v>
      </c>
      <c r="K3" s="3">
        <v>246.63991214009999</v>
      </c>
      <c r="L3" s="1">
        <v>5.6939131064000001</v>
      </c>
      <c r="M3" s="3">
        <v>500.6639668345</v>
      </c>
      <c r="N3" s="3">
        <v>14.394558673100001</v>
      </c>
      <c r="O3" s="3">
        <v>1133.488283632</v>
      </c>
      <c r="P3" s="3">
        <v>31.140648290700003</v>
      </c>
      <c r="Q3" s="3">
        <v>1634.1522505045002</v>
      </c>
      <c r="R3" s="3">
        <v>45.5352069622</v>
      </c>
    </row>
    <row r="4" spans="1:18" x14ac:dyDescent="0.25">
      <c r="A4" t="s">
        <v>19</v>
      </c>
      <c r="B4">
        <v>3</v>
      </c>
      <c r="C4">
        <v>20</v>
      </c>
      <c r="D4" s="2">
        <v>12.275</v>
      </c>
      <c r="E4" s="2">
        <v>18.823957609000001</v>
      </c>
      <c r="F4" s="3">
        <v>504.01308446499985</v>
      </c>
      <c r="G4" s="3">
        <v>14.528523378950002</v>
      </c>
      <c r="H4" s="3">
        <v>6351.5422528019899</v>
      </c>
      <c r="I4" s="3">
        <v>222.91409217295001</v>
      </c>
      <c r="J4" s="3">
        <v>6855.5553372669901</v>
      </c>
      <c r="K4" s="3">
        <v>237.44261555189999</v>
      </c>
      <c r="L4" s="1">
        <v>6.5489576089999995</v>
      </c>
      <c r="M4" s="3">
        <v>504.01308446200005</v>
      </c>
      <c r="N4" s="3">
        <v>14.52852337875</v>
      </c>
      <c r="O4" s="3">
        <v>1546.0227956800002</v>
      </c>
      <c r="P4" s="3">
        <v>46.678146527199999</v>
      </c>
      <c r="Q4" s="3">
        <v>2050.0358801419998</v>
      </c>
      <c r="R4" s="3">
        <v>61.206669905749976</v>
      </c>
    </row>
    <row r="5" spans="1:18" x14ac:dyDescent="0.25">
      <c r="A5" t="s">
        <v>19</v>
      </c>
      <c r="B5">
        <v>4</v>
      </c>
      <c r="C5">
        <v>30</v>
      </c>
      <c r="D5" s="2">
        <v>11.45</v>
      </c>
      <c r="E5" s="2">
        <v>18.219859815249997</v>
      </c>
      <c r="F5" s="3">
        <v>481.58332634500005</v>
      </c>
      <c r="G5" s="3">
        <v>13.631333053450001</v>
      </c>
      <c r="H5" s="3">
        <v>5926.6233907474998</v>
      </c>
      <c r="I5" s="3">
        <v>201.49847086599999</v>
      </c>
      <c r="J5" s="3">
        <v>6408.2067170924902</v>
      </c>
      <c r="K5" s="3">
        <v>215.12980391945001</v>
      </c>
      <c r="L5" s="1">
        <v>6.7698598152499994</v>
      </c>
      <c r="M5" s="3">
        <v>481.58332634249996</v>
      </c>
      <c r="N5" s="3">
        <v>13.63133305345</v>
      </c>
      <c r="O5" s="3">
        <v>1497.034217825</v>
      </c>
      <c r="P5" s="3">
        <v>41.837030229</v>
      </c>
      <c r="Q5" s="3">
        <v>1978.6175441875002</v>
      </c>
      <c r="R5" s="3">
        <v>55.468363282449999</v>
      </c>
    </row>
    <row r="6" spans="1:18" x14ac:dyDescent="0.25">
      <c r="A6" t="s">
        <v>19</v>
      </c>
      <c r="B6">
        <v>5</v>
      </c>
      <c r="C6">
        <v>32</v>
      </c>
      <c r="D6" s="2">
        <v>22.4</v>
      </c>
      <c r="E6" s="2">
        <v>25.817549500799998</v>
      </c>
      <c r="F6" s="3">
        <v>374.13467234000001</v>
      </c>
      <c r="G6" s="3">
        <v>9.3333868953999986</v>
      </c>
      <c r="H6" s="3">
        <v>9869.9913014268004</v>
      </c>
      <c r="I6" s="3">
        <v>372.63051287939999</v>
      </c>
      <c r="J6" s="3">
        <v>10244.125973766801</v>
      </c>
      <c r="K6" s="3">
        <v>381.96389977479902</v>
      </c>
      <c r="L6" s="1">
        <v>3.4175495007999999</v>
      </c>
      <c r="M6" s="3">
        <v>374.13467236680003</v>
      </c>
      <c r="N6" s="3">
        <v>9.3333868948000003</v>
      </c>
      <c r="O6" s="3">
        <v>379.05273648000002</v>
      </c>
      <c r="P6" s="3">
        <v>9.2282472510000009</v>
      </c>
      <c r="Q6" s="3">
        <v>753.18740884679994</v>
      </c>
      <c r="R6" s="3">
        <v>18.561634146799999</v>
      </c>
    </row>
    <row r="7" spans="1:18" x14ac:dyDescent="0.25">
      <c r="A7" t="s">
        <v>19</v>
      </c>
      <c r="B7">
        <v>6</v>
      </c>
      <c r="C7">
        <v>37</v>
      </c>
      <c r="D7" s="2">
        <v>9.0666666666666593</v>
      </c>
      <c r="E7" s="2">
        <v>18.069626451733328</v>
      </c>
      <c r="F7" s="3">
        <v>441.22290320666673</v>
      </c>
      <c r="G7" s="3">
        <v>12.016916126866668</v>
      </c>
      <c r="H7" s="3">
        <v>5643.5177495793296</v>
      </c>
      <c r="I7" s="3">
        <v>189.20792781040001</v>
      </c>
      <c r="J7" s="3">
        <v>6084.7406527860003</v>
      </c>
      <c r="K7" s="3">
        <v>201.224843937266</v>
      </c>
      <c r="L7" s="1">
        <v>9.0029597850666683</v>
      </c>
      <c r="M7" s="3">
        <v>441.22290318600005</v>
      </c>
      <c r="N7" s="3">
        <v>12.016916127266668</v>
      </c>
      <c r="O7" s="3">
        <v>2377.9447160666668</v>
      </c>
      <c r="P7" s="3">
        <v>70.474391575333328</v>
      </c>
      <c r="Q7" s="3">
        <v>2819.1676192526656</v>
      </c>
      <c r="R7" s="3">
        <v>82.491307700600004</v>
      </c>
    </row>
    <row r="8" spans="1:18" x14ac:dyDescent="0.25">
      <c r="A8" t="s">
        <v>19</v>
      </c>
      <c r="B8">
        <v>7</v>
      </c>
      <c r="C8">
        <v>41</v>
      </c>
      <c r="D8" s="2">
        <v>18</v>
      </c>
      <c r="E8" s="2">
        <v>22.183187517333334</v>
      </c>
      <c r="F8" s="3">
        <v>559.14400588333331</v>
      </c>
      <c r="G8" s="3">
        <v>16.73376023483333</v>
      </c>
      <c r="H8" s="3">
        <v>7821.3109223375004</v>
      </c>
      <c r="I8" s="3">
        <v>287.27874439133302</v>
      </c>
      <c r="J8" s="3">
        <v>8380.45492822083</v>
      </c>
      <c r="K8" s="3">
        <v>304.01250462616599</v>
      </c>
      <c r="L8" s="1">
        <v>4.1831875173333328</v>
      </c>
      <c r="M8" s="3">
        <v>559.14400588750004</v>
      </c>
      <c r="N8" s="3">
        <v>16.7337602345</v>
      </c>
      <c r="O8" s="3">
        <v>631.22912375833312</v>
      </c>
      <c r="P8" s="3">
        <v>16.456699150166667</v>
      </c>
      <c r="Q8" s="3">
        <v>1190.3731296458334</v>
      </c>
      <c r="R8" s="3">
        <v>33.190459384499995</v>
      </c>
    </row>
    <row r="9" spans="1:18" x14ac:dyDescent="0.25">
      <c r="A9" t="s">
        <v>19</v>
      </c>
      <c r="B9">
        <v>8</v>
      </c>
      <c r="C9">
        <v>51</v>
      </c>
      <c r="D9" s="2">
        <v>17.058823529411701</v>
      </c>
      <c r="E9" s="2">
        <v>22.897887618352875</v>
      </c>
      <c r="F9" s="3">
        <v>513.18057583529401</v>
      </c>
      <c r="G9" s="3">
        <v>14.895223033882351</v>
      </c>
      <c r="H9" s="3">
        <v>7988.0743825941099</v>
      </c>
      <c r="I9" s="3">
        <v>287.51661201194099</v>
      </c>
      <c r="J9" s="3">
        <v>8501.2549584294102</v>
      </c>
      <c r="K9" s="3">
        <v>302.41183504582301</v>
      </c>
      <c r="L9" s="1">
        <v>5.8390640889411767</v>
      </c>
      <c r="M9" s="3">
        <v>513.18057584117651</v>
      </c>
      <c r="N9" s="3">
        <v>14.895223034058823</v>
      </c>
      <c r="O9" s="3">
        <v>1195.344582847059</v>
      </c>
      <c r="P9" s="3">
        <v>33.330090794058819</v>
      </c>
      <c r="Q9" s="3">
        <v>1708.5251586999998</v>
      </c>
      <c r="R9" s="3">
        <v>48.225313828176475</v>
      </c>
    </row>
    <row r="10" spans="1:18" x14ac:dyDescent="0.25">
      <c r="A10" t="s">
        <v>19</v>
      </c>
      <c r="B10">
        <v>9</v>
      </c>
      <c r="C10">
        <v>60</v>
      </c>
      <c r="D10" s="2">
        <v>8.5</v>
      </c>
      <c r="E10" s="2">
        <v>12.3310948365</v>
      </c>
      <c r="F10" s="3">
        <v>354.97002210000005</v>
      </c>
      <c r="G10" s="3">
        <v>8.5668008839999992</v>
      </c>
      <c r="H10" s="3">
        <v>2841.78682351</v>
      </c>
      <c r="I10" s="3">
        <v>84.207646084999993</v>
      </c>
      <c r="J10" s="3">
        <v>3196.7568456099998</v>
      </c>
      <c r="K10" s="3">
        <v>92.774446968999996</v>
      </c>
      <c r="L10" s="1">
        <v>3.8310948365000002</v>
      </c>
      <c r="M10" s="3">
        <v>354.97002211</v>
      </c>
      <c r="N10" s="3">
        <v>8.5668008840000009</v>
      </c>
      <c r="O10" s="3">
        <v>489.63475935000002</v>
      </c>
      <c r="P10" s="3">
        <v>11.920427385</v>
      </c>
      <c r="Q10" s="3">
        <v>844.60478160999992</v>
      </c>
      <c r="R10" s="3">
        <v>20.487228268999999</v>
      </c>
    </row>
    <row r="11" spans="1:18" x14ac:dyDescent="0.25">
      <c r="A11" t="s">
        <v>19</v>
      </c>
      <c r="B11">
        <v>10</v>
      </c>
      <c r="C11">
        <v>69</v>
      </c>
      <c r="D11" s="2">
        <v>12.25</v>
      </c>
      <c r="E11" s="2">
        <v>16.643947460050001</v>
      </c>
      <c r="F11" s="3">
        <v>514.61753178999993</v>
      </c>
      <c r="G11" s="3">
        <v>14.952701271600002</v>
      </c>
      <c r="H11" s="3">
        <v>5531.3379638189999</v>
      </c>
      <c r="I11" s="3">
        <v>192.24042357810001</v>
      </c>
      <c r="J11" s="3">
        <v>6045.9554956089996</v>
      </c>
      <c r="K11" s="3">
        <v>207.19312484970001</v>
      </c>
      <c r="L11" s="1">
        <v>4.3939474600499997</v>
      </c>
      <c r="M11" s="3">
        <v>514.61753178900005</v>
      </c>
      <c r="N11" s="3">
        <v>14.952701271199999</v>
      </c>
      <c r="O11" s="3">
        <v>661.39122685500013</v>
      </c>
      <c r="P11" s="3">
        <v>16.589712232650001</v>
      </c>
      <c r="Q11" s="3">
        <v>1176.008758619</v>
      </c>
      <c r="R11" s="3">
        <v>31.542413504200002</v>
      </c>
    </row>
    <row r="12" spans="1:18" x14ac:dyDescent="0.25">
      <c r="A12" t="s">
        <v>19</v>
      </c>
      <c r="B12">
        <v>11</v>
      </c>
      <c r="C12">
        <v>70</v>
      </c>
      <c r="D12" s="2">
        <v>12.25</v>
      </c>
      <c r="E12" s="2">
        <v>16.991180080950002</v>
      </c>
      <c r="F12" s="3">
        <v>651.40822352999999</v>
      </c>
      <c r="G12" s="3">
        <v>20.424328943100001</v>
      </c>
      <c r="H12" s="3">
        <v>5647.3214873489997</v>
      </c>
      <c r="I12" s="3">
        <v>195.48334429175</v>
      </c>
      <c r="J12" s="3">
        <v>6298.7297108789999</v>
      </c>
      <c r="K12" s="3">
        <v>215.90767323484999</v>
      </c>
      <c r="L12" s="1">
        <v>4.7411800809500004</v>
      </c>
      <c r="M12" s="3">
        <v>651.408223529</v>
      </c>
      <c r="N12" s="3">
        <v>20.42432894285</v>
      </c>
      <c r="O12" s="3">
        <v>763.24497035500008</v>
      </c>
      <c r="P12" s="3">
        <v>19.276075474150005</v>
      </c>
      <c r="Q12" s="3">
        <v>1414.6531938589999</v>
      </c>
      <c r="R12" s="3">
        <v>39.700404417350001</v>
      </c>
    </row>
    <row r="13" spans="1:18" x14ac:dyDescent="0.25">
      <c r="A13" t="s">
        <v>19</v>
      </c>
      <c r="B13">
        <v>12</v>
      </c>
      <c r="C13">
        <v>101</v>
      </c>
      <c r="D13" s="2">
        <v>12.51</v>
      </c>
      <c r="E13" s="2">
        <v>16.653274188650002</v>
      </c>
      <c r="F13" s="3">
        <v>655.37347403499996</v>
      </c>
      <c r="G13" s="3">
        <v>20.582938962499998</v>
      </c>
      <c r="H13" s="3">
        <v>5780.0586699799996</v>
      </c>
      <c r="I13" s="3">
        <v>209.56921432729999</v>
      </c>
      <c r="J13" s="3">
        <v>6435.4321440149997</v>
      </c>
      <c r="K13" s="3">
        <v>230.1521532898</v>
      </c>
      <c r="L13" s="1">
        <v>4.1432741886500004</v>
      </c>
      <c r="M13" s="3">
        <v>655.37347401500006</v>
      </c>
      <c r="N13" s="3">
        <v>20.5829389618</v>
      </c>
      <c r="O13" s="3">
        <v>603.11554336400002</v>
      </c>
      <c r="P13" s="3">
        <v>15.393246138449999</v>
      </c>
      <c r="Q13" s="3">
        <v>1258.4890173950002</v>
      </c>
      <c r="R13" s="3">
        <v>35.976185100050003</v>
      </c>
    </row>
    <row r="14" spans="1:18" x14ac:dyDescent="0.25">
      <c r="A14" t="s">
        <v>19</v>
      </c>
      <c r="B14">
        <v>13</v>
      </c>
      <c r="C14">
        <v>102</v>
      </c>
      <c r="D14" s="2">
        <v>17.75</v>
      </c>
      <c r="E14" s="2">
        <v>21.960374408099998</v>
      </c>
      <c r="F14" s="3">
        <v>838.23649835000015</v>
      </c>
      <c r="G14" s="3">
        <v>28.139436055499996</v>
      </c>
      <c r="H14" s="3">
        <v>7708.4999961350004</v>
      </c>
      <c r="I14" s="3">
        <v>290.48046764744998</v>
      </c>
      <c r="J14" s="3">
        <v>8546.7364944849996</v>
      </c>
      <c r="K14" s="3">
        <v>318.61990370295001</v>
      </c>
      <c r="L14" s="1">
        <v>4.210374408099999</v>
      </c>
      <c r="M14" s="3">
        <v>852.19137116000002</v>
      </c>
      <c r="N14" s="3">
        <v>28.3556548482</v>
      </c>
      <c r="O14" s="3">
        <v>707.40516286499997</v>
      </c>
      <c r="P14" s="3">
        <v>20.193072941600001</v>
      </c>
      <c r="Q14" s="3">
        <v>1559.5965339950001</v>
      </c>
      <c r="R14" s="3">
        <v>48.648727789699997</v>
      </c>
    </row>
    <row r="15" spans="1:18" x14ac:dyDescent="0.25">
      <c r="A15" t="s">
        <v>19</v>
      </c>
      <c r="B15">
        <v>14</v>
      </c>
      <c r="C15">
        <v>103</v>
      </c>
      <c r="D15" s="2">
        <v>22.024999999999999</v>
      </c>
      <c r="E15" s="2">
        <v>25.727458086999999</v>
      </c>
      <c r="F15" s="3">
        <v>840.35637180999993</v>
      </c>
      <c r="G15" s="3">
        <v>27.982254873500004</v>
      </c>
      <c r="H15" s="3">
        <v>9498.9953915049991</v>
      </c>
      <c r="I15" s="3">
        <v>368.76647228040002</v>
      </c>
      <c r="J15" s="3">
        <v>10339.351763315</v>
      </c>
      <c r="K15" s="3">
        <v>396.74872715390001</v>
      </c>
      <c r="L15" s="1">
        <v>3.7024580870000001</v>
      </c>
      <c r="M15" s="3">
        <v>840.35637181499987</v>
      </c>
      <c r="N15" s="3">
        <v>27.982254873400002</v>
      </c>
      <c r="O15" s="3">
        <v>505.36713765000013</v>
      </c>
      <c r="P15" s="3">
        <v>13.484052144500001</v>
      </c>
      <c r="Q15" s="3">
        <v>1345.723509465</v>
      </c>
      <c r="R15" s="3">
        <v>41.466307017900007</v>
      </c>
    </row>
    <row r="16" spans="1:18" x14ac:dyDescent="0.25">
      <c r="A16" t="s">
        <v>19</v>
      </c>
      <c r="B16">
        <v>15</v>
      </c>
      <c r="C16">
        <v>104</v>
      </c>
      <c r="D16" s="2">
        <v>16.2</v>
      </c>
      <c r="E16" s="2">
        <v>20.599391259849998</v>
      </c>
      <c r="F16" s="3">
        <v>815.56608340999992</v>
      </c>
      <c r="G16" s="3">
        <v>27.016770002999998</v>
      </c>
      <c r="H16" s="3">
        <v>7179.6014486835002</v>
      </c>
      <c r="I16" s="3">
        <v>268.01060509389998</v>
      </c>
      <c r="J16" s="3">
        <v>7995.1675320934901</v>
      </c>
      <c r="K16" s="3">
        <v>295.02737509690002</v>
      </c>
      <c r="L16" s="1">
        <v>4.3993912598499998</v>
      </c>
      <c r="M16" s="3">
        <v>817.07282008350001</v>
      </c>
      <c r="N16" s="3">
        <v>27.050912804249997</v>
      </c>
      <c r="O16" s="3">
        <v>798.08690505000015</v>
      </c>
      <c r="P16" s="3">
        <v>23.3924149638</v>
      </c>
      <c r="Q16" s="3">
        <v>1615.1597250934999</v>
      </c>
      <c r="R16" s="3">
        <v>50.443327768250001</v>
      </c>
    </row>
    <row r="17" spans="1:18" x14ac:dyDescent="0.25">
      <c r="A17" t="s">
        <v>19</v>
      </c>
      <c r="B17">
        <v>16</v>
      </c>
      <c r="C17">
        <v>105</v>
      </c>
      <c r="D17" s="2">
        <v>20.5</v>
      </c>
      <c r="E17" s="2">
        <v>43.319830443333331</v>
      </c>
      <c r="F17" s="3">
        <v>362.70861038333334</v>
      </c>
      <c r="G17" s="3">
        <v>8.8763444150000019</v>
      </c>
      <c r="H17" s="3">
        <v>19469.896343328299</v>
      </c>
      <c r="I17" s="3">
        <v>846.68682311683301</v>
      </c>
      <c r="J17" s="3">
        <v>19832.604953711601</v>
      </c>
      <c r="K17" s="3">
        <v>855.56316753183296</v>
      </c>
      <c r="L17" s="1">
        <v>22.819830443333334</v>
      </c>
      <c r="M17" s="3">
        <v>362.70861037833333</v>
      </c>
      <c r="N17" s="3">
        <v>8.8763444151666668</v>
      </c>
      <c r="O17" s="3">
        <v>9459.922888000001</v>
      </c>
      <c r="P17" s="3">
        <v>370.43769712333329</v>
      </c>
      <c r="Q17" s="3">
        <v>9822.6314983783341</v>
      </c>
      <c r="R17" s="3">
        <v>379.31404153850002</v>
      </c>
    </row>
    <row r="18" spans="1:18" x14ac:dyDescent="0.25">
      <c r="A18" t="s">
        <v>19</v>
      </c>
      <c r="B18">
        <v>17</v>
      </c>
      <c r="C18">
        <v>106</v>
      </c>
      <c r="D18" s="2">
        <v>16.7</v>
      </c>
      <c r="E18" s="2">
        <v>20.876137622199998</v>
      </c>
      <c r="F18" s="3">
        <v>585.64117685500014</v>
      </c>
      <c r="G18" s="3">
        <v>17.793647074500001</v>
      </c>
      <c r="H18" s="3">
        <v>6955.4189410959998</v>
      </c>
      <c r="I18" s="3">
        <v>244.6074353759</v>
      </c>
      <c r="J18" s="3">
        <v>7541.0601179510004</v>
      </c>
      <c r="K18" s="3">
        <v>262.4010824504</v>
      </c>
      <c r="L18" s="1">
        <v>4.1761376221999997</v>
      </c>
      <c r="M18" s="3">
        <v>585.64117685099995</v>
      </c>
      <c r="N18" s="3">
        <v>17.793647074400003</v>
      </c>
      <c r="O18" s="3">
        <v>693.63861710500009</v>
      </c>
      <c r="P18" s="3">
        <v>19.908828659600005</v>
      </c>
      <c r="Q18" s="3">
        <v>1279.279793936</v>
      </c>
      <c r="R18" s="3">
        <v>37.702475733900002</v>
      </c>
    </row>
    <row r="19" spans="1:18" x14ac:dyDescent="0.25">
      <c r="A19" t="s">
        <v>19</v>
      </c>
      <c r="B19">
        <v>18</v>
      </c>
      <c r="C19">
        <v>107</v>
      </c>
      <c r="D19" s="2">
        <v>11.078947368421</v>
      </c>
      <c r="E19" s="2">
        <v>19.430267882473629</v>
      </c>
      <c r="F19" s="3">
        <v>651.23751531578955</v>
      </c>
      <c r="G19" s="3">
        <v>20.417500615052631</v>
      </c>
      <c r="H19" s="3">
        <v>7104.1423791042098</v>
      </c>
      <c r="I19" s="3">
        <v>264.03366837431503</v>
      </c>
      <c r="J19" s="3">
        <v>7755.3798944199998</v>
      </c>
      <c r="K19" s="3">
        <v>284.451168989368</v>
      </c>
      <c r="L19" s="1">
        <v>8.351320514052631</v>
      </c>
      <c r="M19" s="3">
        <v>651.23751531473692</v>
      </c>
      <c r="N19" s="3">
        <v>20.417500615157895</v>
      </c>
      <c r="O19" s="3">
        <v>2369.065222078947</v>
      </c>
      <c r="P19" s="3">
        <v>79.297107867789492</v>
      </c>
      <c r="Q19" s="3">
        <v>3020.302737420001</v>
      </c>
      <c r="R19" s="3">
        <v>99.714608483052643</v>
      </c>
    </row>
    <row r="20" spans="1:18" x14ac:dyDescent="0.25">
      <c r="A20" t="s">
        <v>19</v>
      </c>
      <c r="B20">
        <v>19</v>
      </c>
      <c r="C20">
        <v>113</v>
      </c>
      <c r="D20" s="2">
        <v>15.75</v>
      </c>
      <c r="E20" s="2">
        <v>19.150244611000002</v>
      </c>
      <c r="F20" s="3">
        <v>474.11781802500008</v>
      </c>
      <c r="G20" s="3">
        <v>13.332712720700002</v>
      </c>
      <c r="H20" s="3">
        <v>5986.0759661470001</v>
      </c>
      <c r="I20" s="3">
        <v>201.20451688919999</v>
      </c>
      <c r="J20" s="3">
        <v>6460.1937841720001</v>
      </c>
      <c r="K20" s="3">
        <v>214.53722960990001</v>
      </c>
      <c r="L20" s="1">
        <v>3.4002446110000002</v>
      </c>
      <c r="M20" s="3">
        <v>474.11781802200005</v>
      </c>
      <c r="N20" s="3">
        <v>13.332712720900002</v>
      </c>
      <c r="O20" s="3">
        <v>411.38436916000006</v>
      </c>
      <c r="P20" s="3">
        <v>10.895269723099998</v>
      </c>
      <c r="Q20" s="3">
        <v>885.50218718200006</v>
      </c>
      <c r="R20" s="3">
        <v>24.227982443900004</v>
      </c>
    </row>
    <row r="21" spans="1:18" x14ac:dyDescent="0.25">
      <c r="A21" t="s">
        <v>19</v>
      </c>
      <c r="B21">
        <v>20</v>
      </c>
      <c r="C21" t="s">
        <v>2</v>
      </c>
      <c r="D21" s="2">
        <v>12.842105263157899</v>
      </c>
      <c r="E21" s="2">
        <v>21.160206882921056</v>
      </c>
      <c r="F21" s="3">
        <v>457.72862023947363</v>
      </c>
      <c r="G21" s="3">
        <v>12.677144809710526</v>
      </c>
      <c r="H21" s="3">
        <v>7352.2353296904703</v>
      </c>
      <c r="I21" s="3">
        <v>258.98434789478898</v>
      </c>
      <c r="J21" s="3">
        <v>7809.9639499299401</v>
      </c>
      <c r="K21" s="3">
        <v>271.66149270450001</v>
      </c>
      <c r="L21" s="1">
        <v>8.3181016197631568</v>
      </c>
      <c r="M21" s="3">
        <v>457.72862024573681</v>
      </c>
      <c r="N21" s="3">
        <v>12.67714480976316</v>
      </c>
      <c r="O21" s="3">
        <v>2222.226131273685</v>
      </c>
      <c r="P21" s="3">
        <v>68.59926030931581</v>
      </c>
      <c r="Q21" s="3">
        <v>2679.9547515194208</v>
      </c>
      <c r="R21" s="3">
        <v>81.276405119236841</v>
      </c>
    </row>
  </sheetData>
  <sortState ref="B4:S23">
    <sortCondition ref="B4:B2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637"/>
  <sheetViews>
    <sheetView zoomScale="96" zoomScaleNormal="96" workbookViewId="0">
      <selection activeCell="C6" sqref="C6"/>
    </sheetView>
  </sheetViews>
  <sheetFormatPr defaultRowHeight="12.75" x14ac:dyDescent="0.2"/>
  <cols>
    <col min="1" max="1" width="9.140625" style="84"/>
    <col min="2" max="2" width="26.5703125" style="84" customWidth="1"/>
    <col min="3" max="3" width="51.85546875" style="84" customWidth="1"/>
    <col min="4" max="4" width="11.7109375" style="84" customWidth="1"/>
    <col min="5" max="5" width="13.85546875" style="84" customWidth="1"/>
    <col min="6" max="257" width="9.140625" style="84"/>
    <col min="258" max="258" width="26.5703125" style="84" customWidth="1"/>
    <col min="259" max="259" width="51.85546875" style="84" customWidth="1"/>
    <col min="260" max="260" width="11.7109375" style="84" customWidth="1"/>
    <col min="261" max="261" width="13.85546875" style="84" customWidth="1"/>
    <col min="262" max="513" width="9.140625" style="84"/>
    <col min="514" max="514" width="26.5703125" style="84" customWidth="1"/>
    <col min="515" max="515" width="51.85546875" style="84" customWidth="1"/>
    <col min="516" max="516" width="11.7109375" style="84" customWidth="1"/>
    <col min="517" max="517" width="13.85546875" style="84" customWidth="1"/>
    <col min="518" max="769" width="9.140625" style="84"/>
    <col min="770" max="770" width="26.5703125" style="84" customWidth="1"/>
    <col min="771" max="771" width="51.85546875" style="84" customWidth="1"/>
    <col min="772" max="772" width="11.7109375" style="84" customWidth="1"/>
    <col min="773" max="773" width="13.85546875" style="84" customWidth="1"/>
    <col min="774" max="1025" width="9.140625" style="84"/>
    <col min="1026" max="1026" width="26.5703125" style="84" customWidth="1"/>
    <col min="1027" max="1027" width="51.85546875" style="84" customWidth="1"/>
    <col min="1028" max="1028" width="11.7109375" style="84" customWidth="1"/>
    <col min="1029" max="1029" width="13.85546875" style="84" customWidth="1"/>
    <col min="1030" max="1281" width="9.140625" style="84"/>
    <col min="1282" max="1282" width="26.5703125" style="84" customWidth="1"/>
    <col min="1283" max="1283" width="51.85546875" style="84" customWidth="1"/>
    <col min="1284" max="1284" width="11.7109375" style="84" customWidth="1"/>
    <col min="1285" max="1285" width="13.85546875" style="84" customWidth="1"/>
    <col min="1286" max="1537" width="9.140625" style="84"/>
    <col min="1538" max="1538" width="26.5703125" style="84" customWidth="1"/>
    <col min="1539" max="1539" width="51.85546875" style="84" customWidth="1"/>
    <col min="1540" max="1540" width="11.7109375" style="84" customWidth="1"/>
    <col min="1541" max="1541" width="13.85546875" style="84" customWidth="1"/>
    <col min="1542" max="1793" width="9.140625" style="84"/>
    <col min="1794" max="1794" width="26.5703125" style="84" customWidth="1"/>
    <col min="1795" max="1795" width="51.85546875" style="84" customWidth="1"/>
    <col min="1796" max="1796" width="11.7109375" style="84" customWidth="1"/>
    <col min="1797" max="1797" width="13.85546875" style="84" customWidth="1"/>
    <col min="1798" max="2049" width="9.140625" style="84"/>
    <col min="2050" max="2050" width="26.5703125" style="84" customWidth="1"/>
    <col min="2051" max="2051" width="51.85546875" style="84" customWidth="1"/>
    <col min="2052" max="2052" width="11.7109375" style="84" customWidth="1"/>
    <col min="2053" max="2053" width="13.85546875" style="84" customWidth="1"/>
    <col min="2054" max="2305" width="9.140625" style="84"/>
    <col min="2306" max="2306" width="26.5703125" style="84" customWidth="1"/>
    <col min="2307" max="2307" width="51.85546875" style="84" customWidth="1"/>
    <col min="2308" max="2308" width="11.7109375" style="84" customWidth="1"/>
    <col min="2309" max="2309" width="13.85546875" style="84" customWidth="1"/>
    <col min="2310" max="2561" width="9.140625" style="84"/>
    <col min="2562" max="2562" width="26.5703125" style="84" customWidth="1"/>
    <col min="2563" max="2563" width="51.85546875" style="84" customWidth="1"/>
    <col min="2564" max="2564" width="11.7109375" style="84" customWidth="1"/>
    <col min="2565" max="2565" width="13.85546875" style="84" customWidth="1"/>
    <col min="2566" max="2817" width="9.140625" style="84"/>
    <col min="2818" max="2818" width="26.5703125" style="84" customWidth="1"/>
    <col min="2819" max="2819" width="51.85546875" style="84" customWidth="1"/>
    <col min="2820" max="2820" width="11.7109375" style="84" customWidth="1"/>
    <col min="2821" max="2821" width="13.85546875" style="84" customWidth="1"/>
    <col min="2822" max="3073" width="9.140625" style="84"/>
    <col min="3074" max="3074" width="26.5703125" style="84" customWidth="1"/>
    <col min="3075" max="3075" width="51.85546875" style="84" customWidth="1"/>
    <col min="3076" max="3076" width="11.7109375" style="84" customWidth="1"/>
    <col min="3077" max="3077" width="13.85546875" style="84" customWidth="1"/>
    <col min="3078" max="3329" width="9.140625" style="84"/>
    <col min="3330" max="3330" width="26.5703125" style="84" customWidth="1"/>
    <col min="3331" max="3331" width="51.85546875" style="84" customWidth="1"/>
    <col min="3332" max="3332" width="11.7109375" style="84" customWidth="1"/>
    <col min="3333" max="3333" width="13.85546875" style="84" customWidth="1"/>
    <col min="3334" max="3585" width="9.140625" style="84"/>
    <col min="3586" max="3586" width="26.5703125" style="84" customWidth="1"/>
    <col min="3587" max="3587" width="51.85546875" style="84" customWidth="1"/>
    <col min="3588" max="3588" width="11.7109375" style="84" customWidth="1"/>
    <col min="3589" max="3589" width="13.85546875" style="84" customWidth="1"/>
    <col min="3590" max="3841" width="9.140625" style="84"/>
    <col min="3842" max="3842" width="26.5703125" style="84" customWidth="1"/>
    <col min="3843" max="3843" width="51.85546875" style="84" customWidth="1"/>
    <col min="3844" max="3844" width="11.7109375" style="84" customWidth="1"/>
    <col min="3845" max="3845" width="13.85546875" style="84" customWidth="1"/>
    <col min="3846" max="4097" width="9.140625" style="84"/>
    <col min="4098" max="4098" width="26.5703125" style="84" customWidth="1"/>
    <col min="4099" max="4099" width="51.85546875" style="84" customWidth="1"/>
    <col min="4100" max="4100" width="11.7109375" style="84" customWidth="1"/>
    <col min="4101" max="4101" width="13.85546875" style="84" customWidth="1"/>
    <col min="4102" max="4353" width="9.140625" style="84"/>
    <col min="4354" max="4354" width="26.5703125" style="84" customWidth="1"/>
    <col min="4355" max="4355" width="51.85546875" style="84" customWidth="1"/>
    <col min="4356" max="4356" width="11.7109375" style="84" customWidth="1"/>
    <col min="4357" max="4357" width="13.85546875" style="84" customWidth="1"/>
    <col min="4358" max="4609" width="9.140625" style="84"/>
    <col min="4610" max="4610" width="26.5703125" style="84" customWidth="1"/>
    <col min="4611" max="4611" width="51.85546875" style="84" customWidth="1"/>
    <col min="4612" max="4612" width="11.7109375" style="84" customWidth="1"/>
    <col min="4613" max="4613" width="13.85546875" style="84" customWidth="1"/>
    <col min="4614" max="4865" width="9.140625" style="84"/>
    <col min="4866" max="4866" width="26.5703125" style="84" customWidth="1"/>
    <col min="4867" max="4867" width="51.85546875" style="84" customWidth="1"/>
    <col min="4868" max="4868" width="11.7109375" style="84" customWidth="1"/>
    <col min="4869" max="4869" width="13.85546875" style="84" customWidth="1"/>
    <col min="4870" max="5121" width="9.140625" style="84"/>
    <col min="5122" max="5122" width="26.5703125" style="84" customWidth="1"/>
    <col min="5123" max="5123" width="51.85546875" style="84" customWidth="1"/>
    <col min="5124" max="5124" width="11.7109375" style="84" customWidth="1"/>
    <col min="5125" max="5125" width="13.85546875" style="84" customWidth="1"/>
    <col min="5126" max="5377" width="9.140625" style="84"/>
    <col min="5378" max="5378" width="26.5703125" style="84" customWidth="1"/>
    <col min="5379" max="5379" width="51.85546875" style="84" customWidth="1"/>
    <col min="5380" max="5380" width="11.7109375" style="84" customWidth="1"/>
    <col min="5381" max="5381" width="13.85546875" style="84" customWidth="1"/>
    <col min="5382" max="5633" width="9.140625" style="84"/>
    <col min="5634" max="5634" width="26.5703125" style="84" customWidth="1"/>
    <col min="5635" max="5635" width="51.85546875" style="84" customWidth="1"/>
    <col min="5636" max="5636" width="11.7109375" style="84" customWidth="1"/>
    <col min="5637" max="5637" width="13.85546875" style="84" customWidth="1"/>
    <col min="5638" max="5889" width="9.140625" style="84"/>
    <col min="5890" max="5890" width="26.5703125" style="84" customWidth="1"/>
    <col min="5891" max="5891" width="51.85546875" style="84" customWidth="1"/>
    <col min="5892" max="5892" width="11.7109375" style="84" customWidth="1"/>
    <col min="5893" max="5893" width="13.85546875" style="84" customWidth="1"/>
    <col min="5894" max="6145" width="9.140625" style="84"/>
    <col min="6146" max="6146" width="26.5703125" style="84" customWidth="1"/>
    <col min="6147" max="6147" width="51.85546875" style="84" customWidth="1"/>
    <col min="6148" max="6148" width="11.7109375" style="84" customWidth="1"/>
    <col min="6149" max="6149" width="13.85546875" style="84" customWidth="1"/>
    <col min="6150" max="6401" width="9.140625" style="84"/>
    <col min="6402" max="6402" width="26.5703125" style="84" customWidth="1"/>
    <col min="6403" max="6403" width="51.85546875" style="84" customWidth="1"/>
    <col min="6404" max="6404" width="11.7109375" style="84" customWidth="1"/>
    <col min="6405" max="6405" width="13.85546875" style="84" customWidth="1"/>
    <col min="6406" max="6657" width="9.140625" style="84"/>
    <col min="6658" max="6658" width="26.5703125" style="84" customWidth="1"/>
    <col min="6659" max="6659" width="51.85546875" style="84" customWidth="1"/>
    <col min="6660" max="6660" width="11.7109375" style="84" customWidth="1"/>
    <col min="6661" max="6661" width="13.85546875" style="84" customWidth="1"/>
    <col min="6662" max="6913" width="9.140625" style="84"/>
    <col min="6914" max="6914" width="26.5703125" style="84" customWidth="1"/>
    <col min="6915" max="6915" width="51.85546875" style="84" customWidth="1"/>
    <col min="6916" max="6916" width="11.7109375" style="84" customWidth="1"/>
    <col min="6917" max="6917" width="13.85546875" style="84" customWidth="1"/>
    <col min="6918" max="7169" width="9.140625" style="84"/>
    <col min="7170" max="7170" width="26.5703125" style="84" customWidth="1"/>
    <col min="7171" max="7171" width="51.85546875" style="84" customWidth="1"/>
    <col min="7172" max="7172" width="11.7109375" style="84" customWidth="1"/>
    <col min="7173" max="7173" width="13.85546875" style="84" customWidth="1"/>
    <col min="7174" max="7425" width="9.140625" style="84"/>
    <col min="7426" max="7426" width="26.5703125" style="84" customWidth="1"/>
    <col min="7427" max="7427" width="51.85546875" style="84" customWidth="1"/>
    <col min="7428" max="7428" width="11.7109375" style="84" customWidth="1"/>
    <col min="7429" max="7429" width="13.85546875" style="84" customWidth="1"/>
    <col min="7430" max="7681" width="9.140625" style="84"/>
    <col min="7682" max="7682" width="26.5703125" style="84" customWidth="1"/>
    <col min="7683" max="7683" width="51.85546875" style="84" customWidth="1"/>
    <col min="7684" max="7684" width="11.7109375" style="84" customWidth="1"/>
    <col min="7685" max="7685" width="13.85546875" style="84" customWidth="1"/>
    <col min="7686" max="7937" width="9.140625" style="84"/>
    <col min="7938" max="7938" width="26.5703125" style="84" customWidth="1"/>
    <col min="7939" max="7939" width="51.85546875" style="84" customWidth="1"/>
    <col min="7940" max="7940" width="11.7109375" style="84" customWidth="1"/>
    <col min="7941" max="7941" width="13.85546875" style="84" customWidth="1"/>
    <col min="7942" max="8193" width="9.140625" style="84"/>
    <col min="8194" max="8194" width="26.5703125" style="84" customWidth="1"/>
    <col min="8195" max="8195" width="51.85546875" style="84" customWidth="1"/>
    <col min="8196" max="8196" width="11.7109375" style="84" customWidth="1"/>
    <col min="8197" max="8197" width="13.85546875" style="84" customWidth="1"/>
    <col min="8198" max="8449" width="9.140625" style="84"/>
    <col min="8450" max="8450" width="26.5703125" style="84" customWidth="1"/>
    <col min="8451" max="8451" width="51.85546875" style="84" customWidth="1"/>
    <col min="8452" max="8452" width="11.7109375" style="84" customWidth="1"/>
    <col min="8453" max="8453" width="13.85546875" style="84" customWidth="1"/>
    <col min="8454" max="8705" width="9.140625" style="84"/>
    <col min="8706" max="8706" width="26.5703125" style="84" customWidth="1"/>
    <col min="8707" max="8707" width="51.85546875" style="84" customWidth="1"/>
    <col min="8708" max="8708" width="11.7109375" style="84" customWidth="1"/>
    <col min="8709" max="8709" width="13.85546875" style="84" customWidth="1"/>
    <col min="8710" max="8961" width="9.140625" style="84"/>
    <col min="8962" max="8962" width="26.5703125" style="84" customWidth="1"/>
    <col min="8963" max="8963" width="51.85546875" style="84" customWidth="1"/>
    <col min="8964" max="8964" width="11.7109375" style="84" customWidth="1"/>
    <col min="8965" max="8965" width="13.85546875" style="84" customWidth="1"/>
    <col min="8966" max="9217" width="9.140625" style="84"/>
    <col min="9218" max="9218" width="26.5703125" style="84" customWidth="1"/>
    <col min="9219" max="9219" width="51.85546875" style="84" customWidth="1"/>
    <col min="9220" max="9220" width="11.7109375" style="84" customWidth="1"/>
    <col min="9221" max="9221" width="13.85546875" style="84" customWidth="1"/>
    <col min="9222" max="9473" width="9.140625" style="84"/>
    <col min="9474" max="9474" width="26.5703125" style="84" customWidth="1"/>
    <col min="9475" max="9475" width="51.85546875" style="84" customWidth="1"/>
    <col min="9476" max="9476" width="11.7109375" style="84" customWidth="1"/>
    <col min="9477" max="9477" width="13.85546875" style="84" customWidth="1"/>
    <col min="9478" max="9729" width="9.140625" style="84"/>
    <col min="9730" max="9730" width="26.5703125" style="84" customWidth="1"/>
    <col min="9731" max="9731" width="51.85546875" style="84" customWidth="1"/>
    <col min="9732" max="9732" width="11.7109375" style="84" customWidth="1"/>
    <col min="9733" max="9733" width="13.85546875" style="84" customWidth="1"/>
    <col min="9734" max="9985" width="9.140625" style="84"/>
    <col min="9986" max="9986" width="26.5703125" style="84" customWidth="1"/>
    <col min="9987" max="9987" width="51.85546875" style="84" customWidth="1"/>
    <col min="9988" max="9988" width="11.7109375" style="84" customWidth="1"/>
    <col min="9989" max="9989" width="13.85546875" style="84" customWidth="1"/>
    <col min="9990" max="10241" width="9.140625" style="84"/>
    <col min="10242" max="10242" width="26.5703125" style="84" customWidth="1"/>
    <col min="10243" max="10243" width="51.85546875" style="84" customWidth="1"/>
    <col min="10244" max="10244" width="11.7109375" style="84" customWidth="1"/>
    <col min="10245" max="10245" width="13.85546875" style="84" customWidth="1"/>
    <col min="10246" max="10497" width="9.140625" style="84"/>
    <col min="10498" max="10498" width="26.5703125" style="84" customWidth="1"/>
    <col min="10499" max="10499" width="51.85546875" style="84" customWidth="1"/>
    <col min="10500" max="10500" width="11.7109375" style="84" customWidth="1"/>
    <col min="10501" max="10501" width="13.85546875" style="84" customWidth="1"/>
    <col min="10502" max="10753" width="9.140625" style="84"/>
    <col min="10754" max="10754" width="26.5703125" style="84" customWidth="1"/>
    <col min="10755" max="10755" width="51.85546875" style="84" customWidth="1"/>
    <col min="10756" max="10756" width="11.7109375" style="84" customWidth="1"/>
    <col min="10757" max="10757" width="13.85546875" style="84" customWidth="1"/>
    <col min="10758" max="11009" width="9.140625" style="84"/>
    <col min="11010" max="11010" width="26.5703125" style="84" customWidth="1"/>
    <col min="11011" max="11011" width="51.85546875" style="84" customWidth="1"/>
    <col min="11012" max="11012" width="11.7109375" style="84" customWidth="1"/>
    <col min="11013" max="11013" width="13.85546875" style="84" customWidth="1"/>
    <col min="11014" max="11265" width="9.140625" style="84"/>
    <col min="11266" max="11266" width="26.5703125" style="84" customWidth="1"/>
    <col min="11267" max="11267" width="51.85546875" style="84" customWidth="1"/>
    <col min="11268" max="11268" width="11.7109375" style="84" customWidth="1"/>
    <col min="11269" max="11269" width="13.85546875" style="84" customWidth="1"/>
    <col min="11270" max="11521" width="9.140625" style="84"/>
    <col min="11522" max="11522" width="26.5703125" style="84" customWidth="1"/>
    <col min="11523" max="11523" width="51.85546875" style="84" customWidth="1"/>
    <col min="11524" max="11524" width="11.7109375" style="84" customWidth="1"/>
    <col min="11525" max="11525" width="13.85546875" style="84" customWidth="1"/>
    <col min="11526" max="11777" width="9.140625" style="84"/>
    <col min="11778" max="11778" width="26.5703125" style="84" customWidth="1"/>
    <col min="11779" max="11779" width="51.85546875" style="84" customWidth="1"/>
    <col min="11780" max="11780" width="11.7109375" style="84" customWidth="1"/>
    <col min="11781" max="11781" width="13.85546875" style="84" customWidth="1"/>
    <col min="11782" max="12033" width="9.140625" style="84"/>
    <col min="12034" max="12034" width="26.5703125" style="84" customWidth="1"/>
    <col min="12035" max="12035" width="51.85546875" style="84" customWidth="1"/>
    <col min="12036" max="12036" width="11.7109375" style="84" customWidth="1"/>
    <col min="12037" max="12037" width="13.85546875" style="84" customWidth="1"/>
    <col min="12038" max="12289" width="9.140625" style="84"/>
    <col min="12290" max="12290" width="26.5703125" style="84" customWidth="1"/>
    <col min="12291" max="12291" width="51.85546875" style="84" customWidth="1"/>
    <col min="12292" max="12292" width="11.7109375" style="84" customWidth="1"/>
    <col min="12293" max="12293" width="13.85546875" style="84" customWidth="1"/>
    <col min="12294" max="12545" width="9.140625" style="84"/>
    <col min="12546" max="12546" width="26.5703125" style="84" customWidth="1"/>
    <col min="12547" max="12547" width="51.85546875" style="84" customWidth="1"/>
    <col min="12548" max="12548" width="11.7109375" style="84" customWidth="1"/>
    <col min="12549" max="12549" width="13.85546875" style="84" customWidth="1"/>
    <col min="12550" max="12801" width="9.140625" style="84"/>
    <col min="12802" max="12802" width="26.5703125" style="84" customWidth="1"/>
    <col min="12803" max="12803" width="51.85546875" style="84" customWidth="1"/>
    <col min="12804" max="12804" width="11.7109375" style="84" customWidth="1"/>
    <col min="12805" max="12805" width="13.85546875" style="84" customWidth="1"/>
    <col min="12806" max="13057" width="9.140625" style="84"/>
    <col min="13058" max="13058" width="26.5703125" style="84" customWidth="1"/>
    <col min="13059" max="13059" width="51.85546875" style="84" customWidth="1"/>
    <col min="13060" max="13060" width="11.7109375" style="84" customWidth="1"/>
    <col min="13061" max="13061" width="13.85546875" style="84" customWidth="1"/>
    <col min="13062" max="13313" width="9.140625" style="84"/>
    <col min="13314" max="13314" width="26.5703125" style="84" customWidth="1"/>
    <col min="13315" max="13315" width="51.85546875" style="84" customWidth="1"/>
    <col min="13316" max="13316" width="11.7109375" style="84" customWidth="1"/>
    <col min="13317" max="13317" width="13.85546875" style="84" customWidth="1"/>
    <col min="13318" max="13569" width="9.140625" style="84"/>
    <col min="13570" max="13570" width="26.5703125" style="84" customWidth="1"/>
    <col min="13571" max="13571" width="51.85546875" style="84" customWidth="1"/>
    <col min="13572" max="13572" width="11.7109375" style="84" customWidth="1"/>
    <col min="13573" max="13573" width="13.85546875" style="84" customWidth="1"/>
    <col min="13574" max="13825" width="9.140625" style="84"/>
    <col min="13826" max="13826" width="26.5703125" style="84" customWidth="1"/>
    <col min="13827" max="13827" width="51.85546875" style="84" customWidth="1"/>
    <col min="13828" max="13828" width="11.7109375" style="84" customWidth="1"/>
    <col min="13829" max="13829" width="13.85546875" style="84" customWidth="1"/>
    <col min="13830" max="14081" width="9.140625" style="84"/>
    <col min="14082" max="14082" width="26.5703125" style="84" customWidth="1"/>
    <col min="14083" max="14083" width="51.85546875" style="84" customWidth="1"/>
    <col min="14084" max="14084" width="11.7109375" style="84" customWidth="1"/>
    <col min="14085" max="14085" width="13.85546875" style="84" customWidth="1"/>
    <col min="14086" max="14337" width="9.140625" style="84"/>
    <col min="14338" max="14338" width="26.5703125" style="84" customWidth="1"/>
    <col min="14339" max="14339" width="51.85546875" style="84" customWidth="1"/>
    <col min="14340" max="14340" width="11.7109375" style="84" customWidth="1"/>
    <col min="14341" max="14341" width="13.85546875" style="84" customWidth="1"/>
    <col min="14342" max="14593" width="9.140625" style="84"/>
    <col min="14594" max="14594" width="26.5703125" style="84" customWidth="1"/>
    <col min="14595" max="14595" width="51.85546875" style="84" customWidth="1"/>
    <col min="14596" max="14596" width="11.7109375" style="84" customWidth="1"/>
    <col min="14597" max="14597" width="13.85546875" style="84" customWidth="1"/>
    <col min="14598" max="14849" width="9.140625" style="84"/>
    <col min="14850" max="14850" width="26.5703125" style="84" customWidth="1"/>
    <col min="14851" max="14851" width="51.85546875" style="84" customWidth="1"/>
    <col min="14852" max="14852" width="11.7109375" style="84" customWidth="1"/>
    <col min="14853" max="14853" width="13.85546875" style="84" customWidth="1"/>
    <col min="14854" max="15105" width="9.140625" style="84"/>
    <col min="15106" max="15106" width="26.5703125" style="84" customWidth="1"/>
    <col min="15107" max="15107" width="51.85546875" style="84" customWidth="1"/>
    <col min="15108" max="15108" width="11.7109375" style="84" customWidth="1"/>
    <col min="15109" max="15109" width="13.85546875" style="84" customWidth="1"/>
    <col min="15110" max="15361" width="9.140625" style="84"/>
    <col min="15362" max="15362" width="26.5703125" style="84" customWidth="1"/>
    <col min="15363" max="15363" width="51.85546875" style="84" customWidth="1"/>
    <col min="15364" max="15364" width="11.7109375" style="84" customWidth="1"/>
    <col min="15365" max="15365" width="13.85546875" style="84" customWidth="1"/>
    <col min="15366" max="15617" width="9.140625" style="84"/>
    <col min="15618" max="15618" width="26.5703125" style="84" customWidth="1"/>
    <col min="15619" max="15619" width="51.85546875" style="84" customWidth="1"/>
    <col min="15620" max="15620" width="11.7109375" style="84" customWidth="1"/>
    <col min="15621" max="15621" width="13.85546875" style="84" customWidth="1"/>
    <col min="15622" max="15873" width="9.140625" style="84"/>
    <col min="15874" max="15874" width="26.5703125" style="84" customWidth="1"/>
    <col min="15875" max="15875" width="51.85546875" style="84" customWidth="1"/>
    <col min="15876" max="15876" width="11.7109375" style="84" customWidth="1"/>
    <col min="15877" max="15877" width="13.85546875" style="84" customWidth="1"/>
    <col min="15878" max="16129" width="9.140625" style="84"/>
    <col min="16130" max="16130" width="26.5703125" style="84" customWidth="1"/>
    <col min="16131" max="16131" width="51.85546875" style="84" customWidth="1"/>
    <col min="16132" max="16132" width="11.7109375" style="84" customWidth="1"/>
    <col min="16133" max="16133" width="13.85546875" style="84" customWidth="1"/>
    <col min="16134" max="16384" width="9.140625" style="84"/>
  </cols>
  <sheetData>
    <row r="1" spans="1:14" x14ac:dyDescent="0.2">
      <c r="B1" s="9"/>
    </row>
    <row r="2" spans="1:14" ht="45" x14ac:dyDescent="0.2">
      <c r="A2" s="85" t="s">
        <v>368</v>
      </c>
      <c r="B2" s="86" t="s">
        <v>366</v>
      </c>
      <c r="C2" s="86" t="s">
        <v>369</v>
      </c>
      <c r="D2" s="87" t="s">
        <v>370</v>
      </c>
      <c r="E2" s="87" t="s">
        <v>371</v>
      </c>
      <c r="F2" s="88" t="s">
        <v>372</v>
      </c>
      <c r="G2" s="86" t="s">
        <v>373</v>
      </c>
      <c r="H2" s="86" t="s">
        <v>374</v>
      </c>
      <c r="I2" s="86" t="s">
        <v>375</v>
      </c>
      <c r="J2" s="86" t="s">
        <v>376</v>
      </c>
      <c r="K2" s="89" t="s">
        <v>377</v>
      </c>
      <c r="L2" s="86" t="s">
        <v>378</v>
      </c>
      <c r="M2" s="86" t="s">
        <v>379</v>
      </c>
      <c r="N2" s="86" t="s">
        <v>380</v>
      </c>
    </row>
    <row r="3" spans="1:14" x14ac:dyDescent="0.2">
      <c r="A3" s="84">
        <v>1169</v>
      </c>
      <c r="B3" s="9" t="s">
        <v>381</v>
      </c>
      <c r="C3" s="9" t="s">
        <v>382</v>
      </c>
      <c r="D3" s="84">
        <v>68.99666666666667</v>
      </c>
      <c r="E3" s="84">
        <v>-150.28100000000001</v>
      </c>
      <c r="F3" s="84" t="s">
        <v>383</v>
      </c>
      <c r="G3" s="84" t="s">
        <v>384</v>
      </c>
      <c r="H3" s="84" t="s">
        <v>383</v>
      </c>
      <c r="I3" s="84" t="s">
        <v>383</v>
      </c>
      <c r="J3" s="84" t="s">
        <v>385</v>
      </c>
      <c r="K3" s="84" t="s">
        <v>383</v>
      </c>
      <c r="L3" s="84" t="s">
        <v>383</v>
      </c>
      <c r="M3" s="90" t="str">
        <f t="shared" ref="M3:M66" si="0">HYPERLINK("http://maps.google.com/maps?q="&amp;D3&amp;","&amp;E3,"View on Google Map")</f>
        <v>View on Google Map</v>
      </c>
    </row>
    <row r="4" spans="1:14" x14ac:dyDescent="0.2">
      <c r="A4" s="84">
        <v>1170</v>
      </c>
      <c r="B4" s="9" t="s">
        <v>386</v>
      </c>
      <c r="C4" s="9" t="s">
        <v>387</v>
      </c>
      <c r="D4" s="84">
        <v>68.952222222222218</v>
      </c>
      <c r="E4" s="84">
        <v>-150.21249999999998</v>
      </c>
      <c r="F4" s="84" t="s">
        <v>383</v>
      </c>
      <c r="G4" s="84" t="s">
        <v>384</v>
      </c>
      <c r="H4" s="84" t="s">
        <v>383</v>
      </c>
      <c r="I4" s="84" t="s">
        <v>383</v>
      </c>
      <c r="J4" s="84" t="s">
        <v>385</v>
      </c>
      <c r="K4" s="84" t="s">
        <v>383</v>
      </c>
      <c r="L4" s="84" t="s">
        <v>383</v>
      </c>
      <c r="M4" s="90" t="str">
        <f t="shared" si="0"/>
        <v>View on Google Map</v>
      </c>
    </row>
    <row r="5" spans="1:14" x14ac:dyDescent="0.2">
      <c r="A5" s="84">
        <v>1171</v>
      </c>
      <c r="B5" s="9" t="s">
        <v>388</v>
      </c>
      <c r="C5" s="9" t="s">
        <v>389</v>
      </c>
      <c r="D5" s="84">
        <v>68.934444444444452</v>
      </c>
      <c r="E5" s="84">
        <v>-150.2727777777778</v>
      </c>
      <c r="F5" s="84" t="s">
        <v>383</v>
      </c>
      <c r="G5" s="84" t="s">
        <v>384</v>
      </c>
      <c r="H5" s="84" t="s">
        <v>383</v>
      </c>
      <c r="I5" s="84" t="s">
        <v>383</v>
      </c>
      <c r="J5" s="84" t="s">
        <v>390</v>
      </c>
      <c r="K5" s="84" t="s">
        <v>383</v>
      </c>
      <c r="L5" s="84" t="s">
        <v>391</v>
      </c>
      <c r="M5" s="90" t="str">
        <f t="shared" si="0"/>
        <v>View on Google Map</v>
      </c>
    </row>
    <row r="6" spans="1:14" x14ac:dyDescent="0.2">
      <c r="A6" s="84">
        <v>518</v>
      </c>
      <c r="B6" s="84" t="s">
        <v>392</v>
      </c>
      <c r="C6" s="84" t="s">
        <v>393</v>
      </c>
      <c r="D6" s="84">
        <v>68.900986000000003</v>
      </c>
      <c r="E6" s="84">
        <v>-151.308469</v>
      </c>
      <c r="F6" s="84">
        <v>350</v>
      </c>
      <c r="G6" s="84" t="s">
        <v>394</v>
      </c>
      <c r="H6" s="84" t="s">
        <v>383</v>
      </c>
      <c r="I6" s="84" t="s">
        <v>383</v>
      </c>
      <c r="J6" s="84" t="s">
        <v>395</v>
      </c>
      <c r="K6" s="84" t="s">
        <v>383</v>
      </c>
      <c r="L6" s="84" t="s">
        <v>396</v>
      </c>
      <c r="M6" s="90" t="str">
        <f t="shared" si="0"/>
        <v>View on Google Map</v>
      </c>
    </row>
    <row r="7" spans="1:14" x14ac:dyDescent="0.2">
      <c r="A7" s="84">
        <v>478</v>
      </c>
      <c r="B7" s="84" t="s">
        <v>397</v>
      </c>
      <c r="C7" s="84" t="s">
        <v>383</v>
      </c>
      <c r="D7" s="84">
        <v>68.510069999999999</v>
      </c>
      <c r="E7" s="84">
        <v>-149.62691000000001</v>
      </c>
      <c r="F7" s="84">
        <v>996</v>
      </c>
      <c r="G7" s="84" t="s">
        <v>394</v>
      </c>
      <c r="H7" s="84" t="s">
        <v>383</v>
      </c>
      <c r="I7" s="84" t="s">
        <v>383</v>
      </c>
      <c r="J7" s="84" t="s">
        <v>395</v>
      </c>
      <c r="K7" s="84" t="s">
        <v>383</v>
      </c>
      <c r="L7" s="84" t="s">
        <v>383</v>
      </c>
      <c r="M7" s="90" t="str">
        <f t="shared" si="0"/>
        <v>View on Google Map</v>
      </c>
    </row>
    <row r="8" spans="1:14" x14ac:dyDescent="0.2">
      <c r="A8" s="84">
        <v>479</v>
      </c>
      <c r="B8" s="84" t="s">
        <v>398</v>
      </c>
      <c r="C8" s="84" t="s">
        <v>383</v>
      </c>
      <c r="D8" s="84">
        <v>68.505080000000007</v>
      </c>
      <c r="E8" s="84">
        <v>-149.62766999999999</v>
      </c>
      <c r="F8" s="84">
        <v>986</v>
      </c>
      <c r="G8" s="84" t="s">
        <v>394</v>
      </c>
      <c r="H8" s="84" t="s">
        <v>383</v>
      </c>
      <c r="I8" s="84" t="s">
        <v>383</v>
      </c>
      <c r="J8" s="84" t="s">
        <v>395</v>
      </c>
      <c r="K8" s="84" t="s">
        <v>383</v>
      </c>
      <c r="L8" s="84" t="s">
        <v>383</v>
      </c>
      <c r="M8" s="90" t="str">
        <f t="shared" si="0"/>
        <v>View on Google Map</v>
      </c>
    </row>
    <row r="9" spans="1:14" x14ac:dyDescent="0.2">
      <c r="A9" s="84">
        <v>480</v>
      </c>
      <c r="B9" s="84" t="s">
        <v>399</v>
      </c>
      <c r="C9" s="84" t="s">
        <v>383</v>
      </c>
      <c r="D9" s="84">
        <v>68.502449999999996</v>
      </c>
      <c r="E9" s="84">
        <v>-149.63137</v>
      </c>
      <c r="F9" s="84">
        <v>982</v>
      </c>
      <c r="G9" s="84" t="s">
        <v>394</v>
      </c>
      <c r="H9" s="84" t="s">
        <v>383</v>
      </c>
      <c r="I9" s="84" t="s">
        <v>383</v>
      </c>
      <c r="J9" s="84" t="s">
        <v>395</v>
      </c>
      <c r="K9" s="84" t="s">
        <v>383</v>
      </c>
      <c r="L9" s="84" t="s">
        <v>383</v>
      </c>
      <c r="M9" s="90" t="str">
        <f t="shared" si="0"/>
        <v>View on Google Map</v>
      </c>
    </row>
    <row r="10" spans="1:14" x14ac:dyDescent="0.2">
      <c r="B10" s="84" t="s">
        <v>400</v>
      </c>
      <c r="C10" s="84" t="s">
        <v>401</v>
      </c>
      <c r="D10" s="84">
        <v>69.375833333333333</v>
      </c>
      <c r="E10" s="84">
        <v>-150.68138888888899</v>
      </c>
      <c r="G10" s="84" t="s">
        <v>402</v>
      </c>
      <c r="J10" s="84" t="s">
        <v>390</v>
      </c>
      <c r="L10" s="84" t="s">
        <v>391</v>
      </c>
      <c r="M10" s="90" t="str">
        <f t="shared" si="0"/>
        <v>View on Google Map</v>
      </c>
    </row>
    <row r="11" spans="1:14" x14ac:dyDescent="0.2">
      <c r="B11" s="84" t="s">
        <v>403</v>
      </c>
      <c r="C11" s="84" t="s">
        <v>401</v>
      </c>
      <c r="D11" s="84">
        <v>69.322777777777773</v>
      </c>
      <c r="E11" s="84">
        <v>-150.95055555555601</v>
      </c>
      <c r="G11" s="84" t="s">
        <v>402</v>
      </c>
      <c r="J11" s="84" t="s">
        <v>390</v>
      </c>
      <c r="L11" s="84" t="s">
        <v>391</v>
      </c>
      <c r="M11" s="90" t="str">
        <f t="shared" si="0"/>
        <v>View on Google Map</v>
      </c>
    </row>
    <row r="12" spans="1:14" x14ac:dyDescent="0.2">
      <c r="B12" s="84" t="s">
        <v>404</v>
      </c>
      <c r="C12" s="84" t="s">
        <v>401</v>
      </c>
      <c r="D12" s="84">
        <v>69.328055555555565</v>
      </c>
      <c r="E12" s="84">
        <v>-150.238055555556</v>
      </c>
      <c r="G12" s="84" t="s">
        <v>402</v>
      </c>
      <c r="J12" s="84" t="s">
        <v>390</v>
      </c>
      <c r="L12" s="84" t="s">
        <v>391</v>
      </c>
      <c r="M12" s="90" t="str">
        <f t="shared" si="0"/>
        <v>View on Google Map</v>
      </c>
    </row>
    <row r="13" spans="1:14" x14ac:dyDescent="0.2">
      <c r="B13" s="84" t="s">
        <v>405</v>
      </c>
      <c r="C13" s="84" t="s">
        <v>401</v>
      </c>
      <c r="D13" s="84">
        <v>69.30361111111111</v>
      </c>
      <c r="E13" s="84">
        <v>-149.56083333333299</v>
      </c>
      <c r="G13" s="84" t="s">
        <v>402</v>
      </c>
      <c r="J13" s="84" t="s">
        <v>390</v>
      </c>
      <c r="L13" s="84" t="s">
        <v>391</v>
      </c>
      <c r="M13" s="90" t="str">
        <f t="shared" si="0"/>
        <v>View on Google Map</v>
      </c>
    </row>
    <row r="14" spans="1:14" x14ac:dyDescent="0.2">
      <c r="A14" s="84">
        <v>7</v>
      </c>
      <c r="B14" s="84" t="s">
        <v>406</v>
      </c>
      <c r="C14" s="84" t="s">
        <v>407</v>
      </c>
      <c r="D14" s="84">
        <v>68.95</v>
      </c>
      <c r="E14" s="84">
        <v>-148.86666666666667</v>
      </c>
      <c r="F14" s="84">
        <v>360</v>
      </c>
      <c r="G14" s="84" t="s">
        <v>408</v>
      </c>
      <c r="H14" s="84" t="s">
        <v>383</v>
      </c>
      <c r="I14" s="84" t="s">
        <v>383</v>
      </c>
      <c r="J14" s="84" t="s">
        <v>409</v>
      </c>
      <c r="K14" s="84" t="s">
        <v>383</v>
      </c>
      <c r="L14" s="84" t="s">
        <v>410</v>
      </c>
      <c r="M14" s="90" t="str">
        <f t="shared" si="0"/>
        <v>View on Google Map</v>
      </c>
    </row>
    <row r="15" spans="1:14" x14ac:dyDescent="0.2">
      <c r="A15" s="84">
        <v>517</v>
      </c>
      <c r="B15" s="84" t="s">
        <v>411</v>
      </c>
      <c r="C15" s="84" t="s">
        <v>393</v>
      </c>
      <c r="D15" s="84">
        <v>68.467832999999999</v>
      </c>
      <c r="E15" s="84">
        <v>-151.47916699999999</v>
      </c>
      <c r="F15" s="84">
        <v>732</v>
      </c>
      <c r="G15" s="84" t="s">
        <v>394</v>
      </c>
      <c r="H15" s="84" t="s">
        <v>383</v>
      </c>
      <c r="I15" s="84" t="s">
        <v>383</v>
      </c>
      <c r="J15" s="84" t="s">
        <v>395</v>
      </c>
      <c r="K15" s="84" t="s">
        <v>383</v>
      </c>
      <c r="L15" s="84" t="s">
        <v>396</v>
      </c>
      <c r="M15" s="90" t="str">
        <f t="shared" si="0"/>
        <v>View on Google Map</v>
      </c>
    </row>
    <row r="16" spans="1:14" x14ac:dyDescent="0.2">
      <c r="A16" s="84">
        <v>516</v>
      </c>
      <c r="B16" s="84" t="s">
        <v>412</v>
      </c>
      <c r="C16" s="84" t="s">
        <v>393</v>
      </c>
      <c r="D16" s="84">
        <v>68.467500000000001</v>
      </c>
      <c r="E16" s="84">
        <v>-151.49433300000001</v>
      </c>
      <c r="F16" s="84">
        <v>769</v>
      </c>
      <c r="G16" s="84" t="s">
        <v>394</v>
      </c>
      <c r="H16" s="84" t="s">
        <v>383</v>
      </c>
      <c r="I16" s="84" t="s">
        <v>383</v>
      </c>
      <c r="J16" s="84" t="s">
        <v>395</v>
      </c>
      <c r="K16" s="84" t="s">
        <v>383</v>
      </c>
      <c r="L16" s="84" t="s">
        <v>396</v>
      </c>
      <c r="M16" s="90" t="str">
        <f t="shared" si="0"/>
        <v>View on Google Map</v>
      </c>
    </row>
    <row r="17" spans="1:13" x14ac:dyDescent="0.2">
      <c r="A17" s="84">
        <v>515</v>
      </c>
      <c r="B17" s="84" t="s">
        <v>413</v>
      </c>
      <c r="C17" s="84" t="s">
        <v>393</v>
      </c>
      <c r="D17" s="84">
        <v>68.463999999999999</v>
      </c>
      <c r="E17" s="84">
        <v>-151.51516699999999</v>
      </c>
      <c r="F17" s="84">
        <v>809</v>
      </c>
      <c r="G17" s="84" t="s">
        <v>394</v>
      </c>
      <c r="H17" s="84" t="s">
        <v>383</v>
      </c>
      <c r="I17" s="84" t="s">
        <v>383</v>
      </c>
      <c r="J17" s="84" t="s">
        <v>395</v>
      </c>
      <c r="K17" s="84" t="s">
        <v>383</v>
      </c>
      <c r="L17" s="84" t="s">
        <v>396</v>
      </c>
      <c r="M17" s="90" t="str">
        <f t="shared" si="0"/>
        <v>View on Google Map</v>
      </c>
    </row>
    <row r="18" spans="1:13" x14ac:dyDescent="0.2">
      <c r="A18" s="84">
        <v>1177</v>
      </c>
      <c r="B18" s="84" t="s">
        <v>414</v>
      </c>
      <c r="C18" s="84" t="s">
        <v>415</v>
      </c>
      <c r="D18" s="84">
        <v>68.99539</v>
      </c>
      <c r="E18" s="84">
        <v>-150.28278</v>
      </c>
      <c r="F18" s="84" t="s">
        <v>383</v>
      </c>
      <c r="G18" s="84" t="s">
        <v>384</v>
      </c>
      <c r="H18" s="84" t="s">
        <v>383</v>
      </c>
      <c r="I18" s="84" t="s">
        <v>383</v>
      </c>
      <c r="J18" s="84" t="s">
        <v>390</v>
      </c>
      <c r="K18" s="84" t="s">
        <v>383</v>
      </c>
      <c r="L18" s="84" t="s">
        <v>391</v>
      </c>
      <c r="M18" s="90" t="str">
        <f t="shared" si="0"/>
        <v>View on Google Map</v>
      </c>
    </row>
    <row r="19" spans="1:13" x14ac:dyDescent="0.2">
      <c r="A19" s="84">
        <v>1178</v>
      </c>
      <c r="B19" s="84" t="s">
        <v>416</v>
      </c>
      <c r="C19" s="84" t="s">
        <v>415</v>
      </c>
      <c r="D19" s="84">
        <v>68.996089999999995</v>
      </c>
      <c r="E19" s="84">
        <v>-150.29223999999999</v>
      </c>
      <c r="F19" s="84" t="s">
        <v>383</v>
      </c>
      <c r="G19" s="84" t="s">
        <v>384</v>
      </c>
      <c r="H19" s="84" t="s">
        <v>383</v>
      </c>
      <c r="I19" s="84" t="s">
        <v>383</v>
      </c>
      <c r="J19" s="84" t="s">
        <v>390</v>
      </c>
      <c r="K19" s="84" t="s">
        <v>383</v>
      </c>
      <c r="L19" s="84" t="s">
        <v>391</v>
      </c>
      <c r="M19" s="90" t="str">
        <f t="shared" si="0"/>
        <v>View on Google Map</v>
      </c>
    </row>
    <row r="20" spans="1:13" x14ac:dyDescent="0.2">
      <c r="A20" s="84">
        <v>1179</v>
      </c>
      <c r="B20" s="84" t="s">
        <v>417</v>
      </c>
      <c r="C20" s="84" t="s">
        <v>418</v>
      </c>
      <c r="D20" s="84">
        <v>68.953829999999996</v>
      </c>
      <c r="E20" s="84">
        <v>-150.20697000000001</v>
      </c>
      <c r="F20" s="84" t="s">
        <v>383</v>
      </c>
      <c r="G20" s="84" t="s">
        <v>384</v>
      </c>
      <c r="H20" s="84" t="s">
        <v>383</v>
      </c>
      <c r="I20" s="84" t="s">
        <v>383</v>
      </c>
      <c r="J20" s="84" t="s">
        <v>390</v>
      </c>
      <c r="K20" s="84" t="s">
        <v>383</v>
      </c>
      <c r="L20" s="84" t="s">
        <v>391</v>
      </c>
      <c r="M20" s="90" t="str">
        <f t="shared" si="0"/>
        <v>View on Google Map</v>
      </c>
    </row>
    <row r="21" spans="1:13" x14ac:dyDescent="0.2">
      <c r="A21" s="84">
        <v>1180</v>
      </c>
      <c r="B21" s="9" t="s">
        <v>419</v>
      </c>
      <c r="C21" s="84" t="s">
        <v>418</v>
      </c>
      <c r="D21" s="84">
        <v>68.951099999999997</v>
      </c>
      <c r="E21" s="84">
        <v>-150.20966000000001</v>
      </c>
      <c r="F21" s="84" t="s">
        <v>383</v>
      </c>
      <c r="G21" s="84" t="s">
        <v>384</v>
      </c>
      <c r="H21" s="84" t="s">
        <v>383</v>
      </c>
      <c r="I21" s="84" t="s">
        <v>383</v>
      </c>
      <c r="J21" s="84" t="s">
        <v>390</v>
      </c>
      <c r="K21" s="84" t="s">
        <v>383</v>
      </c>
      <c r="L21" s="84" t="s">
        <v>391</v>
      </c>
      <c r="M21" s="90" t="str">
        <f t="shared" si="0"/>
        <v>View on Google Map</v>
      </c>
    </row>
    <row r="22" spans="1:13" x14ac:dyDescent="0.2">
      <c r="A22" s="84">
        <v>1181</v>
      </c>
      <c r="B22" s="9" t="s">
        <v>420</v>
      </c>
      <c r="C22" s="84" t="s">
        <v>418</v>
      </c>
      <c r="D22" s="84">
        <v>68.950720000000004</v>
      </c>
      <c r="E22" s="84">
        <v>-150.19745</v>
      </c>
      <c r="F22" s="84" t="s">
        <v>383</v>
      </c>
      <c r="G22" s="84" t="s">
        <v>384</v>
      </c>
      <c r="H22" s="84" t="s">
        <v>383</v>
      </c>
      <c r="I22" s="84" t="s">
        <v>383</v>
      </c>
      <c r="J22" s="84" t="s">
        <v>390</v>
      </c>
      <c r="K22" s="84" t="s">
        <v>383</v>
      </c>
      <c r="L22" s="84" t="s">
        <v>391</v>
      </c>
      <c r="M22" s="90" t="str">
        <f t="shared" si="0"/>
        <v>View on Google Map</v>
      </c>
    </row>
    <row r="23" spans="1:13" x14ac:dyDescent="0.2">
      <c r="A23" s="84">
        <v>1182</v>
      </c>
      <c r="B23" s="9" t="s">
        <v>421</v>
      </c>
      <c r="C23" s="84" t="s">
        <v>418</v>
      </c>
      <c r="D23" s="84">
        <v>68.950149999999994</v>
      </c>
      <c r="E23" s="84">
        <v>-150.19701000000001</v>
      </c>
      <c r="F23" s="84" t="s">
        <v>383</v>
      </c>
      <c r="G23" s="84" t="s">
        <v>384</v>
      </c>
      <c r="H23" s="84" t="s">
        <v>383</v>
      </c>
      <c r="I23" s="84" t="s">
        <v>383</v>
      </c>
      <c r="J23" s="84" t="s">
        <v>390</v>
      </c>
      <c r="K23" s="84" t="s">
        <v>383</v>
      </c>
      <c r="L23" s="84" t="s">
        <v>391</v>
      </c>
      <c r="M23" s="90" t="str">
        <f t="shared" si="0"/>
        <v>View on Google Map</v>
      </c>
    </row>
    <row r="24" spans="1:13" x14ac:dyDescent="0.2">
      <c r="A24" s="84">
        <v>1183</v>
      </c>
      <c r="B24" s="9" t="s">
        <v>422</v>
      </c>
      <c r="C24" s="84" t="s">
        <v>418</v>
      </c>
      <c r="D24" s="84">
        <v>68.949629999999999</v>
      </c>
      <c r="E24" s="84">
        <v>-150.19672</v>
      </c>
      <c r="F24" s="84" t="s">
        <v>383</v>
      </c>
      <c r="G24" s="84" t="s">
        <v>384</v>
      </c>
      <c r="H24" s="84" t="s">
        <v>383</v>
      </c>
      <c r="I24" s="84" t="s">
        <v>383</v>
      </c>
      <c r="J24" s="84" t="s">
        <v>390</v>
      </c>
      <c r="K24" s="84" t="s">
        <v>383</v>
      </c>
      <c r="L24" s="84" t="s">
        <v>391</v>
      </c>
      <c r="M24" s="90" t="str">
        <f t="shared" si="0"/>
        <v>View on Google Map</v>
      </c>
    </row>
    <row r="25" spans="1:13" x14ac:dyDescent="0.2">
      <c r="A25" s="84">
        <v>1184</v>
      </c>
      <c r="B25" s="9" t="s">
        <v>423</v>
      </c>
      <c r="C25" s="84" t="s">
        <v>418</v>
      </c>
      <c r="D25" s="84">
        <v>68.952349999999996</v>
      </c>
      <c r="E25" s="84">
        <v>-150.20769999999999</v>
      </c>
      <c r="F25" s="84" t="s">
        <v>383</v>
      </c>
      <c r="G25" s="84" t="s">
        <v>384</v>
      </c>
      <c r="H25" s="84" t="s">
        <v>383</v>
      </c>
      <c r="I25" s="84" t="s">
        <v>383</v>
      </c>
      <c r="J25" s="84" t="s">
        <v>390</v>
      </c>
      <c r="K25" s="84" t="s">
        <v>383</v>
      </c>
      <c r="L25" s="84" t="s">
        <v>391</v>
      </c>
      <c r="M25" s="90" t="str">
        <f t="shared" si="0"/>
        <v>View on Google Map</v>
      </c>
    </row>
    <row r="26" spans="1:13" x14ac:dyDescent="0.2">
      <c r="A26" s="84">
        <v>1185</v>
      </c>
      <c r="B26" s="9" t="s">
        <v>424</v>
      </c>
      <c r="C26" s="84" t="s">
        <v>418</v>
      </c>
      <c r="D26" s="84">
        <v>68.933340000000001</v>
      </c>
      <c r="E26" s="84">
        <v>-150.27288999999999</v>
      </c>
      <c r="F26" s="84" t="s">
        <v>383</v>
      </c>
      <c r="G26" s="84" t="s">
        <v>384</v>
      </c>
      <c r="H26" s="84" t="s">
        <v>383</v>
      </c>
      <c r="I26" s="84" t="s">
        <v>383</v>
      </c>
      <c r="J26" s="84" t="s">
        <v>390</v>
      </c>
      <c r="K26" s="84" t="s">
        <v>383</v>
      </c>
      <c r="L26" s="84" t="s">
        <v>391</v>
      </c>
      <c r="M26" s="90" t="str">
        <f t="shared" si="0"/>
        <v>View on Google Map</v>
      </c>
    </row>
    <row r="27" spans="1:13" x14ac:dyDescent="0.2">
      <c r="A27" s="84">
        <v>1186</v>
      </c>
      <c r="B27" s="84" t="s">
        <v>425</v>
      </c>
      <c r="C27" s="84" t="s">
        <v>418</v>
      </c>
      <c r="D27" s="84">
        <v>68.935190000000006</v>
      </c>
      <c r="E27" s="84">
        <v>-150.26884000000001</v>
      </c>
      <c r="F27" s="84" t="s">
        <v>383</v>
      </c>
      <c r="G27" s="84" t="s">
        <v>384</v>
      </c>
      <c r="H27" s="84" t="s">
        <v>383</v>
      </c>
      <c r="I27" s="84" t="s">
        <v>383</v>
      </c>
      <c r="J27" s="84" t="s">
        <v>390</v>
      </c>
      <c r="K27" s="84" t="s">
        <v>383</v>
      </c>
      <c r="L27" s="84" t="s">
        <v>391</v>
      </c>
      <c r="M27" s="90" t="str">
        <f t="shared" si="0"/>
        <v>View on Google Map</v>
      </c>
    </row>
    <row r="28" spans="1:13" x14ac:dyDescent="0.2">
      <c r="A28" s="84">
        <v>1187</v>
      </c>
      <c r="B28" s="9" t="s">
        <v>426</v>
      </c>
      <c r="C28" s="84" t="s">
        <v>418</v>
      </c>
      <c r="D28" s="84">
        <v>68.997339999999994</v>
      </c>
      <c r="E28" s="84">
        <v>-150.30745999999999</v>
      </c>
      <c r="F28" s="84" t="s">
        <v>383</v>
      </c>
      <c r="G28" s="84" t="s">
        <v>384</v>
      </c>
      <c r="H28" s="84" t="s">
        <v>383</v>
      </c>
      <c r="I28" s="84" t="s">
        <v>383</v>
      </c>
      <c r="J28" s="84" t="s">
        <v>390</v>
      </c>
      <c r="K28" s="84" t="s">
        <v>383</v>
      </c>
      <c r="L28" s="84" t="s">
        <v>391</v>
      </c>
      <c r="M28" s="90" t="str">
        <f t="shared" si="0"/>
        <v>View on Google Map</v>
      </c>
    </row>
    <row r="29" spans="1:13" x14ac:dyDescent="0.2">
      <c r="A29" s="84">
        <v>1188</v>
      </c>
      <c r="B29" s="9" t="s">
        <v>427</v>
      </c>
      <c r="C29" s="84" t="s">
        <v>418</v>
      </c>
      <c r="D29" s="84">
        <v>68.950779999999995</v>
      </c>
      <c r="E29" s="84">
        <v>-150.19788</v>
      </c>
      <c r="F29" s="84" t="s">
        <v>383</v>
      </c>
      <c r="G29" s="84" t="s">
        <v>384</v>
      </c>
      <c r="H29" s="84" t="s">
        <v>383</v>
      </c>
      <c r="I29" s="84" t="s">
        <v>383</v>
      </c>
      <c r="J29" s="84" t="s">
        <v>390</v>
      </c>
      <c r="K29" s="84" t="s">
        <v>383</v>
      </c>
      <c r="L29" s="84" t="s">
        <v>391</v>
      </c>
      <c r="M29" s="90" t="str">
        <f t="shared" si="0"/>
        <v>View on Google Map</v>
      </c>
    </row>
    <row r="30" spans="1:13" x14ac:dyDescent="0.2">
      <c r="A30" s="84">
        <v>1189</v>
      </c>
      <c r="B30" s="9" t="s">
        <v>428</v>
      </c>
      <c r="C30" s="84" t="s">
        <v>418</v>
      </c>
      <c r="D30" s="84">
        <v>68.954440000000005</v>
      </c>
      <c r="E30" s="84">
        <v>-150.20644999999999</v>
      </c>
      <c r="F30" s="84" t="s">
        <v>383</v>
      </c>
      <c r="G30" s="84" t="s">
        <v>384</v>
      </c>
      <c r="H30" s="84" t="s">
        <v>383</v>
      </c>
      <c r="I30" s="84" t="s">
        <v>383</v>
      </c>
      <c r="J30" s="84" t="s">
        <v>390</v>
      </c>
      <c r="K30" s="84" t="s">
        <v>383</v>
      </c>
      <c r="L30" s="84" t="s">
        <v>391</v>
      </c>
      <c r="M30" s="90" t="str">
        <f t="shared" si="0"/>
        <v>View on Google Map</v>
      </c>
    </row>
    <row r="31" spans="1:13" x14ac:dyDescent="0.2">
      <c r="A31" s="84">
        <v>1190</v>
      </c>
      <c r="B31" s="9" t="s">
        <v>429</v>
      </c>
      <c r="C31" s="84" t="s">
        <v>418</v>
      </c>
      <c r="D31" s="84">
        <v>69.116330000000005</v>
      </c>
      <c r="E31" s="84">
        <v>-150.79077000000001</v>
      </c>
      <c r="F31" s="84" t="s">
        <v>383</v>
      </c>
      <c r="G31" s="84" t="s">
        <v>384</v>
      </c>
      <c r="H31" s="84" t="s">
        <v>383</v>
      </c>
      <c r="I31" s="84" t="s">
        <v>383</v>
      </c>
      <c r="J31" s="84" t="s">
        <v>390</v>
      </c>
      <c r="K31" s="84" t="s">
        <v>383</v>
      </c>
      <c r="L31" s="84" t="s">
        <v>391</v>
      </c>
      <c r="M31" s="90" t="str">
        <f t="shared" si="0"/>
        <v>View on Google Map</v>
      </c>
    </row>
    <row r="32" spans="1:13" x14ac:dyDescent="0.2">
      <c r="A32" s="84">
        <v>1191</v>
      </c>
      <c r="B32" s="9" t="s">
        <v>430</v>
      </c>
      <c r="C32" s="84" t="s">
        <v>418</v>
      </c>
      <c r="D32" s="84">
        <v>69.116150000000005</v>
      </c>
      <c r="E32" s="84">
        <v>-150.79553999999999</v>
      </c>
      <c r="F32" s="84" t="s">
        <v>383</v>
      </c>
      <c r="G32" s="84" t="s">
        <v>384</v>
      </c>
      <c r="H32" s="84" t="s">
        <v>383</v>
      </c>
      <c r="I32" s="84" t="s">
        <v>383</v>
      </c>
      <c r="J32" s="84" t="s">
        <v>390</v>
      </c>
      <c r="K32" s="84" t="s">
        <v>383</v>
      </c>
      <c r="L32" s="84" t="s">
        <v>391</v>
      </c>
      <c r="M32" s="90" t="str">
        <f t="shared" si="0"/>
        <v>View on Google Map</v>
      </c>
    </row>
    <row r="33" spans="1:14" x14ac:dyDescent="0.2">
      <c r="A33" s="84">
        <v>3</v>
      </c>
      <c r="B33" s="84" t="s">
        <v>431</v>
      </c>
      <c r="C33" s="84" t="s">
        <v>432</v>
      </c>
      <c r="D33" s="84">
        <v>68.266666666666666</v>
      </c>
      <c r="E33" s="84">
        <v>-149.44999999999999</v>
      </c>
      <c r="F33" s="84">
        <v>914</v>
      </c>
      <c r="G33" s="84" t="s">
        <v>408</v>
      </c>
      <c r="H33" s="84" t="s">
        <v>383</v>
      </c>
      <c r="I33" s="84" t="s">
        <v>383</v>
      </c>
      <c r="J33" s="84" t="s">
        <v>409</v>
      </c>
      <c r="K33" s="84" t="s">
        <v>383</v>
      </c>
      <c r="L33" s="84" t="s">
        <v>410</v>
      </c>
      <c r="M33" s="90" t="str">
        <f t="shared" si="0"/>
        <v>View on Google Map</v>
      </c>
    </row>
    <row r="34" spans="1:14" x14ac:dyDescent="0.2">
      <c r="A34" s="84">
        <v>2</v>
      </c>
      <c r="B34" s="84" t="s">
        <v>433</v>
      </c>
      <c r="C34" s="84" t="s">
        <v>434</v>
      </c>
      <c r="D34" s="84">
        <v>68.266666666666666</v>
      </c>
      <c r="E34" s="84">
        <v>-149.46666666666667</v>
      </c>
      <c r="F34" s="84">
        <v>914</v>
      </c>
      <c r="G34" s="84" t="s">
        <v>408</v>
      </c>
      <c r="H34" s="84" t="s">
        <v>383</v>
      </c>
      <c r="I34" s="84" t="s">
        <v>383</v>
      </c>
      <c r="J34" s="84" t="s">
        <v>409</v>
      </c>
      <c r="K34" s="84" t="s">
        <v>383</v>
      </c>
      <c r="L34" s="84" t="s">
        <v>410</v>
      </c>
      <c r="M34" s="90" t="str">
        <f t="shared" si="0"/>
        <v>View on Google Map</v>
      </c>
    </row>
    <row r="35" spans="1:14" x14ac:dyDescent="0.2">
      <c r="A35" s="84">
        <v>25</v>
      </c>
      <c r="B35" s="84" t="s">
        <v>435</v>
      </c>
      <c r="C35" s="84" t="s">
        <v>383</v>
      </c>
      <c r="D35" s="84" t="s">
        <v>383</v>
      </c>
      <c r="E35" s="84" t="s">
        <v>383</v>
      </c>
      <c r="F35" s="84">
        <v>1097</v>
      </c>
      <c r="G35" s="84" t="s">
        <v>408</v>
      </c>
      <c r="H35" s="84" t="s">
        <v>436</v>
      </c>
      <c r="I35" s="84" t="s">
        <v>383</v>
      </c>
      <c r="J35" s="84" t="s">
        <v>409</v>
      </c>
      <c r="K35" s="84" t="s">
        <v>383</v>
      </c>
      <c r="L35" s="84" t="s">
        <v>383</v>
      </c>
      <c r="M35" s="90" t="str">
        <f t="shared" si="0"/>
        <v>View on Google Map</v>
      </c>
    </row>
    <row r="36" spans="1:14" x14ac:dyDescent="0.2">
      <c r="A36" s="84">
        <v>26</v>
      </c>
      <c r="B36" s="84" t="s">
        <v>437</v>
      </c>
      <c r="C36" s="84" t="s">
        <v>383</v>
      </c>
      <c r="D36" s="84" t="s">
        <v>383</v>
      </c>
      <c r="E36" s="84" t="s">
        <v>383</v>
      </c>
      <c r="F36" s="84">
        <v>1280</v>
      </c>
      <c r="G36" s="84" t="s">
        <v>408</v>
      </c>
      <c r="H36" s="84" t="s">
        <v>438</v>
      </c>
      <c r="I36" s="84" t="s">
        <v>383</v>
      </c>
      <c r="J36" s="84" t="s">
        <v>409</v>
      </c>
      <c r="K36" s="84" t="s">
        <v>383</v>
      </c>
      <c r="L36" s="84" t="s">
        <v>383</v>
      </c>
      <c r="M36" s="90" t="str">
        <f t="shared" si="0"/>
        <v>View on Google Map</v>
      </c>
    </row>
    <row r="37" spans="1:14" x14ac:dyDescent="0.2">
      <c r="A37" s="84">
        <v>27</v>
      </c>
      <c r="B37" s="84" t="s">
        <v>439</v>
      </c>
      <c r="C37" s="84" t="s">
        <v>383</v>
      </c>
      <c r="D37" s="84" t="s">
        <v>383</v>
      </c>
      <c r="E37" s="84" t="s">
        <v>383</v>
      </c>
      <c r="F37" s="84">
        <v>1555</v>
      </c>
      <c r="G37" s="84" t="s">
        <v>408</v>
      </c>
      <c r="H37" s="84" t="s">
        <v>440</v>
      </c>
      <c r="I37" s="84" t="s">
        <v>383</v>
      </c>
      <c r="J37" s="84" t="s">
        <v>409</v>
      </c>
      <c r="K37" s="84" t="s">
        <v>383</v>
      </c>
      <c r="L37" s="84" t="s">
        <v>383</v>
      </c>
      <c r="M37" s="90" t="str">
        <f t="shared" si="0"/>
        <v>View on Google Map</v>
      </c>
    </row>
    <row r="38" spans="1:14" ht="12.75" customHeight="1" x14ac:dyDescent="0.2">
      <c r="A38" s="84">
        <v>138</v>
      </c>
      <c r="B38" s="84" t="s">
        <v>441</v>
      </c>
      <c r="C38" s="84" t="s">
        <v>383</v>
      </c>
      <c r="D38" s="84">
        <v>70.283333333333331</v>
      </c>
      <c r="E38" s="84">
        <v>-148.30000000000001</v>
      </c>
      <c r="F38" s="84">
        <v>6</v>
      </c>
      <c r="G38" s="84" t="s">
        <v>394</v>
      </c>
      <c r="H38" s="84" t="s">
        <v>442</v>
      </c>
      <c r="I38" s="84" t="s">
        <v>383</v>
      </c>
      <c r="J38" s="84" t="s">
        <v>409</v>
      </c>
      <c r="K38" s="84" t="s">
        <v>383</v>
      </c>
      <c r="L38" s="84" t="s">
        <v>410</v>
      </c>
      <c r="M38" s="90" t="str">
        <f t="shared" si="0"/>
        <v>View on Google Map</v>
      </c>
    </row>
    <row r="39" spans="1:14" ht="12.75" customHeight="1" x14ac:dyDescent="0.2">
      <c r="A39" s="84">
        <v>31</v>
      </c>
      <c r="B39" s="84" t="s">
        <v>443</v>
      </c>
      <c r="C39" s="84" t="s">
        <v>383</v>
      </c>
      <c r="D39" s="84">
        <v>68.957566666999995</v>
      </c>
      <c r="E39" s="84">
        <v>-150.236266667</v>
      </c>
      <c r="F39" s="84">
        <v>386.18</v>
      </c>
      <c r="G39" s="84" t="s">
        <v>408</v>
      </c>
      <c r="H39" s="84" t="s">
        <v>383</v>
      </c>
      <c r="I39" s="84" t="s">
        <v>383</v>
      </c>
      <c r="J39" s="84" t="s">
        <v>444</v>
      </c>
      <c r="K39" s="84" t="s">
        <v>383</v>
      </c>
      <c r="L39" s="84" t="s">
        <v>391</v>
      </c>
      <c r="M39" s="90" t="str">
        <f t="shared" si="0"/>
        <v>View on Google Map</v>
      </c>
    </row>
    <row r="40" spans="1:14" ht="12.75" customHeight="1" x14ac:dyDescent="0.2">
      <c r="A40" s="84">
        <v>131</v>
      </c>
      <c r="B40" s="84" t="s">
        <v>445</v>
      </c>
      <c r="C40" s="84" t="s">
        <v>383</v>
      </c>
      <c r="D40" s="84">
        <v>70.333333333333329</v>
      </c>
      <c r="E40" s="84">
        <v>-148.93333333333334</v>
      </c>
      <c r="F40" s="84">
        <v>3</v>
      </c>
      <c r="G40" s="84" t="s">
        <v>394</v>
      </c>
      <c r="H40" s="84" t="s">
        <v>446</v>
      </c>
      <c r="I40" s="84" t="s">
        <v>383</v>
      </c>
      <c r="J40" s="84" t="s">
        <v>409</v>
      </c>
      <c r="K40" s="84" t="s">
        <v>383</v>
      </c>
      <c r="L40" s="84" t="s">
        <v>410</v>
      </c>
      <c r="M40" s="90" t="str">
        <f t="shared" si="0"/>
        <v>View on Google Map</v>
      </c>
    </row>
    <row r="41" spans="1:14" s="91" customFormat="1" ht="12.75" customHeight="1" x14ac:dyDescent="0.2">
      <c r="A41" s="84">
        <v>132</v>
      </c>
      <c r="B41" s="84" t="s">
        <v>447</v>
      </c>
      <c r="C41" s="84" t="s">
        <v>383</v>
      </c>
      <c r="D41" s="84">
        <v>70.333333333333329</v>
      </c>
      <c r="E41" s="84">
        <v>-148.93333333333334</v>
      </c>
      <c r="F41" s="84">
        <v>3</v>
      </c>
      <c r="G41" s="84" t="s">
        <v>394</v>
      </c>
      <c r="H41" s="84" t="s">
        <v>448</v>
      </c>
      <c r="I41" s="84" t="s">
        <v>383</v>
      </c>
      <c r="J41" s="84" t="s">
        <v>409</v>
      </c>
      <c r="K41" s="84" t="s">
        <v>383</v>
      </c>
      <c r="L41" s="84" t="s">
        <v>410</v>
      </c>
      <c r="M41" s="90" t="str">
        <f t="shared" si="0"/>
        <v>View on Google Map</v>
      </c>
      <c r="N41" s="84"/>
    </row>
    <row r="42" spans="1:14" ht="12.75" customHeight="1" x14ac:dyDescent="0.2">
      <c r="A42" s="84">
        <v>141</v>
      </c>
      <c r="B42" s="84" t="s">
        <v>449</v>
      </c>
      <c r="C42" s="84" t="s">
        <v>450</v>
      </c>
      <c r="D42" s="84">
        <v>68.63333333333334</v>
      </c>
      <c r="E42" s="84">
        <v>-149.6</v>
      </c>
      <c r="F42" s="84">
        <v>720</v>
      </c>
      <c r="G42" s="84" t="s">
        <v>394</v>
      </c>
      <c r="H42" s="84" t="s">
        <v>451</v>
      </c>
      <c r="I42" s="84" t="s">
        <v>452</v>
      </c>
      <c r="J42" s="84" t="s">
        <v>409</v>
      </c>
      <c r="K42" s="84" t="s">
        <v>383</v>
      </c>
      <c r="L42" s="84" t="s">
        <v>410</v>
      </c>
      <c r="M42" s="90" t="str">
        <f t="shared" si="0"/>
        <v>View on Google Map</v>
      </c>
    </row>
    <row r="43" spans="1:14" ht="12.75" customHeight="1" x14ac:dyDescent="0.2">
      <c r="A43" s="84">
        <v>160</v>
      </c>
      <c r="B43" s="84" t="s">
        <v>453</v>
      </c>
      <c r="C43" s="84" t="s">
        <v>383</v>
      </c>
      <c r="D43" s="84">
        <v>68.599999999999994</v>
      </c>
      <c r="E43" s="84">
        <v>-149.18333333333334</v>
      </c>
      <c r="F43" s="84">
        <v>864</v>
      </c>
      <c r="G43" s="84" t="s">
        <v>394</v>
      </c>
      <c r="H43" s="84" t="s">
        <v>454</v>
      </c>
      <c r="I43" s="84" t="s">
        <v>455</v>
      </c>
      <c r="J43" s="84" t="s">
        <v>409</v>
      </c>
      <c r="K43" s="84">
        <v>246</v>
      </c>
      <c r="L43" s="84" t="s">
        <v>410</v>
      </c>
      <c r="M43" s="90" t="str">
        <f t="shared" si="0"/>
        <v>View on Google Map</v>
      </c>
    </row>
    <row r="44" spans="1:14" ht="12.75" customHeight="1" x14ac:dyDescent="0.2">
      <c r="A44" s="84">
        <v>481</v>
      </c>
      <c r="B44" s="84" t="s">
        <v>456</v>
      </c>
      <c r="C44" s="84" t="s">
        <v>383</v>
      </c>
      <c r="D44" s="84">
        <v>68.976716667000005</v>
      </c>
      <c r="E44" s="84">
        <v>-150.20383333300001</v>
      </c>
      <c r="F44" s="84">
        <v>362</v>
      </c>
      <c r="G44" s="84" t="s">
        <v>394</v>
      </c>
      <c r="H44" s="84" t="s">
        <v>383</v>
      </c>
      <c r="I44" s="84" t="s">
        <v>383</v>
      </c>
      <c r="J44" s="84" t="s">
        <v>444</v>
      </c>
      <c r="K44" s="84" t="s">
        <v>383</v>
      </c>
      <c r="L44" s="84" t="s">
        <v>391</v>
      </c>
      <c r="M44" s="90" t="str">
        <f t="shared" si="0"/>
        <v>View on Google Map</v>
      </c>
    </row>
    <row r="45" spans="1:14" x14ac:dyDescent="0.2">
      <c r="A45" s="84">
        <v>21</v>
      </c>
      <c r="B45" s="84" t="s">
        <v>457</v>
      </c>
      <c r="C45" s="84" t="s">
        <v>383</v>
      </c>
      <c r="D45" s="84" t="s">
        <v>383</v>
      </c>
      <c r="E45" s="84" t="s">
        <v>383</v>
      </c>
      <c r="F45" s="84" t="s">
        <v>383</v>
      </c>
      <c r="G45" s="84" t="s">
        <v>408</v>
      </c>
      <c r="H45" s="84" t="s">
        <v>383</v>
      </c>
      <c r="I45" s="84" t="s">
        <v>383</v>
      </c>
      <c r="J45" s="84" t="s">
        <v>409</v>
      </c>
      <c r="K45" s="84" t="s">
        <v>383</v>
      </c>
      <c r="L45" s="84" t="s">
        <v>383</v>
      </c>
      <c r="M45" s="90" t="str">
        <f t="shared" si="0"/>
        <v>View on Google Map</v>
      </c>
      <c r="N45" s="91"/>
    </row>
    <row r="46" spans="1:14" x14ac:dyDescent="0.2">
      <c r="A46" s="84">
        <v>470</v>
      </c>
      <c r="B46" s="84" t="s">
        <v>458</v>
      </c>
      <c r="C46" s="84" t="s">
        <v>383</v>
      </c>
      <c r="D46" s="84">
        <v>68.829459999999997</v>
      </c>
      <c r="E46" s="84">
        <v>-149.77891</v>
      </c>
      <c r="F46" s="84">
        <v>634</v>
      </c>
      <c r="G46" s="84" t="s">
        <v>394</v>
      </c>
      <c r="H46" s="84" t="s">
        <v>383</v>
      </c>
      <c r="I46" s="84" t="s">
        <v>383</v>
      </c>
      <c r="J46" s="84" t="s">
        <v>395</v>
      </c>
      <c r="K46" s="84" t="s">
        <v>383</v>
      </c>
      <c r="L46" s="84" t="s">
        <v>383</v>
      </c>
      <c r="M46" s="90" t="str">
        <f t="shared" si="0"/>
        <v>View on Google Map</v>
      </c>
    </row>
    <row r="47" spans="1:14" x14ac:dyDescent="0.2">
      <c r="A47" s="84">
        <v>471</v>
      </c>
      <c r="B47" s="84" t="s">
        <v>459</v>
      </c>
      <c r="C47" s="84" t="s">
        <v>383</v>
      </c>
      <c r="D47" s="84">
        <v>68.832939999999994</v>
      </c>
      <c r="E47" s="84">
        <v>-149.76775000000001</v>
      </c>
      <c r="F47" s="84">
        <v>624</v>
      </c>
      <c r="G47" s="84" t="s">
        <v>394</v>
      </c>
      <c r="H47" s="84" t="s">
        <v>383</v>
      </c>
      <c r="I47" s="84" t="s">
        <v>383</v>
      </c>
      <c r="J47" s="84" t="s">
        <v>395</v>
      </c>
      <c r="K47" s="84" t="s">
        <v>383</v>
      </c>
      <c r="L47" s="84" t="s">
        <v>383</v>
      </c>
      <c r="M47" s="90" t="str">
        <f t="shared" si="0"/>
        <v>View on Google Map</v>
      </c>
    </row>
    <row r="48" spans="1:14" x14ac:dyDescent="0.2">
      <c r="A48" s="84">
        <v>472</v>
      </c>
      <c r="B48" s="84" t="s">
        <v>460</v>
      </c>
      <c r="C48" s="84" t="s">
        <v>383</v>
      </c>
      <c r="D48" s="84">
        <v>68.828059999999994</v>
      </c>
      <c r="E48" s="84">
        <v>-149.76449</v>
      </c>
      <c r="F48" s="84">
        <v>624</v>
      </c>
      <c r="G48" s="84" t="s">
        <v>394</v>
      </c>
      <c r="H48" s="84" t="s">
        <v>383</v>
      </c>
      <c r="I48" s="84" t="s">
        <v>383</v>
      </c>
      <c r="J48" s="84" t="s">
        <v>395</v>
      </c>
      <c r="K48" s="84" t="s">
        <v>383</v>
      </c>
      <c r="L48" s="84" t="s">
        <v>383</v>
      </c>
      <c r="M48" s="90" t="str">
        <f t="shared" si="0"/>
        <v>View on Google Map</v>
      </c>
    </row>
    <row r="49" spans="1:13" x14ac:dyDescent="0.2">
      <c r="A49" s="84">
        <v>473</v>
      </c>
      <c r="B49" s="84" t="s">
        <v>461</v>
      </c>
      <c r="C49" s="84" t="s">
        <v>383</v>
      </c>
      <c r="D49" s="84">
        <v>68.826400000000007</v>
      </c>
      <c r="E49" s="84">
        <v>-149.7585</v>
      </c>
      <c r="F49" s="84">
        <v>592</v>
      </c>
      <c r="G49" s="84" t="s">
        <v>394</v>
      </c>
      <c r="H49" s="84" t="s">
        <v>383</v>
      </c>
      <c r="I49" s="84" t="s">
        <v>383</v>
      </c>
      <c r="J49" s="84" t="s">
        <v>395</v>
      </c>
      <c r="K49" s="84" t="s">
        <v>383</v>
      </c>
      <c r="L49" s="84" t="s">
        <v>383</v>
      </c>
      <c r="M49" s="90" t="str">
        <f t="shared" si="0"/>
        <v>View on Google Map</v>
      </c>
    </row>
    <row r="50" spans="1:13" x14ac:dyDescent="0.2">
      <c r="A50" s="84">
        <v>474</v>
      </c>
      <c r="B50" s="84" t="s">
        <v>462</v>
      </c>
      <c r="C50" s="84" t="s">
        <v>383</v>
      </c>
      <c r="D50" s="84">
        <v>68.827349999999996</v>
      </c>
      <c r="E50" s="84">
        <v>-149.74993000000001</v>
      </c>
      <c r="F50" s="84">
        <v>592</v>
      </c>
      <c r="G50" s="84" t="s">
        <v>394</v>
      </c>
      <c r="H50" s="84" t="s">
        <v>383</v>
      </c>
      <c r="I50" s="84" t="s">
        <v>383</v>
      </c>
      <c r="J50" s="84" t="s">
        <v>395</v>
      </c>
      <c r="K50" s="84" t="s">
        <v>383</v>
      </c>
      <c r="L50" s="84" t="s">
        <v>383</v>
      </c>
      <c r="M50" s="90" t="str">
        <f t="shared" si="0"/>
        <v>View on Google Map</v>
      </c>
    </row>
    <row r="51" spans="1:13" x14ac:dyDescent="0.2">
      <c r="A51" s="84">
        <v>475</v>
      </c>
      <c r="B51" s="84" t="s">
        <v>463</v>
      </c>
      <c r="C51" s="84" t="s">
        <v>383</v>
      </c>
      <c r="D51" s="84">
        <v>68.831180000000003</v>
      </c>
      <c r="E51" s="84">
        <v>-149.74606</v>
      </c>
      <c r="F51" s="84">
        <v>593</v>
      </c>
      <c r="G51" s="84" t="s">
        <v>394</v>
      </c>
      <c r="H51" s="84" t="s">
        <v>464</v>
      </c>
      <c r="I51" s="84" t="s">
        <v>383</v>
      </c>
      <c r="J51" s="84" t="s">
        <v>395</v>
      </c>
      <c r="K51" s="84" t="s">
        <v>383</v>
      </c>
      <c r="L51" s="84" t="s">
        <v>383</v>
      </c>
      <c r="M51" s="90" t="str">
        <f t="shared" si="0"/>
        <v>View on Google Map</v>
      </c>
    </row>
    <row r="52" spans="1:13" x14ac:dyDescent="0.2">
      <c r="A52" s="84">
        <v>476</v>
      </c>
      <c r="B52" s="84" t="s">
        <v>465</v>
      </c>
      <c r="C52" s="84" t="s">
        <v>383</v>
      </c>
      <c r="D52" s="84">
        <v>68.825339999999997</v>
      </c>
      <c r="E52" s="84">
        <v>-149.76837</v>
      </c>
      <c r="F52" s="84">
        <v>621</v>
      </c>
      <c r="G52" s="84" t="s">
        <v>394</v>
      </c>
      <c r="H52" s="84" t="s">
        <v>383</v>
      </c>
      <c r="I52" s="84" t="s">
        <v>383</v>
      </c>
      <c r="J52" s="84" t="s">
        <v>395</v>
      </c>
      <c r="K52" s="84" t="s">
        <v>383</v>
      </c>
      <c r="L52" s="84" t="s">
        <v>383</v>
      </c>
      <c r="M52" s="90" t="str">
        <f t="shared" si="0"/>
        <v>View on Google Map</v>
      </c>
    </row>
    <row r="53" spans="1:13" x14ac:dyDescent="0.2">
      <c r="A53" s="84">
        <v>477</v>
      </c>
      <c r="B53" s="84" t="s">
        <v>466</v>
      </c>
      <c r="C53" s="84" t="s">
        <v>383</v>
      </c>
      <c r="D53" s="84">
        <v>68.821740000000005</v>
      </c>
      <c r="E53" s="84">
        <v>-149.76378</v>
      </c>
      <c r="F53" s="84">
        <v>605</v>
      </c>
      <c r="G53" s="84" t="s">
        <v>394</v>
      </c>
      <c r="H53" s="84" t="s">
        <v>383</v>
      </c>
      <c r="I53" s="84" t="s">
        <v>383</v>
      </c>
      <c r="J53" s="84" t="s">
        <v>395</v>
      </c>
      <c r="K53" s="84" t="s">
        <v>383</v>
      </c>
      <c r="L53" s="84" t="s">
        <v>383</v>
      </c>
      <c r="M53" s="90" t="str">
        <f t="shared" si="0"/>
        <v>View on Google Map</v>
      </c>
    </row>
    <row r="54" spans="1:13" x14ac:dyDescent="0.2">
      <c r="A54" s="84">
        <v>1174</v>
      </c>
      <c r="B54" s="84" t="s">
        <v>467</v>
      </c>
      <c r="C54" s="84" t="s">
        <v>383</v>
      </c>
      <c r="D54" s="84">
        <v>68.933938330000004</v>
      </c>
      <c r="E54" s="84">
        <v>-150.27111830000001</v>
      </c>
      <c r="F54" s="84" t="s">
        <v>383</v>
      </c>
      <c r="G54" s="84" t="s">
        <v>384</v>
      </c>
      <c r="H54" s="84" t="s">
        <v>383</v>
      </c>
      <c r="I54" s="84" t="s">
        <v>383</v>
      </c>
      <c r="J54" s="84" t="s">
        <v>390</v>
      </c>
      <c r="K54" s="84" t="s">
        <v>383</v>
      </c>
      <c r="L54" s="84" t="s">
        <v>391</v>
      </c>
      <c r="M54" s="90" t="str">
        <f t="shared" si="0"/>
        <v>View on Google Map</v>
      </c>
    </row>
    <row r="55" spans="1:13" x14ac:dyDescent="0.2">
      <c r="A55" s="84">
        <v>242</v>
      </c>
      <c r="B55" s="84" t="s">
        <v>468</v>
      </c>
      <c r="C55" s="84" t="s">
        <v>383</v>
      </c>
      <c r="D55" s="84" t="s">
        <v>383</v>
      </c>
      <c r="E55" s="84" t="s">
        <v>383</v>
      </c>
      <c r="F55" s="84">
        <v>390.2439024390244</v>
      </c>
      <c r="G55" s="84" t="s">
        <v>394</v>
      </c>
      <c r="H55" s="84" t="s">
        <v>383</v>
      </c>
      <c r="I55" s="84" t="s">
        <v>383</v>
      </c>
      <c r="J55" s="84" t="s">
        <v>409</v>
      </c>
      <c r="K55" s="84" t="s">
        <v>383</v>
      </c>
      <c r="L55" s="84" t="s">
        <v>469</v>
      </c>
      <c r="M55" s="90" t="str">
        <f t="shared" si="0"/>
        <v>View on Google Map</v>
      </c>
    </row>
    <row r="56" spans="1:13" x14ac:dyDescent="0.2">
      <c r="A56" s="84">
        <v>192</v>
      </c>
      <c r="B56" s="84" t="s">
        <v>470</v>
      </c>
      <c r="C56" s="84" t="s">
        <v>383</v>
      </c>
      <c r="D56" s="84">
        <v>69.233333333333334</v>
      </c>
      <c r="E56" s="84">
        <v>-148.94999999999999</v>
      </c>
      <c r="F56" s="84">
        <v>325</v>
      </c>
      <c r="G56" s="84" t="s">
        <v>394</v>
      </c>
      <c r="H56" s="84" t="s">
        <v>471</v>
      </c>
      <c r="I56" s="84" t="s">
        <v>383</v>
      </c>
      <c r="J56" s="84" t="s">
        <v>409</v>
      </c>
      <c r="K56" s="84" t="s">
        <v>383</v>
      </c>
      <c r="L56" s="84" t="s">
        <v>472</v>
      </c>
      <c r="M56" s="90" t="str">
        <f t="shared" si="0"/>
        <v>View on Google Map</v>
      </c>
    </row>
    <row r="57" spans="1:13" x14ac:dyDescent="0.2">
      <c r="A57" s="84">
        <v>277</v>
      </c>
      <c r="B57" s="84" t="s">
        <v>470</v>
      </c>
      <c r="C57" s="84" t="s">
        <v>383</v>
      </c>
      <c r="D57" s="84">
        <v>70.374600000000001</v>
      </c>
      <c r="E57" s="84">
        <v>-149.06383333333332</v>
      </c>
      <c r="F57" s="84">
        <v>6</v>
      </c>
      <c r="G57" s="84" t="s">
        <v>394</v>
      </c>
      <c r="H57" s="84" t="s">
        <v>473</v>
      </c>
      <c r="I57" s="84" t="s">
        <v>383</v>
      </c>
      <c r="J57" s="84" t="s">
        <v>409</v>
      </c>
      <c r="K57" s="84" t="s">
        <v>383</v>
      </c>
      <c r="L57" s="84" t="s">
        <v>474</v>
      </c>
      <c r="M57" s="90" t="str">
        <f t="shared" si="0"/>
        <v>View on Google Map</v>
      </c>
    </row>
    <row r="58" spans="1:13" x14ac:dyDescent="0.2">
      <c r="A58" s="84">
        <v>193</v>
      </c>
      <c r="B58" s="84" t="s">
        <v>475</v>
      </c>
      <c r="C58" s="84" t="s">
        <v>383</v>
      </c>
      <c r="D58" s="84">
        <v>69.283333333333331</v>
      </c>
      <c r="E58" s="84">
        <v>-148.9</v>
      </c>
      <c r="F58" s="84">
        <v>346</v>
      </c>
      <c r="G58" s="84" t="s">
        <v>394</v>
      </c>
      <c r="H58" s="84" t="s">
        <v>476</v>
      </c>
      <c r="I58" s="84" t="s">
        <v>383</v>
      </c>
      <c r="J58" s="84" t="s">
        <v>409</v>
      </c>
      <c r="K58" s="84" t="s">
        <v>383</v>
      </c>
      <c r="L58" s="84" t="s">
        <v>472</v>
      </c>
      <c r="M58" s="90" t="str">
        <f t="shared" si="0"/>
        <v>View on Google Map</v>
      </c>
    </row>
    <row r="59" spans="1:13" x14ac:dyDescent="0.2">
      <c r="A59" s="84">
        <v>278</v>
      </c>
      <c r="B59" s="84" t="s">
        <v>475</v>
      </c>
      <c r="C59" s="84" t="s">
        <v>383</v>
      </c>
      <c r="D59" s="84">
        <v>70.374600000000001</v>
      </c>
      <c r="E59" s="84">
        <v>-149.06383333333332</v>
      </c>
      <c r="F59" s="84">
        <v>6</v>
      </c>
      <c r="G59" s="84" t="s">
        <v>394</v>
      </c>
      <c r="H59" s="84" t="s">
        <v>477</v>
      </c>
      <c r="I59" s="84" t="s">
        <v>383</v>
      </c>
      <c r="J59" s="84" t="s">
        <v>409</v>
      </c>
      <c r="K59" s="84" t="s">
        <v>383</v>
      </c>
      <c r="L59" s="84" t="s">
        <v>474</v>
      </c>
      <c r="M59" s="90" t="str">
        <f t="shared" si="0"/>
        <v>View on Google Map</v>
      </c>
    </row>
    <row r="60" spans="1:13" x14ac:dyDescent="0.2">
      <c r="A60" s="84">
        <v>194</v>
      </c>
      <c r="B60" s="84" t="s">
        <v>478</v>
      </c>
      <c r="C60" s="84" t="s">
        <v>383</v>
      </c>
      <c r="D60" s="84">
        <v>69.716666666666669</v>
      </c>
      <c r="E60" s="84">
        <v>-149.44999999999999</v>
      </c>
      <c r="F60" s="84">
        <v>91</v>
      </c>
      <c r="G60" s="84" t="s">
        <v>394</v>
      </c>
      <c r="H60" s="84" t="s">
        <v>479</v>
      </c>
      <c r="I60" s="84" t="s">
        <v>383</v>
      </c>
      <c r="J60" s="84" t="s">
        <v>409</v>
      </c>
      <c r="K60" s="84" t="s">
        <v>383</v>
      </c>
      <c r="L60" s="84" t="s">
        <v>472</v>
      </c>
      <c r="M60" s="90" t="str">
        <f t="shared" si="0"/>
        <v>View on Google Map</v>
      </c>
    </row>
    <row r="61" spans="1:13" x14ac:dyDescent="0.2">
      <c r="A61" s="84">
        <v>279</v>
      </c>
      <c r="B61" s="84" t="s">
        <v>478</v>
      </c>
      <c r="C61" s="84" t="s">
        <v>383</v>
      </c>
      <c r="D61" s="84">
        <v>70.367750000000001</v>
      </c>
      <c r="E61" s="84">
        <v>-148.8357</v>
      </c>
      <c r="F61" s="84">
        <v>6</v>
      </c>
      <c r="G61" s="84" t="s">
        <v>394</v>
      </c>
      <c r="H61" s="84" t="s">
        <v>480</v>
      </c>
      <c r="I61" s="84" t="s">
        <v>383</v>
      </c>
      <c r="J61" s="84" t="s">
        <v>409</v>
      </c>
      <c r="K61" s="84" t="s">
        <v>383</v>
      </c>
      <c r="L61" s="84" t="s">
        <v>474</v>
      </c>
      <c r="M61" s="90" t="str">
        <f t="shared" si="0"/>
        <v>View on Google Map</v>
      </c>
    </row>
    <row r="62" spans="1:13" x14ac:dyDescent="0.2">
      <c r="A62" s="84">
        <v>195</v>
      </c>
      <c r="B62" s="84" t="s">
        <v>481</v>
      </c>
      <c r="C62" s="84" t="s">
        <v>383</v>
      </c>
      <c r="D62" s="84">
        <v>69.716666666666669</v>
      </c>
      <c r="E62" s="84">
        <v>-149.44999999999999</v>
      </c>
      <c r="F62" s="84">
        <v>91</v>
      </c>
      <c r="G62" s="84" t="s">
        <v>394</v>
      </c>
      <c r="H62" s="84" t="s">
        <v>482</v>
      </c>
      <c r="I62" s="84" t="s">
        <v>383</v>
      </c>
      <c r="J62" s="84" t="s">
        <v>409</v>
      </c>
      <c r="K62" s="84" t="s">
        <v>383</v>
      </c>
      <c r="L62" s="84" t="s">
        <v>472</v>
      </c>
      <c r="M62" s="90" t="str">
        <f t="shared" si="0"/>
        <v>View on Google Map</v>
      </c>
    </row>
    <row r="63" spans="1:13" x14ac:dyDescent="0.2">
      <c r="A63" s="84">
        <v>280</v>
      </c>
      <c r="B63" s="84" t="s">
        <v>481</v>
      </c>
      <c r="C63" s="84" t="s">
        <v>383</v>
      </c>
      <c r="D63" s="84">
        <v>70.367750000000001</v>
      </c>
      <c r="E63" s="84">
        <v>-148.8357</v>
      </c>
      <c r="F63" s="84">
        <v>6</v>
      </c>
      <c r="G63" s="84" t="s">
        <v>394</v>
      </c>
      <c r="H63" s="84" t="s">
        <v>483</v>
      </c>
      <c r="I63" s="84" t="s">
        <v>383</v>
      </c>
      <c r="J63" s="84" t="s">
        <v>409</v>
      </c>
      <c r="K63" s="84" t="s">
        <v>383</v>
      </c>
      <c r="L63" s="84" t="s">
        <v>474</v>
      </c>
      <c r="M63" s="90" t="str">
        <f t="shared" si="0"/>
        <v>View on Google Map</v>
      </c>
    </row>
    <row r="64" spans="1:13" x14ac:dyDescent="0.2">
      <c r="A64" s="84">
        <v>196</v>
      </c>
      <c r="B64" s="84" t="s">
        <v>484</v>
      </c>
      <c r="C64" s="84" t="s">
        <v>383</v>
      </c>
      <c r="D64" s="84">
        <v>69.833333333333329</v>
      </c>
      <c r="E64" s="84">
        <v>-149.75</v>
      </c>
      <c r="F64" s="84">
        <v>80</v>
      </c>
      <c r="G64" s="84" t="s">
        <v>394</v>
      </c>
      <c r="H64" s="84" t="s">
        <v>485</v>
      </c>
      <c r="I64" s="84" t="s">
        <v>383</v>
      </c>
      <c r="J64" s="84" t="s">
        <v>409</v>
      </c>
      <c r="K64" s="84" t="s">
        <v>383</v>
      </c>
      <c r="L64" s="84" t="s">
        <v>472</v>
      </c>
      <c r="M64" s="90" t="str">
        <f t="shared" si="0"/>
        <v>View on Google Map</v>
      </c>
    </row>
    <row r="65" spans="1:13" x14ac:dyDescent="0.2">
      <c r="A65" s="84">
        <v>281</v>
      </c>
      <c r="B65" s="84" t="s">
        <v>484</v>
      </c>
      <c r="C65" s="84" t="s">
        <v>383</v>
      </c>
      <c r="D65" s="84">
        <v>70.26821666666666</v>
      </c>
      <c r="E65" s="84">
        <v>-149.20859999999999</v>
      </c>
      <c r="F65" s="84">
        <v>15</v>
      </c>
      <c r="G65" s="84" t="s">
        <v>394</v>
      </c>
      <c r="H65" s="84" t="s">
        <v>486</v>
      </c>
      <c r="I65" s="84" t="s">
        <v>383</v>
      </c>
      <c r="J65" s="84" t="s">
        <v>409</v>
      </c>
      <c r="K65" s="84" t="s">
        <v>383</v>
      </c>
      <c r="L65" s="84" t="s">
        <v>474</v>
      </c>
      <c r="M65" s="90" t="str">
        <f t="shared" si="0"/>
        <v>View on Google Map</v>
      </c>
    </row>
    <row r="66" spans="1:13" x14ac:dyDescent="0.2">
      <c r="A66" s="84">
        <v>197</v>
      </c>
      <c r="B66" s="84" t="s">
        <v>487</v>
      </c>
      <c r="C66" s="84" t="s">
        <v>383</v>
      </c>
      <c r="D66" s="84">
        <v>70.283333333333331</v>
      </c>
      <c r="E66" s="84">
        <v>-150.19999999999999</v>
      </c>
      <c r="F66" s="84">
        <v>12</v>
      </c>
      <c r="G66" s="84" t="s">
        <v>394</v>
      </c>
      <c r="H66" s="84" t="s">
        <v>488</v>
      </c>
      <c r="I66" s="84" t="s">
        <v>383</v>
      </c>
      <c r="J66" s="84" t="s">
        <v>409</v>
      </c>
      <c r="K66" s="84" t="s">
        <v>383</v>
      </c>
      <c r="L66" s="84" t="s">
        <v>472</v>
      </c>
      <c r="M66" s="90" t="str">
        <f t="shared" si="0"/>
        <v>View on Google Map</v>
      </c>
    </row>
    <row r="67" spans="1:13" x14ac:dyDescent="0.2">
      <c r="A67" s="84">
        <v>282</v>
      </c>
      <c r="B67" s="84" t="s">
        <v>487</v>
      </c>
      <c r="C67" s="84" t="s">
        <v>383</v>
      </c>
      <c r="D67" s="84">
        <v>70.26821666666666</v>
      </c>
      <c r="E67" s="84">
        <v>-149.20859999999999</v>
      </c>
      <c r="F67" s="84">
        <v>15</v>
      </c>
      <c r="G67" s="84" t="s">
        <v>394</v>
      </c>
      <c r="H67" s="84" t="s">
        <v>489</v>
      </c>
      <c r="I67" s="84" t="s">
        <v>383</v>
      </c>
      <c r="J67" s="84" t="s">
        <v>409</v>
      </c>
      <c r="K67" s="84" t="s">
        <v>383</v>
      </c>
      <c r="L67" s="84" t="s">
        <v>474</v>
      </c>
      <c r="M67" s="90" t="str">
        <f t="shared" ref="M67:M130" si="1">HYPERLINK("http://maps.google.com/maps?q="&amp;D67&amp;","&amp;E67,"View on Google Map")</f>
        <v>View on Google Map</v>
      </c>
    </row>
    <row r="68" spans="1:13" x14ac:dyDescent="0.2">
      <c r="A68" s="84">
        <v>198</v>
      </c>
      <c r="B68" s="84" t="s">
        <v>490</v>
      </c>
      <c r="C68" s="84" t="s">
        <v>383</v>
      </c>
      <c r="D68" s="84">
        <v>70.283333333333331</v>
      </c>
      <c r="E68" s="84">
        <v>-150.19999999999999</v>
      </c>
      <c r="F68" s="84">
        <v>12</v>
      </c>
      <c r="G68" s="84" t="s">
        <v>394</v>
      </c>
      <c r="H68" s="84" t="s">
        <v>491</v>
      </c>
      <c r="I68" s="84" t="s">
        <v>383</v>
      </c>
      <c r="J68" s="84" t="s">
        <v>409</v>
      </c>
      <c r="K68" s="84" t="s">
        <v>383</v>
      </c>
      <c r="L68" s="84" t="s">
        <v>472</v>
      </c>
      <c r="M68" s="90" t="str">
        <f t="shared" si="1"/>
        <v>View on Google Map</v>
      </c>
    </row>
    <row r="69" spans="1:13" x14ac:dyDescent="0.2">
      <c r="A69" s="84">
        <v>283</v>
      </c>
      <c r="B69" s="84" t="s">
        <v>490</v>
      </c>
      <c r="C69" s="84" t="s">
        <v>383</v>
      </c>
      <c r="D69" s="84">
        <v>70.184266666666673</v>
      </c>
      <c r="E69" s="84">
        <v>-149.15443333333334</v>
      </c>
      <c r="F69" s="84">
        <v>15</v>
      </c>
      <c r="G69" s="84" t="s">
        <v>394</v>
      </c>
      <c r="H69" s="84" t="s">
        <v>492</v>
      </c>
      <c r="I69" s="84" t="s">
        <v>383</v>
      </c>
      <c r="J69" s="84" t="s">
        <v>409</v>
      </c>
      <c r="K69" s="84" t="s">
        <v>383</v>
      </c>
      <c r="L69" s="84" t="s">
        <v>474</v>
      </c>
      <c r="M69" s="90" t="str">
        <f t="shared" si="1"/>
        <v>View on Google Map</v>
      </c>
    </row>
    <row r="70" spans="1:13" x14ac:dyDescent="0.2">
      <c r="A70" s="84">
        <v>199</v>
      </c>
      <c r="B70" s="84" t="s">
        <v>493</v>
      </c>
      <c r="C70" s="84" t="s">
        <v>383</v>
      </c>
      <c r="D70" s="84">
        <v>70.416666666666671</v>
      </c>
      <c r="E70" s="84">
        <v>-150.19999999999999</v>
      </c>
      <c r="F70" s="84">
        <v>4</v>
      </c>
      <c r="G70" s="84" t="s">
        <v>394</v>
      </c>
      <c r="H70" s="84" t="s">
        <v>494</v>
      </c>
      <c r="I70" s="84" t="s">
        <v>383</v>
      </c>
      <c r="J70" s="84" t="s">
        <v>409</v>
      </c>
      <c r="K70" s="84" t="s">
        <v>383</v>
      </c>
      <c r="L70" s="84" t="s">
        <v>472</v>
      </c>
      <c r="M70" s="90" t="str">
        <f t="shared" si="1"/>
        <v>View on Google Map</v>
      </c>
    </row>
    <row r="71" spans="1:13" x14ac:dyDescent="0.2">
      <c r="A71" s="84">
        <v>284</v>
      </c>
      <c r="B71" s="84" t="s">
        <v>493</v>
      </c>
      <c r="C71" s="84" t="s">
        <v>383</v>
      </c>
      <c r="D71" s="84">
        <v>70.184266666666673</v>
      </c>
      <c r="E71" s="84">
        <v>-149.15443333333334</v>
      </c>
      <c r="F71" s="84">
        <v>15</v>
      </c>
      <c r="G71" s="84" t="s">
        <v>394</v>
      </c>
      <c r="H71" s="84" t="s">
        <v>495</v>
      </c>
      <c r="I71" s="84" t="s">
        <v>383</v>
      </c>
      <c r="J71" s="84" t="s">
        <v>409</v>
      </c>
      <c r="K71" s="84" t="s">
        <v>383</v>
      </c>
      <c r="L71" s="84" t="s">
        <v>474</v>
      </c>
      <c r="M71" s="90" t="str">
        <f t="shared" si="1"/>
        <v>View on Google Map</v>
      </c>
    </row>
    <row r="72" spans="1:13" x14ac:dyDescent="0.2">
      <c r="A72" s="84">
        <v>200</v>
      </c>
      <c r="B72" s="84" t="s">
        <v>496</v>
      </c>
      <c r="C72" s="84" t="s">
        <v>383</v>
      </c>
      <c r="D72" s="84">
        <v>70.283333333333331</v>
      </c>
      <c r="E72" s="84">
        <v>-149.81666666666666</v>
      </c>
      <c r="F72" s="84">
        <v>28.963414634146343</v>
      </c>
      <c r="G72" s="84" t="s">
        <v>394</v>
      </c>
      <c r="H72" s="84" t="s">
        <v>497</v>
      </c>
      <c r="I72" s="84" t="s">
        <v>383</v>
      </c>
      <c r="J72" s="84" t="s">
        <v>409</v>
      </c>
      <c r="K72" s="84" t="s">
        <v>383</v>
      </c>
      <c r="L72" s="84" t="s">
        <v>472</v>
      </c>
      <c r="M72" s="90" t="str">
        <f t="shared" si="1"/>
        <v>View on Google Map</v>
      </c>
    </row>
    <row r="73" spans="1:13" x14ac:dyDescent="0.2">
      <c r="A73" s="84">
        <v>285</v>
      </c>
      <c r="B73" s="84" t="s">
        <v>496</v>
      </c>
      <c r="C73" s="84" t="s">
        <v>383</v>
      </c>
      <c r="D73" s="84">
        <v>70.126099999999994</v>
      </c>
      <c r="E73" s="84">
        <v>-149.33773333333335</v>
      </c>
      <c r="F73" s="84">
        <v>30</v>
      </c>
      <c r="G73" s="84" t="s">
        <v>394</v>
      </c>
      <c r="H73" s="84" t="s">
        <v>498</v>
      </c>
      <c r="I73" s="84" t="s">
        <v>383</v>
      </c>
      <c r="J73" s="84" t="s">
        <v>409</v>
      </c>
      <c r="K73" s="84" t="s">
        <v>383</v>
      </c>
      <c r="L73" s="84" t="s">
        <v>474</v>
      </c>
      <c r="M73" s="90" t="str">
        <f t="shared" si="1"/>
        <v>View on Google Map</v>
      </c>
    </row>
    <row r="74" spans="1:13" x14ac:dyDescent="0.2">
      <c r="A74" s="84">
        <v>201</v>
      </c>
      <c r="B74" s="84" t="s">
        <v>499</v>
      </c>
      <c r="C74" s="84" t="s">
        <v>383</v>
      </c>
      <c r="D74" s="84">
        <v>70.283333333333331</v>
      </c>
      <c r="E74" s="84">
        <v>-149.81666666666666</v>
      </c>
      <c r="F74" s="84">
        <v>28.963414634146343</v>
      </c>
      <c r="G74" s="84" t="s">
        <v>394</v>
      </c>
      <c r="H74" s="84" t="s">
        <v>500</v>
      </c>
      <c r="I74" s="84" t="s">
        <v>383</v>
      </c>
      <c r="J74" s="84" t="s">
        <v>409</v>
      </c>
      <c r="K74" s="84" t="s">
        <v>383</v>
      </c>
      <c r="L74" s="84" t="s">
        <v>472</v>
      </c>
      <c r="M74" s="90" t="str">
        <f t="shared" si="1"/>
        <v>View on Google Map</v>
      </c>
    </row>
    <row r="75" spans="1:13" x14ac:dyDescent="0.2">
      <c r="A75" s="84">
        <v>286</v>
      </c>
      <c r="B75" s="84" t="s">
        <v>499</v>
      </c>
      <c r="C75" s="84" t="s">
        <v>383</v>
      </c>
      <c r="D75" s="84">
        <v>70.126099999999994</v>
      </c>
      <c r="E75" s="84">
        <v>-149.33773333333335</v>
      </c>
      <c r="F75" s="84">
        <v>30</v>
      </c>
      <c r="G75" s="84" t="s">
        <v>394</v>
      </c>
      <c r="H75" s="84" t="s">
        <v>501</v>
      </c>
      <c r="I75" s="84" t="s">
        <v>383</v>
      </c>
      <c r="J75" s="84" t="s">
        <v>409</v>
      </c>
      <c r="K75" s="84" t="s">
        <v>383</v>
      </c>
      <c r="L75" s="84" t="s">
        <v>474</v>
      </c>
      <c r="M75" s="90" t="str">
        <f t="shared" si="1"/>
        <v>View on Google Map</v>
      </c>
    </row>
    <row r="76" spans="1:13" x14ac:dyDescent="0.2">
      <c r="A76" s="84">
        <v>202</v>
      </c>
      <c r="B76" s="84" t="s">
        <v>502</v>
      </c>
      <c r="C76" s="84" t="s">
        <v>383</v>
      </c>
      <c r="D76" s="84">
        <v>70.45</v>
      </c>
      <c r="E76" s="84">
        <v>-149.16666666666666</v>
      </c>
      <c r="F76" s="84">
        <v>4.8780487804878048</v>
      </c>
      <c r="G76" s="84" t="s">
        <v>394</v>
      </c>
      <c r="H76" s="84" t="s">
        <v>503</v>
      </c>
      <c r="I76" s="84" t="s">
        <v>383</v>
      </c>
      <c r="J76" s="84" t="s">
        <v>409</v>
      </c>
      <c r="K76" s="84" t="s">
        <v>383</v>
      </c>
      <c r="L76" s="84" t="s">
        <v>472</v>
      </c>
      <c r="M76" s="90" t="str">
        <f t="shared" si="1"/>
        <v>View on Google Map</v>
      </c>
    </row>
    <row r="77" spans="1:13" x14ac:dyDescent="0.2">
      <c r="A77" s="84">
        <v>287</v>
      </c>
      <c r="B77" s="84" t="s">
        <v>502</v>
      </c>
      <c r="C77" s="84" t="s">
        <v>383</v>
      </c>
      <c r="D77" s="84">
        <v>69.9221</v>
      </c>
      <c r="E77" s="84">
        <v>-149.34523333333334</v>
      </c>
      <c r="F77" s="84">
        <v>61</v>
      </c>
      <c r="G77" s="84" t="s">
        <v>394</v>
      </c>
      <c r="H77" s="84" t="s">
        <v>504</v>
      </c>
      <c r="I77" s="84" t="s">
        <v>383</v>
      </c>
      <c r="J77" s="84" t="s">
        <v>409</v>
      </c>
      <c r="K77" s="84" t="s">
        <v>383</v>
      </c>
      <c r="L77" s="84" t="s">
        <v>474</v>
      </c>
      <c r="M77" s="90" t="str">
        <f t="shared" si="1"/>
        <v>View on Google Map</v>
      </c>
    </row>
    <row r="78" spans="1:13" x14ac:dyDescent="0.2">
      <c r="A78" s="84">
        <v>203</v>
      </c>
      <c r="B78" s="84" t="s">
        <v>505</v>
      </c>
      <c r="C78" s="84" t="s">
        <v>383</v>
      </c>
      <c r="D78" s="84">
        <v>70.233333333333334</v>
      </c>
      <c r="E78" s="84">
        <v>-148.88333333333333</v>
      </c>
      <c r="F78" s="84">
        <v>17.682926829268293</v>
      </c>
      <c r="G78" s="84" t="s">
        <v>394</v>
      </c>
      <c r="H78" s="84" t="s">
        <v>506</v>
      </c>
      <c r="I78" s="84" t="s">
        <v>383</v>
      </c>
      <c r="J78" s="84" t="s">
        <v>409</v>
      </c>
      <c r="K78" s="84" t="s">
        <v>383</v>
      </c>
      <c r="L78" s="84" t="s">
        <v>472</v>
      </c>
      <c r="M78" s="90" t="str">
        <f t="shared" si="1"/>
        <v>View on Google Map</v>
      </c>
    </row>
    <row r="79" spans="1:13" x14ac:dyDescent="0.2">
      <c r="A79" s="84">
        <v>288</v>
      </c>
      <c r="B79" s="84" t="s">
        <v>505</v>
      </c>
      <c r="C79" s="84" t="s">
        <v>383</v>
      </c>
      <c r="D79" s="84">
        <v>69.9221</v>
      </c>
      <c r="E79" s="84">
        <v>-149.34523333333334</v>
      </c>
      <c r="F79" s="84">
        <v>61</v>
      </c>
      <c r="G79" s="84" t="s">
        <v>394</v>
      </c>
      <c r="H79" s="84" t="s">
        <v>507</v>
      </c>
      <c r="I79" s="84" t="s">
        <v>383</v>
      </c>
      <c r="J79" s="84" t="s">
        <v>409</v>
      </c>
      <c r="K79" s="84" t="s">
        <v>383</v>
      </c>
      <c r="L79" s="84" t="s">
        <v>474</v>
      </c>
      <c r="M79" s="90" t="str">
        <f t="shared" si="1"/>
        <v>View on Google Map</v>
      </c>
    </row>
    <row r="80" spans="1:13" x14ac:dyDescent="0.2">
      <c r="A80" s="84">
        <v>204</v>
      </c>
      <c r="B80" s="84" t="s">
        <v>508</v>
      </c>
      <c r="C80" s="84" t="s">
        <v>383</v>
      </c>
      <c r="D80" s="84">
        <v>70.233333333333334</v>
      </c>
      <c r="E80" s="84">
        <v>-148.88333333333333</v>
      </c>
      <c r="F80" s="84">
        <v>17.682926829268293</v>
      </c>
      <c r="G80" s="84" t="s">
        <v>394</v>
      </c>
      <c r="H80" s="84" t="s">
        <v>509</v>
      </c>
      <c r="I80" s="84" t="s">
        <v>383</v>
      </c>
      <c r="J80" s="84" t="s">
        <v>409</v>
      </c>
      <c r="K80" s="84" t="s">
        <v>383</v>
      </c>
      <c r="L80" s="84" t="s">
        <v>472</v>
      </c>
      <c r="M80" s="90" t="str">
        <f t="shared" si="1"/>
        <v>View on Google Map</v>
      </c>
    </row>
    <row r="81" spans="1:13" x14ac:dyDescent="0.2">
      <c r="A81" s="84">
        <v>289</v>
      </c>
      <c r="B81" s="84" t="s">
        <v>508</v>
      </c>
      <c r="C81" s="84" t="s">
        <v>383</v>
      </c>
      <c r="D81" s="84">
        <v>69.986533333333327</v>
      </c>
      <c r="E81" s="84">
        <v>-150.08543333333333</v>
      </c>
      <c r="F81" s="84">
        <v>125</v>
      </c>
      <c r="G81" s="84" t="s">
        <v>394</v>
      </c>
      <c r="H81" s="84" t="s">
        <v>510</v>
      </c>
      <c r="I81" s="84" t="s">
        <v>383</v>
      </c>
      <c r="J81" s="84" t="s">
        <v>409</v>
      </c>
      <c r="K81" s="84" t="s">
        <v>383</v>
      </c>
      <c r="L81" s="84" t="s">
        <v>474</v>
      </c>
      <c r="M81" s="90" t="str">
        <f t="shared" si="1"/>
        <v>View on Google Map</v>
      </c>
    </row>
    <row r="82" spans="1:13" x14ac:dyDescent="0.2">
      <c r="A82" s="84">
        <v>205</v>
      </c>
      <c r="B82" s="84" t="s">
        <v>511</v>
      </c>
      <c r="C82" s="84" t="s">
        <v>383</v>
      </c>
      <c r="D82" s="84">
        <v>70.13333333333334</v>
      </c>
      <c r="E82" s="84">
        <v>-148.6</v>
      </c>
      <c r="F82" s="84">
        <v>24.390243902439025</v>
      </c>
      <c r="G82" s="84" t="s">
        <v>394</v>
      </c>
      <c r="H82" s="84" t="s">
        <v>512</v>
      </c>
      <c r="I82" s="84" t="s">
        <v>383</v>
      </c>
      <c r="J82" s="84" t="s">
        <v>409</v>
      </c>
      <c r="K82" s="84" t="s">
        <v>383</v>
      </c>
      <c r="L82" s="84" t="s">
        <v>472</v>
      </c>
      <c r="M82" s="90" t="str">
        <f t="shared" si="1"/>
        <v>View on Google Map</v>
      </c>
    </row>
    <row r="83" spans="1:13" x14ac:dyDescent="0.2">
      <c r="A83" s="84">
        <v>290</v>
      </c>
      <c r="B83" s="84" t="s">
        <v>511</v>
      </c>
      <c r="C83" s="84" t="s">
        <v>383</v>
      </c>
      <c r="D83" s="84">
        <v>69.986533333333327</v>
      </c>
      <c r="E83" s="84">
        <v>-150.08543333333333</v>
      </c>
      <c r="F83" s="84">
        <v>125</v>
      </c>
      <c r="G83" s="84" t="s">
        <v>394</v>
      </c>
      <c r="H83" s="84" t="s">
        <v>513</v>
      </c>
      <c r="I83" s="84" t="s">
        <v>383</v>
      </c>
      <c r="J83" s="84" t="s">
        <v>409</v>
      </c>
      <c r="K83" s="84" t="s">
        <v>383</v>
      </c>
      <c r="L83" s="84" t="s">
        <v>474</v>
      </c>
      <c r="M83" s="90" t="str">
        <f t="shared" si="1"/>
        <v>View on Google Map</v>
      </c>
    </row>
    <row r="84" spans="1:13" x14ac:dyDescent="0.2">
      <c r="A84" s="84">
        <v>291</v>
      </c>
      <c r="B84" s="84" t="s">
        <v>514</v>
      </c>
      <c r="C84" s="84" t="s">
        <v>383</v>
      </c>
      <c r="D84" s="84">
        <v>69.639166666666668</v>
      </c>
      <c r="E84" s="84">
        <v>-149.73946666666666</v>
      </c>
      <c r="F84" s="84">
        <v>91</v>
      </c>
      <c r="G84" s="84" t="s">
        <v>394</v>
      </c>
      <c r="H84" s="84" t="s">
        <v>515</v>
      </c>
      <c r="I84" s="84" t="s">
        <v>383</v>
      </c>
      <c r="J84" s="84" t="s">
        <v>409</v>
      </c>
      <c r="K84" s="84" t="s">
        <v>383</v>
      </c>
      <c r="L84" s="84" t="s">
        <v>474</v>
      </c>
      <c r="M84" s="90" t="str">
        <f t="shared" si="1"/>
        <v>View on Google Map</v>
      </c>
    </row>
    <row r="85" spans="1:13" x14ac:dyDescent="0.2">
      <c r="A85" s="84">
        <v>206</v>
      </c>
      <c r="B85" s="84" t="s">
        <v>516</v>
      </c>
      <c r="C85" s="84" t="s">
        <v>383</v>
      </c>
      <c r="D85" s="84">
        <v>70.11666666666666</v>
      </c>
      <c r="E85" s="84">
        <v>-146.16666666666666</v>
      </c>
      <c r="F85" s="84">
        <v>3.0487804878048781</v>
      </c>
      <c r="G85" s="84" t="s">
        <v>394</v>
      </c>
      <c r="H85" s="84" t="s">
        <v>517</v>
      </c>
      <c r="I85" s="84" t="s">
        <v>383</v>
      </c>
      <c r="J85" s="84" t="s">
        <v>409</v>
      </c>
      <c r="K85" s="84" t="s">
        <v>383</v>
      </c>
      <c r="L85" s="84" t="s">
        <v>472</v>
      </c>
      <c r="M85" s="90" t="str">
        <f t="shared" si="1"/>
        <v>View on Google Map</v>
      </c>
    </row>
    <row r="86" spans="1:13" x14ac:dyDescent="0.2">
      <c r="A86" s="84">
        <v>292</v>
      </c>
      <c r="B86" s="84" t="s">
        <v>516</v>
      </c>
      <c r="C86" s="84" t="s">
        <v>383</v>
      </c>
      <c r="D86" s="84">
        <v>69.639166666666668</v>
      </c>
      <c r="E86" s="84">
        <v>-149.73946666666666</v>
      </c>
      <c r="F86" s="84">
        <v>91</v>
      </c>
      <c r="G86" s="84" t="s">
        <v>394</v>
      </c>
      <c r="H86" s="84" t="s">
        <v>518</v>
      </c>
      <c r="I86" s="84" t="s">
        <v>383</v>
      </c>
      <c r="J86" s="84" t="s">
        <v>409</v>
      </c>
      <c r="K86" s="84" t="s">
        <v>383</v>
      </c>
      <c r="L86" s="84" t="s">
        <v>474</v>
      </c>
      <c r="M86" s="90" t="str">
        <f t="shared" si="1"/>
        <v>View on Google Map</v>
      </c>
    </row>
    <row r="87" spans="1:13" x14ac:dyDescent="0.2">
      <c r="A87" s="84">
        <v>207</v>
      </c>
      <c r="B87" s="84" t="s">
        <v>519</v>
      </c>
      <c r="C87" s="84" t="s">
        <v>383</v>
      </c>
      <c r="D87" s="84">
        <v>70.099999999999994</v>
      </c>
      <c r="E87" s="84">
        <v>-146.26666666666668</v>
      </c>
      <c r="F87" s="84">
        <v>9.1463414634146343</v>
      </c>
      <c r="G87" s="84" t="s">
        <v>394</v>
      </c>
      <c r="H87" s="84" t="s">
        <v>520</v>
      </c>
      <c r="I87" s="84" t="s">
        <v>383</v>
      </c>
      <c r="J87" s="84" t="s">
        <v>409</v>
      </c>
      <c r="K87" s="84" t="s">
        <v>383</v>
      </c>
      <c r="L87" s="84" t="s">
        <v>472</v>
      </c>
      <c r="M87" s="90" t="str">
        <f t="shared" si="1"/>
        <v>View on Google Map</v>
      </c>
    </row>
    <row r="88" spans="1:13" x14ac:dyDescent="0.2">
      <c r="A88" s="84">
        <v>293</v>
      </c>
      <c r="B88" s="84" t="s">
        <v>519</v>
      </c>
      <c r="C88" s="84" t="s">
        <v>383</v>
      </c>
      <c r="D88" s="84">
        <v>68.820783333333338</v>
      </c>
      <c r="E88" s="84">
        <v>-149.7646</v>
      </c>
      <c r="F88" s="84">
        <v>579</v>
      </c>
      <c r="G88" s="84" t="s">
        <v>394</v>
      </c>
      <c r="H88" s="84" t="s">
        <v>521</v>
      </c>
      <c r="I88" s="84" t="s">
        <v>383</v>
      </c>
      <c r="J88" s="84" t="s">
        <v>409</v>
      </c>
      <c r="K88" s="84" t="s">
        <v>383</v>
      </c>
      <c r="L88" s="84" t="s">
        <v>474</v>
      </c>
      <c r="M88" s="90" t="str">
        <f t="shared" si="1"/>
        <v>View on Google Map</v>
      </c>
    </row>
    <row r="89" spans="1:13" x14ac:dyDescent="0.2">
      <c r="A89" s="84">
        <v>208</v>
      </c>
      <c r="B89" s="84" t="s">
        <v>522</v>
      </c>
      <c r="C89" s="84" t="s">
        <v>383</v>
      </c>
      <c r="D89" s="84">
        <v>70.05</v>
      </c>
      <c r="E89" s="84">
        <v>-146.98333333333332</v>
      </c>
      <c r="F89" s="84">
        <v>24.390243902439025</v>
      </c>
      <c r="G89" s="84" t="s">
        <v>394</v>
      </c>
      <c r="H89" s="84" t="s">
        <v>523</v>
      </c>
      <c r="I89" s="84" t="s">
        <v>383</v>
      </c>
      <c r="J89" s="84" t="s">
        <v>409</v>
      </c>
      <c r="K89" s="84" t="s">
        <v>383</v>
      </c>
      <c r="L89" s="84" t="s">
        <v>472</v>
      </c>
      <c r="M89" s="90" t="str">
        <f t="shared" si="1"/>
        <v>View on Google Map</v>
      </c>
    </row>
    <row r="90" spans="1:13" x14ac:dyDescent="0.2">
      <c r="A90" s="84">
        <v>294</v>
      </c>
      <c r="B90" s="84" t="s">
        <v>522</v>
      </c>
      <c r="C90" s="84" t="s">
        <v>383</v>
      </c>
      <c r="D90" s="84">
        <v>68.820616666666666</v>
      </c>
      <c r="E90" s="84">
        <v>-149.74383333333333</v>
      </c>
      <c r="F90" s="84">
        <v>579</v>
      </c>
      <c r="G90" s="84" t="s">
        <v>394</v>
      </c>
      <c r="H90" s="84" t="s">
        <v>524</v>
      </c>
      <c r="I90" s="84" t="s">
        <v>383</v>
      </c>
      <c r="J90" s="84" t="s">
        <v>409</v>
      </c>
      <c r="K90" s="84" t="s">
        <v>383</v>
      </c>
      <c r="L90" s="84" t="s">
        <v>474</v>
      </c>
      <c r="M90" s="90" t="str">
        <f t="shared" si="1"/>
        <v>View on Google Map</v>
      </c>
    </row>
    <row r="91" spans="1:13" x14ac:dyDescent="0.2">
      <c r="A91" s="84">
        <v>209</v>
      </c>
      <c r="B91" s="84" t="s">
        <v>525</v>
      </c>
      <c r="C91" s="84" t="s">
        <v>383</v>
      </c>
      <c r="D91" s="84">
        <v>70.05</v>
      </c>
      <c r="E91" s="84">
        <v>-146.98333333333332</v>
      </c>
      <c r="F91" s="84">
        <v>24.390243902439025</v>
      </c>
      <c r="G91" s="84" t="s">
        <v>394</v>
      </c>
      <c r="H91" s="84" t="s">
        <v>526</v>
      </c>
      <c r="I91" s="84" t="s">
        <v>383</v>
      </c>
      <c r="J91" s="84" t="s">
        <v>409</v>
      </c>
      <c r="K91" s="84" t="s">
        <v>383</v>
      </c>
      <c r="L91" s="84" t="s">
        <v>472</v>
      </c>
      <c r="M91" s="90" t="str">
        <f t="shared" si="1"/>
        <v>View on Google Map</v>
      </c>
    </row>
    <row r="92" spans="1:13" x14ac:dyDescent="0.2">
      <c r="A92" s="84">
        <v>295</v>
      </c>
      <c r="B92" s="84" t="s">
        <v>525</v>
      </c>
      <c r="C92" s="84" t="s">
        <v>383</v>
      </c>
      <c r="D92" s="84">
        <v>68.821529999999996</v>
      </c>
      <c r="E92" s="84">
        <v>-149.05867000000001</v>
      </c>
      <c r="F92" s="84">
        <v>518</v>
      </c>
      <c r="G92" s="84" t="s">
        <v>394</v>
      </c>
      <c r="H92" s="84" t="s">
        <v>527</v>
      </c>
      <c r="I92" s="84" t="s">
        <v>383</v>
      </c>
      <c r="J92" s="84" t="s">
        <v>409</v>
      </c>
      <c r="K92" s="84" t="s">
        <v>383</v>
      </c>
      <c r="L92" s="84" t="s">
        <v>474</v>
      </c>
      <c r="M92" s="90" t="str">
        <f t="shared" si="1"/>
        <v>View on Google Map</v>
      </c>
    </row>
    <row r="93" spans="1:13" x14ac:dyDescent="0.2">
      <c r="A93" s="84">
        <v>210</v>
      </c>
      <c r="B93" s="84" t="s">
        <v>528</v>
      </c>
      <c r="C93" s="84" t="s">
        <v>383</v>
      </c>
      <c r="D93" s="84">
        <v>70.150000000000006</v>
      </c>
      <c r="E93" s="84">
        <v>-147.36666666666667</v>
      </c>
      <c r="F93" s="84">
        <v>6.7073170731707323</v>
      </c>
      <c r="G93" s="84" t="s">
        <v>394</v>
      </c>
      <c r="H93" s="84" t="s">
        <v>529</v>
      </c>
      <c r="I93" s="84" t="s">
        <v>383</v>
      </c>
      <c r="J93" s="84" t="s">
        <v>409</v>
      </c>
      <c r="K93" s="84" t="s">
        <v>383</v>
      </c>
      <c r="L93" s="84" t="s">
        <v>472</v>
      </c>
      <c r="M93" s="90" t="str">
        <f t="shared" si="1"/>
        <v>View on Google Map</v>
      </c>
    </row>
    <row r="94" spans="1:13" x14ac:dyDescent="0.2">
      <c r="A94" s="84">
        <v>296</v>
      </c>
      <c r="B94" s="84" t="s">
        <v>528</v>
      </c>
      <c r="C94" s="84" t="s">
        <v>383</v>
      </c>
      <c r="D94" s="84">
        <v>68.817116666666664</v>
      </c>
      <c r="E94" s="84">
        <v>-149.05956666666665</v>
      </c>
      <c r="F94" s="84">
        <v>518</v>
      </c>
      <c r="G94" s="84" t="s">
        <v>394</v>
      </c>
      <c r="H94" s="84" t="s">
        <v>530</v>
      </c>
      <c r="I94" s="84" t="s">
        <v>383</v>
      </c>
      <c r="J94" s="84" t="s">
        <v>409</v>
      </c>
      <c r="K94" s="84" t="s">
        <v>383</v>
      </c>
      <c r="L94" s="84" t="s">
        <v>474</v>
      </c>
      <c r="M94" s="90" t="str">
        <f t="shared" si="1"/>
        <v>View on Google Map</v>
      </c>
    </row>
    <row r="95" spans="1:13" x14ac:dyDescent="0.2">
      <c r="A95" s="84">
        <v>211</v>
      </c>
      <c r="B95" s="84" t="s">
        <v>531</v>
      </c>
      <c r="C95" s="84" t="s">
        <v>383</v>
      </c>
      <c r="D95" s="84">
        <v>70.150000000000006</v>
      </c>
      <c r="E95" s="84">
        <v>-147.36666666666667</v>
      </c>
      <c r="F95" s="84">
        <v>6.7073170731707323</v>
      </c>
      <c r="G95" s="84" t="s">
        <v>394</v>
      </c>
      <c r="H95" s="84" t="s">
        <v>532</v>
      </c>
      <c r="I95" s="84" t="s">
        <v>383</v>
      </c>
      <c r="J95" s="84" t="s">
        <v>409</v>
      </c>
      <c r="K95" s="84" t="s">
        <v>383</v>
      </c>
      <c r="L95" s="84" t="s">
        <v>472</v>
      </c>
      <c r="M95" s="90" t="str">
        <f t="shared" si="1"/>
        <v>View on Google Map</v>
      </c>
    </row>
    <row r="96" spans="1:13" x14ac:dyDescent="0.2">
      <c r="A96" s="84">
        <v>297</v>
      </c>
      <c r="B96" s="84" t="s">
        <v>531</v>
      </c>
      <c r="C96" s="84" t="s">
        <v>383</v>
      </c>
      <c r="D96" s="84">
        <v>69.356183333333334</v>
      </c>
      <c r="E96" s="84">
        <v>-150.21899999999999</v>
      </c>
      <c r="F96" s="84">
        <v>168</v>
      </c>
      <c r="G96" s="84" t="s">
        <v>394</v>
      </c>
      <c r="H96" s="84" t="s">
        <v>533</v>
      </c>
      <c r="I96" s="84" t="s">
        <v>383</v>
      </c>
      <c r="J96" s="84" t="s">
        <v>409</v>
      </c>
      <c r="K96" s="84" t="s">
        <v>383</v>
      </c>
      <c r="L96" s="84" t="s">
        <v>474</v>
      </c>
      <c r="M96" s="90" t="str">
        <f t="shared" si="1"/>
        <v>View on Google Map</v>
      </c>
    </row>
    <row r="97" spans="1:13" x14ac:dyDescent="0.2">
      <c r="A97" s="84">
        <v>212</v>
      </c>
      <c r="B97" s="84" t="s">
        <v>534</v>
      </c>
      <c r="C97" s="84" t="s">
        <v>383</v>
      </c>
      <c r="D97" s="84">
        <v>70.033333333333331</v>
      </c>
      <c r="E97" s="84">
        <v>-147.65</v>
      </c>
      <c r="F97" s="84">
        <v>28.04878048780488</v>
      </c>
      <c r="G97" s="84" t="s">
        <v>394</v>
      </c>
      <c r="H97" s="84" t="s">
        <v>535</v>
      </c>
      <c r="I97" s="84" t="s">
        <v>383</v>
      </c>
      <c r="J97" s="84" t="s">
        <v>409</v>
      </c>
      <c r="K97" s="84" t="s">
        <v>383</v>
      </c>
      <c r="L97" s="84" t="s">
        <v>472</v>
      </c>
      <c r="M97" s="90" t="str">
        <f t="shared" si="1"/>
        <v>View on Google Map</v>
      </c>
    </row>
    <row r="98" spans="1:13" x14ac:dyDescent="0.2">
      <c r="A98" s="84">
        <v>298</v>
      </c>
      <c r="B98" s="84" t="s">
        <v>534</v>
      </c>
      <c r="C98" s="84" t="s">
        <v>383</v>
      </c>
      <c r="D98" s="84">
        <v>69.356183333333334</v>
      </c>
      <c r="E98" s="84">
        <v>-150.21899999999999</v>
      </c>
      <c r="F98" s="84">
        <v>168</v>
      </c>
      <c r="G98" s="84" t="s">
        <v>394</v>
      </c>
      <c r="H98" s="84" t="s">
        <v>536</v>
      </c>
      <c r="I98" s="84" t="s">
        <v>383</v>
      </c>
      <c r="J98" s="84" t="s">
        <v>409</v>
      </c>
      <c r="K98" s="84" t="s">
        <v>383</v>
      </c>
      <c r="L98" s="84" t="s">
        <v>474</v>
      </c>
      <c r="M98" s="90" t="str">
        <f t="shared" si="1"/>
        <v>View on Google Map</v>
      </c>
    </row>
    <row r="99" spans="1:13" x14ac:dyDescent="0.2">
      <c r="A99" s="84">
        <v>213</v>
      </c>
      <c r="B99" s="84" t="s">
        <v>537</v>
      </c>
      <c r="C99" s="84" t="s">
        <v>383</v>
      </c>
      <c r="D99" s="84">
        <v>70.033333333333331</v>
      </c>
      <c r="E99" s="84">
        <v>-147.65</v>
      </c>
      <c r="F99" s="84">
        <v>28.04878048780488</v>
      </c>
      <c r="G99" s="84" t="s">
        <v>394</v>
      </c>
      <c r="H99" s="84" t="s">
        <v>538</v>
      </c>
      <c r="I99" s="84" t="s">
        <v>383</v>
      </c>
      <c r="J99" s="84" t="s">
        <v>409</v>
      </c>
      <c r="K99" s="84" t="s">
        <v>383</v>
      </c>
      <c r="L99" s="84" t="s">
        <v>472</v>
      </c>
      <c r="M99" s="90" t="str">
        <f t="shared" si="1"/>
        <v>View on Google Map</v>
      </c>
    </row>
    <row r="100" spans="1:13" x14ac:dyDescent="0.2">
      <c r="A100" s="84">
        <v>299</v>
      </c>
      <c r="B100" s="84" t="s">
        <v>537</v>
      </c>
      <c r="C100" s="84" t="s">
        <v>383</v>
      </c>
      <c r="D100" s="84">
        <v>69.5458</v>
      </c>
      <c r="E100" s="84">
        <v>-150.37883333333335</v>
      </c>
      <c r="F100" s="84">
        <v>107</v>
      </c>
      <c r="G100" s="84" t="s">
        <v>394</v>
      </c>
      <c r="H100" s="84" t="s">
        <v>539</v>
      </c>
      <c r="I100" s="84" t="s">
        <v>383</v>
      </c>
      <c r="J100" s="84" t="s">
        <v>409</v>
      </c>
      <c r="K100" s="84" t="s">
        <v>383</v>
      </c>
      <c r="L100" s="84" t="s">
        <v>474</v>
      </c>
      <c r="M100" s="90" t="str">
        <f t="shared" si="1"/>
        <v>View on Google Map</v>
      </c>
    </row>
    <row r="101" spans="1:13" x14ac:dyDescent="0.2">
      <c r="A101" s="84">
        <v>214</v>
      </c>
      <c r="B101" s="84" t="s">
        <v>540</v>
      </c>
      <c r="C101" s="84" t="s">
        <v>383</v>
      </c>
      <c r="D101" s="84">
        <v>69.833333333333329</v>
      </c>
      <c r="E101" s="84">
        <v>-147.93333333333334</v>
      </c>
      <c r="F101" s="84">
        <v>92.987804878048792</v>
      </c>
      <c r="G101" s="84" t="s">
        <v>394</v>
      </c>
      <c r="H101" s="84" t="s">
        <v>541</v>
      </c>
      <c r="I101" s="84" t="s">
        <v>383</v>
      </c>
      <c r="J101" s="84" t="s">
        <v>409</v>
      </c>
      <c r="K101" s="84" t="s">
        <v>383</v>
      </c>
      <c r="L101" s="84" t="s">
        <v>472</v>
      </c>
      <c r="M101" s="90" t="str">
        <f t="shared" si="1"/>
        <v>View on Google Map</v>
      </c>
    </row>
    <row r="102" spans="1:13" x14ac:dyDescent="0.2">
      <c r="A102" s="84">
        <v>300</v>
      </c>
      <c r="B102" s="84" t="s">
        <v>540</v>
      </c>
      <c r="C102" s="84" t="s">
        <v>383</v>
      </c>
      <c r="D102" s="84">
        <v>69.5458</v>
      </c>
      <c r="E102" s="84">
        <v>-150.37883333333335</v>
      </c>
      <c r="F102" s="84">
        <v>107</v>
      </c>
      <c r="G102" s="84" t="s">
        <v>394</v>
      </c>
      <c r="H102" s="84" t="s">
        <v>542</v>
      </c>
      <c r="I102" s="84" t="s">
        <v>383</v>
      </c>
      <c r="J102" s="84" t="s">
        <v>409</v>
      </c>
      <c r="K102" s="84" t="s">
        <v>383</v>
      </c>
      <c r="L102" s="84" t="s">
        <v>474</v>
      </c>
      <c r="M102" s="90" t="str">
        <f t="shared" si="1"/>
        <v>View on Google Map</v>
      </c>
    </row>
    <row r="103" spans="1:13" x14ac:dyDescent="0.2">
      <c r="A103" s="84">
        <v>215</v>
      </c>
      <c r="B103" s="84" t="s">
        <v>543</v>
      </c>
      <c r="C103" s="84" t="s">
        <v>383</v>
      </c>
      <c r="D103" s="84">
        <v>69.833333333333329</v>
      </c>
      <c r="E103" s="84">
        <v>-147.93333333333334</v>
      </c>
      <c r="F103" s="84">
        <v>92.987804878048792</v>
      </c>
      <c r="G103" s="84" t="s">
        <v>394</v>
      </c>
      <c r="H103" s="84" t="s">
        <v>544</v>
      </c>
      <c r="I103" s="84" t="s">
        <v>383</v>
      </c>
      <c r="J103" s="84" t="s">
        <v>409</v>
      </c>
      <c r="K103" s="84" t="s">
        <v>383</v>
      </c>
      <c r="L103" s="84" t="s">
        <v>472</v>
      </c>
      <c r="M103" s="90" t="str">
        <f t="shared" si="1"/>
        <v>View on Google Map</v>
      </c>
    </row>
    <row r="104" spans="1:13" x14ac:dyDescent="0.2">
      <c r="A104" s="84">
        <v>301</v>
      </c>
      <c r="B104" s="84" t="s">
        <v>543</v>
      </c>
      <c r="C104" s="84" t="s">
        <v>383</v>
      </c>
      <c r="D104" s="84">
        <v>69.523700000000005</v>
      </c>
      <c r="E104" s="84">
        <v>-150.55269999999999</v>
      </c>
      <c r="F104" s="84">
        <v>107</v>
      </c>
      <c r="G104" s="84" t="s">
        <v>394</v>
      </c>
      <c r="H104" s="84" t="s">
        <v>545</v>
      </c>
      <c r="I104" s="84" t="s">
        <v>383</v>
      </c>
      <c r="J104" s="84" t="s">
        <v>409</v>
      </c>
      <c r="K104" s="84" t="s">
        <v>383</v>
      </c>
      <c r="L104" s="84" t="s">
        <v>474</v>
      </c>
      <c r="M104" s="90" t="str">
        <f t="shared" si="1"/>
        <v>View on Google Map</v>
      </c>
    </row>
    <row r="105" spans="1:13" x14ac:dyDescent="0.2">
      <c r="A105" s="84">
        <v>216</v>
      </c>
      <c r="B105" s="84" t="s">
        <v>546</v>
      </c>
      <c r="C105" s="84" t="s">
        <v>383</v>
      </c>
      <c r="D105" s="84">
        <v>69.88333333333334</v>
      </c>
      <c r="E105" s="84">
        <v>-148.63333333333333</v>
      </c>
      <c r="F105" s="84">
        <v>118.90243902439025</v>
      </c>
      <c r="G105" s="84" t="s">
        <v>394</v>
      </c>
      <c r="H105" s="84" t="s">
        <v>547</v>
      </c>
      <c r="I105" s="84" t="s">
        <v>383</v>
      </c>
      <c r="J105" s="84" t="s">
        <v>409</v>
      </c>
      <c r="K105" s="84" t="s">
        <v>383</v>
      </c>
      <c r="L105" s="84" t="s">
        <v>472</v>
      </c>
      <c r="M105" s="90" t="str">
        <f t="shared" si="1"/>
        <v>View on Google Map</v>
      </c>
    </row>
    <row r="106" spans="1:13" x14ac:dyDescent="0.2">
      <c r="A106" s="84">
        <v>302</v>
      </c>
      <c r="B106" s="84" t="s">
        <v>546</v>
      </c>
      <c r="C106" s="84" t="s">
        <v>383</v>
      </c>
      <c r="D106" s="84">
        <v>69.523700000000005</v>
      </c>
      <c r="E106" s="84">
        <v>-150.55269999999999</v>
      </c>
      <c r="F106" s="84">
        <v>107</v>
      </c>
      <c r="G106" s="84" t="s">
        <v>394</v>
      </c>
      <c r="H106" s="84" t="s">
        <v>548</v>
      </c>
      <c r="I106" s="84" t="s">
        <v>383</v>
      </c>
      <c r="J106" s="84" t="s">
        <v>409</v>
      </c>
      <c r="K106" s="84" t="s">
        <v>383</v>
      </c>
      <c r="L106" s="84" t="s">
        <v>474</v>
      </c>
      <c r="M106" s="90" t="str">
        <f t="shared" si="1"/>
        <v>View on Google Map</v>
      </c>
    </row>
    <row r="107" spans="1:13" x14ac:dyDescent="0.2">
      <c r="A107" s="84">
        <v>217</v>
      </c>
      <c r="B107" s="84" t="s">
        <v>549</v>
      </c>
      <c r="C107" s="84" t="s">
        <v>383</v>
      </c>
      <c r="D107" s="84">
        <v>69.7</v>
      </c>
      <c r="E107" s="84">
        <v>-148.48333333333332</v>
      </c>
      <c r="F107" s="84">
        <v>125</v>
      </c>
      <c r="G107" s="84" t="s">
        <v>394</v>
      </c>
      <c r="H107" s="84" t="s">
        <v>550</v>
      </c>
      <c r="I107" s="84" t="s">
        <v>383</v>
      </c>
      <c r="J107" s="84" t="s">
        <v>409</v>
      </c>
      <c r="K107" s="84" t="s">
        <v>383</v>
      </c>
      <c r="L107" s="84" t="s">
        <v>472</v>
      </c>
      <c r="M107" s="90" t="str">
        <f t="shared" si="1"/>
        <v>View on Google Map</v>
      </c>
    </row>
    <row r="108" spans="1:13" x14ac:dyDescent="0.2">
      <c r="A108" s="84">
        <v>303</v>
      </c>
      <c r="B108" s="84" t="s">
        <v>549</v>
      </c>
      <c r="C108" s="84" t="s">
        <v>383</v>
      </c>
      <c r="D108" s="84">
        <v>69.610399999999998</v>
      </c>
      <c r="E108" s="84">
        <v>-148.82113333333334</v>
      </c>
      <c r="F108" s="84">
        <v>107</v>
      </c>
      <c r="G108" s="84" t="s">
        <v>394</v>
      </c>
      <c r="H108" s="84" t="s">
        <v>551</v>
      </c>
      <c r="I108" s="84" t="s">
        <v>383</v>
      </c>
      <c r="J108" s="84" t="s">
        <v>409</v>
      </c>
      <c r="K108" s="84" t="s">
        <v>383</v>
      </c>
      <c r="L108" s="84" t="s">
        <v>474</v>
      </c>
      <c r="M108" s="90" t="str">
        <f t="shared" si="1"/>
        <v>View on Google Map</v>
      </c>
    </row>
    <row r="109" spans="1:13" x14ac:dyDescent="0.2">
      <c r="A109" s="84">
        <v>218</v>
      </c>
      <c r="B109" s="84" t="s">
        <v>552</v>
      </c>
      <c r="C109" s="84" t="s">
        <v>383</v>
      </c>
      <c r="D109" s="84">
        <v>69.7</v>
      </c>
      <c r="E109" s="84">
        <v>-148.48333333333332</v>
      </c>
      <c r="F109" s="84">
        <v>125</v>
      </c>
      <c r="G109" s="84" t="s">
        <v>394</v>
      </c>
      <c r="H109" s="84" t="s">
        <v>553</v>
      </c>
      <c r="I109" s="84" t="s">
        <v>383</v>
      </c>
      <c r="J109" s="84" t="s">
        <v>409</v>
      </c>
      <c r="K109" s="84" t="s">
        <v>383</v>
      </c>
      <c r="L109" s="84" t="s">
        <v>472</v>
      </c>
      <c r="M109" s="90" t="str">
        <f t="shared" si="1"/>
        <v>View on Google Map</v>
      </c>
    </row>
    <row r="110" spans="1:13" x14ac:dyDescent="0.2">
      <c r="A110" s="84">
        <v>304</v>
      </c>
      <c r="B110" s="84" t="s">
        <v>552</v>
      </c>
      <c r="C110" s="84" t="s">
        <v>383</v>
      </c>
      <c r="D110" s="84">
        <v>69.610399999999998</v>
      </c>
      <c r="E110" s="84">
        <v>-148.82113333333334</v>
      </c>
      <c r="F110" s="84">
        <v>107</v>
      </c>
      <c r="G110" s="84" t="s">
        <v>394</v>
      </c>
      <c r="H110" s="84" t="s">
        <v>554</v>
      </c>
      <c r="I110" s="84" t="s">
        <v>383</v>
      </c>
      <c r="J110" s="84" t="s">
        <v>409</v>
      </c>
      <c r="K110" s="84" t="s">
        <v>383</v>
      </c>
      <c r="L110" s="84" t="s">
        <v>474</v>
      </c>
      <c r="M110" s="90" t="str">
        <f t="shared" si="1"/>
        <v>View on Google Map</v>
      </c>
    </row>
    <row r="111" spans="1:13" x14ac:dyDescent="0.2">
      <c r="A111" s="84">
        <v>232</v>
      </c>
      <c r="B111" s="84" t="s">
        <v>555</v>
      </c>
      <c r="C111" s="84" t="s">
        <v>383</v>
      </c>
      <c r="D111" s="84">
        <v>69.266666666666666</v>
      </c>
      <c r="E111" s="84">
        <v>-148.46666666666667</v>
      </c>
      <c r="F111" s="84">
        <v>338.71951219512198</v>
      </c>
      <c r="G111" s="84" t="s">
        <v>394</v>
      </c>
      <c r="H111" s="84" t="s">
        <v>556</v>
      </c>
      <c r="I111" s="84" t="s">
        <v>383</v>
      </c>
      <c r="J111" s="84" t="s">
        <v>409</v>
      </c>
      <c r="K111" s="84" t="s">
        <v>383</v>
      </c>
      <c r="L111" s="84" t="s">
        <v>472</v>
      </c>
      <c r="M111" s="90" t="str">
        <f t="shared" si="1"/>
        <v>View on Google Map</v>
      </c>
    </row>
    <row r="112" spans="1:13" x14ac:dyDescent="0.2">
      <c r="A112" s="84">
        <v>239</v>
      </c>
      <c r="B112" s="84" t="s">
        <v>557</v>
      </c>
      <c r="C112" s="84" t="s">
        <v>558</v>
      </c>
      <c r="D112" s="84" t="s">
        <v>383</v>
      </c>
      <c r="E112" s="84" t="s">
        <v>383</v>
      </c>
      <c r="F112" s="84" t="s">
        <v>383</v>
      </c>
      <c r="G112" s="84" t="s">
        <v>394</v>
      </c>
      <c r="H112" s="84" t="s">
        <v>383</v>
      </c>
      <c r="I112" s="84" t="s">
        <v>383</v>
      </c>
      <c r="J112" s="84" t="s">
        <v>409</v>
      </c>
      <c r="K112" s="84" t="s">
        <v>383</v>
      </c>
      <c r="L112" s="84" t="s">
        <v>559</v>
      </c>
      <c r="M112" s="90" t="str">
        <f t="shared" si="1"/>
        <v>View on Google Map</v>
      </c>
    </row>
    <row r="113" spans="1:13" x14ac:dyDescent="0.2">
      <c r="A113" s="84">
        <v>144</v>
      </c>
      <c r="B113" s="84" t="s">
        <v>560</v>
      </c>
      <c r="C113" s="84" t="s">
        <v>561</v>
      </c>
      <c r="D113" s="84">
        <v>68.63333333333334</v>
      </c>
      <c r="E113" s="84">
        <v>-149.6</v>
      </c>
      <c r="F113" s="84">
        <v>719</v>
      </c>
      <c r="G113" s="84" t="s">
        <v>394</v>
      </c>
      <c r="H113" s="84" t="s">
        <v>383</v>
      </c>
      <c r="I113" s="84" t="s">
        <v>383</v>
      </c>
      <c r="J113" s="84" t="s">
        <v>409</v>
      </c>
      <c r="K113" s="84" t="s">
        <v>383</v>
      </c>
      <c r="L113" s="84" t="s">
        <v>410</v>
      </c>
      <c r="M113" s="90" t="str">
        <f t="shared" si="1"/>
        <v>View on Google Map</v>
      </c>
    </row>
    <row r="114" spans="1:13" x14ac:dyDescent="0.2">
      <c r="A114" s="84">
        <v>401</v>
      </c>
      <c r="B114" s="84" t="s">
        <v>562</v>
      </c>
      <c r="C114" s="84" t="s">
        <v>383</v>
      </c>
      <c r="D114" s="84" t="s">
        <v>383</v>
      </c>
      <c r="E114" s="84" t="s">
        <v>383</v>
      </c>
      <c r="F114" s="84" t="s">
        <v>383</v>
      </c>
      <c r="G114" s="84" t="s">
        <v>394</v>
      </c>
      <c r="H114" s="84" t="s">
        <v>383</v>
      </c>
      <c r="I114" s="84" t="s">
        <v>383</v>
      </c>
      <c r="J114" s="84" t="s">
        <v>409</v>
      </c>
      <c r="K114" s="84" t="s">
        <v>383</v>
      </c>
      <c r="L114" s="84" t="s">
        <v>563</v>
      </c>
      <c r="M114" s="90" t="str">
        <f t="shared" si="1"/>
        <v>View on Google Map</v>
      </c>
    </row>
    <row r="115" spans="1:13" x14ac:dyDescent="0.2">
      <c r="A115" s="84">
        <v>403</v>
      </c>
      <c r="B115" s="84" t="s">
        <v>564</v>
      </c>
      <c r="C115" s="84" t="s">
        <v>383</v>
      </c>
      <c r="D115" s="84" t="s">
        <v>383</v>
      </c>
      <c r="E115" s="84" t="s">
        <v>383</v>
      </c>
      <c r="F115" s="84" t="s">
        <v>383</v>
      </c>
      <c r="G115" s="84" t="s">
        <v>394</v>
      </c>
      <c r="H115" s="84" t="s">
        <v>383</v>
      </c>
      <c r="I115" s="84" t="s">
        <v>383</v>
      </c>
      <c r="J115" s="84" t="s">
        <v>409</v>
      </c>
      <c r="K115" s="84" t="s">
        <v>383</v>
      </c>
      <c r="L115" s="84" t="s">
        <v>565</v>
      </c>
      <c r="M115" s="90" t="str">
        <f t="shared" si="1"/>
        <v>View on Google Map</v>
      </c>
    </row>
    <row r="116" spans="1:13" x14ac:dyDescent="0.2">
      <c r="A116" s="84">
        <v>403</v>
      </c>
      <c r="B116" s="84" t="s">
        <v>564</v>
      </c>
      <c r="C116" s="84" t="s">
        <v>383</v>
      </c>
      <c r="D116" s="84" t="s">
        <v>383</v>
      </c>
      <c r="E116" s="84" t="s">
        <v>383</v>
      </c>
      <c r="F116" s="84" t="s">
        <v>383</v>
      </c>
      <c r="G116" s="84" t="s">
        <v>394</v>
      </c>
      <c r="H116" s="84" t="s">
        <v>383</v>
      </c>
      <c r="I116" s="84" t="s">
        <v>383</v>
      </c>
      <c r="J116" s="84" t="s">
        <v>409</v>
      </c>
      <c r="K116" s="84" t="s">
        <v>383</v>
      </c>
      <c r="L116" s="84" t="s">
        <v>565</v>
      </c>
      <c r="M116" s="90" t="str">
        <f t="shared" si="1"/>
        <v>View on Google Map</v>
      </c>
    </row>
    <row r="117" spans="1:13" x14ac:dyDescent="0.2">
      <c r="A117" s="84">
        <v>1209</v>
      </c>
      <c r="B117" s="84" t="s">
        <v>566</v>
      </c>
      <c r="C117" s="84" t="s">
        <v>567</v>
      </c>
      <c r="D117" s="84">
        <v>68.934420000000003</v>
      </c>
      <c r="E117" s="84">
        <v>-150.21242000000001</v>
      </c>
      <c r="F117" s="84" t="s">
        <v>383</v>
      </c>
      <c r="G117" s="84" t="s">
        <v>384</v>
      </c>
      <c r="H117" s="84" t="s">
        <v>383</v>
      </c>
      <c r="I117" s="84" t="s">
        <v>383</v>
      </c>
      <c r="J117" s="84" t="s">
        <v>390</v>
      </c>
      <c r="K117" s="84" t="s">
        <v>383</v>
      </c>
      <c r="L117" s="84" t="s">
        <v>391</v>
      </c>
      <c r="M117" s="90" t="str">
        <f t="shared" si="1"/>
        <v>View on Google Map</v>
      </c>
    </row>
    <row r="118" spans="1:13" x14ac:dyDescent="0.2">
      <c r="A118" s="84">
        <v>482</v>
      </c>
      <c r="B118" s="84" t="s">
        <v>568</v>
      </c>
      <c r="C118" s="84" t="s">
        <v>383</v>
      </c>
      <c r="D118" s="84">
        <v>68.951483332999999</v>
      </c>
      <c r="E118" s="84">
        <v>-150.194333333</v>
      </c>
      <c r="F118" s="84">
        <v>399</v>
      </c>
      <c r="G118" s="84" t="s">
        <v>394</v>
      </c>
      <c r="H118" s="84" t="s">
        <v>383</v>
      </c>
      <c r="I118" s="84" t="s">
        <v>383</v>
      </c>
      <c r="J118" s="84" t="s">
        <v>444</v>
      </c>
      <c r="K118" s="84" t="s">
        <v>383</v>
      </c>
      <c r="L118" s="84" t="s">
        <v>391</v>
      </c>
      <c r="M118" s="90" t="str">
        <f t="shared" si="1"/>
        <v>View on Google Map</v>
      </c>
    </row>
    <row r="119" spans="1:13" x14ac:dyDescent="0.2">
      <c r="A119" s="84">
        <v>483</v>
      </c>
      <c r="B119" s="84" t="s">
        <v>569</v>
      </c>
      <c r="C119" s="84" t="s">
        <v>383</v>
      </c>
      <c r="D119" s="84">
        <v>68.950783333000004</v>
      </c>
      <c r="E119" s="84">
        <v>-150.19835</v>
      </c>
      <c r="F119" s="84">
        <v>399</v>
      </c>
      <c r="G119" s="84" t="s">
        <v>408</v>
      </c>
      <c r="H119" s="84" t="s">
        <v>570</v>
      </c>
      <c r="I119" s="84" t="s">
        <v>383</v>
      </c>
      <c r="J119" s="84" t="s">
        <v>444</v>
      </c>
      <c r="K119" s="84" t="s">
        <v>383</v>
      </c>
      <c r="L119" s="84" t="s">
        <v>391</v>
      </c>
      <c r="M119" s="90" t="str">
        <f t="shared" si="1"/>
        <v>View on Google Map</v>
      </c>
    </row>
    <row r="120" spans="1:13" x14ac:dyDescent="0.2">
      <c r="A120" s="84">
        <v>484</v>
      </c>
      <c r="B120" s="84" t="s">
        <v>571</v>
      </c>
      <c r="C120" s="84" t="s">
        <v>383</v>
      </c>
      <c r="D120" s="84">
        <v>68.957549999999998</v>
      </c>
      <c r="E120" s="84">
        <v>-150.200916667</v>
      </c>
      <c r="F120" s="84">
        <v>399</v>
      </c>
      <c r="G120" s="84" t="s">
        <v>394</v>
      </c>
      <c r="H120" s="84" t="s">
        <v>572</v>
      </c>
      <c r="I120" s="84" t="s">
        <v>573</v>
      </c>
      <c r="J120" s="84" t="s">
        <v>444</v>
      </c>
      <c r="K120" s="84" t="s">
        <v>383</v>
      </c>
      <c r="L120" s="84" t="s">
        <v>391</v>
      </c>
      <c r="M120" s="90" t="str">
        <f t="shared" si="1"/>
        <v>View on Google Map</v>
      </c>
    </row>
    <row r="121" spans="1:13" x14ac:dyDescent="0.2">
      <c r="A121" s="84">
        <v>485</v>
      </c>
      <c r="B121" s="84" t="s">
        <v>574</v>
      </c>
      <c r="C121" s="84" t="s">
        <v>383</v>
      </c>
      <c r="D121" s="84">
        <v>68.95675</v>
      </c>
      <c r="E121" s="84">
        <v>-150.19700833300001</v>
      </c>
      <c r="F121" s="84">
        <v>399</v>
      </c>
      <c r="G121" s="84" t="s">
        <v>394</v>
      </c>
      <c r="H121" s="84" t="s">
        <v>575</v>
      </c>
      <c r="I121" s="84" t="s">
        <v>383</v>
      </c>
      <c r="J121" s="84" t="s">
        <v>444</v>
      </c>
      <c r="K121" s="84" t="s">
        <v>383</v>
      </c>
      <c r="L121" s="84" t="s">
        <v>391</v>
      </c>
      <c r="M121" s="90" t="str">
        <f t="shared" si="1"/>
        <v>View on Google Map</v>
      </c>
    </row>
    <row r="122" spans="1:13" x14ac:dyDescent="0.2">
      <c r="A122" s="84">
        <v>514</v>
      </c>
      <c r="B122" s="84" t="s">
        <v>576</v>
      </c>
      <c r="C122" s="84" t="s">
        <v>393</v>
      </c>
      <c r="D122" s="84">
        <v>68.418130000000005</v>
      </c>
      <c r="E122" s="84">
        <v>-151.58454</v>
      </c>
      <c r="F122" s="84">
        <v>876</v>
      </c>
      <c r="G122" s="84" t="s">
        <v>394</v>
      </c>
      <c r="H122" s="84" t="s">
        <v>383</v>
      </c>
      <c r="I122" s="84" t="s">
        <v>383</v>
      </c>
      <c r="J122" s="84" t="s">
        <v>395</v>
      </c>
      <c r="K122" s="84" t="s">
        <v>383</v>
      </c>
      <c r="L122" s="84" t="s">
        <v>396</v>
      </c>
      <c r="M122" s="90" t="str">
        <f t="shared" si="1"/>
        <v>View on Google Map</v>
      </c>
    </row>
    <row r="123" spans="1:13" x14ac:dyDescent="0.2">
      <c r="A123" s="84">
        <v>400</v>
      </c>
      <c r="B123" s="84" t="s">
        <v>577</v>
      </c>
      <c r="C123" s="84" t="s">
        <v>383</v>
      </c>
      <c r="D123" s="84" t="s">
        <v>383</v>
      </c>
      <c r="E123" s="84" t="s">
        <v>383</v>
      </c>
      <c r="F123" s="84" t="s">
        <v>383</v>
      </c>
      <c r="G123" s="84" t="s">
        <v>394</v>
      </c>
      <c r="H123" s="84" t="s">
        <v>383</v>
      </c>
      <c r="I123" s="84" t="s">
        <v>383</v>
      </c>
      <c r="J123" s="84" t="s">
        <v>409</v>
      </c>
      <c r="K123" s="84" t="s">
        <v>383</v>
      </c>
      <c r="L123" s="84" t="s">
        <v>563</v>
      </c>
      <c r="M123" s="90" t="str">
        <f t="shared" si="1"/>
        <v>View on Google Map</v>
      </c>
    </row>
    <row r="124" spans="1:13" x14ac:dyDescent="0.2">
      <c r="A124" s="84">
        <v>137</v>
      </c>
      <c r="B124" s="84" t="s">
        <v>578</v>
      </c>
      <c r="C124" s="84" t="s">
        <v>383</v>
      </c>
      <c r="D124" s="84">
        <v>70.3</v>
      </c>
      <c r="E124" s="84">
        <v>-148.28333333333333</v>
      </c>
      <c r="F124" s="84">
        <v>6</v>
      </c>
      <c r="G124" s="84" t="s">
        <v>394</v>
      </c>
      <c r="H124" s="84" t="s">
        <v>579</v>
      </c>
      <c r="I124" s="84" t="s">
        <v>383</v>
      </c>
      <c r="J124" s="84" t="s">
        <v>409</v>
      </c>
      <c r="K124" s="84" t="s">
        <v>383</v>
      </c>
      <c r="L124" s="84" t="s">
        <v>410</v>
      </c>
      <c r="M124" s="90" t="str">
        <f t="shared" si="1"/>
        <v>View on Google Map</v>
      </c>
    </row>
    <row r="125" spans="1:13" x14ac:dyDescent="0.2">
      <c r="A125" s="84">
        <v>146</v>
      </c>
      <c r="B125" s="84" t="s">
        <v>580</v>
      </c>
      <c r="C125" s="84" t="s">
        <v>383</v>
      </c>
      <c r="D125" s="84">
        <v>68.626195602799996</v>
      </c>
      <c r="E125" s="84">
        <v>-149.55534770599999</v>
      </c>
      <c r="F125" s="84">
        <v>762</v>
      </c>
      <c r="G125" s="84" t="s">
        <v>394</v>
      </c>
      <c r="H125" s="84" t="s">
        <v>581</v>
      </c>
      <c r="I125" s="84" t="s">
        <v>582</v>
      </c>
      <c r="J125" s="84" t="s">
        <v>409</v>
      </c>
      <c r="K125" s="84" t="s">
        <v>383</v>
      </c>
      <c r="L125" s="84" t="s">
        <v>383</v>
      </c>
      <c r="M125" s="90" t="str">
        <f t="shared" si="1"/>
        <v>View on Google Map</v>
      </c>
    </row>
    <row r="126" spans="1:13" x14ac:dyDescent="0.2">
      <c r="A126" s="84">
        <v>18</v>
      </c>
      <c r="B126" s="84" t="s">
        <v>583</v>
      </c>
      <c r="C126" s="84" t="s">
        <v>383</v>
      </c>
      <c r="D126" s="84" t="s">
        <v>383</v>
      </c>
      <c r="E126" s="84" t="s">
        <v>383</v>
      </c>
      <c r="F126" s="84">
        <v>762</v>
      </c>
      <c r="G126" s="84" t="s">
        <v>408</v>
      </c>
      <c r="H126" s="84" t="s">
        <v>584</v>
      </c>
      <c r="I126" s="84" t="s">
        <v>585</v>
      </c>
      <c r="J126" s="84" t="s">
        <v>409</v>
      </c>
      <c r="K126" s="84" t="s">
        <v>383</v>
      </c>
      <c r="L126" s="84" t="s">
        <v>383</v>
      </c>
      <c r="M126" s="90" t="str">
        <f t="shared" si="1"/>
        <v>View on Google Map</v>
      </c>
    </row>
    <row r="127" spans="1:13" x14ac:dyDescent="0.2">
      <c r="A127" s="84">
        <v>310</v>
      </c>
      <c r="B127" s="84" t="s">
        <v>586</v>
      </c>
      <c r="C127" s="84" t="s">
        <v>383</v>
      </c>
      <c r="D127" s="84">
        <v>68.622894947099994</v>
      </c>
      <c r="E127" s="84">
        <v>-149.54328383999999</v>
      </c>
      <c r="F127" s="84" t="s">
        <v>383</v>
      </c>
      <c r="G127" s="84" t="s">
        <v>394</v>
      </c>
      <c r="H127" s="84" t="s">
        <v>587</v>
      </c>
      <c r="I127" s="84" t="s">
        <v>588</v>
      </c>
      <c r="J127" s="84" t="s">
        <v>409</v>
      </c>
      <c r="K127" s="84" t="s">
        <v>383</v>
      </c>
      <c r="L127" s="84" t="s">
        <v>383</v>
      </c>
      <c r="M127" s="90" t="str">
        <f t="shared" si="1"/>
        <v>View on Google Map</v>
      </c>
    </row>
    <row r="128" spans="1:13" x14ac:dyDescent="0.2">
      <c r="A128" s="84">
        <v>311</v>
      </c>
      <c r="B128" s="84" t="s">
        <v>589</v>
      </c>
      <c r="C128" s="84" t="s">
        <v>383</v>
      </c>
      <c r="D128" s="84">
        <v>68.623910828999996</v>
      </c>
      <c r="E128" s="84">
        <v>-149.53118563999999</v>
      </c>
      <c r="F128" s="84" t="s">
        <v>383</v>
      </c>
      <c r="G128" s="84" t="s">
        <v>394</v>
      </c>
      <c r="H128" s="84" t="s">
        <v>590</v>
      </c>
      <c r="I128" s="84" t="s">
        <v>591</v>
      </c>
      <c r="J128" s="84" t="s">
        <v>409</v>
      </c>
      <c r="K128" s="84" t="s">
        <v>383</v>
      </c>
      <c r="L128" s="84" t="s">
        <v>383</v>
      </c>
      <c r="M128" s="90" t="str">
        <f t="shared" si="1"/>
        <v>View on Google Map</v>
      </c>
    </row>
    <row r="129" spans="1:13" x14ac:dyDescent="0.2">
      <c r="A129" s="84">
        <v>312</v>
      </c>
      <c r="B129" s="84" t="s">
        <v>592</v>
      </c>
      <c r="C129" s="84" t="s">
        <v>383</v>
      </c>
      <c r="D129" s="84">
        <v>68.6277698106</v>
      </c>
      <c r="E129" s="84">
        <v>-149.497737003</v>
      </c>
      <c r="F129" s="84" t="s">
        <v>383</v>
      </c>
      <c r="G129" s="84" t="s">
        <v>394</v>
      </c>
      <c r="H129" s="84" t="s">
        <v>593</v>
      </c>
      <c r="I129" s="84" t="s">
        <v>594</v>
      </c>
      <c r="J129" s="84" t="s">
        <v>409</v>
      </c>
      <c r="K129" s="84" t="s">
        <v>383</v>
      </c>
      <c r="L129" s="84" t="s">
        <v>383</v>
      </c>
      <c r="M129" s="90" t="str">
        <f t="shared" si="1"/>
        <v>View on Google Map</v>
      </c>
    </row>
    <row r="130" spans="1:13" x14ac:dyDescent="0.2">
      <c r="A130" s="84">
        <v>145</v>
      </c>
      <c r="B130" s="84" t="s">
        <v>595</v>
      </c>
      <c r="C130" s="84" t="s">
        <v>383</v>
      </c>
      <c r="D130" s="84">
        <v>68.642611000000002</v>
      </c>
      <c r="E130" s="84">
        <v>-149.458079</v>
      </c>
      <c r="F130" s="84">
        <v>800</v>
      </c>
      <c r="G130" s="84" t="s">
        <v>394</v>
      </c>
      <c r="H130" s="84" t="s">
        <v>596</v>
      </c>
      <c r="I130" s="84" t="s">
        <v>597</v>
      </c>
      <c r="J130" s="84" t="s">
        <v>409</v>
      </c>
      <c r="K130" s="84" t="s">
        <v>383</v>
      </c>
      <c r="L130" s="84" t="s">
        <v>383</v>
      </c>
      <c r="M130" s="90" t="str">
        <f t="shared" si="1"/>
        <v>View on Google Map</v>
      </c>
    </row>
    <row r="131" spans="1:13" x14ac:dyDescent="0.2">
      <c r="A131" s="84">
        <v>399</v>
      </c>
      <c r="B131" s="84" t="s">
        <v>598</v>
      </c>
      <c r="C131" s="84" t="s">
        <v>383</v>
      </c>
      <c r="D131" s="84">
        <v>68.643427058300006</v>
      </c>
      <c r="E131" s="84">
        <v>-149.44056459199999</v>
      </c>
      <c r="F131" s="84">
        <v>792</v>
      </c>
      <c r="G131" s="84" t="s">
        <v>394</v>
      </c>
      <c r="H131" s="84" t="s">
        <v>599</v>
      </c>
      <c r="I131" s="84" t="s">
        <v>600</v>
      </c>
      <c r="J131" s="84" t="s">
        <v>409</v>
      </c>
      <c r="K131" s="84" t="s">
        <v>383</v>
      </c>
      <c r="L131" s="84" t="s">
        <v>383</v>
      </c>
      <c r="M131" s="90" t="str">
        <f t="shared" ref="M131:M194" si="2">HYPERLINK("http://maps.google.com/maps?q="&amp;D131&amp;","&amp;E131,"View on Google Map")</f>
        <v>View on Google Map</v>
      </c>
    </row>
    <row r="132" spans="1:13" x14ac:dyDescent="0.2">
      <c r="A132" s="84">
        <v>1605</v>
      </c>
      <c r="B132" s="84" t="s">
        <v>601</v>
      </c>
      <c r="C132" s="84" t="s">
        <v>383</v>
      </c>
      <c r="D132" s="84" t="s">
        <v>383</v>
      </c>
      <c r="E132" s="84" t="s">
        <v>383</v>
      </c>
      <c r="F132" s="84" t="s">
        <v>383</v>
      </c>
      <c r="G132" s="84" t="s">
        <v>408</v>
      </c>
      <c r="H132" s="84" t="s">
        <v>602</v>
      </c>
      <c r="I132" s="84" t="s">
        <v>603</v>
      </c>
      <c r="J132" s="84" t="s">
        <v>409</v>
      </c>
      <c r="K132" s="84" t="s">
        <v>383</v>
      </c>
      <c r="L132" s="84" t="s">
        <v>383</v>
      </c>
      <c r="M132" s="90" t="str">
        <f t="shared" si="2"/>
        <v>View on Google Map</v>
      </c>
    </row>
    <row r="133" spans="1:13" x14ac:dyDescent="0.2">
      <c r="A133" s="84">
        <v>1606</v>
      </c>
      <c r="B133" s="84" t="s">
        <v>604</v>
      </c>
      <c r="C133" s="84" t="s">
        <v>383</v>
      </c>
      <c r="D133" s="84" t="s">
        <v>383</v>
      </c>
      <c r="E133" s="84" t="s">
        <v>383</v>
      </c>
      <c r="F133" s="84" t="s">
        <v>383</v>
      </c>
      <c r="G133" s="84" t="s">
        <v>408</v>
      </c>
      <c r="H133" s="84" t="s">
        <v>605</v>
      </c>
      <c r="I133" s="84" t="s">
        <v>606</v>
      </c>
      <c r="J133" s="84" t="s">
        <v>409</v>
      </c>
      <c r="K133" s="84" t="s">
        <v>383</v>
      </c>
      <c r="L133" s="84" t="s">
        <v>383</v>
      </c>
      <c r="M133" s="90" t="str">
        <f t="shared" si="2"/>
        <v>View on Google Map</v>
      </c>
    </row>
    <row r="134" spans="1:13" x14ac:dyDescent="0.2">
      <c r="A134" s="84">
        <v>1604</v>
      </c>
      <c r="B134" s="84" t="s">
        <v>607</v>
      </c>
      <c r="C134" s="84" t="s">
        <v>383</v>
      </c>
      <c r="D134" s="84" t="s">
        <v>383</v>
      </c>
      <c r="E134" s="84" t="s">
        <v>383</v>
      </c>
      <c r="F134" s="84" t="s">
        <v>383</v>
      </c>
      <c r="G134" s="84" t="s">
        <v>408</v>
      </c>
      <c r="H134" s="84" t="s">
        <v>608</v>
      </c>
      <c r="I134" s="84" t="s">
        <v>609</v>
      </c>
      <c r="J134" s="84" t="s">
        <v>409</v>
      </c>
      <c r="K134" s="84" t="s">
        <v>383</v>
      </c>
      <c r="L134" s="84" t="s">
        <v>383</v>
      </c>
      <c r="M134" s="90" t="str">
        <f t="shared" si="2"/>
        <v>View on Google Map</v>
      </c>
    </row>
    <row r="135" spans="1:13" x14ac:dyDescent="0.2">
      <c r="A135" s="84">
        <v>24</v>
      </c>
      <c r="B135" s="84" t="s">
        <v>610</v>
      </c>
      <c r="C135" s="84" t="s">
        <v>383</v>
      </c>
      <c r="D135" s="84" t="s">
        <v>383</v>
      </c>
      <c r="E135" s="84" t="s">
        <v>383</v>
      </c>
      <c r="F135" s="84" t="s">
        <v>383</v>
      </c>
      <c r="G135" s="84" t="s">
        <v>408</v>
      </c>
      <c r="H135" s="84" t="s">
        <v>383</v>
      </c>
      <c r="I135" s="84" t="s">
        <v>383</v>
      </c>
      <c r="J135" s="84" t="s">
        <v>409</v>
      </c>
      <c r="K135" s="84" t="s">
        <v>383</v>
      </c>
      <c r="L135" s="84" t="s">
        <v>383</v>
      </c>
      <c r="M135" s="90" t="str">
        <f t="shared" si="2"/>
        <v>View on Google Map</v>
      </c>
    </row>
    <row r="136" spans="1:13" x14ac:dyDescent="0.2">
      <c r="A136" s="84">
        <v>143</v>
      </c>
      <c r="B136" s="84" t="s">
        <v>611</v>
      </c>
      <c r="C136" s="84" t="s">
        <v>612</v>
      </c>
      <c r="D136" s="84">
        <v>68.650000000000006</v>
      </c>
      <c r="E136" s="84">
        <v>-148.5</v>
      </c>
      <c r="F136" s="84">
        <v>525</v>
      </c>
      <c r="G136" s="84" t="s">
        <v>394</v>
      </c>
      <c r="H136" s="84" t="s">
        <v>383</v>
      </c>
      <c r="I136" s="84" t="s">
        <v>383</v>
      </c>
      <c r="J136" s="84" t="s">
        <v>409</v>
      </c>
      <c r="K136" s="84" t="s">
        <v>383</v>
      </c>
      <c r="L136" s="84" t="s">
        <v>410</v>
      </c>
      <c r="M136" s="90" t="str">
        <f t="shared" si="2"/>
        <v>View on Google Map</v>
      </c>
    </row>
    <row r="137" spans="1:13" x14ac:dyDescent="0.2">
      <c r="A137" s="84">
        <v>464</v>
      </c>
      <c r="B137" s="84" t="s">
        <v>613</v>
      </c>
      <c r="C137" s="84" t="s">
        <v>383</v>
      </c>
      <c r="D137" s="84">
        <v>68.793719999999993</v>
      </c>
      <c r="E137" s="84">
        <v>-149.47560999999999</v>
      </c>
      <c r="F137" s="84">
        <v>702</v>
      </c>
      <c r="G137" s="84" t="s">
        <v>394</v>
      </c>
      <c r="H137" s="84" t="s">
        <v>383</v>
      </c>
      <c r="I137" s="84" t="s">
        <v>383</v>
      </c>
      <c r="J137" s="84" t="s">
        <v>395</v>
      </c>
      <c r="K137" s="84" t="s">
        <v>383</v>
      </c>
      <c r="L137" s="84" t="s">
        <v>383</v>
      </c>
      <c r="M137" s="90" t="str">
        <f t="shared" si="2"/>
        <v>View on Google Map</v>
      </c>
    </row>
    <row r="138" spans="1:13" x14ac:dyDescent="0.2">
      <c r="A138" s="84">
        <v>465</v>
      </c>
      <c r="B138" s="84" t="s">
        <v>614</v>
      </c>
      <c r="C138" s="84" t="s">
        <v>383</v>
      </c>
      <c r="D138" s="84">
        <v>68.796220000000005</v>
      </c>
      <c r="E138" s="84">
        <v>-149.48222000000001</v>
      </c>
      <c r="F138" s="84">
        <v>698</v>
      </c>
      <c r="G138" s="84" t="s">
        <v>394</v>
      </c>
      <c r="H138" s="84" t="s">
        <v>383</v>
      </c>
      <c r="I138" s="84" t="s">
        <v>383</v>
      </c>
      <c r="J138" s="84" t="s">
        <v>395</v>
      </c>
      <c r="K138" s="84" t="s">
        <v>383</v>
      </c>
      <c r="L138" s="84" t="s">
        <v>383</v>
      </c>
      <c r="M138" s="90" t="str">
        <f t="shared" si="2"/>
        <v>View on Google Map</v>
      </c>
    </row>
    <row r="139" spans="1:13" x14ac:dyDescent="0.2">
      <c r="A139" s="84">
        <v>466</v>
      </c>
      <c r="B139" s="84" t="s">
        <v>615</v>
      </c>
      <c r="C139" s="84" t="s">
        <v>383</v>
      </c>
      <c r="D139" s="84">
        <v>68.798249999999996</v>
      </c>
      <c r="E139" s="84">
        <v>-149.47832</v>
      </c>
      <c r="F139" s="84">
        <v>697</v>
      </c>
      <c r="G139" s="84" t="s">
        <v>394</v>
      </c>
      <c r="H139" s="84" t="s">
        <v>383</v>
      </c>
      <c r="I139" s="84" t="s">
        <v>383</v>
      </c>
      <c r="J139" s="84" t="s">
        <v>395</v>
      </c>
      <c r="K139" s="84" t="s">
        <v>383</v>
      </c>
      <c r="L139" s="84" t="s">
        <v>383</v>
      </c>
      <c r="M139" s="90" t="str">
        <f t="shared" si="2"/>
        <v>View on Google Map</v>
      </c>
    </row>
    <row r="140" spans="1:13" x14ac:dyDescent="0.2">
      <c r="A140" s="84">
        <v>467</v>
      </c>
      <c r="B140" s="84" t="s">
        <v>616</v>
      </c>
      <c r="C140" s="84" t="s">
        <v>383</v>
      </c>
      <c r="D140" s="84">
        <v>68.794659999999993</v>
      </c>
      <c r="E140" s="84">
        <v>-149.46985000000001</v>
      </c>
      <c r="F140" s="84">
        <v>702</v>
      </c>
      <c r="G140" s="84" t="s">
        <v>394</v>
      </c>
      <c r="H140" s="84" t="s">
        <v>383</v>
      </c>
      <c r="I140" s="84" t="s">
        <v>383</v>
      </c>
      <c r="J140" s="84" t="s">
        <v>395</v>
      </c>
      <c r="K140" s="84" t="s">
        <v>383</v>
      </c>
      <c r="L140" s="84" t="s">
        <v>383</v>
      </c>
      <c r="M140" s="90" t="str">
        <f t="shared" si="2"/>
        <v>View on Google Map</v>
      </c>
    </row>
    <row r="141" spans="1:13" x14ac:dyDescent="0.2">
      <c r="A141" s="84">
        <v>468</v>
      </c>
      <c r="B141" s="84" t="s">
        <v>617</v>
      </c>
      <c r="C141" s="84" t="s">
        <v>383</v>
      </c>
      <c r="D141" s="84">
        <v>68.797669999999997</v>
      </c>
      <c r="E141" s="84">
        <v>-149.46574000000001</v>
      </c>
      <c r="F141" s="84">
        <v>692</v>
      </c>
      <c r="G141" s="84" t="s">
        <v>394</v>
      </c>
      <c r="H141" s="84" t="s">
        <v>383</v>
      </c>
      <c r="I141" s="84" t="s">
        <v>383</v>
      </c>
      <c r="J141" s="84" t="s">
        <v>395</v>
      </c>
      <c r="K141" s="84" t="s">
        <v>383</v>
      </c>
      <c r="L141" s="84" t="s">
        <v>383</v>
      </c>
      <c r="M141" s="90" t="str">
        <f t="shared" si="2"/>
        <v>View on Google Map</v>
      </c>
    </row>
    <row r="142" spans="1:13" x14ac:dyDescent="0.2">
      <c r="A142" s="84">
        <v>469</v>
      </c>
      <c r="B142" s="84" t="s">
        <v>618</v>
      </c>
      <c r="C142" s="84" t="s">
        <v>383</v>
      </c>
      <c r="D142" s="84">
        <v>68.802390000000003</v>
      </c>
      <c r="E142" s="84">
        <v>-149.46473</v>
      </c>
      <c r="F142" s="84">
        <v>683</v>
      </c>
      <c r="G142" s="84" t="s">
        <v>394</v>
      </c>
      <c r="H142" s="84" t="s">
        <v>383</v>
      </c>
      <c r="I142" s="84" t="s">
        <v>383</v>
      </c>
      <c r="J142" s="84" t="s">
        <v>395</v>
      </c>
      <c r="K142" s="84" t="s">
        <v>383</v>
      </c>
      <c r="L142" s="84" t="s">
        <v>383</v>
      </c>
      <c r="M142" s="90" t="str">
        <f t="shared" si="2"/>
        <v>View on Google Map</v>
      </c>
    </row>
    <row r="143" spans="1:13" x14ac:dyDescent="0.2">
      <c r="A143" s="84">
        <v>406</v>
      </c>
      <c r="B143" s="84" t="s">
        <v>619</v>
      </c>
      <c r="C143" s="84" t="s">
        <v>383</v>
      </c>
      <c r="D143" s="84" t="s">
        <v>383</v>
      </c>
      <c r="E143" s="84" t="s">
        <v>383</v>
      </c>
      <c r="F143" s="84" t="s">
        <v>383</v>
      </c>
      <c r="G143" s="84" t="s">
        <v>394</v>
      </c>
      <c r="H143" s="84" t="s">
        <v>383</v>
      </c>
      <c r="I143" s="84" t="s">
        <v>383</v>
      </c>
      <c r="J143" s="84" t="s">
        <v>409</v>
      </c>
      <c r="K143" s="84" t="s">
        <v>383</v>
      </c>
      <c r="L143" s="84" t="s">
        <v>565</v>
      </c>
      <c r="M143" s="90" t="str">
        <f t="shared" si="2"/>
        <v>View on Google Map</v>
      </c>
    </row>
    <row r="144" spans="1:13" x14ac:dyDescent="0.2">
      <c r="A144" s="84">
        <v>407</v>
      </c>
      <c r="B144" s="84" t="s">
        <v>620</v>
      </c>
      <c r="C144" s="84" t="s">
        <v>383</v>
      </c>
      <c r="D144" s="84" t="s">
        <v>383</v>
      </c>
      <c r="E144" s="84" t="s">
        <v>383</v>
      </c>
      <c r="F144" s="84" t="s">
        <v>383</v>
      </c>
      <c r="G144" s="84" t="s">
        <v>394</v>
      </c>
      <c r="H144" s="84" t="s">
        <v>383</v>
      </c>
      <c r="I144" s="84" t="s">
        <v>383</v>
      </c>
      <c r="J144" s="84" t="s">
        <v>409</v>
      </c>
      <c r="K144" s="84" t="s">
        <v>383</v>
      </c>
      <c r="L144" s="84" t="s">
        <v>565</v>
      </c>
      <c r="M144" s="90" t="str">
        <f t="shared" si="2"/>
        <v>View on Google Map</v>
      </c>
    </row>
    <row r="145" spans="1:13" x14ac:dyDescent="0.2">
      <c r="A145" s="84">
        <v>164</v>
      </c>
      <c r="B145" s="84" t="s">
        <v>621</v>
      </c>
      <c r="C145" s="84" t="s">
        <v>383</v>
      </c>
      <c r="D145" s="84">
        <v>68.683333333333337</v>
      </c>
      <c r="E145" s="84">
        <v>-149.07666666666699</v>
      </c>
      <c r="F145" s="84">
        <v>770</v>
      </c>
      <c r="G145" s="84" t="s">
        <v>394</v>
      </c>
      <c r="H145" s="84" t="s">
        <v>622</v>
      </c>
      <c r="I145" s="84" t="s">
        <v>623</v>
      </c>
      <c r="J145" s="84" t="s">
        <v>409</v>
      </c>
      <c r="K145" s="84">
        <v>274</v>
      </c>
      <c r="L145" s="84" t="s">
        <v>383</v>
      </c>
      <c r="M145" s="90" t="str">
        <f t="shared" si="2"/>
        <v>View on Google Map</v>
      </c>
    </row>
    <row r="146" spans="1:13" x14ac:dyDescent="0.2">
      <c r="A146" s="84">
        <v>165</v>
      </c>
      <c r="B146" s="84" t="s">
        <v>624</v>
      </c>
      <c r="C146" s="84" t="s">
        <v>383</v>
      </c>
      <c r="D146" s="84">
        <v>68.683333333333337</v>
      </c>
      <c r="E146" s="84">
        <v>-149.1</v>
      </c>
      <c r="F146" s="84">
        <v>785</v>
      </c>
      <c r="G146" s="84" t="s">
        <v>394</v>
      </c>
      <c r="H146" s="84" t="s">
        <v>625</v>
      </c>
      <c r="I146" s="84" t="s">
        <v>626</v>
      </c>
      <c r="J146" s="84" t="s">
        <v>409</v>
      </c>
      <c r="K146" s="84">
        <v>275</v>
      </c>
      <c r="L146" s="84" t="s">
        <v>383</v>
      </c>
      <c r="M146" s="90" t="str">
        <f t="shared" si="2"/>
        <v>View on Google Map</v>
      </c>
    </row>
    <row r="147" spans="1:13" x14ac:dyDescent="0.2">
      <c r="A147" s="84">
        <v>166</v>
      </c>
      <c r="B147" s="84" t="s">
        <v>627</v>
      </c>
      <c r="C147" s="84" t="s">
        <v>383</v>
      </c>
      <c r="D147" s="84">
        <v>68.666666666666671</v>
      </c>
      <c r="E147" s="84">
        <v>-149.1</v>
      </c>
      <c r="F147" s="84">
        <v>792</v>
      </c>
      <c r="G147" s="84" t="s">
        <v>394</v>
      </c>
      <c r="H147" s="84" t="s">
        <v>628</v>
      </c>
      <c r="I147" s="84" t="s">
        <v>629</v>
      </c>
      <c r="J147" s="84" t="s">
        <v>409</v>
      </c>
      <c r="K147" s="84">
        <v>276</v>
      </c>
      <c r="L147" s="84" t="s">
        <v>383</v>
      </c>
      <c r="M147" s="90" t="str">
        <f t="shared" si="2"/>
        <v>View on Google Map</v>
      </c>
    </row>
    <row r="148" spans="1:13" x14ac:dyDescent="0.2">
      <c r="A148" s="84">
        <v>167</v>
      </c>
      <c r="B148" s="84" t="s">
        <v>630</v>
      </c>
      <c r="C148" s="84" t="s">
        <v>383</v>
      </c>
      <c r="D148" s="84">
        <v>68.680000000000007</v>
      </c>
      <c r="E148" s="84">
        <v>-149.071666666667</v>
      </c>
      <c r="F148" s="84">
        <v>754</v>
      </c>
      <c r="G148" s="84" t="s">
        <v>394</v>
      </c>
      <c r="H148" s="84" t="s">
        <v>631</v>
      </c>
      <c r="I148" s="84" t="s">
        <v>632</v>
      </c>
      <c r="J148" s="84" t="s">
        <v>409</v>
      </c>
      <c r="K148" s="84" t="s">
        <v>383</v>
      </c>
      <c r="L148" s="84" t="s">
        <v>383</v>
      </c>
      <c r="M148" s="90" t="str">
        <f t="shared" si="2"/>
        <v>View on Google Map</v>
      </c>
    </row>
    <row r="149" spans="1:13" x14ac:dyDescent="0.2">
      <c r="A149" s="84">
        <v>168</v>
      </c>
      <c r="B149" s="84" t="s">
        <v>633</v>
      </c>
      <c r="C149" s="84" t="s">
        <v>383</v>
      </c>
      <c r="D149" s="84">
        <v>68.674999999999997</v>
      </c>
      <c r="E149" s="84">
        <v>-149.06</v>
      </c>
      <c r="F149" s="84" t="s">
        <v>383</v>
      </c>
      <c r="G149" s="84" t="s">
        <v>394</v>
      </c>
      <c r="H149" s="84" t="s">
        <v>634</v>
      </c>
      <c r="I149" s="84" t="s">
        <v>635</v>
      </c>
      <c r="J149" s="84" t="s">
        <v>409</v>
      </c>
      <c r="K149" s="84" t="s">
        <v>383</v>
      </c>
      <c r="L149" s="84" t="s">
        <v>383</v>
      </c>
      <c r="M149" s="90" t="str">
        <f t="shared" si="2"/>
        <v>View on Google Map</v>
      </c>
    </row>
    <row r="150" spans="1:13" x14ac:dyDescent="0.2">
      <c r="A150" s="84">
        <v>124</v>
      </c>
      <c r="B150" s="84" t="s">
        <v>636</v>
      </c>
      <c r="C150" s="84" t="s">
        <v>383</v>
      </c>
      <c r="D150" s="84">
        <v>68.466666666666669</v>
      </c>
      <c r="E150" s="84">
        <v>-149.5</v>
      </c>
      <c r="F150" s="84">
        <v>802</v>
      </c>
      <c r="G150" s="84" t="s">
        <v>394</v>
      </c>
      <c r="H150" s="84" t="s">
        <v>637</v>
      </c>
      <c r="I150" s="84" t="s">
        <v>383</v>
      </c>
      <c r="J150" s="84" t="s">
        <v>409</v>
      </c>
      <c r="K150" s="84" t="s">
        <v>383</v>
      </c>
      <c r="L150" s="84" t="s">
        <v>410</v>
      </c>
      <c r="M150" s="90" t="str">
        <f t="shared" si="2"/>
        <v>View on Google Map</v>
      </c>
    </row>
    <row r="151" spans="1:13" x14ac:dyDescent="0.2">
      <c r="A151" s="84">
        <v>432</v>
      </c>
      <c r="B151" s="84" t="s">
        <v>638</v>
      </c>
      <c r="C151" s="84" t="s">
        <v>383</v>
      </c>
      <c r="D151" s="84" t="s">
        <v>383</v>
      </c>
      <c r="E151" s="84" t="s">
        <v>383</v>
      </c>
      <c r="F151" s="84">
        <v>800</v>
      </c>
      <c r="G151" s="84" t="s">
        <v>394</v>
      </c>
      <c r="H151" s="84" t="s">
        <v>639</v>
      </c>
      <c r="I151" s="84" t="s">
        <v>383</v>
      </c>
      <c r="J151" s="84" t="s">
        <v>409</v>
      </c>
      <c r="K151" s="84" t="s">
        <v>383</v>
      </c>
      <c r="L151" s="84" t="s">
        <v>640</v>
      </c>
      <c r="M151" s="90" t="str">
        <f t="shared" si="2"/>
        <v>View on Google Map</v>
      </c>
    </row>
    <row r="152" spans="1:13" x14ac:dyDescent="0.2">
      <c r="A152" s="84">
        <v>433</v>
      </c>
      <c r="B152" s="84" t="s">
        <v>641</v>
      </c>
      <c r="C152" s="84" t="s">
        <v>383</v>
      </c>
      <c r="D152" s="84" t="s">
        <v>383</v>
      </c>
      <c r="E152" s="84" t="s">
        <v>383</v>
      </c>
      <c r="F152" s="84">
        <v>800</v>
      </c>
      <c r="G152" s="84" t="s">
        <v>394</v>
      </c>
      <c r="H152" s="84" t="s">
        <v>642</v>
      </c>
      <c r="I152" s="84" t="s">
        <v>383</v>
      </c>
      <c r="J152" s="84" t="s">
        <v>409</v>
      </c>
      <c r="K152" s="84" t="s">
        <v>383</v>
      </c>
      <c r="L152" s="84" t="s">
        <v>640</v>
      </c>
      <c r="M152" s="90" t="str">
        <f t="shared" si="2"/>
        <v>View on Google Map</v>
      </c>
    </row>
    <row r="153" spans="1:13" x14ac:dyDescent="0.2">
      <c r="A153" s="84">
        <v>434</v>
      </c>
      <c r="B153" s="84" t="s">
        <v>643</v>
      </c>
      <c r="C153" s="84" t="s">
        <v>383</v>
      </c>
      <c r="D153" s="84" t="s">
        <v>383</v>
      </c>
      <c r="E153" s="84" t="s">
        <v>383</v>
      </c>
      <c r="F153" s="84">
        <v>801</v>
      </c>
      <c r="G153" s="84" t="s">
        <v>394</v>
      </c>
      <c r="H153" s="84" t="s">
        <v>644</v>
      </c>
      <c r="I153" s="84" t="s">
        <v>383</v>
      </c>
      <c r="J153" s="84" t="s">
        <v>409</v>
      </c>
      <c r="K153" s="84" t="s">
        <v>383</v>
      </c>
      <c r="L153" s="84" t="s">
        <v>640</v>
      </c>
      <c r="M153" s="90" t="str">
        <f t="shared" si="2"/>
        <v>View on Google Map</v>
      </c>
    </row>
    <row r="154" spans="1:13" x14ac:dyDescent="0.2">
      <c r="A154" s="84">
        <v>435</v>
      </c>
      <c r="B154" s="84" t="s">
        <v>645</v>
      </c>
      <c r="C154" s="84" t="s">
        <v>383</v>
      </c>
      <c r="D154" s="84" t="s">
        <v>383</v>
      </c>
      <c r="E154" s="84" t="s">
        <v>383</v>
      </c>
      <c r="F154" s="84">
        <v>802</v>
      </c>
      <c r="G154" s="84" t="s">
        <v>394</v>
      </c>
      <c r="H154" s="84" t="s">
        <v>646</v>
      </c>
      <c r="I154" s="84" t="s">
        <v>383</v>
      </c>
      <c r="J154" s="84" t="s">
        <v>409</v>
      </c>
      <c r="K154" s="84" t="s">
        <v>383</v>
      </c>
      <c r="L154" s="84" t="s">
        <v>640</v>
      </c>
      <c r="M154" s="90" t="str">
        <f t="shared" si="2"/>
        <v>View on Google Map</v>
      </c>
    </row>
    <row r="155" spans="1:13" x14ac:dyDescent="0.2">
      <c r="A155" s="84">
        <v>436</v>
      </c>
      <c r="B155" s="84" t="s">
        <v>647</v>
      </c>
      <c r="C155" s="84" t="s">
        <v>383</v>
      </c>
      <c r="D155" s="84" t="s">
        <v>383</v>
      </c>
      <c r="E155" s="84" t="s">
        <v>383</v>
      </c>
      <c r="F155" s="84">
        <v>803</v>
      </c>
      <c r="G155" s="84" t="s">
        <v>394</v>
      </c>
      <c r="H155" s="84" t="s">
        <v>648</v>
      </c>
      <c r="I155" s="84" t="s">
        <v>383</v>
      </c>
      <c r="J155" s="84" t="s">
        <v>409</v>
      </c>
      <c r="K155" s="84" t="s">
        <v>383</v>
      </c>
      <c r="L155" s="84" t="s">
        <v>640</v>
      </c>
      <c r="M155" s="90" t="str">
        <f t="shared" si="2"/>
        <v>View on Google Map</v>
      </c>
    </row>
    <row r="156" spans="1:13" x14ac:dyDescent="0.2">
      <c r="A156" s="84">
        <v>437</v>
      </c>
      <c r="B156" s="84" t="s">
        <v>649</v>
      </c>
      <c r="C156" s="84" t="s">
        <v>383</v>
      </c>
      <c r="D156" s="84" t="s">
        <v>383</v>
      </c>
      <c r="E156" s="84" t="s">
        <v>383</v>
      </c>
      <c r="F156" s="84">
        <v>804</v>
      </c>
      <c r="G156" s="84" t="s">
        <v>394</v>
      </c>
      <c r="H156" s="84" t="s">
        <v>650</v>
      </c>
      <c r="I156" s="84" t="s">
        <v>383</v>
      </c>
      <c r="J156" s="84" t="s">
        <v>409</v>
      </c>
      <c r="K156" s="84" t="s">
        <v>383</v>
      </c>
      <c r="L156" s="84" t="s">
        <v>640</v>
      </c>
      <c r="M156" s="90" t="str">
        <f t="shared" si="2"/>
        <v>View on Google Map</v>
      </c>
    </row>
    <row r="157" spans="1:13" x14ac:dyDescent="0.2">
      <c r="A157" s="84">
        <v>438</v>
      </c>
      <c r="B157" s="84" t="s">
        <v>651</v>
      </c>
      <c r="C157" s="84" t="s">
        <v>383</v>
      </c>
      <c r="D157" s="84" t="s">
        <v>383</v>
      </c>
      <c r="E157" s="84" t="s">
        <v>383</v>
      </c>
      <c r="F157" s="84">
        <v>805</v>
      </c>
      <c r="G157" s="84" t="s">
        <v>394</v>
      </c>
      <c r="H157" s="84" t="s">
        <v>652</v>
      </c>
      <c r="I157" s="84" t="s">
        <v>383</v>
      </c>
      <c r="J157" s="84" t="s">
        <v>409</v>
      </c>
      <c r="K157" s="84" t="s">
        <v>383</v>
      </c>
      <c r="L157" s="84" t="s">
        <v>640</v>
      </c>
      <c r="M157" s="90" t="str">
        <f t="shared" si="2"/>
        <v>View on Google Map</v>
      </c>
    </row>
    <row r="158" spans="1:13" x14ac:dyDescent="0.2">
      <c r="A158" s="84">
        <v>439</v>
      </c>
      <c r="B158" s="84" t="s">
        <v>653</v>
      </c>
      <c r="C158" s="84" t="s">
        <v>383</v>
      </c>
      <c r="D158" s="84" t="s">
        <v>383</v>
      </c>
      <c r="E158" s="84" t="s">
        <v>383</v>
      </c>
      <c r="F158" s="84">
        <v>807</v>
      </c>
      <c r="G158" s="84" t="s">
        <v>394</v>
      </c>
      <c r="H158" s="84" t="s">
        <v>654</v>
      </c>
      <c r="I158" s="84" t="s">
        <v>383</v>
      </c>
      <c r="J158" s="84" t="s">
        <v>409</v>
      </c>
      <c r="K158" s="84" t="s">
        <v>383</v>
      </c>
      <c r="L158" s="84" t="s">
        <v>640</v>
      </c>
      <c r="M158" s="90" t="str">
        <f t="shared" si="2"/>
        <v>View on Google Map</v>
      </c>
    </row>
    <row r="159" spans="1:13" x14ac:dyDescent="0.2">
      <c r="A159" s="84">
        <v>440</v>
      </c>
      <c r="B159" s="84" t="s">
        <v>655</v>
      </c>
      <c r="C159" s="84" t="s">
        <v>383</v>
      </c>
      <c r="D159" s="84" t="s">
        <v>383</v>
      </c>
      <c r="E159" s="84" t="s">
        <v>383</v>
      </c>
      <c r="F159" s="84">
        <v>805</v>
      </c>
      <c r="G159" s="84" t="s">
        <v>394</v>
      </c>
      <c r="H159" s="84" t="s">
        <v>656</v>
      </c>
      <c r="I159" s="84" t="s">
        <v>383</v>
      </c>
      <c r="J159" s="84" t="s">
        <v>409</v>
      </c>
      <c r="K159" s="84" t="s">
        <v>383</v>
      </c>
      <c r="L159" s="84" t="s">
        <v>640</v>
      </c>
      <c r="M159" s="90" t="str">
        <f t="shared" si="2"/>
        <v>View on Google Map</v>
      </c>
    </row>
    <row r="160" spans="1:13" x14ac:dyDescent="0.2">
      <c r="A160" s="84">
        <v>441</v>
      </c>
      <c r="B160" s="84" t="s">
        <v>657</v>
      </c>
      <c r="C160" s="84" t="s">
        <v>383</v>
      </c>
      <c r="D160" s="84" t="s">
        <v>383</v>
      </c>
      <c r="E160" s="84" t="s">
        <v>383</v>
      </c>
      <c r="F160" s="84">
        <v>805</v>
      </c>
      <c r="G160" s="84" t="s">
        <v>394</v>
      </c>
      <c r="H160" s="84" t="s">
        <v>658</v>
      </c>
      <c r="I160" s="84" t="s">
        <v>383</v>
      </c>
      <c r="J160" s="84" t="s">
        <v>409</v>
      </c>
      <c r="K160" s="84" t="s">
        <v>383</v>
      </c>
      <c r="L160" s="84" t="s">
        <v>640</v>
      </c>
      <c r="M160" s="90" t="str">
        <f t="shared" si="2"/>
        <v>View on Google Map</v>
      </c>
    </row>
    <row r="161" spans="1:14" x14ac:dyDescent="0.2">
      <c r="A161" s="84">
        <v>442</v>
      </c>
      <c r="B161" s="84" t="s">
        <v>659</v>
      </c>
      <c r="C161" s="84" t="s">
        <v>383</v>
      </c>
      <c r="D161" s="84" t="s">
        <v>383</v>
      </c>
      <c r="E161" s="84" t="s">
        <v>383</v>
      </c>
      <c r="F161" s="84">
        <v>805</v>
      </c>
      <c r="G161" s="84" t="s">
        <v>394</v>
      </c>
      <c r="H161" s="84" t="s">
        <v>660</v>
      </c>
      <c r="I161" s="84" t="s">
        <v>383</v>
      </c>
      <c r="J161" s="84" t="s">
        <v>409</v>
      </c>
      <c r="K161" s="84" t="s">
        <v>383</v>
      </c>
      <c r="L161" s="84" t="s">
        <v>640</v>
      </c>
      <c r="M161" s="90" t="str">
        <f t="shared" si="2"/>
        <v>View on Google Map</v>
      </c>
    </row>
    <row r="162" spans="1:14" x14ac:dyDescent="0.2">
      <c r="A162" s="84">
        <v>443</v>
      </c>
      <c r="B162" s="84" t="s">
        <v>661</v>
      </c>
      <c r="C162" s="84" t="s">
        <v>383</v>
      </c>
      <c r="D162" s="84" t="s">
        <v>383</v>
      </c>
      <c r="E162" s="84" t="s">
        <v>383</v>
      </c>
      <c r="F162" s="84">
        <v>812</v>
      </c>
      <c r="G162" s="84" t="s">
        <v>394</v>
      </c>
      <c r="H162" s="84" t="s">
        <v>662</v>
      </c>
      <c r="I162" s="84" t="s">
        <v>383</v>
      </c>
      <c r="J162" s="84" t="s">
        <v>409</v>
      </c>
      <c r="K162" s="84" t="s">
        <v>383</v>
      </c>
      <c r="L162" s="84" t="s">
        <v>640</v>
      </c>
      <c r="M162" s="90" t="str">
        <f t="shared" si="2"/>
        <v>View on Google Map</v>
      </c>
    </row>
    <row r="163" spans="1:14" x14ac:dyDescent="0.2">
      <c r="A163" s="84">
        <v>28</v>
      </c>
      <c r="B163" s="84" t="s">
        <v>663</v>
      </c>
      <c r="C163" s="84" t="s">
        <v>383</v>
      </c>
      <c r="D163" s="84" t="s">
        <v>383</v>
      </c>
      <c r="E163" s="84" t="s">
        <v>383</v>
      </c>
      <c r="F163" s="84">
        <v>1189</v>
      </c>
      <c r="G163" s="84" t="s">
        <v>408</v>
      </c>
      <c r="H163" s="84" t="s">
        <v>664</v>
      </c>
      <c r="I163" s="84" t="s">
        <v>383</v>
      </c>
      <c r="J163" s="84" t="s">
        <v>409</v>
      </c>
      <c r="K163" s="84" t="s">
        <v>383</v>
      </c>
      <c r="L163" s="84" t="s">
        <v>383</v>
      </c>
      <c r="M163" s="90" t="str">
        <f t="shared" si="2"/>
        <v>View on Google Map</v>
      </c>
    </row>
    <row r="164" spans="1:14" x14ac:dyDescent="0.2">
      <c r="A164" s="84">
        <v>29</v>
      </c>
      <c r="B164" s="84" t="s">
        <v>665</v>
      </c>
      <c r="C164" s="84" t="s">
        <v>383</v>
      </c>
      <c r="D164" s="84" t="s">
        <v>383</v>
      </c>
      <c r="E164" s="84" t="s">
        <v>383</v>
      </c>
      <c r="F164" s="84">
        <v>1372</v>
      </c>
      <c r="G164" s="84" t="s">
        <v>408</v>
      </c>
      <c r="H164" s="84" t="s">
        <v>666</v>
      </c>
      <c r="I164" s="84" t="s">
        <v>383</v>
      </c>
      <c r="J164" s="84" t="s">
        <v>409</v>
      </c>
      <c r="K164" s="84" t="s">
        <v>383</v>
      </c>
      <c r="L164" s="84" t="s">
        <v>383</v>
      </c>
      <c r="M164" s="90" t="str">
        <f t="shared" si="2"/>
        <v>View on Google Map</v>
      </c>
    </row>
    <row r="165" spans="1:14" x14ac:dyDescent="0.2">
      <c r="A165" s="84">
        <v>30</v>
      </c>
      <c r="B165" s="84" t="s">
        <v>667</v>
      </c>
      <c r="C165" s="84" t="s">
        <v>383</v>
      </c>
      <c r="D165" s="84" t="s">
        <v>383</v>
      </c>
      <c r="E165" s="84" t="s">
        <v>383</v>
      </c>
      <c r="F165" s="84">
        <v>1463</v>
      </c>
      <c r="G165" s="84" t="s">
        <v>408</v>
      </c>
      <c r="H165" s="84" t="s">
        <v>668</v>
      </c>
      <c r="I165" s="84" t="s">
        <v>383</v>
      </c>
      <c r="J165" s="84" t="s">
        <v>409</v>
      </c>
      <c r="K165" s="84" t="s">
        <v>383</v>
      </c>
      <c r="L165" s="84" t="s">
        <v>383</v>
      </c>
      <c r="M165" s="90" t="str">
        <f t="shared" si="2"/>
        <v>View on Google Map</v>
      </c>
    </row>
    <row r="166" spans="1:14" x14ac:dyDescent="0.2">
      <c r="A166" s="84">
        <v>142</v>
      </c>
      <c r="B166" s="84" t="s">
        <v>669</v>
      </c>
      <c r="C166" s="84" t="s">
        <v>670</v>
      </c>
      <c r="D166" s="84">
        <v>68.53698</v>
      </c>
      <c r="E166" s="84">
        <v>-149.23740000000001</v>
      </c>
      <c r="F166" s="84">
        <v>883</v>
      </c>
      <c r="G166" s="84" t="s">
        <v>394</v>
      </c>
      <c r="H166" s="84" t="s">
        <v>671</v>
      </c>
      <c r="I166" s="84" t="s">
        <v>672</v>
      </c>
      <c r="J166" s="84" t="s">
        <v>409</v>
      </c>
      <c r="K166" s="84" t="s">
        <v>383</v>
      </c>
      <c r="L166" s="84" t="s">
        <v>410</v>
      </c>
      <c r="M166" s="90" t="str">
        <f t="shared" si="2"/>
        <v>View on Google Map</v>
      </c>
    </row>
    <row r="167" spans="1:14" x14ac:dyDescent="0.2">
      <c r="A167" s="84">
        <v>416</v>
      </c>
      <c r="B167" s="84" t="s">
        <v>673</v>
      </c>
      <c r="C167" s="84" t="s">
        <v>674</v>
      </c>
      <c r="D167" s="84">
        <v>68.496079978500006</v>
      </c>
      <c r="E167" s="84">
        <v>-149.60215567200001</v>
      </c>
      <c r="F167" s="84">
        <v>938</v>
      </c>
      <c r="G167" s="84" t="s">
        <v>394</v>
      </c>
      <c r="H167" s="84" t="s">
        <v>675</v>
      </c>
      <c r="I167" s="84" t="s">
        <v>383</v>
      </c>
      <c r="J167" s="84" t="s">
        <v>676</v>
      </c>
      <c r="K167" s="84" t="s">
        <v>383</v>
      </c>
      <c r="L167" s="84" t="s">
        <v>677</v>
      </c>
      <c r="M167" s="90" t="str">
        <f t="shared" si="2"/>
        <v>View on Google Map</v>
      </c>
      <c r="N167" s="84">
        <f>VALUE(MID(B167,5,3))</f>
        <v>100</v>
      </c>
    </row>
    <row r="168" spans="1:14" x14ac:dyDescent="0.2">
      <c r="A168" s="84">
        <v>417</v>
      </c>
      <c r="B168" s="84" t="s">
        <v>678</v>
      </c>
      <c r="C168" s="84" t="s">
        <v>679</v>
      </c>
      <c r="D168" s="84">
        <v>68.491641939700003</v>
      </c>
      <c r="E168" s="84">
        <v>-149.60743984699999</v>
      </c>
      <c r="F168" s="84">
        <v>937</v>
      </c>
      <c r="G168" s="84" t="s">
        <v>394</v>
      </c>
      <c r="H168" s="84" t="s">
        <v>680</v>
      </c>
      <c r="I168" s="84" t="s">
        <v>383</v>
      </c>
      <c r="J168" s="84" t="s">
        <v>676</v>
      </c>
      <c r="K168" s="84" t="s">
        <v>383</v>
      </c>
      <c r="L168" s="84" t="s">
        <v>677</v>
      </c>
      <c r="M168" s="90" t="str">
        <f t="shared" si="2"/>
        <v>View on Google Map</v>
      </c>
      <c r="N168" s="84">
        <f>VALUE(MID(B168,5,3))</f>
        <v>101</v>
      </c>
    </row>
    <row r="169" spans="1:14" x14ac:dyDescent="0.2">
      <c r="A169" s="84">
        <v>418</v>
      </c>
      <c r="B169" s="84" t="s">
        <v>681</v>
      </c>
      <c r="C169" s="84" t="s">
        <v>682</v>
      </c>
      <c r="D169" s="84">
        <v>68.485971524799993</v>
      </c>
      <c r="E169" s="84">
        <v>-149.611957343</v>
      </c>
      <c r="F169" s="84">
        <v>936</v>
      </c>
      <c r="G169" s="84" t="s">
        <v>394</v>
      </c>
      <c r="H169" s="84" t="s">
        <v>383</v>
      </c>
      <c r="I169" s="84" t="s">
        <v>383</v>
      </c>
      <c r="J169" s="84" t="s">
        <v>676</v>
      </c>
      <c r="K169" s="84" t="s">
        <v>383</v>
      </c>
      <c r="L169" s="84" t="s">
        <v>677</v>
      </c>
      <c r="M169" s="90" t="str">
        <f t="shared" si="2"/>
        <v>View on Google Map</v>
      </c>
      <c r="N169" s="84">
        <f>VALUE(MID(B169,5,3))</f>
        <v>102</v>
      </c>
    </row>
    <row r="170" spans="1:14" x14ac:dyDescent="0.2">
      <c r="A170" s="84">
        <v>419</v>
      </c>
      <c r="B170" s="84" t="s">
        <v>683</v>
      </c>
      <c r="C170" s="84" t="s">
        <v>684</v>
      </c>
      <c r="D170" s="84">
        <v>68.486418246300005</v>
      </c>
      <c r="E170" s="84">
        <v>-149.623539768</v>
      </c>
      <c r="F170" s="84">
        <v>934</v>
      </c>
      <c r="G170" s="84" t="s">
        <v>394</v>
      </c>
      <c r="H170" s="84" t="s">
        <v>685</v>
      </c>
      <c r="I170" s="84" t="s">
        <v>383</v>
      </c>
      <c r="J170" s="84" t="s">
        <v>676</v>
      </c>
      <c r="K170" s="84" t="s">
        <v>383</v>
      </c>
      <c r="L170" s="84" t="s">
        <v>677</v>
      </c>
      <c r="M170" s="90" t="str">
        <f t="shared" si="2"/>
        <v>View on Google Map</v>
      </c>
      <c r="N170" s="84">
        <f>VALUE(MID(B170,5,3))</f>
        <v>103</v>
      </c>
    </row>
    <row r="171" spans="1:14" x14ac:dyDescent="0.2">
      <c r="A171" s="84">
        <v>420</v>
      </c>
      <c r="B171" s="84" t="s">
        <v>686</v>
      </c>
      <c r="C171" s="84" t="s">
        <v>687</v>
      </c>
      <c r="D171" s="84">
        <v>68.480358182399996</v>
      </c>
      <c r="E171" s="84">
        <v>-149.621808276</v>
      </c>
      <c r="F171" s="84" t="s">
        <v>383</v>
      </c>
      <c r="G171" s="84" t="s">
        <v>394</v>
      </c>
      <c r="H171" s="84" t="s">
        <v>686</v>
      </c>
      <c r="I171" s="84" t="s">
        <v>383</v>
      </c>
      <c r="J171" s="84" t="s">
        <v>676</v>
      </c>
      <c r="K171" s="84" t="s">
        <v>383</v>
      </c>
      <c r="L171" s="84" t="s">
        <v>677</v>
      </c>
      <c r="M171" s="90" t="str">
        <f t="shared" si="2"/>
        <v>View on Google Map</v>
      </c>
      <c r="N171" s="84">
        <f t="shared" ref="N171:N198" si="3">VALUE(MID(H171,5,3))</f>
        <v>104</v>
      </c>
    </row>
    <row r="172" spans="1:14" x14ac:dyDescent="0.2">
      <c r="A172" s="84">
        <v>421</v>
      </c>
      <c r="B172" s="84" t="s">
        <v>688</v>
      </c>
      <c r="C172" s="84" t="s">
        <v>689</v>
      </c>
      <c r="D172" s="84">
        <v>68.487163894299997</v>
      </c>
      <c r="E172" s="84">
        <v>-149.57470926400001</v>
      </c>
      <c r="F172" s="84" t="s">
        <v>383</v>
      </c>
      <c r="G172" s="84" t="s">
        <v>394</v>
      </c>
      <c r="H172" s="84" t="s">
        <v>688</v>
      </c>
      <c r="I172" s="84" t="s">
        <v>383</v>
      </c>
      <c r="J172" s="84" t="s">
        <v>676</v>
      </c>
      <c r="K172" s="84" t="s">
        <v>383</v>
      </c>
      <c r="L172" s="84" t="s">
        <v>677</v>
      </c>
      <c r="M172" s="90" t="str">
        <f t="shared" si="2"/>
        <v>View on Google Map</v>
      </c>
      <c r="N172" s="84">
        <f t="shared" si="3"/>
        <v>105</v>
      </c>
    </row>
    <row r="173" spans="1:14" x14ac:dyDescent="0.2">
      <c r="A173" s="84">
        <v>422</v>
      </c>
      <c r="B173" s="84" t="s">
        <v>690</v>
      </c>
      <c r="C173" s="84" t="s">
        <v>691</v>
      </c>
      <c r="D173" s="84">
        <v>68.482007853900001</v>
      </c>
      <c r="E173" s="84">
        <v>-149.57357543099999</v>
      </c>
      <c r="F173" s="84" t="s">
        <v>383</v>
      </c>
      <c r="G173" s="84" t="s">
        <v>394</v>
      </c>
      <c r="H173" s="84" t="s">
        <v>690</v>
      </c>
      <c r="I173" s="84" t="s">
        <v>383</v>
      </c>
      <c r="J173" s="84" t="s">
        <v>676</v>
      </c>
      <c r="K173" s="84" t="s">
        <v>383</v>
      </c>
      <c r="L173" s="84" t="s">
        <v>677</v>
      </c>
      <c r="M173" s="90" t="str">
        <f t="shared" si="2"/>
        <v>View on Google Map</v>
      </c>
      <c r="N173" s="84">
        <f t="shared" si="3"/>
        <v>106</v>
      </c>
    </row>
    <row r="174" spans="1:14" x14ac:dyDescent="0.2">
      <c r="A174" s="84">
        <v>423</v>
      </c>
      <c r="B174" s="84" t="s">
        <v>692</v>
      </c>
      <c r="C174" s="84" t="s">
        <v>693</v>
      </c>
      <c r="D174" s="84">
        <v>68.480117783099999</v>
      </c>
      <c r="E174" s="84">
        <v>-149.553733964</v>
      </c>
      <c r="F174" s="84" t="s">
        <v>383</v>
      </c>
      <c r="G174" s="84" t="s">
        <v>394</v>
      </c>
      <c r="H174" s="84" t="s">
        <v>692</v>
      </c>
      <c r="I174" s="84" t="s">
        <v>383</v>
      </c>
      <c r="J174" s="84" t="s">
        <v>676</v>
      </c>
      <c r="K174" s="84" t="s">
        <v>383</v>
      </c>
      <c r="L174" s="84" t="s">
        <v>677</v>
      </c>
      <c r="M174" s="90" t="str">
        <f t="shared" si="2"/>
        <v>View on Google Map</v>
      </c>
      <c r="N174" s="84">
        <f t="shared" si="3"/>
        <v>107</v>
      </c>
    </row>
    <row r="175" spans="1:14" x14ac:dyDescent="0.2">
      <c r="A175" s="84">
        <v>424</v>
      </c>
      <c r="B175" s="84" t="s">
        <v>694</v>
      </c>
      <c r="C175" s="84" t="s">
        <v>695</v>
      </c>
      <c r="D175" s="84">
        <v>68.553470657600002</v>
      </c>
      <c r="E175" s="84">
        <v>-149.16702515599999</v>
      </c>
      <c r="F175" s="84" t="s">
        <v>383</v>
      </c>
      <c r="G175" s="84" t="s">
        <v>394</v>
      </c>
      <c r="H175" s="84" t="s">
        <v>694</v>
      </c>
      <c r="I175" s="84" t="s">
        <v>383</v>
      </c>
      <c r="J175" s="84" t="s">
        <v>676</v>
      </c>
      <c r="K175" s="84" t="s">
        <v>383</v>
      </c>
      <c r="L175" s="84" t="s">
        <v>677</v>
      </c>
      <c r="M175" s="90" t="str">
        <f t="shared" si="2"/>
        <v>View on Google Map</v>
      </c>
      <c r="N175" s="84">
        <f t="shared" si="3"/>
        <v>108</v>
      </c>
    </row>
    <row r="176" spans="1:14" x14ac:dyDescent="0.2">
      <c r="A176" s="84">
        <v>425</v>
      </c>
      <c r="B176" s="84" t="s">
        <v>696</v>
      </c>
      <c r="C176" s="84" t="s">
        <v>697</v>
      </c>
      <c r="D176" s="84">
        <v>68.557082457700005</v>
      </c>
      <c r="E176" s="84">
        <v>-149.154445686</v>
      </c>
      <c r="F176" s="84" t="s">
        <v>383</v>
      </c>
      <c r="G176" s="84" t="s">
        <v>394</v>
      </c>
      <c r="H176" s="84" t="s">
        <v>696</v>
      </c>
      <c r="I176" s="84" t="s">
        <v>383</v>
      </c>
      <c r="J176" s="84" t="s">
        <v>676</v>
      </c>
      <c r="K176" s="84" t="s">
        <v>383</v>
      </c>
      <c r="L176" s="84" t="s">
        <v>677</v>
      </c>
      <c r="M176" s="90" t="str">
        <f t="shared" si="2"/>
        <v>View on Google Map</v>
      </c>
      <c r="N176" s="84">
        <f t="shared" si="3"/>
        <v>109</v>
      </c>
    </row>
    <row r="177" spans="1:14" x14ac:dyDescent="0.2">
      <c r="A177" s="84">
        <v>426</v>
      </c>
      <c r="B177" s="84" t="s">
        <v>698</v>
      </c>
      <c r="C177" s="84" t="s">
        <v>699</v>
      </c>
      <c r="D177" s="84">
        <v>68.732874005799999</v>
      </c>
      <c r="E177" s="84">
        <v>-149.401461627</v>
      </c>
      <c r="F177" s="84" t="s">
        <v>383</v>
      </c>
      <c r="G177" s="84" t="s">
        <v>394</v>
      </c>
      <c r="H177" s="84" t="s">
        <v>698</v>
      </c>
      <c r="I177" s="84" t="s">
        <v>383</v>
      </c>
      <c r="J177" s="84" t="s">
        <v>676</v>
      </c>
      <c r="K177" s="84" t="s">
        <v>383</v>
      </c>
      <c r="L177" s="84" t="s">
        <v>677</v>
      </c>
      <c r="M177" s="90" t="str">
        <f t="shared" si="2"/>
        <v>View on Google Map</v>
      </c>
      <c r="N177" s="84">
        <f t="shared" si="3"/>
        <v>110</v>
      </c>
    </row>
    <row r="178" spans="1:14" x14ac:dyDescent="0.2">
      <c r="A178" s="84">
        <v>427</v>
      </c>
      <c r="B178" s="84" t="s">
        <v>700</v>
      </c>
      <c r="C178" s="84" t="s">
        <v>701</v>
      </c>
      <c r="D178" s="84">
        <v>68.728437910899999</v>
      </c>
      <c r="E178" s="84">
        <v>-149.39298449200001</v>
      </c>
      <c r="F178" s="84" t="s">
        <v>383</v>
      </c>
      <c r="G178" s="84" t="s">
        <v>394</v>
      </c>
      <c r="H178" s="84" t="s">
        <v>700</v>
      </c>
      <c r="I178" s="84" t="s">
        <v>383</v>
      </c>
      <c r="J178" s="84" t="s">
        <v>676</v>
      </c>
      <c r="K178" s="84" t="s">
        <v>383</v>
      </c>
      <c r="L178" s="84" t="s">
        <v>677</v>
      </c>
      <c r="M178" s="90" t="str">
        <f t="shared" si="2"/>
        <v>View on Google Map</v>
      </c>
      <c r="N178" s="84">
        <f t="shared" si="3"/>
        <v>111</v>
      </c>
    </row>
    <row r="179" spans="1:14" x14ac:dyDescent="0.2">
      <c r="A179" s="84">
        <v>428</v>
      </c>
      <c r="B179" s="84" t="s">
        <v>702</v>
      </c>
      <c r="C179" s="84" t="s">
        <v>703</v>
      </c>
      <c r="D179" s="84">
        <v>68.671908805499996</v>
      </c>
      <c r="E179" s="84">
        <v>-149.24817348299999</v>
      </c>
      <c r="F179" s="84" t="s">
        <v>383</v>
      </c>
      <c r="G179" s="84" t="s">
        <v>394</v>
      </c>
      <c r="H179" s="84" t="s">
        <v>702</v>
      </c>
      <c r="I179" s="84" t="s">
        <v>383</v>
      </c>
      <c r="J179" s="84" t="s">
        <v>676</v>
      </c>
      <c r="K179" s="84" t="s">
        <v>383</v>
      </c>
      <c r="L179" s="84" t="s">
        <v>677</v>
      </c>
      <c r="M179" s="90" t="str">
        <f t="shared" si="2"/>
        <v>View on Google Map</v>
      </c>
      <c r="N179" s="84">
        <f t="shared" si="3"/>
        <v>112</v>
      </c>
    </row>
    <row r="180" spans="1:14" x14ac:dyDescent="0.2">
      <c r="A180" s="84">
        <v>429</v>
      </c>
      <c r="B180" s="84" t="s">
        <v>704</v>
      </c>
      <c r="C180" s="84" t="s">
        <v>705</v>
      </c>
      <c r="D180" s="84">
        <v>68.679427639400004</v>
      </c>
      <c r="E180" s="84">
        <v>-149.23947084900001</v>
      </c>
      <c r="F180" s="84" t="s">
        <v>383</v>
      </c>
      <c r="G180" s="84" t="s">
        <v>394</v>
      </c>
      <c r="H180" s="84" t="s">
        <v>704</v>
      </c>
      <c r="I180" s="84" t="s">
        <v>383</v>
      </c>
      <c r="J180" s="84" t="s">
        <v>676</v>
      </c>
      <c r="K180" s="84" t="s">
        <v>383</v>
      </c>
      <c r="L180" s="84" t="s">
        <v>677</v>
      </c>
      <c r="M180" s="90" t="str">
        <f t="shared" si="2"/>
        <v>View on Google Map</v>
      </c>
      <c r="N180" s="84">
        <f t="shared" si="3"/>
        <v>113</v>
      </c>
    </row>
    <row r="181" spans="1:14" x14ac:dyDescent="0.2">
      <c r="A181" s="84">
        <v>430</v>
      </c>
      <c r="B181" s="84" t="s">
        <v>706</v>
      </c>
      <c r="C181" s="84" t="s">
        <v>707</v>
      </c>
      <c r="D181" s="84">
        <v>68.679424428600001</v>
      </c>
      <c r="E181" s="84">
        <v>-149.22969695099999</v>
      </c>
      <c r="F181" s="84" t="s">
        <v>383</v>
      </c>
      <c r="G181" s="84" t="s">
        <v>394</v>
      </c>
      <c r="H181" s="84" t="s">
        <v>706</v>
      </c>
      <c r="I181" s="84" t="s">
        <v>383</v>
      </c>
      <c r="J181" s="84" t="s">
        <v>676</v>
      </c>
      <c r="K181" s="84" t="s">
        <v>383</v>
      </c>
      <c r="L181" s="84" t="s">
        <v>677</v>
      </c>
      <c r="M181" s="90" t="str">
        <f t="shared" si="2"/>
        <v>View on Google Map</v>
      </c>
      <c r="N181" s="84">
        <f t="shared" si="3"/>
        <v>114</v>
      </c>
    </row>
    <row r="182" spans="1:14" x14ac:dyDescent="0.2">
      <c r="A182" s="84">
        <v>398</v>
      </c>
      <c r="B182" s="84" t="s">
        <v>708</v>
      </c>
      <c r="C182" s="84" t="s">
        <v>709</v>
      </c>
      <c r="D182" s="84">
        <v>68.569791782099998</v>
      </c>
      <c r="E182" s="84">
        <v>-149.43938491</v>
      </c>
      <c r="F182" s="84" t="s">
        <v>383</v>
      </c>
      <c r="G182" s="84" t="s">
        <v>394</v>
      </c>
      <c r="H182" s="84" t="s">
        <v>708</v>
      </c>
      <c r="I182" s="84" t="s">
        <v>383</v>
      </c>
      <c r="J182" s="84" t="s">
        <v>676</v>
      </c>
      <c r="K182" s="84" t="s">
        <v>383</v>
      </c>
      <c r="L182" s="84" t="s">
        <v>677</v>
      </c>
      <c r="M182" s="90" t="str">
        <f t="shared" si="2"/>
        <v>View on Google Map</v>
      </c>
      <c r="N182" s="84">
        <f t="shared" si="3"/>
        <v>82</v>
      </c>
    </row>
    <row r="183" spans="1:14" x14ac:dyDescent="0.2">
      <c r="A183" s="84">
        <v>389</v>
      </c>
      <c r="B183" s="84" t="s">
        <v>710</v>
      </c>
      <c r="C183" s="84" t="s">
        <v>711</v>
      </c>
      <c r="D183" s="84">
        <v>68.568883214500005</v>
      </c>
      <c r="E183" s="84">
        <v>-149.432996798</v>
      </c>
      <c r="F183" s="84" t="s">
        <v>383</v>
      </c>
      <c r="G183" s="84" t="s">
        <v>394</v>
      </c>
      <c r="H183" s="84" t="s">
        <v>710</v>
      </c>
      <c r="I183" s="84" t="s">
        <v>383</v>
      </c>
      <c r="J183" s="84" t="s">
        <v>676</v>
      </c>
      <c r="K183" s="84" t="s">
        <v>383</v>
      </c>
      <c r="L183" s="84" t="s">
        <v>677</v>
      </c>
      <c r="M183" s="90" t="str">
        <f t="shared" si="2"/>
        <v>View on Google Map</v>
      </c>
      <c r="N183" s="84">
        <f t="shared" si="3"/>
        <v>83</v>
      </c>
    </row>
    <row r="184" spans="1:14" x14ac:dyDescent="0.2">
      <c r="A184" s="84">
        <v>390</v>
      </c>
      <c r="B184" s="84" t="s">
        <v>712</v>
      </c>
      <c r="C184" s="84" t="s">
        <v>713</v>
      </c>
      <c r="D184" s="84">
        <v>68.571446755099998</v>
      </c>
      <c r="E184" s="84">
        <v>-149.43614776499999</v>
      </c>
      <c r="F184" s="84" t="s">
        <v>383</v>
      </c>
      <c r="G184" s="84" t="s">
        <v>394</v>
      </c>
      <c r="H184" s="84" t="s">
        <v>712</v>
      </c>
      <c r="I184" s="84" t="s">
        <v>383</v>
      </c>
      <c r="J184" s="84" t="s">
        <v>676</v>
      </c>
      <c r="K184" s="84" t="s">
        <v>383</v>
      </c>
      <c r="L184" s="84" t="s">
        <v>677</v>
      </c>
      <c r="M184" s="90" t="str">
        <f t="shared" si="2"/>
        <v>View on Google Map</v>
      </c>
      <c r="N184" s="84">
        <f t="shared" si="3"/>
        <v>84</v>
      </c>
    </row>
    <row r="185" spans="1:14" x14ac:dyDescent="0.2">
      <c r="A185" s="84">
        <v>391</v>
      </c>
      <c r="B185" s="84" t="s">
        <v>714</v>
      </c>
      <c r="C185" s="84" t="s">
        <v>715</v>
      </c>
      <c r="D185" s="84">
        <v>68.600419015400007</v>
      </c>
      <c r="E185" s="84">
        <v>-149.438677388</v>
      </c>
      <c r="F185" s="84" t="s">
        <v>383</v>
      </c>
      <c r="G185" s="84" t="s">
        <v>394</v>
      </c>
      <c r="H185" s="84" t="s">
        <v>714</v>
      </c>
      <c r="I185" s="84" t="s">
        <v>383</v>
      </c>
      <c r="J185" s="84" t="s">
        <v>676</v>
      </c>
      <c r="K185" s="84" t="s">
        <v>383</v>
      </c>
      <c r="L185" s="84" t="s">
        <v>677</v>
      </c>
      <c r="M185" s="90" t="str">
        <f t="shared" si="2"/>
        <v>View on Google Map</v>
      </c>
      <c r="N185" s="84">
        <f t="shared" si="3"/>
        <v>85</v>
      </c>
    </row>
    <row r="186" spans="1:14" x14ac:dyDescent="0.2">
      <c r="A186" s="84">
        <v>392</v>
      </c>
      <c r="B186" s="84" t="s">
        <v>716</v>
      </c>
      <c r="C186" s="84" t="s">
        <v>717</v>
      </c>
      <c r="D186" s="84">
        <v>68.632424610200005</v>
      </c>
      <c r="E186" s="84">
        <v>-149.41874062799999</v>
      </c>
      <c r="F186" s="84" t="s">
        <v>383</v>
      </c>
      <c r="G186" s="84" t="s">
        <v>394</v>
      </c>
      <c r="H186" s="84" t="s">
        <v>716</v>
      </c>
      <c r="I186" s="84" t="s">
        <v>383</v>
      </c>
      <c r="J186" s="84" t="s">
        <v>676</v>
      </c>
      <c r="K186" s="84" t="s">
        <v>383</v>
      </c>
      <c r="L186" s="84" t="s">
        <v>677</v>
      </c>
      <c r="M186" s="90" t="str">
        <f t="shared" si="2"/>
        <v>View on Google Map</v>
      </c>
      <c r="N186" s="84">
        <f t="shared" si="3"/>
        <v>86</v>
      </c>
    </row>
    <row r="187" spans="1:14" x14ac:dyDescent="0.2">
      <c r="A187" s="84">
        <v>393</v>
      </c>
      <c r="B187" s="84" t="s">
        <v>718</v>
      </c>
      <c r="C187" s="84" t="s">
        <v>719</v>
      </c>
      <c r="D187" s="84">
        <v>68.505704965899994</v>
      </c>
      <c r="E187" s="84">
        <v>-149.516276081</v>
      </c>
      <c r="F187" s="84" t="s">
        <v>383</v>
      </c>
      <c r="G187" s="84" t="s">
        <v>394</v>
      </c>
      <c r="H187" s="84" t="s">
        <v>718</v>
      </c>
      <c r="I187" s="84" t="s">
        <v>383</v>
      </c>
      <c r="J187" s="84" t="s">
        <v>676</v>
      </c>
      <c r="K187" s="84" t="s">
        <v>383</v>
      </c>
      <c r="L187" s="84" t="s">
        <v>677</v>
      </c>
      <c r="M187" s="90" t="str">
        <f t="shared" si="2"/>
        <v>View on Google Map</v>
      </c>
      <c r="N187" s="84">
        <f t="shared" si="3"/>
        <v>87</v>
      </c>
    </row>
    <row r="188" spans="1:14" x14ac:dyDescent="0.2">
      <c r="A188" s="84">
        <v>394</v>
      </c>
      <c r="B188" s="84" t="s">
        <v>720</v>
      </c>
      <c r="C188" s="84" t="s">
        <v>721</v>
      </c>
      <c r="D188" s="84">
        <v>68.509234808599999</v>
      </c>
      <c r="E188" s="84">
        <v>-149.58917678500001</v>
      </c>
      <c r="F188" s="84" t="s">
        <v>383</v>
      </c>
      <c r="G188" s="84" t="s">
        <v>394</v>
      </c>
      <c r="H188" s="84" t="s">
        <v>720</v>
      </c>
      <c r="I188" s="84" t="s">
        <v>383</v>
      </c>
      <c r="J188" s="84" t="s">
        <v>676</v>
      </c>
      <c r="K188" s="84" t="s">
        <v>383</v>
      </c>
      <c r="L188" s="84" t="s">
        <v>677</v>
      </c>
      <c r="M188" s="90" t="str">
        <f t="shared" si="2"/>
        <v>View on Google Map</v>
      </c>
      <c r="N188" s="84">
        <f t="shared" si="3"/>
        <v>88</v>
      </c>
    </row>
    <row r="189" spans="1:14" x14ac:dyDescent="0.2">
      <c r="A189" s="84">
        <v>395</v>
      </c>
      <c r="B189" s="84" t="s">
        <v>722</v>
      </c>
      <c r="C189" s="84" t="s">
        <v>723</v>
      </c>
      <c r="D189" s="84">
        <v>68.525650531300002</v>
      </c>
      <c r="E189" s="84">
        <v>-149.54161982299999</v>
      </c>
      <c r="F189" s="84" t="s">
        <v>383</v>
      </c>
      <c r="G189" s="84" t="s">
        <v>394</v>
      </c>
      <c r="H189" s="84" t="s">
        <v>722</v>
      </c>
      <c r="I189" s="84" t="s">
        <v>383</v>
      </c>
      <c r="J189" s="84" t="s">
        <v>676</v>
      </c>
      <c r="K189" s="84" t="s">
        <v>383</v>
      </c>
      <c r="L189" s="84" t="s">
        <v>677</v>
      </c>
      <c r="M189" s="90" t="str">
        <f t="shared" si="2"/>
        <v>View on Google Map</v>
      </c>
      <c r="N189" s="84">
        <f t="shared" si="3"/>
        <v>89</v>
      </c>
    </row>
    <row r="190" spans="1:14" x14ac:dyDescent="0.2">
      <c r="A190" s="84">
        <v>396</v>
      </c>
      <c r="B190" s="84" t="s">
        <v>724</v>
      </c>
      <c r="C190" s="84" t="s">
        <v>725</v>
      </c>
      <c r="D190" s="84">
        <v>68.531020060399996</v>
      </c>
      <c r="E190" s="84">
        <v>-149.54062336999999</v>
      </c>
      <c r="F190" s="84" t="s">
        <v>383</v>
      </c>
      <c r="G190" s="84" t="s">
        <v>394</v>
      </c>
      <c r="H190" s="84" t="s">
        <v>724</v>
      </c>
      <c r="I190" s="84" t="s">
        <v>383</v>
      </c>
      <c r="J190" s="84" t="s">
        <v>676</v>
      </c>
      <c r="K190" s="84" t="s">
        <v>383</v>
      </c>
      <c r="L190" s="84" t="s">
        <v>677</v>
      </c>
      <c r="M190" s="90" t="str">
        <f t="shared" si="2"/>
        <v>View on Google Map</v>
      </c>
      <c r="N190" s="84">
        <f t="shared" si="3"/>
        <v>90</v>
      </c>
    </row>
    <row r="191" spans="1:14" x14ac:dyDescent="0.2">
      <c r="A191" s="84">
        <v>397</v>
      </c>
      <c r="B191" s="84" t="s">
        <v>726</v>
      </c>
      <c r="C191" s="84" t="s">
        <v>727</v>
      </c>
      <c r="D191" s="84">
        <v>68.623892844400004</v>
      </c>
      <c r="E191" s="84">
        <v>-149.46955988600001</v>
      </c>
      <c r="F191" s="84" t="s">
        <v>383</v>
      </c>
      <c r="G191" s="84" t="s">
        <v>394</v>
      </c>
      <c r="H191" s="84" t="s">
        <v>726</v>
      </c>
      <c r="I191" s="84" t="s">
        <v>383</v>
      </c>
      <c r="J191" s="84" t="s">
        <v>676</v>
      </c>
      <c r="K191" s="84" t="s">
        <v>383</v>
      </c>
      <c r="L191" s="84" t="s">
        <v>677</v>
      </c>
      <c r="M191" s="90" t="str">
        <f t="shared" si="2"/>
        <v>View on Google Map</v>
      </c>
      <c r="N191" s="84">
        <f t="shared" si="3"/>
        <v>91</v>
      </c>
    </row>
    <row r="192" spans="1:14" x14ac:dyDescent="0.2">
      <c r="A192" s="84">
        <v>408</v>
      </c>
      <c r="B192" s="84" t="s">
        <v>728</v>
      </c>
      <c r="C192" s="84" t="s">
        <v>729</v>
      </c>
      <c r="D192" s="84">
        <v>68.606945965400001</v>
      </c>
      <c r="E192" s="84">
        <v>-149.195806014</v>
      </c>
      <c r="F192" s="84" t="s">
        <v>383</v>
      </c>
      <c r="G192" s="84" t="s">
        <v>394</v>
      </c>
      <c r="H192" s="84" t="s">
        <v>728</v>
      </c>
      <c r="I192" s="84" t="s">
        <v>383</v>
      </c>
      <c r="J192" s="84" t="s">
        <v>676</v>
      </c>
      <c r="K192" s="84" t="s">
        <v>383</v>
      </c>
      <c r="L192" s="84" t="s">
        <v>677</v>
      </c>
      <c r="M192" s="90" t="str">
        <f t="shared" si="2"/>
        <v>View on Google Map</v>
      </c>
      <c r="N192" s="84">
        <f t="shared" si="3"/>
        <v>92</v>
      </c>
    </row>
    <row r="193" spans="1:14" x14ac:dyDescent="0.2">
      <c r="A193" s="84">
        <v>409</v>
      </c>
      <c r="B193" s="84" t="s">
        <v>730</v>
      </c>
      <c r="C193" s="84" t="s">
        <v>731</v>
      </c>
      <c r="D193" s="84">
        <v>68.613688053999994</v>
      </c>
      <c r="E193" s="84">
        <v>-149.20287565500001</v>
      </c>
      <c r="F193" s="84" t="s">
        <v>383</v>
      </c>
      <c r="G193" s="84" t="s">
        <v>394</v>
      </c>
      <c r="H193" s="84" t="s">
        <v>730</v>
      </c>
      <c r="I193" s="84" t="s">
        <v>383</v>
      </c>
      <c r="J193" s="84" t="s">
        <v>676</v>
      </c>
      <c r="K193" s="84" t="s">
        <v>383</v>
      </c>
      <c r="L193" s="84" t="s">
        <v>677</v>
      </c>
      <c r="M193" s="90" t="str">
        <f t="shared" si="2"/>
        <v>View on Google Map</v>
      </c>
      <c r="N193" s="84">
        <f t="shared" si="3"/>
        <v>93</v>
      </c>
    </row>
    <row r="194" spans="1:14" x14ac:dyDescent="0.2">
      <c r="A194" s="84">
        <v>410</v>
      </c>
      <c r="B194" s="84" t="s">
        <v>732</v>
      </c>
      <c r="C194" s="84" t="s">
        <v>733</v>
      </c>
      <c r="D194" s="84">
        <v>68.617322837200007</v>
      </c>
      <c r="E194" s="84">
        <v>-149.21640989900001</v>
      </c>
      <c r="F194" s="84" t="s">
        <v>383</v>
      </c>
      <c r="G194" s="84" t="s">
        <v>394</v>
      </c>
      <c r="H194" s="84" t="s">
        <v>732</v>
      </c>
      <c r="I194" s="84" t="s">
        <v>383</v>
      </c>
      <c r="J194" s="84" t="s">
        <v>676</v>
      </c>
      <c r="K194" s="84" t="s">
        <v>383</v>
      </c>
      <c r="L194" s="84" t="s">
        <v>677</v>
      </c>
      <c r="M194" s="90" t="str">
        <f t="shared" si="2"/>
        <v>View on Google Map</v>
      </c>
      <c r="N194" s="84">
        <f t="shared" si="3"/>
        <v>94</v>
      </c>
    </row>
    <row r="195" spans="1:14" x14ac:dyDescent="0.2">
      <c r="A195" s="84">
        <v>411</v>
      </c>
      <c r="B195" s="84" t="s">
        <v>734</v>
      </c>
      <c r="C195" s="84" t="s">
        <v>735</v>
      </c>
      <c r="D195" s="84">
        <v>68.613551663999999</v>
      </c>
      <c r="E195" s="84">
        <v>-149.21844056</v>
      </c>
      <c r="F195" s="84" t="s">
        <v>383</v>
      </c>
      <c r="G195" s="84" t="s">
        <v>394</v>
      </c>
      <c r="H195" s="84" t="s">
        <v>734</v>
      </c>
      <c r="I195" s="84" t="s">
        <v>383</v>
      </c>
      <c r="J195" s="84" t="s">
        <v>676</v>
      </c>
      <c r="K195" s="84" t="s">
        <v>383</v>
      </c>
      <c r="L195" s="84" t="s">
        <v>677</v>
      </c>
      <c r="M195" s="90" t="str">
        <f t="shared" ref="M195:M258" si="4">HYPERLINK("http://maps.google.com/maps?q="&amp;D195&amp;","&amp;E195,"View on Google Map")</f>
        <v>View on Google Map</v>
      </c>
      <c r="N195" s="84">
        <f t="shared" si="3"/>
        <v>95</v>
      </c>
    </row>
    <row r="196" spans="1:14" x14ac:dyDescent="0.2">
      <c r="A196" s="84">
        <v>412</v>
      </c>
      <c r="B196" s="84" t="s">
        <v>736</v>
      </c>
      <c r="C196" s="84" t="s">
        <v>737</v>
      </c>
      <c r="D196" s="84">
        <v>68.609572079800003</v>
      </c>
      <c r="E196" s="84">
        <v>-149.20865205600001</v>
      </c>
      <c r="F196" s="84" t="s">
        <v>383</v>
      </c>
      <c r="G196" s="84" t="s">
        <v>394</v>
      </c>
      <c r="H196" s="84" t="s">
        <v>736</v>
      </c>
      <c r="I196" s="84" t="s">
        <v>383</v>
      </c>
      <c r="J196" s="84" t="s">
        <v>676</v>
      </c>
      <c r="K196" s="84" t="s">
        <v>383</v>
      </c>
      <c r="L196" s="84" t="s">
        <v>677</v>
      </c>
      <c r="M196" s="90" t="str">
        <f t="shared" si="4"/>
        <v>View on Google Map</v>
      </c>
      <c r="N196" s="84">
        <f t="shared" si="3"/>
        <v>96</v>
      </c>
    </row>
    <row r="197" spans="1:14" x14ac:dyDescent="0.2">
      <c r="A197" s="84">
        <v>413</v>
      </c>
      <c r="B197" s="84" t="s">
        <v>738</v>
      </c>
      <c r="C197" s="84" t="s">
        <v>739</v>
      </c>
      <c r="D197" s="84">
        <v>68.607097540200002</v>
      </c>
      <c r="E197" s="84">
        <v>-149.21482030499999</v>
      </c>
      <c r="F197" s="84" t="s">
        <v>383</v>
      </c>
      <c r="G197" s="84" t="s">
        <v>394</v>
      </c>
      <c r="H197" s="84" t="s">
        <v>738</v>
      </c>
      <c r="I197" s="84" t="s">
        <v>383</v>
      </c>
      <c r="J197" s="84" t="s">
        <v>676</v>
      </c>
      <c r="K197" s="84" t="s">
        <v>383</v>
      </c>
      <c r="L197" s="84" t="s">
        <v>677</v>
      </c>
      <c r="M197" s="90" t="str">
        <f t="shared" si="4"/>
        <v>View on Google Map</v>
      </c>
      <c r="N197" s="84">
        <f t="shared" si="3"/>
        <v>97</v>
      </c>
    </row>
    <row r="198" spans="1:14" x14ac:dyDescent="0.2">
      <c r="A198" s="84">
        <v>414</v>
      </c>
      <c r="B198" s="84" t="s">
        <v>740</v>
      </c>
      <c r="C198" s="84" t="s">
        <v>741</v>
      </c>
      <c r="D198" s="84">
        <v>68.605198711400007</v>
      </c>
      <c r="E198" s="84">
        <v>-149.27215046800001</v>
      </c>
      <c r="F198" s="84" t="s">
        <v>383</v>
      </c>
      <c r="G198" s="84" t="s">
        <v>394</v>
      </c>
      <c r="H198" s="84" t="s">
        <v>740</v>
      </c>
      <c r="I198" s="84" t="s">
        <v>383</v>
      </c>
      <c r="J198" s="84" t="s">
        <v>676</v>
      </c>
      <c r="K198" s="84" t="s">
        <v>383</v>
      </c>
      <c r="L198" s="84" t="s">
        <v>677</v>
      </c>
      <c r="M198" s="90" t="str">
        <f t="shared" si="4"/>
        <v>View on Google Map</v>
      </c>
      <c r="N198" s="84">
        <f t="shared" si="3"/>
        <v>98</v>
      </c>
    </row>
    <row r="199" spans="1:14" x14ac:dyDescent="0.2">
      <c r="A199" s="84">
        <v>415</v>
      </c>
      <c r="B199" s="84" t="s">
        <v>742</v>
      </c>
      <c r="C199" s="84" t="s">
        <v>743</v>
      </c>
      <c r="D199" s="84">
        <v>68.498375922400001</v>
      </c>
      <c r="E199" s="84">
        <v>-149.59842284699999</v>
      </c>
      <c r="F199" s="84">
        <v>947</v>
      </c>
      <c r="G199" s="84" t="s">
        <v>394</v>
      </c>
      <c r="H199" s="84" t="s">
        <v>744</v>
      </c>
      <c r="I199" s="84" t="s">
        <v>383</v>
      </c>
      <c r="J199" s="84" t="s">
        <v>676</v>
      </c>
      <c r="K199" s="84" t="s">
        <v>383</v>
      </c>
      <c r="L199" s="84" t="s">
        <v>677</v>
      </c>
      <c r="M199" s="90" t="str">
        <f t="shared" si="4"/>
        <v>View on Google Map</v>
      </c>
      <c r="N199" s="84">
        <f>VALUE(MID(B199,5,3))</f>
        <v>99</v>
      </c>
    </row>
    <row r="200" spans="1:14" x14ac:dyDescent="0.2">
      <c r="A200" s="84">
        <v>402</v>
      </c>
      <c r="B200" s="84" t="s">
        <v>745</v>
      </c>
      <c r="C200" s="84" t="s">
        <v>383</v>
      </c>
      <c r="D200" s="84" t="s">
        <v>383</v>
      </c>
      <c r="E200" s="84" t="s">
        <v>383</v>
      </c>
      <c r="F200" s="84" t="s">
        <v>383</v>
      </c>
      <c r="G200" s="84" t="s">
        <v>394</v>
      </c>
      <c r="H200" s="84" t="s">
        <v>383</v>
      </c>
      <c r="I200" s="84" t="s">
        <v>383</v>
      </c>
      <c r="J200" s="84" t="s">
        <v>409</v>
      </c>
      <c r="K200" s="84" t="s">
        <v>383</v>
      </c>
      <c r="L200" s="84" t="s">
        <v>563</v>
      </c>
      <c r="M200" s="90" t="str">
        <f t="shared" si="4"/>
        <v>View on Google Map</v>
      </c>
    </row>
    <row r="201" spans="1:14" x14ac:dyDescent="0.2">
      <c r="A201" s="84">
        <v>8</v>
      </c>
      <c r="B201" s="84" t="s">
        <v>746</v>
      </c>
      <c r="C201" s="84" t="s">
        <v>407</v>
      </c>
      <c r="D201" s="84">
        <v>69.150000000000006</v>
      </c>
      <c r="E201" s="84">
        <v>-148.83333333333334</v>
      </c>
      <c r="F201" s="84">
        <v>290</v>
      </c>
      <c r="G201" s="84" t="s">
        <v>408</v>
      </c>
      <c r="H201" s="84" t="s">
        <v>383</v>
      </c>
      <c r="I201" s="84" t="s">
        <v>383</v>
      </c>
      <c r="J201" s="84" t="s">
        <v>409</v>
      </c>
      <c r="K201" s="84" t="s">
        <v>383</v>
      </c>
      <c r="L201" s="84" t="s">
        <v>410</v>
      </c>
      <c r="M201" s="90" t="str">
        <f t="shared" si="4"/>
        <v>View on Google Map</v>
      </c>
    </row>
    <row r="202" spans="1:14" x14ac:dyDescent="0.2">
      <c r="A202" s="84">
        <v>219</v>
      </c>
      <c r="B202" s="84" t="s">
        <v>747</v>
      </c>
      <c r="C202" s="84" t="s">
        <v>383</v>
      </c>
      <c r="D202" s="84">
        <v>69.8</v>
      </c>
      <c r="E202" s="84">
        <v>-151.83333333333334</v>
      </c>
      <c r="F202" s="84">
        <v>60.365853658536601</v>
      </c>
      <c r="G202" s="84" t="s">
        <v>394</v>
      </c>
      <c r="H202" s="84" t="s">
        <v>748</v>
      </c>
      <c r="I202" s="84" t="s">
        <v>383</v>
      </c>
      <c r="J202" s="84" t="s">
        <v>409</v>
      </c>
      <c r="K202" s="84" t="s">
        <v>383</v>
      </c>
      <c r="L202" s="84" t="s">
        <v>749</v>
      </c>
      <c r="M202" s="90" t="str">
        <f t="shared" si="4"/>
        <v>View on Google Map</v>
      </c>
    </row>
    <row r="203" spans="1:14" x14ac:dyDescent="0.2">
      <c r="A203" s="84">
        <v>220</v>
      </c>
      <c r="B203" s="84" t="s">
        <v>750</v>
      </c>
      <c r="C203" s="84" t="s">
        <v>383</v>
      </c>
      <c r="D203" s="84">
        <v>69.75</v>
      </c>
      <c r="E203" s="84">
        <v>-151.5</v>
      </c>
      <c r="F203" s="84">
        <v>60.365853658536587</v>
      </c>
      <c r="G203" s="84" t="s">
        <v>394</v>
      </c>
      <c r="H203" s="84" t="s">
        <v>751</v>
      </c>
      <c r="I203" s="84" t="s">
        <v>383</v>
      </c>
      <c r="J203" s="84" t="s">
        <v>409</v>
      </c>
      <c r="K203" s="84" t="s">
        <v>383</v>
      </c>
      <c r="L203" s="84" t="s">
        <v>749</v>
      </c>
      <c r="M203" s="90" t="str">
        <f t="shared" si="4"/>
        <v>View on Google Map</v>
      </c>
    </row>
    <row r="204" spans="1:14" x14ac:dyDescent="0.2">
      <c r="A204" s="84">
        <v>221</v>
      </c>
      <c r="B204" s="84" t="s">
        <v>752</v>
      </c>
      <c r="C204" s="84" t="s">
        <v>383</v>
      </c>
      <c r="D204" s="84">
        <v>69.75</v>
      </c>
      <c r="E204" s="84">
        <v>-151.5</v>
      </c>
      <c r="F204" s="84">
        <v>30.487804878048781</v>
      </c>
      <c r="G204" s="84" t="s">
        <v>394</v>
      </c>
      <c r="H204" s="84" t="s">
        <v>753</v>
      </c>
      <c r="I204" s="84" t="s">
        <v>383</v>
      </c>
      <c r="J204" s="84" t="s">
        <v>409</v>
      </c>
      <c r="K204" s="84" t="s">
        <v>383</v>
      </c>
      <c r="L204" s="84" t="s">
        <v>749</v>
      </c>
      <c r="M204" s="90" t="str">
        <f t="shared" si="4"/>
        <v>View on Google Map</v>
      </c>
    </row>
    <row r="205" spans="1:14" x14ac:dyDescent="0.2">
      <c r="A205" s="84">
        <v>222</v>
      </c>
      <c r="B205" s="84" t="s">
        <v>754</v>
      </c>
      <c r="C205" s="84" t="s">
        <v>383</v>
      </c>
      <c r="D205" s="84">
        <v>69.7</v>
      </c>
      <c r="E205" s="84">
        <v>-151.16666666666666</v>
      </c>
      <c r="F205" s="84">
        <v>42.682926829268297</v>
      </c>
      <c r="G205" s="84" t="s">
        <v>394</v>
      </c>
      <c r="H205" s="84" t="s">
        <v>755</v>
      </c>
      <c r="I205" s="84" t="s">
        <v>383</v>
      </c>
      <c r="J205" s="84" t="s">
        <v>409</v>
      </c>
      <c r="K205" s="84" t="s">
        <v>383</v>
      </c>
      <c r="L205" s="84" t="s">
        <v>749</v>
      </c>
      <c r="M205" s="90" t="str">
        <f t="shared" si="4"/>
        <v>View on Google Map</v>
      </c>
    </row>
    <row r="206" spans="1:14" x14ac:dyDescent="0.2">
      <c r="A206" s="84">
        <v>223</v>
      </c>
      <c r="B206" s="84" t="s">
        <v>756</v>
      </c>
      <c r="C206" s="84" t="s">
        <v>383</v>
      </c>
      <c r="D206" s="84">
        <v>69.7</v>
      </c>
      <c r="E206" s="84">
        <v>-151.16666666666666</v>
      </c>
      <c r="F206" s="84">
        <v>42.682926829268297</v>
      </c>
      <c r="G206" s="84" t="s">
        <v>394</v>
      </c>
      <c r="H206" s="84" t="s">
        <v>757</v>
      </c>
      <c r="I206" s="84" t="s">
        <v>383</v>
      </c>
      <c r="J206" s="84" t="s">
        <v>409</v>
      </c>
      <c r="K206" s="84" t="s">
        <v>383</v>
      </c>
      <c r="L206" s="84" t="s">
        <v>749</v>
      </c>
      <c r="M206" s="90" t="str">
        <f t="shared" si="4"/>
        <v>View on Google Map</v>
      </c>
    </row>
    <row r="207" spans="1:14" x14ac:dyDescent="0.2">
      <c r="A207" s="84">
        <v>224</v>
      </c>
      <c r="B207" s="84" t="s">
        <v>758</v>
      </c>
      <c r="C207" s="84" t="s">
        <v>383</v>
      </c>
      <c r="D207" s="84">
        <v>69.516666666666666</v>
      </c>
      <c r="E207" s="84">
        <v>-150.86666666666667</v>
      </c>
      <c r="F207" s="84">
        <v>60.975609756097562</v>
      </c>
      <c r="G207" s="84" t="s">
        <v>394</v>
      </c>
      <c r="H207" s="84" t="s">
        <v>759</v>
      </c>
      <c r="I207" s="84" t="s">
        <v>383</v>
      </c>
      <c r="J207" s="84" t="s">
        <v>409</v>
      </c>
      <c r="K207" s="84" t="s">
        <v>383</v>
      </c>
      <c r="L207" s="84" t="s">
        <v>749</v>
      </c>
      <c r="M207" s="90" t="str">
        <f t="shared" si="4"/>
        <v>View on Google Map</v>
      </c>
    </row>
    <row r="208" spans="1:14" x14ac:dyDescent="0.2">
      <c r="A208" s="84">
        <v>225</v>
      </c>
      <c r="B208" s="84" t="s">
        <v>760</v>
      </c>
      <c r="C208" s="84" t="s">
        <v>383</v>
      </c>
      <c r="D208" s="84">
        <v>69.516666666666666</v>
      </c>
      <c r="E208" s="84">
        <v>-150.86666666666667</v>
      </c>
      <c r="F208" s="84">
        <v>60.975609756097562</v>
      </c>
      <c r="G208" s="84" t="s">
        <v>394</v>
      </c>
      <c r="H208" s="84" t="s">
        <v>761</v>
      </c>
      <c r="I208" s="84" t="s">
        <v>383</v>
      </c>
      <c r="J208" s="84" t="s">
        <v>409</v>
      </c>
      <c r="K208" s="84" t="s">
        <v>383</v>
      </c>
      <c r="L208" s="84" t="s">
        <v>749</v>
      </c>
      <c r="M208" s="90" t="str">
        <f t="shared" si="4"/>
        <v>View on Google Map</v>
      </c>
    </row>
    <row r="209" spans="1:13" x14ac:dyDescent="0.2">
      <c r="A209" s="84">
        <v>226</v>
      </c>
      <c r="B209" s="84" t="s">
        <v>762</v>
      </c>
      <c r="C209" s="84" t="s">
        <v>383</v>
      </c>
      <c r="D209" s="84">
        <v>69.25</v>
      </c>
      <c r="E209" s="84">
        <v>-150.43333333333334</v>
      </c>
      <c r="F209" s="84">
        <v>182.92682926829269</v>
      </c>
      <c r="G209" s="84" t="s">
        <v>394</v>
      </c>
      <c r="H209" s="84" t="s">
        <v>763</v>
      </c>
      <c r="I209" s="84" t="s">
        <v>383</v>
      </c>
      <c r="J209" s="84" t="s">
        <v>409</v>
      </c>
      <c r="K209" s="84" t="s">
        <v>383</v>
      </c>
      <c r="L209" s="84" t="s">
        <v>749</v>
      </c>
      <c r="M209" s="90" t="str">
        <f t="shared" si="4"/>
        <v>View on Google Map</v>
      </c>
    </row>
    <row r="210" spans="1:13" x14ac:dyDescent="0.2">
      <c r="A210" s="84">
        <v>227</v>
      </c>
      <c r="B210" s="84" t="s">
        <v>764</v>
      </c>
      <c r="C210" s="84" t="s">
        <v>383</v>
      </c>
      <c r="D210" s="84">
        <v>69.25</v>
      </c>
      <c r="E210" s="84">
        <v>-150.43333333333334</v>
      </c>
      <c r="F210" s="84">
        <v>182.92682926829269</v>
      </c>
      <c r="G210" s="84" t="s">
        <v>394</v>
      </c>
      <c r="H210" s="84" t="s">
        <v>765</v>
      </c>
      <c r="I210" s="84" t="s">
        <v>383</v>
      </c>
      <c r="J210" s="84" t="s">
        <v>409</v>
      </c>
      <c r="K210" s="84" t="s">
        <v>383</v>
      </c>
      <c r="L210" s="84" t="s">
        <v>749</v>
      </c>
      <c r="M210" s="90" t="str">
        <f t="shared" si="4"/>
        <v>View on Google Map</v>
      </c>
    </row>
    <row r="211" spans="1:13" x14ac:dyDescent="0.2">
      <c r="A211" s="84">
        <v>228</v>
      </c>
      <c r="B211" s="84" t="s">
        <v>766</v>
      </c>
      <c r="C211" s="84" t="s">
        <v>383</v>
      </c>
      <c r="D211" s="84">
        <v>69.25</v>
      </c>
      <c r="E211" s="84">
        <v>-151.16666666666666</v>
      </c>
      <c r="F211" s="84">
        <v>182.92682926829269</v>
      </c>
      <c r="G211" s="84" t="s">
        <v>394</v>
      </c>
      <c r="H211" s="84" t="s">
        <v>767</v>
      </c>
      <c r="I211" s="84" t="s">
        <v>383</v>
      </c>
      <c r="J211" s="84" t="s">
        <v>409</v>
      </c>
      <c r="K211" s="84" t="s">
        <v>383</v>
      </c>
      <c r="L211" s="84" t="s">
        <v>749</v>
      </c>
      <c r="M211" s="90" t="str">
        <f t="shared" si="4"/>
        <v>View on Google Map</v>
      </c>
    </row>
    <row r="212" spans="1:13" x14ac:dyDescent="0.2">
      <c r="A212" s="84">
        <v>229</v>
      </c>
      <c r="B212" s="84" t="s">
        <v>768</v>
      </c>
      <c r="C212" s="84" t="s">
        <v>383</v>
      </c>
      <c r="D212" s="84">
        <v>69.233333333333334</v>
      </c>
      <c r="E212" s="84">
        <v>-151.63333333333333</v>
      </c>
      <c r="F212" s="84">
        <v>178.35365853658539</v>
      </c>
      <c r="G212" s="84" t="s">
        <v>394</v>
      </c>
      <c r="H212" s="84" t="s">
        <v>769</v>
      </c>
      <c r="I212" s="84" t="s">
        <v>383</v>
      </c>
      <c r="J212" s="84" t="s">
        <v>409</v>
      </c>
      <c r="K212" s="84" t="s">
        <v>383</v>
      </c>
      <c r="L212" s="84" t="s">
        <v>749</v>
      </c>
      <c r="M212" s="90" t="str">
        <f t="shared" si="4"/>
        <v>View on Google Map</v>
      </c>
    </row>
    <row r="213" spans="1:13" x14ac:dyDescent="0.2">
      <c r="A213" s="84">
        <v>230</v>
      </c>
      <c r="B213" s="84" t="s">
        <v>770</v>
      </c>
      <c r="C213" s="84" t="s">
        <v>383</v>
      </c>
      <c r="D213" s="84">
        <v>68.900000000000006</v>
      </c>
      <c r="E213" s="84">
        <v>-151.28333333333333</v>
      </c>
      <c r="F213" s="84">
        <v>335.36585365853659</v>
      </c>
      <c r="G213" s="84" t="s">
        <v>394</v>
      </c>
      <c r="H213" s="84" t="s">
        <v>771</v>
      </c>
      <c r="I213" s="84" t="s">
        <v>383</v>
      </c>
      <c r="J213" s="84" t="s">
        <v>409</v>
      </c>
      <c r="K213" s="84" t="s">
        <v>383</v>
      </c>
      <c r="L213" s="84" t="s">
        <v>749</v>
      </c>
      <c r="M213" s="90" t="str">
        <f t="shared" si="4"/>
        <v>View on Google Map</v>
      </c>
    </row>
    <row r="214" spans="1:13" x14ac:dyDescent="0.2">
      <c r="A214" s="84">
        <v>231</v>
      </c>
      <c r="B214" s="84" t="s">
        <v>772</v>
      </c>
      <c r="C214" s="84" t="s">
        <v>383</v>
      </c>
      <c r="D214" s="84">
        <v>68.8</v>
      </c>
      <c r="E214" s="84">
        <v>-150.80000000000001</v>
      </c>
      <c r="F214" s="84">
        <v>411.58536585365857</v>
      </c>
      <c r="G214" s="84" t="s">
        <v>394</v>
      </c>
      <c r="H214" s="84" t="s">
        <v>773</v>
      </c>
      <c r="I214" s="84" t="s">
        <v>383</v>
      </c>
      <c r="J214" s="84" t="s">
        <v>409</v>
      </c>
      <c r="K214" s="84" t="s">
        <v>383</v>
      </c>
      <c r="L214" s="84" t="s">
        <v>749</v>
      </c>
      <c r="M214" s="90" t="str">
        <f t="shared" si="4"/>
        <v>View on Google Map</v>
      </c>
    </row>
    <row r="215" spans="1:13" x14ac:dyDescent="0.2">
      <c r="A215" s="84">
        <v>237</v>
      </c>
      <c r="B215" s="84" t="s">
        <v>774</v>
      </c>
      <c r="C215" s="84" t="s">
        <v>383</v>
      </c>
      <c r="D215" s="84">
        <v>68.783333333333331</v>
      </c>
      <c r="E215" s="84" t="s">
        <v>383</v>
      </c>
      <c r="F215" s="84">
        <v>681.40243902439033</v>
      </c>
      <c r="G215" s="84" t="s">
        <v>394</v>
      </c>
      <c r="H215" s="84" t="s">
        <v>775</v>
      </c>
      <c r="I215" s="84" t="s">
        <v>776</v>
      </c>
      <c r="J215" s="84" t="s">
        <v>409</v>
      </c>
      <c r="K215" s="84" t="s">
        <v>383</v>
      </c>
      <c r="L215" s="84" t="s">
        <v>749</v>
      </c>
      <c r="M215" s="90" t="str">
        <f t="shared" si="4"/>
        <v>View on Google Map</v>
      </c>
    </row>
    <row r="216" spans="1:13" x14ac:dyDescent="0.2">
      <c r="A216" s="84">
        <v>238</v>
      </c>
      <c r="B216" s="84" t="s">
        <v>777</v>
      </c>
      <c r="C216" s="84" t="s">
        <v>383</v>
      </c>
      <c r="D216" s="84">
        <v>68.783333333333331</v>
      </c>
      <c r="E216" s="84" t="s">
        <v>383</v>
      </c>
      <c r="F216" s="84">
        <v>681.40243902439033</v>
      </c>
      <c r="G216" s="84" t="s">
        <v>394</v>
      </c>
      <c r="H216" s="84" t="s">
        <v>778</v>
      </c>
      <c r="I216" s="84" t="s">
        <v>776</v>
      </c>
      <c r="J216" s="84" t="s">
        <v>409</v>
      </c>
      <c r="K216" s="84" t="s">
        <v>383</v>
      </c>
      <c r="L216" s="84" t="s">
        <v>749</v>
      </c>
      <c r="M216" s="90" t="str">
        <f t="shared" si="4"/>
        <v>View on Google Map</v>
      </c>
    </row>
    <row r="217" spans="1:13" x14ac:dyDescent="0.2">
      <c r="A217" s="84">
        <v>10</v>
      </c>
      <c r="B217" s="84" t="s">
        <v>779</v>
      </c>
      <c r="C217" s="84" t="s">
        <v>780</v>
      </c>
      <c r="D217" s="84">
        <v>68.644702925000004</v>
      </c>
      <c r="E217" s="84">
        <v>-149.41200613611099</v>
      </c>
      <c r="F217" s="84">
        <v>751.33799999999997</v>
      </c>
      <c r="G217" s="84" t="s">
        <v>408</v>
      </c>
      <c r="H217" s="84" t="s">
        <v>383</v>
      </c>
      <c r="I217" s="84" t="s">
        <v>383</v>
      </c>
      <c r="J217" s="84" t="s">
        <v>409</v>
      </c>
      <c r="K217" s="84" t="s">
        <v>383</v>
      </c>
      <c r="L217" s="84" t="s">
        <v>383</v>
      </c>
      <c r="M217" s="90" t="str">
        <f t="shared" si="4"/>
        <v>View on Google Map</v>
      </c>
    </row>
    <row r="218" spans="1:13" x14ac:dyDescent="0.2">
      <c r="A218" s="84">
        <v>486</v>
      </c>
      <c r="B218" s="84" t="s">
        <v>781</v>
      </c>
      <c r="C218" s="84" t="s">
        <v>383</v>
      </c>
      <c r="D218" s="84">
        <v>68.958333332999999</v>
      </c>
      <c r="E218" s="84">
        <v>-150.302016667</v>
      </c>
      <c r="F218" s="84">
        <v>382</v>
      </c>
      <c r="G218" s="84" t="s">
        <v>394</v>
      </c>
      <c r="H218" s="84" t="s">
        <v>383</v>
      </c>
      <c r="I218" s="84" t="s">
        <v>383</v>
      </c>
      <c r="J218" s="84" t="s">
        <v>444</v>
      </c>
      <c r="K218" s="84" t="s">
        <v>383</v>
      </c>
      <c r="L218" s="84" t="s">
        <v>391</v>
      </c>
      <c r="M218" s="90" t="str">
        <f t="shared" si="4"/>
        <v>View on Google Map</v>
      </c>
    </row>
    <row r="219" spans="1:13" x14ac:dyDescent="0.2">
      <c r="A219" s="84">
        <v>388</v>
      </c>
      <c r="B219" s="84" t="s">
        <v>782</v>
      </c>
      <c r="C219" s="84" t="s">
        <v>383</v>
      </c>
      <c r="D219" s="84">
        <v>68.556340000000006</v>
      </c>
      <c r="E219" s="84">
        <v>-149.56628000000001</v>
      </c>
      <c r="F219" s="84">
        <v>801</v>
      </c>
      <c r="G219" s="84" t="s">
        <v>394</v>
      </c>
      <c r="H219" s="84" t="s">
        <v>383</v>
      </c>
      <c r="I219" s="84" t="s">
        <v>383</v>
      </c>
      <c r="J219" s="84" t="s">
        <v>409</v>
      </c>
      <c r="K219" s="84" t="s">
        <v>383</v>
      </c>
      <c r="L219" s="84" t="s">
        <v>783</v>
      </c>
      <c r="M219" s="90" t="str">
        <f t="shared" si="4"/>
        <v>View on Google Map</v>
      </c>
    </row>
    <row r="220" spans="1:13" x14ac:dyDescent="0.2">
      <c r="A220" s="84">
        <v>450</v>
      </c>
      <c r="B220" s="84" t="s">
        <v>784</v>
      </c>
      <c r="C220" s="84" t="s">
        <v>383</v>
      </c>
      <c r="D220" s="84">
        <v>68.553610000000006</v>
      </c>
      <c r="E220" s="84">
        <v>-149.53397000000001</v>
      </c>
      <c r="F220" s="84">
        <v>820</v>
      </c>
      <c r="G220" s="84" t="s">
        <v>394</v>
      </c>
      <c r="H220" s="84" t="s">
        <v>785</v>
      </c>
      <c r="I220" s="84" t="s">
        <v>383</v>
      </c>
      <c r="J220" s="84" t="s">
        <v>395</v>
      </c>
      <c r="K220" s="84" t="s">
        <v>383</v>
      </c>
      <c r="L220" s="84" t="s">
        <v>383</v>
      </c>
      <c r="M220" s="90" t="str">
        <f t="shared" si="4"/>
        <v>View on Google Map</v>
      </c>
    </row>
    <row r="221" spans="1:13" x14ac:dyDescent="0.2">
      <c r="A221" s="84">
        <v>451</v>
      </c>
      <c r="B221" s="84" t="s">
        <v>786</v>
      </c>
      <c r="C221" s="84" t="s">
        <v>383</v>
      </c>
      <c r="D221" s="84">
        <v>68.545929999999998</v>
      </c>
      <c r="E221" s="84">
        <v>-149.54213999999999</v>
      </c>
      <c r="F221" s="84">
        <v>852</v>
      </c>
      <c r="G221" s="84" t="s">
        <v>394</v>
      </c>
      <c r="H221" s="84" t="s">
        <v>787</v>
      </c>
      <c r="I221" s="84" t="s">
        <v>383</v>
      </c>
      <c r="J221" s="84" t="s">
        <v>395</v>
      </c>
      <c r="K221" s="84" t="s">
        <v>383</v>
      </c>
      <c r="L221" s="84" t="s">
        <v>383</v>
      </c>
      <c r="M221" s="90" t="str">
        <f t="shared" si="4"/>
        <v>View on Google Map</v>
      </c>
    </row>
    <row r="222" spans="1:13" x14ac:dyDescent="0.2">
      <c r="A222" s="84">
        <v>531</v>
      </c>
      <c r="B222" s="84" t="s">
        <v>788</v>
      </c>
      <c r="C222" s="84" t="s">
        <v>789</v>
      </c>
      <c r="D222" s="84">
        <v>68.556769000000003</v>
      </c>
      <c r="E222" s="84">
        <v>-149.555385</v>
      </c>
      <c r="F222" s="84">
        <v>805</v>
      </c>
      <c r="G222" s="84" t="s">
        <v>408</v>
      </c>
      <c r="H222" s="84" t="s">
        <v>383</v>
      </c>
      <c r="I222" s="84" t="s">
        <v>383</v>
      </c>
      <c r="J222" s="84" t="s">
        <v>395</v>
      </c>
      <c r="K222" s="84" t="s">
        <v>383</v>
      </c>
      <c r="L222" s="84" t="s">
        <v>790</v>
      </c>
      <c r="M222" s="90" t="str">
        <f t="shared" si="4"/>
        <v>View on Google Map</v>
      </c>
    </row>
    <row r="223" spans="1:13" x14ac:dyDescent="0.2">
      <c r="A223" s="84">
        <v>532</v>
      </c>
      <c r="B223" s="84" t="s">
        <v>791</v>
      </c>
      <c r="C223" s="84" t="s">
        <v>789</v>
      </c>
      <c r="D223" s="84">
        <v>68.556635999999997</v>
      </c>
      <c r="E223" s="84">
        <v>-149.574457</v>
      </c>
      <c r="F223" s="84">
        <v>803</v>
      </c>
      <c r="G223" s="84" t="s">
        <v>408</v>
      </c>
      <c r="H223" s="84" t="s">
        <v>383</v>
      </c>
      <c r="I223" s="84" t="s">
        <v>383</v>
      </c>
      <c r="J223" s="84" t="s">
        <v>395</v>
      </c>
      <c r="K223" s="84" t="s">
        <v>383</v>
      </c>
      <c r="L223" s="84" t="s">
        <v>790</v>
      </c>
      <c r="M223" s="90" t="str">
        <f t="shared" si="4"/>
        <v>View on Google Map</v>
      </c>
    </row>
    <row r="224" spans="1:13" x14ac:dyDescent="0.2">
      <c r="A224" s="84">
        <v>120</v>
      </c>
      <c r="B224" s="84" t="s">
        <v>792</v>
      </c>
      <c r="C224" s="84" t="s">
        <v>383</v>
      </c>
      <c r="D224" s="84">
        <v>68.610781000000003</v>
      </c>
      <c r="E224" s="84">
        <v>-149.600742</v>
      </c>
      <c r="F224" s="84">
        <v>736</v>
      </c>
      <c r="G224" s="84" t="s">
        <v>394</v>
      </c>
      <c r="H224" s="84" t="s">
        <v>793</v>
      </c>
      <c r="I224" s="84" t="s">
        <v>383</v>
      </c>
      <c r="J224" s="84" t="s">
        <v>409</v>
      </c>
      <c r="K224" s="84">
        <v>313</v>
      </c>
      <c r="L224" s="84" t="s">
        <v>783</v>
      </c>
      <c r="M224" s="90" t="str">
        <f t="shared" si="4"/>
        <v>View on Google Map</v>
      </c>
    </row>
    <row r="225" spans="1:13" x14ac:dyDescent="0.2">
      <c r="A225" s="84">
        <v>191</v>
      </c>
      <c r="B225" s="84" t="s">
        <v>794</v>
      </c>
      <c r="C225" s="84" t="s">
        <v>795</v>
      </c>
      <c r="D225" s="84">
        <v>68.610349999999997</v>
      </c>
      <c r="E225" s="84">
        <v>-149.59976599999999</v>
      </c>
      <c r="F225" s="84">
        <v>736</v>
      </c>
      <c r="G225" s="84" t="s">
        <v>408</v>
      </c>
      <c r="H225" s="84" t="s">
        <v>796</v>
      </c>
      <c r="I225" s="84" t="s">
        <v>797</v>
      </c>
      <c r="J225" s="84" t="s">
        <v>409</v>
      </c>
      <c r="K225" s="84" t="s">
        <v>383</v>
      </c>
      <c r="L225" s="84" t="s">
        <v>798</v>
      </c>
      <c r="M225" s="90" t="str">
        <f t="shared" si="4"/>
        <v>View on Google Map</v>
      </c>
    </row>
    <row r="226" spans="1:13" x14ac:dyDescent="0.2">
      <c r="A226" s="84">
        <v>243</v>
      </c>
      <c r="B226" s="84" t="s">
        <v>799</v>
      </c>
      <c r="C226" s="84" t="s">
        <v>383</v>
      </c>
      <c r="D226" s="84">
        <v>68.611682999999999</v>
      </c>
      <c r="E226" s="84">
        <v>-149.599254</v>
      </c>
      <c r="F226" s="84">
        <v>736</v>
      </c>
      <c r="G226" s="84" t="s">
        <v>408</v>
      </c>
      <c r="H226" s="84" t="s">
        <v>800</v>
      </c>
      <c r="I226" s="84" t="s">
        <v>801</v>
      </c>
      <c r="J226" s="84" t="s">
        <v>409</v>
      </c>
      <c r="K226" s="84" t="s">
        <v>383</v>
      </c>
      <c r="L226" s="84" t="s">
        <v>798</v>
      </c>
      <c r="M226" s="90" t="str">
        <f t="shared" si="4"/>
        <v>View on Google Map</v>
      </c>
    </row>
    <row r="227" spans="1:13" x14ac:dyDescent="0.2">
      <c r="A227" s="84">
        <v>111</v>
      </c>
      <c r="B227" s="84" t="s">
        <v>802</v>
      </c>
      <c r="C227" s="84" t="s">
        <v>383</v>
      </c>
      <c r="D227" s="84">
        <v>68.568713078900004</v>
      </c>
      <c r="E227" s="84">
        <v>-149.58807625</v>
      </c>
      <c r="F227" s="84">
        <v>785</v>
      </c>
      <c r="G227" s="84" t="s">
        <v>394</v>
      </c>
      <c r="H227" s="84" t="s">
        <v>803</v>
      </c>
      <c r="I227" s="84" t="s">
        <v>804</v>
      </c>
      <c r="J227" s="84" t="s">
        <v>409</v>
      </c>
      <c r="K227" s="84" t="s">
        <v>383</v>
      </c>
      <c r="L227" s="84" t="s">
        <v>783</v>
      </c>
      <c r="M227" s="90" t="str">
        <f t="shared" si="4"/>
        <v>View on Google Map</v>
      </c>
    </row>
    <row r="228" spans="1:13" x14ac:dyDescent="0.2">
      <c r="A228" s="84">
        <v>175</v>
      </c>
      <c r="B228" s="84" t="s">
        <v>805</v>
      </c>
      <c r="C228" s="84" t="s">
        <v>383</v>
      </c>
      <c r="D228" s="84">
        <v>68.573999999999998</v>
      </c>
      <c r="E228" s="84">
        <v>-149.58356599999999</v>
      </c>
      <c r="F228" s="84">
        <v>774</v>
      </c>
      <c r="G228" s="84" t="s">
        <v>408</v>
      </c>
      <c r="H228" s="84" t="s">
        <v>806</v>
      </c>
      <c r="I228" s="84" t="s">
        <v>807</v>
      </c>
      <c r="J228" s="84" t="s">
        <v>409</v>
      </c>
      <c r="K228" s="84" t="s">
        <v>383</v>
      </c>
      <c r="L228" s="84" t="s">
        <v>798</v>
      </c>
      <c r="M228" s="90" t="str">
        <f t="shared" si="4"/>
        <v>View on Google Map</v>
      </c>
    </row>
    <row r="229" spans="1:13" x14ac:dyDescent="0.2">
      <c r="A229" s="84">
        <v>174</v>
      </c>
      <c r="B229" s="84" t="s">
        <v>808</v>
      </c>
      <c r="C229" s="84" t="s">
        <v>383</v>
      </c>
      <c r="D229" s="84">
        <v>68.572295999999994</v>
      </c>
      <c r="E229" s="84">
        <v>-149.58101400000001</v>
      </c>
      <c r="F229" s="84">
        <v>785</v>
      </c>
      <c r="G229" s="84" t="s">
        <v>408</v>
      </c>
      <c r="H229" s="84" t="s">
        <v>809</v>
      </c>
      <c r="I229" s="84" t="s">
        <v>810</v>
      </c>
      <c r="J229" s="84" t="s">
        <v>409</v>
      </c>
      <c r="K229" s="84" t="s">
        <v>383</v>
      </c>
      <c r="L229" s="84" t="s">
        <v>798</v>
      </c>
      <c r="M229" s="90" t="str">
        <f t="shared" si="4"/>
        <v>View on Google Map</v>
      </c>
    </row>
    <row r="230" spans="1:13" x14ac:dyDescent="0.2">
      <c r="A230" s="84">
        <v>112</v>
      </c>
      <c r="B230" s="84" t="s">
        <v>811</v>
      </c>
      <c r="C230" s="84" t="s">
        <v>383</v>
      </c>
      <c r="D230" s="84">
        <v>68.571319563299994</v>
      </c>
      <c r="E230" s="84">
        <v>-149.56588161799999</v>
      </c>
      <c r="F230" s="84">
        <v>785</v>
      </c>
      <c r="G230" s="84" t="s">
        <v>394</v>
      </c>
      <c r="H230" s="84" t="s">
        <v>812</v>
      </c>
      <c r="I230" s="84" t="s">
        <v>813</v>
      </c>
      <c r="J230" s="84" t="s">
        <v>409</v>
      </c>
      <c r="K230" s="84" t="s">
        <v>383</v>
      </c>
      <c r="L230" s="84" t="s">
        <v>783</v>
      </c>
      <c r="M230" s="90" t="str">
        <f t="shared" si="4"/>
        <v>View on Google Map</v>
      </c>
    </row>
    <row r="231" spans="1:13" x14ac:dyDescent="0.2">
      <c r="A231" s="84">
        <v>176</v>
      </c>
      <c r="B231" s="84" t="s">
        <v>814</v>
      </c>
      <c r="C231" s="84" t="s">
        <v>383</v>
      </c>
      <c r="D231" s="84">
        <v>68.574783330000002</v>
      </c>
      <c r="E231" s="84">
        <v>-149.58205000000001</v>
      </c>
      <c r="F231" s="84">
        <v>774</v>
      </c>
      <c r="G231" s="84" t="s">
        <v>408</v>
      </c>
      <c r="H231" s="84" t="s">
        <v>815</v>
      </c>
      <c r="I231" s="84" t="s">
        <v>816</v>
      </c>
      <c r="J231" s="84" t="s">
        <v>409</v>
      </c>
      <c r="K231" s="84" t="s">
        <v>383</v>
      </c>
      <c r="L231" s="84" t="s">
        <v>798</v>
      </c>
      <c r="M231" s="90" t="str">
        <f t="shared" si="4"/>
        <v>View on Google Map</v>
      </c>
    </row>
    <row r="232" spans="1:13" x14ac:dyDescent="0.2">
      <c r="A232" s="84">
        <v>173</v>
      </c>
      <c r="B232" s="84" t="s">
        <v>817</v>
      </c>
      <c r="C232" s="84" t="s">
        <v>383</v>
      </c>
      <c r="D232" s="84">
        <v>68.572546000000003</v>
      </c>
      <c r="E232" s="84">
        <v>-149.570268</v>
      </c>
      <c r="F232" s="84">
        <v>785</v>
      </c>
      <c r="G232" s="84" t="s">
        <v>408</v>
      </c>
      <c r="H232" s="84" t="s">
        <v>818</v>
      </c>
      <c r="I232" s="84" t="s">
        <v>819</v>
      </c>
      <c r="J232" s="84" t="s">
        <v>409</v>
      </c>
      <c r="K232" s="84" t="s">
        <v>383</v>
      </c>
      <c r="L232" s="84" t="s">
        <v>798</v>
      </c>
      <c r="M232" s="90" t="str">
        <f t="shared" si="4"/>
        <v>View on Google Map</v>
      </c>
    </row>
    <row r="233" spans="1:13" x14ac:dyDescent="0.2">
      <c r="A233" s="84">
        <v>113</v>
      </c>
      <c r="B233" s="84" t="s">
        <v>820</v>
      </c>
      <c r="C233" s="84" t="s">
        <v>383</v>
      </c>
      <c r="D233" s="84">
        <v>68.575536630100004</v>
      </c>
      <c r="E233" s="84">
        <v>-149.583644456</v>
      </c>
      <c r="F233" s="84">
        <v>774</v>
      </c>
      <c r="G233" s="84" t="s">
        <v>394</v>
      </c>
      <c r="H233" s="84" t="s">
        <v>821</v>
      </c>
      <c r="I233" s="84" t="s">
        <v>822</v>
      </c>
      <c r="J233" s="84" t="s">
        <v>409</v>
      </c>
      <c r="K233" s="84" t="s">
        <v>383</v>
      </c>
      <c r="L233" s="84" t="s">
        <v>783</v>
      </c>
      <c r="M233" s="90" t="str">
        <f t="shared" si="4"/>
        <v>View on Google Map</v>
      </c>
    </row>
    <row r="234" spans="1:13" x14ac:dyDescent="0.2">
      <c r="A234" s="84">
        <v>177</v>
      </c>
      <c r="B234" s="84" t="s">
        <v>823</v>
      </c>
      <c r="C234" s="84" t="s">
        <v>383</v>
      </c>
      <c r="D234" s="84">
        <v>68.577539999999999</v>
      </c>
      <c r="E234" s="84">
        <v>-149.58200299999999</v>
      </c>
      <c r="F234" s="84">
        <v>774</v>
      </c>
      <c r="G234" s="84" t="s">
        <v>408</v>
      </c>
      <c r="H234" s="84" t="s">
        <v>824</v>
      </c>
      <c r="I234" s="84" t="s">
        <v>825</v>
      </c>
      <c r="J234" s="84" t="s">
        <v>409</v>
      </c>
      <c r="K234" s="84" t="s">
        <v>383</v>
      </c>
      <c r="L234" s="84" t="s">
        <v>798</v>
      </c>
      <c r="M234" s="90" t="str">
        <f t="shared" si="4"/>
        <v>View on Google Map</v>
      </c>
    </row>
    <row r="235" spans="1:13" x14ac:dyDescent="0.2">
      <c r="A235" s="84">
        <v>114</v>
      </c>
      <c r="B235" s="84" t="s">
        <v>826</v>
      </c>
      <c r="C235" s="84" t="s">
        <v>383</v>
      </c>
      <c r="D235" s="84">
        <v>68.579567150000003</v>
      </c>
      <c r="E235" s="84">
        <v>-149.58405938000001</v>
      </c>
      <c r="F235" s="84">
        <v>770</v>
      </c>
      <c r="G235" s="84" t="s">
        <v>394</v>
      </c>
      <c r="H235" s="84" t="s">
        <v>827</v>
      </c>
      <c r="I235" s="84" t="s">
        <v>828</v>
      </c>
      <c r="J235" s="84" t="s">
        <v>409</v>
      </c>
      <c r="K235" s="84" t="s">
        <v>383</v>
      </c>
      <c r="L235" s="84" t="s">
        <v>783</v>
      </c>
      <c r="M235" s="90" t="str">
        <f t="shared" si="4"/>
        <v>View on Google Map</v>
      </c>
    </row>
    <row r="236" spans="1:13" x14ac:dyDescent="0.2">
      <c r="A236" s="84">
        <v>179</v>
      </c>
      <c r="B236" s="84" t="s">
        <v>829</v>
      </c>
      <c r="C236" s="84" t="s">
        <v>383</v>
      </c>
      <c r="D236" s="84">
        <v>68.584233330000004</v>
      </c>
      <c r="E236" s="84">
        <v>-149.58359999999999</v>
      </c>
      <c r="F236" s="84">
        <v>770</v>
      </c>
      <c r="G236" s="84" t="s">
        <v>408</v>
      </c>
      <c r="H236" s="84" t="s">
        <v>830</v>
      </c>
      <c r="I236" s="84" t="s">
        <v>831</v>
      </c>
      <c r="J236" s="84" t="s">
        <v>409</v>
      </c>
      <c r="K236" s="84" t="s">
        <v>383</v>
      </c>
      <c r="L236" s="84" t="s">
        <v>798</v>
      </c>
      <c r="M236" s="90" t="str">
        <f t="shared" si="4"/>
        <v>View on Google Map</v>
      </c>
    </row>
    <row r="237" spans="1:13" x14ac:dyDescent="0.2">
      <c r="A237" s="84">
        <v>178</v>
      </c>
      <c r="B237" s="84" t="s">
        <v>832</v>
      </c>
      <c r="C237" s="84" t="s">
        <v>383</v>
      </c>
      <c r="D237" s="84">
        <v>68.581429999999997</v>
      </c>
      <c r="E237" s="84">
        <v>-149.58609999999999</v>
      </c>
      <c r="F237" s="84">
        <v>770</v>
      </c>
      <c r="G237" s="84" t="s">
        <v>408</v>
      </c>
      <c r="H237" s="84" t="s">
        <v>833</v>
      </c>
      <c r="I237" s="84" t="s">
        <v>834</v>
      </c>
      <c r="J237" s="84" t="s">
        <v>409</v>
      </c>
      <c r="K237" s="84" t="s">
        <v>383</v>
      </c>
      <c r="L237" s="84" t="s">
        <v>798</v>
      </c>
      <c r="M237" s="90" t="str">
        <f t="shared" si="4"/>
        <v>View on Google Map</v>
      </c>
    </row>
    <row r="238" spans="1:13" x14ac:dyDescent="0.2">
      <c r="A238" s="84">
        <v>115</v>
      </c>
      <c r="B238" s="84" t="s">
        <v>835</v>
      </c>
      <c r="C238" s="84" t="s">
        <v>383</v>
      </c>
      <c r="D238" s="84">
        <v>68.587387439099999</v>
      </c>
      <c r="E238" s="84">
        <v>-149.589625877</v>
      </c>
      <c r="F238" s="84">
        <v>767</v>
      </c>
      <c r="G238" s="84" t="s">
        <v>394</v>
      </c>
      <c r="H238" s="84" t="s">
        <v>836</v>
      </c>
      <c r="I238" s="84" t="s">
        <v>837</v>
      </c>
      <c r="J238" s="84" t="s">
        <v>409</v>
      </c>
      <c r="K238" s="84" t="s">
        <v>383</v>
      </c>
      <c r="L238" s="84" t="s">
        <v>783</v>
      </c>
      <c r="M238" s="90" t="str">
        <f t="shared" si="4"/>
        <v>View on Google Map</v>
      </c>
    </row>
    <row r="239" spans="1:13" x14ac:dyDescent="0.2">
      <c r="A239" s="84">
        <v>181</v>
      </c>
      <c r="B239" s="84" t="s">
        <v>838</v>
      </c>
      <c r="C239" s="84" t="s">
        <v>383</v>
      </c>
      <c r="D239" s="84">
        <v>68.594916670000003</v>
      </c>
      <c r="E239" s="84">
        <v>-149.58631600000001</v>
      </c>
      <c r="F239" s="84">
        <v>754</v>
      </c>
      <c r="G239" s="84" t="s">
        <v>408</v>
      </c>
      <c r="H239" s="84" t="s">
        <v>839</v>
      </c>
      <c r="I239" s="84" t="s">
        <v>840</v>
      </c>
      <c r="J239" s="84" t="s">
        <v>409</v>
      </c>
      <c r="K239" s="84" t="s">
        <v>383</v>
      </c>
      <c r="L239" s="84" t="s">
        <v>798</v>
      </c>
      <c r="M239" s="90" t="str">
        <f t="shared" si="4"/>
        <v>View on Google Map</v>
      </c>
    </row>
    <row r="240" spans="1:13" x14ac:dyDescent="0.2">
      <c r="A240" s="84">
        <v>180</v>
      </c>
      <c r="B240" s="84" t="s">
        <v>841</v>
      </c>
      <c r="C240" s="84" t="s">
        <v>383</v>
      </c>
      <c r="D240" s="84">
        <v>68.589087000000006</v>
      </c>
      <c r="E240" s="84">
        <v>-149.58921900000001</v>
      </c>
      <c r="F240" s="84">
        <v>767</v>
      </c>
      <c r="G240" s="84" t="s">
        <v>408</v>
      </c>
      <c r="H240" s="84" t="s">
        <v>842</v>
      </c>
      <c r="I240" s="84" t="s">
        <v>843</v>
      </c>
      <c r="J240" s="84" t="s">
        <v>409</v>
      </c>
      <c r="K240" s="84" t="s">
        <v>383</v>
      </c>
      <c r="L240" s="84" t="s">
        <v>798</v>
      </c>
      <c r="M240" s="90" t="str">
        <f t="shared" si="4"/>
        <v>View on Google Map</v>
      </c>
    </row>
    <row r="241" spans="1:13" x14ac:dyDescent="0.2">
      <c r="A241" s="84">
        <v>116</v>
      </c>
      <c r="B241" s="84" t="s">
        <v>844</v>
      </c>
      <c r="C241" s="84" t="s">
        <v>383</v>
      </c>
      <c r="D241" s="84">
        <v>68.596592403900004</v>
      </c>
      <c r="E241" s="84">
        <v>-149.59264335</v>
      </c>
      <c r="F241" s="84">
        <v>754</v>
      </c>
      <c r="G241" s="84" t="s">
        <v>394</v>
      </c>
      <c r="H241" s="84" t="s">
        <v>845</v>
      </c>
      <c r="I241" s="84" t="s">
        <v>846</v>
      </c>
      <c r="J241" s="84" t="s">
        <v>409</v>
      </c>
      <c r="K241" s="84" t="s">
        <v>383</v>
      </c>
      <c r="L241" s="84" t="s">
        <v>783</v>
      </c>
      <c r="M241" s="90" t="str">
        <f t="shared" si="4"/>
        <v>View on Google Map</v>
      </c>
    </row>
    <row r="242" spans="1:13" x14ac:dyDescent="0.2">
      <c r="A242" s="84">
        <v>431</v>
      </c>
      <c r="B242" s="84" t="s">
        <v>847</v>
      </c>
      <c r="C242" s="84" t="s">
        <v>383</v>
      </c>
      <c r="D242" s="84">
        <v>68.582061999999993</v>
      </c>
      <c r="E242" s="84">
        <v>-149.62293199999999</v>
      </c>
      <c r="F242" s="84">
        <v>806</v>
      </c>
      <c r="G242" s="84" t="s">
        <v>394</v>
      </c>
      <c r="H242" s="84" t="s">
        <v>848</v>
      </c>
      <c r="I242" s="84" t="s">
        <v>849</v>
      </c>
      <c r="J242" s="84" t="s">
        <v>409</v>
      </c>
      <c r="K242" s="84" t="s">
        <v>383</v>
      </c>
      <c r="L242" s="84" t="s">
        <v>783</v>
      </c>
      <c r="M242" s="90" t="str">
        <f t="shared" si="4"/>
        <v>View on Google Map</v>
      </c>
    </row>
    <row r="243" spans="1:13" x14ac:dyDescent="0.2">
      <c r="A243" s="84">
        <v>444</v>
      </c>
      <c r="B243" s="84" t="s">
        <v>850</v>
      </c>
      <c r="C243" s="84" t="s">
        <v>383</v>
      </c>
      <c r="D243" s="84">
        <v>68.578643</v>
      </c>
      <c r="E243" s="84">
        <v>-149.62110200000001</v>
      </c>
      <c r="F243" s="84">
        <v>808</v>
      </c>
      <c r="G243" s="84" t="s">
        <v>408</v>
      </c>
      <c r="H243" s="84" t="s">
        <v>851</v>
      </c>
      <c r="I243" s="84" t="s">
        <v>852</v>
      </c>
      <c r="J243" s="84" t="s">
        <v>409</v>
      </c>
      <c r="K243" s="84" t="s">
        <v>383</v>
      </c>
      <c r="L243" s="84" t="s">
        <v>798</v>
      </c>
      <c r="M243" s="90" t="str">
        <f t="shared" si="4"/>
        <v>View on Google Map</v>
      </c>
    </row>
    <row r="244" spans="1:13" x14ac:dyDescent="0.2">
      <c r="A244" s="84">
        <v>535</v>
      </c>
      <c r="B244" s="84" t="s">
        <v>853</v>
      </c>
      <c r="C244" s="84" t="s">
        <v>854</v>
      </c>
      <c r="D244" s="84">
        <v>68.585839000000007</v>
      </c>
      <c r="E244" s="84">
        <v>-149.62222299999999</v>
      </c>
      <c r="F244" s="84">
        <v>805</v>
      </c>
      <c r="G244" s="84" t="s">
        <v>408</v>
      </c>
      <c r="H244" s="84" t="s">
        <v>383</v>
      </c>
      <c r="I244" s="84" t="s">
        <v>383</v>
      </c>
      <c r="J244" s="84" t="s">
        <v>395</v>
      </c>
      <c r="K244" s="84" t="s">
        <v>383</v>
      </c>
      <c r="L244" s="84" t="s">
        <v>855</v>
      </c>
      <c r="M244" s="90" t="str">
        <f t="shared" si="4"/>
        <v>View on Google Map</v>
      </c>
    </row>
    <row r="245" spans="1:13" x14ac:dyDescent="0.2">
      <c r="A245" s="84">
        <v>536</v>
      </c>
      <c r="B245" s="84" t="s">
        <v>856</v>
      </c>
      <c r="C245" s="84" t="s">
        <v>854</v>
      </c>
      <c r="D245" s="84">
        <v>68.591329999999999</v>
      </c>
      <c r="E245" s="84">
        <v>-149.61154199999999</v>
      </c>
      <c r="F245" s="84">
        <v>775</v>
      </c>
      <c r="G245" s="84" t="s">
        <v>408</v>
      </c>
      <c r="H245" s="84" t="s">
        <v>383</v>
      </c>
      <c r="I245" s="84" t="s">
        <v>383</v>
      </c>
      <c r="J245" s="84" t="s">
        <v>395</v>
      </c>
      <c r="K245" s="84" t="s">
        <v>383</v>
      </c>
      <c r="L245" s="84" t="s">
        <v>855</v>
      </c>
      <c r="M245" s="90" t="str">
        <f t="shared" si="4"/>
        <v>View on Google Map</v>
      </c>
    </row>
    <row r="246" spans="1:13" x14ac:dyDescent="0.2">
      <c r="A246" s="84">
        <v>445</v>
      </c>
      <c r="B246" s="84" t="s">
        <v>857</v>
      </c>
      <c r="C246" s="84" t="s">
        <v>383</v>
      </c>
      <c r="D246" s="84">
        <v>68.583569999999995</v>
      </c>
      <c r="E246" s="84">
        <v>-149.62384</v>
      </c>
      <c r="F246" s="84">
        <v>808</v>
      </c>
      <c r="G246" s="84" t="s">
        <v>408</v>
      </c>
      <c r="H246" s="84" t="s">
        <v>858</v>
      </c>
      <c r="I246" s="84" t="s">
        <v>859</v>
      </c>
      <c r="J246" s="84" t="s">
        <v>409</v>
      </c>
      <c r="K246" s="84" t="s">
        <v>383</v>
      </c>
      <c r="L246" s="84" t="s">
        <v>798</v>
      </c>
      <c r="M246" s="90" t="str">
        <f t="shared" si="4"/>
        <v>View on Google Map</v>
      </c>
    </row>
    <row r="247" spans="1:13" x14ac:dyDescent="0.2">
      <c r="A247" s="84">
        <v>182</v>
      </c>
      <c r="B247" s="84" t="s">
        <v>860</v>
      </c>
      <c r="C247" s="84" t="s">
        <v>383</v>
      </c>
      <c r="D247" s="84">
        <v>68.596883329999997</v>
      </c>
      <c r="E247" s="84">
        <v>-149.60124999999999</v>
      </c>
      <c r="F247" s="84">
        <v>754</v>
      </c>
      <c r="G247" s="84" t="s">
        <v>408</v>
      </c>
      <c r="H247" s="84" t="s">
        <v>861</v>
      </c>
      <c r="I247" s="84" t="s">
        <v>862</v>
      </c>
      <c r="J247" s="84" t="s">
        <v>409</v>
      </c>
      <c r="K247" s="84" t="s">
        <v>383</v>
      </c>
      <c r="L247" s="84" t="s">
        <v>798</v>
      </c>
      <c r="M247" s="90" t="str">
        <f t="shared" si="4"/>
        <v>View on Google Map</v>
      </c>
    </row>
    <row r="248" spans="1:13" x14ac:dyDescent="0.2">
      <c r="A248" s="84">
        <v>183</v>
      </c>
      <c r="B248" s="84" t="s">
        <v>863</v>
      </c>
      <c r="C248" s="84" t="s">
        <v>383</v>
      </c>
      <c r="D248" s="84">
        <v>68.598684000000006</v>
      </c>
      <c r="E248" s="84">
        <v>-149.599853</v>
      </c>
      <c r="F248" s="84">
        <v>754</v>
      </c>
      <c r="G248" s="84" t="s">
        <v>408</v>
      </c>
      <c r="H248" s="84" t="s">
        <v>864</v>
      </c>
      <c r="I248" s="84" t="s">
        <v>865</v>
      </c>
      <c r="J248" s="84" t="s">
        <v>409</v>
      </c>
      <c r="K248" s="84" t="s">
        <v>383</v>
      </c>
      <c r="L248" s="84" t="s">
        <v>798</v>
      </c>
      <c r="M248" s="90" t="str">
        <f t="shared" si="4"/>
        <v>View on Google Map</v>
      </c>
    </row>
    <row r="249" spans="1:13" x14ac:dyDescent="0.2">
      <c r="A249" s="84">
        <v>117</v>
      </c>
      <c r="B249" s="84" t="s">
        <v>866</v>
      </c>
      <c r="C249" s="84" t="s">
        <v>383</v>
      </c>
      <c r="D249" s="84">
        <v>68.600874798199996</v>
      </c>
      <c r="E249" s="84">
        <v>-149.596582063</v>
      </c>
      <c r="F249" s="84">
        <v>742</v>
      </c>
      <c r="G249" s="84" t="s">
        <v>394</v>
      </c>
      <c r="H249" s="84" t="s">
        <v>867</v>
      </c>
      <c r="I249" s="84" t="s">
        <v>868</v>
      </c>
      <c r="J249" s="84" t="s">
        <v>409</v>
      </c>
      <c r="K249" s="84" t="s">
        <v>383</v>
      </c>
      <c r="L249" s="84" t="s">
        <v>783</v>
      </c>
      <c r="M249" s="90" t="str">
        <f t="shared" si="4"/>
        <v>View on Google Map</v>
      </c>
    </row>
    <row r="250" spans="1:13" x14ac:dyDescent="0.2">
      <c r="A250" s="84">
        <v>187</v>
      </c>
      <c r="B250" s="84" t="s">
        <v>869</v>
      </c>
      <c r="C250" s="84" t="s">
        <v>383</v>
      </c>
      <c r="D250" s="84">
        <v>68.618183329999994</v>
      </c>
      <c r="E250" s="84">
        <v>-149.596766</v>
      </c>
      <c r="F250" s="84">
        <v>728</v>
      </c>
      <c r="G250" s="84" t="s">
        <v>408</v>
      </c>
      <c r="H250" s="84" t="s">
        <v>870</v>
      </c>
      <c r="I250" s="84" t="s">
        <v>871</v>
      </c>
      <c r="J250" s="84" t="s">
        <v>409</v>
      </c>
      <c r="K250" s="84" t="s">
        <v>383</v>
      </c>
      <c r="L250" s="84" t="s">
        <v>798</v>
      </c>
      <c r="M250" s="90" t="str">
        <f t="shared" si="4"/>
        <v>View on Google Map</v>
      </c>
    </row>
    <row r="251" spans="1:13" x14ac:dyDescent="0.2">
      <c r="A251" s="84">
        <v>184</v>
      </c>
      <c r="B251" s="84" t="s">
        <v>872</v>
      </c>
      <c r="C251" s="84" t="s">
        <v>383</v>
      </c>
      <c r="D251" s="84">
        <v>68.601830000000007</v>
      </c>
      <c r="E251" s="84">
        <v>-149.59671299999999</v>
      </c>
      <c r="F251" s="84">
        <v>742</v>
      </c>
      <c r="G251" s="84" t="s">
        <v>408</v>
      </c>
      <c r="H251" s="84" t="s">
        <v>873</v>
      </c>
      <c r="I251" s="84" t="s">
        <v>874</v>
      </c>
      <c r="J251" s="84" t="s">
        <v>409</v>
      </c>
      <c r="K251" s="84" t="s">
        <v>383</v>
      </c>
      <c r="L251" s="84" t="s">
        <v>798</v>
      </c>
      <c r="M251" s="90" t="str">
        <f t="shared" si="4"/>
        <v>View on Google Map</v>
      </c>
    </row>
    <row r="252" spans="1:13" x14ac:dyDescent="0.2">
      <c r="A252" s="84">
        <v>118</v>
      </c>
      <c r="B252" s="84" t="s">
        <v>875</v>
      </c>
      <c r="C252" s="84" t="s">
        <v>383</v>
      </c>
      <c r="D252" s="84">
        <v>68.6101575207</v>
      </c>
      <c r="E252" s="84">
        <v>-149.582211513</v>
      </c>
      <c r="F252" s="84">
        <v>744</v>
      </c>
      <c r="G252" s="84" t="s">
        <v>394</v>
      </c>
      <c r="H252" s="84" t="s">
        <v>876</v>
      </c>
      <c r="I252" s="84" t="s">
        <v>877</v>
      </c>
      <c r="J252" s="84" t="s">
        <v>409</v>
      </c>
      <c r="K252" s="84" t="s">
        <v>383</v>
      </c>
      <c r="L252" s="84" t="s">
        <v>783</v>
      </c>
      <c r="M252" s="90" t="str">
        <f t="shared" si="4"/>
        <v>View on Google Map</v>
      </c>
    </row>
    <row r="253" spans="1:13" x14ac:dyDescent="0.2">
      <c r="A253" s="84">
        <v>172</v>
      </c>
      <c r="B253" s="84" t="s">
        <v>878</v>
      </c>
      <c r="C253" s="84" t="s">
        <v>383</v>
      </c>
      <c r="D253" s="84">
        <v>68.573666666666668</v>
      </c>
      <c r="E253" s="84">
        <v>-149.53716666666699</v>
      </c>
      <c r="F253" s="84">
        <v>808</v>
      </c>
      <c r="G253" s="84" t="s">
        <v>408</v>
      </c>
      <c r="H253" s="84" t="s">
        <v>879</v>
      </c>
      <c r="I253" s="84" t="s">
        <v>880</v>
      </c>
      <c r="J253" s="84" t="s">
        <v>409</v>
      </c>
      <c r="K253" s="84" t="s">
        <v>383</v>
      </c>
      <c r="L253" s="84" t="s">
        <v>798</v>
      </c>
      <c r="M253" s="90" t="str">
        <f t="shared" si="4"/>
        <v>View on Google Map</v>
      </c>
    </row>
    <row r="254" spans="1:13" x14ac:dyDescent="0.2">
      <c r="A254" s="84">
        <v>533</v>
      </c>
      <c r="B254" s="84" t="s">
        <v>881</v>
      </c>
      <c r="C254" s="84" t="s">
        <v>854</v>
      </c>
      <c r="D254" s="84">
        <v>68.599999999999994</v>
      </c>
      <c r="E254" s="84">
        <v>-149.57599999999999</v>
      </c>
      <c r="F254" s="84">
        <v>762</v>
      </c>
      <c r="G254" s="84" t="s">
        <v>408</v>
      </c>
      <c r="H254" s="84" t="s">
        <v>383</v>
      </c>
      <c r="I254" s="84" t="s">
        <v>383</v>
      </c>
      <c r="J254" s="84" t="s">
        <v>395</v>
      </c>
      <c r="K254" s="84" t="s">
        <v>383</v>
      </c>
      <c r="L254" s="84" t="s">
        <v>855</v>
      </c>
      <c r="M254" s="90" t="str">
        <f t="shared" si="4"/>
        <v>View on Google Map</v>
      </c>
    </row>
    <row r="255" spans="1:13" x14ac:dyDescent="0.2">
      <c r="A255" s="84">
        <v>534</v>
      </c>
      <c r="B255" s="84" t="s">
        <v>882</v>
      </c>
      <c r="C255" s="84" t="s">
        <v>854</v>
      </c>
      <c r="D255" s="84">
        <v>68.601493000000005</v>
      </c>
      <c r="E255" s="84">
        <v>-149.579071</v>
      </c>
      <c r="F255" s="84">
        <v>760</v>
      </c>
      <c r="G255" s="84" t="s">
        <v>408</v>
      </c>
      <c r="H255" s="84" t="s">
        <v>383</v>
      </c>
      <c r="I255" s="84" t="s">
        <v>383</v>
      </c>
      <c r="J255" s="84" t="s">
        <v>395</v>
      </c>
      <c r="K255" s="84" t="s">
        <v>383</v>
      </c>
      <c r="L255" s="84" t="s">
        <v>855</v>
      </c>
      <c r="M255" s="90" t="str">
        <f t="shared" si="4"/>
        <v>View on Google Map</v>
      </c>
    </row>
    <row r="256" spans="1:13" x14ac:dyDescent="0.2">
      <c r="A256" s="84">
        <v>185</v>
      </c>
      <c r="B256" s="84" t="s">
        <v>883</v>
      </c>
      <c r="C256" s="84" t="s">
        <v>383</v>
      </c>
      <c r="D256" s="84">
        <v>68.60853333</v>
      </c>
      <c r="E256" s="84">
        <v>-149.58763300000001</v>
      </c>
      <c r="F256" s="84">
        <v>744</v>
      </c>
      <c r="G256" s="84" t="s">
        <v>408</v>
      </c>
      <c r="H256" s="84" t="s">
        <v>884</v>
      </c>
      <c r="I256" s="84" t="s">
        <v>885</v>
      </c>
      <c r="J256" s="84" t="s">
        <v>409</v>
      </c>
      <c r="K256" s="84" t="s">
        <v>383</v>
      </c>
      <c r="L256" s="84" t="s">
        <v>798</v>
      </c>
      <c r="M256" s="90" t="str">
        <f t="shared" si="4"/>
        <v>View on Google Map</v>
      </c>
    </row>
    <row r="257" spans="1:13" x14ac:dyDescent="0.2">
      <c r="A257" s="84">
        <v>547</v>
      </c>
      <c r="B257" s="84" t="s">
        <v>886</v>
      </c>
      <c r="C257" s="84" t="s">
        <v>887</v>
      </c>
      <c r="D257" s="84">
        <v>68.611012000000002</v>
      </c>
      <c r="E257" s="84">
        <v>-149.57365200000001</v>
      </c>
      <c r="F257" s="84">
        <v>744</v>
      </c>
      <c r="G257" s="84" t="s">
        <v>408</v>
      </c>
      <c r="H257" s="84" t="s">
        <v>383</v>
      </c>
      <c r="I257" s="84" t="s">
        <v>383</v>
      </c>
      <c r="J257" s="84" t="s">
        <v>888</v>
      </c>
      <c r="K257" s="84" t="s">
        <v>383</v>
      </c>
      <c r="L257" s="84" t="s">
        <v>889</v>
      </c>
      <c r="M257" s="90" t="str">
        <f t="shared" si="4"/>
        <v>View on Google Map</v>
      </c>
    </row>
    <row r="258" spans="1:13" x14ac:dyDescent="0.2">
      <c r="A258" s="84">
        <v>548</v>
      </c>
      <c r="B258" s="84" t="s">
        <v>890</v>
      </c>
      <c r="C258" s="84" t="s">
        <v>887</v>
      </c>
      <c r="D258" s="84">
        <v>68.612117999999995</v>
      </c>
      <c r="E258" s="84">
        <v>-149.576359</v>
      </c>
      <c r="F258" s="84">
        <v>744</v>
      </c>
      <c r="G258" s="84" t="s">
        <v>408</v>
      </c>
      <c r="H258" s="84" t="s">
        <v>383</v>
      </c>
      <c r="I258" s="84" t="s">
        <v>383</v>
      </c>
      <c r="J258" s="84" t="s">
        <v>888</v>
      </c>
      <c r="K258" s="84" t="s">
        <v>383</v>
      </c>
      <c r="L258" s="84" t="s">
        <v>889</v>
      </c>
      <c r="M258" s="90" t="str">
        <f t="shared" si="4"/>
        <v>View on Google Map</v>
      </c>
    </row>
    <row r="259" spans="1:13" x14ac:dyDescent="0.2">
      <c r="A259" s="84">
        <v>546</v>
      </c>
      <c r="B259" s="84" t="s">
        <v>891</v>
      </c>
      <c r="C259" s="84" t="s">
        <v>887</v>
      </c>
      <c r="D259" s="84">
        <v>68.608949999999993</v>
      </c>
      <c r="E259" s="84">
        <v>-149.57907399999999</v>
      </c>
      <c r="F259" s="84">
        <v>744</v>
      </c>
      <c r="G259" s="84" t="s">
        <v>408</v>
      </c>
      <c r="H259" s="84" t="s">
        <v>383</v>
      </c>
      <c r="I259" s="84" t="s">
        <v>383</v>
      </c>
      <c r="J259" s="84" t="s">
        <v>888</v>
      </c>
      <c r="K259" s="84" t="s">
        <v>383</v>
      </c>
      <c r="L259" s="84" t="s">
        <v>889</v>
      </c>
      <c r="M259" s="90" t="str">
        <f t="shared" ref="M259:M322" si="5">HYPERLINK("http://maps.google.com/maps?q="&amp;D259&amp;","&amp;E259,"View on Google Map")</f>
        <v>View on Google Map</v>
      </c>
    </row>
    <row r="260" spans="1:13" x14ac:dyDescent="0.2">
      <c r="A260" s="84">
        <v>545</v>
      </c>
      <c r="B260" s="84" t="s">
        <v>892</v>
      </c>
      <c r="C260" s="84" t="s">
        <v>887</v>
      </c>
      <c r="D260" s="84">
        <v>68.609307999999999</v>
      </c>
      <c r="E260" s="84">
        <v>-149.57375200000001</v>
      </c>
      <c r="F260" s="84">
        <v>744</v>
      </c>
      <c r="G260" s="84" t="s">
        <v>408</v>
      </c>
      <c r="H260" s="84" t="s">
        <v>383</v>
      </c>
      <c r="I260" s="84" t="s">
        <v>383</v>
      </c>
      <c r="J260" s="84" t="s">
        <v>888</v>
      </c>
      <c r="K260" s="84" t="s">
        <v>383</v>
      </c>
      <c r="L260" s="84" t="s">
        <v>889</v>
      </c>
      <c r="M260" s="90" t="str">
        <f t="shared" si="5"/>
        <v>View on Google Map</v>
      </c>
    </row>
    <row r="261" spans="1:13" x14ac:dyDescent="0.2">
      <c r="A261" s="84">
        <v>549</v>
      </c>
      <c r="B261" s="84" t="s">
        <v>893</v>
      </c>
      <c r="C261" s="84" t="s">
        <v>383</v>
      </c>
      <c r="D261" s="84" t="s">
        <v>383</v>
      </c>
      <c r="E261" s="84" t="s">
        <v>383</v>
      </c>
      <c r="F261" s="84" t="s">
        <v>383</v>
      </c>
      <c r="G261" s="84" t="s">
        <v>408</v>
      </c>
      <c r="H261" s="84" t="s">
        <v>383</v>
      </c>
      <c r="I261" s="84" t="s">
        <v>383</v>
      </c>
      <c r="J261" s="84" t="s">
        <v>395</v>
      </c>
      <c r="K261" s="84" t="s">
        <v>383</v>
      </c>
      <c r="L261" s="84" t="s">
        <v>894</v>
      </c>
      <c r="M261" s="90" t="str">
        <f t="shared" si="5"/>
        <v>View on Google Map</v>
      </c>
    </row>
    <row r="262" spans="1:13" x14ac:dyDescent="0.2">
      <c r="A262" s="84">
        <v>188</v>
      </c>
      <c r="B262" s="84" t="s">
        <v>895</v>
      </c>
      <c r="C262" s="84" t="s">
        <v>383</v>
      </c>
      <c r="D262" s="84">
        <v>68.61838333</v>
      </c>
      <c r="E262" s="84">
        <v>-149.59649999999999</v>
      </c>
      <c r="F262" s="84">
        <v>728</v>
      </c>
      <c r="G262" s="84" t="s">
        <v>408</v>
      </c>
      <c r="H262" s="84" t="s">
        <v>896</v>
      </c>
      <c r="I262" s="84" t="s">
        <v>897</v>
      </c>
      <c r="J262" s="84" t="s">
        <v>409</v>
      </c>
      <c r="K262" s="84" t="s">
        <v>383</v>
      </c>
      <c r="L262" s="84" t="s">
        <v>798</v>
      </c>
      <c r="M262" s="90" t="str">
        <f t="shared" si="5"/>
        <v>View on Google Map</v>
      </c>
    </row>
    <row r="263" spans="1:13" x14ac:dyDescent="0.2">
      <c r="A263" s="84">
        <v>541</v>
      </c>
      <c r="B263" s="84" t="s">
        <v>898</v>
      </c>
      <c r="C263" s="84" t="s">
        <v>887</v>
      </c>
      <c r="D263" s="84">
        <v>68.609846000000005</v>
      </c>
      <c r="E263" s="84">
        <v>-149.58295100000001</v>
      </c>
      <c r="F263" s="84">
        <v>744</v>
      </c>
      <c r="G263" s="84" t="s">
        <v>394</v>
      </c>
      <c r="H263" s="84" t="s">
        <v>383</v>
      </c>
      <c r="I263" s="84" t="s">
        <v>383</v>
      </c>
      <c r="J263" s="84" t="s">
        <v>888</v>
      </c>
      <c r="K263" s="84" t="s">
        <v>383</v>
      </c>
      <c r="L263" s="84" t="s">
        <v>889</v>
      </c>
      <c r="M263" s="90" t="str">
        <f t="shared" si="5"/>
        <v>View on Google Map</v>
      </c>
    </row>
    <row r="264" spans="1:13" x14ac:dyDescent="0.2">
      <c r="A264" s="84">
        <v>539</v>
      </c>
      <c r="B264" s="84" t="s">
        <v>899</v>
      </c>
      <c r="C264" s="84" t="s">
        <v>887</v>
      </c>
      <c r="D264" s="84">
        <v>68.610575999999995</v>
      </c>
      <c r="E264" s="84">
        <v>-149.576018</v>
      </c>
      <c r="F264" s="84">
        <v>744</v>
      </c>
      <c r="G264" s="84" t="s">
        <v>394</v>
      </c>
      <c r="H264" s="84" t="s">
        <v>383</v>
      </c>
      <c r="I264" s="84" t="s">
        <v>383</v>
      </c>
      <c r="J264" s="84" t="s">
        <v>888</v>
      </c>
      <c r="K264" s="84" t="s">
        <v>383</v>
      </c>
      <c r="L264" s="84" t="s">
        <v>889</v>
      </c>
      <c r="M264" s="90" t="str">
        <f t="shared" si="5"/>
        <v>View on Google Map</v>
      </c>
    </row>
    <row r="265" spans="1:13" x14ac:dyDescent="0.2">
      <c r="A265" s="84">
        <v>538</v>
      </c>
      <c r="B265" s="84" t="s">
        <v>900</v>
      </c>
      <c r="C265" s="84" t="s">
        <v>887</v>
      </c>
      <c r="D265" s="84">
        <v>68.610889</v>
      </c>
      <c r="E265" s="84">
        <v>-149.576108</v>
      </c>
      <c r="F265" s="84">
        <v>744</v>
      </c>
      <c r="G265" s="84" t="s">
        <v>408</v>
      </c>
      <c r="H265" s="84" t="s">
        <v>383</v>
      </c>
      <c r="I265" s="84" t="s">
        <v>383</v>
      </c>
      <c r="J265" s="84" t="s">
        <v>888</v>
      </c>
      <c r="K265" s="84" t="s">
        <v>383</v>
      </c>
      <c r="L265" s="84" t="s">
        <v>889</v>
      </c>
      <c r="M265" s="90" t="str">
        <f t="shared" si="5"/>
        <v>View on Google Map</v>
      </c>
    </row>
    <row r="266" spans="1:13" x14ac:dyDescent="0.2">
      <c r="A266" s="84">
        <v>544</v>
      </c>
      <c r="B266" s="84" t="s">
        <v>901</v>
      </c>
      <c r="C266" s="84" t="s">
        <v>887</v>
      </c>
      <c r="D266" s="84">
        <v>68.610529</v>
      </c>
      <c r="E266" s="84">
        <v>-149.58864199999999</v>
      </c>
      <c r="F266" s="84">
        <v>744</v>
      </c>
      <c r="G266" s="84" t="s">
        <v>394</v>
      </c>
      <c r="H266" s="84" t="s">
        <v>383</v>
      </c>
      <c r="I266" s="84" t="s">
        <v>383</v>
      </c>
      <c r="J266" s="84" t="s">
        <v>888</v>
      </c>
      <c r="K266" s="84" t="s">
        <v>383</v>
      </c>
      <c r="L266" s="84" t="s">
        <v>889</v>
      </c>
      <c r="M266" s="90" t="str">
        <f t="shared" si="5"/>
        <v>View on Google Map</v>
      </c>
    </row>
    <row r="267" spans="1:13" x14ac:dyDescent="0.2">
      <c r="A267" s="84">
        <v>540</v>
      </c>
      <c r="B267" s="84" t="s">
        <v>902</v>
      </c>
      <c r="C267" s="84" t="s">
        <v>887</v>
      </c>
      <c r="D267" s="84">
        <v>68.609842</v>
      </c>
      <c r="E267" s="84">
        <v>-149.575346</v>
      </c>
      <c r="F267" s="84">
        <v>744</v>
      </c>
      <c r="G267" s="84" t="s">
        <v>394</v>
      </c>
      <c r="H267" s="84" t="s">
        <v>383</v>
      </c>
      <c r="I267" s="84" t="s">
        <v>383</v>
      </c>
      <c r="J267" s="84" t="s">
        <v>888</v>
      </c>
      <c r="K267" s="84" t="s">
        <v>383</v>
      </c>
      <c r="L267" s="84" t="s">
        <v>889</v>
      </c>
      <c r="M267" s="90" t="str">
        <f t="shared" si="5"/>
        <v>View on Google Map</v>
      </c>
    </row>
    <row r="268" spans="1:13" x14ac:dyDescent="0.2">
      <c r="A268" s="84">
        <v>542</v>
      </c>
      <c r="B268" s="84" t="s">
        <v>903</v>
      </c>
      <c r="C268" s="84" t="s">
        <v>887</v>
      </c>
      <c r="D268" s="84">
        <v>68.609202999999994</v>
      </c>
      <c r="E268" s="84">
        <v>-149.588257</v>
      </c>
      <c r="F268" s="84">
        <v>744</v>
      </c>
      <c r="G268" s="84" t="s">
        <v>394</v>
      </c>
      <c r="H268" s="84" t="s">
        <v>383</v>
      </c>
      <c r="I268" s="84" t="s">
        <v>383</v>
      </c>
      <c r="J268" s="84" t="s">
        <v>888</v>
      </c>
      <c r="K268" s="84" t="s">
        <v>383</v>
      </c>
      <c r="L268" s="84" t="s">
        <v>889</v>
      </c>
      <c r="M268" s="90" t="str">
        <f t="shared" si="5"/>
        <v>View on Google Map</v>
      </c>
    </row>
    <row r="269" spans="1:13" x14ac:dyDescent="0.2">
      <c r="A269" s="84">
        <v>543</v>
      </c>
      <c r="B269" s="84" t="s">
        <v>904</v>
      </c>
      <c r="C269" s="84" t="s">
        <v>887</v>
      </c>
      <c r="D269" s="84">
        <v>68.610028</v>
      </c>
      <c r="E269" s="84">
        <v>-149.588391</v>
      </c>
      <c r="F269" s="84">
        <v>744</v>
      </c>
      <c r="G269" s="84" t="s">
        <v>394</v>
      </c>
      <c r="H269" s="84" t="s">
        <v>383</v>
      </c>
      <c r="I269" s="84" t="s">
        <v>383</v>
      </c>
      <c r="J269" s="84" t="s">
        <v>888</v>
      </c>
      <c r="K269" s="84" t="s">
        <v>383</v>
      </c>
      <c r="L269" s="84" t="s">
        <v>889</v>
      </c>
      <c r="M269" s="90" t="str">
        <f t="shared" si="5"/>
        <v>View on Google Map</v>
      </c>
    </row>
    <row r="270" spans="1:13" x14ac:dyDescent="0.2">
      <c r="A270" s="84">
        <v>537</v>
      </c>
      <c r="B270" s="84" t="s">
        <v>905</v>
      </c>
      <c r="C270" s="84" t="s">
        <v>887</v>
      </c>
      <c r="D270" s="84">
        <v>68.611514</v>
      </c>
      <c r="E270" s="84">
        <v>-149.577617</v>
      </c>
      <c r="F270" s="84">
        <v>744</v>
      </c>
      <c r="G270" s="84" t="s">
        <v>408</v>
      </c>
      <c r="H270" s="84" t="s">
        <v>383</v>
      </c>
      <c r="I270" s="84" t="s">
        <v>383</v>
      </c>
      <c r="J270" s="84" t="s">
        <v>888</v>
      </c>
      <c r="K270" s="84" t="s">
        <v>383</v>
      </c>
      <c r="L270" s="84" t="s">
        <v>889</v>
      </c>
      <c r="M270" s="90" t="str">
        <f t="shared" si="5"/>
        <v>View on Google Map</v>
      </c>
    </row>
    <row r="271" spans="1:13" x14ac:dyDescent="0.2">
      <c r="A271" s="84">
        <v>15</v>
      </c>
      <c r="B271" s="84" t="s">
        <v>906</v>
      </c>
      <c r="C271" s="84" t="s">
        <v>383</v>
      </c>
      <c r="D271" s="84" t="s">
        <v>383</v>
      </c>
      <c r="E271" s="84" t="s">
        <v>383</v>
      </c>
      <c r="F271" s="84">
        <v>744</v>
      </c>
      <c r="G271" s="84" t="s">
        <v>408</v>
      </c>
      <c r="H271" s="84" t="s">
        <v>907</v>
      </c>
      <c r="I271" s="84" t="s">
        <v>908</v>
      </c>
      <c r="J271" s="84" t="s">
        <v>409</v>
      </c>
      <c r="K271" s="84">
        <v>186</v>
      </c>
      <c r="L271" s="84" t="s">
        <v>383</v>
      </c>
      <c r="M271" s="90" t="str">
        <f t="shared" si="5"/>
        <v>View on Google Map</v>
      </c>
    </row>
    <row r="272" spans="1:13" x14ac:dyDescent="0.2">
      <c r="A272" s="84">
        <v>305</v>
      </c>
      <c r="B272" s="84" t="s">
        <v>909</v>
      </c>
      <c r="C272" s="84" t="s">
        <v>910</v>
      </c>
      <c r="D272" s="84" t="s">
        <v>383</v>
      </c>
      <c r="E272" s="84" t="s">
        <v>383</v>
      </c>
      <c r="F272" s="84" t="s">
        <v>383</v>
      </c>
      <c r="G272" s="84" t="s">
        <v>408</v>
      </c>
      <c r="H272" s="84" t="s">
        <v>911</v>
      </c>
      <c r="I272" s="84" t="s">
        <v>912</v>
      </c>
      <c r="J272" s="84" t="s">
        <v>409</v>
      </c>
      <c r="K272" s="84" t="s">
        <v>383</v>
      </c>
      <c r="L272" s="84" t="s">
        <v>798</v>
      </c>
      <c r="M272" s="90" t="str">
        <f t="shared" si="5"/>
        <v>View on Google Map</v>
      </c>
    </row>
    <row r="273" spans="1:13" x14ac:dyDescent="0.2">
      <c r="A273" s="84">
        <v>119</v>
      </c>
      <c r="B273" s="84" t="s">
        <v>913</v>
      </c>
      <c r="C273" s="84" t="s">
        <v>383</v>
      </c>
      <c r="D273" s="84">
        <v>68.618964513199998</v>
      </c>
      <c r="E273" s="84">
        <v>-149.59549733099999</v>
      </c>
      <c r="F273" s="84">
        <v>728</v>
      </c>
      <c r="G273" s="84" t="s">
        <v>394</v>
      </c>
      <c r="H273" s="84" t="s">
        <v>914</v>
      </c>
      <c r="I273" s="84" t="s">
        <v>915</v>
      </c>
      <c r="J273" s="84" t="s">
        <v>409</v>
      </c>
      <c r="K273" s="84" t="s">
        <v>383</v>
      </c>
      <c r="L273" s="84" t="s">
        <v>783</v>
      </c>
      <c r="M273" s="90" t="str">
        <f t="shared" si="5"/>
        <v>View on Google Map</v>
      </c>
    </row>
    <row r="274" spans="1:13" x14ac:dyDescent="0.2">
      <c r="A274" s="84">
        <v>244</v>
      </c>
      <c r="B274" s="84" t="s">
        <v>916</v>
      </c>
      <c r="C274" s="84" t="s">
        <v>383</v>
      </c>
      <c r="D274" s="84">
        <v>68.619383330000005</v>
      </c>
      <c r="E274" s="84">
        <v>-149.59528299999999</v>
      </c>
      <c r="F274" s="84">
        <v>728</v>
      </c>
      <c r="G274" s="84" t="s">
        <v>408</v>
      </c>
      <c r="H274" s="84" t="s">
        <v>917</v>
      </c>
      <c r="I274" s="84" t="s">
        <v>918</v>
      </c>
      <c r="J274" s="84" t="s">
        <v>409</v>
      </c>
      <c r="K274" s="84" t="s">
        <v>383</v>
      </c>
      <c r="L274" s="84" t="s">
        <v>798</v>
      </c>
      <c r="M274" s="90" t="str">
        <f t="shared" si="5"/>
        <v>View on Google Map</v>
      </c>
    </row>
    <row r="275" spans="1:13" x14ac:dyDescent="0.2">
      <c r="B275" s="84" t="s">
        <v>919</v>
      </c>
      <c r="C275" s="84" t="s">
        <v>780</v>
      </c>
      <c r="D275" s="84">
        <v>68.544377999999995</v>
      </c>
      <c r="E275" s="84">
        <v>-149.521467</v>
      </c>
      <c r="G275" s="84" t="s">
        <v>920</v>
      </c>
      <c r="J275" s="9" t="s">
        <v>409</v>
      </c>
      <c r="M275" s="90" t="str">
        <f t="shared" si="5"/>
        <v>View on Google Map</v>
      </c>
    </row>
    <row r="276" spans="1:13" x14ac:dyDescent="0.2">
      <c r="B276" s="84" t="s">
        <v>921</v>
      </c>
      <c r="C276" s="84" t="s">
        <v>780</v>
      </c>
      <c r="D276" s="84">
        <v>68.548204999999996</v>
      </c>
      <c r="E276" s="84">
        <v>-149.52195</v>
      </c>
      <c r="G276" s="84" t="s">
        <v>920</v>
      </c>
      <c r="J276" s="9" t="s">
        <v>409</v>
      </c>
      <c r="M276" s="90" t="str">
        <f t="shared" si="5"/>
        <v>View on Google Map</v>
      </c>
    </row>
    <row r="277" spans="1:13" x14ac:dyDescent="0.2">
      <c r="B277" s="84" t="s">
        <v>922</v>
      </c>
      <c r="C277" s="84" t="s">
        <v>780</v>
      </c>
      <c r="D277" s="84">
        <v>68.548062999999999</v>
      </c>
      <c r="E277" s="84">
        <v>-149.521309</v>
      </c>
      <c r="G277" s="84" t="s">
        <v>920</v>
      </c>
      <c r="J277" s="9" t="s">
        <v>409</v>
      </c>
      <c r="M277" s="90" t="str">
        <f t="shared" si="5"/>
        <v>View on Google Map</v>
      </c>
    </row>
    <row r="278" spans="1:13" x14ac:dyDescent="0.2">
      <c r="B278" s="84" t="s">
        <v>923</v>
      </c>
      <c r="C278" s="84" t="s">
        <v>780</v>
      </c>
      <c r="D278" s="84">
        <v>68.544113999999993</v>
      </c>
      <c r="E278" s="84">
        <v>-149.52220800000001</v>
      </c>
      <c r="G278" s="84" t="s">
        <v>920</v>
      </c>
      <c r="J278" s="9" t="s">
        <v>409</v>
      </c>
      <c r="M278" s="90" t="str">
        <f t="shared" si="5"/>
        <v>View on Google Map</v>
      </c>
    </row>
    <row r="279" spans="1:13" x14ac:dyDescent="0.2">
      <c r="B279" s="84" t="s">
        <v>924</v>
      </c>
      <c r="C279" s="84" t="s">
        <v>780</v>
      </c>
      <c r="D279" s="84">
        <v>68.547873999999993</v>
      </c>
      <c r="E279" s="84">
        <v>-149.52158900000001</v>
      </c>
      <c r="G279" s="84" t="s">
        <v>920</v>
      </c>
      <c r="J279" s="9" t="s">
        <v>409</v>
      </c>
      <c r="M279" s="90" t="str">
        <f t="shared" si="5"/>
        <v>View on Google Map</v>
      </c>
    </row>
    <row r="280" spans="1:13" x14ac:dyDescent="0.2">
      <c r="B280" s="84" t="s">
        <v>925</v>
      </c>
      <c r="C280" s="84" t="s">
        <v>780</v>
      </c>
      <c r="D280" s="84">
        <v>68.616620304999998</v>
      </c>
      <c r="E280" s="84">
        <v>-149.31797396100001</v>
      </c>
      <c r="F280" s="84">
        <v>880.55700000000002</v>
      </c>
      <c r="G280" s="84" t="s">
        <v>920</v>
      </c>
      <c r="J280" s="9" t="s">
        <v>409</v>
      </c>
      <c r="M280" s="90" t="str">
        <f t="shared" si="5"/>
        <v>View on Google Map</v>
      </c>
    </row>
    <row r="281" spans="1:13" x14ac:dyDescent="0.2">
      <c r="B281" s="84" t="s">
        <v>926</v>
      </c>
      <c r="C281" s="84" t="s">
        <v>780</v>
      </c>
      <c r="D281" s="84">
        <v>68.618287679000005</v>
      </c>
      <c r="E281" s="84">
        <v>-149.318578011</v>
      </c>
      <c r="F281" s="84">
        <v>877.59500000000003</v>
      </c>
      <c r="G281" s="84" t="s">
        <v>920</v>
      </c>
      <c r="J281" s="9" t="s">
        <v>409</v>
      </c>
      <c r="M281" s="90" t="str">
        <f t="shared" si="5"/>
        <v>View on Google Map</v>
      </c>
    </row>
    <row r="282" spans="1:13" x14ac:dyDescent="0.2">
      <c r="B282" s="84" t="s">
        <v>927</v>
      </c>
      <c r="C282" s="84" t="s">
        <v>780</v>
      </c>
      <c r="D282" s="84">
        <v>68.619548409999993</v>
      </c>
      <c r="E282" s="84">
        <v>-149.31832187699999</v>
      </c>
      <c r="F282" s="84">
        <v>875.59299999999996</v>
      </c>
      <c r="G282" s="84" t="s">
        <v>920</v>
      </c>
      <c r="J282" s="9" t="s">
        <v>409</v>
      </c>
      <c r="M282" s="90" t="str">
        <f t="shared" si="5"/>
        <v>View on Google Map</v>
      </c>
    </row>
    <row r="283" spans="1:13" x14ac:dyDescent="0.2">
      <c r="B283" s="84" t="s">
        <v>928</v>
      </c>
      <c r="C283" s="84" t="s">
        <v>780</v>
      </c>
      <c r="D283" s="84">
        <v>68.621317497999996</v>
      </c>
      <c r="E283" s="84">
        <v>-149.31921364300001</v>
      </c>
      <c r="F283" s="84">
        <v>874.15200000000004</v>
      </c>
      <c r="G283" s="84" t="s">
        <v>920</v>
      </c>
      <c r="J283" s="9" t="s">
        <v>409</v>
      </c>
      <c r="M283" s="90" t="str">
        <f t="shared" si="5"/>
        <v>View on Google Map</v>
      </c>
    </row>
    <row r="284" spans="1:13" x14ac:dyDescent="0.2">
      <c r="A284" s="84">
        <v>11</v>
      </c>
      <c r="B284" s="84" t="s">
        <v>929</v>
      </c>
      <c r="C284" s="84" t="s">
        <v>383</v>
      </c>
      <c r="D284" s="84" t="s">
        <v>383</v>
      </c>
      <c r="E284" s="84" t="s">
        <v>383</v>
      </c>
      <c r="F284" s="84">
        <v>884</v>
      </c>
      <c r="G284" s="84" t="s">
        <v>408</v>
      </c>
      <c r="H284" s="84" t="s">
        <v>930</v>
      </c>
      <c r="I284" s="84" t="s">
        <v>931</v>
      </c>
      <c r="J284" s="84" t="s">
        <v>409</v>
      </c>
      <c r="K284" s="84" t="s">
        <v>383</v>
      </c>
      <c r="L284" s="84" t="s">
        <v>383</v>
      </c>
      <c r="M284" s="90" t="str">
        <f t="shared" si="5"/>
        <v>View on Google Map</v>
      </c>
    </row>
    <row r="285" spans="1:13" x14ac:dyDescent="0.2">
      <c r="B285" s="84" t="s">
        <v>932</v>
      </c>
      <c r="C285" s="84" t="s">
        <v>780</v>
      </c>
      <c r="D285" s="84">
        <v>68.625256622999999</v>
      </c>
      <c r="E285" s="84">
        <v>-149.32463380199999</v>
      </c>
      <c r="F285" s="84">
        <v>862.80799999999999</v>
      </c>
      <c r="G285" s="84" t="s">
        <v>920</v>
      </c>
      <c r="J285" s="9" t="s">
        <v>409</v>
      </c>
      <c r="M285" s="90" t="str">
        <f t="shared" si="5"/>
        <v>View on Google Map</v>
      </c>
    </row>
    <row r="286" spans="1:13" x14ac:dyDescent="0.2">
      <c r="B286" s="84" t="s">
        <v>933</v>
      </c>
      <c r="C286" s="84" t="s">
        <v>780</v>
      </c>
      <c r="D286" s="84">
        <v>68.641922837999999</v>
      </c>
      <c r="E286" s="84">
        <v>-149.342972559</v>
      </c>
      <c r="F286" s="84">
        <v>834.62599999999998</v>
      </c>
      <c r="G286" s="84" t="s">
        <v>920</v>
      </c>
      <c r="J286" s="9" t="s">
        <v>409</v>
      </c>
      <c r="M286" s="90" t="str">
        <f t="shared" si="5"/>
        <v>View on Google Map</v>
      </c>
    </row>
    <row r="287" spans="1:13" x14ac:dyDescent="0.2">
      <c r="A287" s="84">
        <v>1141</v>
      </c>
      <c r="B287" s="84" t="s">
        <v>934</v>
      </c>
      <c r="C287" s="84" t="s">
        <v>383</v>
      </c>
      <c r="D287" s="84" t="s">
        <v>383</v>
      </c>
      <c r="E287" s="84" t="s">
        <v>383</v>
      </c>
      <c r="F287" s="84" t="s">
        <v>383</v>
      </c>
      <c r="G287" s="84" t="s">
        <v>384</v>
      </c>
      <c r="H287" s="84" t="s">
        <v>935</v>
      </c>
      <c r="I287" s="84" t="s">
        <v>383</v>
      </c>
      <c r="J287" s="84" t="s">
        <v>409</v>
      </c>
      <c r="K287" s="84" t="s">
        <v>383</v>
      </c>
      <c r="L287" s="84" t="s">
        <v>383</v>
      </c>
      <c r="M287" s="90" t="str">
        <f t="shared" si="5"/>
        <v>View on Google Map</v>
      </c>
    </row>
    <row r="288" spans="1:13" x14ac:dyDescent="0.2">
      <c r="A288" s="84">
        <v>1142</v>
      </c>
      <c r="B288" s="84" t="s">
        <v>936</v>
      </c>
      <c r="C288" s="84" t="s">
        <v>383</v>
      </c>
      <c r="D288" s="84" t="s">
        <v>383</v>
      </c>
      <c r="E288" s="84" t="s">
        <v>383</v>
      </c>
      <c r="F288" s="84" t="s">
        <v>383</v>
      </c>
      <c r="G288" s="84" t="s">
        <v>408</v>
      </c>
      <c r="H288" s="84" t="s">
        <v>937</v>
      </c>
      <c r="I288" s="84" t="s">
        <v>383</v>
      </c>
      <c r="J288" s="84" t="s">
        <v>938</v>
      </c>
      <c r="K288" s="84" t="s">
        <v>383</v>
      </c>
      <c r="L288" s="84" t="s">
        <v>383</v>
      </c>
      <c r="M288" s="90" t="str">
        <f t="shared" si="5"/>
        <v>View on Google Map</v>
      </c>
    </row>
    <row r="289" spans="1:13" x14ac:dyDescent="0.2">
      <c r="A289" s="84">
        <v>1143</v>
      </c>
      <c r="B289" s="84" t="s">
        <v>939</v>
      </c>
      <c r="C289" s="84" t="s">
        <v>383</v>
      </c>
      <c r="D289" s="84" t="s">
        <v>383</v>
      </c>
      <c r="E289" s="84" t="s">
        <v>383</v>
      </c>
      <c r="F289" s="84" t="s">
        <v>383</v>
      </c>
      <c r="G289" s="84" t="s">
        <v>408</v>
      </c>
      <c r="H289" s="84" t="s">
        <v>383</v>
      </c>
      <c r="I289" s="84" t="s">
        <v>383</v>
      </c>
      <c r="J289" s="84" t="s">
        <v>938</v>
      </c>
      <c r="K289" s="84" t="s">
        <v>383</v>
      </c>
      <c r="L289" s="84" t="s">
        <v>383</v>
      </c>
      <c r="M289" s="90" t="str">
        <f t="shared" si="5"/>
        <v>View on Google Map</v>
      </c>
    </row>
    <row r="290" spans="1:13" x14ac:dyDescent="0.2">
      <c r="A290" s="84">
        <v>1140</v>
      </c>
      <c r="B290" s="84" t="s">
        <v>940</v>
      </c>
      <c r="C290" s="84" t="s">
        <v>383</v>
      </c>
      <c r="D290" s="84" t="s">
        <v>383</v>
      </c>
      <c r="E290" s="84" t="s">
        <v>383</v>
      </c>
      <c r="F290" s="84" t="s">
        <v>383</v>
      </c>
      <c r="G290" s="84" t="s">
        <v>384</v>
      </c>
      <c r="H290" s="84" t="s">
        <v>941</v>
      </c>
      <c r="I290" s="84" t="s">
        <v>942</v>
      </c>
      <c r="J290" s="84" t="s">
        <v>409</v>
      </c>
      <c r="K290" s="84" t="s">
        <v>383</v>
      </c>
      <c r="L290" s="84" t="s">
        <v>383</v>
      </c>
      <c r="M290" s="90" t="str">
        <f t="shared" si="5"/>
        <v>View on Google Map</v>
      </c>
    </row>
    <row r="291" spans="1:13" x14ac:dyDescent="0.2">
      <c r="A291" s="84">
        <v>1173</v>
      </c>
      <c r="B291" s="84" t="s">
        <v>943</v>
      </c>
      <c r="C291" s="84" t="s">
        <v>383</v>
      </c>
      <c r="D291" s="84" t="s">
        <v>383</v>
      </c>
      <c r="E291" s="84" t="s">
        <v>383</v>
      </c>
      <c r="F291" s="84" t="s">
        <v>383</v>
      </c>
      <c r="G291" s="84" t="s">
        <v>384</v>
      </c>
      <c r="H291" s="84" t="s">
        <v>944</v>
      </c>
      <c r="I291" s="84" t="s">
        <v>383</v>
      </c>
      <c r="J291" s="84" t="s">
        <v>390</v>
      </c>
      <c r="K291" s="84" t="s">
        <v>383</v>
      </c>
      <c r="L291" s="84" t="s">
        <v>391</v>
      </c>
      <c r="M291" s="90" t="str">
        <f t="shared" si="5"/>
        <v>View on Google Map</v>
      </c>
    </row>
    <row r="292" spans="1:13" x14ac:dyDescent="0.2">
      <c r="A292" s="84">
        <v>1144</v>
      </c>
      <c r="B292" s="84" t="s">
        <v>945</v>
      </c>
      <c r="C292" s="84" t="s">
        <v>383</v>
      </c>
      <c r="D292" s="84" t="s">
        <v>383</v>
      </c>
      <c r="E292" s="84" t="s">
        <v>383</v>
      </c>
      <c r="F292" s="84" t="s">
        <v>383</v>
      </c>
      <c r="G292" s="84" t="s">
        <v>408</v>
      </c>
      <c r="H292" s="84" t="s">
        <v>945</v>
      </c>
      <c r="I292" s="84" t="s">
        <v>383</v>
      </c>
      <c r="J292" s="84" t="s">
        <v>938</v>
      </c>
      <c r="K292" s="84" t="s">
        <v>383</v>
      </c>
      <c r="L292" s="84" t="s">
        <v>383</v>
      </c>
      <c r="M292" s="90" t="str">
        <f t="shared" si="5"/>
        <v>View on Google Map</v>
      </c>
    </row>
    <row r="293" spans="1:13" x14ac:dyDescent="0.2">
      <c r="A293" s="84">
        <v>1145</v>
      </c>
      <c r="B293" s="84" t="s">
        <v>946</v>
      </c>
      <c r="C293" s="84" t="s">
        <v>383</v>
      </c>
      <c r="D293" s="84" t="s">
        <v>383</v>
      </c>
      <c r="E293" s="84" t="s">
        <v>383</v>
      </c>
      <c r="F293" s="84" t="s">
        <v>383</v>
      </c>
      <c r="G293" s="84" t="s">
        <v>408</v>
      </c>
      <c r="H293" s="84" t="s">
        <v>946</v>
      </c>
      <c r="I293" s="84" t="s">
        <v>383</v>
      </c>
      <c r="J293" s="84" t="s">
        <v>938</v>
      </c>
      <c r="K293" s="84" t="s">
        <v>383</v>
      </c>
      <c r="L293" s="84" t="s">
        <v>383</v>
      </c>
      <c r="M293" s="90" t="str">
        <f t="shared" si="5"/>
        <v>View on Google Map</v>
      </c>
    </row>
    <row r="294" spans="1:13" x14ac:dyDescent="0.2">
      <c r="A294" s="84">
        <v>1146</v>
      </c>
      <c r="B294" s="84" t="s">
        <v>947</v>
      </c>
      <c r="C294" s="84" t="s">
        <v>383</v>
      </c>
      <c r="D294" s="84" t="s">
        <v>383</v>
      </c>
      <c r="E294" s="84" t="s">
        <v>383</v>
      </c>
      <c r="F294" s="84" t="s">
        <v>383</v>
      </c>
      <c r="G294" s="84" t="s">
        <v>384</v>
      </c>
      <c r="H294" s="84" t="s">
        <v>947</v>
      </c>
      <c r="I294" s="84" t="s">
        <v>383</v>
      </c>
      <c r="J294" s="84" t="s">
        <v>938</v>
      </c>
      <c r="K294" s="84" t="s">
        <v>383</v>
      </c>
      <c r="L294" s="84" t="s">
        <v>383</v>
      </c>
      <c r="M294" s="90" t="str">
        <f t="shared" si="5"/>
        <v>View on Google Map</v>
      </c>
    </row>
    <row r="295" spans="1:13" x14ac:dyDescent="0.2">
      <c r="A295" s="84">
        <v>1147</v>
      </c>
      <c r="B295" s="84" t="s">
        <v>948</v>
      </c>
      <c r="C295" s="84" t="s">
        <v>383</v>
      </c>
      <c r="D295" s="84" t="s">
        <v>383</v>
      </c>
      <c r="E295" s="84" t="s">
        <v>383</v>
      </c>
      <c r="F295" s="84" t="s">
        <v>383</v>
      </c>
      <c r="G295" s="84" t="s">
        <v>384</v>
      </c>
      <c r="H295" s="84" t="s">
        <v>948</v>
      </c>
      <c r="I295" s="84" t="s">
        <v>383</v>
      </c>
      <c r="J295" s="84" t="s">
        <v>938</v>
      </c>
      <c r="K295" s="84" t="s">
        <v>383</v>
      </c>
      <c r="L295" s="84" t="s">
        <v>383</v>
      </c>
      <c r="M295" s="90" t="str">
        <f t="shared" si="5"/>
        <v>View on Google Map</v>
      </c>
    </row>
    <row r="296" spans="1:13" x14ac:dyDescent="0.2">
      <c r="A296" s="84">
        <v>1148</v>
      </c>
      <c r="B296" s="84" t="s">
        <v>949</v>
      </c>
      <c r="C296" s="84" t="s">
        <v>383</v>
      </c>
      <c r="D296" s="84" t="s">
        <v>383</v>
      </c>
      <c r="E296" s="84" t="s">
        <v>383</v>
      </c>
      <c r="F296" s="84" t="s">
        <v>383</v>
      </c>
      <c r="G296" s="84" t="s">
        <v>384</v>
      </c>
      <c r="H296" s="84" t="s">
        <v>949</v>
      </c>
      <c r="I296" s="84" t="s">
        <v>950</v>
      </c>
      <c r="J296" s="84" t="s">
        <v>938</v>
      </c>
      <c r="K296" s="84" t="s">
        <v>383</v>
      </c>
      <c r="L296" s="84" t="s">
        <v>383</v>
      </c>
      <c r="M296" s="90" t="str">
        <f t="shared" si="5"/>
        <v>View on Google Map</v>
      </c>
    </row>
    <row r="297" spans="1:13" x14ac:dyDescent="0.2">
      <c r="A297" s="84">
        <v>1149</v>
      </c>
      <c r="B297" s="84" t="s">
        <v>951</v>
      </c>
      <c r="C297" s="84" t="s">
        <v>383</v>
      </c>
      <c r="D297" s="84" t="s">
        <v>383</v>
      </c>
      <c r="E297" s="84" t="s">
        <v>383</v>
      </c>
      <c r="F297" s="84" t="s">
        <v>383</v>
      </c>
      <c r="G297" s="84" t="s">
        <v>384</v>
      </c>
      <c r="H297" s="84" t="s">
        <v>951</v>
      </c>
      <c r="I297" s="84" t="s">
        <v>952</v>
      </c>
      <c r="J297" s="84" t="s">
        <v>938</v>
      </c>
      <c r="K297" s="84" t="s">
        <v>383</v>
      </c>
      <c r="L297" s="84" t="s">
        <v>383</v>
      </c>
      <c r="M297" s="90" t="str">
        <f t="shared" si="5"/>
        <v>View on Google Map</v>
      </c>
    </row>
    <row r="298" spans="1:13" x14ac:dyDescent="0.2">
      <c r="A298" s="84">
        <v>1150</v>
      </c>
      <c r="B298" s="84" t="s">
        <v>953</v>
      </c>
      <c r="C298" s="84" t="s">
        <v>383</v>
      </c>
      <c r="D298" s="84" t="s">
        <v>383</v>
      </c>
      <c r="E298" s="84" t="s">
        <v>383</v>
      </c>
      <c r="F298" s="84" t="s">
        <v>383</v>
      </c>
      <c r="G298" s="84" t="s">
        <v>384</v>
      </c>
      <c r="H298" s="84" t="s">
        <v>953</v>
      </c>
      <c r="I298" s="84" t="s">
        <v>954</v>
      </c>
      <c r="J298" s="84" t="s">
        <v>938</v>
      </c>
      <c r="K298" s="84" t="s">
        <v>383</v>
      </c>
      <c r="L298" s="84" t="s">
        <v>383</v>
      </c>
      <c r="M298" s="90" t="str">
        <f t="shared" si="5"/>
        <v>View on Google Map</v>
      </c>
    </row>
    <row r="299" spans="1:13" x14ac:dyDescent="0.2">
      <c r="A299" s="84">
        <v>1151</v>
      </c>
      <c r="B299" s="84" t="s">
        <v>955</v>
      </c>
      <c r="C299" s="84" t="s">
        <v>383</v>
      </c>
      <c r="D299" s="84" t="s">
        <v>383</v>
      </c>
      <c r="E299" s="84" t="s">
        <v>383</v>
      </c>
      <c r="F299" s="84" t="s">
        <v>383</v>
      </c>
      <c r="G299" s="84" t="s">
        <v>384</v>
      </c>
      <c r="H299" s="84" t="s">
        <v>955</v>
      </c>
      <c r="I299" s="84" t="s">
        <v>956</v>
      </c>
      <c r="J299" s="84" t="s">
        <v>938</v>
      </c>
      <c r="K299" s="84" t="s">
        <v>383</v>
      </c>
      <c r="L299" s="84" t="s">
        <v>383</v>
      </c>
      <c r="M299" s="90" t="str">
        <f t="shared" si="5"/>
        <v>View on Google Map</v>
      </c>
    </row>
    <row r="300" spans="1:13" x14ac:dyDescent="0.2">
      <c r="A300" s="84">
        <v>1152</v>
      </c>
      <c r="B300" s="84" t="s">
        <v>957</v>
      </c>
      <c r="C300" s="84" t="s">
        <v>383</v>
      </c>
      <c r="D300" s="84" t="s">
        <v>383</v>
      </c>
      <c r="E300" s="84" t="s">
        <v>383</v>
      </c>
      <c r="F300" s="84" t="s">
        <v>383</v>
      </c>
      <c r="G300" s="84" t="s">
        <v>384</v>
      </c>
      <c r="H300" s="84" t="s">
        <v>957</v>
      </c>
      <c r="I300" s="84" t="s">
        <v>958</v>
      </c>
      <c r="J300" s="84" t="s">
        <v>938</v>
      </c>
      <c r="K300" s="84" t="s">
        <v>383</v>
      </c>
      <c r="L300" s="84" t="s">
        <v>383</v>
      </c>
      <c r="M300" s="90" t="str">
        <f t="shared" si="5"/>
        <v>View on Google Map</v>
      </c>
    </row>
    <row r="301" spans="1:13" x14ac:dyDescent="0.2">
      <c r="A301" s="84">
        <v>1153</v>
      </c>
      <c r="B301" s="84" t="s">
        <v>959</v>
      </c>
      <c r="C301" s="84" t="s">
        <v>383</v>
      </c>
      <c r="D301" s="84" t="s">
        <v>383</v>
      </c>
      <c r="E301" s="84" t="s">
        <v>383</v>
      </c>
      <c r="F301" s="84" t="s">
        <v>383</v>
      </c>
      <c r="G301" s="84" t="s">
        <v>384</v>
      </c>
      <c r="H301" s="84" t="s">
        <v>959</v>
      </c>
      <c r="I301" s="84" t="s">
        <v>960</v>
      </c>
      <c r="J301" s="84" t="s">
        <v>938</v>
      </c>
      <c r="K301" s="84" t="s">
        <v>383</v>
      </c>
      <c r="L301" s="84" t="s">
        <v>383</v>
      </c>
      <c r="M301" s="90" t="str">
        <f t="shared" si="5"/>
        <v>View on Google Map</v>
      </c>
    </row>
    <row r="302" spans="1:13" x14ac:dyDescent="0.2">
      <c r="A302" s="84">
        <v>1154</v>
      </c>
      <c r="B302" s="84" t="s">
        <v>961</v>
      </c>
      <c r="C302" s="84" t="s">
        <v>383</v>
      </c>
      <c r="D302" s="84" t="s">
        <v>383</v>
      </c>
      <c r="E302" s="84" t="s">
        <v>383</v>
      </c>
      <c r="F302" s="84" t="s">
        <v>383</v>
      </c>
      <c r="G302" s="84" t="s">
        <v>384</v>
      </c>
      <c r="H302" s="84" t="s">
        <v>961</v>
      </c>
      <c r="I302" s="84" t="s">
        <v>962</v>
      </c>
      <c r="J302" s="84" t="s">
        <v>938</v>
      </c>
      <c r="K302" s="84" t="s">
        <v>383</v>
      </c>
      <c r="L302" s="84" t="s">
        <v>383</v>
      </c>
      <c r="M302" s="90" t="str">
        <f t="shared" si="5"/>
        <v>View on Google Map</v>
      </c>
    </row>
    <row r="303" spans="1:13" x14ac:dyDescent="0.2">
      <c r="A303" s="84">
        <v>1155</v>
      </c>
      <c r="B303" s="84" t="s">
        <v>963</v>
      </c>
      <c r="C303" s="84" t="s">
        <v>383</v>
      </c>
      <c r="D303" s="84" t="s">
        <v>383</v>
      </c>
      <c r="E303" s="84" t="s">
        <v>383</v>
      </c>
      <c r="F303" s="84" t="s">
        <v>383</v>
      </c>
      <c r="G303" s="84" t="s">
        <v>384</v>
      </c>
      <c r="H303" s="84" t="s">
        <v>963</v>
      </c>
      <c r="I303" s="84" t="s">
        <v>964</v>
      </c>
      <c r="J303" s="84" t="s">
        <v>938</v>
      </c>
      <c r="K303" s="84" t="s">
        <v>383</v>
      </c>
      <c r="L303" s="84" t="s">
        <v>383</v>
      </c>
      <c r="M303" s="90" t="str">
        <f t="shared" si="5"/>
        <v>View on Google Map</v>
      </c>
    </row>
    <row r="304" spans="1:13" x14ac:dyDescent="0.2">
      <c r="A304" s="84">
        <v>1156</v>
      </c>
      <c r="B304" s="84" t="s">
        <v>965</v>
      </c>
      <c r="C304" s="84" t="s">
        <v>383</v>
      </c>
      <c r="D304" s="84" t="s">
        <v>383</v>
      </c>
      <c r="E304" s="84" t="s">
        <v>383</v>
      </c>
      <c r="F304" s="84" t="s">
        <v>383</v>
      </c>
      <c r="G304" s="84" t="s">
        <v>384</v>
      </c>
      <c r="H304" s="84" t="s">
        <v>965</v>
      </c>
      <c r="I304" s="84" t="s">
        <v>966</v>
      </c>
      <c r="J304" s="84" t="s">
        <v>938</v>
      </c>
      <c r="K304" s="84" t="s">
        <v>383</v>
      </c>
      <c r="L304" s="84" t="s">
        <v>383</v>
      </c>
      <c r="M304" s="90" t="str">
        <f t="shared" si="5"/>
        <v>View on Google Map</v>
      </c>
    </row>
    <row r="305" spans="1:13" x14ac:dyDescent="0.2">
      <c r="A305" s="84">
        <v>1157</v>
      </c>
      <c r="B305" s="84" t="s">
        <v>967</v>
      </c>
      <c r="C305" s="84" t="s">
        <v>383</v>
      </c>
      <c r="D305" s="84" t="s">
        <v>383</v>
      </c>
      <c r="E305" s="84" t="s">
        <v>383</v>
      </c>
      <c r="F305" s="84" t="s">
        <v>383</v>
      </c>
      <c r="G305" s="84" t="s">
        <v>384</v>
      </c>
      <c r="H305" s="84" t="s">
        <v>967</v>
      </c>
      <c r="I305" s="84" t="s">
        <v>968</v>
      </c>
      <c r="J305" s="84" t="s">
        <v>938</v>
      </c>
      <c r="K305" s="84" t="s">
        <v>383</v>
      </c>
      <c r="L305" s="84" t="s">
        <v>383</v>
      </c>
      <c r="M305" s="90" t="str">
        <f t="shared" si="5"/>
        <v>View on Google Map</v>
      </c>
    </row>
    <row r="306" spans="1:13" x14ac:dyDescent="0.2">
      <c r="A306" s="84">
        <v>1158</v>
      </c>
      <c r="B306" s="84" t="s">
        <v>969</v>
      </c>
      <c r="C306" s="84" t="s">
        <v>383</v>
      </c>
      <c r="D306" s="84" t="s">
        <v>383</v>
      </c>
      <c r="E306" s="84" t="s">
        <v>383</v>
      </c>
      <c r="F306" s="84" t="s">
        <v>383</v>
      </c>
      <c r="G306" s="84" t="s">
        <v>384</v>
      </c>
      <c r="H306" s="84" t="s">
        <v>969</v>
      </c>
      <c r="I306" s="84" t="s">
        <v>970</v>
      </c>
      <c r="J306" s="84" t="s">
        <v>938</v>
      </c>
      <c r="K306" s="84" t="s">
        <v>383</v>
      </c>
      <c r="L306" s="84" t="s">
        <v>383</v>
      </c>
      <c r="M306" s="90" t="str">
        <f t="shared" si="5"/>
        <v>View on Google Map</v>
      </c>
    </row>
    <row r="307" spans="1:13" x14ac:dyDescent="0.2">
      <c r="A307" s="84">
        <v>1159</v>
      </c>
      <c r="B307" s="84" t="s">
        <v>971</v>
      </c>
      <c r="C307" s="84" t="s">
        <v>383</v>
      </c>
      <c r="D307" s="84" t="s">
        <v>383</v>
      </c>
      <c r="E307" s="84" t="s">
        <v>383</v>
      </c>
      <c r="F307" s="84" t="s">
        <v>383</v>
      </c>
      <c r="G307" s="84" t="s">
        <v>384</v>
      </c>
      <c r="H307" s="84" t="s">
        <v>971</v>
      </c>
      <c r="I307" s="84" t="s">
        <v>972</v>
      </c>
      <c r="J307" s="84" t="s">
        <v>938</v>
      </c>
      <c r="K307" s="84" t="s">
        <v>383</v>
      </c>
      <c r="L307" s="84" t="s">
        <v>383</v>
      </c>
      <c r="M307" s="90" t="str">
        <f t="shared" si="5"/>
        <v>View on Google Map</v>
      </c>
    </row>
    <row r="308" spans="1:13" x14ac:dyDescent="0.2">
      <c r="A308" s="84">
        <v>1160</v>
      </c>
      <c r="B308" s="84" t="s">
        <v>973</v>
      </c>
      <c r="C308" s="84" t="s">
        <v>383</v>
      </c>
      <c r="D308" s="84" t="s">
        <v>383</v>
      </c>
      <c r="E308" s="84" t="s">
        <v>383</v>
      </c>
      <c r="F308" s="84" t="s">
        <v>383</v>
      </c>
      <c r="G308" s="84" t="s">
        <v>384</v>
      </c>
      <c r="H308" s="84" t="s">
        <v>973</v>
      </c>
      <c r="I308" s="84" t="s">
        <v>974</v>
      </c>
      <c r="J308" s="84" t="s">
        <v>938</v>
      </c>
      <c r="K308" s="84" t="s">
        <v>383</v>
      </c>
      <c r="L308" s="84" t="s">
        <v>383</v>
      </c>
      <c r="M308" s="90" t="str">
        <f t="shared" si="5"/>
        <v>View on Google Map</v>
      </c>
    </row>
    <row r="309" spans="1:13" x14ac:dyDescent="0.2">
      <c r="A309" s="84">
        <v>1161</v>
      </c>
      <c r="B309" s="84" t="s">
        <v>975</v>
      </c>
      <c r="C309" s="84" t="s">
        <v>383</v>
      </c>
      <c r="D309" s="84" t="s">
        <v>383</v>
      </c>
      <c r="E309" s="84" t="s">
        <v>383</v>
      </c>
      <c r="F309" s="84" t="s">
        <v>383</v>
      </c>
      <c r="G309" s="84" t="s">
        <v>384</v>
      </c>
      <c r="H309" s="84" t="s">
        <v>975</v>
      </c>
      <c r="I309" s="84" t="s">
        <v>976</v>
      </c>
      <c r="J309" s="84" t="s">
        <v>938</v>
      </c>
      <c r="K309" s="84" t="s">
        <v>383</v>
      </c>
      <c r="L309" s="84" t="s">
        <v>383</v>
      </c>
      <c r="M309" s="90" t="str">
        <f t="shared" si="5"/>
        <v>View on Google Map</v>
      </c>
    </row>
    <row r="310" spans="1:13" x14ac:dyDescent="0.2">
      <c r="A310" s="84">
        <v>1162</v>
      </c>
      <c r="B310" s="84" t="s">
        <v>977</v>
      </c>
      <c r="C310" s="84" t="s">
        <v>383</v>
      </c>
      <c r="D310" s="84" t="s">
        <v>383</v>
      </c>
      <c r="E310" s="84" t="s">
        <v>383</v>
      </c>
      <c r="F310" s="84" t="s">
        <v>383</v>
      </c>
      <c r="G310" s="84" t="s">
        <v>384</v>
      </c>
      <c r="H310" s="84" t="s">
        <v>977</v>
      </c>
      <c r="I310" s="84" t="s">
        <v>978</v>
      </c>
      <c r="J310" s="84" t="s">
        <v>938</v>
      </c>
      <c r="K310" s="84" t="s">
        <v>383</v>
      </c>
      <c r="L310" s="84" t="s">
        <v>383</v>
      </c>
      <c r="M310" s="90" t="str">
        <f t="shared" si="5"/>
        <v>View on Google Map</v>
      </c>
    </row>
    <row r="311" spans="1:13" x14ac:dyDescent="0.2">
      <c r="A311" s="84">
        <v>1163</v>
      </c>
      <c r="B311" s="84" t="s">
        <v>979</v>
      </c>
      <c r="C311" s="84" t="s">
        <v>383</v>
      </c>
      <c r="D311" s="84" t="s">
        <v>383</v>
      </c>
      <c r="E311" s="84" t="s">
        <v>383</v>
      </c>
      <c r="F311" s="84" t="s">
        <v>383</v>
      </c>
      <c r="G311" s="84" t="s">
        <v>384</v>
      </c>
      <c r="H311" s="84" t="s">
        <v>979</v>
      </c>
      <c r="I311" s="84" t="s">
        <v>980</v>
      </c>
      <c r="J311" s="84" t="s">
        <v>938</v>
      </c>
      <c r="K311" s="84" t="s">
        <v>383</v>
      </c>
      <c r="L311" s="84" t="s">
        <v>383</v>
      </c>
      <c r="M311" s="90" t="str">
        <f t="shared" si="5"/>
        <v>View on Google Map</v>
      </c>
    </row>
    <row r="312" spans="1:13" x14ac:dyDescent="0.2">
      <c r="A312" s="84">
        <v>1164</v>
      </c>
      <c r="B312" s="84" t="s">
        <v>981</v>
      </c>
      <c r="C312" s="84" t="s">
        <v>383</v>
      </c>
      <c r="D312" s="84" t="s">
        <v>383</v>
      </c>
      <c r="E312" s="84" t="s">
        <v>383</v>
      </c>
      <c r="F312" s="84" t="s">
        <v>383</v>
      </c>
      <c r="G312" s="84" t="s">
        <v>384</v>
      </c>
      <c r="H312" s="84" t="s">
        <v>981</v>
      </c>
      <c r="I312" s="84" t="s">
        <v>982</v>
      </c>
      <c r="J312" s="84" t="s">
        <v>938</v>
      </c>
      <c r="K312" s="84" t="s">
        <v>383</v>
      </c>
      <c r="L312" s="84" t="s">
        <v>383</v>
      </c>
      <c r="M312" s="90" t="str">
        <f t="shared" si="5"/>
        <v>View on Google Map</v>
      </c>
    </row>
    <row r="313" spans="1:13" x14ac:dyDescent="0.2">
      <c r="A313" s="84">
        <v>1165</v>
      </c>
      <c r="B313" s="84" t="s">
        <v>983</v>
      </c>
      <c r="C313" s="84" t="s">
        <v>383</v>
      </c>
      <c r="D313" s="84" t="s">
        <v>383</v>
      </c>
      <c r="E313" s="84" t="s">
        <v>383</v>
      </c>
      <c r="F313" s="84" t="s">
        <v>383</v>
      </c>
      <c r="G313" s="84" t="s">
        <v>384</v>
      </c>
      <c r="H313" s="84" t="s">
        <v>983</v>
      </c>
      <c r="I313" s="84" t="s">
        <v>383</v>
      </c>
      <c r="J313" s="84" t="s">
        <v>938</v>
      </c>
      <c r="K313" s="84" t="s">
        <v>383</v>
      </c>
      <c r="L313" s="84" t="s">
        <v>383</v>
      </c>
      <c r="M313" s="90" t="str">
        <f t="shared" si="5"/>
        <v>View on Google Map</v>
      </c>
    </row>
    <row r="314" spans="1:13" x14ac:dyDescent="0.2">
      <c r="A314" s="84">
        <v>1166</v>
      </c>
      <c r="B314" s="84" t="s">
        <v>984</v>
      </c>
      <c r="C314" s="84" t="s">
        <v>383</v>
      </c>
      <c r="D314" s="84" t="s">
        <v>383</v>
      </c>
      <c r="E314" s="84" t="s">
        <v>383</v>
      </c>
      <c r="F314" s="84" t="s">
        <v>383</v>
      </c>
      <c r="G314" s="84" t="s">
        <v>384</v>
      </c>
      <c r="H314" s="84" t="s">
        <v>984</v>
      </c>
      <c r="I314" s="84" t="s">
        <v>383</v>
      </c>
      <c r="J314" s="84" t="s">
        <v>938</v>
      </c>
      <c r="K314" s="84" t="s">
        <v>383</v>
      </c>
      <c r="L314" s="84" t="s">
        <v>383</v>
      </c>
      <c r="M314" s="90" t="str">
        <f t="shared" si="5"/>
        <v>View on Google Map</v>
      </c>
    </row>
    <row r="315" spans="1:13" x14ac:dyDescent="0.2">
      <c r="A315" s="84">
        <v>1167</v>
      </c>
      <c r="B315" s="84" t="s">
        <v>985</v>
      </c>
      <c r="C315" s="84" t="s">
        <v>986</v>
      </c>
      <c r="D315" s="84" t="s">
        <v>383</v>
      </c>
      <c r="E315" s="84" t="s">
        <v>383</v>
      </c>
      <c r="F315" s="84" t="s">
        <v>383</v>
      </c>
      <c r="G315" s="84" t="s">
        <v>384</v>
      </c>
      <c r="H315" s="84" t="s">
        <v>985</v>
      </c>
      <c r="I315" s="84" t="s">
        <v>383</v>
      </c>
      <c r="J315" s="84" t="s">
        <v>385</v>
      </c>
      <c r="K315" s="84" t="s">
        <v>383</v>
      </c>
      <c r="L315" s="84" t="s">
        <v>383</v>
      </c>
      <c r="M315" s="90" t="str">
        <f t="shared" si="5"/>
        <v>View on Google Map</v>
      </c>
    </row>
    <row r="316" spans="1:13" x14ac:dyDescent="0.2">
      <c r="A316" s="84">
        <v>1168</v>
      </c>
      <c r="B316" s="84" t="s">
        <v>987</v>
      </c>
      <c r="C316" s="84" t="s">
        <v>986</v>
      </c>
      <c r="D316" s="84" t="s">
        <v>383</v>
      </c>
      <c r="E316" s="84" t="s">
        <v>383</v>
      </c>
      <c r="F316" s="84" t="s">
        <v>383</v>
      </c>
      <c r="G316" s="84" t="s">
        <v>384</v>
      </c>
      <c r="H316" s="84" t="s">
        <v>987</v>
      </c>
      <c r="I316" s="84" t="s">
        <v>383</v>
      </c>
      <c r="J316" s="84" t="s">
        <v>385</v>
      </c>
      <c r="K316" s="84" t="s">
        <v>383</v>
      </c>
      <c r="L316" s="84" t="s">
        <v>383</v>
      </c>
      <c r="M316" s="90" t="str">
        <f t="shared" si="5"/>
        <v>View on Google Map</v>
      </c>
    </row>
    <row r="317" spans="1:13" x14ac:dyDescent="0.2">
      <c r="A317" s="84">
        <v>125</v>
      </c>
      <c r="B317" s="84" t="s">
        <v>988</v>
      </c>
      <c r="C317" s="84" t="s">
        <v>383</v>
      </c>
      <c r="D317" s="84">
        <v>68.52364</v>
      </c>
      <c r="E317" s="84">
        <v>-149.48141000000001</v>
      </c>
      <c r="F317" s="84">
        <v>881</v>
      </c>
      <c r="G317" s="84" t="s">
        <v>394</v>
      </c>
      <c r="H317" s="84" t="s">
        <v>989</v>
      </c>
      <c r="I317" s="84" t="s">
        <v>383</v>
      </c>
      <c r="J317" s="84" t="s">
        <v>409</v>
      </c>
      <c r="K317" s="84" t="s">
        <v>383</v>
      </c>
      <c r="L317" s="84" t="s">
        <v>410</v>
      </c>
      <c r="M317" s="90" t="str">
        <f t="shared" si="5"/>
        <v>View on Google Map</v>
      </c>
    </row>
    <row r="318" spans="1:13" x14ac:dyDescent="0.2">
      <c r="A318" s="84">
        <v>110</v>
      </c>
      <c r="B318" s="84" t="s">
        <v>990</v>
      </c>
      <c r="C318" s="84" t="s">
        <v>383</v>
      </c>
      <c r="D318" s="84">
        <v>68.687380000000005</v>
      </c>
      <c r="E318" s="84">
        <v>-149.67458999999999</v>
      </c>
      <c r="F318" s="84">
        <v>747</v>
      </c>
      <c r="G318" s="84" t="s">
        <v>394</v>
      </c>
      <c r="H318" s="84" t="s">
        <v>991</v>
      </c>
      <c r="I318" s="84" t="s">
        <v>383</v>
      </c>
      <c r="J318" s="84" t="s">
        <v>409</v>
      </c>
      <c r="K318" s="84" t="s">
        <v>383</v>
      </c>
      <c r="L318" s="84" t="s">
        <v>383</v>
      </c>
      <c r="M318" s="90" t="str">
        <f t="shared" si="5"/>
        <v>View on Google Map</v>
      </c>
    </row>
    <row r="319" spans="1:13" x14ac:dyDescent="0.2">
      <c r="A319" s="84">
        <v>159</v>
      </c>
      <c r="B319" s="84" t="s">
        <v>992</v>
      </c>
      <c r="C319" s="84" t="s">
        <v>383</v>
      </c>
      <c r="D319" s="84">
        <v>68.38333333333334</v>
      </c>
      <c r="E319" s="84">
        <v>-149.91666666666666</v>
      </c>
      <c r="F319" s="84">
        <v>681</v>
      </c>
      <c r="G319" s="84" t="s">
        <v>394</v>
      </c>
      <c r="H319" s="84" t="s">
        <v>993</v>
      </c>
      <c r="I319" s="84" t="s">
        <v>383</v>
      </c>
      <c r="J319" s="84" t="s">
        <v>409</v>
      </c>
      <c r="K319" s="84" t="s">
        <v>383</v>
      </c>
      <c r="L319" s="84" t="s">
        <v>410</v>
      </c>
      <c r="M319" s="90" t="str">
        <f t="shared" si="5"/>
        <v>View on Google Map</v>
      </c>
    </row>
    <row r="320" spans="1:13" x14ac:dyDescent="0.2">
      <c r="B320" s="84" t="s">
        <v>994</v>
      </c>
      <c r="C320" s="84" t="s">
        <v>995</v>
      </c>
      <c r="D320" s="84">
        <v>68.590049999999991</v>
      </c>
      <c r="E320" s="84">
        <v>-149.72444166666699</v>
      </c>
      <c r="G320" s="84" t="s">
        <v>920</v>
      </c>
      <c r="J320" s="9" t="s">
        <v>409</v>
      </c>
      <c r="M320" s="90" t="str">
        <f t="shared" si="5"/>
        <v>View on Google Map</v>
      </c>
    </row>
    <row r="321" spans="1:13" x14ac:dyDescent="0.2">
      <c r="B321" s="84" t="s">
        <v>996</v>
      </c>
      <c r="C321" s="84" t="s">
        <v>995</v>
      </c>
      <c r="D321" s="84">
        <v>68.590219444444443</v>
      </c>
      <c r="E321" s="84">
        <v>-149.725272222222</v>
      </c>
      <c r="G321" s="84" t="s">
        <v>920</v>
      </c>
      <c r="J321" s="9" t="s">
        <v>409</v>
      </c>
      <c r="M321" s="90" t="str">
        <f t="shared" si="5"/>
        <v>View on Google Map</v>
      </c>
    </row>
    <row r="322" spans="1:13" x14ac:dyDescent="0.2">
      <c r="A322" s="84">
        <v>32</v>
      </c>
      <c r="B322" s="84" t="s">
        <v>997</v>
      </c>
      <c r="C322" s="84" t="s">
        <v>383</v>
      </c>
      <c r="D322" s="84">
        <v>68.933499999999995</v>
      </c>
      <c r="E322" s="84">
        <v>-150.30600000000001</v>
      </c>
      <c r="F322" s="84" t="s">
        <v>383</v>
      </c>
      <c r="G322" s="84" t="s">
        <v>408</v>
      </c>
      <c r="H322" s="84" t="s">
        <v>998</v>
      </c>
      <c r="I322" s="84" t="s">
        <v>383</v>
      </c>
      <c r="J322" s="84" t="s">
        <v>444</v>
      </c>
      <c r="K322" s="84" t="s">
        <v>383</v>
      </c>
      <c r="L322" s="84" t="s">
        <v>391</v>
      </c>
      <c r="M322" s="90" t="str">
        <f t="shared" si="5"/>
        <v>View on Google Map</v>
      </c>
    </row>
    <row r="323" spans="1:13" x14ac:dyDescent="0.2">
      <c r="A323" s="84">
        <v>33</v>
      </c>
      <c r="B323" s="84" t="s">
        <v>999</v>
      </c>
      <c r="C323" s="84" t="s">
        <v>383</v>
      </c>
      <c r="D323" s="84">
        <v>68.908000000000001</v>
      </c>
      <c r="E323" s="84">
        <v>-150.114</v>
      </c>
      <c r="F323" s="84" t="s">
        <v>383</v>
      </c>
      <c r="G323" s="84" t="s">
        <v>408</v>
      </c>
      <c r="H323" s="84" t="s">
        <v>1000</v>
      </c>
      <c r="I323" s="84" t="s">
        <v>383</v>
      </c>
      <c r="J323" s="84" t="s">
        <v>444</v>
      </c>
      <c r="K323" s="84" t="s">
        <v>383</v>
      </c>
      <c r="L323" s="84" t="s">
        <v>391</v>
      </c>
      <c r="M323" s="90" t="str">
        <f t="shared" ref="M323:M386" si="6">HYPERLINK("http://maps.google.com/maps?q="&amp;D323&amp;","&amp;E323,"View on Google Map")</f>
        <v>View on Google Map</v>
      </c>
    </row>
    <row r="324" spans="1:13" x14ac:dyDescent="0.2">
      <c r="A324" s="84">
        <v>1</v>
      </c>
      <c r="B324" s="84" t="s">
        <v>1001</v>
      </c>
      <c r="C324" s="84" t="s">
        <v>1002</v>
      </c>
      <c r="D324" s="84">
        <v>68.639103747222222</v>
      </c>
      <c r="E324" s="84">
        <v>-149.39432556944399</v>
      </c>
      <c r="F324" s="84">
        <v>750.56600000000003</v>
      </c>
      <c r="G324" s="84" t="s">
        <v>920</v>
      </c>
      <c r="J324" s="9" t="s">
        <v>409</v>
      </c>
      <c r="M324" s="90" t="str">
        <f t="shared" si="6"/>
        <v>View on Google Map</v>
      </c>
    </row>
    <row r="325" spans="1:13" x14ac:dyDescent="0.2">
      <c r="A325" s="84">
        <v>1</v>
      </c>
      <c r="B325" s="84" t="s">
        <v>1003</v>
      </c>
      <c r="C325" s="84" t="s">
        <v>995</v>
      </c>
      <c r="D325" s="84">
        <v>68.638060455555561</v>
      </c>
      <c r="E325" s="84">
        <v>-149.391843363889</v>
      </c>
      <c r="F325" s="84">
        <v>750.601</v>
      </c>
      <c r="G325" s="84" t="s">
        <v>920</v>
      </c>
      <c r="J325" s="9" t="s">
        <v>409</v>
      </c>
      <c r="M325" s="90" t="str">
        <f t="shared" si="6"/>
        <v>View on Google Map</v>
      </c>
    </row>
    <row r="326" spans="1:13" x14ac:dyDescent="0.2">
      <c r="A326" s="84">
        <v>1</v>
      </c>
      <c r="B326" s="84" t="s">
        <v>1004</v>
      </c>
      <c r="C326" s="84" t="s">
        <v>1005</v>
      </c>
      <c r="D326" s="84">
        <v>68.640747866666672</v>
      </c>
      <c r="E326" s="84">
        <v>-149.40056111111099</v>
      </c>
      <c r="F326" s="84">
        <v>747.74400000000003</v>
      </c>
      <c r="G326" s="84" t="s">
        <v>920</v>
      </c>
      <c r="J326" s="9" t="s">
        <v>409</v>
      </c>
      <c r="M326" s="90" t="str">
        <f t="shared" si="6"/>
        <v>View on Google Map</v>
      </c>
    </row>
    <row r="327" spans="1:13" x14ac:dyDescent="0.2">
      <c r="A327" s="84">
        <v>1</v>
      </c>
      <c r="B327" s="84" t="s">
        <v>1006</v>
      </c>
      <c r="C327" s="84" t="s">
        <v>995</v>
      </c>
      <c r="D327" s="84">
        <v>68.638399647222229</v>
      </c>
      <c r="E327" s="84">
        <v>-149.38922950555599</v>
      </c>
      <c r="F327" s="84">
        <v>752.79899999999998</v>
      </c>
      <c r="G327" s="84" t="s">
        <v>920</v>
      </c>
      <c r="J327" s="9" t="s">
        <v>409</v>
      </c>
      <c r="M327" s="90" t="str">
        <f t="shared" si="6"/>
        <v>View on Google Map</v>
      </c>
    </row>
    <row r="328" spans="1:13" x14ac:dyDescent="0.2">
      <c r="A328" s="84">
        <v>1</v>
      </c>
      <c r="B328" s="84" t="s">
        <v>1007</v>
      </c>
      <c r="C328" s="84" t="s">
        <v>995</v>
      </c>
      <c r="D328" s="84">
        <v>68.637445127777781</v>
      </c>
      <c r="E328" s="84">
        <v>-149.386685694444</v>
      </c>
      <c r="F328" s="84">
        <v>753.32</v>
      </c>
      <c r="G328" s="84" t="s">
        <v>920</v>
      </c>
      <c r="J328" s="9" t="s">
        <v>409</v>
      </c>
      <c r="M328" s="90" t="str">
        <f t="shared" si="6"/>
        <v>View on Google Map</v>
      </c>
    </row>
    <row r="329" spans="1:13" x14ac:dyDescent="0.2">
      <c r="A329" s="84">
        <v>1</v>
      </c>
      <c r="B329" s="84" t="s">
        <v>1008</v>
      </c>
      <c r="C329" s="84" t="s">
        <v>780</v>
      </c>
      <c r="D329" s="84">
        <v>68.642054250000001</v>
      </c>
      <c r="E329" s="84">
        <v>-149.40350056666699</v>
      </c>
      <c r="F329" s="84">
        <v>746.26800000000003</v>
      </c>
      <c r="G329" s="84" t="s">
        <v>920</v>
      </c>
      <c r="J329" s="9" t="s">
        <v>409</v>
      </c>
      <c r="M329" s="90" t="str">
        <f t="shared" si="6"/>
        <v>View on Google Map</v>
      </c>
    </row>
    <row r="330" spans="1:13" x14ac:dyDescent="0.2">
      <c r="A330" s="84">
        <v>1</v>
      </c>
      <c r="B330" s="84" t="s">
        <v>1009</v>
      </c>
      <c r="C330" s="84" t="s">
        <v>1010</v>
      </c>
      <c r="D330" s="84">
        <v>68.641460652777781</v>
      </c>
      <c r="E330" s="84">
        <v>-149.40187098888899</v>
      </c>
      <c r="F330" s="84">
        <v>747.17499999999995</v>
      </c>
      <c r="G330" s="84" t="s">
        <v>920</v>
      </c>
      <c r="J330" s="9" t="s">
        <v>409</v>
      </c>
      <c r="M330" s="90" t="str">
        <f t="shared" si="6"/>
        <v>View on Google Map</v>
      </c>
    </row>
    <row r="331" spans="1:13" x14ac:dyDescent="0.2">
      <c r="A331" s="84">
        <v>1</v>
      </c>
      <c r="B331" s="84" t="s">
        <v>1011</v>
      </c>
      <c r="C331" s="84" t="s">
        <v>780</v>
      </c>
      <c r="D331" s="84">
        <v>68.643159841666673</v>
      </c>
      <c r="E331" s="84">
        <v>-149.40326701388901</v>
      </c>
      <c r="F331" s="84">
        <v>746.55200000000002</v>
      </c>
      <c r="G331" s="84" t="s">
        <v>920</v>
      </c>
      <c r="J331" s="9" t="s">
        <v>409</v>
      </c>
      <c r="M331" s="90" t="str">
        <f t="shared" si="6"/>
        <v>View on Google Map</v>
      </c>
    </row>
    <row r="332" spans="1:13" x14ac:dyDescent="0.2">
      <c r="A332" s="84">
        <v>1</v>
      </c>
      <c r="B332" s="84" t="s">
        <v>1012</v>
      </c>
      <c r="C332" s="84" t="s">
        <v>1005</v>
      </c>
      <c r="D332" s="84">
        <v>68.636731430555557</v>
      </c>
      <c r="E332" s="84">
        <v>-149.38318683611101</v>
      </c>
      <c r="F332" s="84">
        <v>755.19299999999998</v>
      </c>
      <c r="G332" s="84" t="s">
        <v>920</v>
      </c>
      <c r="J332" s="9" t="s">
        <v>409</v>
      </c>
      <c r="M332" s="90" t="str">
        <f t="shared" si="6"/>
        <v>View on Google Map</v>
      </c>
    </row>
    <row r="333" spans="1:13" x14ac:dyDescent="0.2">
      <c r="A333" s="84">
        <v>1</v>
      </c>
      <c r="B333" s="84" t="s">
        <v>1013</v>
      </c>
      <c r="C333" s="84" t="s">
        <v>1005</v>
      </c>
      <c r="D333" s="84">
        <v>68.643629936111111</v>
      </c>
      <c r="E333" s="84">
        <v>-149.40249773333301</v>
      </c>
      <c r="F333" s="84">
        <v>745.85199999999998</v>
      </c>
      <c r="G333" s="84" t="s">
        <v>920</v>
      </c>
      <c r="J333" s="9" t="s">
        <v>409</v>
      </c>
      <c r="M333" s="90" t="str">
        <f t="shared" si="6"/>
        <v>View on Google Map</v>
      </c>
    </row>
    <row r="334" spans="1:13" x14ac:dyDescent="0.2">
      <c r="A334" s="84">
        <v>1</v>
      </c>
      <c r="B334" s="84" t="s">
        <v>1014</v>
      </c>
      <c r="C334" s="84" t="s">
        <v>995</v>
      </c>
      <c r="D334" s="84">
        <v>68.644659113888892</v>
      </c>
      <c r="E334" s="84">
        <v>-149.405160461111</v>
      </c>
      <c r="F334" s="84">
        <v>744.06100000000004</v>
      </c>
      <c r="G334" s="84" t="s">
        <v>920</v>
      </c>
      <c r="J334" s="9" t="s">
        <v>409</v>
      </c>
      <c r="M334" s="90" t="str">
        <f t="shared" si="6"/>
        <v>View on Google Map</v>
      </c>
    </row>
    <row r="335" spans="1:13" x14ac:dyDescent="0.2">
      <c r="A335" s="84">
        <v>1</v>
      </c>
      <c r="B335" s="84" t="s">
        <v>1015</v>
      </c>
      <c r="C335" s="84" t="s">
        <v>780</v>
      </c>
      <c r="D335" s="84">
        <v>68.646338200000002</v>
      </c>
      <c r="E335" s="84">
        <v>-149.41002641666699</v>
      </c>
      <c r="F335" s="84">
        <v>741.68899999999996</v>
      </c>
      <c r="G335" s="84" t="s">
        <v>920</v>
      </c>
      <c r="J335" s="9" t="s">
        <v>409</v>
      </c>
      <c r="M335" s="90" t="str">
        <f t="shared" si="6"/>
        <v>View on Google Map</v>
      </c>
    </row>
    <row r="336" spans="1:13" x14ac:dyDescent="0.2">
      <c r="A336" s="84">
        <v>1</v>
      </c>
      <c r="B336" s="84" t="s">
        <v>1016</v>
      </c>
      <c r="C336" s="84" t="s">
        <v>1017</v>
      </c>
      <c r="D336" s="84">
        <v>68.646228841666669</v>
      </c>
      <c r="E336" s="84">
        <v>-149.40909021388899</v>
      </c>
      <c r="F336" s="84">
        <v>742.04</v>
      </c>
      <c r="G336" s="84" t="s">
        <v>920</v>
      </c>
      <c r="J336" s="9" t="s">
        <v>409</v>
      </c>
      <c r="M336" s="90" t="str">
        <f t="shared" si="6"/>
        <v>View on Google Map</v>
      </c>
    </row>
    <row r="337" spans="1:13" x14ac:dyDescent="0.2">
      <c r="A337" s="84">
        <v>1</v>
      </c>
      <c r="B337" s="84" t="s">
        <v>1018</v>
      </c>
      <c r="C337" s="84" t="s">
        <v>995</v>
      </c>
      <c r="D337" s="84">
        <v>68.647812641666675</v>
      </c>
      <c r="E337" s="84">
        <v>-149.41565431111101</v>
      </c>
      <c r="F337" s="84">
        <v>738.87300000000005</v>
      </c>
      <c r="G337" s="84" t="s">
        <v>920</v>
      </c>
      <c r="J337" s="9" t="s">
        <v>409</v>
      </c>
      <c r="M337" s="90" t="str">
        <f t="shared" si="6"/>
        <v>View on Google Map</v>
      </c>
    </row>
    <row r="338" spans="1:13" x14ac:dyDescent="0.2">
      <c r="A338" s="84">
        <v>1</v>
      </c>
      <c r="B338" s="84" t="s">
        <v>1019</v>
      </c>
      <c r="C338" s="84" t="s">
        <v>780</v>
      </c>
      <c r="D338" s="84">
        <v>68.649547222222225</v>
      </c>
      <c r="E338" s="84">
        <v>-149.41615246388901</v>
      </c>
      <c r="F338" s="84">
        <v>737.07399999999996</v>
      </c>
      <c r="G338" s="84" t="s">
        <v>920</v>
      </c>
      <c r="J338" s="9" t="s">
        <v>409</v>
      </c>
      <c r="M338" s="90" t="str">
        <f t="shared" si="6"/>
        <v>View on Google Map</v>
      </c>
    </row>
    <row r="339" spans="1:13" x14ac:dyDescent="0.2">
      <c r="A339" s="84">
        <v>1</v>
      </c>
      <c r="B339" s="84" t="s">
        <v>1020</v>
      </c>
      <c r="C339" s="84" t="s">
        <v>1005</v>
      </c>
      <c r="D339" s="84">
        <v>68.65164966388889</v>
      </c>
      <c r="E339" s="84">
        <v>-149.41647778611099</v>
      </c>
      <c r="F339" s="84">
        <v>735.41800000000001</v>
      </c>
      <c r="G339" s="84" t="s">
        <v>920</v>
      </c>
      <c r="J339" s="9" t="s">
        <v>409</v>
      </c>
      <c r="M339" s="90" t="str">
        <f t="shared" si="6"/>
        <v>View on Google Map</v>
      </c>
    </row>
    <row r="340" spans="1:13" x14ac:dyDescent="0.2">
      <c r="A340" s="84">
        <v>1</v>
      </c>
      <c r="B340" s="84" t="s">
        <v>1021</v>
      </c>
      <c r="C340" s="84" t="s">
        <v>780</v>
      </c>
      <c r="D340" s="84">
        <v>68.652284541666674</v>
      </c>
      <c r="E340" s="84">
        <v>-149.41517665000001</v>
      </c>
      <c r="F340" s="84">
        <v>734.78499999999997</v>
      </c>
      <c r="G340" s="84" t="s">
        <v>920</v>
      </c>
      <c r="J340" s="9" t="s">
        <v>409</v>
      </c>
      <c r="M340" s="90" t="str">
        <f t="shared" si="6"/>
        <v>View on Google Map</v>
      </c>
    </row>
    <row r="341" spans="1:13" x14ac:dyDescent="0.2">
      <c r="A341" s="84">
        <v>1</v>
      </c>
      <c r="B341" s="84" t="s">
        <v>1022</v>
      </c>
      <c r="C341" s="84" t="s">
        <v>995</v>
      </c>
      <c r="D341" s="84">
        <v>68.653667241666668</v>
      </c>
      <c r="E341" s="84">
        <v>-149.420855111111</v>
      </c>
      <c r="F341" s="84">
        <v>732.173</v>
      </c>
      <c r="G341" s="84" t="s">
        <v>920</v>
      </c>
      <c r="J341" s="9" t="s">
        <v>409</v>
      </c>
      <c r="M341" s="90" t="str">
        <f t="shared" si="6"/>
        <v>View on Google Map</v>
      </c>
    </row>
    <row r="342" spans="1:13" x14ac:dyDescent="0.2">
      <c r="A342" s="84">
        <v>1</v>
      </c>
      <c r="B342" s="84" t="s">
        <v>1023</v>
      </c>
      <c r="C342" s="84" t="s">
        <v>780</v>
      </c>
      <c r="D342" s="84">
        <v>68.658785577777778</v>
      </c>
      <c r="E342" s="84">
        <v>-149.42446433055599</v>
      </c>
      <c r="F342" s="84">
        <v>726.91899999999998</v>
      </c>
      <c r="G342" s="84" t="s">
        <v>920</v>
      </c>
      <c r="J342" s="9" t="s">
        <v>409</v>
      </c>
      <c r="M342" s="90" t="str">
        <f t="shared" si="6"/>
        <v>View on Google Map</v>
      </c>
    </row>
    <row r="343" spans="1:13" x14ac:dyDescent="0.2">
      <c r="A343" s="84">
        <v>1</v>
      </c>
      <c r="B343" s="84" t="s">
        <v>1024</v>
      </c>
      <c r="C343" s="84" t="s">
        <v>1025</v>
      </c>
      <c r="D343" s="84">
        <v>68.638340663999998</v>
      </c>
      <c r="E343" s="84">
        <v>-149.39350505600001</v>
      </c>
      <c r="G343" s="84" t="s">
        <v>920</v>
      </c>
      <c r="J343" s="9" t="s">
        <v>409</v>
      </c>
      <c r="M343" s="90" t="str">
        <f t="shared" si="6"/>
        <v>View on Google Map</v>
      </c>
    </row>
    <row r="344" spans="1:13" x14ac:dyDescent="0.2">
      <c r="A344" s="84">
        <v>1</v>
      </c>
      <c r="B344" s="9" t="s">
        <v>1026</v>
      </c>
      <c r="C344" s="9" t="s">
        <v>1026</v>
      </c>
      <c r="D344" s="84">
        <v>68.647525999999999</v>
      </c>
      <c r="E344" s="84">
        <v>-149.411416</v>
      </c>
      <c r="F344" s="84">
        <v>731</v>
      </c>
      <c r="G344" s="84" t="s">
        <v>408</v>
      </c>
      <c r="H344" s="84" t="s">
        <v>1027</v>
      </c>
      <c r="I344" s="84" t="s">
        <v>383</v>
      </c>
      <c r="J344" s="84" t="s">
        <v>409</v>
      </c>
      <c r="K344" s="84" t="s">
        <v>383</v>
      </c>
      <c r="L344" s="84" t="s">
        <v>383</v>
      </c>
      <c r="M344" s="90" t="str">
        <f t="shared" si="6"/>
        <v>View on Google Map</v>
      </c>
    </row>
    <row r="345" spans="1:13" x14ac:dyDescent="0.2">
      <c r="A345" s="84">
        <v>19</v>
      </c>
      <c r="B345" s="84" t="s">
        <v>1028</v>
      </c>
      <c r="C345" s="84" t="s">
        <v>383</v>
      </c>
      <c r="D345" s="84">
        <v>68.967611000000005</v>
      </c>
      <c r="E345" s="84">
        <v>-149.705342</v>
      </c>
      <c r="F345" s="84">
        <v>411</v>
      </c>
      <c r="G345" s="84" t="s">
        <v>408</v>
      </c>
      <c r="H345" s="84" t="s">
        <v>1029</v>
      </c>
      <c r="I345" s="84" t="s">
        <v>383</v>
      </c>
      <c r="J345" s="84" t="s">
        <v>409</v>
      </c>
      <c r="K345" s="84" t="s">
        <v>383</v>
      </c>
      <c r="L345" s="84" t="s">
        <v>383</v>
      </c>
      <c r="M345" s="90" t="str">
        <f t="shared" si="6"/>
        <v>View on Google Map</v>
      </c>
    </row>
    <row r="346" spans="1:13" x14ac:dyDescent="0.2">
      <c r="A346" s="84">
        <v>16</v>
      </c>
      <c r="B346" s="84" t="s">
        <v>1030</v>
      </c>
      <c r="C346" s="84" t="s">
        <v>383</v>
      </c>
      <c r="D346" s="84" t="s">
        <v>383</v>
      </c>
      <c r="E346" s="84" t="s">
        <v>383</v>
      </c>
      <c r="F346" s="84" t="s">
        <v>383</v>
      </c>
      <c r="G346" s="84" t="s">
        <v>408</v>
      </c>
      <c r="H346" s="84" t="s">
        <v>383</v>
      </c>
      <c r="I346" s="84" t="s">
        <v>383</v>
      </c>
      <c r="J346" s="84" t="s">
        <v>409</v>
      </c>
      <c r="K346" s="84" t="s">
        <v>383</v>
      </c>
      <c r="L346" s="84" t="s">
        <v>383</v>
      </c>
      <c r="M346" s="90" t="str">
        <f t="shared" si="6"/>
        <v>View on Google Map</v>
      </c>
    </row>
    <row r="347" spans="1:13" x14ac:dyDescent="0.2">
      <c r="A347" s="84">
        <v>1198</v>
      </c>
      <c r="B347" s="84" t="s">
        <v>1031</v>
      </c>
      <c r="C347" s="84" t="s">
        <v>567</v>
      </c>
      <c r="D347" s="84">
        <v>69.297460909999998</v>
      </c>
      <c r="E347" s="84">
        <v>-150.32340117999999</v>
      </c>
      <c r="F347" s="84" t="s">
        <v>383</v>
      </c>
      <c r="G347" s="84" t="s">
        <v>384</v>
      </c>
      <c r="H347" s="84" t="s">
        <v>383</v>
      </c>
      <c r="I347" s="84" t="s">
        <v>383</v>
      </c>
      <c r="J347" s="84" t="s">
        <v>390</v>
      </c>
      <c r="K347" s="84" t="s">
        <v>383</v>
      </c>
      <c r="L347" s="84" t="s">
        <v>391</v>
      </c>
      <c r="M347" s="90" t="str">
        <f t="shared" si="6"/>
        <v>View on Google Map</v>
      </c>
    </row>
    <row r="348" spans="1:13" x14ac:dyDescent="0.2">
      <c r="A348" s="84">
        <v>135</v>
      </c>
      <c r="B348" s="84" t="s">
        <v>1032</v>
      </c>
      <c r="C348" s="84" t="s">
        <v>383</v>
      </c>
      <c r="D348" s="84">
        <v>70.333333333333329</v>
      </c>
      <c r="E348" s="84">
        <v>-148.80000000000001</v>
      </c>
      <c r="F348" s="84">
        <v>4</v>
      </c>
      <c r="G348" s="84" t="s">
        <v>394</v>
      </c>
      <c r="H348" s="84" t="s">
        <v>1033</v>
      </c>
      <c r="I348" s="84" t="s">
        <v>383</v>
      </c>
      <c r="J348" s="84" t="s">
        <v>409</v>
      </c>
      <c r="K348" s="84" t="s">
        <v>383</v>
      </c>
      <c r="L348" s="84" t="s">
        <v>410</v>
      </c>
      <c r="M348" s="90" t="str">
        <f t="shared" si="6"/>
        <v>View on Google Map</v>
      </c>
    </row>
    <row r="349" spans="1:13" x14ac:dyDescent="0.2">
      <c r="A349" s="84">
        <v>126</v>
      </c>
      <c r="B349" s="84" t="s">
        <v>1034</v>
      </c>
      <c r="C349" s="84" t="s">
        <v>383</v>
      </c>
      <c r="D349" s="84">
        <v>68.733333333333334</v>
      </c>
      <c r="E349" s="84">
        <v>-148.93333333333334</v>
      </c>
      <c r="F349" s="84">
        <v>556</v>
      </c>
      <c r="G349" s="84" t="s">
        <v>394</v>
      </c>
      <c r="H349" s="84" t="s">
        <v>1035</v>
      </c>
      <c r="I349" s="84" t="s">
        <v>383</v>
      </c>
      <c r="J349" s="84" t="s">
        <v>409</v>
      </c>
      <c r="K349" s="84" t="s">
        <v>383</v>
      </c>
      <c r="L349" s="84" t="s">
        <v>410</v>
      </c>
      <c r="M349" s="90" t="str">
        <f t="shared" si="6"/>
        <v>View on Google Map</v>
      </c>
    </row>
    <row r="350" spans="1:13" x14ac:dyDescent="0.2">
      <c r="A350" s="84">
        <v>134</v>
      </c>
      <c r="B350" s="84" t="s">
        <v>1036</v>
      </c>
      <c r="C350" s="84" t="s">
        <v>383</v>
      </c>
      <c r="D350" s="84">
        <v>70.349999999999994</v>
      </c>
      <c r="E350" s="84">
        <v>-148.58333333333334</v>
      </c>
      <c r="F350" s="84">
        <v>2</v>
      </c>
      <c r="G350" s="84" t="s">
        <v>394</v>
      </c>
      <c r="H350" s="84" t="s">
        <v>1037</v>
      </c>
      <c r="I350" s="84" t="s">
        <v>383</v>
      </c>
      <c r="J350" s="84" t="s">
        <v>409</v>
      </c>
      <c r="K350" s="84" t="s">
        <v>383</v>
      </c>
      <c r="L350" s="84" t="s">
        <v>410</v>
      </c>
      <c r="M350" s="90" t="str">
        <f t="shared" si="6"/>
        <v>View on Google Map</v>
      </c>
    </row>
    <row r="351" spans="1:13" x14ac:dyDescent="0.2">
      <c r="A351" s="84">
        <v>128</v>
      </c>
      <c r="B351" s="84" t="s">
        <v>1038</v>
      </c>
      <c r="C351" s="84" t="s">
        <v>383</v>
      </c>
      <c r="D351" s="84">
        <v>69.033333333333331</v>
      </c>
      <c r="E351" s="84">
        <v>-148.85</v>
      </c>
      <c r="F351" s="84">
        <v>319</v>
      </c>
      <c r="G351" s="84" t="s">
        <v>394</v>
      </c>
      <c r="H351" s="84" t="s">
        <v>1039</v>
      </c>
      <c r="I351" s="84" t="s">
        <v>383</v>
      </c>
      <c r="J351" s="84" t="s">
        <v>409</v>
      </c>
      <c r="K351" s="84" t="s">
        <v>383</v>
      </c>
      <c r="L351" s="84" t="s">
        <v>410</v>
      </c>
      <c r="M351" s="90" t="str">
        <f t="shared" si="6"/>
        <v>View on Google Map</v>
      </c>
    </row>
    <row r="352" spans="1:13" x14ac:dyDescent="0.2">
      <c r="A352" s="84">
        <v>139</v>
      </c>
      <c r="B352" s="84" t="s">
        <v>1040</v>
      </c>
      <c r="C352" s="84" t="s">
        <v>383</v>
      </c>
      <c r="D352" s="84">
        <v>70.216666666666669</v>
      </c>
      <c r="E352" s="84">
        <v>-142.46666666666701</v>
      </c>
      <c r="F352" s="84">
        <v>15</v>
      </c>
      <c r="G352" s="84" t="s">
        <v>394</v>
      </c>
      <c r="H352" s="84" t="s">
        <v>1041</v>
      </c>
      <c r="I352" s="84" t="s">
        <v>1042</v>
      </c>
      <c r="J352" s="84" t="s">
        <v>409</v>
      </c>
      <c r="K352" s="84" t="s">
        <v>383</v>
      </c>
      <c r="L352" s="84" t="s">
        <v>410</v>
      </c>
      <c r="M352" s="90" t="str">
        <f t="shared" si="6"/>
        <v>View on Google Map</v>
      </c>
    </row>
    <row r="353" spans="1:14" x14ac:dyDescent="0.2">
      <c r="A353" s="84">
        <v>127</v>
      </c>
      <c r="B353" s="84" t="s">
        <v>1043</v>
      </c>
      <c r="C353" s="84" t="s">
        <v>383</v>
      </c>
      <c r="D353" s="84">
        <v>68.733333333333334</v>
      </c>
      <c r="E353" s="84">
        <v>-148.96666666666667</v>
      </c>
      <c r="F353" s="84">
        <v>597</v>
      </c>
      <c r="G353" s="84" t="s">
        <v>394</v>
      </c>
      <c r="H353" s="84" t="s">
        <v>1044</v>
      </c>
      <c r="I353" s="84" t="s">
        <v>383</v>
      </c>
      <c r="J353" s="84" t="s">
        <v>409</v>
      </c>
      <c r="K353" s="84" t="s">
        <v>383</v>
      </c>
      <c r="L353" s="84" t="s">
        <v>410</v>
      </c>
      <c r="M353" s="90" t="str">
        <f t="shared" si="6"/>
        <v>View on Google Map</v>
      </c>
    </row>
    <row r="354" spans="1:14" x14ac:dyDescent="0.2">
      <c r="A354" s="84">
        <v>133</v>
      </c>
      <c r="B354" s="84" t="s">
        <v>1045</v>
      </c>
      <c r="C354" s="84" t="s">
        <v>383</v>
      </c>
      <c r="D354" s="84">
        <v>70.36666666666666</v>
      </c>
      <c r="E354" s="84">
        <v>-148.5</v>
      </c>
      <c r="F354" s="84">
        <v>2</v>
      </c>
      <c r="G354" s="84" t="s">
        <v>394</v>
      </c>
      <c r="H354" s="84" t="s">
        <v>1046</v>
      </c>
      <c r="I354" s="84" t="s">
        <v>383</v>
      </c>
      <c r="J354" s="84" t="s">
        <v>409</v>
      </c>
      <c r="K354" s="84" t="s">
        <v>383</v>
      </c>
      <c r="L354" s="84" t="s">
        <v>410</v>
      </c>
      <c r="M354" s="90" t="str">
        <f t="shared" si="6"/>
        <v>View on Google Map</v>
      </c>
    </row>
    <row r="355" spans="1:14" x14ac:dyDescent="0.2">
      <c r="A355" s="84">
        <v>140</v>
      </c>
      <c r="B355" s="84" t="s">
        <v>1047</v>
      </c>
      <c r="C355" s="84" t="s">
        <v>383</v>
      </c>
      <c r="D355" s="84">
        <v>69.583333333333329</v>
      </c>
      <c r="E355" s="84">
        <v>-148.63333333333301</v>
      </c>
      <c r="F355" s="84">
        <v>145</v>
      </c>
      <c r="G355" s="84" t="s">
        <v>394</v>
      </c>
      <c r="H355" s="84" t="s">
        <v>1048</v>
      </c>
      <c r="I355" s="84" t="s">
        <v>1049</v>
      </c>
      <c r="J355" s="84" t="s">
        <v>409</v>
      </c>
      <c r="K355" s="84" t="s">
        <v>383</v>
      </c>
      <c r="L355" s="84" t="s">
        <v>410</v>
      </c>
      <c r="M355" s="90" t="str">
        <f t="shared" si="6"/>
        <v>View on Google Map</v>
      </c>
    </row>
    <row r="356" spans="1:14" x14ac:dyDescent="0.2">
      <c r="A356" s="84">
        <v>247</v>
      </c>
      <c r="B356" s="84" t="s">
        <v>1050</v>
      </c>
      <c r="C356" s="84" t="s">
        <v>1051</v>
      </c>
      <c r="D356" s="84">
        <v>68.687318124800001</v>
      </c>
      <c r="E356" s="84">
        <v>-150.043661294</v>
      </c>
      <c r="F356" s="84">
        <v>670</v>
      </c>
      <c r="G356" s="84" t="s">
        <v>394</v>
      </c>
      <c r="H356" s="84" t="s">
        <v>1052</v>
      </c>
      <c r="I356" s="84" t="s">
        <v>383</v>
      </c>
      <c r="J356" s="84" t="s">
        <v>676</v>
      </c>
      <c r="K356" s="84" t="s">
        <v>383</v>
      </c>
      <c r="L356" s="84" t="s">
        <v>677</v>
      </c>
      <c r="M356" s="90" t="str">
        <f t="shared" si="6"/>
        <v>View on Google Map</v>
      </c>
      <c r="N356" s="84">
        <f t="shared" ref="N356:N419" si="7">VALUE(MID(H356,5,3))</f>
        <v>1</v>
      </c>
    </row>
    <row r="357" spans="1:14" x14ac:dyDescent="0.2">
      <c r="A357" s="84">
        <v>248</v>
      </c>
      <c r="B357" s="84" t="s">
        <v>1053</v>
      </c>
      <c r="C357" s="84" t="s">
        <v>1054</v>
      </c>
      <c r="D357" s="84">
        <v>68.691799913400004</v>
      </c>
      <c r="E357" s="84">
        <v>-150.04995633499999</v>
      </c>
      <c r="F357" s="84">
        <v>670</v>
      </c>
      <c r="G357" s="84" t="s">
        <v>394</v>
      </c>
      <c r="H357" s="84" t="s">
        <v>1055</v>
      </c>
      <c r="I357" s="84" t="s">
        <v>383</v>
      </c>
      <c r="J357" s="84" t="s">
        <v>676</v>
      </c>
      <c r="K357" s="84" t="s">
        <v>383</v>
      </c>
      <c r="L357" s="84" t="s">
        <v>677</v>
      </c>
      <c r="M357" s="90" t="str">
        <f t="shared" si="6"/>
        <v>View on Google Map</v>
      </c>
      <c r="N357" s="84">
        <f t="shared" si="7"/>
        <v>2</v>
      </c>
    </row>
    <row r="358" spans="1:14" x14ac:dyDescent="0.2">
      <c r="A358" s="84">
        <v>249</v>
      </c>
      <c r="B358" s="84" t="s">
        <v>1056</v>
      </c>
      <c r="C358" s="84" t="s">
        <v>1057</v>
      </c>
      <c r="D358" s="84">
        <v>68.692272706200001</v>
      </c>
      <c r="E358" s="84">
        <v>-150.05393183499999</v>
      </c>
      <c r="F358" s="84">
        <v>670</v>
      </c>
      <c r="G358" s="84" t="s">
        <v>394</v>
      </c>
      <c r="H358" s="84" t="s">
        <v>1058</v>
      </c>
      <c r="I358" s="84" t="s">
        <v>383</v>
      </c>
      <c r="J358" s="84" t="s">
        <v>676</v>
      </c>
      <c r="K358" s="84" t="s">
        <v>383</v>
      </c>
      <c r="L358" s="84" t="s">
        <v>677</v>
      </c>
      <c r="M358" s="90" t="str">
        <f t="shared" si="6"/>
        <v>View on Google Map</v>
      </c>
      <c r="N358" s="84">
        <f t="shared" si="7"/>
        <v>3</v>
      </c>
    </row>
    <row r="359" spans="1:14" x14ac:dyDescent="0.2">
      <c r="A359" s="84">
        <v>250</v>
      </c>
      <c r="B359" s="84" t="s">
        <v>1059</v>
      </c>
      <c r="C359" s="84" t="s">
        <v>1060</v>
      </c>
      <c r="D359" s="84">
        <v>68.694180615799993</v>
      </c>
      <c r="E359" s="84">
        <v>-150.05828837300001</v>
      </c>
      <c r="F359" s="84">
        <v>670</v>
      </c>
      <c r="G359" s="84" t="s">
        <v>394</v>
      </c>
      <c r="H359" s="84" t="s">
        <v>1061</v>
      </c>
      <c r="I359" s="84" t="s">
        <v>383</v>
      </c>
      <c r="J359" s="84" t="s">
        <v>676</v>
      </c>
      <c r="K359" s="84" t="s">
        <v>383</v>
      </c>
      <c r="L359" s="84" t="s">
        <v>677</v>
      </c>
      <c r="M359" s="90" t="str">
        <f t="shared" si="6"/>
        <v>View on Google Map</v>
      </c>
      <c r="N359" s="84">
        <f t="shared" si="7"/>
        <v>4</v>
      </c>
    </row>
    <row r="360" spans="1:14" x14ac:dyDescent="0.2">
      <c r="A360" s="84">
        <v>251</v>
      </c>
      <c r="B360" s="84" t="s">
        <v>1062</v>
      </c>
      <c r="C360" s="84" t="s">
        <v>1063</v>
      </c>
      <c r="D360" s="84">
        <v>68.7077131315</v>
      </c>
      <c r="E360" s="84">
        <v>-150.04654580600001</v>
      </c>
      <c r="F360" s="84">
        <v>580</v>
      </c>
      <c r="G360" s="84" t="s">
        <v>394</v>
      </c>
      <c r="H360" s="84" t="s">
        <v>1064</v>
      </c>
      <c r="I360" s="84" t="s">
        <v>383</v>
      </c>
      <c r="J360" s="84" t="s">
        <v>676</v>
      </c>
      <c r="K360" s="84" t="s">
        <v>383</v>
      </c>
      <c r="L360" s="84" t="s">
        <v>677</v>
      </c>
      <c r="M360" s="90" t="str">
        <f t="shared" si="6"/>
        <v>View on Google Map</v>
      </c>
      <c r="N360" s="84">
        <f t="shared" si="7"/>
        <v>5</v>
      </c>
    </row>
    <row r="361" spans="1:14" x14ac:dyDescent="0.2">
      <c r="A361" s="84">
        <v>252</v>
      </c>
      <c r="B361" s="84" t="s">
        <v>1065</v>
      </c>
      <c r="C361" s="84" t="s">
        <v>1066</v>
      </c>
      <c r="D361" s="84">
        <v>68.713583961699996</v>
      </c>
      <c r="E361" s="84">
        <v>-150.03096474</v>
      </c>
      <c r="F361" s="84">
        <v>550</v>
      </c>
      <c r="G361" s="84" t="s">
        <v>394</v>
      </c>
      <c r="H361" s="84" t="s">
        <v>1067</v>
      </c>
      <c r="I361" s="84" t="s">
        <v>383</v>
      </c>
      <c r="J361" s="84" t="s">
        <v>676</v>
      </c>
      <c r="K361" s="84" t="s">
        <v>383</v>
      </c>
      <c r="L361" s="84" t="s">
        <v>677</v>
      </c>
      <c r="M361" s="90" t="str">
        <f t="shared" si="6"/>
        <v>View on Google Map</v>
      </c>
      <c r="N361" s="84">
        <f t="shared" si="7"/>
        <v>6</v>
      </c>
    </row>
    <row r="362" spans="1:14" x14ac:dyDescent="0.2">
      <c r="A362" s="84">
        <v>253</v>
      </c>
      <c r="B362" s="84" t="s">
        <v>1068</v>
      </c>
      <c r="C362" s="84" t="s">
        <v>1069</v>
      </c>
      <c r="D362" s="84">
        <v>68.717696468200003</v>
      </c>
      <c r="E362" s="84">
        <v>-150.03558023400001</v>
      </c>
      <c r="F362" s="84">
        <v>550</v>
      </c>
      <c r="G362" s="84" t="s">
        <v>394</v>
      </c>
      <c r="H362" s="84" t="s">
        <v>1070</v>
      </c>
      <c r="I362" s="84" t="s">
        <v>383</v>
      </c>
      <c r="J362" s="84" t="s">
        <v>676</v>
      </c>
      <c r="K362" s="84" t="s">
        <v>383</v>
      </c>
      <c r="L362" s="84" t="s">
        <v>677</v>
      </c>
      <c r="M362" s="90" t="str">
        <f t="shared" si="6"/>
        <v>View on Google Map</v>
      </c>
      <c r="N362" s="84">
        <f t="shared" si="7"/>
        <v>7</v>
      </c>
    </row>
    <row r="363" spans="1:14" x14ac:dyDescent="0.2">
      <c r="A363" s="84">
        <v>254</v>
      </c>
      <c r="B363" s="84" t="s">
        <v>1071</v>
      </c>
      <c r="C363" s="84" t="s">
        <v>1072</v>
      </c>
      <c r="D363" s="84">
        <v>68.724625849299997</v>
      </c>
      <c r="E363" s="84">
        <v>-150.02664640699999</v>
      </c>
      <c r="F363" s="84">
        <v>520</v>
      </c>
      <c r="G363" s="84" t="s">
        <v>394</v>
      </c>
      <c r="H363" s="84" t="s">
        <v>1073</v>
      </c>
      <c r="I363" s="84" t="s">
        <v>383</v>
      </c>
      <c r="J363" s="84" t="s">
        <v>676</v>
      </c>
      <c r="K363" s="84" t="s">
        <v>383</v>
      </c>
      <c r="L363" s="84" t="s">
        <v>677</v>
      </c>
      <c r="M363" s="90" t="str">
        <f t="shared" si="6"/>
        <v>View on Google Map</v>
      </c>
      <c r="N363" s="84">
        <f t="shared" si="7"/>
        <v>8</v>
      </c>
    </row>
    <row r="364" spans="1:14" x14ac:dyDescent="0.2">
      <c r="A364" s="84">
        <v>255</v>
      </c>
      <c r="B364" s="84" t="s">
        <v>1074</v>
      </c>
      <c r="C364" s="84" t="s">
        <v>1075</v>
      </c>
      <c r="D364" s="84">
        <v>68.728073916699998</v>
      </c>
      <c r="E364" s="84">
        <v>-150.03359923599999</v>
      </c>
      <c r="F364" s="84">
        <v>520</v>
      </c>
      <c r="G364" s="84" t="s">
        <v>394</v>
      </c>
      <c r="H364" s="84" t="s">
        <v>1076</v>
      </c>
      <c r="I364" s="84" t="s">
        <v>383</v>
      </c>
      <c r="J364" s="84" t="s">
        <v>676</v>
      </c>
      <c r="K364" s="84" t="s">
        <v>383</v>
      </c>
      <c r="L364" s="84" t="s">
        <v>677</v>
      </c>
      <c r="M364" s="90" t="str">
        <f t="shared" si="6"/>
        <v>View on Google Map</v>
      </c>
      <c r="N364" s="84">
        <f t="shared" si="7"/>
        <v>9</v>
      </c>
    </row>
    <row r="365" spans="1:14" x14ac:dyDescent="0.2">
      <c r="A365" s="84">
        <v>256</v>
      </c>
      <c r="B365" s="84" t="s">
        <v>1077</v>
      </c>
      <c r="C365" s="84" t="s">
        <v>1078</v>
      </c>
      <c r="D365" s="84">
        <v>68.701700654700005</v>
      </c>
      <c r="E365" s="84">
        <v>-149.74902999599999</v>
      </c>
      <c r="F365" s="84">
        <v>760</v>
      </c>
      <c r="G365" s="84" t="s">
        <v>394</v>
      </c>
      <c r="H365" s="84" t="s">
        <v>1079</v>
      </c>
      <c r="I365" s="84" t="s">
        <v>383</v>
      </c>
      <c r="J365" s="84" t="s">
        <v>676</v>
      </c>
      <c r="K365" s="84" t="s">
        <v>383</v>
      </c>
      <c r="L365" s="84" t="s">
        <v>677</v>
      </c>
      <c r="M365" s="90" t="str">
        <f t="shared" si="6"/>
        <v>View on Google Map</v>
      </c>
      <c r="N365" s="84">
        <f t="shared" si="7"/>
        <v>10</v>
      </c>
    </row>
    <row r="366" spans="1:14" x14ac:dyDescent="0.2">
      <c r="A366" s="84">
        <v>257</v>
      </c>
      <c r="B366" s="84" t="s">
        <v>1080</v>
      </c>
      <c r="C366" s="84" t="s">
        <v>1081</v>
      </c>
      <c r="D366" s="84">
        <v>68.701945515000006</v>
      </c>
      <c r="E366" s="84">
        <v>-149.745520981</v>
      </c>
      <c r="F366" s="84">
        <v>760</v>
      </c>
      <c r="G366" s="84" t="s">
        <v>394</v>
      </c>
      <c r="H366" s="84" t="s">
        <v>1082</v>
      </c>
      <c r="I366" s="84" t="s">
        <v>383</v>
      </c>
      <c r="J366" s="84" t="s">
        <v>676</v>
      </c>
      <c r="K366" s="84" t="s">
        <v>383</v>
      </c>
      <c r="L366" s="84" t="s">
        <v>677</v>
      </c>
      <c r="M366" s="90" t="str">
        <f t="shared" si="6"/>
        <v>View on Google Map</v>
      </c>
      <c r="N366" s="84">
        <f t="shared" si="7"/>
        <v>11</v>
      </c>
    </row>
    <row r="367" spans="1:14" x14ac:dyDescent="0.2">
      <c r="A367" s="84">
        <v>258</v>
      </c>
      <c r="B367" s="84" t="s">
        <v>1083</v>
      </c>
      <c r="C367" s="84" t="s">
        <v>1084</v>
      </c>
      <c r="D367" s="84">
        <v>68.704802601699996</v>
      </c>
      <c r="E367" s="84">
        <v>-149.73409678600001</v>
      </c>
      <c r="F367" s="84">
        <v>730</v>
      </c>
      <c r="G367" s="84" t="s">
        <v>394</v>
      </c>
      <c r="H367" s="84" t="s">
        <v>1085</v>
      </c>
      <c r="I367" s="84" t="s">
        <v>383</v>
      </c>
      <c r="J367" s="84" t="s">
        <v>676</v>
      </c>
      <c r="K367" s="84" t="s">
        <v>383</v>
      </c>
      <c r="L367" s="84" t="s">
        <v>677</v>
      </c>
      <c r="M367" s="90" t="str">
        <f t="shared" si="6"/>
        <v>View on Google Map</v>
      </c>
      <c r="N367" s="84">
        <f t="shared" si="7"/>
        <v>12</v>
      </c>
    </row>
    <row r="368" spans="1:14" x14ac:dyDescent="0.2">
      <c r="A368" s="84">
        <v>259</v>
      </c>
      <c r="B368" s="84" t="s">
        <v>1086</v>
      </c>
      <c r="C368" s="84" t="s">
        <v>1087</v>
      </c>
      <c r="D368" s="84">
        <v>68.703579720799993</v>
      </c>
      <c r="E368" s="84">
        <v>-149.717697128</v>
      </c>
      <c r="F368" s="84">
        <v>690</v>
      </c>
      <c r="G368" s="84" t="s">
        <v>394</v>
      </c>
      <c r="H368" s="84" t="s">
        <v>1088</v>
      </c>
      <c r="I368" s="84" t="s">
        <v>383</v>
      </c>
      <c r="J368" s="84" t="s">
        <v>676</v>
      </c>
      <c r="K368" s="84" t="s">
        <v>383</v>
      </c>
      <c r="L368" s="84" t="s">
        <v>677</v>
      </c>
      <c r="M368" s="90" t="str">
        <f t="shared" si="6"/>
        <v>View on Google Map</v>
      </c>
      <c r="N368" s="84">
        <f t="shared" si="7"/>
        <v>13</v>
      </c>
    </row>
    <row r="369" spans="1:14" x14ac:dyDescent="0.2">
      <c r="A369" s="84">
        <v>260</v>
      </c>
      <c r="B369" s="84" t="s">
        <v>1089</v>
      </c>
      <c r="C369" s="84" t="s">
        <v>1090</v>
      </c>
      <c r="D369" s="84">
        <v>68.702004088500004</v>
      </c>
      <c r="E369" s="84">
        <v>-149.71011160800001</v>
      </c>
      <c r="F369" s="84">
        <v>650</v>
      </c>
      <c r="G369" s="84" t="s">
        <v>394</v>
      </c>
      <c r="H369" s="84" t="s">
        <v>1091</v>
      </c>
      <c r="I369" s="84" t="s">
        <v>383</v>
      </c>
      <c r="J369" s="84" t="s">
        <v>676</v>
      </c>
      <c r="K369" s="84" t="s">
        <v>383</v>
      </c>
      <c r="L369" s="84" t="s">
        <v>677</v>
      </c>
      <c r="M369" s="90" t="str">
        <f t="shared" si="6"/>
        <v>View on Google Map</v>
      </c>
      <c r="N369" s="84">
        <f t="shared" si="7"/>
        <v>14</v>
      </c>
    </row>
    <row r="370" spans="1:14" x14ac:dyDescent="0.2">
      <c r="A370" s="84">
        <v>261</v>
      </c>
      <c r="B370" s="84" t="s">
        <v>1092</v>
      </c>
      <c r="C370" s="84" t="s">
        <v>1093</v>
      </c>
      <c r="D370" s="84">
        <v>68.707978848899998</v>
      </c>
      <c r="E370" s="84">
        <v>-149.715105897</v>
      </c>
      <c r="F370" s="84">
        <v>650</v>
      </c>
      <c r="G370" s="84" t="s">
        <v>394</v>
      </c>
      <c r="H370" s="84" t="s">
        <v>1094</v>
      </c>
      <c r="I370" s="84" t="s">
        <v>383</v>
      </c>
      <c r="J370" s="84" t="s">
        <v>676</v>
      </c>
      <c r="K370" s="84" t="s">
        <v>383</v>
      </c>
      <c r="L370" s="84" t="s">
        <v>677</v>
      </c>
      <c r="M370" s="90" t="str">
        <f t="shared" si="6"/>
        <v>View on Google Map</v>
      </c>
      <c r="N370" s="84">
        <f t="shared" si="7"/>
        <v>15</v>
      </c>
    </row>
    <row r="371" spans="1:14" x14ac:dyDescent="0.2">
      <c r="A371" s="84">
        <v>262</v>
      </c>
      <c r="B371" s="84" t="s">
        <v>1095</v>
      </c>
      <c r="C371" s="84" t="s">
        <v>1096</v>
      </c>
      <c r="D371" s="84">
        <v>68.707847844300005</v>
      </c>
      <c r="E371" s="84">
        <v>-149.69962200099999</v>
      </c>
      <c r="F371" s="84">
        <v>650</v>
      </c>
      <c r="G371" s="84" t="s">
        <v>394</v>
      </c>
      <c r="H371" s="84" t="s">
        <v>1097</v>
      </c>
      <c r="I371" s="84" t="s">
        <v>383</v>
      </c>
      <c r="J371" s="84" t="s">
        <v>676</v>
      </c>
      <c r="K371" s="84" t="s">
        <v>383</v>
      </c>
      <c r="L371" s="84" t="s">
        <v>677</v>
      </c>
      <c r="M371" s="90" t="str">
        <f t="shared" si="6"/>
        <v>View on Google Map</v>
      </c>
      <c r="N371" s="84">
        <f t="shared" si="7"/>
        <v>16</v>
      </c>
    </row>
    <row r="372" spans="1:14" x14ac:dyDescent="0.2">
      <c r="A372" s="84">
        <v>263</v>
      </c>
      <c r="B372" s="84" t="s">
        <v>1098</v>
      </c>
      <c r="C372" s="84" t="s">
        <v>1099</v>
      </c>
      <c r="D372" s="84">
        <v>68.7041606871</v>
      </c>
      <c r="E372" s="84">
        <v>-149.68743035400001</v>
      </c>
      <c r="F372" s="84">
        <v>650</v>
      </c>
      <c r="G372" s="84" t="s">
        <v>394</v>
      </c>
      <c r="H372" s="84" t="s">
        <v>1100</v>
      </c>
      <c r="I372" s="84" t="s">
        <v>383</v>
      </c>
      <c r="J372" s="84" t="s">
        <v>676</v>
      </c>
      <c r="K372" s="84" t="s">
        <v>383</v>
      </c>
      <c r="L372" s="84" t="s">
        <v>677</v>
      </c>
      <c r="M372" s="90" t="str">
        <f t="shared" si="6"/>
        <v>View on Google Map</v>
      </c>
      <c r="N372" s="84">
        <f t="shared" si="7"/>
        <v>17</v>
      </c>
    </row>
    <row r="373" spans="1:14" x14ac:dyDescent="0.2">
      <c r="A373" s="84">
        <v>264</v>
      </c>
      <c r="B373" s="84" t="s">
        <v>1101</v>
      </c>
      <c r="C373" s="84" t="s">
        <v>1102</v>
      </c>
      <c r="D373" s="84">
        <v>68.699385523999993</v>
      </c>
      <c r="E373" s="84">
        <v>-149.69396666399999</v>
      </c>
      <c r="F373" s="84">
        <v>650</v>
      </c>
      <c r="G373" s="84" t="s">
        <v>394</v>
      </c>
      <c r="H373" s="84" t="s">
        <v>1103</v>
      </c>
      <c r="I373" s="84" t="s">
        <v>383</v>
      </c>
      <c r="J373" s="84" t="s">
        <v>676</v>
      </c>
      <c r="K373" s="84" t="s">
        <v>383</v>
      </c>
      <c r="L373" s="84" t="s">
        <v>677</v>
      </c>
      <c r="M373" s="90" t="str">
        <f t="shared" si="6"/>
        <v>View on Google Map</v>
      </c>
      <c r="N373" s="84">
        <f t="shared" si="7"/>
        <v>18</v>
      </c>
    </row>
    <row r="374" spans="1:14" x14ac:dyDescent="0.2">
      <c r="A374" s="84">
        <v>265</v>
      </c>
      <c r="B374" s="84" t="s">
        <v>1104</v>
      </c>
      <c r="C374" s="84" t="s">
        <v>1105</v>
      </c>
      <c r="D374" s="84">
        <v>68.7022801743</v>
      </c>
      <c r="E374" s="84">
        <v>-149.70382138400001</v>
      </c>
      <c r="F374" s="84">
        <v>650</v>
      </c>
      <c r="G374" s="84" t="s">
        <v>394</v>
      </c>
      <c r="H374" s="84" t="s">
        <v>1106</v>
      </c>
      <c r="I374" s="84" t="s">
        <v>383</v>
      </c>
      <c r="J374" s="84" t="s">
        <v>676</v>
      </c>
      <c r="K374" s="84" t="s">
        <v>383</v>
      </c>
      <c r="L374" s="84" t="s">
        <v>677</v>
      </c>
      <c r="M374" s="90" t="str">
        <f t="shared" si="6"/>
        <v>View on Google Map</v>
      </c>
      <c r="N374" s="84">
        <f t="shared" si="7"/>
        <v>19</v>
      </c>
    </row>
    <row r="375" spans="1:14" x14ac:dyDescent="0.2">
      <c r="A375" s="84">
        <v>266</v>
      </c>
      <c r="B375" s="84" t="s">
        <v>1107</v>
      </c>
      <c r="C375" s="84" t="s">
        <v>1108</v>
      </c>
      <c r="D375" s="84">
        <v>68.691324054399999</v>
      </c>
      <c r="E375" s="84">
        <v>-149.78520674699999</v>
      </c>
      <c r="F375" s="84">
        <v>650</v>
      </c>
      <c r="G375" s="84" t="s">
        <v>394</v>
      </c>
      <c r="H375" s="84" t="s">
        <v>1109</v>
      </c>
      <c r="I375" s="84" t="s">
        <v>383</v>
      </c>
      <c r="J375" s="84" t="s">
        <v>676</v>
      </c>
      <c r="K375" s="84" t="s">
        <v>383</v>
      </c>
      <c r="L375" s="84" t="s">
        <v>677</v>
      </c>
      <c r="M375" s="90" t="str">
        <f t="shared" si="6"/>
        <v>View on Google Map</v>
      </c>
      <c r="N375" s="84">
        <f t="shared" si="7"/>
        <v>20</v>
      </c>
    </row>
    <row r="376" spans="1:14" x14ac:dyDescent="0.2">
      <c r="A376" s="84">
        <v>267</v>
      </c>
      <c r="B376" s="84" t="s">
        <v>1110</v>
      </c>
      <c r="C376" s="84" t="s">
        <v>1111</v>
      </c>
      <c r="D376" s="84">
        <v>68.682528721799997</v>
      </c>
      <c r="E376" s="84">
        <v>-149.77156908800001</v>
      </c>
      <c r="F376" s="84">
        <v>630</v>
      </c>
      <c r="G376" s="84" t="s">
        <v>394</v>
      </c>
      <c r="H376" s="84" t="s">
        <v>1112</v>
      </c>
      <c r="I376" s="84" t="s">
        <v>383</v>
      </c>
      <c r="J376" s="84" t="s">
        <v>676</v>
      </c>
      <c r="K376" s="84" t="s">
        <v>383</v>
      </c>
      <c r="L376" s="84" t="s">
        <v>677</v>
      </c>
      <c r="M376" s="90" t="str">
        <f t="shared" si="6"/>
        <v>View on Google Map</v>
      </c>
      <c r="N376" s="84">
        <f t="shared" si="7"/>
        <v>21</v>
      </c>
    </row>
    <row r="377" spans="1:14" x14ac:dyDescent="0.2">
      <c r="A377" s="84">
        <v>268</v>
      </c>
      <c r="B377" s="84" t="s">
        <v>1113</v>
      </c>
      <c r="C377" s="84" t="s">
        <v>1114</v>
      </c>
      <c r="D377" s="84">
        <v>68.6833666064</v>
      </c>
      <c r="E377" s="84">
        <v>-149.78602037900001</v>
      </c>
      <c r="F377" s="84">
        <v>620</v>
      </c>
      <c r="G377" s="84" t="s">
        <v>394</v>
      </c>
      <c r="H377" s="84" t="s">
        <v>1115</v>
      </c>
      <c r="I377" s="84" t="s">
        <v>383</v>
      </c>
      <c r="J377" s="84" t="s">
        <v>676</v>
      </c>
      <c r="K377" s="84" t="s">
        <v>383</v>
      </c>
      <c r="L377" s="84" t="s">
        <v>677</v>
      </c>
      <c r="M377" s="90" t="str">
        <f t="shared" si="6"/>
        <v>View on Google Map</v>
      </c>
      <c r="N377" s="84">
        <f t="shared" si="7"/>
        <v>22</v>
      </c>
    </row>
    <row r="378" spans="1:14" x14ac:dyDescent="0.2">
      <c r="A378" s="84">
        <v>269</v>
      </c>
      <c r="B378" s="84" t="s">
        <v>1116</v>
      </c>
      <c r="C378" s="84" t="s">
        <v>1117</v>
      </c>
      <c r="D378" s="84">
        <v>68.685049484000004</v>
      </c>
      <c r="E378" s="84">
        <v>-149.801322572</v>
      </c>
      <c r="F378" s="84">
        <v>590</v>
      </c>
      <c r="G378" s="84" t="s">
        <v>394</v>
      </c>
      <c r="H378" s="84" t="s">
        <v>1118</v>
      </c>
      <c r="I378" s="84" t="s">
        <v>383</v>
      </c>
      <c r="J378" s="84" t="s">
        <v>676</v>
      </c>
      <c r="K378" s="84" t="s">
        <v>383</v>
      </c>
      <c r="L378" s="84" t="s">
        <v>677</v>
      </c>
      <c r="M378" s="90" t="str">
        <f t="shared" si="6"/>
        <v>View on Google Map</v>
      </c>
      <c r="N378" s="84">
        <f t="shared" si="7"/>
        <v>23</v>
      </c>
    </row>
    <row r="379" spans="1:14" x14ac:dyDescent="0.2">
      <c r="A379" s="84">
        <v>270</v>
      </c>
      <c r="B379" s="84" t="s">
        <v>1119</v>
      </c>
      <c r="C379" s="84" t="s">
        <v>1120</v>
      </c>
      <c r="D379" s="84">
        <v>68.6853960145</v>
      </c>
      <c r="E379" s="84">
        <v>-149.80798693200001</v>
      </c>
      <c r="F379" s="84">
        <v>590</v>
      </c>
      <c r="G379" s="84" t="s">
        <v>394</v>
      </c>
      <c r="H379" s="84" t="s">
        <v>1121</v>
      </c>
      <c r="I379" s="84" t="s">
        <v>383</v>
      </c>
      <c r="J379" s="84" t="s">
        <v>676</v>
      </c>
      <c r="K379" s="84" t="s">
        <v>383</v>
      </c>
      <c r="L379" s="84" t="s">
        <v>677</v>
      </c>
      <c r="M379" s="90" t="str">
        <f t="shared" si="6"/>
        <v>View on Google Map</v>
      </c>
      <c r="N379" s="84">
        <f t="shared" si="7"/>
        <v>24</v>
      </c>
    </row>
    <row r="380" spans="1:14" x14ac:dyDescent="0.2">
      <c r="A380" s="84">
        <v>271</v>
      </c>
      <c r="B380" s="84" t="s">
        <v>1122</v>
      </c>
      <c r="C380" s="84" t="s">
        <v>1123</v>
      </c>
      <c r="D380" s="84">
        <v>68.682885549900007</v>
      </c>
      <c r="E380" s="84">
        <v>-149.809163652</v>
      </c>
      <c r="F380" s="84">
        <v>590</v>
      </c>
      <c r="G380" s="84" t="s">
        <v>394</v>
      </c>
      <c r="H380" s="84" t="s">
        <v>1124</v>
      </c>
      <c r="I380" s="84" t="s">
        <v>383</v>
      </c>
      <c r="J380" s="84" t="s">
        <v>676</v>
      </c>
      <c r="K380" s="84" t="s">
        <v>383</v>
      </c>
      <c r="L380" s="84" t="s">
        <v>677</v>
      </c>
      <c r="M380" s="90" t="str">
        <f t="shared" si="6"/>
        <v>View on Google Map</v>
      </c>
      <c r="N380" s="84">
        <f t="shared" si="7"/>
        <v>25</v>
      </c>
    </row>
    <row r="381" spans="1:14" x14ac:dyDescent="0.2">
      <c r="A381" s="84">
        <v>272</v>
      </c>
      <c r="B381" s="84" t="s">
        <v>1125</v>
      </c>
      <c r="C381" s="84" t="s">
        <v>1126</v>
      </c>
      <c r="D381" s="84">
        <v>68.682270906200003</v>
      </c>
      <c r="E381" s="84">
        <v>-149.81202356599999</v>
      </c>
      <c r="F381" s="84" t="s">
        <v>383</v>
      </c>
      <c r="G381" s="84" t="s">
        <v>394</v>
      </c>
      <c r="H381" s="84" t="s">
        <v>1127</v>
      </c>
      <c r="I381" s="84" t="s">
        <v>383</v>
      </c>
      <c r="J381" s="84" t="s">
        <v>676</v>
      </c>
      <c r="K381" s="84" t="s">
        <v>383</v>
      </c>
      <c r="L381" s="84" t="s">
        <v>677</v>
      </c>
      <c r="M381" s="90" t="str">
        <f t="shared" si="6"/>
        <v>View on Google Map</v>
      </c>
      <c r="N381" s="84">
        <f t="shared" si="7"/>
        <v>26</v>
      </c>
    </row>
    <row r="382" spans="1:14" x14ac:dyDescent="0.2">
      <c r="A382" s="84">
        <v>315</v>
      </c>
      <c r="B382" s="84" t="s">
        <v>1128</v>
      </c>
      <c r="C382" s="84" t="s">
        <v>1129</v>
      </c>
      <c r="D382" s="84">
        <v>68.568206306199997</v>
      </c>
      <c r="E382" s="84">
        <v>-149.167395043</v>
      </c>
      <c r="F382" s="84" t="s">
        <v>383</v>
      </c>
      <c r="G382" s="84" t="s">
        <v>394</v>
      </c>
      <c r="H382" s="84" t="s">
        <v>1130</v>
      </c>
      <c r="I382" s="84" t="s">
        <v>383</v>
      </c>
      <c r="J382" s="84" t="s">
        <v>676</v>
      </c>
      <c r="K382" s="84" t="s">
        <v>383</v>
      </c>
      <c r="L382" s="84" t="s">
        <v>677</v>
      </c>
      <c r="M382" s="90" t="str">
        <f t="shared" si="6"/>
        <v>View on Google Map</v>
      </c>
      <c r="N382" s="84">
        <f t="shared" si="7"/>
        <v>27</v>
      </c>
    </row>
    <row r="383" spans="1:14" x14ac:dyDescent="0.2">
      <c r="A383" s="84">
        <v>316</v>
      </c>
      <c r="B383" s="84" t="s">
        <v>1131</v>
      </c>
      <c r="C383" s="84" t="s">
        <v>1132</v>
      </c>
      <c r="D383" s="84">
        <v>68.563566134699997</v>
      </c>
      <c r="E383" s="84">
        <v>-149.17548626199999</v>
      </c>
      <c r="F383" s="84" t="s">
        <v>383</v>
      </c>
      <c r="G383" s="84" t="s">
        <v>394</v>
      </c>
      <c r="H383" s="84" t="s">
        <v>1133</v>
      </c>
      <c r="I383" s="84" t="s">
        <v>383</v>
      </c>
      <c r="J383" s="84" t="s">
        <v>676</v>
      </c>
      <c r="K383" s="84" t="s">
        <v>383</v>
      </c>
      <c r="L383" s="84" t="s">
        <v>677</v>
      </c>
      <c r="M383" s="90" t="str">
        <f t="shared" si="6"/>
        <v>View on Google Map</v>
      </c>
      <c r="N383" s="84">
        <f t="shared" si="7"/>
        <v>28</v>
      </c>
    </row>
    <row r="384" spans="1:14" x14ac:dyDescent="0.2">
      <c r="A384" s="84">
        <v>317</v>
      </c>
      <c r="B384" s="84" t="s">
        <v>1134</v>
      </c>
      <c r="C384" s="84" t="s">
        <v>1135</v>
      </c>
      <c r="D384" s="84">
        <v>68.567753827800004</v>
      </c>
      <c r="E384" s="84">
        <v>-149.18255546</v>
      </c>
      <c r="F384" s="84" t="s">
        <v>383</v>
      </c>
      <c r="G384" s="84" t="s">
        <v>394</v>
      </c>
      <c r="H384" s="84" t="s">
        <v>1136</v>
      </c>
      <c r="I384" s="84" t="s">
        <v>383</v>
      </c>
      <c r="J384" s="84" t="s">
        <v>676</v>
      </c>
      <c r="K384" s="84" t="s">
        <v>383</v>
      </c>
      <c r="L384" s="84" t="s">
        <v>677</v>
      </c>
      <c r="M384" s="90" t="str">
        <f t="shared" si="6"/>
        <v>View on Google Map</v>
      </c>
      <c r="N384" s="84">
        <f t="shared" si="7"/>
        <v>29</v>
      </c>
    </row>
    <row r="385" spans="1:14" x14ac:dyDescent="0.2">
      <c r="A385" s="84">
        <v>318</v>
      </c>
      <c r="B385" s="84" t="s">
        <v>1137</v>
      </c>
      <c r="C385" s="84" t="s">
        <v>1138</v>
      </c>
      <c r="D385" s="84">
        <v>68.575143231300004</v>
      </c>
      <c r="E385" s="84">
        <v>-149.187493434</v>
      </c>
      <c r="F385" s="84">
        <v>899</v>
      </c>
      <c r="G385" s="84" t="s">
        <v>394</v>
      </c>
      <c r="H385" s="84" t="s">
        <v>1139</v>
      </c>
      <c r="I385" s="84" t="s">
        <v>383</v>
      </c>
      <c r="J385" s="84" t="s">
        <v>676</v>
      </c>
      <c r="K385" s="84" t="s">
        <v>383</v>
      </c>
      <c r="L385" s="84" t="s">
        <v>677</v>
      </c>
      <c r="M385" s="90" t="str">
        <f t="shared" si="6"/>
        <v>View on Google Map</v>
      </c>
      <c r="N385" s="84">
        <f t="shared" si="7"/>
        <v>30</v>
      </c>
    </row>
    <row r="386" spans="1:14" x14ac:dyDescent="0.2">
      <c r="A386" s="84">
        <v>319</v>
      </c>
      <c r="B386" s="84" t="s">
        <v>1140</v>
      </c>
      <c r="C386" s="84" t="s">
        <v>1141</v>
      </c>
      <c r="D386" s="84">
        <v>68.575979722100001</v>
      </c>
      <c r="E386" s="84">
        <v>-149.19939190100001</v>
      </c>
      <c r="F386" s="84" t="s">
        <v>383</v>
      </c>
      <c r="G386" s="84" t="s">
        <v>394</v>
      </c>
      <c r="H386" s="84" t="s">
        <v>1142</v>
      </c>
      <c r="I386" s="84" t="s">
        <v>383</v>
      </c>
      <c r="J386" s="84" t="s">
        <v>676</v>
      </c>
      <c r="K386" s="84" t="s">
        <v>383</v>
      </c>
      <c r="L386" s="84" t="s">
        <v>677</v>
      </c>
      <c r="M386" s="90" t="str">
        <f t="shared" si="6"/>
        <v>View on Google Map</v>
      </c>
      <c r="N386" s="84">
        <f t="shared" si="7"/>
        <v>31</v>
      </c>
    </row>
    <row r="387" spans="1:14" x14ac:dyDescent="0.2">
      <c r="A387" s="84">
        <v>320</v>
      </c>
      <c r="B387" s="84" t="s">
        <v>1143</v>
      </c>
      <c r="C387" s="84" t="s">
        <v>1144</v>
      </c>
      <c r="D387" s="84">
        <v>68.576887217199996</v>
      </c>
      <c r="E387" s="84">
        <v>-149.17782305899999</v>
      </c>
      <c r="F387" s="84">
        <v>891</v>
      </c>
      <c r="G387" s="84" t="s">
        <v>394</v>
      </c>
      <c r="H387" s="84" t="s">
        <v>1145</v>
      </c>
      <c r="I387" s="84" t="s">
        <v>383</v>
      </c>
      <c r="J387" s="84" t="s">
        <v>676</v>
      </c>
      <c r="K387" s="84" t="s">
        <v>383</v>
      </c>
      <c r="L387" s="84" t="s">
        <v>677</v>
      </c>
      <c r="M387" s="90" t="str">
        <f t="shared" ref="M387:M450" si="8">HYPERLINK("http://maps.google.com/maps?q="&amp;D387&amp;","&amp;E387,"View on Google Map")</f>
        <v>View on Google Map</v>
      </c>
      <c r="N387" s="84">
        <f t="shared" si="7"/>
        <v>32</v>
      </c>
    </row>
    <row r="388" spans="1:14" x14ac:dyDescent="0.2">
      <c r="A388" s="84">
        <v>321</v>
      </c>
      <c r="B388" s="84" t="s">
        <v>1146</v>
      </c>
      <c r="C388" s="84" t="s">
        <v>1147</v>
      </c>
      <c r="D388" s="84">
        <v>68.581215404199995</v>
      </c>
      <c r="E388" s="84">
        <v>-149.17874205800001</v>
      </c>
      <c r="F388" s="84">
        <v>891</v>
      </c>
      <c r="G388" s="84" t="s">
        <v>394</v>
      </c>
      <c r="H388" s="84" t="s">
        <v>1148</v>
      </c>
      <c r="I388" s="84" t="s">
        <v>383</v>
      </c>
      <c r="J388" s="84" t="s">
        <v>676</v>
      </c>
      <c r="K388" s="84" t="s">
        <v>383</v>
      </c>
      <c r="L388" s="84" t="s">
        <v>677</v>
      </c>
      <c r="M388" s="90" t="str">
        <f t="shared" si="8"/>
        <v>View on Google Map</v>
      </c>
      <c r="N388" s="84">
        <f t="shared" si="7"/>
        <v>33</v>
      </c>
    </row>
    <row r="389" spans="1:14" x14ac:dyDescent="0.2">
      <c r="A389" s="84">
        <v>322</v>
      </c>
      <c r="B389" s="84" t="s">
        <v>1149</v>
      </c>
      <c r="C389" s="84" t="s">
        <v>1150</v>
      </c>
      <c r="D389" s="84">
        <v>68.587382761699999</v>
      </c>
      <c r="E389" s="84">
        <v>-149.144248847</v>
      </c>
      <c r="F389" s="84" t="s">
        <v>383</v>
      </c>
      <c r="G389" s="84" t="s">
        <v>394</v>
      </c>
      <c r="H389" s="84" t="s">
        <v>1151</v>
      </c>
      <c r="I389" s="84" t="s">
        <v>383</v>
      </c>
      <c r="J389" s="84" t="s">
        <v>676</v>
      </c>
      <c r="K389" s="84" t="s">
        <v>383</v>
      </c>
      <c r="L389" s="84" t="s">
        <v>677</v>
      </c>
      <c r="M389" s="90" t="str">
        <f t="shared" si="8"/>
        <v>View on Google Map</v>
      </c>
      <c r="N389" s="84">
        <f t="shared" si="7"/>
        <v>34</v>
      </c>
    </row>
    <row r="390" spans="1:14" x14ac:dyDescent="0.2">
      <c r="A390" s="84">
        <v>323</v>
      </c>
      <c r="B390" s="84" t="s">
        <v>1152</v>
      </c>
      <c r="C390" s="84" t="s">
        <v>1153</v>
      </c>
      <c r="D390" s="84">
        <v>68.548407480700007</v>
      </c>
      <c r="E390" s="84">
        <v>-150.03700547700001</v>
      </c>
      <c r="F390" s="84" t="s">
        <v>383</v>
      </c>
      <c r="G390" s="84" t="s">
        <v>394</v>
      </c>
      <c r="H390" s="84" t="s">
        <v>1154</v>
      </c>
      <c r="I390" s="84" t="s">
        <v>383</v>
      </c>
      <c r="J390" s="84" t="s">
        <v>676</v>
      </c>
      <c r="K390" s="84" t="s">
        <v>383</v>
      </c>
      <c r="L390" s="84" t="s">
        <v>677</v>
      </c>
      <c r="M390" s="90" t="str">
        <f t="shared" si="8"/>
        <v>View on Google Map</v>
      </c>
      <c r="N390" s="84">
        <f t="shared" si="7"/>
        <v>35</v>
      </c>
    </row>
    <row r="391" spans="1:14" x14ac:dyDescent="0.2">
      <c r="A391" s="84">
        <v>324</v>
      </c>
      <c r="B391" s="84" t="s">
        <v>1155</v>
      </c>
      <c r="C391" s="84" t="s">
        <v>1156</v>
      </c>
      <c r="D391" s="84">
        <v>68.550052273099993</v>
      </c>
      <c r="E391" s="84">
        <v>-150.02948327199999</v>
      </c>
      <c r="F391" s="84" t="s">
        <v>383</v>
      </c>
      <c r="G391" s="84" t="s">
        <v>394</v>
      </c>
      <c r="H391" s="84" t="s">
        <v>1157</v>
      </c>
      <c r="I391" s="84" t="s">
        <v>383</v>
      </c>
      <c r="J391" s="84" t="s">
        <v>676</v>
      </c>
      <c r="K391" s="84" t="s">
        <v>383</v>
      </c>
      <c r="L391" s="84" t="s">
        <v>677</v>
      </c>
      <c r="M391" s="90" t="str">
        <f t="shared" si="8"/>
        <v>View on Google Map</v>
      </c>
      <c r="N391" s="84">
        <f t="shared" si="7"/>
        <v>36</v>
      </c>
    </row>
    <row r="392" spans="1:14" x14ac:dyDescent="0.2">
      <c r="A392" s="84">
        <v>325</v>
      </c>
      <c r="B392" s="84" t="s">
        <v>1158</v>
      </c>
      <c r="C392" s="84" t="s">
        <v>1159</v>
      </c>
      <c r="D392" s="84">
        <v>68.5460242857</v>
      </c>
      <c r="E392" s="84">
        <v>-150.02463014</v>
      </c>
      <c r="F392" s="84" t="s">
        <v>383</v>
      </c>
      <c r="G392" s="84" t="s">
        <v>394</v>
      </c>
      <c r="H392" s="84" t="s">
        <v>1160</v>
      </c>
      <c r="I392" s="84" t="s">
        <v>383</v>
      </c>
      <c r="J392" s="84" t="s">
        <v>676</v>
      </c>
      <c r="K392" s="84" t="s">
        <v>383</v>
      </c>
      <c r="L392" s="84" t="s">
        <v>677</v>
      </c>
      <c r="M392" s="90" t="str">
        <f t="shared" si="8"/>
        <v>View on Google Map</v>
      </c>
      <c r="N392" s="84">
        <f t="shared" si="7"/>
        <v>37</v>
      </c>
    </row>
    <row r="393" spans="1:14" x14ac:dyDescent="0.2">
      <c r="A393" s="84">
        <v>326</v>
      </c>
      <c r="B393" s="84" t="s">
        <v>1161</v>
      </c>
      <c r="C393" s="84" t="s">
        <v>1162</v>
      </c>
      <c r="D393" s="84">
        <v>68.550135830100004</v>
      </c>
      <c r="E393" s="84">
        <v>-150.01499602000001</v>
      </c>
      <c r="F393" s="84" t="s">
        <v>383</v>
      </c>
      <c r="G393" s="84" t="s">
        <v>394</v>
      </c>
      <c r="H393" s="84" t="s">
        <v>1163</v>
      </c>
      <c r="I393" s="84" t="s">
        <v>383</v>
      </c>
      <c r="J393" s="84" t="s">
        <v>676</v>
      </c>
      <c r="K393" s="84" t="s">
        <v>383</v>
      </c>
      <c r="L393" s="84" t="s">
        <v>677</v>
      </c>
      <c r="M393" s="90" t="str">
        <f t="shared" si="8"/>
        <v>View on Google Map</v>
      </c>
      <c r="N393" s="84">
        <f t="shared" si="7"/>
        <v>38</v>
      </c>
    </row>
    <row r="394" spans="1:14" x14ac:dyDescent="0.2">
      <c r="A394" s="84">
        <v>327</v>
      </c>
      <c r="B394" s="84" t="s">
        <v>1164</v>
      </c>
      <c r="C394" s="84" t="s">
        <v>1165</v>
      </c>
      <c r="D394" s="84">
        <v>68.556356553000001</v>
      </c>
      <c r="E394" s="84">
        <v>-150.01283142599999</v>
      </c>
      <c r="F394" s="84" t="s">
        <v>383</v>
      </c>
      <c r="G394" s="84" t="s">
        <v>394</v>
      </c>
      <c r="H394" s="84" t="s">
        <v>1166</v>
      </c>
      <c r="I394" s="84" t="s">
        <v>383</v>
      </c>
      <c r="J394" s="84" t="s">
        <v>676</v>
      </c>
      <c r="K394" s="84" t="s">
        <v>383</v>
      </c>
      <c r="L394" s="84" t="s">
        <v>677</v>
      </c>
      <c r="M394" s="90" t="str">
        <f t="shared" si="8"/>
        <v>View on Google Map</v>
      </c>
      <c r="N394" s="84">
        <f t="shared" si="7"/>
        <v>39</v>
      </c>
    </row>
    <row r="395" spans="1:14" x14ac:dyDescent="0.2">
      <c r="A395" s="84">
        <v>328</v>
      </c>
      <c r="B395" s="84" t="s">
        <v>1167</v>
      </c>
      <c r="C395" s="84" t="s">
        <v>1168</v>
      </c>
      <c r="D395" s="84">
        <v>68.565564884200001</v>
      </c>
      <c r="E395" s="84">
        <v>-150.00164362699999</v>
      </c>
      <c r="F395" s="84" t="s">
        <v>383</v>
      </c>
      <c r="G395" s="84" t="s">
        <v>394</v>
      </c>
      <c r="H395" s="84" t="s">
        <v>1169</v>
      </c>
      <c r="I395" s="84" t="s">
        <v>383</v>
      </c>
      <c r="J395" s="84" t="s">
        <v>676</v>
      </c>
      <c r="K395" s="84" t="s">
        <v>383</v>
      </c>
      <c r="L395" s="84" t="s">
        <v>677</v>
      </c>
      <c r="M395" s="90" t="str">
        <f t="shared" si="8"/>
        <v>View on Google Map</v>
      </c>
      <c r="N395" s="84">
        <f t="shared" si="7"/>
        <v>40</v>
      </c>
    </row>
    <row r="396" spans="1:14" x14ac:dyDescent="0.2">
      <c r="A396" s="84">
        <v>329</v>
      </c>
      <c r="B396" s="84" t="s">
        <v>1170</v>
      </c>
      <c r="C396" s="84" t="s">
        <v>1171</v>
      </c>
      <c r="D396" s="84">
        <v>68.567838099200003</v>
      </c>
      <c r="E396" s="84">
        <v>-149.99849875500001</v>
      </c>
      <c r="F396" s="84" t="s">
        <v>383</v>
      </c>
      <c r="G396" s="84" t="s">
        <v>394</v>
      </c>
      <c r="H396" s="84" t="s">
        <v>1172</v>
      </c>
      <c r="I396" s="84" t="s">
        <v>383</v>
      </c>
      <c r="J396" s="84" t="s">
        <v>676</v>
      </c>
      <c r="K396" s="84" t="s">
        <v>383</v>
      </c>
      <c r="L396" s="84" t="s">
        <v>677</v>
      </c>
      <c r="M396" s="90" t="str">
        <f t="shared" si="8"/>
        <v>View on Google Map</v>
      </c>
      <c r="N396" s="84">
        <f t="shared" si="7"/>
        <v>41</v>
      </c>
    </row>
    <row r="397" spans="1:14" x14ac:dyDescent="0.2">
      <c r="A397" s="84">
        <v>330</v>
      </c>
      <c r="B397" s="84" t="s">
        <v>1173</v>
      </c>
      <c r="C397" s="84" t="s">
        <v>1174</v>
      </c>
      <c r="D397" s="84">
        <v>68.5855663241</v>
      </c>
      <c r="E397" s="84">
        <v>-149.98167511</v>
      </c>
      <c r="F397" s="84" t="s">
        <v>383</v>
      </c>
      <c r="G397" s="84" t="s">
        <v>394</v>
      </c>
      <c r="H397" s="84" t="s">
        <v>1175</v>
      </c>
      <c r="I397" s="84" t="s">
        <v>383</v>
      </c>
      <c r="J397" s="84" t="s">
        <v>676</v>
      </c>
      <c r="K397" s="84" t="s">
        <v>383</v>
      </c>
      <c r="L397" s="84" t="s">
        <v>677</v>
      </c>
      <c r="M397" s="90" t="str">
        <f t="shared" si="8"/>
        <v>View on Google Map</v>
      </c>
      <c r="N397" s="84">
        <f t="shared" si="7"/>
        <v>42</v>
      </c>
    </row>
    <row r="398" spans="1:14" x14ac:dyDescent="0.2">
      <c r="A398" s="84">
        <v>331</v>
      </c>
      <c r="B398" s="84" t="s">
        <v>1176</v>
      </c>
      <c r="C398" s="84" t="s">
        <v>1177</v>
      </c>
      <c r="D398" s="84">
        <v>68.534049837699996</v>
      </c>
      <c r="E398" s="84">
        <v>-149.157309078</v>
      </c>
      <c r="F398" s="84">
        <v>926</v>
      </c>
      <c r="G398" s="84" t="s">
        <v>394</v>
      </c>
      <c r="H398" s="84" t="s">
        <v>1178</v>
      </c>
      <c r="I398" s="84" t="s">
        <v>383</v>
      </c>
      <c r="J398" s="84" t="s">
        <v>676</v>
      </c>
      <c r="K398" s="84" t="s">
        <v>383</v>
      </c>
      <c r="L398" s="84" t="s">
        <v>677</v>
      </c>
      <c r="M398" s="90" t="str">
        <f t="shared" si="8"/>
        <v>View on Google Map</v>
      </c>
      <c r="N398" s="84">
        <f t="shared" si="7"/>
        <v>43</v>
      </c>
    </row>
    <row r="399" spans="1:14" x14ac:dyDescent="0.2">
      <c r="A399" s="84">
        <v>332</v>
      </c>
      <c r="B399" s="84" t="s">
        <v>1179</v>
      </c>
      <c r="C399" s="84" t="s">
        <v>1180</v>
      </c>
      <c r="D399" s="84">
        <v>68.533584622000006</v>
      </c>
      <c r="E399" s="84">
        <v>-149.16705049699999</v>
      </c>
      <c r="F399" s="84" t="s">
        <v>383</v>
      </c>
      <c r="G399" s="84" t="s">
        <v>394</v>
      </c>
      <c r="H399" s="84" t="s">
        <v>1181</v>
      </c>
      <c r="I399" s="84" t="s">
        <v>383</v>
      </c>
      <c r="J399" s="84" t="s">
        <v>676</v>
      </c>
      <c r="K399" s="84" t="s">
        <v>383</v>
      </c>
      <c r="L399" s="84" t="s">
        <v>677</v>
      </c>
      <c r="M399" s="90" t="str">
        <f t="shared" si="8"/>
        <v>View on Google Map</v>
      </c>
      <c r="N399" s="84">
        <f t="shared" si="7"/>
        <v>44</v>
      </c>
    </row>
    <row r="400" spans="1:14" x14ac:dyDescent="0.2">
      <c r="A400" s="84">
        <v>333</v>
      </c>
      <c r="B400" s="84" t="s">
        <v>1182</v>
      </c>
      <c r="C400" s="84" t="s">
        <v>1183</v>
      </c>
      <c r="D400" s="84">
        <v>68.533269411600003</v>
      </c>
      <c r="E400" s="84">
        <v>-149.19565723900001</v>
      </c>
      <c r="F400" s="84">
        <v>899</v>
      </c>
      <c r="G400" s="84" t="s">
        <v>394</v>
      </c>
      <c r="H400" s="84" t="s">
        <v>1184</v>
      </c>
      <c r="I400" s="84" t="s">
        <v>383</v>
      </c>
      <c r="J400" s="84" t="s">
        <v>676</v>
      </c>
      <c r="K400" s="84" t="s">
        <v>383</v>
      </c>
      <c r="L400" s="84" t="s">
        <v>677</v>
      </c>
      <c r="M400" s="90" t="str">
        <f t="shared" si="8"/>
        <v>View on Google Map</v>
      </c>
      <c r="N400" s="84">
        <f t="shared" si="7"/>
        <v>45</v>
      </c>
    </row>
    <row r="401" spans="1:14" x14ac:dyDescent="0.2">
      <c r="A401" s="84">
        <v>335</v>
      </c>
      <c r="B401" s="84" t="s">
        <v>1185</v>
      </c>
      <c r="C401" s="84" t="s">
        <v>1186</v>
      </c>
      <c r="D401" s="84">
        <v>68.516771954500001</v>
      </c>
      <c r="E401" s="84">
        <v>-150.05742084799999</v>
      </c>
      <c r="F401" s="84" t="s">
        <v>383</v>
      </c>
      <c r="G401" s="84" t="s">
        <v>394</v>
      </c>
      <c r="H401" s="84" t="s">
        <v>1187</v>
      </c>
      <c r="I401" s="84" t="s">
        <v>383</v>
      </c>
      <c r="J401" s="84" t="s">
        <v>676</v>
      </c>
      <c r="K401" s="84" t="s">
        <v>383</v>
      </c>
      <c r="L401" s="84" t="s">
        <v>677</v>
      </c>
      <c r="M401" s="90" t="str">
        <f t="shared" si="8"/>
        <v>View on Google Map</v>
      </c>
      <c r="N401" s="84">
        <f t="shared" si="7"/>
        <v>47</v>
      </c>
    </row>
    <row r="402" spans="1:14" x14ac:dyDescent="0.2">
      <c r="A402" s="84">
        <v>336</v>
      </c>
      <c r="B402" s="84" t="s">
        <v>1188</v>
      </c>
      <c r="C402" s="84" t="s">
        <v>1189</v>
      </c>
      <c r="D402" s="84">
        <v>68.531484729400006</v>
      </c>
      <c r="E402" s="84">
        <v>-150.04821666999999</v>
      </c>
      <c r="F402" s="84" t="s">
        <v>383</v>
      </c>
      <c r="G402" s="84" t="s">
        <v>394</v>
      </c>
      <c r="H402" s="84" t="s">
        <v>1190</v>
      </c>
      <c r="I402" s="84" t="s">
        <v>383</v>
      </c>
      <c r="J402" s="84" t="s">
        <v>676</v>
      </c>
      <c r="K402" s="84" t="s">
        <v>383</v>
      </c>
      <c r="L402" s="84" t="s">
        <v>677</v>
      </c>
      <c r="M402" s="90" t="str">
        <f t="shared" si="8"/>
        <v>View on Google Map</v>
      </c>
      <c r="N402" s="84">
        <f t="shared" si="7"/>
        <v>48</v>
      </c>
    </row>
    <row r="403" spans="1:14" x14ac:dyDescent="0.2">
      <c r="A403" s="84">
        <v>337</v>
      </c>
      <c r="B403" s="84" t="s">
        <v>1191</v>
      </c>
      <c r="C403" s="84" t="s">
        <v>1192</v>
      </c>
      <c r="D403" s="84">
        <v>68.525496449800002</v>
      </c>
      <c r="E403" s="84">
        <v>-150.03164010200001</v>
      </c>
      <c r="F403" s="84" t="s">
        <v>383</v>
      </c>
      <c r="G403" s="84" t="s">
        <v>394</v>
      </c>
      <c r="H403" s="84" t="s">
        <v>1193</v>
      </c>
      <c r="I403" s="84" t="s">
        <v>383</v>
      </c>
      <c r="J403" s="84" t="s">
        <v>676</v>
      </c>
      <c r="K403" s="84" t="s">
        <v>383</v>
      </c>
      <c r="L403" s="84" t="s">
        <v>677</v>
      </c>
      <c r="M403" s="90" t="str">
        <f t="shared" si="8"/>
        <v>View on Google Map</v>
      </c>
      <c r="N403" s="84">
        <f t="shared" si="7"/>
        <v>49</v>
      </c>
    </row>
    <row r="404" spans="1:14" x14ac:dyDescent="0.2">
      <c r="A404" s="84">
        <v>338</v>
      </c>
      <c r="B404" s="84" t="s">
        <v>1194</v>
      </c>
      <c r="C404" s="84" t="s">
        <v>1195</v>
      </c>
      <c r="D404" s="84">
        <v>68.522395926599998</v>
      </c>
      <c r="E404" s="84">
        <v>-150.02260567299999</v>
      </c>
      <c r="F404" s="84" t="s">
        <v>383</v>
      </c>
      <c r="G404" s="84" t="s">
        <v>394</v>
      </c>
      <c r="H404" s="84" t="s">
        <v>1196</v>
      </c>
      <c r="I404" s="84" t="s">
        <v>383</v>
      </c>
      <c r="J404" s="84" t="s">
        <v>676</v>
      </c>
      <c r="K404" s="84" t="s">
        <v>383</v>
      </c>
      <c r="L404" s="84" t="s">
        <v>677</v>
      </c>
      <c r="M404" s="90" t="str">
        <f t="shared" si="8"/>
        <v>View on Google Map</v>
      </c>
      <c r="N404" s="84">
        <f t="shared" si="7"/>
        <v>50</v>
      </c>
    </row>
    <row r="405" spans="1:14" x14ac:dyDescent="0.2">
      <c r="A405" s="84">
        <v>339</v>
      </c>
      <c r="B405" s="84" t="s">
        <v>1197</v>
      </c>
      <c r="C405" s="84" t="s">
        <v>1198</v>
      </c>
      <c r="D405" s="84">
        <v>68.574095052399997</v>
      </c>
      <c r="E405" s="84">
        <v>-149.97662969199999</v>
      </c>
      <c r="F405" s="84" t="s">
        <v>383</v>
      </c>
      <c r="G405" s="84" t="s">
        <v>394</v>
      </c>
      <c r="H405" s="84" t="s">
        <v>1199</v>
      </c>
      <c r="I405" s="84" t="s">
        <v>383</v>
      </c>
      <c r="J405" s="84" t="s">
        <v>676</v>
      </c>
      <c r="K405" s="84" t="s">
        <v>383</v>
      </c>
      <c r="L405" s="84" t="s">
        <v>677</v>
      </c>
      <c r="M405" s="90" t="str">
        <f t="shared" si="8"/>
        <v>View on Google Map</v>
      </c>
      <c r="N405" s="84">
        <f t="shared" si="7"/>
        <v>51</v>
      </c>
    </row>
    <row r="406" spans="1:14" x14ac:dyDescent="0.2">
      <c r="A406" s="84">
        <v>340</v>
      </c>
      <c r="B406" s="84" t="s">
        <v>1200</v>
      </c>
      <c r="C406" s="84" t="s">
        <v>1201</v>
      </c>
      <c r="D406" s="84">
        <v>68.571671305899997</v>
      </c>
      <c r="E406" s="84">
        <v>-149.972667672</v>
      </c>
      <c r="F406" s="84" t="s">
        <v>383</v>
      </c>
      <c r="G406" s="84" t="s">
        <v>394</v>
      </c>
      <c r="H406" s="84" t="s">
        <v>1202</v>
      </c>
      <c r="I406" s="84" t="s">
        <v>383</v>
      </c>
      <c r="J406" s="84" t="s">
        <v>676</v>
      </c>
      <c r="K406" s="84" t="s">
        <v>383</v>
      </c>
      <c r="L406" s="84" t="s">
        <v>677</v>
      </c>
      <c r="M406" s="90" t="str">
        <f t="shared" si="8"/>
        <v>View on Google Map</v>
      </c>
      <c r="N406" s="84">
        <f t="shared" si="7"/>
        <v>52</v>
      </c>
    </row>
    <row r="407" spans="1:14" x14ac:dyDescent="0.2">
      <c r="A407" s="84">
        <v>341</v>
      </c>
      <c r="B407" s="84" t="s">
        <v>1203</v>
      </c>
      <c r="C407" s="84" t="s">
        <v>1204</v>
      </c>
      <c r="D407" s="84">
        <v>68.562791718200003</v>
      </c>
      <c r="E407" s="84">
        <v>-149.977791473</v>
      </c>
      <c r="F407" s="84" t="s">
        <v>383</v>
      </c>
      <c r="G407" s="84" t="s">
        <v>394</v>
      </c>
      <c r="H407" s="84" t="s">
        <v>1205</v>
      </c>
      <c r="I407" s="84" t="s">
        <v>383</v>
      </c>
      <c r="J407" s="84" t="s">
        <v>676</v>
      </c>
      <c r="K407" s="84" t="s">
        <v>383</v>
      </c>
      <c r="L407" s="84" t="s">
        <v>677</v>
      </c>
      <c r="M407" s="90" t="str">
        <f t="shared" si="8"/>
        <v>View on Google Map</v>
      </c>
      <c r="N407" s="84">
        <f t="shared" si="7"/>
        <v>53</v>
      </c>
    </row>
    <row r="408" spans="1:14" x14ac:dyDescent="0.2">
      <c r="A408" s="84">
        <v>342</v>
      </c>
      <c r="B408" s="84" t="s">
        <v>1206</v>
      </c>
      <c r="C408" s="84" t="s">
        <v>1207</v>
      </c>
      <c r="D408" s="84">
        <v>68.556077412199997</v>
      </c>
      <c r="E408" s="84">
        <v>-149.93361884199999</v>
      </c>
      <c r="F408" s="84" t="s">
        <v>383</v>
      </c>
      <c r="G408" s="84" t="s">
        <v>394</v>
      </c>
      <c r="H408" s="84" t="s">
        <v>1208</v>
      </c>
      <c r="I408" s="84" t="s">
        <v>383</v>
      </c>
      <c r="J408" s="84" t="s">
        <v>676</v>
      </c>
      <c r="K408" s="84" t="s">
        <v>383</v>
      </c>
      <c r="L408" s="84" t="s">
        <v>677</v>
      </c>
      <c r="M408" s="90" t="str">
        <f t="shared" si="8"/>
        <v>View on Google Map</v>
      </c>
      <c r="N408" s="84">
        <f t="shared" si="7"/>
        <v>54</v>
      </c>
    </row>
    <row r="409" spans="1:14" x14ac:dyDescent="0.2">
      <c r="A409" s="84">
        <v>343</v>
      </c>
      <c r="B409" s="84" t="s">
        <v>1209</v>
      </c>
      <c r="C409" s="84" t="s">
        <v>1210</v>
      </c>
      <c r="D409" s="84">
        <v>68.567959712100006</v>
      </c>
      <c r="E409" s="84">
        <v>-149.89938475599999</v>
      </c>
      <c r="F409" s="84" t="s">
        <v>383</v>
      </c>
      <c r="G409" s="84" t="s">
        <v>394</v>
      </c>
      <c r="H409" s="84" t="s">
        <v>1211</v>
      </c>
      <c r="I409" s="84" t="s">
        <v>383</v>
      </c>
      <c r="J409" s="84" t="s">
        <v>676</v>
      </c>
      <c r="K409" s="84" t="s">
        <v>383</v>
      </c>
      <c r="L409" s="84" t="s">
        <v>677</v>
      </c>
      <c r="M409" s="90" t="str">
        <f t="shared" si="8"/>
        <v>View on Google Map</v>
      </c>
      <c r="N409" s="84">
        <f t="shared" si="7"/>
        <v>55</v>
      </c>
    </row>
    <row r="410" spans="1:14" x14ac:dyDescent="0.2">
      <c r="A410" s="84">
        <v>344</v>
      </c>
      <c r="B410" s="84" t="s">
        <v>1212</v>
      </c>
      <c r="C410" s="84" t="s">
        <v>1213</v>
      </c>
      <c r="D410" s="84">
        <v>68.615854386999999</v>
      </c>
      <c r="E410" s="84">
        <v>-149.123111674</v>
      </c>
      <c r="F410" s="84" t="s">
        <v>383</v>
      </c>
      <c r="G410" s="84" t="s">
        <v>394</v>
      </c>
      <c r="H410" s="84" t="s">
        <v>1214</v>
      </c>
      <c r="I410" s="84" t="s">
        <v>383</v>
      </c>
      <c r="J410" s="84" t="s">
        <v>676</v>
      </c>
      <c r="K410" s="84" t="s">
        <v>383</v>
      </c>
      <c r="L410" s="84" t="s">
        <v>677</v>
      </c>
      <c r="M410" s="90" t="str">
        <f t="shared" si="8"/>
        <v>View on Google Map</v>
      </c>
      <c r="N410" s="84">
        <f t="shared" si="7"/>
        <v>56</v>
      </c>
    </row>
    <row r="411" spans="1:14" x14ac:dyDescent="0.2">
      <c r="A411" s="84">
        <v>345</v>
      </c>
      <c r="B411" s="84" t="s">
        <v>1215</v>
      </c>
      <c r="C411" s="84" t="s">
        <v>1216</v>
      </c>
      <c r="D411" s="84">
        <v>68.622759303600006</v>
      </c>
      <c r="E411" s="84">
        <v>-149.15087640600001</v>
      </c>
      <c r="F411" s="84">
        <v>861</v>
      </c>
      <c r="G411" s="84" t="s">
        <v>394</v>
      </c>
      <c r="H411" s="84" t="s">
        <v>1217</v>
      </c>
      <c r="I411" s="84" t="s">
        <v>383</v>
      </c>
      <c r="J411" s="84" t="s">
        <v>676</v>
      </c>
      <c r="K411" s="84" t="s">
        <v>383</v>
      </c>
      <c r="L411" s="84" t="s">
        <v>677</v>
      </c>
      <c r="M411" s="90" t="str">
        <f t="shared" si="8"/>
        <v>View on Google Map</v>
      </c>
      <c r="N411" s="84">
        <f t="shared" si="7"/>
        <v>57</v>
      </c>
    </row>
    <row r="412" spans="1:14" x14ac:dyDescent="0.2">
      <c r="A412" s="84">
        <v>346</v>
      </c>
      <c r="B412" s="84" t="s">
        <v>1218</v>
      </c>
      <c r="C412" s="84" t="s">
        <v>1219</v>
      </c>
      <c r="D412" s="84">
        <v>68.625381351599998</v>
      </c>
      <c r="E412" s="84">
        <v>-149.13918719200001</v>
      </c>
      <c r="F412" s="84">
        <v>877</v>
      </c>
      <c r="G412" s="84" t="s">
        <v>394</v>
      </c>
      <c r="H412" s="84" t="s">
        <v>1220</v>
      </c>
      <c r="I412" s="84" t="s">
        <v>383</v>
      </c>
      <c r="J412" s="84" t="s">
        <v>676</v>
      </c>
      <c r="K412" s="84" t="s">
        <v>383</v>
      </c>
      <c r="L412" s="84" t="s">
        <v>677</v>
      </c>
      <c r="M412" s="90" t="str">
        <f t="shared" si="8"/>
        <v>View on Google Map</v>
      </c>
      <c r="N412" s="84">
        <f t="shared" si="7"/>
        <v>58</v>
      </c>
    </row>
    <row r="413" spans="1:14" x14ac:dyDescent="0.2">
      <c r="A413" s="84">
        <v>347</v>
      </c>
      <c r="B413" s="84" t="s">
        <v>1221</v>
      </c>
      <c r="C413" s="84" t="s">
        <v>1222</v>
      </c>
      <c r="D413" s="84">
        <v>68.630955107899993</v>
      </c>
      <c r="E413" s="84">
        <v>-149.161535972</v>
      </c>
      <c r="F413" s="84">
        <v>858</v>
      </c>
      <c r="G413" s="84" t="s">
        <v>394</v>
      </c>
      <c r="H413" s="84" t="s">
        <v>1223</v>
      </c>
      <c r="I413" s="84" t="s">
        <v>383</v>
      </c>
      <c r="J413" s="84" t="s">
        <v>676</v>
      </c>
      <c r="K413" s="84" t="s">
        <v>383</v>
      </c>
      <c r="L413" s="84" t="s">
        <v>677</v>
      </c>
      <c r="M413" s="90" t="str">
        <f t="shared" si="8"/>
        <v>View on Google Map</v>
      </c>
      <c r="N413" s="84">
        <f t="shared" si="7"/>
        <v>59</v>
      </c>
    </row>
    <row r="414" spans="1:14" x14ac:dyDescent="0.2">
      <c r="A414" s="84">
        <v>348</v>
      </c>
      <c r="B414" s="84" t="s">
        <v>1224</v>
      </c>
      <c r="C414" s="84" t="s">
        <v>1225</v>
      </c>
      <c r="D414" s="84">
        <v>68.636431312400006</v>
      </c>
      <c r="E414" s="84">
        <v>-149.14390222200001</v>
      </c>
      <c r="F414" s="84" t="s">
        <v>383</v>
      </c>
      <c r="G414" s="84" t="s">
        <v>394</v>
      </c>
      <c r="H414" s="84" t="s">
        <v>1226</v>
      </c>
      <c r="I414" s="84" t="s">
        <v>383</v>
      </c>
      <c r="J414" s="84" t="s">
        <v>676</v>
      </c>
      <c r="K414" s="84" t="s">
        <v>383</v>
      </c>
      <c r="L414" s="84" t="s">
        <v>677</v>
      </c>
      <c r="M414" s="90" t="str">
        <f t="shared" si="8"/>
        <v>View on Google Map</v>
      </c>
      <c r="N414" s="84">
        <f t="shared" si="7"/>
        <v>60</v>
      </c>
    </row>
    <row r="415" spans="1:14" x14ac:dyDescent="0.2">
      <c r="A415" s="84">
        <v>349</v>
      </c>
      <c r="B415" s="84" t="s">
        <v>1227</v>
      </c>
      <c r="C415" s="84" t="s">
        <v>1228</v>
      </c>
      <c r="D415" s="84">
        <v>68.638723598300004</v>
      </c>
      <c r="E415" s="84">
        <v>-149.17862426400001</v>
      </c>
      <c r="F415" s="84" t="s">
        <v>383</v>
      </c>
      <c r="G415" s="84" t="s">
        <v>394</v>
      </c>
      <c r="H415" s="84" t="s">
        <v>1229</v>
      </c>
      <c r="I415" s="84" t="s">
        <v>383</v>
      </c>
      <c r="J415" s="84" t="s">
        <v>676</v>
      </c>
      <c r="K415" s="84" t="s">
        <v>383</v>
      </c>
      <c r="L415" s="84" t="s">
        <v>677</v>
      </c>
      <c r="M415" s="90" t="str">
        <f t="shared" si="8"/>
        <v>View on Google Map</v>
      </c>
      <c r="N415" s="84">
        <f t="shared" si="7"/>
        <v>61</v>
      </c>
    </row>
    <row r="416" spans="1:14" x14ac:dyDescent="0.2">
      <c r="A416" s="84">
        <v>350</v>
      </c>
      <c r="B416" s="84" t="s">
        <v>1230</v>
      </c>
      <c r="C416" s="84" t="s">
        <v>1231</v>
      </c>
      <c r="D416" s="84">
        <v>68.634874735899999</v>
      </c>
      <c r="E416" s="84">
        <v>-149.193728236</v>
      </c>
      <c r="F416" s="84" t="s">
        <v>383</v>
      </c>
      <c r="G416" s="84" t="s">
        <v>394</v>
      </c>
      <c r="H416" s="84" t="s">
        <v>1232</v>
      </c>
      <c r="I416" s="84" t="s">
        <v>383</v>
      </c>
      <c r="J416" s="84" t="s">
        <v>676</v>
      </c>
      <c r="K416" s="84" t="s">
        <v>383</v>
      </c>
      <c r="L416" s="84" t="s">
        <v>677</v>
      </c>
      <c r="M416" s="90" t="str">
        <f t="shared" si="8"/>
        <v>View on Google Map</v>
      </c>
      <c r="N416" s="84">
        <f t="shared" si="7"/>
        <v>62</v>
      </c>
    </row>
    <row r="417" spans="1:14" x14ac:dyDescent="0.2">
      <c r="A417" s="84">
        <v>351</v>
      </c>
      <c r="B417" s="84" t="s">
        <v>1233</v>
      </c>
      <c r="C417" s="84" t="s">
        <v>1234</v>
      </c>
      <c r="D417" s="84">
        <v>68.630921065799996</v>
      </c>
      <c r="E417" s="84">
        <v>-149.19135200100001</v>
      </c>
      <c r="F417" s="84" t="s">
        <v>383</v>
      </c>
      <c r="G417" s="84" t="s">
        <v>394</v>
      </c>
      <c r="H417" s="84" t="s">
        <v>1235</v>
      </c>
      <c r="I417" s="84" t="s">
        <v>383</v>
      </c>
      <c r="J417" s="84" t="s">
        <v>676</v>
      </c>
      <c r="K417" s="84" t="s">
        <v>383</v>
      </c>
      <c r="L417" s="84" t="s">
        <v>677</v>
      </c>
      <c r="M417" s="90" t="str">
        <f t="shared" si="8"/>
        <v>View on Google Map</v>
      </c>
      <c r="N417" s="84">
        <f t="shared" si="7"/>
        <v>63</v>
      </c>
    </row>
    <row r="418" spans="1:14" x14ac:dyDescent="0.2">
      <c r="A418" s="84">
        <v>352</v>
      </c>
      <c r="B418" s="84" t="s">
        <v>1236</v>
      </c>
      <c r="C418" s="84" t="s">
        <v>1237</v>
      </c>
      <c r="D418" s="84">
        <v>68.635774522800006</v>
      </c>
      <c r="E418" s="84">
        <v>-149.20688041899999</v>
      </c>
      <c r="F418" s="84" t="s">
        <v>383</v>
      </c>
      <c r="G418" s="84" t="s">
        <v>394</v>
      </c>
      <c r="H418" s="84" t="s">
        <v>1238</v>
      </c>
      <c r="I418" s="84" t="s">
        <v>383</v>
      </c>
      <c r="J418" s="84" t="s">
        <v>676</v>
      </c>
      <c r="K418" s="84" t="s">
        <v>383</v>
      </c>
      <c r="L418" s="84" t="s">
        <v>677</v>
      </c>
      <c r="M418" s="90" t="str">
        <f t="shared" si="8"/>
        <v>View on Google Map</v>
      </c>
      <c r="N418" s="84">
        <f t="shared" si="7"/>
        <v>64</v>
      </c>
    </row>
    <row r="419" spans="1:14" x14ac:dyDescent="0.2">
      <c r="A419" s="84">
        <v>353</v>
      </c>
      <c r="B419" s="84" t="s">
        <v>1239</v>
      </c>
      <c r="C419" s="84" t="s">
        <v>1240</v>
      </c>
      <c r="D419" s="84">
        <v>68.585080002200002</v>
      </c>
      <c r="E419" s="84">
        <v>-149.208359645</v>
      </c>
      <c r="F419" s="84">
        <v>898</v>
      </c>
      <c r="G419" s="84" t="s">
        <v>394</v>
      </c>
      <c r="H419" s="84" t="s">
        <v>1241</v>
      </c>
      <c r="I419" s="84" t="s">
        <v>383</v>
      </c>
      <c r="J419" s="84" t="s">
        <v>676</v>
      </c>
      <c r="K419" s="84" t="s">
        <v>383</v>
      </c>
      <c r="L419" s="84" t="s">
        <v>677</v>
      </c>
      <c r="M419" s="90" t="str">
        <f t="shared" si="8"/>
        <v>View on Google Map</v>
      </c>
      <c r="N419" s="84">
        <f t="shared" si="7"/>
        <v>65</v>
      </c>
    </row>
    <row r="420" spans="1:14" x14ac:dyDescent="0.2">
      <c r="A420" s="84">
        <v>354</v>
      </c>
      <c r="B420" s="84" t="s">
        <v>1242</v>
      </c>
      <c r="C420" s="84" t="s">
        <v>1243</v>
      </c>
      <c r="D420" s="84">
        <v>68.583148055099997</v>
      </c>
      <c r="E420" s="84">
        <v>-149.19950362399999</v>
      </c>
      <c r="F420" s="84">
        <v>896</v>
      </c>
      <c r="G420" s="84" t="s">
        <v>394</v>
      </c>
      <c r="H420" s="84" t="s">
        <v>1244</v>
      </c>
      <c r="I420" s="84" t="s">
        <v>383</v>
      </c>
      <c r="J420" s="84" t="s">
        <v>676</v>
      </c>
      <c r="K420" s="84" t="s">
        <v>383</v>
      </c>
      <c r="L420" s="84" t="s">
        <v>677</v>
      </c>
      <c r="M420" s="90" t="str">
        <f t="shared" si="8"/>
        <v>View on Google Map</v>
      </c>
      <c r="N420" s="84">
        <f t="shared" ref="N420:N434" si="9">VALUE(MID(H420,5,3))</f>
        <v>66</v>
      </c>
    </row>
    <row r="421" spans="1:14" x14ac:dyDescent="0.2">
      <c r="A421" s="84">
        <v>355</v>
      </c>
      <c r="B421" s="84" t="s">
        <v>1245</v>
      </c>
      <c r="C421" s="84" t="s">
        <v>1246</v>
      </c>
      <c r="D421" s="84">
        <v>68.589302268899999</v>
      </c>
      <c r="E421" s="84">
        <v>-149.18432651699999</v>
      </c>
      <c r="F421" s="84">
        <v>880</v>
      </c>
      <c r="G421" s="84" t="s">
        <v>394</v>
      </c>
      <c r="H421" s="84" t="s">
        <v>1247</v>
      </c>
      <c r="I421" s="84" t="s">
        <v>383</v>
      </c>
      <c r="J421" s="84" t="s">
        <v>676</v>
      </c>
      <c r="K421" s="84" t="s">
        <v>383</v>
      </c>
      <c r="L421" s="84" t="s">
        <v>677</v>
      </c>
      <c r="M421" s="90" t="str">
        <f t="shared" si="8"/>
        <v>View on Google Map</v>
      </c>
      <c r="N421" s="84">
        <f t="shared" si="9"/>
        <v>67</v>
      </c>
    </row>
    <row r="422" spans="1:14" x14ac:dyDescent="0.2">
      <c r="A422" s="84">
        <v>357</v>
      </c>
      <c r="B422" s="84" t="s">
        <v>1248</v>
      </c>
      <c r="C422" s="84" t="s">
        <v>1249</v>
      </c>
      <c r="D422" s="84">
        <v>68.595953562800005</v>
      </c>
      <c r="E422" s="84">
        <v>-149.161045868</v>
      </c>
      <c r="F422" s="84" t="s">
        <v>383</v>
      </c>
      <c r="G422" s="84" t="s">
        <v>394</v>
      </c>
      <c r="H422" s="84" t="s">
        <v>1250</v>
      </c>
      <c r="I422" s="84" t="s">
        <v>383</v>
      </c>
      <c r="J422" s="84" t="s">
        <v>676</v>
      </c>
      <c r="K422" s="84" t="s">
        <v>383</v>
      </c>
      <c r="L422" s="84" t="s">
        <v>677</v>
      </c>
      <c r="M422" s="90" t="str">
        <f t="shared" si="8"/>
        <v>View on Google Map</v>
      </c>
      <c r="N422" s="84">
        <f t="shared" si="9"/>
        <v>69</v>
      </c>
    </row>
    <row r="423" spans="1:14" x14ac:dyDescent="0.2">
      <c r="A423" s="84">
        <v>358</v>
      </c>
      <c r="B423" s="84" t="s">
        <v>1251</v>
      </c>
      <c r="C423" s="84" t="s">
        <v>1252</v>
      </c>
      <c r="D423" s="84">
        <v>68.590721600400002</v>
      </c>
      <c r="E423" s="84">
        <v>-149.17612158099999</v>
      </c>
      <c r="F423" s="84" t="s">
        <v>383</v>
      </c>
      <c r="G423" s="84" t="s">
        <v>394</v>
      </c>
      <c r="H423" s="84" t="s">
        <v>1253</v>
      </c>
      <c r="I423" s="84" t="s">
        <v>383</v>
      </c>
      <c r="J423" s="84" t="s">
        <v>676</v>
      </c>
      <c r="K423" s="84" t="s">
        <v>383</v>
      </c>
      <c r="L423" s="84" t="s">
        <v>677</v>
      </c>
      <c r="M423" s="90" t="str">
        <f t="shared" si="8"/>
        <v>View on Google Map</v>
      </c>
      <c r="N423" s="84">
        <f t="shared" si="9"/>
        <v>70</v>
      </c>
    </row>
    <row r="424" spans="1:14" x14ac:dyDescent="0.2">
      <c r="A424" s="84">
        <v>359</v>
      </c>
      <c r="B424" s="84" t="s">
        <v>1254</v>
      </c>
      <c r="C424" s="84" t="s">
        <v>1255</v>
      </c>
      <c r="D424" s="84">
        <v>68.600362864999994</v>
      </c>
      <c r="E424" s="84">
        <v>-149.14055367099999</v>
      </c>
      <c r="F424" s="84" t="s">
        <v>383</v>
      </c>
      <c r="G424" s="84" t="s">
        <v>394</v>
      </c>
      <c r="H424" s="84" t="s">
        <v>1256</v>
      </c>
      <c r="I424" s="84" t="s">
        <v>383</v>
      </c>
      <c r="J424" s="84" t="s">
        <v>676</v>
      </c>
      <c r="K424" s="84" t="s">
        <v>383</v>
      </c>
      <c r="L424" s="84" t="s">
        <v>677</v>
      </c>
      <c r="M424" s="90" t="str">
        <f t="shared" si="8"/>
        <v>View on Google Map</v>
      </c>
      <c r="N424" s="84">
        <f t="shared" si="9"/>
        <v>71</v>
      </c>
    </row>
    <row r="425" spans="1:14" x14ac:dyDescent="0.2">
      <c r="A425" s="84">
        <v>360</v>
      </c>
      <c r="B425" s="84" t="s">
        <v>1257</v>
      </c>
      <c r="C425" s="84" t="s">
        <v>1258</v>
      </c>
      <c r="D425" s="84">
        <v>68.610380375800005</v>
      </c>
      <c r="E425" s="84">
        <v>-149.15074315300001</v>
      </c>
      <c r="F425" s="84" t="s">
        <v>383</v>
      </c>
      <c r="G425" s="84" t="s">
        <v>394</v>
      </c>
      <c r="H425" s="84" t="s">
        <v>1259</v>
      </c>
      <c r="I425" s="84" t="s">
        <v>383</v>
      </c>
      <c r="J425" s="84" t="s">
        <v>676</v>
      </c>
      <c r="K425" s="84" t="s">
        <v>383</v>
      </c>
      <c r="L425" s="84" t="s">
        <v>677</v>
      </c>
      <c r="M425" s="90" t="str">
        <f t="shared" si="8"/>
        <v>View on Google Map</v>
      </c>
      <c r="N425" s="84">
        <f t="shared" si="9"/>
        <v>72</v>
      </c>
    </row>
    <row r="426" spans="1:14" x14ac:dyDescent="0.2">
      <c r="A426" s="84">
        <v>361</v>
      </c>
      <c r="B426" s="84" t="s">
        <v>1260</v>
      </c>
      <c r="C426" s="84" t="s">
        <v>1261</v>
      </c>
      <c r="D426" s="84">
        <v>68.6163784405</v>
      </c>
      <c r="E426" s="84">
        <v>-149.16060521700001</v>
      </c>
      <c r="F426" s="84" t="s">
        <v>383</v>
      </c>
      <c r="G426" s="84" t="s">
        <v>394</v>
      </c>
      <c r="H426" s="84" t="s">
        <v>1262</v>
      </c>
      <c r="I426" s="84" t="s">
        <v>383</v>
      </c>
      <c r="J426" s="84" t="s">
        <v>676</v>
      </c>
      <c r="K426" s="84" t="s">
        <v>383</v>
      </c>
      <c r="L426" s="84" t="s">
        <v>677</v>
      </c>
      <c r="M426" s="90" t="str">
        <f t="shared" si="8"/>
        <v>View on Google Map</v>
      </c>
      <c r="N426" s="84">
        <f t="shared" si="9"/>
        <v>73</v>
      </c>
    </row>
    <row r="427" spans="1:14" x14ac:dyDescent="0.2">
      <c r="A427" s="84">
        <v>362</v>
      </c>
      <c r="B427" s="84" t="s">
        <v>1263</v>
      </c>
      <c r="C427" s="84" t="s">
        <v>1264</v>
      </c>
      <c r="D427" s="84">
        <v>68.617934232500005</v>
      </c>
      <c r="E427" s="84">
        <v>-149.18594585299999</v>
      </c>
      <c r="F427" s="84" t="s">
        <v>383</v>
      </c>
      <c r="G427" s="84" t="s">
        <v>394</v>
      </c>
      <c r="H427" s="84" t="s">
        <v>1265</v>
      </c>
      <c r="I427" s="84" t="s">
        <v>383</v>
      </c>
      <c r="J427" s="84" t="s">
        <v>676</v>
      </c>
      <c r="K427" s="84" t="s">
        <v>383</v>
      </c>
      <c r="L427" s="84" t="s">
        <v>677</v>
      </c>
      <c r="M427" s="90" t="str">
        <f t="shared" si="8"/>
        <v>View on Google Map</v>
      </c>
      <c r="N427" s="84">
        <f t="shared" si="9"/>
        <v>74</v>
      </c>
    </row>
    <row r="428" spans="1:14" x14ac:dyDescent="0.2">
      <c r="A428" s="84">
        <v>363</v>
      </c>
      <c r="B428" s="84" t="s">
        <v>1266</v>
      </c>
      <c r="C428" s="84" t="s">
        <v>1267</v>
      </c>
      <c r="D428" s="84">
        <v>68.614396448299999</v>
      </c>
      <c r="E428" s="84">
        <v>-149.19403818800001</v>
      </c>
      <c r="F428" s="84" t="s">
        <v>383</v>
      </c>
      <c r="G428" s="84" t="s">
        <v>394</v>
      </c>
      <c r="H428" s="84" t="s">
        <v>1268</v>
      </c>
      <c r="I428" s="84" t="s">
        <v>383</v>
      </c>
      <c r="J428" s="84" t="s">
        <v>676</v>
      </c>
      <c r="K428" s="84" t="s">
        <v>383</v>
      </c>
      <c r="L428" s="84" t="s">
        <v>677</v>
      </c>
      <c r="M428" s="90" t="str">
        <f t="shared" si="8"/>
        <v>View on Google Map</v>
      </c>
      <c r="N428" s="84">
        <f t="shared" si="9"/>
        <v>75</v>
      </c>
    </row>
    <row r="429" spans="1:14" x14ac:dyDescent="0.2">
      <c r="A429" s="84">
        <v>364</v>
      </c>
      <c r="B429" s="84" t="s">
        <v>1269</v>
      </c>
      <c r="C429" s="84" t="s">
        <v>1270</v>
      </c>
      <c r="D429" s="84">
        <v>68.694256581000005</v>
      </c>
      <c r="E429" s="84">
        <v>-149.73679655699999</v>
      </c>
      <c r="F429" s="84" t="s">
        <v>383</v>
      </c>
      <c r="G429" s="84" t="s">
        <v>394</v>
      </c>
      <c r="H429" s="84" t="s">
        <v>1271</v>
      </c>
      <c r="I429" s="84" t="s">
        <v>383</v>
      </c>
      <c r="J429" s="84" t="s">
        <v>676</v>
      </c>
      <c r="K429" s="84" t="s">
        <v>383</v>
      </c>
      <c r="L429" s="84" t="s">
        <v>677</v>
      </c>
      <c r="M429" s="90" t="str">
        <f t="shared" si="8"/>
        <v>View on Google Map</v>
      </c>
      <c r="N429" s="84">
        <f t="shared" si="9"/>
        <v>76</v>
      </c>
    </row>
    <row r="430" spans="1:14" x14ac:dyDescent="0.2">
      <c r="A430" s="84">
        <v>365</v>
      </c>
      <c r="B430" s="84" t="s">
        <v>1272</v>
      </c>
      <c r="C430" s="84" t="s">
        <v>1273</v>
      </c>
      <c r="D430" s="84">
        <v>68.696056827099994</v>
      </c>
      <c r="E430" s="84">
        <v>-149.73131395300001</v>
      </c>
      <c r="F430" s="84" t="s">
        <v>383</v>
      </c>
      <c r="G430" s="84" t="s">
        <v>394</v>
      </c>
      <c r="H430" s="84" t="s">
        <v>1274</v>
      </c>
      <c r="I430" s="84" t="s">
        <v>383</v>
      </c>
      <c r="J430" s="84" t="s">
        <v>676</v>
      </c>
      <c r="K430" s="84" t="s">
        <v>383</v>
      </c>
      <c r="L430" s="84" t="s">
        <v>677</v>
      </c>
      <c r="M430" s="90" t="str">
        <f t="shared" si="8"/>
        <v>View on Google Map</v>
      </c>
      <c r="N430" s="84">
        <f t="shared" si="9"/>
        <v>77</v>
      </c>
    </row>
    <row r="431" spans="1:14" x14ac:dyDescent="0.2">
      <c r="A431" s="84">
        <v>366</v>
      </c>
      <c r="B431" s="84" t="s">
        <v>1275</v>
      </c>
      <c r="C431" s="84" t="s">
        <v>1276</v>
      </c>
      <c r="D431" s="84">
        <v>68.696468206399999</v>
      </c>
      <c r="E431" s="84">
        <v>-149.708828248</v>
      </c>
      <c r="F431" s="84" t="s">
        <v>383</v>
      </c>
      <c r="G431" s="84" t="s">
        <v>394</v>
      </c>
      <c r="H431" s="84" t="s">
        <v>1277</v>
      </c>
      <c r="I431" s="84" t="s">
        <v>383</v>
      </c>
      <c r="J431" s="84" t="s">
        <v>676</v>
      </c>
      <c r="K431" s="84" t="s">
        <v>383</v>
      </c>
      <c r="L431" s="84" t="s">
        <v>677</v>
      </c>
      <c r="M431" s="90" t="str">
        <f t="shared" si="8"/>
        <v>View on Google Map</v>
      </c>
      <c r="N431" s="84">
        <f t="shared" si="9"/>
        <v>78</v>
      </c>
    </row>
    <row r="432" spans="1:14" x14ac:dyDescent="0.2">
      <c r="A432" s="84">
        <v>367</v>
      </c>
      <c r="B432" s="84" t="s">
        <v>1278</v>
      </c>
      <c r="C432" s="84" t="s">
        <v>1279</v>
      </c>
      <c r="D432" s="84">
        <v>68.688141157800004</v>
      </c>
      <c r="E432" s="84">
        <v>-149.73555264800001</v>
      </c>
      <c r="F432" s="84" t="s">
        <v>383</v>
      </c>
      <c r="G432" s="84" t="s">
        <v>394</v>
      </c>
      <c r="H432" s="84" t="s">
        <v>1280</v>
      </c>
      <c r="I432" s="84" t="s">
        <v>383</v>
      </c>
      <c r="J432" s="84" t="s">
        <v>676</v>
      </c>
      <c r="K432" s="84" t="s">
        <v>383</v>
      </c>
      <c r="L432" s="84" t="s">
        <v>677</v>
      </c>
      <c r="M432" s="90" t="str">
        <f t="shared" si="8"/>
        <v>View on Google Map</v>
      </c>
      <c r="N432" s="84">
        <f t="shared" si="9"/>
        <v>79</v>
      </c>
    </row>
    <row r="433" spans="1:14" x14ac:dyDescent="0.2">
      <c r="A433" s="84">
        <v>368</v>
      </c>
      <c r="B433" s="84" t="s">
        <v>1281</v>
      </c>
      <c r="C433" s="84" t="s">
        <v>1282</v>
      </c>
      <c r="D433" s="84">
        <v>68.682810930000002</v>
      </c>
      <c r="E433" s="84">
        <v>-149.73974315500001</v>
      </c>
      <c r="F433" s="84" t="s">
        <v>383</v>
      </c>
      <c r="G433" s="84" t="s">
        <v>394</v>
      </c>
      <c r="H433" s="84" t="s">
        <v>1283</v>
      </c>
      <c r="I433" s="84" t="s">
        <v>383</v>
      </c>
      <c r="J433" s="84" t="s">
        <v>676</v>
      </c>
      <c r="K433" s="84" t="s">
        <v>383</v>
      </c>
      <c r="L433" s="84" t="s">
        <v>677</v>
      </c>
      <c r="M433" s="90" t="str">
        <f t="shared" si="8"/>
        <v>View on Google Map</v>
      </c>
      <c r="N433" s="84">
        <f t="shared" si="9"/>
        <v>80</v>
      </c>
    </row>
    <row r="434" spans="1:14" x14ac:dyDescent="0.2">
      <c r="A434" s="84">
        <v>369</v>
      </c>
      <c r="B434" s="84" t="s">
        <v>1284</v>
      </c>
      <c r="C434" s="84" t="s">
        <v>1285</v>
      </c>
      <c r="D434" s="84">
        <v>68.682815967099998</v>
      </c>
      <c r="E434" s="84">
        <v>-149.759701116</v>
      </c>
      <c r="F434" s="84" t="s">
        <v>383</v>
      </c>
      <c r="G434" s="84" t="s">
        <v>394</v>
      </c>
      <c r="H434" s="84" t="s">
        <v>1286</v>
      </c>
      <c r="I434" s="84" t="s">
        <v>383</v>
      </c>
      <c r="J434" s="84" t="s">
        <v>676</v>
      </c>
      <c r="K434" s="84" t="s">
        <v>383</v>
      </c>
      <c r="L434" s="84" t="s">
        <v>677</v>
      </c>
      <c r="M434" s="90" t="str">
        <f t="shared" si="8"/>
        <v>View on Google Map</v>
      </c>
      <c r="N434" s="84">
        <f t="shared" si="9"/>
        <v>81</v>
      </c>
    </row>
    <row r="435" spans="1:14" x14ac:dyDescent="0.2">
      <c r="A435" s="84">
        <v>1225</v>
      </c>
      <c r="B435" s="84" t="s">
        <v>1287</v>
      </c>
      <c r="C435" s="9" t="s">
        <v>1288</v>
      </c>
      <c r="D435" s="84">
        <v>68.641727000000003</v>
      </c>
      <c r="E435" s="84">
        <v>-149.58665300000001</v>
      </c>
      <c r="F435" s="84">
        <v>724</v>
      </c>
      <c r="G435" s="84" t="s">
        <v>384</v>
      </c>
      <c r="H435" s="84" t="s">
        <v>383</v>
      </c>
      <c r="I435" s="84" t="s">
        <v>383</v>
      </c>
      <c r="J435" s="84" t="s">
        <v>409</v>
      </c>
      <c r="K435" s="84" t="s">
        <v>383</v>
      </c>
      <c r="L435" s="84" t="s">
        <v>383</v>
      </c>
      <c r="M435" s="90" t="str">
        <f t="shared" si="8"/>
        <v>View on Google Map</v>
      </c>
    </row>
    <row r="436" spans="1:14" x14ac:dyDescent="0.2">
      <c r="B436" s="84" t="s">
        <v>1289</v>
      </c>
      <c r="C436" s="92" t="s">
        <v>1290</v>
      </c>
      <c r="D436" s="84">
        <v>68.622865000000004</v>
      </c>
      <c r="E436" s="84">
        <v>-149.60854499999999</v>
      </c>
      <c r="F436" s="84">
        <v>758</v>
      </c>
      <c r="G436" s="84" t="s">
        <v>384</v>
      </c>
      <c r="J436" s="84" t="s">
        <v>409</v>
      </c>
      <c r="M436" s="90" t="str">
        <f t="shared" si="8"/>
        <v>View on Google Map</v>
      </c>
    </row>
    <row r="437" spans="1:14" x14ac:dyDescent="0.2">
      <c r="A437" s="84">
        <v>1220</v>
      </c>
      <c r="B437" s="84" t="s">
        <v>1291</v>
      </c>
      <c r="C437" s="9" t="s">
        <v>1292</v>
      </c>
      <c r="D437" s="84">
        <v>68.624410999999995</v>
      </c>
      <c r="E437" s="84">
        <v>-149.609589</v>
      </c>
      <c r="F437" s="84">
        <v>750</v>
      </c>
      <c r="G437" s="84" t="s">
        <v>384</v>
      </c>
      <c r="H437" s="84" t="s">
        <v>383</v>
      </c>
      <c r="I437" s="84" t="s">
        <v>383</v>
      </c>
      <c r="J437" s="84" t="s">
        <v>409</v>
      </c>
      <c r="K437" s="84" t="s">
        <v>383</v>
      </c>
      <c r="L437" s="84" t="s">
        <v>383</v>
      </c>
      <c r="M437" s="90" t="str">
        <f t="shared" si="8"/>
        <v>View on Google Map</v>
      </c>
    </row>
    <row r="438" spans="1:14" x14ac:dyDescent="0.2">
      <c r="A438" s="84">
        <v>1222</v>
      </c>
      <c r="B438" s="84" t="s">
        <v>1293</v>
      </c>
      <c r="C438" s="9" t="s">
        <v>1294</v>
      </c>
      <c r="D438" s="84">
        <v>68.629636000000005</v>
      </c>
      <c r="E438" s="84">
        <v>-149.57565600000001</v>
      </c>
      <c r="F438" s="84">
        <v>755</v>
      </c>
      <c r="G438" s="84" t="s">
        <v>384</v>
      </c>
      <c r="H438" s="84" t="s">
        <v>383</v>
      </c>
      <c r="I438" s="84" t="s">
        <v>383</v>
      </c>
      <c r="J438" s="84" t="s">
        <v>409</v>
      </c>
      <c r="K438" s="84" t="s">
        <v>383</v>
      </c>
      <c r="L438" s="84" t="s">
        <v>383</v>
      </c>
      <c r="M438" s="90" t="str">
        <f t="shared" si="8"/>
        <v>View on Google Map</v>
      </c>
    </row>
    <row r="439" spans="1:14" x14ac:dyDescent="0.2">
      <c r="A439" s="84">
        <v>1228</v>
      </c>
      <c r="B439" s="84" t="s">
        <v>1295</v>
      </c>
      <c r="C439" s="9" t="s">
        <v>1296</v>
      </c>
      <c r="D439" s="84">
        <v>68.634530999999996</v>
      </c>
      <c r="E439" s="84">
        <v>-149.64205799999999</v>
      </c>
      <c r="F439" s="84">
        <v>748</v>
      </c>
      <c r="G439" s="84" t="s">
        <v>384</v>
      </c>
      <c r="H439" s="84" t="s">
        <v>383</v>
      </c>
      <c r="I439" s="84" t="s">
        <v>383</v>
      </c>
      <c r="J439" s="84" t="s">
        <v>409</v>
      </c>
      <c r="K439" s="84" t="s">
        <v>383</v>
      </c>
      <c r="L439" s="84" t="s">
        <v>383</v>
      </c>
      <c r="M439" s="90" t="str">
        <f t="shared" si="8"/>
        <v>View on Google Map</v>
      </c>
    </row>
    <row r="440" spans="1:14" x14ac:dyDescent="0.2">
      <c r="A440" s="84">
        <v>1227</v>
      </c>
      <c r="B440" s="84" t="s">
        <v>1297</v>
      </c>
      <c r="C440" s="9" t="s">
        <v>1298</v>
      </c>
      <c r="D440" s="84">
        <v>68.634039000000001</v>
      </c>
      <c r="E440" s="84">
        <v>-149.63704899999999</v>
      </c>
      <c r="F440" s="84">
        <v>750</v>
      </c>
      <c r="G440" s="84" t="s">
        <v>384</v>
      </c>
      <c r="H440" s="84" t="s">
        <v>383</v>
      </c>
      <c r="I440" s="84" t="s">
        <v>383</v>
      </c>
      <c r="J440" s="84" t="s">
        <v>409</v>
      </c>
      <c r="K440" s="84" t="s">
        <v>383</v>
      </c>
      <c r="L440" s="84" t="s">
        <v>383</v>
      </c>
      <c r="M440" s="90" t="str">
        <f t="shared" si="8"/>
        <v>View on Google Map</v>
      </c>
    </row>
    <row r="441" spans="1:14" x14ac:dyDescent="0.2">
      <c r="A441" s="84">
        <v>1223</v>
      </c>
      <c r="B441" s="84" t="s">
        <v>1299</v>
      </c>
      <c r="C441" s="9" t="s">
        <v>1300</v>
      </c>
      <c r="D441" s="84">
        <v>68.635624000000007</v>
      </c>
      <c r="E441" s="84">
        <v>-149.587064</v>
      </c>
      <c r="F441" s="84">
        <v>745</v>
      </c>
      <c r="G441" s="84" t="s">
        <v>384</v>
      </c>
      <c r="H441" s="84" t="s">
        <v>383</v>
      </c>
      <c r="I441" s="84" t="s">
        <v>383</v>
      </c>
      <c r="J441" s="84" t="s">
        <v>409</v>
      </c>
      <c r="K441" s="84" t="s">
        <v>383</v>
      </c>
      <c r="L441" s="84" t="s">
        <v>383</v>
      </c>
      <c r="M441" s="90" t="str">
        <f t="shared" si="8"/>
        <v>View on Google Map</v>
      </c>
    </row>
    <row r="442" spans="1:14" x14ac:dyDescent="0.2">
      <c r="A442" s="84">
        <v>1224</v>
      </c>
      <c r="B442" s="84" t="s">
        <v>1301</v>
      </c>
      <c r="C442" s="9" t="s">
        <v>1302</v>
      </c>
      <c r="D442" s="84">
        <v>68.638692000000006</v>
      </c>
      <c r="E442" s="84">
        <v>-149.567789</v>
      </c>
      <c r="F442" s="84">
        <v>731</v>
      </c>
      <c r="G442" s="84" t="s">
        <v>384</v>
      </c>
      <c r="H442" s="84" t="s">
        <v>383</v>
      </c>
      <c r="I442" s="84" t="s">
        <v>383</v>
      </c>
      <c r="J442" s="84" t="s">
        <v>409</v>
      </c>
      <c r="K442" s="84" t="s">
        <v>383</v>
      </c>
      <c r="L442" s="84" t="s">
        <v>383</v>
      </c>
      <c r="M442" s="90" t="str">
        <f t="shared" si="8"/>
        <v>View on Google Map</v>
      </c>
    </row>
    <row r="443" spans="1:14" x14ac:dyDescent="0.2">
      <c r="A443" s="84">
        <v>1221</v>
      </c>
      <c r="B443" s="84" t="s">
        <v>1303</v>
      </c>
      <c r="C443" s="9" t="s">
        <v>1304</v>
      </c>
      <c r="D443" s="84">
        <v>68.625440999999995</v>
      </c>
      <c r="E443" s="84">
        <v>-149.60287299999999</v>
      </c>
      <c r="F443" s="84">
        <v>717</v>
      </c>
      <c r="G443" s="84" t="s">
        <v>384</v>
      </c>
      <c r="H443" s="84" t="s">
        <v>383</v>
      </c>
      <c r="I443" s="84" t="s">
        <v>383</v>
      </c>
      <c r="J443" s="84" t="s">
        <v>409</v>
      </c>
      <c r="K443" s="84" t="s">
        <v>383</v>
      </c>
      <c r="L443" s="84" t="s">
        <v>383</v>
      </c>
      <c r="M443" s="90" t="str">
        <f t="shared" si="8"/>
        <v>View on Google Map</v>
      </c>
    </row>
    <row r="444" spans="1:14" x14ac:dyDescent="0.2">
      <c r="A444" s="84">
        <v>1226</v>
      </c>
      <c r="B444" s="9" t="s">
        <v>1305</v>
      </c>
      <c r="C444" s="9" t="s">
        <v>1306</v>
      </c>
      <c r="D444" s="84">
        <v>68.647621999999998</v>
      </c>
      <c r="E444" s="84">
        <v>-149.57729800000001</v>
      </c>
      <c r="F444" s="84">
        <v>719</v>
      </c>
      <c r="G444" s="84" t="s">
        <v>384</v>
      </c>
      <c r="H444" s="84" t="s">
        <v>383</v>
      </c>
      <c r="I444" s="84" t="s">
        <v>383</v>
      </c>
      <c r="J444" s="84" t="s">
        <v>409</v>
      </c>
      <c r="K444" s="84" t="s">
        <v>383</v>
      </c>
      <c r="L444" s="84" t="s">
        <v>383</v>
      </c>
      <c r="M444" s="90" t="str">
        <f t="shared" si="8"/>
        <v>View on Google Map</v>
      </c>
    </row>
    <row r="445" spans="1:14" x14ac:dyDescent="0.2">
      <c r="A445" s="84">
        <v>487</v>
      </c>
      <c r="B445" s="84" t="s">
        <v>1307</v>
      </c>
      <c r="C445" s="84" t="s">
        <v>383</v>
      </c>
      <c r="D445" s="84">
        <v>68.961583332999993</v>
      </c>
      <c r="E445" s="84">
        <v>-150.20961666700001</v>
      </c>
      <c r="F445" s="84">
        <v>380</v>
      </c>
      <c r="G445" s="84" t="s">
        <v>394</v>
      </c>
      <c r="H445" s="84" t="s">
        <v>383</v>
      </c>
      <c r="I445" s="84" t="s">
        <v>383</v>
      </c>
      <c r="J445" s="84" t="s">
        <v>444</v>
      </c>
      <c r="K445" s="84" t="s">
        <v>383</v>
      </c>
      <c r="L445" s="84" t="s">
        <v>391</v>
      </c>
      <c r="M445" s="90" t="str">
        <f t="shared" si="8"/>
        <v>View on Google Map</v>
      </c>
    </row>
    <row r="446" spans="1:14" x14ac:dyDescent="0.2">
      <c r="A446" s="84">
        <v>23</v>
      </c>
      <c r="B446" s="84" t="s">
        <v>1308</v>
      </c>
      <c r="C446" s="84" t="s">
        <v>383</v>
      </c>
      <c r="D446" s="84" t="s">
        <v>383</v>
      </c>
      <c r="E446" s="84" t="s">
        <v>383</v>
      </c>
      <c r="F446" s="84" t="s">
        <v>383</v>
      </c>
      <c r="G446" s="84" t="s">
        <v>408</v>
      </c>
      <c r="H446" s="84" t="s">
        <v>383</v>
      </c>
      <c r="I446" s="84" t="s">
        <v>383</v>
      </c>
      <c r="J446" s="84" t="s">
        <v>409</v>
      </c>
      <c r="K446" s="84" t="s">
        <v>383</v>
      </c>
      <c r="L446" s="84" t="s">
        <v>383</v>
      </c>
      <c r="M446" s="90" t="str">
        <f t="shared" si="8"/>
        <v>View on Google Map</v>
      </c>
    </row>
    <row r="447" spans="1:14" x14ac:dyDescent="0.2">
      <c r="A447" s="84">
        <v>529</v>
      </c>
      <c r="B447" s="84" t="s">
        <v>1309</v>
      </c>
      <c r="C447" s="84" t="s">
        <v>789</v>
      </c>
      <c r="D447" s="84">
        <v>68.672934999999995</v>
      </c>
      <c r="E447" s="84">
        <v>-149.61752300000001</v>
      </c>
      <c r="F447" s="84">
        <v>708</v>
      </c>
      <c r="G447" s="84" t="s">
        <v>394</v>
      </c>
      <c r="H447" s="84" t="s">
        <v>383</v>
      </c>
      <c r="I447" s="84" t="s">
        <v>383</v>
      </c>
      <c r="J447" s="84" t="s">
        <v>395</v>
      </c>
      <c r="K447" s="84" t="s">
        <v>383</v>
      </c>
      <c r="L447" s="84" t="s">
        <v>790</v>
      </c>
      <c r="M447" s="90" t="str">
        <f t="shared" si="8"/>
        <v>View on Google Map</v>
      </c>
    </row>
    <row r="448" spans="1:14" x14ac:dyDescent="0.2">
      <c r="A448" s="84">
        <v>494</v>
      </c>
      <c r="B448" s="84" t="s">
        <v>1310</v>
      </c>
      <c r="C448" s="84" t="s">
        <v>383</v>
      </c>
      <c r="D448" s="84">
        <v>68.673756999999995</v>
      </c>
      <c r="E448" s="84">
        <v>-149.618268</v>
      </c>
      <c r="F448" s="84">
        <v>701</v>
      </c>
      <c r="G448" s="84" t="s">
        <v>408</v>
      </c>
      <c r="H448" s="84" t="s">
        <v>383</v>
      </c>
      <c r="I448" s="84" t="s">
        <v>383</v>
      </c>
      <c r="J448" s="84" t="s">
        <v>1311</v>
      </c>
      <c r="K448" s="84" t="s">
        <v>383</v>
      </c>
      <c r="L448" s="84" t="s">
        <v>790</v>
      </c>
      <c r="M448" s="90" t="str">
        <f t="shared" si="8"/>
        <v>View on Google Map</v>
      </c>
    </row>
    <row r="449" spans="1:13" x14ac:dyDescent="0.2">
      <c r="A449" s="84">
        <v>189</v>
      </c>
      <c r="B449" s="84" t="s">
        <v>1312</v>
      </c>
      <c r="C449" s="84" t="s">
        <v>383</v>
      </c>
      <c r="D449" s="84">
        <v>68.622</v>
      </c>
      <c r="E449" s="84">
        <v>-149.590666</v>
      </c>
      <c r="F449" s="84">
        <v>725</v>
      </c>
      <c r="G449" s="84" t="s">
        <v>408</v>
      </c>
      <c r="H449" s="84" t="s">
        <v>1313</v>
      </c>
      <c r="I449" s="84" t="s">
        <v>1314</v>
      </c>
      <c r="J449" s="84" t="s">
        <v>409</v>
      </c>
      <c r="K449" s="84" t="s">
        <v>383</v>
      </c>
      <c r="L449" s="84" t="s">
        <v>798</v>
      </c>
      <c r="M449" s="90" t="str">
        <f t="shared" si="8"/>
        <v>View on Google Map</v>
      </c>
    </row>
    <row r="450" spans="1:13" x14ac:dyDescent="0.2">
      <c r="A450" s="84">
        <v>273</v>
      </c>
      <c r="B450" s="84" t="s">
        <v>1315</v>
      </c>
      <c r="C450" s="84" t="s">
        <v>383</v>
      </c>
      <c r="D450" s="84">
        <v>68.620166670000003</v>
      </c>
      <c r="E450" s="84">
        <v>-149.56816599999999</v>
      </c>
      <c r="F450" s="84">
        <v>739</v>
      </c>
      <c r="G450" s="84" t="s">
        <v>408</v>
      </c>
      <c r="H450" s="84" t="s">
        <v>1316</v>
      </c>
      <c r="I450" s="84" t="s">
        <v>1317</v>
      </c>
      <c r="J450" s="84" t="s">
        <v>409</v>
      </c>
      <c r="K450" s="84" t="s">
        <v>383</v>
      </c>
      <c r="L450" s="84" t="s">
        <v>798</v>
      </c>
      <c r="M450" s="90" t="str">
        <f t="shared" si="8"/>
        <v>View on Google Map</v>
      </c>
    </row>
    <row r="451" spans="1:13" x14ac:dyDescent="0.2">
      <c r="A451" s="84">
        <v>1175</v>
      </c>
      <c r="B451" s="84" t="s">
        <v>1318</v>
      </c>
      <c r="C451" s="84" t="s">
        <v>383</v>
      </c>
      <c r="D451" s="84">
        <v>68.951925000000003</v>
      </c>
      <c r="E451" s="84">
        <v>-150.20976669999999</v>
      </c>
      <c r="F451" s="84" t="s">
        <v>383</v>
      </c>
      <c r="G451" s="84" t="s">
        <v>408</v>
      </c>
      <c r="H451" s="84" t="s">
        <v>383</v>
      </c>
      <c r="I451" s="84" t="s">
        <v>383</v>
      </c>
      <c r="J451" s="84" t="s">
        <v>938</v>
      </c>
      <c r="K451" s="84" t="s">
        <v>383</v>
      </c>
      <c r="L451" s="84" t="s">
        <v>383</v>
      </c>
      <c r="M451" s="90" t="str">
        <f t="shared" ref="M451:M514" si="10">HYPERLINK("http://maps.google.com/maps?q="&amp;D451&amp;","&amp;E451,"View on Google Map")</f>
        <v>View on Google Map</v>
      </c>
    </row>
    <row r="452" spans="1:13" x14ac:dyDescent="0.2">
      <c r="A452" s="84">
        <v>103</v>
      </c>
      <c r="B452" s="84" t="s">
        <v>1319</v>
      </c>
      <c r="C452" s="84" t="s">
        <v>383</v>
      </c>
      <c r="D452" s="84">
        <v>68.639893935800004</v>
      </c>
      <c r="E452" s="84">
        <v>-149.606965643</v>
      </c>
      <c r="F452" s="84">
        <v>731</v>
      </c>
      <c r="G452" s="84" t="s">
        <v>394</v>
      </c>
      <c r="H452" s="84" t="s">
        <v>1320</v>
      </c>
      <c r="I452" s="84" t="s">
        <v>1321</v>
      </c>
      <c r="J452" s="84" t="s">
        <v>409</v>
      </c>
      <c r="K452" s="84" t="s">
        <v>383</v>
      </c>
      <c r="L452" s="84" t="s">
        <v>383</v>
      </c>
      <c r="M452" s="90" t="str">
        <f t="shared" si="10"/>
        <v>View on Google Map</v>
      </c>
    </row>
    <row r="453" spans="1:13" x14ac:dyDescent="0.2">
      <c r="A453" s="84">
        <v>104</v>
      </c>
      <c r="B453" s="84" t="s">
        <v>1322</v>
      </c>
      <c r="C453" s="84" t="s">
        <v>383</v>
      </c>
      <c r="D453" s="84">
        <v>68.640947234500004</v>
      </c>
      <c r="E453" s="84">
        <v>-149.625086307</v>
      </c>
      <c r="F453" s="84">
        <v>724</v>
      </c>
      <c r="G453" s="84" t="s">
        <v>394</v>
      </c>
      <c r="H453" s="84" t="s">
        <v>1323</v>
      </c>
      <c r="I453" s="84" t="s">
        <v>1324</v>
      </c>
      <c r="J453" s="84" t="s">
        <v>409</v>
      </c>
      <c r="K453" s="84" t="s">
        <v>383</v>
      </c>
      <c r="L453" s="84" t="s">
        <v>383</v>
      </c>
      <c r="M453" s="90" t="str">
        <f t="shared" si="10"/>
        <v>View on Google Map</v>
      </c>
    </row>
    <row r="454" spans="1:13" x14ac:dyDescent="0.2">
      <c r="A454" s="84">
        <v>105</v>
      </c>
      <c r="B454" s="84" t="s">
        <v>1325</v>
      </c>
      <c r="C454" s="84" t="s">
        <v>383</v>
      </c>
      <c r="D454" s="84">
        <v>68.642385337299999</v>
      </c>
      <c r="E454" s="84">
        <v>-149.630769851</v>
      </c>
      <c r="F454" s="84" t="s">
        <v>383</v>
      </c>
      <c r="G454" s="84" t="s">
        <v>394</v>
      </c>
      <c r="H454" s="84" t="s">
        <v>1326</v>
      </c>
      <c r="I454" s="84" t="s">
        <v>383</v>
      </c>
      <c r="J454" s="84" t="s">
        <v>409</v>
      </c>
      <c r="K454" s="84" t="s">
        <v>383</v>
      </c>
      <c r="L454" s="84" t="s">
        <v>383</v>
      </c>
      <c r="M454" s="90" t="str">
        <f t="shared" si="10"/>
        <v>View on Google Map</v>
      </c>
    </row>
    <row r="455" spans="1:13" x14ac:dyDescent="0.2">
      <c r="A455" s="84">
        <v>245</v>
      </c>
      <c r="B455" s="84" t="s">
        <v>1327</v>
      </c>
      <c r="C455" s="84" t="s">
        <v>383</v>
      </c>
      <c r="D455" s="84">
        <v>68.645120702900002</v>
      </c>
      <c r="E455" s="84">
        <v>-149.64028014900001</v>
      </c>
      <c r="F455" s="84" t="s">
        <v>383</v>
      </c>
      <c r="G455" s="84" t="s">
        <v>394</v>
      </c>
      <c r="H455" s="84" t="s">
        <v>1328</v>
      </c>
      <c r="I455" s="84" t="s">
        <v>383</v>
      </c>
      <c r="J455" s="84" t="s">
        <v>409</v>
      </c>
      <c r="K455" s="84" t="s">
        <v>383</v>
      </c>
      <c r="L455" s="84" t="s">
        <v>383</v>
      </c>
      <c r="M455" s="90" t="str">
        <f t="shared" si="10"/>
        <v>View on Google Map</v>
      </c>
    </row>
    <row r="456" spans="1:13" x14ac:dyDescent="0.2">
      <c r="A456" s="84">
        <v>240</v>
      </c>
      <c r="B456" s="84" t="s">
        <v>1329</v>
      </c>
      <c r="C456" s="84" t="s">
        <v>383</v>
      </c>
      <c r="D456" s="84">
        <v>68.645428204500007</v>
      </c>
      <c r="E456" s="84">
        <v>-149.62885531000001</v>
      </c>
      <c r="F456" s="84" t="s">
        <v>383</v>
      </c>
      <c r="G456" s="84" t="s">
        <v>394</v>
      </c>
      <c r="H456" s="84" t="s">
        <v>1330</v>
      </c>
      <c r="I456" s="84" t="s">
        <v>383</v>
      </c>
      <c r="J456" s="84" t="s">
        <v>409</v>
      </c>
      <c r="K456" s="84" t="s">
        <v>383</v>
      </c>
      <c r="L456" s="84" t="s">
        <v>383</v>
      </c>
      <c r="M456" s="90" t="str">
        <f t="shared" si="10"/>
        <v>View on Google Map</v>
      </c>
    </row>
    <row r="457" spans="1:13" x14ac:dyDescent="0.2">
      <c r="A457" s="84">
        <v>508</v>
      </c>
      <c r="B457" s="84" t="s">
        <v>1331</v>
      </c>
      <c r="C457" s="84" t="s">
        <v>393</v>
      </c>
      <c r="D457" s="84">
        <v>68.396288999999996</v>
      </c>
      <c r="E457" s="84">
        <v>-150.58781500000001</v>
      </c>
      <c r="F457" s="84">
        <v>841</v>
      </c>
      <c r="G457" s="84" t="s">
        <v>394</v>
      </c>
      <c r="H457" s="84" t="s">
        <v>396</v>
      </c>
      <c r="I457" s="84" t="s">
        <v>383</v>
      </c>
      <c r="J457" s="84" t="s">
        <v>395</v>
      </c>
      <c r="K457" s="84" t="s">
        <v>383</v>
      </c>
      <c r="L457" s="84" t="s">
        <v>396</v>
      </c>
      <c r="M457" s="90" t="str">
        <f t="shared" si="10"/>
        <v>View on Google Map</v>
      </c>
    </row>
    <row r="458" spans="1:13" x14ac:dyDescent="0.2">
      <c r="A458" s="84">
        <v>513</v>
      </c>
      <c r="B458" s="84" t="s">
        <v>1332</v>
      </c>
      <c r="C458" s="84" t="s">
        <v>393</v>
      </c>
      <c r="D458" s="84">
        <v>68.362488999999997</v>
      </c>
      <c r="E458" s="84">
        <v>-151.70717300000001</v>
      </c>
      <c r="F458" s="84">
        <v>792</v>
      </c>
      <c r="G458" s="84" t="s">
        <v>394</v>
      </c>
      <c r="H458" s="84" t="s">
        <v>383</v>
      </c>
      <c r="I458" s="84" t="s">
        <v>383</v>
      </c>
      <c r="J458" s="84" t="s">
        <v>395</v>
      </c>
      <c r="K458" s="84" t="s">
        <v>383</v>
      </c>
      <c r="L458" s="84" t="s">
        <v>396</v>
      </c>
      <c r="M458" s="90" t="str">
        <f t="shared" si="10"/>
        <v>View on Google Map</v>
      </c>
    </row>
    <row r="459" spans="1:13" x14ac:dyDescent="0.2">
      <c r="A459" s="84">
        <v>512</v>
      </c>
      <c r="B459" s="84" t="s">
        <v>1333</v>
      </c>
      <c r="C459" s="84" t="s">
        <v>393</v>
      </c>
      <c r="D459" s="84">
        <v>68.351332999999997</v>
      </c>
      <c r="E459" s="84">
        <v>-151.702167</v>
      </c>
      <c r="F459" s="84">
        <v>789</v>
      </c>
      <c r="G459" s="84" t="s">
        <v>394</v>
      </c>
      <c r="H459" s="84" t="s">
        <v>383</v>
      </c>
      <c r="I459" s="84" t="s">
        <v>383</v>
      </c>
      <c r="J459" s="84" t="s">
        <v>395</v>
      </c>
      <c r="K459" s="84" t="s">
        <v>383</v>
      </c>
      <c r="L459" s="84" t="s">
        <v>396</v>
      </c>
      <c r="M459" s="90" t="str">
        <f t="shared" si="10"/>
        <v>View on Google Map</v>
      </c>
    </row>
    <row r="460" spans="1:13" x14ac:dyDescent="0.2">
      <c r="A460" s="84">
        <v>511</v>
      </c>
      <c r="B460" s="84" t="s">
        <v>1334</v>
      </c>
      <c r="C460" s="84" t="s">
        <v>393</v>
      </c>
      <c r="D460" s="84">
        <v>68.347333000000006</v>
      </c>
      <c r="E460" s="84">
        <v>-151.70316700000001</v>
      </c>
      <c r="F460" s="84">
        <v>798</v>
      </c>
      <c r="G460" s="84" t="s">
        <v>394</v>
      </c>
      <c r="H460" s="84" t="s">
        <v>383</v>
      </c>
      <c r="I460" s="84" t="s">
        <v>383</v>
      </c>
      <c r="J460" s="84" t="s">
        <v>395</v>
      </c>
      <c r="K460" s="84" t="s">
        <v>383</v>
      </c>
      <c r="L460" s="84" t="s">
        <v>396</v>
      </c>
      <c r="M460" s="90" t="str">
        <f t="shared" si="10"/>
        <v>View on Google Map</v>
      </c>
    </row>
    <row r="461" spans="1:13" x14ac:dyDescent="0.2">
      <c r="A461" s="84">
        <v>510</v>
      </c>
      <c r="B461" s="84" t="s">
        <v>1335</v>
      </c>
      <c r="C461" s="84" t="s">
        <v>393</v>
      </c>
      <c r="D461" s="84">
        <v>68.351332999999997</v>
      </c>
      <c r="E461" s="84">
        <v>-151.702167</v>
      </c>
      <c r="F461" s="84">
        <v>810</v>
      </c>
      <c r="G461" s="84" t="s">
        <v>394</v>
      </c>
      <c r="H461" s="84" t="s">
        <v>383</v>
      </c>
      <c r="I461" s="84" t="s">
        <v>383</v>
      </c>
      <c r="J461" s="84" t="s">
        <v>395</v>
      </c>
      <c r="K461" s="84" t="s">
        <v>383</v>
      </c>
      <c r="L461" s="84" t="s">
        <v>396</v>
      </c>
      <c r="M461" s="90" t="str">
        <f t="shared" si="10"/>
        <v>View on Google Map</v>
      </c>
    </row>
    <row r="462" spans="1:13" x14ac:dyDescent="0.2">
      <c r="A462" s="84">
        <v>233</v>
      </c>
      <c r="B462" s="84" t="s">
        <v>1336</v>
      </c>
      <c r="C462" s="84" t="s">
        <v>383</v>
      </c>
      <c r="D462" s="84">
        <v>68.643783170000006</v>
      </c>
      <c r="E462" s="84">
        <v>-149.58949436200001</v>
      </c>
      <c r="F462" s="84">
        <v>716</v>
      </c>
      <c r="G462" s="84" t="s">
        <v>394</v>
      </c>
      <c r="H462" s="84" t="s">
        <v>1337</v>
      </c>
      <c r="I462" s="84" t="s">
        <v>383</v>
      </c>
      <c r="J462" s="84" t="s">
        <v>409</v>
      </c>
      <c r="K462" s="84" t="s">
        <v>383</v>
      </c>
      <c r="L462" s="84" t="s">
        <v>383</v>
      </c>
      <c r="M462" s="90" t="str">
        <f t="shared" si="10"/>
        <v>View on Google Map</v>
      </c>
    </row>
    <row r="463" spans="1:13" x14ac:dyDescent="0.2">
      <c r="A463" s="84">
        <v>147</v>
      </c>
      <c r="B463" s="84" t="s">
        <v>1338</v>
      </c>
      <c r="C463" s="84" t="s">
        <v>383</v>
      </c>
      <c r="D463" s="84">
        <v>68.646325005500003</v>
      </c>
      <c r="E463" s="84">
        <v>-149.58272243900001</v>
      </c>
      <c r="F463" s="84">
        <v>716</v>
      </c>
      <c r="G463" s="84" t="s">
        <v>394</v>
      </c>
      <c r="H463" s="84" t="s">
        <v>1339</v>
      </c>
      <c r="I463" s="84" t="s">
        <v>383</v>
      </c>
      <c r="J463" s="84" t="s">
        <v>409</v>
      </c>
      <c r="K463" s="84" t="s">
        <v>383</v>
      </c>
      <c r="L463" s="84" t="s">
        <v>383</v>
      </c>
      <c r="M463" s="90" t="str">
        <f t="shared" si="10"/>
        <v>View on Google Map</v>
      </c>
    </row>
    <row r="464" spans="1:13" x14ac:dyDescent="0.2">
      <c r="A464" s="84">
        <v>234</v>
      </c>
      <c r="B464" s="84" t="s">
        <v>1340</v>
      </c>
      <c r="C464" s="84" t="s">
        <v>383</v>
      </c>
      <c r="D464" s="84">
        <v>68.650192520999994</v>
      </c>
      <c r="E464" s="84">
        <v>-149.58255972500001</v>
      </c>
      <c r="F464" s="84">
        <v>731</v>
      </c>
      <c r="G464" s="84" t="s">
        <v>394</v>
      </c>
      <c r="H464" s="84" t="s">
        <v>1341</v>
      </c>
      <c r="I464" s="84" t="s">
        <v>383</v>
      </c>
      <c r="J464" s="84" t="s">
        <v>409</v>
      </c>
      <c r="K464" s="84" t="s">
        <v>383</v>
      </c>
      <c r="L464" s="84" t="s">
        <v>383</v>
      </c>
      <c r="M464" s="90" t="str">
        <f t="shared" si="10"/>
        <v>View on Google Map</v>
      </c>
    </row>
    <row r="465" spans="1:13" x14ac:dyDescent="0.2">
      <c r="A465" s="84">
        <v>306</v>
      </c>
      <c r="B465" s="84" t="s">
        <v>1342</v>
      </c>
      <c r="C465" s="84" t="s">
        <v>383</v>
      </c>
      <c r="D465" s="84" t="s">
        <v>383</v>
      </c>
      <c r="E465" s="84" t="s">
        <v>383</v>
      </c>
      <c r="F465" s="84">
        <v>731</v>
      </c>
      <c r="G465" s="84" t="s">
        <v>394</v>
      </c>
      <c r="H465" s="84" t="s">
        <v>1343</v>
      </c>
      <c r="I465" s="84" t="s">
        <v>383</v>
      </c>
      <c r="J465" s="84" t="s">
        <v>409</v>
      </c>
      <c r="K465" s="84" t="s">
        <v>383</v>
      </c>
      <c r="L465" s="84" t="s">
        <v>383</v>
      </c>
      <c r="M465" s="90" t="str">
        <f t="shared" si="10"/>
        <v>View on Google Map</v>
      </c>
    </row>
    <row r="466" spans="1:13" x14ac:dyDescent="0.2">
      <c r="A466" s="84">
        <v>235</v>
      </c>
      <c r="B466" s="84" t="s">
        <v>1344</v>
      </c>
      <c r="C466" s="84" t="s">
        <v>383</v>
      </c>
      <c r="D466" s="84" t="s">
        <v>383</v>
      </c>
      <c r="E466" s="84" t="s">
        <v>383</v>
      </c>
      <c r="F466" s="84">
        <v>716</v>
      </c>
      <c r="G466" s="84" t="s">
        <v>394</v>
      </c>
      <c r="H466" s="84" t="s">
        <v>1345</v>
      </c>
      <c r="I466" s="84" t="s">
        <v>383</v>
      </c>
      <c r="J466" s="84" t="s">
        <v>409</v>
      </c>
      <c r="K466" s="84" t="s">
        <v>383</v>
      </c>
      <c r="L466" s="84" t="s">
        <v>383</v>
      </c>
      <c r="M466" s="90" t="str">
        <f t="shared" si="10"/>
        <v>View on Google Map</v>
      </c>
    </row>
    <row r="467" spans="1:13" x14ac:dyDescent="0.2">
      <c r="A467" s="84">
        <v>307</v>
      </c>
      <c r="B467" s="84" t="s">
        <v>1346</v>
      </c>
      <c r="C467" s="84" t="s">
        <v>383</v>
      </c>
      <c r="D467" s="84" t="s">
        <v>383</v>
      </c>
      <c r="E467" s="84" t="s">
        <v>383</v>
      </c>
      <c r="F467" s="84">
        <v>716</v>
      </c>
      <c r="G467" s="84" t="s">
        <v>394</v>
      </c>
      <c r="H467" s="84" t="s">
        <v>1347</v>
      </c>
      <c r="I467" s="84" t="s">
        <v>383</v>
      </c>
      <c r="J467" s="84" t="s">
        <v>409</v>
      </c>
      <c r="K467" s="84" t="s">
        <v>383</v>
      </c>
      <c r="L467" s="84" t="s">
        <v>383</v>
      </c>
      <c r="M467" s="90" t="str">
        <f t="shared" si="10"/>
        <v>View on Google Map</v>
      </c>
    </row>
    <row r="468" spans="1:13" x14ac:dyDescent="0.2">
      <c r="A468" s="84">
        <v>236</v>
      </c>
      <c r="B468" s="84" t="s">
        <v>1348</v>
      </c>
      <c r="C468" s="84" t="s">
        <v>383</v>
      </c>
      <c r="D468" s="84">
        <v>68.653572283900004</v>
      </c>
      <c r="E468" s="84">
        <v>-149.58091106399999</v>
      </c>
      <c r="F468" s="84">
        <v>731</v>
      </c>
      <c r="G468" s="84" t="s">
        <v>394</v>
      </c>
      <c r="H468" s="84" t="s">
        <v>1349</v>
      </c>
      <c r="I468" s="84" t="s">
        <v>383</v>
      </c>
      <c r="J468" s="84" t="s">
        <v>409</v>
      </c>
      <c r="K468" s="84" t="s">
        <v>383</v>
      </c>
      <c r="L468" s="84" t="s">
        <v>383</v>
      </c>
      <c r="M468" s="90" t="str">
        <f t="shared" si="10"/>
        <v>View on Google Map</v>
      </c>
    </row>
    <row r="469" spans="1:13" x14ac:dyDescent="0.2">
      <c r="A469" s="84">
        <v>308</v>
      </c>
      <c r="B469" s="84" t="s">
        <v>1350</v>
      </c>
      <c r="C469" s="84" t="s">
        <v>383</v>
      </c>
      <c r="D469" s="84">
        <v>68.652551279199997</v>
      </c>
      <c r="E469" s="84">
        <v>-149.58676006799999</v>
      </c>
      <c r="F469" s="84">
        <v>731</v>
      </c>
      <c r="G469" s="84" t="s">
        <v>394</v>
      </c>
      <c r="H469" s="84" t="s">
        <v>1351</v>
      </c>
      <c r="I469" s="84" t="s">
        <v>383</v>
      </c>
      <c r="J469" s="84" t="s">
        <v>409</v>
      </c>
      <c r="K469" s="84" t="s">
        <v>383</v>
      </c>
      <c r="L469" s="84" t="s">
        <v>383</v>
      </c>
      <c r="M469" s="90" t="str">
        <f t="shared" si="10"/>
        <v>View on Google Map</v>
      </c>
    </row>
    <row r="470" spans="1:13" x14ac:dyDescent="0.2">
      <c r="A470" s="84">
        <v>446</v>
      </c>
      <c r="B470" s="84" t="s">
        <v>1352</v>
      </c>
      <c r="C470" s="84" t="s">
        <v>383</v>
      </c>
      <c r="D470" s="84">
        <v>68.653536133599999</v>
      </c>
      <c r="E470" s="84">
        <v>-149.59622183299999</v>
      </c>
      <c r="F470" s="84">
        <v>747</v>
      </c>
      <c r="G470" s="84" t="s">
        <v>394</v>
      </c>
      <c r="H470" s="84" t="s">
        <v>1353</v>
      </c>
      <c r="I470" s="84" t="s">
        <v>383</v>
      </c>
      <c r="J470" s="84" t="s">
        <v>409</v>
      </c>
      <c r="K470" s="84" t="s">
        <v>383</v>
      </c>
      <c r="L470" s="84" t="s">
        <v>383</v>
      </c>
      <c r="M470" s="90" t="str">
        <f t="shared" si="10"/>
        <v>View on Google Map</v>
      </c>
    </row>
    <row r="471" spans="1:13" x14ac:dyDescent="0.2">
      <c r="A471" s="84">
        <v>447</v>
      </c>
      <c r="B471" s="84" t="s">
        <v>1354</v>
      </c>
      <c r="C471" s="84" t="s">
        <v>383</v>
      </c>
      <c r="D471" s="84">
        <v>68.652588284900006</v>
      </c>
      <c r="E471" s="84">
        <v>-149.60764069300001</v>
      </c>
      <c r="F471" s="84" t="s">
        <v>383</v>
      </c>
      <c r="G471" s="84" t="s">
        <v>394</v>
      </c>
      <c r="H471" s="84" t="s">
        <v>1355</v>
      </c>
      <c r="I471" s="84" t="s">
        <v>383</v>
      </c>
      <c r="J471" s="84" t="s">
        <v>409</v>
      </c>
      <c r="K471" s="84" t="s">
        <v>383</v>
      </c>
      <c r="L471" s="84" t="s">
        <v>383</v>
      </c>
      <c r="M471" s="90" t="str">
        <f t="shared" si="10"/>
        <v>View on Google Map</v>
      </c>
    </row>
    <row r="472" spans="1:13" x14ac:dyDescent="0.2">
      <c r="A472" s="84">
        <v>504</v>
      </c>
      <c r="B472" s="84" t="s">
        <v>1356</v>
      </c>
      <c r="C472" s="84" t="s">
        <v>383</v>
      </c>
      <c r="D472" s="84">
        <v>68.647407723699999</v>
      </c>
      <c r="E472" s="84">
        <v>-149.60936597400001</v>
      </c>
      <c r="F472" s="84">
        <v>731</v>
      </c>
      <c r="G472" s="84" t="s">
        <v>394</v>
      </c>
      <c r="H472" s="84" t="s">
        <v>383</v>
      </c>
      <c r="I472" s="84" t="s">
        <v>383</v>
      </c>
      <c r="J472" s="84" t="s">
        <v>409</v>
      </c>
      <c r="K472" s="84" t="s">
        <v>383</v>
      </c>
      <c r="L472" s="84" t="s">
        <v>383</v>
      </c>
      <c r="M472" s="90" t="str">
        <f t="shared" si="10"/>
        <v>View on Google Map</v>
      </c>
    </row>
    <row r="473" spans="1:13" x14ac:dyDescent="0.2">
      <c r="A473" s="84">
        <v>108</v>
      </c>
      <c r="B473" s="84" t="s">
        <v>1357</v>
      </c>
      <c r="C473" s="84" t="s">
        <v>383</v>
      </c>
      <c r="D473" s="84">
        <v>68.650000000000006</v>
      </c>
      <c r="E473" s="84">
        <v>-149.61666666666667</v>
      </c>
      <c r="F473" s="84">
        <v>699</v>
      </c>
      <c r="G473" s="84" t="s">
        <v>394</v>
      </c>
      <c r="H473" s="84" t="s">
        <v>1358</v>
      </c>
      <c r="I473" s="84" t="s">
        <v>383</v>
      </c>
      <c r="J473" s="84" t="s">
        <v>409</v>
      </c>
      <c r="K473" s="84" t="s">
        <v>383</v>
      </c>
      <c r="L473" s="84" t="s">
        <v>383</v>
      </c>
      <c r="M473" s="90" t="str">
        <f t="shared" si="10"/>
        <v>View on Google Map</v>
      </c>
    </row>
    <row r="474" spans="1:13" x14ac:dyDescent="0.2">
      <c r="A474" s="84">
        <v>309</v>
      </c>
      <c r="B474" s="84" t="s">
        <v>1359</v>
      </c>
      <c r="C474" s="84" t="s">
        <v>383</v>
      </c>
      <c r="D474" s="84" t="s">
        <v>383</v>
      </c>
      <c r="E474" s="84" t="s">
        <v>383</v>
      </c>
      <c r="F474" s="84" t="s">
        <v>383</v>
      </c>
      <c r="G474" s="84" t="s">
        <v>394</v>
      </c>
      <c r="H474" s="84" t="s">
        <v>1360</v>
      </c>
      <c r="I474" s="84" t="s">
        <v>383</v>
      </c>
      <c r="J474" s="84" t="s">
        <v>409</v>
      </c>
      <c r="K474" s="84" t="s">
        <v>383</v>
      </c>
      <c r="L474" s="84" t="s">
        <v>383</v>
      </c>
      <c r="M474" s="90" t="str">
        <f t="shared" si="10"/>
        <v>View on Google Map</v>
      </c>
    </row>
    <row r="475" spans="1:13" x14ac:dyDescent="0.2">
      <c r="A475" s="84">
        <v>109</v>
      </c>
      <c r="B475" s="84" t="s">
        <v>1361</v>
      </c>
      <c r="C475" s="84" t="s">
        <v>383</v>
      </c>
      <c r="D475" s="84">
        <v>68.683333333333337</v>
      </c>
      <c r="E475" s="84">
        <v>-149.61666666666667</v>
      </c>
      <c r="F475" s="84">
        <v>701</v>
      </c>
      <c r="G475" s="84" t="s">
        <v>394</v>
      </c>
      <c r="H475" s="84" t="s">
        <v>1362</v>
      </c>
      <c r="I475" s="84" t="s">
        <v>383</v>
      </c>
      <c r="J475" s="84" t="s">
        <v>409</v>
      </c>
      <c r="K475" s="84" t="s">
        <v>383</v>
      </c>
      <c r="L475" s="84" t="s">
        <v>383</v>
      </c>
      <c r="M475" s="90" t="str">
        <f t="shared" si="10"/>
        <v>View on Google Map</v>
      </c>
    </row>
    <row r="476" spans="1:13" x14ac:dyDescent="0.2">
      <c r="A476" s="84">
        <v>497</v>
      </c>
      <c r="B476" s="84" t="s">
        <v>1363</v>
      </c>
      <c r="C476" s="84" t="s">
        <v>1364</v>
      </c>
      <c r="D476" s="84">
        <v>68.674931999999998</v>
      </c>
      <c r="E476" s="84">
        <v>-149.625439</v>
      </c>
      <c r="F476" s="84">
        <v>701</v>
      </c>
      <c r="G476" s="84" t="s">
        <v>394</v>
      </c>
      <c r="H476" s="84" t="s">
        <v>383</v>
      </c>
      <c r="I476" s="84" t="s">
        <v>383</v>
      </c>
      <c r="J476" s="84" t="s">
        <v>1311</v>
      </c>
      <c r="K476" s="84" t="s">
        <v>383</v>
      </c>
      <c r="L476" s="84" t="s">
        <v>790</v>
      </c>
      <c r="M476" s="90" t="str">
        <f t="shared" si="10"/>
        <v>View on Google Map</v>
      </c>
    </row>
    <row r="477" spans="1:13" x14ac:dyDescent="0.2">
      <c r="A477" s="84">
        <v>498</v>
      </c>
      <c r="B477" s="84" t="s">
        <v>1365</v>
      </c>
      <c r="C477" s="84" t="s">
        <v>383</v>
      </c>
      <c r="D477" s="84">
        <v>68.677723</v>
      </c>
      <c r="E477" s="84">
        <v>-149.62402800000001</v>
      </c>
      <c r="F477" s="84">
        <v>701</v>
      </c>
      <c r="G477" s="84" t="s">
        <v>408</v>
      </c>
      <c r="H477" s="84" t="s">
        <v>383</v>
      </c>
      <c r="I477" s="84" t="s">
        <v>383</v>
      </c>
      <c r="J477" s="84" t="s">
        <v>1311</v>
      </c>
      <c r="K477" s="84" t="s">
        <v>383</v>
      </c>
      <c r="L477" s="84" t="s">
        <v>790</v>
      </c>
      <c r="M477" s="90" t="str">
        <f t="shared" si="10"/>
        <v>View on Google Map</v>
      </c>
    </row>
    <row r="478" spans="1:13" x14ac:dyDescent="0.2">
      <c r="A478" s="84">
        <v>495</v>
      </c>
      <c r="B478" s="84" t="s">
        <v>1366</v>
      </c>
      <c r="C478" s="84" t="s">
        <v>383</v>
      </c>
      <c r="D478" s="84">
        <v>68.674121999999997</v>
      </c>
      <c r="E478" s="84">
        <v>-149.62885</v>
      </c>
      <c r="F478" s="84">
        <v>701</v>
      </c>
      <c r="G478" s="84" t="s">
        <v>408</v>
      </c>
      <c r="H478" s="84" t="s">
        <v>383</v>
      </c>
      <c r="I478" s="84" t="s">
        <v>383</v>
      </c>
      <c r="J478" s="84" t="s">
        <v>1311</v>
      </c>
      <c r="K478" s="84" t="s">
        <v>383</v>
      </c>
      <c r="L478" s="84" t="s">
        <v>790</v>
      </c>
      <c r="M478" s="90" t="str">
        <f t="shared" si="10"/>
        <v>View on Google Map</v>
      </c>
    </row>
    <row r="479" spans="1:13" x14ac:dyDescent="0.2">
      <c r="A479" s="84">
        <v>448</v>
      </c>
      <c r="B479" s="84" t="s">
        <v>1367</v>
      </c>
      <c r="C479" s="84" t="s">
        <v>383</v>
      </c>
      <c r="D479" s="84">
        <v>68.655874034999997</v>
      </c>
      <c r="E479" s="84">
        <v>-149.58555905599999</v>
      </c>
      <c r="F479" s="84" t="s">
        <v>383</v>
      </c>
      <c r="G479" s="84" t="s">
        <v>394</v>
      </c>
      <c r="H479" s="84" t="s">
        <v>1368</v>
      </c>
      <c r="I479" s="84" t="s">
        <v>383</v>
      </c>
      <c r="J479" s="84" t="s">
        <v>409</v>
      </c>
      <c r="K479" s="84" t="s">
        <v>383</v>
      </c>
      <c r="L479" s="84" t="s">
        <v>383</v>
      </c>
      <c r="M479" s="90" t="str">
        <f t="shared" si="10"/>
        <v>View on Google Map</v>
      </c>
    </row>
    <row r="480" spans="1:13" x14ac:dyDescent="0.2">
      <c r="A480" s="84">
        <v>449</v>
      </c>
      <c r="B480" s="84" t="s">
        <v>1369</v>
      </c>
      <c r="C480" s="84" t="s">
        <v>383</v>
      </c>
      <c r="D480" s="84">
        <v>68.661045276899998</v>
      </c>
      <c r="E480" s="84">
        <v>-149.586664767</v>
      </c>
      <c r="F480" s="84" t="s">
        <v>383</v>
      </c>
      <c r="G480" s="84" t="s">
        <v>394</v>
      </c>
      <c r="H480" s="84" t="s">
        <v>1370</v>
      </c>
      <c r="I480" s="84" t="s">
        <v>383</v>
      </c>
      <c r="J480" s="84" t="s">
        <v>409</v>
      </c>
      <c r="K480" s="84" t="s">
        <v>383</v>
      </c>
      <c r="L480" s="84" t="s">
        <v>383</v>
      </c>
      <c r="M480" s="90" t="str">
        <f t="shared" si="10"/>
        <v>View on Google Map</v>
      </c>
    </row>
    <row r="481" spans="1:13" x14ac:dyDescent="0.2">
      <c r="A481" s="84">
        <v>171</v>
      </c>
      <c r="B481" s="84" t="s">
        <v>1371</v>
      </c>
      <c r="C481" s="84" t="s">
        <v>383</v>
      </c>
      <c r="D481" s="84">
        <v>68.652645483100002</v>
      </c>
      <c r="E481" s="84">
        <v>-149.59947366200001</v>
      </c>
      <c r="F481" s="84">
        <v>747</v>
      </c>
      <c r="G481" s="84" t="s">
        <v>394</v>
      </c>
      <c r="H481" s="84" t="s">
        <v>1372</v>
      </c>
      <c r="I481" s="84" t="s">
        <v>1373</v>
      </c>
      <c r="J481" s="84" t="s">
        <v>409</v>
      </c>
      <c r="K481" s="84" t="s">
        <v>383</v>
      </c>
      <c r="L481" s="84" t="s">
        <v>383</v>
      </c>
      <c r="M481" s="90" t="str">
        <f t="shared" si="10"/>
        <v>View on Google Map</v>
      </c>
    </row>
    <row r="482" spans="1:13" x14ac:dyDescent="0.2">
      <c r="A482" s="84">
        <v>499</v>
      </c>
      <c r="B482" s="84" t="s">
        <v>1374</v>
      </c>
      <c r="C482" s="84" t="s">
        <v>383</v>
      </c>
      <c r="D482" s="84">
        <v>68.829610000000002</v>
      </c>
      <c r="E482" s="84">
        <v>-149.77901</v>
      </c>
      <c r="F482" s="84">
        <v>633</v>
      </c>
      <c r="G482" s="84" t="s">
        <v>394</v>
      </c>
      <c r="H482" s="84" t="s">
        <v>1375</v>
      </c>
      <c r="I482" s="84" t="s">
        <v>1376</v>
      </c>
      <c r="J482" s="84" t="s">
        <v>395</v>
      </c>
      <c r="K482" s="84" t="s">
        <v>383</v>
      </c>
      <c r="L482" s="84" t="s">
        <v>383</v>
      </c>
      <c r="M482" s="90" t="str">
        <f t="shared" si="10"/>
        <v>View on Google Map</v>
      </c>
    </row>
    <row r="483" spans="1:13" x14ac:dyDescent="0.2">
      <c r="A483" s="84">
        <v>500</v>
      </c>
      <c r="B483" s="84" t="s">
        <v>1377</v>
      </c>
      <c r="C483" s="84" t="s">
        <v>383</v>
      </c>
      <c r="D483" s="84">
        <v>68.832999999999998</v>
      </c>
      <c r="E483" s="84">
        <v>-149.76808</v>
      </c>
      <c r="F483" s="84">
        <v>624</v>
      </c>
      <c r="G483" s="84" t="s">
        <v>394</v>
      </c>
      <c r="H483" s="84" t="s">
        <v>1378</v>
      </c>
      <c r="I483" s="84" t="s">
        <v>1379</v>
      </c>
      <c r="J483" s="84" t="s">
        <v>395</v>
      </c>
      <c r="K483" s="84" t="s">
        <v>383</v>
      </c>
      <c r="L483" s="84" t="s">
        <v>383</v>
      </c>
      <c r="M483" s="90" t="str">
        <f t="shared" si="10"/>
        <v>View on Google Map</v>
      </c>
    </row>
    <row r="484" spans="1:13" x14ac:dyDescent="0.2">
      <c r="A484" s="84">
        <v>501</v>
      </c>
      <c r="B484" s="84" t="s">
        <v>1380</v>
      </c>
      <c r="C484" s="84" t="s">
        <v>383</v>
      </c>
      <c r="D484" s="84">
        <v>68.828299999999999</v>
      </c>
      <c r="E484" s="84">
        <v>-149.76473999999999</v>
      </c>
      <c r="F484" s="84">
        <v>624</v>
      </c>
      <c r="G484" s="84" t="s">
        <v>394</v>
      </c>
      <c r="H484" s="84" t="s">
        <v>1381</v>
      </c>
      <c r="I484" s="84" t="s">
        <v>1382</v>
      </c>
      <c r="J484" s="84" t="s">
        <v>395</v>
      </c>
      <c r="K484" s="84" t="s">
        <v>383</v>
      </c>
      <c r="L484" s="84" t="s">
        <v>383</v>
      </c>
      <c r="M484" s="90" t="str">
        <f t="shared" si="10"/>
        <v>View on Google Map</v>
      </c>
    </row>
    <row r="485" spans="1:13" x14ac:dyDescent="0.2">
      <c r="A485" s="84">
        <v>502</v>
      </c>
      <c r="B485" s="84" t="s">
        <v>1383</v>
      </c>
      <c r="C485" s="84" t="s">
        <v>383</v>
      </c>
      <c r="D485" s="84">
        <v>68.826520000000002</v>
      </c>
      <c r="E485" s="84">
        <v>-149.75897000000001</v>
      </c>
      <c r="F485" s="84">
        <v>592</v>
      </c>
      <c r="G485" s="84" t="s">
        <v>394</v>
      </c>
      <c r="H485" s="84" t="s">
        <v>1384</v>
      </c>
      <c r="I485" s="84" t="s">
        <v>1385</v>
      </c>
      <c r="J485" s="84" t="s">
        <v>395</v>
      </c>
      <c r="K485" s="84" t="s">
        <v>383</v>
      </c>
      <c r="L485" s="84" t="s">
        <v>383</v>
      </c>
      <c r="M485" s="90" t="str">
        <f t="shared" si="10"/>
        <v>View on Google Map</v>
      </c>
    </row>
    <row r="486" spans="1:13" x14ac:dyDescent="0.2">
      <c r="A486" s="84">
        <v>503</v>
      </c>
      <c r="B486" s="84" t="s">
        <v>1386</v>
      </c>
      <c r="C486" s="84" t="s">
        <v>383</v>
      </c>
      <c r="D486" s="84">
        <v>68.827259999999995</v>
      </c>
      <c r="E486" s="84">
        <v>-149.75089</v>
      </c>
      <c r="F486" s="84">
        <v>592</v>
      </c>
      <c r="G486" s="84" t="s">
        <v>394</v>
      </c>
      <c r="H486" s="84" t="s">
        <v>1387</v>
      </c>
      <c r="I486" s="84" t="s">
        <v>1388</v>
      </c>
      <c r="J486" s="84" t="s">
        <v>395</v>
      </c>
      <c r="K486" s="84" t="s">
        <v>383</v>
      </c>
      <c r="L486" s="84" t="s">
        <v>383</v>
      </c>
      <c r="M486" s="90" t="str">
        <f t="shared" si="10"/>
        <v>View on Google Map</v>
      </c>
    </row>
    <row r="487" spans="1:13" x14ac:dyDescent="0.2">
      <c r="A487" s="84">
        <v>488</v>
      </c>
      <c r="B487" s="84" t="s">
        <v>1389</v>
      </c>
      <c r="C487" s="84" t="s">
        <v>383</v>
      </c>
      <c r="D487" s="84">
        <v>69.329949999999997</v>
      </c>
      <c r="E487" s="84">
        <v>-150.95275000000001</v>
      </c>
      <c r="F487" s="84">
        <v>127</v>
      </c>
      <c r="G487" s="84" t="s">
        <v>394</v>
      </c>
      <c r="H487" s="84" t="s">
        <v>383</v>
      </c>
      <c r="I487" s="84" t="s">
        <v>383</v>
      </c>
      <c r="J487" s="84" t="s">
        <v>444</v>
      </c>
      <c r="K487" s="84" t="s">
        <v>383</v>
      </c>
      <c r="L487" s="84" t="s">
        <v>391</v>
      </c>
      <c r="M487" s="90" t="str">
        <f t="shared" si="10"/>
        <v>View on Google Map</v>
      </c>
    </row>
    <row r="488" spans="1:13" x14ac:dyDescent="0.2">
      <c r="A488" s="84">
        <v>489</v>
      </c>
      <c r="B488" s="84" t="s">
        <v>1390</v>
      </c>
      <c r="C488" s="84" t="s">
        <v>383</v>
      </c>
      <c r="D488" s="84" t="s">
        <v>383</v>
      </c>
      <c r="E488" s="84" t="s">
        <v>383</v>
      </c>
      <c r="F488" s="84">
        <v>127</v>
      </c>
      <c r="G488" s="84" t="s">
        <v>408</v>
      </c>
      <c r="H488" s="84" t="s">
        <v>383</v>
      </c>
      <c r="I488" s="84" t="s">
        <v>383</v>
      </c>
      <c r="J488" s="84" t="s">
        <v>444</v>
      </c>
      <c r="K488" s="84" t="s">
        <v>383</v>
      </c>
      <c r="L488" s="84" t="s">
        <v>391</v>
      </c>
      <c r="M488" s="90" t="str">
        <f t="shared" si="10"/>
        <v>View on Google Map</v>
      </c>
    </row>
    <row r="489" spans="1:13" x14ac:dyDescent="0.2">
      <c r="A489" s="84">
        <v>490</v>
      </c>
      <c r="B489" s="84" t="s">
        <v>1391</v>
      </c>
      <c r="C489" s="84" t="s">
        <v>383</v>
      </c>
      <c r="D489" s="84" t="s">
        <v>383</v>
      </c>
      <c r="E489" s="84" t="s">
        <v>383</v>
      </c>
      <c r="F489" s="84">
        <v>127</v>
      </c>
      <c r="G489" s="84" t="s">
        <v>394</v>
      </c>
      <c r="H489" s="84" t="s">
        <v>383</v>
      </c>
      <c r="I489" s="84" t="s">
        <v>383</v>
      </c>
      <c r="J489" s="84" t="s">
        <v>444</v>
      </c>
      <c r="K489" s="84" t="s">
        <v>383</v>
      </c>
      <c r="L489" s="84" t="s">
        <v>391</v>
      </c>
      <c r="M489" s="90" t="str">
        <f t="shared" si="10"/>
        <v>View on Google Map</v>
      </c>
    </row>
    <row r="490" spans="1:13" x14ac:dyDescent="0.2">
      <c r="A490" s="84">
        <v>34</v>
      </c>
      <c r="B490" s="84" t="s">
        <v>1392</v>
      </c>
      <c r="C490" s="84" t="s">
        <v>383</v>
      </c>
      <c r="D490" s="84">
        <v>69.057400000000001</v>
      </c>
      <c r="E490" s="84">
        <v>-150.39599999999999</v>
      </c>
      <c r="F490" s="84">
        <v>274</v>
      </c>
      <c r="G490" s="84" t="s">
        <v>408</v>
      </c>
      <c r="H490" s="84" t="s">
        <v>383</v>
      </c>
      <c r="I490" s="84" t="s">
        <v>383</v>
      </c>
      <c r="J490" s="84" t="s">
        <v>444</v>
      </c>
      <c r="K490" s="84" t="s">
        <v>383</v>
      </c>
      <c r="L490" s="84" t="s">
        <v>391</v>
      </c>
      <c r="M490" s="90" t="str">
        <f t="shared" si="10"/>
        <v>View on Google Map</v>
      </c>
    </row>
    <row r="491" spans="1:13" x14ac:dyDescent="0.2">
      <c r="A491" s="84">
        <v>45</v>
      </c>
      <c r="B491" s="84" t="s">
        <v>1393</v>
      </c>
      <c r="C491" s="84" t="s">
        <v>383</v>
      </c>
      <c r="D491" s="84">
        <v>69.063298000000003</v>
      </c>
      <c r="E491" s="84">
        <v>-150.394711</v>
      </c>
      <c r="F491" s="84" t="s">
        <v>383</v>
      </c>
      <c r="G491" s="84" t="s">
        <v>408</v>
      </c>
      <c r="H491" s="84" t="s">
        <v>383</v>
      </c>
      <c r="I491" s="84" t="s">
        <v>383</v>
      </c>
      <c r="J491" s="84" t="s">
        <v>1394</v>
      </c>
      <c r="K491" s="84" t="s">
        <v>383</v>
      </c>
      <c r="L491" s="84" t="s">
        <v>391</v>
      </c>
      <c r="M491" s="90" t="str">
        <f t="shared" si="10"/>
        <v>View on Google Map</v>
      </c>
    </row>
    <row r="492" spans="1:13" x14ac:dyDescent="0.2">
      <c r="B492" s="84" t="s">
        <v>1395</v>
      </c>
      <c r="C492" s="84" t="s">
        <v>1396</v>
      </c>
      <c r="D492" s="84">
        <v>69.138333333333335</v>
      </c>
      <c r="E492" s="84">
        <v>-150.64916666666701</v>
      </c>
      <c r="G492" s="84" t="s">
        <v>402</v>
      </c>
      <c r="J492" s="84" t="s">
        <v>390</v>
      </c>
      <c r="L492" s="84" t="s">
        <v>391</v>
      </c>
      <c r="M492" s="90" t="str">
        <f t="shared" si="10"/>
        <v>View on Google Map</v>
      </c>
    </row>
    <row r="493" spans="1:13" x14ac:dyDescent="0.2">
      <c r="B493" s="84" t="s">
        <v>1397</v>
      </c>
      <c r="C493" s="84" t="s">
        <v>780</v>
      </c>
      <c r="D493" s="84">
        <v>69.152500000000003</v>
      </c>
      <c r="E493" s="84">
        <v>-150.706111111111</v>
      </c>
      <c r="G493" s="84" t="s">
        <v>402</v>
      </c>
      <c r="J493" s="84" t="s">
        <v>390</v>
      </c>
      <c r="L493" s="84" t="s">
        <v>391</v>
      </c>
      <c r="M493" s="90" t="str">
        <f t="shared" si="10"/>
        <v>View on Google Map</v>
      </c>
    </row>
    <row r="494" spans="1:13" x14ac:dyDescent="0.2">
      <c r="A494" s="84">
        <v>35</v>
      </c>
      <c r="B494" s="84" t="s">
        <v>1398</v>
      </c>
      <c r="C494" s="84" t="s">
        <v>383</v>
      </c>
      <c r="D494" s="84">
        <v>69.063333333333333</v>
      </c>
      <c r="E494" s="84">
        <v>-150.39333333333335</v>
      </c>
      <c r="F494" s="84">
        <v>281</v>
      </c>
      <c r="G494" s="84" t="s">
        <v>408</v>
      </c>
      <c r="H494" s="84" t="s">
        <v>383</v>
      </c>
      <c r="I494" s="84" t="s">
        <v>383</v>
      </c>
      <c r="J494" s="84" t="s">
        <v>444</v>
      </c>
      <c r="K494" s="84" t="s">
        <v>383</v>
      </c>
      <c r="L494" s="84" t="s">
        <v>391</v>
      </c>
      <c r="M494" s="90" t="str">
        <f t="shared" si="10"/>
        <v>View on Google Map</v>
      </c>
    </row>
    <row r="495" spans="1:13" x14ac:dyDescent="0.2">
      <c r="A495" s="84">
        <v>161</v>
      </c>
      <c r="B495" s="84" t="s">
        <v>1399</v>
      </c>
      <c r="C495" s="84" t="s">
        <v>1400</v>
      </c>
      <c r="D495" s="84">
        <v>68.599999999999994</v>
      </c>
      <c r="E495" s="84">
        <v>-149.18333333333334</v>
      </c>
      <c r="F495" s="84">
        <v>876</v>
      </c>
      <c r="G495" s="84" t="s">
        <v>394</v>
      </c>
      <c r="H495" s="84" t="s">
        <v>1401</v>
      </c>
      <c r="I495" s="84" t="s">
        <v>383</v>
      </c>
      <c r="J495" s="84" t="s">
        <v>409</v>
      </c>
      <c r="K495" s="84" t="s">
        <v>383</v>
      </c>
      <c r="L495" s="84" t="s">
        <v>410</v>
      </c>
      <c r="M495" s="90" t="str">
        <f t="shared" si="10"/>
        <v>View on Google Map</v>
      </c>
    </row>
    <row r="496" spans="1:13" x14ac:dyDescent="0.2">
      <c r="A496" s="84">
        <v>162</v>
      </c>
      <c r="B496" s="84" t="s">
        <v>1402</v>
      </c>
      <c r="C496" s="84" t="s">
        <v>1400</v>
      </c>
      <c r="D496" s="84">
        <v>68.583333333333329</v>
      </c>
      <c r="E496" s="84">
        <v>-149.19999999999999</v>
      </c>
      <c r="F496" s="84">
        <v>892</v>
      </c>
      <c r="G496" s="84" t="s">
        <v>394</v>
      </c>
      <c r="H496" s="84" t="s">
        <v>1403</v>
      </c>
      <c r="I496" s="84" t="s">
        <v>383</v>
      </c>
      <c r="J496" s="84" t="s">
        <v>409</v>
      </c>
      <c r="K496" s="84" t="s">
        <v>383</v>
      </c>
      <c r="L496" s="84" t="s">
        <v>410</v>
      </c>
      <c r="M496" s="90" t="str">
        <f t="shared" si="10"/>
        <v>View on Google Map</v>
      </c>
    </row>
    <row r="497" spans="1:13" x14ac:dyDescent="0.2">
      <c r="A497" s="84">
        <v>163</v>
      </c>
      <c r="B497" s="84" t="s">
        <v>1404</v>
      </c>
      <c r="C497" s="84" t="s">
        <v>1400</v>
      </c>
      <c r="D497" s="84">
        <v>68.599999999999994</v>
      </c>
      <c r="E497" s="84">
        <v>-149.16666666666666</v>
      </c>
      <c r="F497" s="84">
        <v>876</v>
      </c>
      <c r="G497" s="84" t="s">
        <v>394</v>
      </c>
      <c r="H497" s="84" t="s">
        <v>1405</v>
      </c>
      <c r="I497" s="84" t="s">
        <v>383</v>
      </c>
      <c r="J497" s="84" t="s">
        <v>409</v>
      </c>
      <c r="K497" s="84" t="s">
        <v>383</v>
      </c>
      <c r="L497" s="84" t="s">
        <v>410</v>
      </c>
      <c r="M497" s="90" t="str">
        <f t="shared" si="10"/>
        <v>View on Google Map</v>
      </c>
    </row>
    <row r="498" spans="1:13" x14ac:dyDescent="0.2">
      <c r="A498" s="84">
        <v>5</v>
      </c>
      <c r="B498" s="84" t="s">
        <v>1406</v>
      </c>
      <c r="C498" s="84" t="s">
        <v>995</v>
      </c>
      <c r="D498" s="84">
        <v>68.671486221999999</v>
      </c>
      <c r="E498" s="84">
        <v>-149.1281271</v>
      </c>
      <c r="F498" s="84">
        <v>761.75599999999997</v>
      </c>
      <c r="G498" s="84" t="s">
        <v>920</v>
      </c>
      <c r="J498" s="9" t="s">
        <v>409</v>
      </c>
      <c r="M498" s="90" t="str">
        <f t="shared" si="10"/>
        <v>View on Google Map</v>
      </c>
    </row>
    <row r="499" spans="1:13" x14ac:dyDescent="0.2">
      <c r="A499" s="84">
        <v>5</v>
      </c>
      <c r="B499" s="84" t="s">
        <v>1407</v>
      </c>
      <c r="C499" s="84" t="s">
        <v>995</v>
      </c>
      <c r="D499" s="84">
        <v>68.671371694000001</v>
      </c>
      <c r="E499" s="84">
        <v>-149.131155484</v>
      </c>
      <c r="F499" s="84">
        <v>763.88099999999997</v>
      </c>
      <c r="G499" s="84" t="s">
        <v>920</v>
      </c>
      <c r="J499" s="9" t="s">
        <v>409</v>
      </c>
      <c r="M499" s="90" t="str">
        <f t="shared" si="10"/>
        <v>View on Google Map</v>
      </c>
    </row>
    <row r="500" spans="1:13" x14ac:dyDescent="0.2">
      <c r="A500" s="84">
        <v>5</v>
      </c>
      <c r="B500" s="84" t="s">
        <v>1408</v>
      </c>
      <c r="C500" s="84" t="s">
        <v>995</v>
      </c>
      <c r="D500" s="84">
        <v>68.671018009999997</v>
      </c>
      <c r="E500" s="84">
        <v>-149.13789268599999</v>
      </c>
      <c r="F500" s="84">
        <v>764.53700000000003</v>
      </c>
      <c r="G500" s="84" t="s">
        <v>920</v>
      </c>
      <c r="J500" s="9" t="s">
        <v>409</v>
      </c>
      <c r="M500" s="90" t="str">
        <f t="shared" si="10"/>
        <v>View on Google Map</v>
      </c>
    </row>
    <row r="501" spans="1:13" x14ac:dyDescent="0.2">
      <c r="A501" s="84">
        <v>5</v>
      </c>
      <c r="B501" s="84" t="s">
        <v>1409</v>
      </c>
      <c r="C501" s="84" t="s">
        <v>1005</v>
      </c>
      <c r="D501" s="84">
        <v>68.677193270000004</v>
      </c>
      <c r="E501" s="84">
        <v>-149.121792258</v>
      </c>
      <c r="F501" s="84">
        <v>763.74300000000005</v>
      </c>
      <c r="G501" s="84" t="s">
        <v>920</v>
      </c>
      <c r="J501" s="9" t="s">
        <v>409</v>
      </c>
      <c r="M501" s="90" t="str">
        <f t="shared" si="10"/>
        <v>View on Google Map</v>
      </c>
    </row>
    <row r="502" spans="1:13" x14ac:dyDescent="0.2">
      <c r="A502" s="84">
        <v>5</v>
      </c>
      <c r="B502" s="84" t="s">
        <v>1410</v>
      </c>
      <c r="C502" s="84" t="s">
        <v>1005</v>
      </c>
      <c r="D502" s="84">
        <v>68.679780992000005</v>
      </c>
      <c r="E502" s="84">
        <v>-149.114206438</v>
      </c>
      <c r="F502" s="84">
        <v>762.678</v>
      </c>
      <c r="G502" s="84" t="s">
        <v>920</v>
      </c>
      <c r="J502" s="9" t="s">
        <v>409</v>
      </c>
      <c r="M502" s="90" t="str">
        <f t="shared" si="10"/>
        <v>View on Google Map</v>
      </c>
    </row>
    <row r="503" spans="1:13" x14ac:dyDescent="0.2">
      <c r="A503" s="84">
        <v>5</v>
      </c>
      <c r="B503" s="84" t="s">
        <v>1411</v>
      </c>
      <c r="C503" s="84" t="s">
        <v>407</v>
      </c>
      <c r="D503" s="84">
        <v>68.687399999999997</v>
      </c>
      <c r="E503" s="84">
        <v>-149.095</v>
      </c>
      <c r="F503" s="84">
        <v>754</v>
      </c>
      <c r="G503" s="84" t="s">
        <v>408</v>
      </c>
      <c r="H503" s="84" t="s">
        <v>1412</v>
      </c>
      <c r="I503" s="84" t="s">
        <v>1413</v>
      </c>
      <c r="J503" s="84" t="s">
        <v>409</v>
      </c>
      <c r="K503" s="84" t="s">
        <v>383</v>
      </c>
      <c r="L503" s="84" t="s">
        <v>410</v>
      </c>
      <c r="M503" s="90" t="str">
        <f t="shared" si="10"/>
        <v>View on Google Map</v>
      </c>
    </row>
    <row r="504" spans="1:13" x14ac:dyDescent="0.2">
      <c r="A504" s="84">
        <v>5</v>
      </c>
      <c r="B504" s="84" t="s">
        <v>1414</v>
      </c>
      <c r="C504" s="84" t="s">
        <v>1025</v>
      </c>
      <c r="D504" s="84">
        <v>68.672870447999998</v>
      </c>
      <c r="E504" s="84">
        <v>-149.124843486</v>
      </c>
      <c r="G504" s="84" t="s">
        <v>920</v>
      </c>
      <c r="J504" s="9" t="s">
        <v>409</v>
      </c>
      <c r="M504" s="90" t="str">
        <f t="shared" si="10"/>
        <v>View on Google Map</v>
      </c>
    </row>
    <row r="505" spans="1:13" x14ac:dyDescent="0.2">
      <c r="A505" s="84">
        <v>5</v>
      </c>
      <c r="B505" s="84" t="s">
        <v>1415</v>
      </c>
      <c r="C505" s="84" t="s">
        <v>1416</v>
      </c>
      <c r="D505" s="84">
        <v>68.686037823000007</v>
      </c>
      <c r="E505" s="84">
        <v>-149.0990032</v>
      </c>
      <c r="G505" s="84" t="s">
        <v>920</v>
      </c>
      <c r="J505" s="9" t="s">
        <v>409</v>
      </c>
      <c r="M505" s="90" t="str">
        <f t="shared" si="10"/>
        <v>View on Google Map</v>
      </c>
    </row>
    <row r="506" spans="1:13" x14ac:dyDescent="0.2">
      <c r="A506" s="84">
        <v>491</v>
      </c>
      <c r="B506" s="84" t="s">
        <v>1417</v>
      </c>
      <c r="C506" s="84" t="s">
        <v>383</v>
      </c>
      <c r="D506" s="84">
        <v>68.941266666999994</v>
      </c>
      <c r="E506" s="84">
        <v>-150.5068</v>
      </c>
      <c r="F506" s="84">
        <v>408</v>
      </c>
      <c r="G506" s="84" t="s">
        <v>394</v>
      </c>
      <c r="H506" s="84" t="s">
        <v>1418</v>
      </c>
      <c r="I506" s="84" t="s">
        <v>383</v>
      </c>
      <c r="J506" s="84" t="s">
        <v>444</v>
      </c>
      <c r="K506" s="84" t="s">
        <v>383</v>
      </c>
      <c r="L506" s="84" t="s">
        <v>391</v>
      </c>
      <c r="M506" s="90" t="str">
        <f t="shared" si="10"/>
        <v>View on Google Map</v>
      </c>
    </row>
    <row r="507" spans="1:13" x14ac:dyDescent="0.2">
      <c r="A507" s="84">
        <v>492</v>
      </c>
      <c r="B507" s="84" t="s">
        <v>1419</v>
      </c>
      <c r="C507" s="84" t="s">
        <v>383</v>
      </c>
      <c r="D507" s="84" t="s">
        <v>383</v>
      </c>
      <c r="E507" s="84" t="s">
        <v>383</v>
      </c>
      <c r="F507" s="84">
        <v>408</v>
      </c>
      <c r="G507" s="84" t="s">
        <v>394</v>
      </c>
      <c r="H507" s="84" t="s">
        <v>1420</v>
      </c>
      <c r="I507" s="84" t="s">
        <v>383</v>
      </c>
      <c r="J507" s="84" t="s">
        <v>444</v>
      </c>
      <c r="K507" s="84" t="s">
        <v>383</v>
      </c>
      <c r="L507" s="84" t="s">
        <v>391</v>
      </c>
      <c r="M507" s="90" t="str">
        <f t="shared" si="10"/>
        <v>View on Google Map</v>
      </c>
    </row>
    <row r="508" spans="1:13" x14ac:dyDescent="0.2">
      <c r="A508" s="84">
        <v>1172</v>
      </c>
      <c r="B508" s="84" t="s">
        <v>1421</v>
      </c>
      <c r="C508" s="84" t="s">
        <v>383</v>
      </c>
      <c r="D508" s="84">
        <v>68.99666666666667</v>
      </c>
      <c r="E508" s="84">
        <v>-150.21249999999998</v>
      </c>
      <c r="F508" s="84" t="s">
        <v>383</v>
      </c>
      <c r="G508" s="84" t="s">
        <v>384</v>
      </c>
      <c r="H508" s="84" t="s">
        <v>1422</v>
      </c>
      <c r="I508" s="84" t="s">
        <v>383</v>
      </c>
      <c r="J508" s="84" t="s">
        <v>390</v>
      </c>
      <c r="K508" s="84" t="s">
        <v>383</v>
      </c>
      <c r="L508" s="84" t="s">
        <v>391</v>
      </c>
      <c r="M508" s="90" t="str">
        <f t="shared" si="10"/>
        <v>View on Google Map</v>
      </c>
    </row>
    <row r="509" spans="1:13" x14ac:dyDescent="0.2">
      <c r="A509" s="84">
        <v>493</v>
      </c>
      <c r="B509" s="84" t="s">
        <v>1423</v>
      </c>
      <c r="C509" s="84" t="s">
        <v>383</v>
      </c>
      <c r="D509" s="84">
        <v>68.974933332999996</v>
      </c>
      <c r="E509" s="84">
        <v>-150.221066667</v>
      </c>
      <c r="F509" s="84">
        <v>364</v>
      </c>
      <c r="G509" s="84" t="s">
        <v>394</v>
      </c>
      <c r="H509" s="84" t="s">
        <v>383</v>
      </c>
      <c r="I509" s="84" t="s">
        <v>383</v>
      </c>
      <c r="J509" s="84" t="s">
        <v>444</v>
      </c>
      <c r="K509" s="84" t="s">
        <v>383</v>
      </c>
      <c r="L509" s="84" t="s">
        <v>391</v>
      </c>
      <c r="M509" s="90" t="str">
        <f t="shared" si="10"/>
        <v>View on Google Map</v>
      </c>
    </row>
    <row r="510" spans="1:13" x14ac:dyDescent="0.2">
      <c r="A510" s="84">
        <v>405</v>
      </c>
      <c r="B510" s="84" t="s">
        <v>1424</v>
      </c>
      <c r="C510" s="84" t="s">
        <v>383</v>
      </c>
      <c r="D510" s="84" t="s">
        <v>383</v>
      </c>
      <c r="E510" s="84" t="s">
        <v>383</v>
      </c>
      <c r="F510" s="84" t="s">
        <v>383</v>
      </c>
      <c r="G510" s="84" t="s">
        <v>394</v>
      </c>
      <c r="H510" s="84" t="s">
        <v>383</v>
      </c>
      <c r="I510" s="84" t="s">
        <v>383</v>
      </c>
      <c r="J510" s="84" t="s">
        <v>409</v>
      </c>
      <c r="K510" s="84" t="s">
        <v>383</v>
      </c>
      <c r="L510" s="84" t="s">
        <v>565</v>
      </c>
      <c r="M510" s="90" t="str">
        <f t="shared" si="10"/>
        <v>View on Google Map</v>
      </c>
    </row>
    <row r="511" spans="1:13" x14ac:dyDescent="0.2">
      <c r="A511" s="84">
        <v>505</v>
      </c>
      <c r="B511" s="84" t="s">
        <v>1425</v>
      </c>
      <c r="C511" s="84" t="s">
        <v>383</v>
      </c>
      <c r="D511" s="84">
        <v>68.921059</v>
      </c>
      <c r="E511" s="84">
        <v>-150.34784300000001</v>
      </c>
      <c r="F511" s="84" t="s">
        <v>383</v>
      </c>
      <c r="G511" s="84" t="s">
        <v>394</v>
      </c>
      <c r="H511" s="84" t="s">
        <v>383</v>
      </c>
      <c r="I511" s="84" t="s">
        <v>383</v>
      </c>
      <c r="J511" s="84" t="s">
        <v>444</v>
      </c>
      <c r="K511" s="84" t="s">
        <v>383</v>
      </c>
      <c r="L511" s="84" t="s">
        <v>391</v>
      </c>
      <c r="M511" s="90" t="str">
        <f t="shared" si="10"/>
        <v>View on Google Map</v>
      </c>
    </row>
    <row r="512" spans="1:13" x14ac:dyDescent="0.2">
      <c r="A512" s="84">
        <v>506</v>
      </c>
      <c r="B512" s="84" t="s">
        <v>1426</v>
      </c>
      <c r="C512" s="84" t="s">
        <v>383</v>
      </c>
      <c r="D512" s="84">
        <v>68.921186000000006</v>
      </c>
      <c r="E512" s="84">
        <v>-150.37015</v>
      </c>
      <c r="F512" s="84" t="s">
        <v>383</v>
      </c>
      <c r="G512" s="84" t="s">
        <v>394</v>
      </c>
      <c r="H512" s="84" t="s">
        <v>383</v>
      </c>
      <c r="I512" s="84" t="s">
        <v>383</v>
      </c>
      <c r="J512" s="84" t="s">
        <v>444</v>
      </c>
      <c r="K512" s="84" t="s">
        <v>383</v>
      </c>
      <c r="L512" s="84" t="s">
        <v>391</v>
      </c>
      <c r="M512" s="90" t="str">
        <f t="shared" si="10"/>
        <v>View on Google Map</v>
      </c>
    </row>
    <row r="513" spans="1:13" x14ac:dyDescent="0.2">
      <c r="A513" s="84">
        <v>507</v>
      </c>
      <c r="B513" s="84" t="s">
        <v>1427</v>
      </c>
      <c r="C513" s="84" t="s">
        <v>383</v>
      </c>
      <c r="D513" s="84">
        <v>68.936953000000003</v>
      </c>
      <c r="E513" s="84">
        <v>-150.35309699999999</v>
      </c>
      <c r="F513" s="84" t="s">
        <v>383</v>
      </c>
      <c r="G513" s="84" t="s">
        <v>394</v>
      </c>
      <c r="H513" s="84" t="s">
        <v>383</v>
      </c>
      <c r="I513" s="84" t="s">
        <v>383</v>
      </c>
      <c r="J513" s="84" t="s">
        <v>444</v>
      </c>
      <c r="K513" s="84" t="s">
        <v>383</v>
      </c>
      <c r="L513" s="84" t="s">
        <v>391</v>
      </c>
      <c r="M513" s="90" t="str">
        <f t="shared" si="10"/>
        <v>View on Google Map</v>
      </c>
    </row>
    <row r="514" spans="1:13" x14ac:dyDescent="0.2">
      <c r="A514" s="84">
        <v>12</v>
      </c>
      <c r="B514" s="84" t="s">
        <v>1428</v>
      </c>
      <c r="C514" s="84" t="s">
        <v>383</v>
      </c>
      <c r="D514" s="84" t="s">
        <v>383</v>
      </c>
      <c r="E514" s="84" t="s">
        <v>383</v>
      </c>
      <c r="F514" s="84" t="s">
        <v>383</v>
      </c>
      <c r="G514" s="84" t="s">
        <v>408</v>
      </c>
      <c r="H514" s="84" t="s">
        <v>383</v>
      </c>
      <c r="I514" s="84" t="s">
        <v>383</v>
      </c>
      <c r="J514" s="84" t="s">
        <v>409</v>
      </c>
      <c r="K514" s="84" t="s">
        <v>383</v>
      </c>
      <c r="L514" s="84" t="s">
        <v>383</v>
      </c>
      <c r="M514" s="90" t="str">
        <f t="shared" si="10"/>
        <v>View on Google Map</v>
      </c>
    </row>
    <row r="515" spans="1:13" x14ac:dyDescent="0.2">
      <c r="A515" s="84">
        <v>4</v>
      </c>
      <c r="B515" s="84" t="s">
        <v>1429</v>
      </c>
      <c r="C515" s="84" t="s">
        <v>407</v>
      </c>
      <c r="D515" s="84">
        <v>68.38333333333334</v>
      </c>
      <c r="E515" s="84">
        <v>-149.31666666666666</v>
      </c>
      <c r="F515" s="84">
        <v>869</v>
      </c>
      <c r="G515" s="84" t="s">
        <v>408</v>
      </c>
      <c r="H515" s="84" t="s">
        <v>1430</v>
      </c>
      <c r="I515" s="84" t="s">
        <v>1431</v>
      </c>
      <c r="J515" s="84" t="s">
        <v>409</v>
      </c>
      <c r="K515" s="84" t="s">
        <v>383</v>
      </c>
      <c r="L515" s="84" t="s">
        <v>410</v>
      </c>
      <c r="M515" s="90" t="str">
        <f t="shared" ref="M515:M578" si="11">HYPERLINK("http://maps.google.com/maps?q="&amp;D515&amp;","&amp;E515,"View on Google Map")</f>
        <v>View on Google Map</v>
      </c>
    </row>
    <row r="516" spans="1:13" x14ac:dyDescent="0.2">
      <c r="A516" s="84">
        <v>148</v>
      </c>
      <c r="B516" s="84" t="s">
        <v>1432</v>
      </c>
      <c r="C516" s="84" t="s">
        <v>383</v>
      </c>
      <c r="D516" s="84">
        <v>68.624535966600007</v>
      </c>
      <c r="E516" s="84">
        <v>-149.60216609099999</v>
      </c>
      <c r="F516" s="84">
        <v>720</v>
      </c>
      <c r="G516" s="84" t="s">
        <v>394</v>
      </c>
      <c r="H516" s="84" t="s">
        <v>383</v>
      </c>
      <c r="I516" s="84" t="s">
        <v>383</v>
      </c>
      <c r="J516" s="84" t="s">
        <v>409</v>
      </c>
      <c r="K516" s="84" t="s">
        <v>383</v>
      </c>
      <c r="L516" s="84" t="s">
        <v>383</v>
      </c>
      <c r="M516" s="90" t="str">
        <f t="shared" si="11"/>
        <v>View on Google Map</v>
      </c>
    </row>
    <row r="517" spans="1:13" x14ac:dyDescent="0.2">
      <c r="A517" s="84">
        <v>241</v>
      </c>
      <c r="B517" s="84" t="s">
        <v>1432</v>
      </c>
      <c r="C517" s="84" t="s">
        <v>383</v>
      </c>
      <c r="D517" s="84">
        <v>68.624535966600007</v>
      </c>
      <c r="E517" s="84">
        <v>-149.60216609099999</v>
      </c>
      <c r="F517" s="84" t="s">
        <v>383</v>
      </c>
      <c r="G517" s="84" t="s">
        <v>394</v>
      </c>
      <c r="H517" s="84" t="s">
        <v>383</v>
      </c>
      <c r="I517" s="84" t="s">
        <v>383</v>
      </c>
      <c r="J517" s="84" t="s">
        <v>409</v>
      </c>
      <c r="K517" s="84" t="s">
        <v>383</v>
      </c>
      <c r="L517" s="84" t="s">
        <v>383</v>
      </c>
      <c r="M517" s="90" t="str">
        <f t="shared" si="11"/>
        <v>View on Google Map</v>
      </c>
    </row>
    <row r="518" spans="1:13" x14ac:dyDescent="0.2">
      <c r="A518" s="84">
        <v>149</v>
      </c>
      <c r="B518" s="84" t="s">
        <v>1433</v>
      </c>
      <c r="C518" s="84" t="s">
        <v>383</v>
      </c>
      <c r="D518" s="84">
        <v>68.627169078600005</v>
      </c>
      <c r="E518" s="84">
        <v>-149.61135296200001</v>
      </c>
      <c r="F518" s="84">
        <v>720</v>
      </c>
      <c r="G518" s="84" t="s">
        <v>394</v>
      </c>
      <c r="H518" s="84" t="s">
        <v>383</v>
      </c>
      <c r="I518" s="84" t="s">
        <v>383</v>
      </c>
      <c r="J518" s="84" t="s">
        <v>409</v>
      </c>
      <c r="K518" s="84" t="s">
        <v>383</v>
      </c>
      <c r="L518" s="84" t="s">
        <v>383</v>
      </c>
      <c r="M518" s="90" t="str">
        <f t="shared" si="11"/>
        <v>View on Google Map</v>
      </c>
    </row>
    <row r="519" spans="1:13" x14ac:dyDescent="0.2">
      <c r="A519" s="84">
        <v>150</v>
      </c>
      <c r="B519" s="84" t="s">
        <v>1434</v>
      </c>
      <c r="C519" s="84" t="s">
        <v>383</v>
      </c>
      <c r="D519" s="84">
        <v>68.628818623300006</v>
      </c>
      <c r="E519" s="84">
        <v>-149.62482197599999</v>
      </c>
      <c r="F519" s="84">
        <v>720</v>
      </c>
      <c r="G519" s="84" t="s">
        <v>394</v>
      </c>
      <c r="H519" s="84" t="s">
        <v>383</v>
      </c>
      <c r="I519" s="84" t="s">
        <v>383</v>
      </c>
      <c r="J519" s="84" t="s">
        <v>409</v>
      </c>
      <c r="K519" s="84" t="s">
        <v>383</v>
      </c>
      <c r="L519" s="84" t="s">
        <v>383</v>
      </c>
      <c r="M519" s="90" t="str">
        <f t="shared" si="11"/>
        <v>View on Google Map</v>
      </c>
    </row>
    <row r="520" spans="1:13" x14ac:dyDescent="0.2">
      <c r="A520" s="84">
        <v>151</v>
      </c>
      <c r="B520" s="84" t="s">
        <v>1435</v>
      </c>
      <c r="C520" s="84" t="s">
        <v>383</v>
      </c>
      <c r="D520" s="84">
        <v>68.630949932700005</v>
      </c>
      <c r="E520" s="84">
        <v>-149.62993150400001</v>
      </c>
      <c r="F520" s="84" t="s">
        <v>383</v>
      </c>
      <c r="G520" s="84" t="s">
        <v>394</v>
      </c>
      <c r="H520" s="84" t="s">
        <v>383</v>
      </c>
      <c r="I520" s="84" t="s">
        <v>383</v>
      </c>
      <c r="J520" s="84" t="s">
        <v>409</v>
      </c>
      <c r="K520" s="84" t="s">
        <v>383</v>
      </c>
      <c r="L520" s="84" t="s">
        <v>383</v>
      </c>
      <c r="M520" s="90" t="str">
        <f t="shared" si="11"/>
        <v>View on Google Map</v>
      </c>
    </row>
    <row r="521" spans="1:13" x14ac:dyDescent="0.2">
      <c r="A521" s="84">
        <v>106</v>
      </c>
      <c r="B521" s="84" t="s">
        <v>1436</v>
      </c>
      <c r="C521" s="84" t="s">
        <v>383</v>
      </c>
      <c r="D521" s="84">
        <v>68.631431924799998</v>
      </c>
      <c r="E521" s="84">
        <v>-149.63669249099999</v>
      </c>
      <c r="F521" s="84">
        <v>725</v>
      </c>
      <c r="G521" s="84" t="s">
        <v>394</v>
      </c>
      <c r="H521" s="84" t="s">
        <v>1437</v>
      </c>
      <c r="I521" s="84" t="s">
        <v>383</v>
      </c>
      <c r="J521" s="84" t="s">
        <v>409</v>
      </c>
      <c r="K521" s="84" t="s">
        <v>383</v>
      </c>
      <c r="L521" s="84" t="s">
        <v>383</v>
      </c>
      <c r="M521" s="90" t="str">
        <f t="shared" si="11"/>
        <v>View on Google Map</v>
      </c>
    </row>
    <row r="522" spans="1:13" x14ac:dyDescent="0.2">
      <c r="A522" s="84">
        <v>107</v>
      </c>
      <c r="B522" s="84" t="s">
        <v>1438</v>
      </c>
      <c r="C522" s="84" t="s">
        <v>383</v>
      </c>
      <c r="D522" s="84">
        <v>68.629379781599994</v>
      </c>
      <c r="E522" s="84">
        <v>-149.64162329499999</v>
      </c>
      <c r="F522" s="84">
        <v>731</v>
      </c>
      <c r="G522" s="84" t="s">
        <v>394</v>
      </c>
      <c r="H522" s="84" t="s">
        <v>1439</v>
      </c>
      <c r="I522" s="84" t="s">
        <v>383</v>
      </c>
      <c r="J522" s="84" t="s">
        <v>409</v>
      </c>
      <c r="K522" s="84" t="s">
        <v>383</v>
      </c>
      <c r="L522" s="84" t="s">
        <v>383</v>
      </c>
      <c r="M522" s="90" t="str">
        <f t="shared" si="11"/>
        <v>View on Google Map</v>
      </c>
    </row>
    <row r="523" spans="1:13" x14ac:dyDescent="0.2">
      <c r="A523" s="84">
        <v>1603</v>
      </c>
      <c r="B523" s="84" t="s">
        <v>1440</v>
      </c>
      <c r="C523" s="84" t="s">
        <v>383</v>
      </c>
      <c r="D523" s="84" t="s">
        <v>383</v>
      </c>
      <c r="E523" s="84" t="s">
        <v>383</v>
      </c>
      <c r="F523" s="84" t="s">
        <v>383</v>
      </c>
      <c r="G523" s="84" t="s">
        <v>408</v>
      </c>
      <c r="H523" s="84" t="s">
        <v>1441</v>
      </c>
      <c r="I523" s="84" t="s">
        <v>1442</v>
      </c>
      <c r="J523" s="84" t="s">
        <v>409</v>
      </c>
      <c r="K523" s="84" t="s">
        <v>383</v>
      </c>
      <c r="L523" s="84" t="s">
        <v>383</v>
      </c>
      <c r="M523" s="90" t="str">
        <f t="shared" si="11"/>
        <v>View on Google Map</v>
      </c>
    </row>
    <row r="524" spans="1:13" x14ac:dyDescent="0.2">
      <c r="A524" s="84">
        <v>152</v>
      </c>
      <c r="B524" s="84" t="s">
        <v>1443</v>
      </c>
      <c r="C524" s="84" t="s">
        <v>383</v>
      </c>
      <c r="D524" s="84">
        <v>68.630062744699998</v>
      </c>
      <c r="E524" s="84">
        <v>-149.64444178900001</v>
      </c>
      <c r="F524" s="84">
        <v>731</v>
      </c>
      <c r="G524" s="84" t="s">
        <v>394</v>
      </c>
      <c r="H524" s="84" t="s">
        <v>383</v>
      </c>
      <c r="I524" s="84" t="s">
        <v>383</v>
      </c>
      <c r="J524" s="84" t="s">
        <v>409</v>
      </c>
      <c r="K524" s="84" t="s">
        <v>383</v>
      </c>
      <c r="L524" s="84" t="s">
        <v>383</v>
      </c>
      <c r="M524" s="90" t="str">
        <f t="shared" si="11"/>
        <v>View on Google Map</v>
      </c>
    </row>
    <row r="525" spans="1:13" x14ac:dyDescent="0.2">
      <c r="A525" s="84">
        <v>1601</v>
      </c>
      <c r="B525" s="84" t="s">
        <v>1444</v>
      </c>
      <c r="C525" s="84" t="s">
        <v>383</v>
      </c>
      <c r="D525" s="84" t="s">
        <v>383</v>
      </c>
      <c r="E525" s="84" t="s">
        <v>383</v>
      </c>
      <c r="F525" s="84" t="s">
        <v>383</v>
      </c>
      <c r="G525" s="84" t="s">
        <v>383</v>
      </c>
      <c r="H525" s="84" t="s">
        <v>1445</v>
      </c>
      <c r="I525" s="84" t="s">
        <v>1446</v>
      </c>
      <c r="J525" s="9" t="s">
        <v>409</v>
      </c>
      <c r="K525" s="84" t="s">
        <v>383</v>
      </c>
      <c r="L525" s="84" t="s">
        <v>383</v>
      </c>
      <c r="M525" s="90" t="str">
        <f t="shared" si="11"/>
        <v>View on Google Map</v>
      </c>
    </row>
    <row r="526" spans="1:13" x14ac:dyDescent="0.2">
      <c r="A526" s="84">
        <v>1602</v>
      </c>
      <c r="B526" s="84" t="s">
        <v>1447</v>
      </c>
      <c r="C526" s="84" t="s">
        <v>383</v>
      </c>
      <c r="D526" s="84" t="s">
        <v>383</v>
      </c>
      <c r="E526" s="84" t="s">
        <v>383</v>
      </c>
      <c r="F526" s="84" t="s">
        <v>383</v>
      </c>
      <c r="G526" s="84" t="s">
        <v>383</v>
      </c>
      <c r="H526" s="84" t="s">
        <v>1448</v>
      </c>
      <c r="I526" s="84" t="s">
        <v>1449</v>
      </c>
      <c r="J526" s="9" t="s">
        <v>409</v>
      </c>
      <c r="K526" s="84" t="s">
        <v>383</v>
      </c>
      <c r="L526" s="84" t="s">
        <v>383</v>
      </c>
      <c r="M526" s="90" t="str">
        <f t="shared" si="11"/>
        <v>View on Google Map</v>
      </c>
    </row>
    <row r="527" spans="1:13" x14ac:dyDescent="0.2">
      <c r="A527" s="84">
        <v>153</v>
      </c>
      <c r="B527" s="84" t="s">
        <v>1450</v>
      </c>
      <c r="C527" s="84" t="s">
        <v>383</v>
      </c>
      <c r="D527" s="84" t="s">
        <v>383</v>
      </c>
      <c r="E527" s="84" t="s">
        <v>383</v>
      </c>
      <c r="F527" s="84" t="s">
        <v>383</v>
      </c>
      <c r="G527" s="84" t="s">
        <v>394</v>
      </c>
      <c r="H527" s="84" t="s">
        <v>383</v>
      </c>
      <c r="I527" s="84" t="s">
        <v>383</v>
      </c>
      <c r="J527" s="84" t="s">
        <v>409</v>
      </c>
      <c r="K527" s="84" t="s">
        <v>383</v>
      </c>
      <c r="L527" s="84" t="s">
        <v>383</v>
      </c>
      <c r="M527" s="90" t="str">
        <f t="shared" si="11"/>
        <v>View on Google Map</v>
      </c>
    </row>
    <row r="528" spans="1:13" x14ac:dyDescent="0.2">
      <c r="A528" s="84">
        <v>154</v>
      </c>
      <c r="B528" s="84" t="s">
        <v>1451</v>
      </c>
      <c r="C528" s="84" t="s">
        <v>383</v>
      </c>
      <c r="D528" s="84" t="s">
        <v>383</v>
      </c>
      <c r="E528" s="84" t="s">
        <v>383</v>
      </c>
      <c r="F528" s="84" t="s">
        <v>383</v>
      </c>
      <c r="G528" s="84" t="s">
        <v>394</v>
      </c>
      <c r="H528" s="84" t="s">
        <v>383</v>
      </c>
      <c r="I528" s="84" t="s">
        <v>383</v>
      </c>
      <c r="J528" s="84" t="s">
        <v>409</v>
      </c>
      <c r="K528" s="84" t="s">
        <v>383</v>
      </c>
      <c r="L528" s="84" t="s">
        <v>383</v>
      </c>
      <c r="M528" s="90" t="str">
        <f t="shared" si="11"/>
        <v>View on Google Map</v>
      </c>
    </row>
    <row r="529" spans="1:13" x14ac:dyDescent="0.2">
      <c r="A529" s="84">
        <v>155</v>
      </c>
      <c r="B529" s="84" t="s">
        <v>1452</v>
      </c>
      <c r="C529" s="84" t="s">
        <v>383</v>
      </c>
      <c r="D529" s="84" t="s">
        <v>383</v>
      </c>
      <c r="E529" s="84" t="s">
        <v>383</v>
      </c>
      <c r="F529" s="84" t="s">
        <v>383</v>
      </c>
      <c r="G529" s="84" t="s">
        <v>394</v>
      </c>
      <c r="H529" s="84" t="s">
        <v>383</v>
      </c>
      <c r="I529" s="84" t="s">
        <v>383</v>
      </c>
      <c r="J529" s="84" t="s">
        <v>409</v>
      </c>
      <c r="K529" s="84" t="s">
        <v>383</v>
      </c>
      <c r="L529" s="84" t="s">
        <v>383</v>
      </c>
      <c r="M529" s="90" t="str">
        <f t="shared" si="11"/>
        <v>View on Google Map</v>
      </c>
    </row>
    <row r="530" spans="1:13" x14ac:dyDescent="0.2">
      <c r="A530" s="84">
        <v>156</v>
      </c>
      <c r="B530" s="84" t="s">
        <v>1453</v>
      </c>
      <c r="C530" s="84" t="s">
        <v>383</v>
      </c>
      <c r="D530" s="84">
        <v>68.630148048999999</v>
      </c>
      <c r="E530" s="84">
        <v>-149.65057914499999</v>
      </c>
      <c r="F530" s="84">
        <v>750</v>
      </c>
      <c r="G530" s="84" t="s">
        <v>394</v>
      </c>
      <c r="H530" s="84" t="s">
        <v>383</v>
      </c>
      <c r="I530" s="84" t="s">
        <v>383</v>
      </c>
      <c r="J530" s="84" t="s">
        <v>409</v>
      </c>
      <c r="K530" s="84" t="s">
        <v>383</v>
      </c>
      <c r="L530" s="84" t="s">
        <v>383</v>
      </c>
      <c r="M530" s="90" t="str">
        <f t="shared" si="11"/>
        <v>View on Google Map</v>
      </c>
    </row>
    <row r="531" spans="1:13" x14ac:dyDescent="0.2">
      <c r="A531" s="84">
        <v>157</v>
      </c>
      <c r="B531" s="84" t="s">
        <v>1454</v>
      </c>
      <c r="C531" s="84" t="s">
        <v>383</v>
      </c>
      <c r="D531" s="84">
        <v>68.629627802900004</v>
      </c>
      <c r="E531" s="84">
        <v>-149.655880887</v>
      </c>
      <c r="F531" s="84">
        <v>754</v>
      </c>
      <c r="G531" s="84" t="s">
        <v>394</v>
      </c>
      <c r="H531" s="84" t="s">
        <v>383</v>
      </c>
      <c r="I531" s="84" t="s">
        <v>383</v>
      </c>
      <c r="J531" s="84" t="s">
        <v>409</v>
      </c>
      <c r="K531" s="84" t="s">
        <v>383</v>
      </c>
      <c r="L531" s="84" t="s">
        <v>383</v>
      </c>
      <c r="M531" s="90" t="str">
        <f t="shared" si="11"/>
        <v>View on Google Map</v>
      </c>
    </row>
    <row r="532" spans="1:13" x14ac:dyDescent="0.2">
      <c r="A532" s="84">
        <v>158</v>
      </c>
      <c r="B532" s="84" t="s">
        <v>1455</v>
      </c>
      <c r="C532" s="84" t="s">
        <v>383</v>
      </c>
      <c r="D532" s="84">
        <v>68.631486568699998</v>
      </c>
      <c r="E532" s="84">
        <v>-149.65910231699999</v>
      </c>
      <c r="F532" s="84">
        <v>754</v>
      </c>
      <c r="G532" s="84" t="s">
        <v>394</v>
      </c>
      <c r="H532" s="84" t="s">
        <v>383</v>
      </c>
      <c r="I532" s="84" t="s">
        <v>383</v>
      </c>
      <c r="J532" s="84" t="s">
        <v>409</v>
      </c>
      <c r="K532" s="84" t="s">
        <v>383</v>
      </c>
      <c r="L532" s="84" t="s">
        <v>383</v>
      </c>
      <c r="M532" s="90" t="str">
        <f t="shared" si="11"/>
        <v>View on Google Map</v>
      </c>
    </row>
    <row r="533" spans="1:13" x14ac:dyDescent="0.2">
      <c r="A533" s="84">
        <v>169</v>
      </c>
      <c r="B533" s="84" t="s">
        <v>1456</v>
      </c>
      <c r="C533" s="84" t="s">
        <v>383</v>
      </c>
      <c r="D533" s="84" t="s">
        <v>383</v>
      </c>
      <c r="E533" s="84" t="s">
        <v>383</v>
      </c>
      <c r="F533" s="84" t="s">
        <v>383</v>
      </c>
      <c r="G533" s="84" t="s">
        <v>394</v>
      </c>
      <c r="H533" s="84" t="s">
        <v>383</v>
      </c>
      <c r="I533" s="84" t="s">
        <v>383</v>
      </c>
      <c r="J533" s="84" t="s">
        <v>409</v>
      </c>
      <c r="K533" s="84" t="s">
        <v>383</v>
      </c>
      <c r="L533" s="84" t="s">
        <v>383</v>
      </c>
      <c r="M533" s="90" t="str">
        <f t="shared" si="11"/>
        <v>View on Google Map</v>
      </c>
    </row>
    <row r="534" spans="1:13" x14ac:dyDescent="0.2">
      <c r="A534" s="84">
        <v>170</v>
      </c>
      <c r="B534" s="84" t="s">
        <v>1457</v>
      </c>
      <c r="C534" s="84" t="s">
        <v>383</v>
      </c>
      <c r="D534" s="84" t="s">
        <v>383</v>
      </c>
      <c r="E534" s="84" t="s">
        <v>383</v>
      </c>
      <c r="F534" s="84" t="s">
        <v>383</v>
      </c>
      <c r="G534" s="84" t="s">
        <v>394</v>
      </c>
      <c r="H534" s="84" t="s">
        <v>383</v>
      </c>
      <c r="I534" s="84" t="s">
        <v>383</v>
      </c>
      <c r="J534" s="84" t="s">
        <v>409</v>
      </c>
      <c r="K534" s="84" t="s">
        <v>383</v>
      </c>
      <c r="L534" s="84" t="s">
        <v>383</v>
      </c>
      <c r="M534" s="90" t="str">
        <f t="shared" si="11"/>
        <v>View on Google Map</v>
      </c>
    </row>
    <row r="535" spans="1:13" x14ac:dyDescent="0.2">
      <c r="A535" s="84">
        <v>136</v>
      </c>
      <c r="B535" s="84" t="s">
        <v>1458</v>
      </c>
      <c r="C535" s="84" t="s">
        <v>383</v>
      </c>
      <c r="D535" s="84">
        <v>70.233333333333334</v>
      </c>
      <c r="E535" s="84">
        <v>-148.25</v>
      </c>
      <c r="F535" s="84">
        <v>10</v>
      </c>
      <c r="G535" s="84" t="s">
        <v>394</v>
      </c>
      <c r="H535" s="84" t="s">
        <v>1459</v>
      </c>
      <c r="I535" s="84" t="s">
        <v>383</v>
      </c>
      <c r="J535" s="84" t="s">
        <v>409</v>
      </c>
      <c r="K535" s="84" t="s">
        <v>383</v>
      </c>
      <c r="L535" s="84" t="s">
        <v>410</v>
      </c>
      <c r="M535" s="90" t="str">
        <f t="shared" si="11"/>
        <v>View on Google Map</v>
      </c>
    </row>
    <row r="536" spans="1:13" x14ac:dyDescent="0.2">
      <c r="A536" s="84">
        <v>6</v>
      </c>
      <c r="B536" s="84" t="s">
        <v>1460</v>
      </c>
      <c r="C536" s="84" t="s">
        <v>383</v>
      </c>
      <c r="D536" s="84" t="s">
        <v>383</v>
      </c>
      <c r="E536" s="84" t="s">
        <v>383</v>
      </c>
      <c r="F536" s="84">
        <v>457</v>
      </c>
      <c r="G536" s="84" t="s">
        <v>408</v>
      </c>
      <c r="H536" s="84" t="s">
        <v>1461</v>
      </c>
      <c r="I536" s="84" t="s">
        <v>1462</v>
      </c>
      <c r="J536" s="84" t="s">
        <v>409</v>
      </c>
      <c r="K536" s="84" t="s">
        <v>383</v>
      </c>
      <c r="L536" s="84" t="s">
        <v>410</v>
      </c>
      <c r="M536" s="90" t="str">
        <f t="shared" si="11"/>
        <v>View on Google Map</v>
      </c>
    </row>
    <row r="537" spans="1:13" x14ac:dyDescent="0.2">
      <c r="A537" s="84">
        <v>20</v>
      </c>
      <c r="B537" s="84" t="s">
        <v>1463</v>
      </c>
      <c r="C537" s="84" t="s">
        <v>383</v>
      </c>
      <c r="D537" s="84" t="s">
        <v>383</v>
      </c>
      <c r="E537" s="84" t="s">
        <v>383</v>
      </c>
      <c r="F537" s="84" t="s">
        <v>383</v>
      </c>
      <c r="G537" s="84" t="s">
        <v>408</v>
      </c>
      <c r="H537" s="84" t="s">
        <v>383</v>
      </c>
      <c r="I537" s="84" t="s">
        <v>383</v>
      </c>
      <c r="J537" s="84" t="s">
        <v>409</v>
      </c>
      <c r="K537" s="84" t="s">
        <v>383</v>
      </c>
      <c r="L537" s="84" t="s">
        <v>383</v>
      </c>
      <c r="M537" s="90" t="str">
        <f t="shared" si="11"/>
        <v>View on Google Map</v>
      </c>
    </row>
    <row r="538" spans="1:13" x14ac:dyDescent="0.2">
      <c r="A538" s="84">
        <v>1176</v>
      </c>
      <c r="B538" s="84" t="s">
        <v>1464</v>
      </c>
      <c r="C538" s="84" t="s">
        <v>415</v>
      </c>
      <c r="D538" s="84">
        <v>68.996418329999997</v>
      </c>
      <c r="E538" s="84">
        <v>-150.27895670000001</v>
      </c>
      <c r="F538" s="84" t="s">
        <v>383</v>
      </c>
      <c r="G538" s="84" t="s">
        <v>384</v>
      </c>
      <c r="H538" s="84" t="s">
        <v>383</v>
      </c>
      <c r="I538" s="84" t="s">
        <v>383</v>
      </c>
      <c r="J538" s="84" t="s">
        <v>390</v>
      </c>
      <c r="K538" s="84" t="s">
        <v>383</v>
      </c>
      <c r="L538" s="84" t="s">
        <v>391</v>
      </c>
      <c r="M538" s="90" t="str">
        <f t="shared" si="11"/>
        <v>View on Google Map</v>
      </c>
    </row>
    <row r="539" spans="1:13" x14ac:dyDescent="0.2">
      <c r="A539" s="84">
        <v>509</v>
      </c>
      <c r="B539" s="84" t="s">
        <v>1465</v>
      </c>
      <c r="C539" s="84" t="s">
        <v>393</v>
      </c>
      <c r="D539" s="84">
        <v>68.338126000000003</v>
      </c>
      <c r="E539" s="84">
        <v>-151.061735</v>
      </c>
      <c r="F539" s="84">
        <v>840</v>
      </c>
      <c r="G539" s="84" t="s">
        <v>394</v>
      </c>
      <c r="H539" s="84" t="s">
        <v>383</v>
      </c>
      <c r="I539" s="84" t="s">
        <v>383</v>
      </c>
      <c r="J539" s="84" t="s">
        <v>395</v>
      </c>
      <c r="K539" s="84" t="s">
        <v>383</v>
      </c>
      <c r="L539" s="84" t="s">
        <v>396</v>
      </c>
      <c r="M539" s="90" t="str">
        <f t="shared" si="11"/>
        <v>View on Google Map</v>
      </c>
    </row>
    <row r="540" spans="1:13" x14ac:dyDescent="0.2">
      <c r="A540" s="84">
        <v>36</v>
      </c>
      <c r="B540" s="84" t="s">
        <v>1466</v>
      </c>
      <c r="C540" s="84" t="s">
        <v>383</v>
      </c>
      <c r="D540" s="84">
        <v>69.233333333333334</v>
      </c>
      <c r="E540" s="84">
        <v>-150.804383333</v>
      </c>
      <c r="F540" s="84">
        <v>181.97</v>
      </c>
      <c r="G540" s="84" t="s">
        <v>408</v>
      </c>
      <c r="H540" s="84" t="s">
        <v>383</v>
      </c>
      <c r="I540" s="84" t="s">
        <v>383</v>
      </c>
      <c r="J540" s="84" t="s">
        <v>444</v>
      </c>
      <c r="K540" s="84" t="s">
        <v>383</v>
      </c>
      <c r="L540" s="84" t="s">
        <v>391</v>
      </c>
      <c r="M540" s="90" t="str">
        <f t="shared" si="11"/>
        <v>View on Google Map</v>
      </c>
    </row>
    <row r="541" spans="1:13" x14ac:dyDescent="0.2">
      <c r="A541" s="84">
        <v>37</v>
      </c>
      <c r="B541" s="84" t="s">
        <v>1467</v>
      </c>
      <c r="C541" s="84" t="s">
        <v>383</v>
      </c>
      <c r="D541" s="84">
        <v>68.289683333333329</v>
      </c>
      <c r="E541" s="84">
        <v>-150.91499999999999</v>
      </c>
      <c r="F541" s="84">
        <v>392</v>
      </c>
      <c r="G541" s="84" t="s">
        <v>408</v>
      </c>
      <c r="H541" s="84" t="s">
        <v>383</v>
      </c>
      <c r="I541" s="84" t="s">
        <v>383</v>
      </c>
      <c r="J541" s="84" t="s">
        <v>444</v>
      </c>
      <c r="K541" s="84" t="s">
        <v>383</v>
      </c>
      <c r="L541" s="84" t="s">
        <v>391</v>
      </c>
      <c r="M541" s="90" t="str">
        <f t="shared" si="11"/>
        <v>View on Google Map</v>
      </c>
    </row>
    <row r="542" spans="1:13" x14ac:dyDescent="0.2">
      <c r="A542" s="84">
        <v>130</v>
      </c>
      <c r="B542" s="84" t="s">
        <v>1468</v>
      </c>
      <c r="C542" s="84" t="s">
        <v>1469</v>
      </c>
      <c r="D542" s="84">
        <v>70.083333333333329</v>
      </c>
      <c r="E542" s="84">
        <v>-148.53333333333299</v>
      </c>
      <c r="F542" s="84">
        <v>24</v>
      </c>
      <c r="G542" s="84" t="s">
        <v>394</v>
      </c>
      <c r="H542" s="84" t="s">
        <v>1470</v>
      </c>
      <c r="I542" s="84" t="s">
        <v>383</v>
      </c>
      <c r="J542" s="84" t="s">
        <v>409</v>
      </c>
      <c r="K542" s="84" t="s">
        <v>383</v>
      </c>
      <c r="L542" s="84" t="s">
        <v>410</v>
      </c>
      <c r="M542" s="90" t="str">
        <f t="shared" si="11"/>
        <v>View on Google Map</v>
      </c>
    </row>
    <row r="543" spans="1:13" x14ac:dyDescent="0.2">
      <c r="A543" s="84">
        <v>519</v>
      </c>
      <c r="B543" s="84" t="s">
        <v>1471</v>
      </c>
      <c r="C543" s="84" t="s">
        <v>393</v>
      </c>
      <c r="D543" s="84">
        <v>68.802636000000007</v>
      </c>
      <c r="E543" s="84">
        <v>-150.78539699999999</v>
      </c>
      <c r="F543" s="84">
        <v>411</v>
      </c>
      <c r="G543" s="84" t="s">
        <v>394</v>
      </c>
      <c r="H543" s="84" t="s">
        <v>383</v>
      </c>
      <c r="I543" s="84" t="s">
        <v>383</v>
      </c>
      <c r="J543" s="84" t="s">
        <v>395</v>
      </c>
      <c r="K543" s="84" t="s">
        <v>383</v>
      </c>
      <c r="L543" s="84" t="s">
        <v>396</v>
      </c>
      <c r="M543" s="90" t="str">
        <f t="shared" si="11"/>
        <v>View on Google Map</v>
      </c>
    </row>
    <row r="544" spans="1:13" x14ac:dyDescent="0.2">
      <c r="A544" s="84">
        <v>452</v>
      </c>
      <c r="B544" s="84" t="s">
        <v>1472</v>
      </c>
      <c r="C544" s="84" t="s">
        <v>383</v>
      </c>
      <c r="D544" s="84">
        <v>68.794960000000003</v>
      </c>
      <c r="E544" s="84">
        <v>-149.04813999999999</v>
      </c>
      <c r="F544" s="84">
        <v>754</v>
      </c>
      <c r="G544" s="84" t="s">
        <v>394</v>
      </c>
      <c r="H544" s="84" t="s">
        <v>383</v>
      </c>
      <c r="I544" s="84" t="s">
        <v>383</v>
      </c>
      <c r="J544" s="84" t="s">
        <v>395</v>
      </c>
      <c r="K544" s="84" t="s">
        <v>383</v>
      </c>
      <c r="L544" s="84" t="s">
        <v>383</v>
      </c>
      <c r="M544" s="90" t="str">
        <f t="shared" si="11"/>
        <v>View on Google Map</v>
      </c>
    </row>
    <row r="545" spans="1:13" x14ac:dyDescent="0.2">
      <c r="A545" s="84">
        <v>453</v>
      </c>
      <c r="B545" s="84" t="s">
        <v>1473</v>
      </c>
      <c r="C545" s="84" t="s">
        <v>383</v>
      </c>
      <c r="D545" s="84">
        <v>68.810460000000006</v>
      </c>
      <c r="E545" s="84">
        <v>-149.05207999999999</v>
      </c>
      <c r="F545" s="84">
        <v>727</v>
      </c>
      <c r="G545" s="84" t="s">
        <v>394</v>
      </c>
      <c r="H545" s="84" t="s">
        <v>383</v>
      </c>
      <c r="I545" s="84" t="s">
        <v>383</v>
      </c>
      <c r="J545" s="84" t="s">
        <v>395</v>
      </c>
      <c r="K545" s="84" t="s">
        <v>383</v>
      </c>
      <c r="L545" s="84" t="s">
        <v>383</v>
      </c>
      <c r="M545" s="90" t="str">
        <f t="shared" si="11"/>
        <v>View on Google Map</v>
      </c>
    </row>
    <row r="546" spans="1:13" x14ac:dyDescent="0.2">
      <c r="A546" s="84">
        <v>454</v>
      </c>
      <c r="B546" s="84" t="s">
        <v>1474</v>
      </c>
      <c r="C546" s="84" t="s">
        <v>383</v>
      </c>
      <c r="D546" s="84">
        <v>68.815870000000004</v>
      </c>
      <c r="E546" s="84">
        <v>-149.06173999999999</v>
      </c>
      <c r="F546" s="84">
        <v>715</v>
      </c>
      <c r="G546" s="84" t="s">
        <v>394</v>
      </c>
      <c r="H546" s="84" t="s">
        <v>383</v>
      </c>
      <c r="I546" s="84" t="s">
        <v>383</v>
      </c>
      <c r="J546" s="84" t="s">
        <v>395</v>
      </c>
      <c r="K546" s="84" t="s">
        <v>383</v>
      </c>
      <c r="L546" s="84" t="s">
        <v>383</v>
      </c>
      <c r="M546" s="90" t="str">
        <f t="shared" si="11"/>
        <v>View on Google Map</v>
      </c>
    </row>
    <row r="547" spans="1:13" x14ac:dyDescent="0.2">
      <c r="A547" s="84">
        <v>455</v>
      </c>
      <c r="B547" s="84" t="s">
        <v>1475</v>
      </c>
      <c r="C547" s="84" t="s">
        <v>383</v>
      </c>
      <c r="D547" s="84">
        <v>68.810519999999997</v>
      </c>
      <c r="E547" s="84">
        <v>-149.06282999999999</v>
      </c>
      <c r="F547" s="84">
        <v>728</v>
      </c>
      <c r="G547" s="84" t="s">
        <v>394</v>
      </c>
      <c r="H547" s="84" t="s">
        <v>383</v>
      </c>
      <c r="I547" s="84" t="s">
        <v>383</v>
      </c>
      <c r="J547" s="84" t="s">
        <v>395</v>
      </c>
      <c r="K547" s="84" t="s">
        <v>383</v>
      </c>
      <c r="L547" s="84" t="s">
        <v>383</v>
      </c>
      <c r="M547" s="90" t="str">
        <f t="shared" si="11"/>
        <v>View on Google Map</v>
      </c>
    </row>
    <row r="548" spans="1:13" x14ac:dyDescent="0.2">
      <c r="A548" s="84">
        <v>456</v>
      </c>
      <c r="B548" s="84" t="s">
        <v>1476</v>
      </c>
      <c r="C548" s="84" t="s">
        <v>383</v>
      </c>
      <c r="D548" s="84">
        <v>68.812290000000004</v>
      </c>
      <c r="E548" s="84">
        <v>-149.06899000000001</v>
      </c>
      <c r="F548" s="84">
        <v>730</v>
      </c>
      <c r="G548" s="84" t="s">
        <v>394</v>
      </c>
      <c r="H548" s="84" t="s">
        <v>383</v>
      </c>
      <c r="I548" s="84" t="s">
        <v>383</v>
      </c>
      <c r="J548" s="84" t="s">
        <v>395</v>
      </c>
      <c r="K548" s="84" t="s">
        <v>383</v>
      </c>
      <c r="L548" s="84" t="s">
        <v>383</v>
      </c>
      <c r="M548" s="90" t="str">
        <f t="shared" si="11"/>
        <v>View on Google Map</v>
      </c>
    </row>
    <row r="549" spans="1:13" x14ac:dyDescent="0.2">
      <c r="A549" s="84">
        <v>457</v>
      </c>
      <c r="B549" s="84" t="s">
        <v>1477</v>
      </c>
      <c r="C549" s="84" t="s">
        <v>383</v>
      </c>
      <c r="D549" s="84">
        <v>68.814369999999997</v>
      </c>
      <c r="E549" s="84">
        <v>-149.06774999999999</v>
      </c>
      <c r="F549" s="84">
        <v>724</v>
      </c>
      <c r="G549" s="84" t="s">
        <v>394</v>
      </c>
      <c r="H549" s="84" t="s">
        <v>383</v>
      </c>
      <c r="I549" s="84" t="s">
        <v>383</v>
      </c>
      <c r="J549" s="84" t="s">
        <v>395</v>
      </c>
      <c r="K549" s="84" t="s">
        <v>383</v>
      </c>
      <c r="L549" s="84" t="s">
        <v>383</v>
      </c>
      <c r="M549" s="90" t="str">
        <f t="shared" si="11"/>
        <v>View on Google Map</v>
      </c>
    </row>
    <row r="550" spans="1:13" x14ac:dyDescent="0.2">
      <c r="A550" s="84">
        <v>38</v>
      </c>
      <c r="B550" s="84" t="s">
        <v>1478</v>
      </c>
      <c r="C550" s="84" t="s">
        <v>383</v>
      </c>
      <c r="D550" s="84">
        <v>69.011899999999997</v>
      </c>
      <c r="E550" s="84">
        <v>-150.30000000000001</v>
      </c>
      <c r="F550" s="84">
        <v>321</v>
      </c>
      <c r="G550" s="84" t="s">
        <v>408</v>
      </c>
      <c r="H550" s="84" t="s">
        <v>1479</v>
      </c>
      <c r="I550" s="84" t="s">
        <v>1480</v>
      </c>
      <c r="J550" s="84" t="s">
        <v>444</v>
      </c>
      <c r="K550" s="84" t="s">
        <v>383</v>
      </c>
      <c r="L550" s="84" t="s">
        <v>391</v>
      </c>
      <c r="M550" s="90" t="str">
        <f t="shared" si="11"/>
        <v>View on Google Map</v>
      </c>
    </row>
    <row r="551" spans="1:13" x14ac:dyDescent="0.2">
      <c r="A551" s="84">
        <v>1211</v>
      </c>
      <c r="B551" s="84" t="s">
        <v>1481</v>
      </c>
      <c r="C551" s="84" t="s">
        <v>567</v>
      </c>
      <c r="D551" s="84">
        <v>68.996700000000004</v>
      </c>
      <c r="E551" s="84">
        <v>-150.28142</v>
      </c>
      <c r="F551" s="84" t="s">
        <v>383</v>
      </c>
      <c r="G551" s="84" t="s">
        <v>384</v>
      </c>
      <c r="H551" s="84" t="s">
        <v>383</v>
      </c>
      <c r="I551" s="84" t="s">
        <v>383</v>
      </c>
      <c r="J551" s="84" t="s">
        <v>390</v>
      </c>
      <c r="K551" s="84" t="s">
        <v>383</v>
      </c>
      <c r="L551" s="84" t="s">
        <v>391</v>
      </c>
      <c r="M551" s="90" t="str">
        <f t="shared" si="11"/>
        <v>View on Google Map</v>
      </c>
    </row>
    <row r="552" spans="1:13" x14ac:dyDescent="0.2">
      <c r="A552" s="84">
        <v>1210</v>
      </c>
      <c r="B552" s="84" t="s">
        <v>1482</v>
      </c>
      <c r="C552" s="84" t="s">
        <v>567</v>
      </c>
      <c r="D552" s="84">
        <v>68.996700000000004</v>
      </c>
      <c r="E552" s="84">
        <v>-150.28142</v>
      </c>
      <c r="F552" s="84" t="s">
        <v>383</v>
      </c>
      <c r="G552" s="84" t="s">
        <v>384</v>
      </c>
      <c r="H552" s="84" t="s">
        <v>383</v>
      </c>
      <c r="I552" s="84" t="s">
        <v>383</v>
      </c>
      <c r="J552" s="84" t="s">
        <v>390</v>
      </c>
      <c r="K552" s="84" t="s">
        <v>383</v>
      </c>
      <c r="L552" s="84" t="s">
        <v>391</v>
      </c>
      <c r="M552" s="90" t="str">
        <f t="shared" si="11"/>
        <v>View on Google Map</v>
      </c>
    </row>
    <row r="553" spans="1:13" x14ac:dyDescent="0.2">
      <c r="B553" s="84" t="s">
        <v>1483</v>
      </c>
      <c r="C553" s="84" t="s">
        <v>1396</v>
      </c>
      <c r="D553" s="84">
        <v>69.007500000000007</v>
      </c>
      <c r="E553" s="84">
        <v>-150.31388888888901</v>
      </c>
      <c r="G553" s="84" t="s">
        <v>402</v>
      </c>
      <c r="J553" s="84" t="s">
        <v>390</v>
      </c>
      <c r="L553" s="84" t="s">
        <v>391</v>
      </c>
      <c r="M553" s="90" t="str">
        <f t="shared" si="11"/>
        <v>View on Google Map</v>
      </c>
    </row>
    <row r="554" spans="1:13" x14ac:dyDescent="0.2">
      <c r="B554" s="84" t="s">
        <v>1484</v>
      </c>
      <c r="C554" s="84" t="s">
        <v>780</v>
      </c>
      <c r="D554" s="84">
        <v>69.043055555555554</v>
      </c>
      <c r="E554" s="84">
        <v>-150.42916666666699</v>
      </c>
      <c r="G554" s="84" t="s">
        <v>402</v>
      </c>
      <c r="J554" s="84" t="s">
        <v>390</v>
      </c>
      <c r="L554" s="84" t="s">
        <v>391</v>
      </c>
      <c r="M554" s="90" t="str">
        <f t="shared" si="11"/>
        <v>View on Google Map</v>
      </c>
    </row>
    <row r="555" spans="1:13" x14ac:dyDescent="0.2">
      <c r="A555" s="84">
        <v>39</v>
      </c>
      <c r="B555" s="84" t="s">
        <v>1485</v>
      </c>
      <c r="C555" s="84" t="s">
        <v>383</v>
      </c>
      <c r="D555" s="84">
        <v>68.994600000000005</v>
      </c>
      <c r="E555" s="84">
        <v>-150.30699999999999</v>
      </c>
      <c r="F555" s="84">
        <v>307</v>
      </c>
      <c r="G555" s="84" t="s">
        <v>408</v>
      </c>
      <c r="H555" s="84" t="s">
        <v>1486</v>
      </c>
      <c r="I555" s="84" t="s">
        <v>383</v>
      </c>
      <c r="J555" s="84" t="s">
        <v>444</v>
      </c>
      <c r="K555" s="84" t="s">
        <v>383</v>
      </c>
      <c r="L555" s="84" t="s">
        <v>391</v>
      </c>
      <c r="M555" s="90" t="str">
        <f t="shared" si="11"/>
        <v>View on Google Map</v>
      </c>
    </row>
    <row r="556" spans="1:13" x14ac:dyDescent="0.2">
      <c r="B556" s="84" t="s">
        <v>1487</v>
      </c>
      <c r="C556" s="84" t="s">
        <v>401</v>
      </c>
      <c r="D556" s="84">
        <v>69.570555555555558</v>
      </c>
      <c r="E556" s="84">
        <v>-150.893333333333</v>
      </c>
      <c r="G556" s="84" t="s">
        <v>402</v>
      </c>
      <c r="J556" s="84" t="s">
        <v>390</v>
      </c>
      <c r="L556" s="84" t="s">
        <v>391</v>
      </c>
      <c r="M556" s="90" t="str">
        <f t="shared" si="11"/>
        <v>View on Google Map</v>
      </c>
    </row>
    <row r="557" spans="1:13" x14ac:dyDescent="0.2">
      <c r="A557" s="84">
        <v>46</v>
      </c>
      <c r="B557" s="84" t="s">
        <v>1488</v>
      </c>
      <c r="C557" s="84" t="s">
        <v>383</v>
      </c>
      <c r="D557" s="84">
        <v>68.891069000000002</v>
      </c>
      <c r="E557" s="84">
        <v>-150.58501899999999</v>
      </c>
      <c r="F557" s="84" t="s">
        <v>383</v>
      </c>
      <c r="G557" s="84" t="s">
        <v>408</v>
      </c>
      <c r="H557" s="84" t="s">
        <v>383</v>
      </c>
      <c r="I557" s="84" t="s">
        <v>383</v>
      </c>
      <c r="J557" s="84" t="s">
        <v>1394</v>
      </c>
      <c r="K557" s="84" t="s">
        <v>383</v>
      </c>
      <c r="L557" s="84" t="s">
        <v>391</v>
      </c>
      <c r="M557" s="90" t="str">
        <f t="shared" si="11"/>
        <v>View on Google Map</v>
      </c>
    </row>
    <row r="558" spans="1:13" x14ac:dyDescent="0.2">
      <c r="A558" s="84">
        <v>47</v>
      </c>
      <c r="B558" s="84" t="s">
        <v>1489</v>
      </c>
      <c r="C558" s="84" t="s">
        <v>383</v>
      </c>
      <c r="D558" s="84">
        <v>68.966999999999999</v>
      </c>
      <c r="E558" s="84">
        <v>-150.56673000000001</v>
      </c>
      <c r="F558" s="84" t="s">
        <v>383</v>
      </c>
      <c r="G558" s="84" t="s">
        <v>408</v>
      </c>
      <c r="H558" s="84" t="s">
        <v>383</v>
      </c>
      <c r="I558" s="84" t="s">
        <v>383</v>
      </c>
      <c r="J558" s="84" t="s">
        <v>1394</v>
      </c>
      <c r="K558" s="84" t="s">
        <v>383</v>
      </c>
      <c r="L558" s="84" t="s">
        <v>391</v>
      </c>
      <c r="M558" s="90" t="str">
        <f t="shared" si="11"/>
        <v>View on Google Map</v>
      </c>
    </row>
    <row r="559" spans="1:13" x14ac:dyDescent="0.2">
      <c r="A559" s="84">
        <v>100</v>
      </c>
      <c r="B559" s="84" t="s">
        <v>1490</v>
      </c>
      <c r="C559" s="84" t="s">
        <v>1491</v>
      </c>
      <c r="D559" s="84">
        <v>68.629960999999994</v>
      </c>
      <c r="E559" s="84">
        <v>-149.61263299999999</v>
      </c>
      <c r="F559" s="84">
        <v>719</v>
      </c>
      <c r="G559" s="84" t="s">
        <v>394</v>
      </c>
      <c r="H559" s="84" t="s">
        <v>1492</v>
      </c>
      <c r="I559" s="84" t="s">
        <v>1493</v>
      </c>
      <c r="J559" s="84" t="s">
        <v>409</v>
      </c>
      <c r="K559" s="84" t="s">
        <v>383</v>
      </c>
      <c r="L559" s="84" t="s">
        <v>383</v>
      </c>
      <c r="M559" s="90" t="str">
        <f t="shared" si="11"/>
        <v>View on Google Map</v>
      </c>
    </row>
    <row r="560" spans="1:13" x14ac:dyDescent="0.2">
      <c r="A560" s="84">
        <v>523</v>
      </c>
      <c r="B560" s="84" t="s">
        <v>1494</v>
      </c>
      <c r="C560" s="84" t="s">
        <v>1495</v>
      </c>
      <c r="D560" s="84">
        <v>68.626671999999999</v>
      </c>
      <c r="E560" s="84">
        <v>-149.59784400000001</v>
      </c>
      <c r="F560" s="84">
        <v>719</v>
      </c>
      <c r="G560" s="84" t="s">
        <v>394</v>
      </c>
      <c r="H560" s="84" t="s">
        <v>383</v>
      </c>
      <c r="I560" s="84" t="s">
        <v>383</v>
      </c>
      <c r="J560" s="84" t="s">
        <v>395</v>
      </c>
      <c r="K560" s="84" t="s">
        <v>383</v>
      </c>
      <c r="L560" s="84" t="s">
        <v>1496</v>
      </c>
      <c r="M560" s="90" t="str">
        <f t="shared" si="11"/>
        <v>View on Google Map</v>
      </c>
    </row>
    <row r="561" spans="1:13" x14ac:dyDescent="0.2">
      <c r="A561" s="84">
        <v>524</v>
      </c>
      <c r="B561" s="84" t="s">
        <v>1497</v>
      </c>
      <c r="C561" s="84" t="s">
        <v>1495</v>
      </c>
      <c r="D561" s="84">
        <v>68.632586000000003</v>
      </c>
      <c r="E561" s="84">
        <v>-149.60089500000001</v>
      </c>
      <c r="F561" s="84">
        <v>719</v>
      </c>
      <c r="G561" s="84" t="s">
        <v>394</v>
      </c>
      <c r="H561" s="84" t="s">
        <v>383</v>
      </c>
      <c r="I561" s="84" t="s">
        <v>383</v>
      </c>
      <c r="J561" s="84" t="s">
        <v>395</v>
      </c>
      <c r="K561" s="84" t="s">
        <v>383</v>
      </c>
      <c r="L561" s="84" t="s">
        <v>1496</v>
      </c>
      <c r="M561" s="90" t="str">
        <f t="shared" si="11"/>
        <v>View on Google Map</v>
      </c>
    </row>
    <row r="562" spans="1:13" x14ac:dyDescent="0.2">
      <c r="A562" s="84">
        <v>525</v>
      </c>
      <c r="B562" s="84" t="s">
        <v>1498</v>
      </c>
      <c r="C562" s="84" t="s">
        <v>1495</v>
      </c>
      <c r="D562" s="84">
        <v>68.636390000000006</v>
      </c>
      <c r="E562" s="84">
        <v>-149.594774</v>
      </c>
      <c r="F562" s="84">
        <v>719</v>
      </c>
      <c r="G562" s="84" t="s">
        <v>394</v>
      </c>
      <c r="H562" s="84" t="s">
        <v>383</v>
      </c>
      <c r="I562" s="84" t="s">
        <v>383</v>
      </c>
      <c r="J562" s="84" t="s">
        <v>395</v>
      </c>
      <c r="K562" s="84" t="s">
        <v>383</v>
      </c>
      <c r="L562" s="84" t="s">
        <v>1496</v>
      </c>
      <c r="M562" s="90" t="str">
        <f t="shared" si="11"/>
        <v>View on Google Map</v>
      </c>
    </row>
    <row r="563" spans="1:13" x14ac:dyDescent="0.2">
      <c r="A563" s="84">
        <v>13</v>
      </c>
      <c r="B563" s="84" t="s">
        <v>1499</v>
      </c>
      <c r="C563" s="84" t="s">
        <v>383</v>
      </c>
      <c r="D563" s="84">
        <v>68.625600000000006</v>
      </c>
      <c r="E563" s="84">
        <v>-149.59604999999999</v>
      </c>
      <c r="F563" s="84">
        <v>719</v>
      </c>
      <c r="G563" s="84" t="s">
        <v>408</v>
      </c>
      <c r="H563" s="84" t="s">
        <v>1500</v>
      </c>
      <c r="I563" s="84" t="s">
        <v>1501</v>
      </c>
      <c r="J563" s="84" t="s">
        <v>409</v>
      </c>
      <c r="K563" s="84">
        <v>190</v>
      </c>
      <c r="L563" s="84" t="s">
        <v>798</v>
      </c>
      <c r="M563" s="90" t="str">
        <f t="shared" si="11"/>
        <v>View on Google Map</v>
      </c>
    </row>
    <row r="564" spans="1:13" x14ac:dyDescent="0.2">
      <c r="A564" s="84">
        <v>522</v>
      </c>
      <c r="B564" s="84" t="s">
        <v>1502</v>
      </c>
      <c r="C564" s="84" t="s">
        <v>1495</v>
      </c>
      <c r="D564" s="84">
        <v>68.625966000000005</v>
      </c>
      <c r="E564" s="84">
        <v>-149.59902199999999</v>
      </c>
      <c r="F564" s="84">
        <v>719</v>
      </c>
      <c r="G564" s="84" t="s">
        <v>394</v>
      </c>
      <c r="H564" s="84" t="s">
        <v>383</v>
      </c>
      <c r="I564" s="84" t="s">
        <v>383</v>
      </c>
      <c r="J564" s="84" t="s">
        <v>395</v>
      </c>
      <c r="K564" s="84" t="s">
        <v>383</v>
      </c>
      <c r="L564" s="84" t="s">
        <v>1496</v>
      </c>
      <c r="M564" s="90" t="str">
        <f t="shared" si="11"/>
        <v>View on Google Map</v>
      </c>
    </row>
    <row r="565" spans="1:13" x14ac:dyDescent="0.2">
      <c r="A565" s="84">
        <v>101</v>
      </c>
      <c r="B565" s="84" t="s">
        <v>1503</v>
      </c>
      <c r="C565" s="84" t="s">
        <v>1504</v>
      </c>
      <c r="D565" s="84" t="s">
        <v>383</v>
      </c>
      <c r="E565" s="84" t="s">
        <v>383</v>
      </c>
      <c r="F565" s="84">
        <v>719</v>
      </c>
      <c r="G565" s="84" t="s">
        <v>394</v>
      </c>
      <c r="H565" s="84" t="s">
        <v>383</v>
      </c>
      <c r="I565" s="84" t="s">
        <v>383</v>
      </c>
      <c r="J565" s="84" t="s">
        <v>409</v>
      </c>
      <c r="K565" s="84" t="s">
        <v>383</v>
      </c>
      <c r="L565" s="84" t="s">
        <v>383</v>
      </c>
      <c r="M565" s="90" t="str">
        <f t="shared" si="11"/>
        <v>View on Google Map</v>
      </c>
    </row>
    <row r="566" spans="1:13" x14ac:dyDescent="0.2">
      <c r="A566" s="84">
        <v>102</v>
      </c>
      <c r="B566" s="84" t="s">
        <v>1505</v>
      </c>
      <c r="C566" s="84" t="s">
        <v>1506</v>
      </c>
      <c r="D566" s="84">
        <v>68.638623999999993</v>
      </c>
      <c r="E566" s="84">
        <v>-149.610737</v>
      </c>
      <c r="F566" s="84">
        <v>719</v>
      </c>
      <c r="G566" s="84" t="s">
        <v>394</v>
      </c>
      <c r="H566" s="84" t="s">
        <v>1507</v>
      </c>
      <c r="I566" s="84" t="s">
        <v>1508</v>
      </c>
      <c r="J566" s="84" t="s">
        <v>409</v>
      </c>
      <c r="K566" s="84" t="s">
        <v>383</v>
      </c>
      <c r="L566" s="84" t="s">
        <v>383</v>
      </c>
      <c r="M566" s="90" t="str">
        <f t="shared" si="11"/>
        <v>View on Google Map</v>
      </c>
    </row>
    <row r="567" spans="1:13" x14ac:dyDescent="0.2">
      <c r="A567" s="84">
        <v>526</v>
      </c>
      <c r="B567" s="84" t="s">
        <v>1509</v>
      </c>
      <c r="C567" s="84" t="s">
        <v>1495</v>
      </c>
      <c r="D567" s="84">
        <v>68.633232000000007</v>
      </c>
      <c r="E567" s="84">
        <v>-149.61149</v>
      </c>
      <c r="F567" s="84">
        <v>719</v>
      </c>
      <c r="G567" s="84" t="s">
        <v>394</v>
      </c>
      <c r="H567" s="84" t="s">
        <v>383</v>
      </c>
      <c r="I567" s="84" t="s">
        <v>383</v>
      </c>
      <c r="J567" s="84" t="s">
        <v>395</v>
      </c>
      <c r="K567" s="84" t="s">
        <v>383</v>
      </c>
      <c r="L567" s="84" t="s">
        <v>1496</v>
      </c>
      <c r="M567" s="90" t="str">
        <f t="shared" si="11"/>
        <v>View on Google Map</v>
      </c>
    </row>
    <row r="568" spans="1:13" x14ac:dyDescent="0.2">
      <c r="A568" s="84">
        <v>14</v>
      </c>
      <c r="B568" s="84" t="s">
        <v>1510</v>
      </c>
      <c r="C568" s="84" t="s">
        <v>383</v>
      </c>
      <c r="D568" s="84" t="s">
        <v>383</v>
      </c>
      <c r="E568" s="84" t="s">
        <v>383</v>
      </c>
      <c r="F568" s="84">
        <v>719</v>
      </c>
      <c r="G568" s="84" t="s">
        <v>408</v>
      </c>
      <c r="H568" s="84" t="s">
        <v>1511</v>
      </c>
      <c r="I568" s="84" t="s">
        <v>383</v>
      </c>
      <c r="J568" s="84" t="s">
        <v>409</v>
      </c>
      <c r="K568" s="84" t="s">
        <v>383</v>
      </c>
      <c r="L568" s="84" t="s">
        <v>383</v>
      </c>
      <c r="M568" s="90" t="str">
        <f t="shared" si="11"/>
        <v>View on Google Map</v>
      </c>
    </row>
    <row r="569" spans="1:13" x14ac:dyDescent="0.2">
      <c r="A569" s="84">
        <v>527</v>
      </c>
      <c r="B569" s="84" t="s">
        <v>1512</v>
      </c>
      <c r="C569" s="84" t="s">
        <v>1495</v>
      </c>
      <c r="D569" s="84">
        <v>68.639894999999996</v>
      </c>
      <c r="E569" s="84">
        <v>-149.59610599999999</v>
      </c>
      <c r="F569" s="84">
        <v>719</v>
      </c>
      <c r="G569" s="84" t="s">
        <v>394</v>
      </c>
      <c r="H569" s="84" t="s">
        <v>383</v>
      </c>
      <c r="I569" s="84" t="s">
        <v>383</v>
      </c>
      <c r="J569" s="84" t="s">
        <v>395</v>
      </c>
      <c r="K569" s="84" t="s">
        <v>383</v>
      </c>
      <c r="L569" s="84" t="s">
        <v>1496</v>
      </c>
      <c r="M569" s="90" t="str">
        <f t="shared" si="11"/>
        <v>View on Google Map</v>
      </c>
    </row>
    <row r="570" spans="1:13" x14ac:dyDescent="0.2">
      <c r="A570" s="84">
        <v>9</v>
      </c>
      <c r="B570" s="84" t="s">
        <v>1513</v>
      </c>
      <c r="C570" s="84" t="s">
        <v>383</v>
      </c>
      <c r="D570" s="84" t="s">
        <v>383</v>
      </c>
      <c r="E570" s="84" t="s">
        <v>383</v>
      </c>
      <c r="F570" s="84">
        <v>823</v>
      </c>
      <c r="G570" s="84" t="s">
        <v>408</v>
      </c>
      <c r="H570" s="84" t="s">
        <v>383</v>
      </c>
      <c r="I570" s="84" t="s">
        <v>383</v>
      </c>
      <c r="J570" s="84" t="s">
        <v>409</v>
      </c>
      <c r="K570" s="84" t="s">
        <v>383</v>
      </c>
      <c r="L570" s="84" t="s">
        <v>383</v>
      </c>
      <c r="M570" s="90" t="str">
        <f t="shared" si="11"/>
        <v>View on Google Map</v>
      </c>
    </row>
    <row r="571" spans="1:13" x14ac:dyDescent="0.2">
      <c r="A571" s="84">
        <v>22</v>
      </c>
      <c r="B571" s="84" t="s">
        <v>1514</v>
      </c>
      <c r="C571" s="84" t="s">
        <v>383</v>
      </c>
      <c r="D571" s="84" t="s">
        <v>383</v>
      </c>
      <c r="E571" s="84" t="s">
        <v>383</v>
      </c>
      <c r="F571" s="84" t="s">
        <v>383</v>
      </c>
      <c r="G571" s="84" t="s">
        <v>408</v>
      </c>
      <c r="H571" s="84" t="s">
        <v>1515</v>
      </c>
      <c r="I571" s="84" t="s">
        <v>383</v>
      </c>
      <c r="J571" s="84" t="s">
        <v>409</v>
      </c>
      <c r="K571" s="84" t="s">
        <v>383</v>
      </c>
      <c r="L571" s="84" t="s">
        <v>383</v>
      </c>
      <c r="M571" s="90" t="str">
        <f t="shared" si="11"/>
        <v>View on Google Map</v>
      </c>
    </row>
    <row r="572" spans="1:13" x14ac:dyDescent="0.2">
      <c r="A572" s="84">
        <v>528</v>
      </c>
      <c r="B572" s="84" t="s">
        <v>1516</v>
      </c>
      <c r="C572" s="84" t="s">
        <v>1495</v>
      </c>
      <c r="D572" s="84">
        <v>68.634241000000003</v>
      </c>
      <c r="E572" s="84">
        <v>-149.60275899999999</v>
      </c>
      <c r="F572" s="84">
        <v>719</v>
      </c>
      <c r="G572" s="84" t="s">
        <v>394</v>
      </c>
      <c r="H572" s="84" t="s">
        <v>383</v>
      </c>
      <c r="I572" s="84" t="s">
        <v>383</v>
      </c>
      <c r="J572" s="84" t="s">
        <v>395</v>
      </c>
      <c r="K572" s="84" t="s">
        <v>383</v>
      </c>
      <c r="L572" s="84" t="s">
        <v>1496</v>
      </c>
      <c r="M572" s="90" t="str">
        <f t="shared" si="11"/>
        <v>View on Google Map</v>
      </c>
    </row>
    <row r="573" spans="1:13" x14ac:dyDescent="0.2">
      <c r="A573" s="84">
        <v>521</v>
      </c>
      <c r="B573" s="84" t="s">
        <v>1517</v>
      </c>
      <c r="C573" s="84" t="s">
        <v>1495</v>
      </c>
      <c r="D573" s="84">
        <v>68.628656000000007</v>
      </c>
      <c r="E573" s="84">
        <v>-149.59960599999999</v>
      </c>
      <c r="F573" s="84">
        <v>719</v>
      </c>
      <c r="G573" s="84" t="s">
        <v>394</v>
      </c>
      <c r="H573" s="84" t="s">
        <v>383</v>
      </c>
      <c r="I573" s="84" t="s">
        <v>383</v>
      </c>
      <c r="J573" s="84" t="s">
        <v>395</v>
      </c>
      <c r="K573" s="84" t="s">
        <v>383</v>
      </c>
      <c r="L573" s="84" t="s">
        <v>1496</v>
      </c>
      <c r="M573" s="90" t="str">
        <f t="shared" si="11"/>
        <v>View on Google Map</v>
      </c>
    </row>
    <row r="574" spans="1:13" x14ac:dyDescent="0.2">
      <c r="A574" s="84">
        <v>520</v>
      </c>
      <c r="B574" s="84" t="s">
        <v>1518</v>
      </c>
      <c r="C574" s="84" t="s">
        <v>1495</v>
      </c>
      <c r="D574" s="84">
        <v>68.633064000000005</v>
      </c>
      <c r="E574" s="84">
        <v>-149.62826999999999</v>
      </c>
      <c r="F574" s="84">
        <v>719</v>
      </c>
      <c r="G574" s="84" t="s">
        <v>394</v>
      </c>
      <c r="H574" s="84" t="s">
        <v>383</v>
      </c>
      <c r="I574" s="84" t="s">
        <v>383</v>
      </c>
      <c r="J574" s="84" t="s">
        <v>395</v>
      </c>
      <c r="K574" s="84" t="s">
        <v>383</v>
      </c>
      <c r="L574" s="84" t="s">
        <v>1496</v>
      </c>
      <c r="M574" s="90" t="str">
        <f t="shared" si="11"/>
        <v>View on Google Map</v>
      </c>
    </row>
    <row r="575" spans="1:13" x14ac:dyDescent="0.2">
      <c r="B575" s="84" t="s">
        <v>1519</v>
      </c>
      <c r="C575" s="84" t="s">
        <v>780</v>
      </c>
      <c r="D575" s="84">
        <v>68.695505999999995</v>
      </c>
      <c r="E575" s="84">
        <v>-149.207807</v>
      </c>
      <c r="G575" s="84" t="s">
        <v>920</v>
      </c>
      <c r="J575" s="9" t="s">
        <v>409</v>
      </c>
      <c r="M575" s="90" t="str">
        <f t="shared" si="11"/>
        <v>View on Google Map</v>
      </c>
    </row>
    <row r="576" spans="1:13" x14ac:dyDescent="0.2">
      <c r="B576" s="84" t="s">
        <v>1520</v>
      </c>
      <c r="C576" s="84" t="s">
        <v>780</v>
      </c>
      <c r="D576" s="84">
        <v>68.695696999999996</v>
      </c>
      <c r="E576" s="84">
        <v>-149.20482699999999</v>
      </c>
      <c r="G576" s="84" t="s">
        <v>920</v>
      </c>
      <c r="J576" s="9" t="s">
        <v>409</v>
      </c>
      <c r="M576" s="90" t="str">
        <f t="shared" si="11"/>
        <v>View on Google Map</v>
      </c>
    </row>
    <row r="577" spans="1:13" x14ac:dyDescent="0.2">
      <c r="B577" s="84" t="s">
        <v>1521</v>
      </c>
      <c r="C577" s="84" t="s">
        <v>780</v>
      </c>
      <c r="D577" s="84">
        <v>68.690700000000007</v>
      </c>
      <c r="E577" s="84">
        <v>-149.208371</v>
      </c>
      <c r="G577" s="84" t="s">
        <v>920</v>
      </c>
      <c r="J577" s="9" t="s">
        <v>409</v>
      </c>
      <c r="M577" s="90" t="str">
        <f t="shared" si="11"/>
        <v>View on Google Map</v>
      </c>
    </row>
    <row r="578" spans="1:13" x14ac:dyDescent="0.2">
      <c r="B578" s="84" t="s">
        <v>1522</v>
      </c>
      <c r="C578" s="84" t="s">
        <v>780</v>
      </c>
      <c r="D578" s="84">
        <v>68.693759</v>
      </c>
      <c r="E578" s="84">
        <v>-149.20405500000001</v>
      </c>
      <c r="G578" s="84" t="s">
        <v>920</v>
      </c>
      <c r="J578" s="9" t="s">
        <v>409</v>
      </c>
      <c r="M578" s="90" t="str">
        <f t="shared" si="11"/>
        <v>View on Google Map</v>
      </c>
    </row>
    <row r="579" spans="1:13" x14ac:dyDescent="0.2">
      <c r="A579" s="84">
        <v>901</v>
      </c>
      <c r="B579" s="84" t="s">
        <v>1523</v>
      </c>
      <c r="C579" s="84" t="s">
        <v>1524</v>
      </c>
      <c r="D579" s="84" t="s">
        <v>383</v>
      </c>
      <c r="E579" s="84" t="s">
        <v>383</v>
      </c>
      <c r="F579" s="84" t="s">
        <v>383</v>
      </c>
      <c r="G579" s="84" t="s">
        <v>383</v>
      </c>
      <c r="H579" s="84" t="s">
        <v>1525</v>
      </c>
      <c r="I579" s="84" t="s">
        <v>383</v>
      </c>
      <c r="J579" s="9" t="s">
        <v>409</v>
      </c>
      <c r="K579" s="84" t="s">
        <v>383</v>
      </c>
      <c r="L579" s="84" t="s">
        <v>383</v>
      </c>
      <c r="M579" s="90" t="str">
        <f t="shared" ref="M579:M637" si="12">HYPERLINK("http://maps.google.com/maps?q="&amp;D579&amp;","&amp;E579,"View on Google Map")</f>
        <v>View on Google Map</v>
      </c>
    </row>
    <row r="580" spans="1:13" x14ac:dyDescent="0.2">
      <c r="A580" s="84">
        <v>902</v>
      </c>
      <c r="B580" s="84" t="s">
        <v>1526</v>
      </c>
      <c r="C580" s="84" t="s">
        <v>1524</v>
      </c>
      <c r="D580" s="84" t="s">
        <v>383</v>
      </c>
      <c r="E580" s="84" t="s">
        <v>383</v>
      </c>
      <c r="F580" s="84">
        <v>757</v>
      </c>
      <c r="G580" s="84" t="s">
        <v>384</v>
      </c>
      <c r="H580" s="84" t="s">
        <v>1527</v>
      </c>
      <c r="I580" s="84" t="s">
        <v>383</v>
      </c>
      <c r="J580" s="84" t="s">
        <v>409</v>
      </c>
      <c r="K580" s="84" t="s">
        <v>383</v>
      </c>
      <c r="L580" s="84" t="s">
        <v>383</v>
      </c>
      <c r="M580" s="90" t="str">
        <f t="shared" si="12"/>
        <v>View on Google Map</v>
      </c>
    </row>
    <row r="581" spans="1:13" x14ac:dyDescent="0.2">
      <c r="A581" s="84">
        <v>903</v>
      </c>
      <c r="B581" s="84" t="s">
        <v>1528</v>
      </c>
      <c r="C581" s="84" t="s">
        <v>1524</v>
      </c>
      <c r="D581" s="84" t="s">
        <v>383</v>
      </c>
      <c r="E581" s="84" t="s">
        <v>383</v>
      </c>
      <c r="F581" s="84">
        <v>770</v>
      </c>
      <c r="G581" s="84" t="s">
        <v>384</v>
      </c>
      <c r="H581" s="84" t="s">
        <v>1529</v>
      </c>
      <c r="I581" s="84" t="s">
        <v>383</v>
      </c>
      <c r="J581" s="84" t="s">
        <v>409</v>
      </c>
      <c r="K581" s="84" t="s">
        <v>383</v>
      </c>
      <c r="L581" s="84" t="s">
        <v>383</v>
      </c>
      <c r="M581" s="90" t="str">
        <f t="shared" si="12"/>
        <v>View on Google Map</v>
      </c>
    </row>
    <row r="582" spans="1:13" x14ac:dyDescent="0.2">
      <c r="A582" s="84">
        <v>904</v>
      </c>
      <c r="B582" s="84" t="s">
        <v>1530</v>
      </c>
      <c r="C582" s="84" t="s">
        <v>1524</v>
      </c>
      <c r="D582" s="84" t="s">
        <v>383</v>
      </c>
      <c r="E582" s="84" t="s">
        <v>383</v>
      </c>
      <c r="F582" s="84">
        <v>770</v>
      </c>
      <c r="G582" s="84" t="s">
        <v>384</v>
      </c>
      <c r="H582" s="84" t="s">
        <v>1531</v>
      </c>
      <c r="I582" s="84" t="s">
        <v>383</v>
      </c>
      <c r="J582" s="84" t="s">
        <v>409</v>
      </c>
      <c r="K582" s="84" t="s">
        <v>383</v>
      </c>
      <c r="L582" s="84" t="s">
        <v>383</v>
      </c>
      <c r="M582" s="90" t="str">
        <f t="shared" si="12"/>
        <v>View on Google Map</v>
      </c>
    </row>
    <row r="583" spans="1:13" x14ac:dyDescent="0.2">
      <c r="A583" s="84">
        <v>905</v>
      </c>
      <c r="B583" s="84" t="s">
        <v>1532</v>
      </c>
      <c r="C583" s="84" t="s">
        <v>1524</v>
      </c>
      <c r="D583" s="84" t="s">
        <v>383</v>
      </c>
      <c r="E583" s="84" t="s">
        <v>383</v>
      </c>
      <c r="F583" s="84">
        <v>769</v>
      </c>
      <c r="G583" s="84" t="s">
        <v>384</v>
      </c>
      <c r="H583" s="84" t="s">
        <v>1533</v>
      </c>
      <c r="I583" s="84" t="s">
        <v>383</v>
      </c>
      <c r="J583" s="84" t="s">
        <v>409</v>
      </c>
      <c r="K583" s="84" t="s">
        <v>383</v>
      </c>
      <c r="L583" s="84" t="s">
        <v>383</v>
      </c>
      <c r="M583" s="90" t="str">
        <f t="shared" si="12"/>
        <v>View on Google Map</v>
      </c>
    </row>
    <row r="584" spans="1:13" x14ac:dyDescent="0.2">
      <c r="A584" s="84">
        <v>906</v>
      </c>
      <c r="B584" s="84" t="s">
        <v>1534</v>
      </c>
      <c r="C584" s="84" t="s">
        <v>1524</v>
      </c>
      <c r="D584" s="84" t="s">
        <v>383</v>
      </c>
      <c r="E584" s="84" t="s">
        <v>383</v>
      </c>
      <c r="F584" s="84">
        <v>769</v>
      </c>
      <c r="G584" s="84" t="s">
        <v>384</v>
      </c>
      <c r="H584" s="84" t="s">
        <v>1535</v>
      </c>
      <c r="I584" s="84" t="s">
        <v>383</v>
      </c>
      <c r="J584" s="84" t="s">
        <v>409</v>
      </c>
      <c r="K584" s="84" t="s">
        <v>383</v>
      </c>
      <c r="L584" s="84" t="s">
        <v>383</v>
      </c>
      <c r="M584" s="90" t="str">
        <f t="shared" si="12"/>
        <v>View on Google Map</v>
      </c>
    </row>
    <row r="585" spans="1:13" x14ac:dyDescent="0.2">
      <c r="A585" s="84">
        <v>907</v>
      </c>
      <c r="B585" s="84" t="s">
        <v>1536</v>
      </c>
      <c r="C585" s="84" t="s">
        <v>1524</v>
      </c>
      <c r="D585" s="84" t="s">
        <v>383</v>
      </c>
      <c r="E585" s="84" t="s">
        <v>383</v>
      </c>
      <c r="F585" s="84">
        <v>770</v>
      </c>
      <c r="G585" s="84" t="s">
        <v>384</v>
      </c>
      <c r="H585" s="84" t="s">
        <v>1537</v>
      </c>
      <c r="I585" s="84" t="s">
        <v>383</v>
      </c>
      <c r="J585" s="84" t="s">
        <v>409</v>
      </c>
      <c r="K585" s="84" t="s">
        <v>383</v>
      </c>
      <c r="L585" s="84" t="s">
        <v>383</v>
      </c>
      <c r="M585" s="90" t="str">
        <f t="shared" si="12"/>
        <v>View on Google Map</v>
      </c>
    </row>
    <row r="586" spans="1:13" x14ac:dyDescent="0.2">
      <c r="A586" s="84">
        <v>908</v>
      </c>
      <c r="B586" s="84" t="s">
        <v>1538</v>
      </c>
      <c r="C586" s="84" t="s">
        <v>1524</v>
      </c>
      <c r="D586" s="84" t="s">
        <v>383</v>
      </c>
      <c r="E586" s="84" t="s">
        <v>383</v>
      </c>
      <c r="F586" s="84">
        <v>770</v>
      </c>
      <c r="G586" s="84" t="s">
        <v>384</v>
      </c>
      <c r="H586" s="84" t="s">
        <v>1539</v>
      </c>
      <c r="I586" s="84" t="s">
        <v>383</v>
      </c>
      <c r="J586" s="84" t="s">
        <v>409</v>
      </c>
      <c r="K586" s="84" t="s">
        <v>383</v>
      </c>
      <c r="L586" s="84" t="s">
        <v>383</v>
      </c>
      <c r="M586" s="90" t="str">
        <f t="shared" si="12"/>
        <v>View on Google Map</v>
      </c>
    </row>
    <row r="587" spans="1:13" x14ac:dyDescent="0.2">
      <c r="A587" s="84">
        <v>909</v>
      </c>
      <c r="B587" s="84" t="s">
        <v>1540</v>
      </c>
      <c r="C587" s="84" t="s">
        <v>1524</v>
      </c>
      <c r="D587" s="84" t="s">
        <v>383</v>
      </c>
      <c r="E587" s="84" t="s">
        <v>383</v>
      </c>
      <c r="F587" s="84">
        <v>764</v>
      </c>
      <c r="G587" s="84" t="s">
        <v>384</v>
      </c>
      <c r="H587" s="84" t="s">
        <v>1541</v>
      </c>
      <c r="I587" s="84" t="s">
        <v>383</v>
      </c>
      <c r="J587" s="84" t="s">
        <v>409</v>
      </c>
      <c r="K587" s="84" t="s">
        <v>383</v>
      </c>
      <c r="L587" s="84" t="s">
        <v>383</v>
      </c>
      <c r="M587" s="90" t="str">
        <f t="shared" si="12"/>
        <v>View on Google Map</v>
      </c>
    </row>
    <row r="588" spans="1:13" x14ac:dyDescent="0.2">
      <c r="A588" s="84">
        <v>910</v>
      </c>
      <c r="B588" s="84" t="s">
        <v>1542</v>
      </c>
      <c r="C588" s="84" t="s">
        <v>1524</v>
      </c>
      <c r="D588" s="84" t="s">
        <v>383</v>
      </c>
      <c r="E588" s="84" t="s">
        <v>383</v>
      </c>
      <c r="F588" s="84">
        <v>764</v>
      </c>
      <c r="G588" s="84" t="s">
        <v>384</v>
      </c>
      <c r="H588" s="84" t="s">
        <v>1543</v>
      </c>
      <c r="I588" s="84" t="s">
        <v>383</v>
      </c>
      <c r="J588" s="84" t="s">
        <v>409</v>
      </c>
      <c r="K588" s="84" t="s">
        <v>383</v>
      </c>
      <c r="L588" s="84" t="s">
        <v>383</v>
      </c>
      <c r="M588" s="90" t="str">
        <f t="shared" si="12"/>
        <v>View on Google Map</v>
      </c>
    </row>
    <row r="589" spans="1:13" x14ac:dyDescent="0.2">
      <c r="A589" s="84">
        <v>911</v>
      </c>
      <c r="B589" s="84" t="s">
        <v>1544</v>
      </c>
      <c r="C589" s="84" t="s">
        <v>1524</v>
      </c>
      <c r="D589" s="84" t="s">
        <v>383</v>
      </c>
      <c r="E589" s="84" t="s">
        <v>383</v>
      </c>
      <c r="F589" s="84">
        <v>760</v>
      </c>
      <c r="G589" s="84" t="s">
        <v>384</v>
      </c>
      <c r="H589" s="84" t="s">
        <v>1545</v>
      </c>
      <c r="I589" s="84" t="s">
        <v>383</v>
      </c>
      <c r="J589" s="84" t="s">
        <v>409</v>
      </c>
      <c r="K589" s="84" t="s">
        <v>383</v>
      </c>
      <c r="L589" s="84" t="s">
        <v>383</v>
      </c>
      <c r="M589" s="90" t="str">
        <f t="shared" si="12"/>
        <v>View on Google Map</v>
      </c>
    </row>
    <row r="590" spans="1:13" x14ac:dyDescent="0.2">
      <c r="A590" s="84">
        <v>912</v>
      </c>
      <c r="B590" s="84" t="s">
        <v>1546</v>
      </c>
      <c r="C590" s="84" t="s">
        <v>1524</v>
      </c>
      <c r="D590" s="84" t="s">
        <v>383</v>
      </c>
      <c r="E590" s="84" t="s">
        <v>383</v>
      </c>
      <c r="F590" s="84">
        <v>760</v>
      </c>
      <c r="G590" s="84" t="s">
        <v>384</v>
      </c>
      <c r="H590" s="84" t="s">
        <v>1547</v>
      </c>
      <c r="I590" s="84" t="s">
        <v>383</v>
      </c>
      <c r="J590" s="84" t="s">
        <v>409</v>
      </c>
      <c r="K590" s="84" t="s">
        <v>383</v>
      </c>
      <c r="L590" s="84" t="s">
        <v>383</v>
      </c>
      <c r="M590" s="90" t="str">
        <f t="shared" si="12"/>
        <v>View on Google Map</v>
      </c>
    </row>
    <row r="591" spans="1:13" x14ac:dyDescent="0.2">
      <c r="A591" s="84">
        <v>913</v>
      </c>
      <c r="B591" s="84" t="s">
        <v>1548</v>
      </c>
      <c r="C591" s="84" t="s">
        <v>1524</v>
      </c>
      <c r="D591" s="84" t="s">
        <v>383</v>
      </c>
      <c r="E591" s="84" t="s">
        <v>383</v>
      </c>
      <c r="F591" s="84">
        <v>759</v>
      </c>
      <c r="G591" s="84" t="s">
        <v>384</v>
      </c>
      <c r="H591" s="84" t="s">
        <v>1549</v>
      </c>
      <c r="I591" s="84" t="s">
        <v>383</v>
      </c>
      <c r="J591" s="84" t="s">
        <v>409</v>
      </c>
      <c r="K591" s="84" t="s">
        <v>383</v>
      </c>
      <c r="L591" s="84" t="s">
        <v>383</v>
      </c>
      <c r="M591" s="90" t="str">
        <f t="shared" si="12"/>
        <v>View on Google Map</v>
      </c>
    </row>
    <row r="592" spans="1:13" x14ac:dyDescent="0.2">
      <c r="A592" s="84">
        <v>914</v>
      </c>
      <c r="B592" s="84" t="s">
        <v>1550</v>
      </c>
      <c r="C592" s="84" t="s">
        <v>1524</v>
      </c>
      <c r="D592" s="84" t="s">
        <v>383</v>
      </c>
      <c r="E592" s="84" t="s">
        <v>383</v>
      </c>
      <c r="F592" s="84">
        <v>758</v>
      </c>
      <c r="G592" s="84" t="s">
        <v>384</v>
      </c>
      <c r="H592" s="84" t="s">
        <v>1551</v>
      </c>
      <c r="I592" s="84" t="s">
        <v>383</v>
      </c>
      <c r="J592" s="84" t="s">
        <v>409</v>
      </c>
      <c r="K592" s="84" t="s">
        <v>383</v>
      </c>
      <c r="L592" s="84" t="s">
        <v>383</v>
      </c>
      <c r="M592" s="90" t="str">
        <f t="shared" si="12"/>
        <v>View on Google Map</v>
      </c>
    </row>
    <row r="593" spans="1:13" x14ac:dyDescent="0.2">
      <c r="A593" s="84">
        <v>915</v>
      </c>
      <c r="B593" s="84" t="s">
        <v>1552</v>
      </c>
      <c r="C593" s="84" t="s">
        <v>1553</v>
      </c>
      <c r="D593" s="84">
        <v>68.627900999999994</v>
      </c>
      <c r="E593" s="84">
        <v>-149.61295100000001</v>
      </c>
      <c r="F593" s="84">
        <v>759</v>
      </c>
      <c r="G593" s="84" t="s">
        <v>384</v>
      </c>
      <c r="H593" s="84" t="s">
        <v>1554</v>
      </c>
      <c r="I593" s="84" t="s">
        <v>1555</v>
      </c>
      <c r="J593" s="84" t="s">
        <v>409</v>
      </c>
      <c r="K593" s="84" t="s">
        <v>383</v>
      </c>
      <c r="L593" s="84" t="s">
        <v>383</v>
      </c>
      <c r="M593" s="90" t="str">
        <f t="shared" si="12"/>
        <v>View on Google Map</v>
      </c>
    </row>
    <row r="594" spans="1:13" x14ac:dyDescent="0.2">
      <c r="A594" s="84">
        <v>900</v>
      </c>
      <c r="B594" s="84" t="s">
        <v>1556</v>
      </c>
      <c r="C594" s="84" t="s">
        <v>383</v>
      </c>
      <c r="D594" s="84">
        <v>68.623487999999995</v>
      </c>
      <c r="E594" s="84">
        <v>-149.616559</v>
      </c>
      <c r="F594" s="84">
        <v>761</v>
      </c>
      <c r="G594" s="84" t="s">
        <v>384</v>
      </c>
      <c r="H594" s="84" t="s">
        <v>1557</v>
      </c>
      <c r="I594" s="84" t="s">
        <v>1558</v>
      </c>
      <c r="J594" s="84" t="s">
        <v>409</v>
      </c>
      <c r="K594" s="84" t="s">
        <v>383</v>
      </c>
      <c r="L594" s="84" t="s">
        <v>383</v>
      </c>
      <c r="M594" s="90" t="str">
        <f t="shared" si="12"/>
        <v>View on Google Map</v>
      </c>
    </row>
    <row r="595" spans="1:13" x14ac:dyDescent="0.2">
      <c r="B595" s="84" t="s">
        <v>1559</v>
      </c>
      <c r="C595" s="84" t="s">
        <v>995</v>
      </c>
      <c r="D595" s="84">
        <v>68.549263888888888</v>
      </c>
      <c r="E595" s="84">
        <v>-149.306022222222</v>
      </c>
      <c r="G595" s="84" t="s">
        <v>920</v>
      </c>
      <c r="J595" s="9" t="s">
        <v>409</v>
      </c>
      <c r="M595" s="90" t="str">
        <f t="shared" si="12"/>
        <v>View on Google Map</v>
      </c>
    </row>
    <row r="596" spans="1:13" x14ac:dyDescent="0.2">
      <c r="B596" s="84" t="s">
        <v>1560</v>
      </c>
      <c r="C596" s="84" t="s">
        <v>995</v>
      </c>
      <c r="D596" s="84">
        <v>68.550188888888883</v>
      </c>
      <c r="E596" s="84">
        <v>-149.310305555556</v>
      </c>
      <c r="G596" s="84" t="s">
        <v>920</v>
      </c>
      <c r="J596" s="9" t="s">
        <v>409</v>
      </c>
      <c r="M596" s="90" t="str">
        <f t="shared" si="12"/>
        <v>View on Google Map</v>
      </c>
    </row>
    <row r="597" spans="1:13" x14ac:dyDescent="0.2">
      <c r="B597" s="84" t="s">
        <v>1561</v>
      </c>
      <c r="C597" s="84" t="s">
        <v>995</v>
      </c>
      <c r="D597" s="84">
        <v>68.549108333333336</v>
      </c>
      <c r="E597" s="84">
        <v>-149.30837777777799</v>
      </c>
      <c r="G597" s="84" t="s">
        <v>920</v>
      </c>
      <c r="J597" s="9" t="s">
        <v>409</v>
      </c>
      <c r="M597" s="90" t="str">
        <f t="shared" si="12"/>
        <v>View on Google Map</v>
      </c>
    </row>
    <row r="598" spans="1:13" x14ac:dyDescent="0.2">
      <c r="A598" s="84">
        <v>42</v>
      </c>
      <c r="B598" s="84" t="s">
        <v>1562</v>
      </c>
      <c r="C598" s="84" t="s">
        <v>383</v>
      </c>
      <c r="D598" s="84">
        <v>68.960555999999997</v>
      </c>
      <c r="E598" s="84">
        <v>-150.63055600000001</v>
      </c>
      <c r="F598" s="84" t="s">
        <v>383</v>
      </c>
      <c r="G598" s="84" t="s">
        <v>408</v>
      </c>
      <c r="H598" s="84" t="s">
        <v>1563</v>
      </c>
      <c r="I598" s="84" t="s">
        <v>383</v>
      </c>
      <c r="J598" s="84" t="s">
        <v>1394</v>
      </c>
      <c r="K598" s="84" t="s">
        <v>383</v>
      </c>
      <c r="L598" s="84" t="s">
        <v>391</v>
      </c>
      <c r="M598" s="90" t="str">
        <f t="shared" si="12"/>
        <v>View on Google Map</v>
      </c>
    </row>
    <row r="599" spans="1:13" x14ac:dyDescent="0.2">
      <c r="A599" s="84">
        <v>43</v>
      </c>
      <c r="B599" s="84" t="s">
        <v>1564</v>
      </c>
      <c r="C599" s="84" t="s">
        <v>383</v>
      </c>
      <c r="D599" s="84">
        <v>68.935101000000003</v>
      </c>
      <c r="E599" s="84">
        <v>-150.68391700000001</v>
      </c>
      <c r="F599" s="84" t="s">
        <v>383</v>
      </c>
      <c r="G599" s="84" t="s">
        <v>408</v>
      </c>
      <c r="H599" s="84" t="s">
        <v>1565</v>
      </c>
      <c r="I599" s="84" t="s">
        <v>383</v>
      </c>
      <c r="J599" s="84" t="s">
        <v>1394</v>
      </c>
      <c r="K599" s="84" t="s">
        <v>383</v>
      </c>
      <c r="L599" s="84" t="s">
        <v>391</v>
      </c>
      <c r="M599" s="90" t="str">
        <f t="shared" si="12"/>
        <v>View on Google Map</v>
      </c>
    </row>
    <row r="600" spans="1:13" x14ac:dyDescent="0.2">
      <c r="A600" s="84">
        <v>44</v>
      </c>
      <c r="B600" s="84" t="s">
        <v>1566</v>
      </c>
      <c r="C600" s="84" t="s">
        <v>383</v>
      </c>
      <c r="D600" s="84">
        <v>68.916987000000006</v>
      </c>
      <c r="E600" s="84">
        <v>-150.659291</v>
      </c>
      <c r="F600" s="84" t="s">
        <v>383</v>
      </c>
      <c r="G600" s="84" t="s">
        <v>408</v>
      </c>
      <c r="H600" s="84" t="s">
        <v>1567</v>
      </c>
      <c r="I600" s="84" t="s">
        <v>383</v>
      </c>
      <c r="J600" s="84" t="s">
        <v>1394</v>
      </c>
      <c r="K600" s="84" t="s">
        <v>383</v>
      </c>
      <c r="L600" s="84" t="s">
        <v>391</v>
      </c>
      <c r="M600" s="90" t="str">
        <f t="shared" si="12"/>
        <v>View on Google Map</v>
      </c>
    </row>
    <row r="601" spans="1:13" x14ac:dyDescent="0.2">
      <c r="B601" s="84" t="s">
        <v>1568</v>
      </c>
      <c r="C601" s="84" t="s">
        <v>1396</v>
      </c>
      <c r="D601" s="84">
        <v>69.132777777777775</v>
      </c>
      <c r="E601" s="84">
        <v>-150.710833333333</v>
      </c>
      <c r="G601" s="84" t="s">
        <v>402</v>
      </c>
      <c r="J601" s="84" t="s">
        <v>390</v>
      </c>
      <c r="L601" s="84" t="s">
        <v>391</v>
      </c>
      <c r="M601" s="90" t="str">
        <f t="shared" si="12"/>
        <v>View on Google Map</v>
      </c>
    </row>
    <row r="602" spans="1:13" x14ac:dyDescent="0.2">
      <c r="B602" s="84" t="s">
        <v>1569</v>
      </c>
      <c r="C602" s="84" t="s">
        <v>780</v>
      </c>
      <c r="D602" s="84">
        <v>69.13944444444445</v>
      </c>
      <c r="E602" s="84">
        <v>-150.68388888888899</v>
      </c>
      <c r="G602" s="84" t="s">
        <v>402</v>
      </c>
      <c r="J602" s="84" t="s">
        <v>390</v>
      </c>
      <c r="L602" s="84" t="s">
        <v>391</v>
      </c>
      <c r="M602" s="90" t="str">
        <f t="shared" si="12"/>
        <v>View on Google Map</v>
      </c>
    </row>
    <row r="603" spans="1:13" x14ac:dyDescent="0.2">
      <c r="B603" s="84" t="s">
        <v>1570</v>
      </c>
      <c r="C603" s="84" t="s">
        <v>1396</v>
      </c>
      <c r="D603" s="84">
        <v>68.960833333333341</v>
      </c>
      <c r="E603" s="84">
        <v>-150.719722222222</v>
      </c>
      <c r="G603" s="84" t="s">
        <v>402</v>
      </c>
      <c r="J603" s="84" t="s">
        <v>390</v>
      </c>
      <c r="L603" s="84" t="s">
        <v>391</v>
      </c>
      <c r="M603" s="90" t="str">
        <f t="shared" si="12"/>
        <v>View on Google Map</v>
      </c>
    </row>
    <row r="604" spans="1:13" x14ac:dyDescent="0.2">
      <c r="B604" s="84" t="s">
        <v>1571</v>
      </c>
      <c r="C604" s="84" t="s">
        <v>780</v>
      </c>
      <c r="D604" s="84">
        <v>69.055277777777775</v>
      </c>
      <c r="E604" s="84">
        <v>-150.80972222222201</v>
      </c>
      <c r="G604" s="84" t="s">
        <v>402</v>
      </c>
      <c r="J604" s="84" t="s">
        <v>390</v>
      </c>
      <c r="L604" s="84" t="s">
        <v>391</v>
      </c>
      <c r="M604" s="90" t="str">
        <f t="shared" si="12"/>
        <v>View on Google Map</v>
      </c>
    </row>
    <row r="605" spans="1:13" x14ac:dyDescent="0.2">
      <c r="A605" s="84">
        <v>932</v>
      </c>
      <c r="B605" s="84" t="s">
        <v>1572</v>
      </c>
      <c r="C605" s="84" t="s">
        <v>383</v>
      </c>
      <c r="D605" s="84" t="s">
        <v>383</v>
      </c>
      <c r="E605" s="84" t="s">
        <v>383</v>
      </c>
      <c r="F605" s="84">
        <v>750</v>
      </c>
      <c r="G605" s="84" t="s">
        <v>384</v>
      </c>
      <c r="H605" s="84" t="s">
        <v>1573</v>
      </c>
      <c r="I605" s="84" t="s">
        <v>1574</v>
      </c>
      <c r="J605" s="84" t="s">
        <v>409</v>
      </c>
      <c r="K605" s="84" t="s">
        <v>383</v>
      </c>
      <c r="L605" s="84" t="s">
        <v>383</v>
      </c>
      <c r="M605" s="90" t="str">
        <f t="shared" si="12"/>
        <v>View on Google Map</v>
      </c>
    </row>
    <row r="606" spans="1:13" x14ac:dyDescent="0.2">
      <c r="A606" s="84">
        <v>920</v>
      </c>
      <c r="B606" s="84" t="s">
        <v>1575</v>
      </c>
      <c r="C606" s="84" t="s">
        <v>383</v>
      </c>
      <c r="D606" s="84" t="s">
        <v>383</v>
      </c>
      <c r="E606" s="84" t="s">
        <v>383</v>
      </c>
      <c r="F606" s="84">
        <v>760</v>
      </c>
      <c r="G606" s="84" t="s">
        <v>384</v>
      </c>
      <c r="H606" s="84" t="s">
        <v>1576</v>
      </c>
      <c r="I606" s="84" t="s">
        <v>1577</v>
      </c>
      <c r="J606" s="84" t="s">
        <v>409</v>
      </c>
      <c r="K606" s="84" t="s">
        <v>383</v>
      </c>
      <c r="L606" s="84" t="s">
        <v>383</v>
      </c>
      <c r="M606" s="90" t="str">
        <f t="shared" si="12"/>
        <v>View on Google Map</v>
      </c>
    </row>
    <row r="607" spans="1:13" x14ac:dyDescent="0.2">
      <c r="A607" s="84">
        <v>921</v>
      </c>
      <c r="B607" s="84" t="s">
        <v>1578</v>
      </c>
      <c r="C607" s="84" t="s">
        <v>383</v>
      </c>
      <c r="D607" s="84" t="s">
        <v>383</v>
      </c>
      <c r="E607" s="84" t="s">
        <v>383</v>
      </c>
      <c r="F607" s="84">
        <v>720</v>
      </c>
      <c r="G607" s="84" t="s">
        <v>384</v>
      </c>
      <c r="H607" s="84" t="s">
        <v>1579</v>
      </c>
      <c r="I607" s="84" t="s">
        <v>1580</v>
      </c>
      <c r="J607" s="84" t="s">
        <v>409</v>
      </c>
      <c r="K607" s="84" t="s">
        <v>383</v>
      </c>
      <c r="L607" s="84" t="s">
        <v>383</v>
      </c>
      <c r="M607" s="90" t="str">
        <f t="shared" si="12"/>
        <v>View on Google Map</v>
      </c>
    </row>
    <row r="608" spans="1:13" x14ac:dyDescent="0.2">
      <c r="A608" s="84">
        <v>922</v>
      </c>
      <c r="B608" s="84" t="s">
        <v>1581</v>
      </c>
      <c r="C608" s="84" t="s">
        <v>383</v>
      </c>
      <c r="D608" s="84" t="s">
        <v>383</v>
      </c>
      <c r="E608" s="84" t="s">
        <v>383</v>
      </c>
      <c r="F608" s="84">
        <v>750</v>
      </c>
      <c r="G608" s="84" t="s">
        <v>384</v>
      </c>
      <c r="H608" s="84" t="s">
        <v>1582</v>
      </c>
      <c r="I608" s="84" t="s">
        <v>1583</v>
      </c>
      <c r="J608" s="84" t="s">
        <v>409</v>
      </c>
      <c r="K608" s="84" t="s">
        <v>383</v>
      </c>
      <c r="L608" s="84" t="s">
        <v>383</v>
      </c>
      <c r="M608" s="90" t="str">
        <f t="shared" si="12"/>
        <v>View on Google Map</v>
      </c>
    </row>
    <row r="609" spans="1:13" x14ac:dyDescent="0.2">
      <c r="A609" s="84">
        <v>923</v>
      </c>
      <c r="B609" s="84" t="s">
        <v>1584</v>
      </c>
      <c r="C609" s="84" t="s">
        <v>383</v>
      </c>
      <c r="D609" s="84" t="s">
        <v>383</v>
      </c>
      <c r="E609" s="84" t="s">
        <v>383</v>
      </c>
      <c r="F609" s="84">
        <v>750</v>
      </c>
      <c r="G609" s="84" t="s">
        <v>384</v>
      </c>
      <c r="H609" s="84" t="s">
        <v>1585</v>
      </c>
      <c r="I609" s="84" t="s">
        <v>1586</v>
      </c>
      <c r="J609" s="84" t="s">
        <v>409</v>
      </c>
      <c r="K609" s="84" t="s">
        <v>383</v>
      </c>
      <c r="L609" s="84" t="s">
        <v>383</v>
      </c>
      <c r="M609" s="90" t="str">
        <f t="shared" si="12"/>
        <v>View on Google Map</v>
      </c>
    </row>
    <row r="610" spans="1:13" x14ac:dyDescent="0.2">
      <c r="A610" s="84">
        <v>924</v>
      </c>
      <c r="B610" s="84" t="s">
        <v>1587</v>
      </c>
      <c r="C610" s="84" t="s">
        <v>383</v>
      </c>
      <c r="D610" s="84" t="s">
        <v>383</v>
      </c>
      <c r="E610" s="84" t="s">
        <v>383</v>
      </c>
      <c r="F610" s="84">
        <v>750</v>
      </c>
      <c r="G610" s="84" t="s">
        <v>384</v>
      </c>
      <c r="H610" s="84" t="s">
        <v>1588</v>
      </c>
      <c r="I610" s="84" t="s">
        <v>1589</v>
      </c>
      <c r="J610" s="84" t="s">
        <v>409</v>
      </c>
      <c r="K610" s="84" t="s">
        <v>383</v>
      </c>
      <c r="L610" s="84" t="s">
        <v>383</v>
      </c>
      <c r="M610" s="90" t="str">
        <f t="shared" si="12"/>
        <v>View on Google Map</v>
      </c>
    </row>
    <row r="611" spans="1:13" x14ac:dyDescent="0.2">
      <c r="A611" s="84">
        <v>925</v>
      </c>
      <c r="B611" s="84" t="s">
        <v>1590</v>
      </c>
      <c r="C611" s="84" t="s">
        <v>383</v>
      </c>
      <c r="D611" s="84" t="s">
        <v>383</v>
      </c>
      <c r="E611" s="84" t="s">
        <v>383</v>
      </c>
      <c r="F611" s="84">
        <v>750</v>
      </c>
      <c r="G611" s="84" t="s">
        <v>384</v>
      </c>
      <c r="H611" s="84" t="s">
        <v>1591</v>
      </c>
      <c r="I611" s="84" t="s">
        <v>1592</v>
      </c>
      <c r="J611" s="84" t="s">
        <v>409</v>
      </c>
      <c r="K611" s="84" t="s">
        <v>383</v>
      </c>
      <c r="L611" s="84" t="s">
        <v>383</v>
      </c>
      <c r="M611" s="90" t="str">
        <f t="shared" si="12"/>
        <v>View on Google Map</v>
      </c>
    </row>
    <row r="612" spans="1:13" x14ac:dyDescent="0.2">
      <c r="A612" s="84">
        <v>926</v>
      </c>
      <c r="B612" s="84" t="s">
        <v>1593</v>
      </c>
      <c r="C612" s="84" t="s">
        <v>383</v>
      </c>
      <c r="D612" s="84" t="s">
        <v>383</v>
      </c>
      <c r="E612" s="84" t="s">
        <v>383</v>
      </c>
      <c r="F612" s="84">
        <v>750</v>
      </c>
      <c r="G612" s="84" t="s">
        <v>384</v>
      </c>
      <c r="H612" s="84" t="s">
        <v>1594</v>
      </c>
      <c r="I612" s="84" t="s">
        <v>1595</v>
      </c>
      <c r="J612" s="84" t="s">
        <v>409</v>
      </c>
      <c r="K612" s="84" t="s">
        <v>383</v>
      </c>
      <c r="L612" s="84" t="s">
        <v>383</v>
      </c>
      <c r="M612" s="90" t="str">
        <f t="shared" si="12"/>
        <v>View on Google Map</v>
      </c>
    </row>
    <row r="613" spans="1:13" x14ac:dyDescent="0.2">
      <c r="A613" s="84">
        <v>927</v>
      </c>
      <c r="B613" s="84" t="s">
        <v>1596</v>
      </c>
      <c r="C613" s="84" t="s">
        <v>383</v>
      </c>
      <c r="D613" s="84" t="s">
        <v>383</v>
      </c>
      <c r="E613" s="84" t="s">
        <v>383</v>
      </c>
      <c r="F613" s="84">
        <v>750</v>
      </c>
      <c r="G613" s="84" t="s">
        <v>384</v>
      </c>
      <c r="H613" s="84" t="s">
        <v>1597</v>
      </c>
      <c r="I613" s="84" t="s">
        <v>1598</v>
      </c>
      <c r="J613" s="84" t="s">
        <v>409</v>
      </c>
      <c r="K613" s="84" t="s">
        <v>383</v>
      </c>
      <c r="L613" s="84" t="s">
        <v>383</v>
      </c>
      <c r="M613" s="90" t="str">
        <f t="shared" si="12"/>
        <v>View on Google Map</v>
      </c>
    </row>
    <row r="614" spans="1:13" x14ac:dyDescent="0.2">
      <c r="A614" s="84">
        <v>928</v>
      </c>
      <c r="B614" s="84" t="s">
        <v>1599</v>
      </c>
      <c r="C614" s="84" t="s">
        <v>383</v>
      </c>
      <c r="D614" s="84" t="s">
        <v>383</v>
      </c>
      <c r="E614" s="84" t="s">
        <v>383</v>
      </c>
      <c r="F614" s="84">
        <v>750</v>
      </c>
      <c r="G614" s="84" t="s">
        <v>384</v>
      </c>
      <c r="H614" s="84" t="s">
        <v>1600</v>
      </c>
      <c r="I614" s="84" t="s">
        <v>1601</v>
      </c>
      <c r="J614" s="84" t="s">
        <v>409</v>
      </c>
      <c r="K614" s="84" t="s">
        <v>383</v>
      </c>
      <c r="L614" s="84" t="s">
        <v>383</v>
      </c>
      <c r="M614" s="90" t="str">
        <f t="shared" si="12"/>
        <v>View on Google Map</v>
      </c>
    </row>
    <row r="615" spans="1:13" x14ac:dyDescent="0.2">
      <c r="A615" s="84">
        <v>929</v>
      </c>
      <c r="B615" s="84" t="s">
        <v>1602</v>
      </c>
      <c r="C615" s="84" t="s">
        <v>383</v>
      </c>
      <c r="D615" s="84" t="s">
        <v>383</v>
      </c>
      <c r="E615" s="84" t="s">
        <v>383</v>
      </c>
      <c r="F615" s="84">
        <v>750</v>
      </c>
      <c r="G615" s="84" t="s">
        <v>384</v>
      </c>
      <c r="H615" s="84" t="s">
        <v>1603</v>
      </c>
      <c r="I615" s="84" t="s">
        <v>1604</v>
      </c>
      <c r="J615" s="84" t="s">
        <v>409</v>
      </c>
      <c r="K615" s="84" t="s">
        <v>383</v>
      </c>
      <c r="L615" s="84" t="s">
        <v>383</v>
      </c>
      <c r="M615" s="90" t="str">
        <f t="shared" si="12"/>
        <v>View on Google Map</v>
      </c>
    </row>
    <row r="616" spans="1:13" x14ac:dyDescent="0.2">
      <c r="A616" s="84">
        <v>930</v>
      </c>
      <c r="B616" s="84" t="s">
        <v>1605</v>
      </c>
      <c r="C616" s="84" t="s">
        <v>383</v>
      </c>
      <c r="D616" s="84" t="s">
        <v>383</v>
      </c>
      <c r="E616" s="84" t="s">
        <v>383</v>
      </c>
      <c r="F616" s="84">
        <v>750</v>
      </c>
      <c r="G616" s="84" t="s">
        <v>384</v>
      </c>
      <c r="H616" s="84" t="s">
        <v>1606</v>
      </c>
      <c r="I616" s="84" t="s">
        <v>1607</v>
      </c>
      <c r="J616" s="84" t="s">
        <v>409</v>
      </c>
      <c r="K616" s="84" t="s">
        <v>383</v>
      </c>
      <c r="L616" s="84" t="s">
        <v>383</v>
      </c>
      <c r="M616" s="90" t="str">
        <f t="shared" si="12"/>
        <v>View on Google Map</v>
      </c>
    </row>
    <row r="617" spans="1:13" x14ac:dyDescent="0.2">
      <c r="A617" s="84">
        <v>931</v>
      </c>
      <c r="B617" s="84" t="s">
        <v>1608</v>
      </c>
      <c r="C617" s="84" t="s">
        <v>383</v>
      </c>
      <c r="D617" s="84" t="s">
        <v>383</v>
      </c>
      <c r="E617" s="84" t="s">
        <v>383</v>
      </c>
      <c r="F617" s="84">
        <v>750</v>
      </c>
      <c r="G617" s="84" t="s">
        <v>384</v>
      </c>
      <c r="H617" s="84" t="s">
        <v>1609</v>
      </c>
      <c r="I617" s="84" t="s">
        <v>1610</v>
      </c>
      <c r="J617" s="84" t="s">
        <v>409</v>
      </c>
      <c r="K617" s="84" t="s">
        <v>383</v>
      </c>
      <c r="L617" s="84" t="s">
        <v>383</v>
      </c>
      <c r="M617" s="90" t="str">
        <f t="shared" si="12"/>
        <v>View on Google Map</v>
      </c>
    </row>
    <row r="618" spans="1:13" x14ac:dyDescent="0.2">
      <c r="A618" s="84">
        <v>370</v>
      </c>
      <c r="B618" s="84" t="s">
        <v>1611</v>
      </c>
      <c r="C618" s="84" t="s">
        <v>383</v>
      </c>
      <c r="D618" s="84" t="s">
        <v>383</v>
      </c>
      <c r="E618" s="84" t="s">
        <v>383</v>
      </c>
      <c r="F618" s="84" t="s">
        <v>383</v>
      </c>
      <c r="G618" s="84" t="s">
        <v>394</v>
      </c>
      <c r="H618" s="84" t="s">
        <v>383</v>
      </c>
      <c r="I618" s="84" t="s">
        <v>383</v>
      </c>
      <c r="J618" s="84" t="s">
        <v>409</v>
      </c>
      <c r="K618" s="84" t="s">
        <v>383</v>
      </c>
      <c r="L618" s="84" t="s">
        <v>1612</v>
      </c>
      <c r="M618" s="90" t="str">
        <f t="shared" si="12"/>
        <v>View on Google Map</v>
      </c>
    </row>
    <row r="619" spans="1:13" x14ac:dyDescent="0.2">
      <c r="A619" s="84">
        <v>371</v>
      </c>
      <c r="B619" s="84" t="s">
        <v>1613</v>
      </c>
      <c r="C619" s="84" t="s">
        <v>383</v>
      </c>
      <c r="D619" s="84" t="s">
        <v>383</v>
      </c>
      <c r="E619" s="84" t="s">
        <v>383</v>
      </c>
      <c r="F619" s="84" t="s">
        <v>383</v>
      </c>
      <c r="G619" s="84" t="s">
        <v>394</v>
      </c>
      <c r="H619" s="84" t="s">
        <v>383</v>
      </c>
      <c r="I619" s="84" t="s">
        <v>383</v>
      </c>
      <c r="J619" s="84" t="s">
        <v>409</v>
      </c>
      <c r="K619" s="84" t="s">
        <v>383</v>
      </c>
      <c r="L619" s="84" t="s">
        <v>1612</v>
      </c>
      <c r="M619" s="90" t="str">
        <f t="shared" si="12"/>
        <v>View on Google Map</v>
      </c>
    </row>
    <row r="620" spans="1:13" x14ac:dyDescent="0.2">
      <c r="A620" s="84">
        <v>372</v>
      </c>
      <c r="B620" s="84" t="s">
        <v>1614</v>
      </c>
      <c r="C620" s="84" t="s">
        <v>383</v>
      </c>
      <c r="D620" s="84" t="s">
        <v>383</v>
      </c>
      <c r="E620" s="84" t="s">
        <v>383</v>
      </c>
      <c r="F620" s="84" t="s">
        <v>383</v>
      </c>
      <c r="G620" s="84" t="s">
        <v>394</v>
      </c>
      <c r="H620" s="84" t="s">
        <v>383</v>
      </c>
      <c r="I620" s="84" t="s">
        <v>383</v>
      </c>
      <c r="J620" s="84" t="s">
        <v>409</v>
      </c>
      <c r="K620" s="84" t="s">
        <v>383</v>
      </c>
      <c r="L620" s="84" t="s">
        <v>1612</v>
      </c>
      <c r="M620" s="90" t="str">
        <f t="shared" si="12"/>
        <v>View on Google Map</v>
      </c>
    </row>
    <row r="621" spans="1:13" x14ac:dyDescent="0.2">
      <c r="A621" s="84">
        <v>373</v>
      </c>
      <c r="B621" s="84" t="s">
        <v>1615</v>
      </c>
      <c r="C621" s="84" t="s">
        <v>383</v>
      </c>
      <c r="D621" s="84" t="s">
        <v>383</v>
      </c>
      <c r="E621" s="84" t="s">
        <v>383</v>
      </c>
      <c r="F621" s="84" t="s">
        <v>383</v>
      </c>
      <c r="G621" s="84" t="s">
        <v>394</v>
      </c>
      <c r="H621" s="84" t="s">
        <v>383</v>
      </c>
      <c r="I621" s="84" t="s">
        <v>383</v>
      </c>
      <c r="J621" s="84" t="s">
        <v>409</v>
      </c>
      <c r="K621" s="84" t="s">
        <v>383</v>
      </c>
      <c r="L621" s="84" t="s">
        <v>1612</v>
      </c>
      <c r="M621" s="90" t="str">
        <f t="shared" si="12"/>
        <v>View on Google Map</v>
      </c>
    </row>
    <row r="622" spans="1:13" x14ac:dyDescent="0.2">
      <c r="A622" s="84">
        <v>374</v>
      </c>
      <c r="B622" s="84" t="s">
        <v>1616</v>
      </c>
      <c r="C622" s="84" t="s">
        <v>383</v>
      </c>
      <c r="D622" s="84" t="s">
        <v>383</v>
      </c>
      <c r="E622" s="84" t="s">
        <v>383</v>
      </c>
      <c r="F622" s="84" t="s">
        <v>383</v>
      </c>
      <c r="G622" s="84" t="s">
        <v>394</v>
      </c>
      <c r="H622" s="84" t="s">
        <v>383</v>
      </c>
      <c r="I622" s="84" t="s">
        <v>383</v>
      </c>
      <c r="J622" s="84" t="s">
        <v>409</v>
      </c>
      <c r="K622" s="84" t="s">
        <v>383</v>
      </c>
      <c r="L622" s="84" t="s">
        <v>1612</v>
      </c>
      <c r="M622" s="90" t="str">
        <f t="shared" si="12"/>
        <v>View on Google Map</v>
      </c>
    </row>
    <row r="623" spans="1:13" x14ac:dyDescent="0.2">
      <c r="A623" s="84">
        <v>375</v>
      </c>
      <c r="B623" s="84" t="s">
        <v>1617</v>
      </c>
      <c r="C623" s="84" t="s">
        <v>383</v>
      </c>
      <c r="D623" s="84" t="s">
        <v>383</v>
      </c>
      <c r="E623" s="84" t="s">
        <v>383</v>
      </c>
      <c r="F623" s="84" t="s">
        <v>383</v>
      </c>
      <c r="G623" s="84" t="s">
        <v>394</v>
      </c>
      <c r="H623" s="84" t="s">
        <v>383</v>
      </c>
      <c r="I623" s="84" t="s">
        <v>383</v>
      </c>
      <c r="J623" s="84" t="s">
        <v>409</v>
      </c>
      <c r="K623" s="84" t="s">
        <v>383</v>
      </c>
      <c r="L623" s="84" t="s">
        <v>1612</v>
      </c>
      <c r="M623" s="90" t="str">
        <f t="shared" si="12"/>
        <v>View on Google Map</v>
      </c>
    </row>
    <row r="624" spans="1:13" x14ac:dyDescent="0.2">
      <c r="A624" s="84">
        <v>376</v>
      </c>
      <c r="B624" s="84" t="s">
        <v>1618</v>
      </c>
      <c r="C624" s="84" t="s">
        <v>383</v>
      </c>
      <c r="D624" s="84" t="s">
        <v>383</v>
      </c>
      <c r="E624" s="84" t="s">
        <v>383</v>
      </c>
      <c r="F624" s="84" t="s">
        <v>383</v>
      </c>
      <c r="G624" s="84" t="s">
        <v>394</v>
      </c>
      <c r="H624" s="84" t="s">
        <v>383</v>
      </c>
      <c r="I624" s="84" t="s">
        <v>383</v>
      </c>
      <c r="J624" s="84" t="s">
        <v>409</v>
      </c>
      <c r="K624" s="84" t="s">
        <v>383</v>
      </c>
      <c r="L624" s="84" t="s">
        <v>1612</v>
      </c>
      <c r="M624" s="90" t="str">
        <f t="shared" si="12"/>
        <v>View on Google Map</v>
      </c>
    </row>
    <row r="625" spans="1:13" x14ac:dyDescent="0.2">
      <c r="A625" s="84">
        <v>377</v>
      </c>
      <c r="B625" s="84" t="s">
        <v>1619</v>
      </c>
      <c r="C625" s="84" t="s">
        <v>383</v>
      </c>
      <c r="D625" s="84" t="s">
        <v>383</v>
      </c>
      <c r="E625" s="84" t="s">
        <v>383</v>
      </c>
      <c r="F625" s="84" t="s">
        <v>383</v>
      </c>
      <c r="G625" s="84" t="s">
        <v>394</v>
      </c>
      <c r="H625" s="84" t="s">
        <v>383</v>
      </c>
      <c r="I625" s="84" t="s">
        <v>383</v>
      </c>
      <c r="J625" s="84" t="s">
        <v>409</v>
      </c>
      <c r="K625" s="84" t="s">
        <v>383</v>
      </c>
      <c r="L625" s="84" t="s">
        <v>1612</v>
      </c>
      <c r="M625" s="90" t="str">
        <f t="shared" si="12"/>
        <v>View on Google Map</v>
      </c>
    </row>
    <row r="626" spans="1:13" x14ac:dyDescent="0.2">
      <c r="A626" s="84">
        <v>378</v>
      </c>
      <c r="B626" s="84" t="s">
        <v>1620</v>
      </c>
      <c r="C626" s="84" t="s">
        <v>383</v>
      </c>
      <c r="D626" s="84" t="s">
        <v>383</v>
      </c>
      <c r="E626" s="84" t="s">
        <v>383</v>
      </c>
      <c r="F626" s="84" t="s">
        <v>383</v>
      </c>
      <c r="G626" s="84" t="s">
        <v>394</v>
      </c>
      <c r="H626" s="84" t="s">
        <v>383</v>
      </c>
      <c r="I626" s="84" t="s">
        <v>383</v>
      </c>
      <c r="J626" s="84" t="s">
        <v>409</v>
      </c>
      <c r="K626" s="84" t="s">
        <v>383</v>
      </c>
      <c r="L626" s="84" t="s">
        <v>1612</v>
      </c>
      <c r="M626" s="90" t="str">
        <f t="shared" si="12"/>
        <v>View on Google Map</v>
      </c>
    </row>
    <row r="627" spans="1:13" x14ac:dyDescent="0.2">
      <c r="A627" s="84">
        <v>379</v>
      </c>
      <c r="B627" s="84" t="s">
        <v>1621</v>
      </c>
      <c r="C627" s="84" t="s">
        <v>383</v>
      </c>
      <c r="D627" s="84" t="s">
        <v>383</v>
      </c>
      <c r="E627" s="84" t="s">
        <v>383</v>
      </c>
      <c r="F627" s="84" t="s">
        <v>383</v>
      </c>
      <c r="G627" s="84" t="s">
        <v>394</v>
      </c>
      <c r="H627" s="84" t="s">
        <v>383</v>
      </c>
      <c r="I627" s="84" t="s">
        <v>383</v>
      </c>
      <c r="J627" s="84" t="s">
        <v>409</v>
      </c>
      <c r="K627" s="84" t="s">
        <v>383</v>
      </c>
      <c r="L627" s="84" t="s">
        <v>1612</v>
      </c>
      <c r="M627" s="90" t="str">
        <f t="shared" si="12"/>
        <v>View on Google Map</v>
      </c>
    </row>
    <row r="628" spans="1:13" x14ac:dyDescent="0.2">
      <c r="A628" s="84">
        <v>458</v>
      </c>
      <c r="B628" s="84" t="s">
        <v>1622</v>
      </c>
      <c r="C628" s="84" t="s">
        <v>383</v>
      </c>
      <c r="D628" s="84">
        <v>68.986329999999995</v>
      </c>
      <c r="E628" s="84">
        <v>-149.89803000000001</v>
      </c>
      <c r="F628" s="84">
        <v>419</v>
      </c>
      <c r="G628" s="84" t="s">
        <v>394</v>
      </c>
      <c r="H628" s="84" t="s">
        <v>383</v>
      </c>
      <c r="I628" s="84" t="s">
        <v>383</v>
      </c>
      <c r="J628" s="84" t="s">
        <v>395</v>
      </c>
      <c r="K628" s="84" t="s">
        <v>383</v>
      </c>
      <c r="L628" s="84" t="s">
        <v>383</v>
      </c>
      <c r="M628" s="90" t="str">
        <f t="shared" si="12"/>
        <v>View on Google Map</v>
      </c>
    </row>
    <row r="629" spans="1:13" x14ac:dyDescent="0.2">
      <c r="A629" s="84">
        <v>459</v>
      </c>
      <c r="B629" s="84" t="s">
        <v>1623</v>
      </c>
      <c r="C629" s="84" t="s">
        <v>383</v>
      </c>
      <c r="D629" s="84">
        <v>68.983530000000002</v>
      </c>
      <c r="E629" s="84">
        <v>-149.89436000000001</v>
      </c>
      <c r="F629" s="84">
        <v>408</v>
      </c>
      <c r="G629" s="84" t="s">
        <v>394</v>
      </c>
      <c r="H629" s="84" t="s">
        <v>383</v>
      </c>
      <c r="I629" s="84" t="s">
        <v>383</v>
      </c>
      <c r="J629" s="84" t="s">
        <v>395</v>
      </c>
      <c r="K629" s="84" t="s">
        <v>383</v>
      </c>
      <c r="L629" s="84" t="s">
        <v>383</v>
      </c>
      <c r="M629" s="90" t="str">
        <f t="shared" si="12"/>
        <v>View on Google Map</v>
      </c>
    </row>
    <row r="630" spans="1:13" x14ac:dyDescent="0.2">
      <c r="A630" s="84">
        <v>460</v>
      </c>
      <c r="B630" s="84" t="s">
        <v>1624</v>
      </c>
      <c r="C630" s="84" t="s">
        <v>383</v>
      </c>
      <c r="D630" s="84">
        <v>68.978710000000007</v>
      </c>
      <c r="E630" s="84">
        <v>-149.89182</v>
      </c>
      <c r="F630" s="84">
        <v>394</v>
      </c>
      <c r="G630" s="84" t="s">
        <v>394</v>
      </c>
      <c r="H630" s="84" t="s">
        <v>383</v>
      </c>
      <c r="I630" s="84" t="s">
        <v>383</v>
      </c>
      <c r="J630" s="84" t="s">
        <v>395</v>
      </c>
      <c r="K630" s="84" t="s">
        <v>383</v>
      </c>
      <c r="L630" s="84" t="s">
        <v>383</v>
      </c>
      <c r="M630" s="90" t="str">
        <f t="shared" si="12"/>
        <v>View on Google Map</v>
      </c>
    </row>
    <row r="631" spans="1:13" x14ac:dyDescent="0.2">
      <c r="A631" s="84">
        <v>461</v>
      </c>
      <c r="B631" s="84" t="s">
        <v>1625</v>
      </c>
      <c r="C631" s="84" t="s">
        <v>383</v>
      </c>
      <c r="D631" s="84">
        <v>68.861750000000001</v>
      </c>
      <c r="E631" s="84">
        <v>-149.03908000000001</v>
      </c>
      <c r="F631" s="84">
        <v>651</v>
      </c>
      <c r="G631" s="84" t="s">
        <v>394</v>
      </c>
      <c r="H631" s="84" t="s">
        <v>383</v>
      </c>
      <c r="I631" s="84" t="s">
        <v>383</v>
      </c>
      <c r="J631" s="84" t="s">
        <v>395</v>
      </c>
      <c r="K631" s="84" t="s">
        <v>383</v>
      </c>
      <c r="L631" s="84" t="s">
        <v>383</v>
      </c>
      <c r="M631" s="90" t="str">
        <f t="shared" si="12"/>
        <v>View on Google Map</v>
      </c>
    </row>
    <row r="632" spans="1:13" x14ac:dyDescent="0.2">
      <c r="A632" s="84">
        <v>462</v>
      </c>
      <c r="B632" s="84" t="s">
        <v>1626</v>
      </c>
      <c r="C632" s="84" t="s">
        <v>383</v>
      </c>
      <c r="D632" s="84">
        <v>68.867549999999994</v>
      </c>
      <c r="E632" s="84">
        <v>-149.03557000000001</v>
      </c>
      <c r="F632" s="84">
        <v>638</v>
      </c>
      <c r="G632" s="84" t="s">
        <v>394</v>
      </c>
      <c r="H632" s="84" t="s">
        <v>383</v>
      </c>
      <c r="I632" s="84" t="s">
        <v>383</v>
      </c>
      <c r="J632" s="84" t="s">
        <v>395</v>
      </c>
      <c r="K632" s="84" t="s">
        <v>383</v>
      </c>
      <c r="L632" s="84" t="s">
        <v>383</v>
      </c>
      <c r="M632" s="90" t="str">
        <f t="shared" si="12"/>
        <v>View on Google Map</v>
      </c>
    </row>
    <row r="633" spans="1:13" x14ac:dyDescent="0.2">
      <c r="A633" s="91">
        <v>463</v>
      </c>
      <c r="B633" s="91" t="s">
        <v>1627</v>
      </c>
      <c r="C633" s="91" t="s">
        <v>383</v>
      </c>
      <c r="D633" s="91">
        <v>68.873149999999995</v>
      </c>
      <c r="E633" s="91">
        <v>-149.04128</v>
      </c>
      <c r="F633" s="91">
        <v>637</v>
      </c>
      <c r="G633" s="91" t="s">
        <v>394</v>
      </c>
      <c r="H633" s="91" t="s">
        <v>383</v>
      </c>
      <c r="I633" s="91" t="s">
        <v>383</v>
      </c>
      <c r="J633" s="91" t="s">
        <v>395</v>
      </c>
      <c r="K633" s="91" t="s">
        <v>383</v>
      </c>
      <c r="L633" s="91" t="s">
        <v>383</v>
      </c>
      <c r="M633" s="90" t="str">
        <f t="shared" si="12"/>
        <v>View on Google Map</v>
      </c>
    </row>
    <row r="634" spans="1:13" x14ac:dyDescent="0.2">
      <c r="A634" s="84">
        <v>129</v>
      </c>
      <c r="B634" s="84" t="s">
        <v>1628</v>
      </c>
      <c r="C634" s="84" t="s">
        <v>1469</v>
      </c>
      <c r="D634" s="84">
        <v>69.966666666666669</v>
      </c>
      <c r="E634" s="84">
        <v>-148.73333333333301</v>
      </c>
      <c r="F634" s="84">
        <v>57</v>
      </c>
      <c r="G634" s="84" t="s">
        <v>394</v>
      </c>
      <c r="H634" s="84" t="s">
        <v>1629</v>
      </c>
      <c r="I634" s="84" t="s">
        <v>383</v>
      </c>
      <c r="J634" s="84" t="s">
        <v>409</v>
      </c>
      <c r="K634" s="84" t="s">
        <v>383</v>
      </c>
      <c r="L634" s="84" t="s">
        <v>410</v>
      </c>
      <c r="M634" s="90" t="str">
        <f t="shared" si="12"/>
        <v>View on Google Map</v>
      </c>
    </row>
    <row r="635" spans="1:13" x14ac:dyDescent="0.2">
      <c r="A635" s="84">
        <v>17</v>
      </c>
      <c r="B635" s="84" t="s">
        <v>1630</v>
      </c>
      <c r="C635" s="84" t="s">
        <v>1631</v>
      </c>
      <c r="D635" s="84" t="s">
        <v>383</v>
      </c>
      <c r="E635" s="84" t="s">
        <v>383</v>
      </c>
      <c r="F635" s="84" t="s">
        <v>383</v>
      </c>
      <c r="G635" s="84" t="s">
        <v>408</v>
      </c>
      <c r="H635" s="84" t="s">
        <v>383</v>
      </c>
      <c r="I635" s="84" t="s">
        <v>383</v>
      </c>
      <c r="J635" s="84" t="s">
        <v>409</v>
      </c>
      <c r="K635" s="84" t="s">
        <v>383</v>
      </c>
      <c r="L635" s="84" t="s">
        <v>383</v>
      </c>
      <c r="M635" s="90" t="str">
        <f t="shared" si="12"/>
        <v>View on Google Map</v>
      </c>
    </row>
    <row r="636" spans="1:13" x14ac:dyDescent="0.2">
      <c r="A636" s="84">
        <v>530</v>
      </c>
      <c r="B636" s="84" t="s">
        <v>1632</v>
      </c>
      <c r="C636" s="84" t="s">
        <v>789</v>
      </c>
      <c r="D636" s="84">
        <v>68.674332000000007</v>
      </c>
      <c r="E636" s="84">
        <v>-149.61694399999999</v>
      </c>
      <c r="F636" s="84">
        <v>701</v>
      </c>
      <c r="G636" s="84" t="s">
        <v>394</v>
      </c>
      <c r="H636" s="84" t="s">
        <v>383</v>
      </c>
      <c r="I636" s="84" t="s">
        <v>383</v>
      </c>
      <c r="J636" s="84" t="s">
        <v>395</v>
      </c>
      <c r="K636" s="84" t="s">
        <v>383</v>
      </c>
      <c r="L636" s="84" t="s">
        <v>790</v>
      </c>
      <c r="M636" s="90" t="str">
        <f t="shared" si="12"/>
        <v>View on Google Map</v>
      </c>
    </row>
    <row r="637" spans="1:13" x14ac:dyDescent="0.2">
      <c r="A637" s="84">
        <v>496</v>
      </c>
      <c r="B637" s="84" t="s">
        <v>1633</v>
      </c>
      <c r="C637" s="84" t="s">
        <v>383</v>
      </c>
      <c r="D637" s="84">
        <v>68.674149999999997</v>
      </c>
      <c r="E637" s="84">
        <v>-149.61810299999999</v>
      </c>
      <c r="F637" s="84">
        <v>701</v>
      </c>
      <c r="G637" s="84" t="s">
        <v>408</v>
      </c>
      <c r="H637" s="84" t="s">
        <v>1634</v>
      </c>
      <c r="I637" s="84" t="s">
        <v>383</v>
      </c>
      <c r="J637" s="84" t="s">
        <v>1311</v>
      </c>
      <c r="K637" s="84" t="s">
        <v>383</v>
      </c>
      <c r="L637" s="84" t="s">
        <v>790</v>
      </c>
      <c r="M637" s="90" t="str">
        <f t="shared" si="12"/>
        <v>View on Google Map</v>
      </c>
    </row>
  </sheetData>
  <autoFilter ref="A2:N637">
    <sortState ref="A3:N637">
      <sortCondition ref="B2"/>
    </sortState>
  </autoFilter>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122</vt:i4>
      </vt:variant>
    </vt:vector>
  </HeadingPairs>
  <TitlesOfParts>
    <vt:vector size="125" baseType="lpstr">
      <vt:lpstr>Metadata</vt:lpstr>
      <vt:lpstr>Data</vt:lpstr>
      <vt:lpstr>Sites(Do NOT Edit)</vt:lpstr>
      <vt:lpstr>Metadata!ABSTRACT</vt:lpstr>
      <vt:lpstr>'Sites(Do NOT Edit)'!ABSTRACT</vt:lpstr>
      <vt:lpstr>Metadata!Address_line_2</vt:lpstr>
      <vt:lpstr>'Sites(Do NOT Edit)'!Address_line_2</vt:lpstr>
      <vt:lpstr>Metadata!Address_line_3</vt:lpstr>
      <vt:lpstr>'Sites(Do NOT Edit)'!Address_line_3</vt:lpstr>
      <vt:lpstr>Metadata!Availability_Status</vt:lpstr>
      <vt:lpstr>'Sites(Do NOT Edit)'!Availability_Status</vt:lpstr>
      <vt:lpstr>Metadata!Beginning_Date</vt:lpstr>
      <vt:lpstr>'Sites(Do NOT Edit)'!Beginning_Date</vt:lpstr>
      <vt:lpstr>Metadata!City</vt:lpstr>
      <vt:lpstr>'Sites(Do NOT Edit)'!City</vt:lpstr>
      <vt:lpstr>Metadata!Code_Information</vt:lpstr>
      <vt:lpstr>'Sites(Do NOT Edit)'!Code_Information</vt:lpstr>
      <vt:lpstr>Metadata!Country</vt:lpstr>
      <vt:lpstr>'Sites(Do NOT Edit)'!Country</vt:lpstr>
      <vt:lpstr>Metadata!DATA_FILE_INFORMATION</vt:lpstr>
      <vt:lpstr>'Sites(Do NOT Edit)'!DATA_FILE_INFORMATION</vt:lpstr>
      <vt:lpstr>Metadata!Data_File_Name</vt:lpstr>
      <vt:lpstr>'Sites(Do NOT Edit)'!Data_File_Name</vt:lpstr>
      <vt:lpstr>Metadata!Data_File_URL</vt:lpstr>
      <vt:lpstr>'Sites(Do NOT Edit)'!Data_File_URL</vt:lpstr>
      <vt:lpstr>Metadata!Data_Type</vt:lpstr>
      <vt:lpstr>'Sites(Do NOT Edit)'!Data_Type</vt:lpstr>
      <vt:lpstr>Metadata!DATASET_ID</vt:lpstr>
      <vt:lpstr>'Sites(Do NOT Edit)'!DATASET_ID</vt:lpstr>
      <vt:lpstr>Metadata!DATASET_TITLE</vt:lpstr>
      <vt:lpstr>'Sites(Do NOT Edit)'!DATASET_TITLE</vt:lpstr>
      <vt:lpstr>Metadata!DateTime_Format</vt:lpstr>
      <vt:lpstr>'Sites(Do NOT Edit)'!DateTime_Format</vt:lpstr>
      <vt:lpstr>Metadata!Distribution_URL_for_file</vt:lpstr>
      <vt:lpstr>'Sites(Do NOT Edit)'!Distribution_URL_for_file</vt:lpstr>
      <vt:lpstr>Metadata!East_Bounding_Coordinate</vt:lpstr>
      <vt:lpstr>'Sites(Do NOT Edit)'!East_Bounding_Coordinate</vt:lpstr>
      <vt:lpstr>Metadata!Elevation</vt:lpstr>
      <vt:lpstr>'Sites(Do NOT Edit)'!Elevation</vt:lpstr>
      <vt:lpstr>Metadata!Email</vt:lpstr>
      <vt:lpstr>'Sites(Do NOT Edit)'!Email</vt:lpstr>
      <vt:lpstr>Metadata!End_Date</vt:lpstr>
      <vt:lpstr>'Sites(Do NOT Edit)'!End_Date</vt:lpstr>
      <vt:lpstr>Metadata!First_Name</vt:lpstr>
      <vt:lpstr>'Sites(Do NOT Edit)'!First_Name</vt:lpstr>
      <vt:lpstr>Metadata!Geographic_Description</vt:lpstr>
      <vt:lpstr>'Sites(Do NOT Edit)'!Geographic_Description</vt:lpstr>
      <vt:lpstr>Metadata!INVESTIGATOR_INFORMATION</vt:lpstr>
      <vt:lpstr>'Sites(Do NOT Edit)'!INVESTIGATOR_INFORMATION</vt:lpstr>
      <vt:lpstr>Metadata!KEYWORD_INFORMATION</vt:lpstr>
      <vt:lpstr>'Sites(Do NOT Edit)'!KEYWORD_INFORMATION</vt:lpstr>
      <vt:lpstr>Metadata!KEYWORDS</vt:lpstr>
      <vt:lpstr>'Sites(Do NOT Edit)'!KEYWORDS</vt:lpstr>
      <vt:lpstr>Metadata!Last_Name</vt:lpstr>
      <vt:lpstr>'Sites(Do NOT Edit)'!Last_Name</vt:lpstr>
      <vt:lpstr>Metadata!Latitude</vt:lpstr>
      <vt:lpstr>'Sites(Do NOT Edit)'!Latitude</vt:lpstr>
      <vt:lpstr>Link_to_Google_Map</vt:lpstr>
      <vt:lpstr>Metadata!Location_Bounding_Box</vt:lpstr>
      <vt:lpstr>'Sites(Do NOT Edit)'!Location_Bounding_Box</vt:lpstr>
      <vt:lpstr>Location_Name</vt:lpstr>
      <vt:lpstr>Metadata!Log_of_Changes</vt:lpstr>
      <vt:lpstr>'Sites(Do NOT Edit)'!Log_of_Changes</vt:lpstr>
      <vt:lpstr>Metadata!Longitude</vt:lpstr>
      <vt:lpstr>'Sites(Do NOT Edit)'!Longitude</vt:lpstr>
      <vt:lpstr>LTER_Sites_number</vt:lpstr>
      <vt:lpstr>Metadata!Maintenance_Description</vt:lpstr>
      <vt:lpstr>'Sites(Do NOT Edit)'!Maintenance_Description</vt:lpstr>
      <vt:lpstr>Metadata!Metacat_Package_ID</vt:lpstr>
      <vt:lpstr>'Sites(Do NOT Edit)'!Metacat_Package_ID</vt:lpstr>
      <vt:lpstr>Metadata!METHODS</vt:lpstr>
      <vt:lpstr>'Sites(Do NOT Edit)'!METHODS</vt:lpstr>
      <vt:lpstr>Metadata!Missing_Value_Code</vt:lpstr>
      <vt:lpstr>'Sites(Do NOT Edit)'!Missing_Value_Code</vt:lpstr>
      <vt:lpstr>Metadata!North_Bounding_Coordinate</vt:lpstr>
      <vt:lpstr>'Sites(Do NOT Edit)'!North_Bounding_Coordinate</vt:lpstr>
      <vt:lpstr>Metadata!Number_of_Data_Records</vt:lpstr>
      <vt:lpstr>'Sites(Do NOT Edit)'!Number_of_Data_Records</vt:lpstr>
      <vt:lpstr>Metadata!OR</vt:lpstr>
      <vt:lpstr>'Sites(Do NOT Edit)'!OR</vt:lpstr>
      <vt:lpstr>Metadata!OR_if_single_point_location</vt:lpstr>
      <vt:lpstr>'Sites(Do NOT Edit)'!OR_if_single_point_location</vt:lpstr>
      <vt:lpstr>Metadata!Organisms_studied</vt:lpstr>
      <vt:lpstr>'Sites(Do NOT Edit)'!Organisms_studied</vt:lpstr>
      <vt:lpstr>Metadata!Organization</vt:lpstr>
      <vt:lpstr>'Sites(Do NOT Edit)'!Organization</vt:lpstr>
      <vt:lpstr>Metadata!Other_Files_to_Reference</vt:lpstr>
      <vt:lpstr>'Sites(Do NOT Edit)'!Other_Files_to_Reference</vt:lpstr>
      <vt:lpstr>Metadata!Protocol_Document</vt:lpstr>
      <vt:lpstr>'Sites(Do NOT Edit)'!Protocol_Document</vt:lpstr>
      <vt:lpstr>Metadata!Protocol_Title</vt:lpstr>
      <vt:lpstr>'Sites(Do NOT Edit)'!Protocol_Title</vt:lpstr>
      <vt:lpstr>Metadata!Quality_Control_Information</vt:lpstr>
      <vt:lpstr>'Sites(Do NOT Edit)'!Quality_Control_Information</vt:lpstr>
      <vt:lpstr>Metadata!RESEARCH_LOCATION</vt:lpstr>
      <vt:lpstr>'Sites(Do NOT Edit)'!RESEARCH_LOCATION</vt:lpstr>
      <vt:lpstr>Metadata!Role</vt:lpstr>
      <vt:lpstr>'Sites(Do NOT Edit)'!Role</vt:lpstr>
      <vt:lpstr>Metadata!Sampling_and_or_Lab_Protocols</vt:lpstr>
      <vt:lpstr>'Sites(Do NOT Edit)'!Sampling_and_or_Lab_Protocols</vt:lpstr>
      <vt:lpstr>Site_name</vt:lpstr>
      <vt:lpstr>Site_name_list</vt:lpstr>
      <vt:lpstr>Sites</vt:lpstr>
      <vt:lpstr>Metadata!South_Bounding_Coordinate</vt:lpstr>
      <vt:lpstr>'Sites(Do NOT Edit)'!South_Bounding_Coordinate</vt:lpstr>
      <vt:lpstr>Metadata!State</vt:lpstr>
      <vt:lpstr>'Sites(Do NOT Edit)'!State</vt:lpstr>
      <vt:lpstr>Metadata!TAXONOMIC_COVERAGE</vt:lpstr>
      <vt:lpstr>'Sites(Do NOT Edit)'!TAXONOMIC_COVERAGE</vt:lpstr>
      <vt:lpstr>Metadata!Units</vt:lpstr>
      <vt:lpstr>'Sites(Do NOT Edit)'!Units</vt:lpstr>
      <vt:lpstr>Metadata!URL_of_online_Protocol</vt:lpstr>
      <vt:lpstr>'Sites(Do NOT Edit)'!URL_of_online_Protocol</vt:lpstr>
      <vt:lpstr>Metadata!Variable_Description</vt:lpstr>
      <vt:lpstr>'Sites(Do NOT Edit)'!Variable_Description</vt:lpstr>
      <vt:lpstr>Metadata!VARIABLE_DESCRIPTIONS</vt:lpstr>
      <vt:lpstr>'Sites(Do NOT Edit)'!VARIABLE_DESCRIPTIONS</vt:lpstr>
      <vt:lpstr>Metadata!Variable_Name</vt:lpstr>
      <vt:lpstr>'Sites(Do NOT Edit)'!Variable_Name</vt:lpstr>
      <vt:lpstr>Metadata!West_Bounding_Coordinate</vt:lpstr>
      <vt:lpstr>'Sites(Do NOT Edit)'!West_Bounding_Coordinate</vt:lpstr>
      <vt:lpstr>Metadata!Year_Released_to_Public</vt:lpstr>
      <vt:lpstr>'Sites(Do NOT Edit)'!Year_Released_to_Public</vt:lpstr>
      <vt:lpstr>Metadata!Zip_Code</vt:lpstr>
      <vt:lpstr>'Sites(Do NOT Edit)'!Zip_Code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C. Mack</dc:creator>
  <cp:lastModifiedBy>jiml</cp:lastModifiedBy>
  <cp:lastPrinted>2010-02-03T20:01:33Z</cp:lastPrinted>
  <dcterms:created xsi:type="dcterms:W3CDTF">2009-12-09T18:28:48Z</dcterms:created>
  <dcterms:modified xsi:type="dcterms:W3CDTF">2013-05-22T22:47:04Z</dcterms:modified>
</cp:coreProperties>
</file>