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75" windowWidth="15480" windowHeight="1164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J20" i="1" l="1"/>
  <c r="K20" i="1"/>
  <c r="K45" i="1" l="1"/>
  <c r="J45" i="1"/>
  <c r="I45" i="1"/>
  <c r="H45" i="1"/>
  <c r="G45" i="1"/>
  <c r="L45" i="1" l="1"/>
  <c r="K17" i="1"/>
  <c r="G17" i="1"/>
  <c r="G43" i="1"/>
  <c r="G42" i="1"/>
  <c r="G25" i="1"/>
  <c r="H25" i="1"/>
  <c r="I25" i="1"/>
  <c r="J25" i="1"/>
  <c r="K25" i="1"/>
  <c r="G26" i="1"/>
  <c r="H26" i="1"/>
  <c r="I26" i="1"/>
  <c r="J26" i="1"/>
  <c r="K26" i="1"/>
  <c r="G47" i="1"/>
  <c r="H47" i="1"/>
  <c r="I47" i="1"/>
  <c r="J47" i="1"/>
  <c r="K47" i="1"/>
  <c r="J17" i="1"/>
  <c r="K15" i="1"/>
  <c r="K54" i="1"/>
  <c r="J54" i="1"/>
  <c r="I54" i="1"/>
  <c r="H54" i="1"/>
  <c r="G54" i="1"/>
  <c r="G37" i="1"/>
  <c r="H43" i="1"/>
  <c r="I43" i="1"/>
  <c r="J43" i="1"/>
  <c r="K43" i="1"/>
  <c r="G20" i="1"/>
  <c r="H20" i="1"/>
  <c r="I20" i="1"/>
  <c r="H15" i="1"/>
  <c r="I15" i="1"/>
  <c r="J15" i="1"/>
  <c r="G16" i="1"/>
  <c r="H16" i="1"/>
  <c r="I16" i="1"/>
  <c r="J16" i="1"/>
  <c r="K16" i="1"/>
  <c r="H17" i="1"/>
  <c r="I17" i="1"/>
  <c r="G49" i="1"/>
  <c r="H49" i="1"/>
  <c r="I49" i="1"/>
  <c r="J49" i="1"/>
  <c r="K49" i="1"/>
  <c r="G55" i="1"/>
  <c r="H55" i="1"/>
  <c r="I55" i="1"/>
  <c r="J55" i="1"/>
  <c r="K55" i="1"/>
  <c r="G51" i="1"/>
  <c r="H51" i="1"/>
  <c r="I51" i="1"/>
  <c r="J51" i="1"/>
  <c r="K51" i="1"/>
  <c r="G52" i="1"/>
  <c r="H52" i="1"/>
  <c r="I52" i="1"/>
  <c r="J52" i="1"/>
  <c r="K52" i="1"/>
  <c r="G53" i="1"/>
  <c r="H53" i="1"/>
  <c r="I53" i="1"/>
  <c r="J53" i="1"/>
  <c r="K53" i="1"/>
  <c r="G14" i="1"/>
  <c r="H14" i="1"/>
  <c r="I14" i="1"/>
  <c r="J14" i="1"/>
  <c r="K14" i="1"/>
  <c r="L40" i="1"/>
  <c r="G4" i="1"/>
  <c r="H4" i="1"/>
  <c r="I4" i="1"/>
  <c r="J4" i="1"/>
  <c r="K4" i="1"/>
  <c r="G5" i="1"/>
  <c r="H5" i="1"/>
  <c r="I5" i="1"/>
  <c r="J5" i="1"/>
  <c r="K5" i="1"/>
  <c r="H6" i="1"/>
  <c r="I6" i="1"/>
  <c r="J6" i="1"/>
  <c r="K6" i="1"/>
  <c r="G7" i="1"/>
  <c r="H7" i="1"/>
  <c r="I7" i="1"/>
  <c r="J7" i="1"/>
  <c r="K7" i="1"/>
  <c r="G9" i="1"/>
  <c r="H9" i="1"/>
  <c r="I9" i="1"/>
  <c r="J9" i="1"/>
  <c r="K9" i="1"/>
  <c r="G10" i="1"/>
  <c r="H10" i="1"/>
  <c r="I10" i="1"/>
  <c r="J10" i="1"/>
  <c r="K10" i="1"/>
  <c r="G11" i="1"/>
  <c r="H11" i="1"/>
  <c r="I11" i="1"/>
  <c r="J11" i="1"/>
  <c r="K11" i="1"/>
  <c r="G19" i="1"/>
  <c r="H19" i="1"/>
  <c r="I19" i="1"/>
  <c r="J19" i="1"/>
  <c r="K19" i="1"/>
  <c r="G21" i="1"/>
  <c r="H21" i="1"/>
  <c r="I21" i="1"/>
  <c r="J21" i="1"/>
  <c r="K21" i="1"/>
  <c r="G22" i="1"/>
  <c r="H22" i="1"/>
  <c r="I22" i="1"/>
  <c r="J22" i="1"/>
  <c r="K22" i="1"/>
  <c r="G30" i="1"/>
  <c r="H30" i="1"/>
  <c r="I30" i="1"/>
  <c r="J30" i="1"/>
  <c r="K30" i="1"/>
  <c r="G31" i="1"/>
  <c r="H31" i="1"/>
  <c r="I31" i="1"/>
  <c r="J31" i="1"/>
  <c r="K31" i="1"/>
  <c r="G32" i="1"/>
  <c r="H32" i="1"/>
  <c r="I32" i="1"/>
  <c r="J32" i="1"/>
  <c r="K32" i="1"/>
  <c r="G33" i="1"/>
  <c r="H33" i="1"/>
  <c r="I33" i="1"/>
  <c r="J33" i="1"/>
  <c r="K33" i="1"/>
  <c r="G35" i="1"/>
  <c r="H35" i="1"/>
  <c r="I35" i="1"/>
  <c r="J35" i="1"/>
  <c r="K35" i="1"/>
  <c r="G36" i="1"/>
  <c r="H36" i="1"/>
  <c r="I36" i="1"/>
  <c r="J36" i="1"/>
  <c r="K36" i="1"/>
  <c r="H37" i="1"/>
  <c r="I37" i="1"/>
  <c r="J37" i="1"/>
  <c r="K37" i="1"/>
  <c r="G38" i="1"/>
  <c r="H38" i="1"/>
  <c r="I38" i="1"/>
  <c r="J38" i="1"/>
  <c r="K38" i="1"/>
  <c r="G41" i="1"/>
  <c r="H41" i="1"/>
  <c r="I41" i="1"/>
  <c r="J41" i="1"/>
  <c r="K41" i="1"/>
  <c r="H42" i="1"/>
  <c r="I42" i="1"/>
  <c r="J42" i="1"/>
  <c r="K42" i="1"/>
  <c r="G46" i="1"/>
  <c r="H46" i="1"/>
  <c r="I46" i="1"/>
  <c r="J46" i="1"/>
  <c r="K46" i="1"/>
  <c r="G48" i="1"/>
  <c r="H48" i="1"/>
  <c r="I48" i="1"/>
  <c r="J48" i="1"/>
  <c r="K48" i="1"/>
  <c r="G24" i="1"/>
  <c r="H24" i="1"/>
  <c r="I24" i="1"/>
  <c r="J24" i="1"/>
  <c r="K24" i="1"/>
  <c r="G27" i="1"/>
  <c r="H27" i="1"/>
  <c r="I27" i="1"/>
  <c r="J27" i="1"/>
  <c r="K27" i="1"/>
  <c r="G28" i="1"/>
  <c r="H28" i="1"/>
  <c r="I28" i="1"/>
  <c r="J28" i="1"/>
  <c r="K28" i="1"/>
  <c r="L54" i="1" l="1"/>
  <c r="L51" i="1"/>
  <c r="L20" i="1"/>
  <c r="L36" i="1"/>
  <c r="L30" i="1"/>
  <c r="L7" i="1"/>
  <c r="L16" i="1"/>
  <c r="L41" i="1"/>
  <c r="L10" i="1"/>
  <c r="L24" i="1"/>
  <c r="L35" i="1"/>
  <c r="L33" i="1"/>
  <c r="L21" i="1"/>
  <c r="L19" i="1"/>
  <c r="L5" i="1"/>
  <c r="L4" i="1"/>
  <c r="L14" i="1"/>
  <c r="L15" i="1"/>
  <c r="L26" i="1"/>
  <c r="L28" i="1"/>
  <c r="L17" i="1"/>
  <c r="L27" i="1"/>
  <c r="L48" i="1"/>
  <c r="L46" i="1"/>
  <c r="L42" i="1"/>
  <c r="L38" i="1"/>
  <c r="L37" i="1"/>
  <c r="L32" i="1"/>
  <c r="L31" i="1"/>
  <c r="L22" i="1"/>
  <c r="L11" i="1"/>
  <c r="L9" i="1"/>
  <c r="L6" i="1"/>
  <c r="L53" i="1"/>
  <c r="L52" i="1"/>
  <c r="L55" i="1"/>
  <c r="L49" i="1"/>
  <c r="L47" i="1"/>
  <c r="L25" i="1"/>
  <c r="L43" i="1"/>
  <c r="M50" i="1" l="1"/>
  <c r="N50" i="1" s="1"/>
  <c r="M34" i="1"/>
  <c r="N34" i="1" s="1"/>
  <c r="M29" i="1"/>
  <c r="N29" i="1" s="1"/>
  <c r="M23" i="1"/>
  <c r="N23" i="1" s="1"/>
  <c r="M8" i="1"/>
  <c r="N8" i="1" s="1"/>
  <c r="M56" i="1"/>
  <c r="N56" i="1" s="1"/>
  <c r="M13" i="1"/>
  <c r="N13" i="1" s="1"/>
  <c r="M39" i="1"/>
  <c r="N39" i="1" s="1"/>
  <c r="M18" i="1"/>
  <c r="N18" i="1" s="1"/>
  <c r="M44" i="1"/>
  <c r="N44" i="1" s="1"/>
  <c r="O8" i="1" l="1"/>
  <c r="O13" i="1" s="1"/>
  <c r="O18" i="1" s="1"/>
  <c r="O23" i="1" s="1"/>
  <c r="O29" i="1" s="1"/>
  <c r="O34" i="1" s="1"/>
  <c r="O39" i="1" s="1"/>
  <c r="O44" i="1" s="1"/>
  <c r="O50" i="1" s="1"/>
  <c r="O56" i="1" s="1"/>
  <c r="O58" i="1" s="1"/>
  <c r="N58" i="1"/>
  <c r="M58" i="1"/>
</calcChain>
</file>

<file path=xl/sharedStrings.xml><?xml version="1.0" encoding="utf-8"?>
<sst xmlns="http://schemas.openxmlformats.org/spreadsheetml/2006/main" count="105" uniqueCount="86">
  <si>
    <t>Monday</t>
  </si>
  <si>
    <t>Tuesday</t>
  </si>
  <si>
    <t>Wednesday</t>
  </si>
  <si>
    <t>Thursday</t>
  </si>
  <si>
    <t>Friday</t>
  </si>
  <si>
    <t>Total Days</t>
  </si>
  <si>
    <t>Days NT</t>
  </si>
  <si>
    <t xml:space="preserve">School </t>
  </si>
  <si>
    <t>Month 1</t>
  </si>
  <si>
    <t>Month 2</t>
  </si>
  <si>
    <t>Month 3</t>
  </si>
  <si>
    <t>Month 4</t>
  </si>
  <si>
    <t>Month 5</t>
  </si>
  <si>
    <t>Month 6</t>
  </si>
  <si>
    <t>Month 7</t>
  </si>
  <si>
    <t>Spring Break</t>
  </si>
  <si>
    <t>Month 8</t>
  </si>
  <si>
    <t>Month 9</t>
  </si>
  <si>
    <t>CD</t>
  </si>
  <si>
    <t>Month 10</t>
  </si>
  <si>
    <t>PD</t>
  </si>
  <si>
    <t>Professional Development for all teachers</t>
  </si>
  <si>
    <t xml:space="preserve">WB </t>
  </si>
  <si>
    <t>Winter Break</t>
  </si>
  <si>
    <t>SB</t>
  </si>
  <si>
    <t>Contingency day</t>
  </si>
  <si>
    <t>DH</t>
  </si>
  <si>
    <t>District Holiday</t>
  </si>
  <si>
    <t>Scheduled Professional Development Days:</t>
  </si>
  <si>
    <t>Continguency days</t>
  </si>
  <si>
    <t>Type of calender</t>
  </si>
  <si>
    <t>Totals</t>
  </si>
  <si>
    <t xml:space="preserve">Martin Luther King </t>
  </si>
  <si>
    <t xml:space="preserve"> </t>
  </si>
  <si>
    <t xml:space="preserve">Start Date: </t>
  </si>
  <si>
    <t>WB 26</t>
  </si>
  <si>
    <t>WB 24</t>
  </si>
  <si>
    <t>WB 25</t>
  </si>
  <si>
    <t>WB 31</t>
  </si>
  <si>
    <t>WB 1</t>
  </si>
  <si>
    <t>WB 2</t>
  </si>
  <si>
    <t>CD10</t>
  </si>
  <si>
    <t>VD 11</t>
  </si>
  <si>
    <t>WB 23</t>
  </si>
  <si>
    <t>WB 30</t>
  </si>
  <si>
    <t>Winter/Christmas break</t>
  </si>
  <si>
    <t>SB 21</t>
  </si>
  <si>
    <t>SB 22</t>
  </si>
  <si>
    <t>SB 23</t>
  </si>
  <si>
    <t>SB 24</t>
  </si>
  <si>
    <t>CD9</t>
  </si>
  <si>
    <t xml:space="preserve">"District" School Calendar for 2013-2014 School Year </t>
  </si>
  <si>
    <t>LD 1</t>
  </si>
  <si>
    <t>August 2014</t>
  </si>
  <si>
    <t>September 2014</t>
  </si>
  <si>
    <t>October 2014</t>
  </si>
  <si>
    <t>Nevada Day 10/31/14</t>
  </si>
  <si>
    <t>Count Day 9/12/2014</t>
  </si>
  <si>
    <t>First Day 8/19/2014</t>
  </si>
  <si>
    <t>Labor Day 9/2/14</t>
  </si>
  <si>
    <t>ND 31</t>
  </si>
  <si>
    <t>THG 27</t>
  </si>
  <si>
    <t>FD 28</t>
  </si>
  <si>
    <t>Veterans Day 11/11/14</t>
  </si>
  <si>
    <t>Thanksgiving 11/27/14</t>
  </si>
  <si>
    <t>Family Day 11/28/14</t>
  </si>
  <si>
    <t>November 2014</t>
  </si>
  <si>
    <t>December 2014</t>
  </si>
  <si>
    <t>WB 22</t>
  </si>
  <si>
    <t>WB 29</t>
  </si>
  <si>
    <t>January 2015</t>
  </si>
  <si>
    <t>February 2015</t>
  </si>
  <si>
    <t>March 2015</t>
  </si>
  <si>
    <t>April 2015</t>
  </si>
  <si>
    <t>May 2015</t>
  </si>
  <si>
    <t>June 2015</t>
  </si>
  <si>
    <t>MLK 19</t>
  </si>
  <si>
    <t>PRES Day 16</t>
  </si>
  <si>
    <t>SB 20</t>
  </si>
  <si>
    <t>Mem Day 25</t>
  </si>
  <si>
    <t>CD8</t>
  </si>
  <si>
    <t>12/22/14 thru 1/02/15</t>
  </si>
  <si>
    <t>President's Day 2/16/15</t>
  </si>
  <si>
    <t>4/20/15 thru 4/24/15</t>
  </si>
  <si>
    <t>Memorial Day 5/25/15</t>
  </si>
  <si>
    <t>Last Day 6/5/15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</si>
</sst>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1" x14ac:knownFonts="1">
    <font>
      <sz val="10"/>
      <name val="Times New Roman"/>
    </font>
    <font>
      <b/>
      <sz val="14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b/>
      <sz val="10"/>
      <color rgb="FF3333FF"/>
      <name val="Times New Roman"/>
      <family val="1"/>
    </font>
    <font>
      <b/>
      <sz val="10"/>
      <color rgb="FF0000FF"/>
      <name val="Times New Roman"/>
      <family val="1"/>
    </font>
    <font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6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 applyProtection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Alignment="1"/>
    <xf numFmtId="0" fontId="4" fillId="0" borderId="1" xfId="0" applyFont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5" fillId="0" borderId="0" xfId="0" applyFont="1" applyAlignment="1"/>
    <xf numFmtId="0" fontId="3" fillId="0" borderId="0" xfId="0" applyFont="1" applyFill="1" applyBorder="1" applyAlignment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Alignment="1"/>
    <xf numFmtId="0" fontId="3" fillId="0" borderId="0" xfId="0" applyFont="1" applyFill="1" applyAlignment="1" applyProtection="1"/>
    <xf numFmtId="0" fontId="3" fillId="0" borderId="0" xfId="0" applyFont="1" applyAlignment="1" applyProtection="1"/>
    <xf numFmtId="0" fontId="5" fillId="0" borderId="0" xfId="0" quotePrefix="1" applyFont="1" applyAlignment="1"/>
    <xf numFmtId="0" fontId="3" fillId="0" borderId="0" xfId="0" applyFont="1" applyFill="1" applyAlignment="1" applyProtection="1">
      <alignment horizontal="right"/>
    </xf>
    <xf numFmtId="0" fontId="3" fillId="0" borderId="2" xfId="0" applyFont="1" applyBorder="1" applyAlignment="1"/>
    <xf numFmtId="0" fontId="3" fillId="0" borderId="2" xfId="0" applyFont="1" applyFill="1" applyBorder="1" applyAlignment="1" applyProtection="1"/>
    <xf numFmtId="0" fontId="3" fillId="0" borderId="1" xfId="0" applyFont="1" applyFill="1" applyBorder="1" applyAlignment="1" applyProtection="1"/>
    <xf numFmtId="0" fontId="3" fillId="0" borderId="2" xfId="0" applyFont="1" applyBorder="1" applyAlignment="1" applyProtection="1"/>
    <xf numFmtId="0" fontId="3" fillId="0" borderId="2" xfId="0" applyFont="1" applyBorder="1" applyAlignment="1">
      <alignment horizontal="center"/>
    </xf>
    <xf numFmtId="0" fontId="5" fillId="0" borderId="1" xfId="0" applyFont="1" applyBorder="1" applyAlignment="1"/>
    <xf numFmtId="0" fontId="3" fillId="0" borderId="1" xfId="0" applyFont="1" applyBorder="1" applyAlignment="1"/>
    <xf numFmtId="17" fontId="5" fillId="0" borderId="0" xfId="0" quotePrefix="1" applyNumberFormat="1" applyFont="1" applyAlignment="1"/>
    <xf numFmtId="0" fontId="3" fillId="0" borderId="2" xfId="0" applyFont="1" applyFill="1" applyBorder="1" applyAlignment="1" applyProtection="1">
      <alignment horizontal="right"/>
    </xf>
    <xf numFmtId="0" fontId="5" fillId="0" borderId="0" xfId="0" quotePrefix="1" applyFont="1" applyAlignment="1" applyProtection="1">
      <alignment horizontal="left"/>
    </xf>
    <xf numFmtId="0" fontId="3" fillId="0" borderId="0" xfId="0" applyFont="1" applyFill="1" applyAlignment="1">
      <alignment horizontal="right"/>
    </xf>
    <xf numFmtId="14" fontId="5" fillId="0" borderId="0" xfId="0" quotePrefix="1" applyNumberFormat="1" applyFont="1" applyAlignment="1"/>
    <xf numFmtId="14" fontId="3" fillId="0" borderId="0" xfId="0" applyNumberFormat="1" applyFont="1" applyFill="1" applyAlignment="1"/>
    <xf numFmtId="164" fontId="3" fillId="0" borderId="0" xfId="0" applyNumberFormat="1" applyFont="1" applyAlignment="1">
      <alignment horizontal="left"/>
    </xf>
    <xf numFmtId="0" fontId="2" fillId="2" borderId="3" xfId="0" applyFont="1" applyFill="1" applyBorder="1" applyAlignment="1">
      <alignment wrapText="1"/>
    </xf>
    <xf numFmtId="0" fontId="3" fillId="0" borderId="4" xfId="0" applyFont="1" applyBorder="1" applyAlignment="1"/>
    <xf numFmtId="0" fontId="3" fillId="0" borderId="4" xfId="0" applyFont="1" applyFill="1" applyBorder="1" applyAlignment="1"/>
    <xf numFmtId="0" fontId="3" fillId="0" borderId="5" xfId="0" applyFont="1" applyFill="1" applyBorder="1" applyAlignment="1"/>
    <xf numFmtId="0" fontId="3" fillId="0" borderId="4" xfId="0" applyFont="1" applyBorder="1" applyAlignment="1">
      <alignment horizontal="center"/>
    </xf>
    <xf numFmtId="0" fontId="5" fillId="0" borderId="5" xfId="0" applyFont="1" applyBorder="1" applyAlignment="1"/>
    <xf numFmtId="0" fontId="5" fillId="0" borderId="0" xfId="0" applyFont="1" applyFill="1" applyAlignment="1"/>
    <xf numFmtId="0" fontId="5" fillId="0" borderId="0" xfId="0" applyFont="1" applyAlignment="1" applyProtection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/>
    <xf numFmtId="0" fontId="7" fillId="0" borderId="0" xfId="0" applyFont="1" applyFill="1" applyAlignment="1" applyProtection="1">
      <alignment horizontal="right"/>
    </xf>
    <xf numFmtId="0" fontId="6" fillId="0" borderId="1" xfId="0" applyFont="1" applyBorder="1" applyAlignment="1"/>
    <xf numFmtId="0" fontId="7" fillId="0" borderId="0" xfId="0" applyFont="1" applyAlignment="1"/>
    <xf numFmtId="0" fontId="3" fillId="0" borderId="0" xfId="0" applyFont="1" applyFill="1" applyBorder="1" applyAlignment="1" applyProtection="1">
      <alignment horizontal="right"/>
    </xf>
    <xf numFmtId="0" fontId="5" fillId="0" borderId="0" xfId="0" applyFont="1" applyBorder="1" applyAlignment="1"/>
    <xf numFmtId="0" fontId="8" fillId="0" borderId="0" xfId="0" applyFont="1" applyFill="1" applyAlignment="1" applyProtection="1">
      <alignment horizontal="right"/>
    </xf>
    <xf numFmtId="0" fontId="8" fillId="0" borderId="0" xfId="0" applyFont="1" applyAlignment="1"/>
    <xf numFmtId="0" fontId="3" fillId="0" borderId="0" xfId="0" applyFont="1" applyFill="1" applyBorder="1" applyAlignment="1" applyProtection="1"/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0" xfId="0" applyFont="1" applyFill="1" applyAlignment="1" applyProtection="1">
      <alignment horizontal="right"/>
    </xf>
    <xf numFmtId="0" fontId="9" fillId="0" borderId="0" xfId="0" applyFont="1" applyAlignment="1"/>
    <xf numFmtId="14" fontId="7" fillId="0" borderId="0" xfId="0" applyNumberFormat="1" applyFont="1" applyAlignment="1">
      <alignment horizontal="left"/>
    </xf>
    <xf numFmtId="0" fontId="5" fillId="0" borderId="0" xfId="0" applyFont="1" applyFill="1" applyAlignment="1" applyProtection="1">
      <alignment horizontal="right"/>
    </xf>
    <xf numFmtId="0" fontId="8" fillId="0" borderId="0" xfId="0" applyFont="1" applyAlignment="1">
      <alignment horizontal="right"/>
    </xf>
    <xf numFmtId="0" fontId="7" fillId="0" borderId="1" xfId="0" applyFont="1" applyBorder="1" applyAlignment="1"/>
    <xf numFmtId="0" fontId="10" fillId="0" borderId="1" xfId="0" applyFont="1" applyFill="1" applyBorder="1" applyAlignment="1" applyProtection="1"/>
    <xf numFmtId="0" fontId="8" fillId="0" borderId="1" xfId="0" applyFont="1" applyBorder="1" applyAlignment="1"/>
    <xf numFmtId="0" fontId="3" fillId="0" borderId="0" xfId="0" applyFont="1" applyAlignment="1">
      <alignment horizontal="right"/>
    </xf>
    <xf numFmtId="0" fontId="3" fillId="0" borderId="0" xfId="0" applyFont="1" applyBorder="1" applyAlignment="1"/>
    <xf numFmtId="0" fontId="8" fillId="0" borderId="0" xfId="0" applyFont="1" applyBorder="1" applyAlignment="1"/>
    <xf numFmtId="0" fontId="2" fillId="3" borderId="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8"/>
  <sheetViews>
    <sheetView tabSelected="1" topLeftCell="A19" workbookViewId="0">
      <selection activeCell="L27" sqref="L27"/>
    </sheetView>
  </sheetViews>
  <sheetFormatPr defaultRowHeight="12.75" x14ac:dyDescent="0.2"/>
  <cols>
    <col min="1" max="1" width="19.1640625" style="3" customWidth="1"/>
    <col min="2" max="4" width="13.1640625" style="3" customWidth="1"/>
    <col min="5" max="5" width="14.83203125" style="3" customWidth="1"/>
    <col min="6" max="6" width="13.83203125" style="3" customWidth="1"/>
    <col min="7" max="12" width="9.33203125" style="3" customWidth="1"/>
    <col min="13" max="14" width="8.1640625" style="3" customWidth="1"/>
    <col min="15" max="15" width="8" style="3" customWidth="1"/>
    <col min="16" max="16" width="11.5" style="11" customWidth="1"/>
    <col min="17" max="17" width="22.5" style="3" customWidth="1"/>
    <col min="18" max="16384" width="9.33203125" style="3"/>
  </cols>
  <sheetData>
    <row r="1" spans="1:17" ht="24" customHeight="1" x14ac:dyDescent="0.3">
      <c r="A1" s="1" t="s">
        <v>51</v>
      </c>
      <c r="B1" s="2"/>
      <c r="C1" s="2"/>
      <c r="D1" s="2"/>
      <c r="G1" s="66"/>
      <c r="H1" s="67"/>
      <c r="I1" s="67"/>
      <c r="J1" s="67"/>
      <c r="K1" s="67"/>
      <c r="L1" s="68"/>
      <c r="N1" s="4"/>
      <c r="O1" s="5"/>
      <c r="P1" s="6" t="s">
        <v>34</v>
      </c>
    </row>
    <row r="2" spans="1:17" s="8" customFormat="1" ht="33.75" customHeight="1" x14ac:dyDescent="0.25">
      <c r="A2" s="35" t="s">
        <v>30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M2" s="9" t="s">
        <v>5</v>
      </c>
      <c r="N2" s="10" t="s">
        <v>6</v>
      </c>
      <c r="O2" s="10" t="s">
        <v>5</v>
      </c>
      <c r="P2" s="11"/>
    </row>
    <row r="3" spans="1:17" x14ac:dyDescent="0.2">
      <c r="A3" s="12"/>
      <c r="B3" s="13"/>
      <c r="C3" s="13"/>
      <c r="D3" s="14"/>
      <c r="E3" s="14"/>
      <c r="F3" s="14"/>
      <c r="M3" s="13"/>
      <c r="N3" s="15"/>
      <c r="O3" s="15"/>
    </row>
    <row r="4" spans="1:17" x14ac:dyDescent="0.2">
      <c r="A4" s="19" t="s">
        <v>53</v>
      </c>
      <c r="B4" s="52">
        <v>18</v>
      </c>
      <c r="C4" s="16">
        <v>19</v>
      </c>
      <c r="D4" s="52">
        <v>20</v>
      </c>
      <c r="E4" s="16">
        <v>21</v>
      </c>
      <c r="F4" s="52">
        <v>22</v>
      </c>
      <c r="G4" s="18">
        <f ca="1">IF(CELL("TYPE",B4)="v",1,0)</f>
        <v>1</v>
      </c>
      <c r="H4" s="18">
        <f ca="1">IF(CELL("TYPE",C4)="v",1,0)</f>
        <v>1</v>
      </c>
      <c r="I4" s="18">
        <f ca="1">IF(CELL("TYPE",D4)="v",1,0)</f>
        <v>1</v>
      </c>
      <c r="J4" s="18">
        <f t="shared" ref="G4:K7" ca="1" si="0">IF(CELL("TYPE",E4)="v",1,0)</f>
        <v>1</v>
      </c>
      <c r="K4" s="18">
        <f t="shared" ca="1" si="0"/>
        <v>1</v>
      </c>
      <c r="L4" s="18">
        <f ca="1">SUM(G4:K4)</f>
        <v>5</v>
      </c>
      <c r="M4" s="5"/>
      <c r="N4" s="5"/>
      <c r="O4" s="5"/>
      <c r="Q4" s="11" t="s">
        <v>58</v>
      </c>
    </row>
    <row r="5" spans="1:17" x14ac:dyDescent="0.2">
      <c r="A5" s="19" t="s">
        <v>54</v>
      </c>
      <c r="B5" s="20">
        <v>25</v>
      </c>
      <c r="C5" s="17">
        <v>26</v>
      </c>
      <c r="D5" s="20">
        <v>27</v>
      </c>
      <c r="E5" s="17">
        <v>28</v>
      </c>
      <c r="F5" s="20">
        <v>29</v>
      </c>
      <c r="G5" s="18">
        <f t="shared" ca="1" si="0"/>
        <v>1</v>
      </c>
      <c r="H5" s="18">
        <f t="shared" ca="1" si="0"/>
        <v>1</v>
      </c>
      <c r="I5" s="18">
        <f t="shared" ca="1" si="0"/>
        <v>1</v>
      </c>
      <c r="J5" s="18">
        <f t="shared" ca="1" si="0"/>
        <v>1</v>
      </c>
      <c r="K5" s="18">
        <f t="shared" ca="1" si="0"/>
        <v>1</v>
      </c>
      <c r="L5" s="18">
        <f ca="1">SUM(G5:K5)</f>
        <v>5</v>
      </c>
      <c r="M5" s="5"/>
      <c r="N5" s="5"/>
      <c r="O5" s="5"/>
      <c r="Q5" s="47" t="s">
        <v>59</v>
      </c>
    </row>
    <row r="6" spans="1:17" x14ac:dyDescent="0.2">
      <c r="B6" s="45" t="s">
        <v>52</v>
      </c>
      <c r="C6" s="20">
        <v>2</v>
      </c>
      <c r="D6" s="17">
        <v>3</v>
      </c>
      <c r="E6" s="17">
        <v>4</v>
      </c>
      <c r="F6" s="17">
        <v>5</v>
      </c>
      <c r="G6" s="18">
        <v>0</v>
      </c>
      <c r="H6" s="18">
        <f t="shared" ca="1" si="0"/>
        <v>1</v>
      </c>
      <c r="I6" s="18">
        <f t="shared" ca="1" si="0"/>
        <v>1</v>
      </c>
      <c r="J6" s="18">
        <f t="shared" ca="1" si="0"/>
        <v>1</v>
      </c>
      <c r="K6" s="18">
        <f t="shared" ca="1" si="0"/>
        <v>1</v>
      </c>
      <c r="L6" s="18">
        <f ca="1">SUM(G6:K6)</f>
        <v>4</v>
      </c>
      <c r="M6" s="5"/>
      <c r="O6" s="5"/>
    </row>
    <row r="7" spans="1:17" x14ac:dyDescent="0.2">
      <c r="B7" s="17">
        <v>8</v>
      </c>
      <c r="C7" s="17">
        <v>9</v>
      </c>
      <c r="D7" s="17">
        <v>10</v>
      </c>
      <c r="E7" s="17">
        <v>11</v>
      </c>
      <c r="F7" s="61">
        <v>12</v>
      </c>
      <c r="G7" s="18">
        <f t="shared" ca="1" si="0"/>
        <v>1</v>
      </c>
      <c r="H7" s="18">
        <f t="shared" ca="1" si="0"/>
        <v>1</v>
      </c>
      <c r="I7" s="18">
        <f t="shared" ca="1" si="0"/>
        <v>1</v>
      </c>
      <c r="J7" s="18">
        <f t="shared" ca="1" si="0"/>
        <v>1</v>
      </c>
      <c r="K7" s="18">
        <f t="shared" ca="1" si="0"/>
        <v>1</v>
      </c>
      <c r="L7" s="18">
        <f ca="1">SUM(G7:K7)</f>
        <v>5</v>
      </c>
      <c r="M7" s="5"/>
      <c r="N7" s="5"/>
      <c r="O7" s="5"/>
      <c r="P7" s="11" t="s">
        <v>7</v>
      </c>
      <c r="Q7" s="44" t="s">
        <v>57</v>
      </c>
    </row>
    <row r="8" spans="1:17" x14ac:dyDescent="0.2">
      <c r="A8" s="21"/>
      <c r="B8" s="22"/>
      <c r="C8" s="22"/>
      <c r="D8" s="22"/>
      <c r="E8" s="22"/>
      <c r="F8" s="23"/>
      <c r="G8" s="24"/>
      <c r="H8" s="24"/>
      <c r="I8" s="24"/>
      <c r="J8" s="24"/>
      <c r="K8" s="24"/>
      <c r="L8" s="24"/>
      <c r="M8" s="25">
        <f ca="1">SUM(L4:L7)</f>
        <v>19</v>
      </c>
      <c r="N8" s="25">
        <f ca="1">20-M8</f>
        <v>1</v>
      </c>
      <c r="O8" s="25">
        <f ca="1">M8</f>
        <v>19</v>
      </c>
      <c r="P8" s="26" t="s">
        <v>8</v>
      </c>
      <c r="Q8" s="46"/>
    </row>
    <row r="9" spans="1:17" x14ac:dyDescent="0.2">
      <c r="B9" s="20">
        <v>15</v>
      </c>
      <c r="C9" s="17">
        <v>16</v>
      </c>
      <c r="D9" s="20">
        <v>17</v>
      </c>
      <c r="E9" s="17">
        <v>18</v>
      </c>
      <c r="F9" s="20">
        <v>19</v>
      </c>
      <c r="G9" s="18">
        <f t="shared" ref="G9:K11" ca="1" si="1">IF(CELL("TYPE",B9)="v",1,0)</f>
        <v>1</v>
      </c>
      <c r="H9" s="18">
        <f t="shared" ca="1" si="1"/>
        <v>1</v>
      </c>
      <c r="I9" s="18">
        <f t="shared" ca="1" si="1"/>
        <v>1</v>
      </c>
      <c r="J9" s="18">
        <f t="shared" ca="1" si="1"/>
        <v>1</v>
      </c>
      <c r="K9" s="18">
        <f t="shared" ca="1" si="1"/>
        <v>1</v>
      </c>
      <c r="L9" s="18">
        <f ca="1">SUM(G9:K9)</f>
        <v>5</v>
      </c>
      <c r="M9" s="5"/>
      <c r="N9" s="5"/>
      <c r="O9" s="5"/>
    </row>
    <row r="10" spans="1:17" ht="15" customHeight="1" x14ac:dyDescent="0.2">
      <c r="A10" s="19" t="s">
        <v>54</v>
      </c>
      <c r="B10" s="20">
        <v>22</v>
      </c>
      <c r="C10" s="17">
        <v>23</v>
      </c>
      <c r="D10" s="20">
        <v>24</v>
      </c>
      <c r="E10" s="17">
        <v>25</v>
      </c>
      <c r="F10" s="20">
        <v>26</v>
      </c>
      <c r="G10" s="18">
        <f t="shared" ca="1" si="1"/>
        <v>1</v>
      </c>
      <c r="H10" s="18">
        <f t="shared" ca="1" si="1"/>
        <v>1</v>
      </c>
      <c r="I10" s="18">
        <f t="shared" ca="1" si="1"/>
        <v>1</v>
      </c>
      <c r="J10" s="18">
        <f t="shared" ca="1" si="1"/>
        <v>1</v>
      </c>
      <c r="K10" s="18">
        <f t="shared" ca="1" si="1"/>
        <v>1</v>
      </c>
      <c r="L10" s="18">
        <f ca="1">SUM(G10:K10)</f>
        <v>5</v>
      </c>
      <c r="M10" s="5"/>
      <c r="N10" s="5"/>
      <c r="O10" s="5"/>
      <c r="Q10" s="3" t="s">
        <v>33</v>
      </c>
    </row>
    <row r="11" spans="1:17" x14ac:dyDescent="0.2">
      <c r="A11" s="19" t="s">
        <v>55</v>
      </c>
      <c r="B11" s="20">
        <v>29</v>
      </c>
      <c r="C11" s="20">
        <v>30</v>
      </c>
      <c r="D11" s="20">
        <v>1</v>
      </c>
      <c r="E11" s="20">
        <v>2</v>
      </c>
      <c r="F11" s="20">
        <v>3</v>
      </c>
      <c r="G11" s="18">
        <f t="shared" ca="1" si="1"/>
        <v>1</v>
      </c>
      <c r="H11" s="18">
        <f t="shared" ca="1" si="1"/>
        <v>1</v>
      </c>
      <c r="I11" s="18">
        <f t="shared" ca="1" si="1"/>
        <v>1</v>
      </c>
      <c r="J11" s="18">
        <f t="shared" ca="1" si="1"/>
        <v>1</v>
      </c>
      <c r="K11" s="18">
        <f t="shared" ca="1" si="1"/>
        <v>1</v>
      </c>
      <c r="L11" s="18">
        <f ca="1">SUM(G11:K11)</f>
        <v>5</v>
      </c>
      <c r="M11" s="5"/>
      <c r="O11" s="5"/>
    </row>
    <row r="12" spans="1:17" x14ac:dyDescent="0.2">
      <c r="A12" s="28"/>
      <c r="B12" s="20">
        <v>6</v>
      </c>
      <c r="C12" s="17">
        <v>7</v>
      </c>
      <c r="D12" s="20">
        <v>8</v>
      </c>
      <c r="E12" s="17">
        <v>9</v>
      </c>
      <c r="F12" s="20">
        <v>10</v>
      </c>
      <c r="G12" s="17">
        <v>1</v>
      </c>
      <c r="H12" s="20">
        <v>1</v>
      </c>
      <c r="I12" s="17">
        <v>1</v>
      </c>
      <c r="J12" s="20">
        <v>1</v>
      </c>
      <c r="K12" s="17">
        <v>1</v>
      </c>
      <c r="L12" s="20">
        <v>5</v>
      </c>
      <c r="M12" s="5"/>
      <c r="N12" s="5"/>
      <c r="O12" s="5"/>
      <c r="P12" s="11" t="s">
        <v>7</v>
      </c>
    </row>
    <row r="13" spans="1:17" x14ac:dyDescent="0.2">
      <c r="A13" s="21"/>
      <c r="B13" s="22"/>
      <c r="C13" s="22"/>
      <c r="D13" s="22"/>
      <c r="E13" s="22"/>
      <c r="F13" s="22"/>
      <c r="G13" s="24"/>
      <c r="H13" s="24"/>
      <c r="I13" s="24"/>
      <c r="J13" s="24"/>
      <c r="K13" s="24"/>
      <c r="L13" s="24"/>
      <c r="M13" s="25">
        <f ca="1">SUM(L9:L12)</f>
        <v>20</v>
      </c>
      <c r="N13" s="25">
        <f ca="1">20-M13</f>
        <v>0</v>
      </c>
      <c r="O13" s="25">
        <f ca="1">O8+M13</f>
        <v>39</v>
      </c>
      <c r="P13" s="26" t="s">
        <v>9</v>
      </c>
      <c r="Q13" s="27"/>
    </row>
    <row r="14" spans="1:17" x14ac:dyDescent="0.2">
      <c r="B14" s="17">
        <v>13</v>
      </c>
      <c r="C14" s="17">
        <v>14</v>
      </c>
      <c r="D14" s="17">
        <v>15</v>
      </c>
      <c r="E14" s="17">
        <v>16</v>
      </c>
      <c r="F14" s="17">
        <v>17</v>
      </c>
      <c r="G14" s="18">
        <f t="shared" ref="G14:K16" ca="1" si="2">IF(CELL("TYPE",B14)="v",1,0)</f>
        <v>1</v>
      </c>
      <c r="H14" s="18">
        <f t="shared" ca="1" si="2"/>
        <v>1</v>
      </c>
      <c r="I14" s="18">
        <f t="shared" ca="1" si="2"/>
        <v>1</v>
      </c>
      <c r="J14" s="18">
        <f t="shared" ca="1" si="2"/>
        <v>1</v>
      </c>
      <c r="K14" s="18">
        <f t="shared" ca="1" si="2"/>
        <v>1</v>
      </c>
      <c r="L14" s="18">
        <f ca="1">SUM(G14:K14)</f>
        <v>5</v>
      </c>
      <c r="M14" s="5"/>
      <c r="N14" s="5"/>
      <c r="O14" s="5"/>
      <c r="Q14" s="47" t="s">
        <v>56</v>
      </c>
    </row>
    <row r="15" spans="1:17" x14ac:dyDescent="0.2">
      <c r="A15" s="19" t="s">
        <v>55</v>
      </c>
      <c r="B15" s="17">
        <v>20</v>
      </c>
      <c r="C15" s="17">
        <v>21</v>
      </c>
      <c r="D15" s="17">
        <v>22</v>
      </c>
      <c r="E15" s="17">
        <v>23</v>
      </c>
      <c r="F15" s="17">
        <v>24</v>
      </c>
      <c r="G15" s="17">
        <v>1</v>
      </c>
      <c r="H15" s="18">
        <f t="shared" ca="1" si="2"/>
        <v>1</v>
      </c>
      <c r="I15" s="18">
        <f t="shared" ca="1" si="2"/>
        <v>1</v>
      </c>
      <c r="J15" s="18">
        <f t="shared" ca="1" si="2"/>
        <v>1</v>
      </c>
      <c r="K15" s="18">
        <f t="shared" ca="1" si="2"/>
        <v>1</v>
      </c>
      <c r="L15" s="18">
        <f ca="1">SUM(G15:K15)</f>
        <v>5</v>
      </c>
      <c r="M15" s="5"/>
      <c r="N15" s="5"/>
      <c r="O15" s="5"/>
    </row>
    <row r="16" spans="1:17" x14ac:dyDescent="0.2">
      <c r="A16" s="19" t="s">
        <v>66</v>
      </c>
      <c r="B16" s="17">
        <v>27</v>
      </c>
      <c r="C16" s="17">
        <v>28</v>
      </c>
      <c r="D16" s="17">
        <v>29</v>
      </c>
      <c r="E16" s="17">
        <v>30</v>
      </c>
      <c r="F16" s="45" t="s">
        <v>60</v>
      </c>
      <c r="G16" s="18">
        <f t="shared" ca="1" si="2"/>
        <v>1</v>
      </c>
      <c r="H16" s="18">
        <f t="shared" ca="1" si="2"/>
        <v>1</v>
      </c>
      <c r="I16" s="18">
        <f t="shared" ca="1" si="2"/>
        <v>1</v>
      </c>
      <c r="J16" s="18">
        <f t="shared" ca="1" si="2"/>
        <v>1</v>
      </c>
      <c r="K16" s="18">
        <f t="shared" ca="1" si="2"/>
        <v>0</v>
      </c>
      <c r="L16" s="18">
        <f ca="1">SUM(G16:K16)</f>
        <v>4</v>
      </c>
      <c r="M16" s="5"/>
      <c r="O16" s="5"/>
    </row>
    <row r="17" spans="1:17" x14ac:dyDescent="0.2">
      <c r="A17" s="19"/>
      <c r="B17" s="20">
        <v>4</v>
      </c>
      <c r="C17" s="20">
        <v>5</v>
      </c>
      <c r="D17" s="20">
        <v>6</v>
      </c>
      <c r="E17" s="20">
        <v>7</v>
      </c>
      <c r="F17" s="20">
        <v>8</v>
      </c>
      <c r="G17" s="18">
        <f ca="1">IF(CELL("TYPE",B17)="v",1,0)</f>
        <v>1</v>
      </c>
      <c r="H17" s="18">
        <f ca="1">IF(CELL("TYPE",C17)="v",1,0)</f>
        <v>1</v>
      </c>
      <c r="I17" s="18">
        <f ca="1">IF(CELL("TYPE",D17)="v",1,0)</f>
        <v>1</v>
      </c>
      <c r="J17" s="18">
        <f ca="1">IF(CELL("TYPE",E17)="v",1,0)</f>
        <v>1</v>
      </c>
      <c r="K17" s="18">
        <f ca="1">IF(CELL("TYPE",F17)="v",1,0)</f>
        <v>1</v>
      </c>
      <c r="L17" s="18">
        <f ca="1">SUM(G17:K17)</f>
        <v>5</v>
      </c>
      <c r="M17" s="5"/>
      <c r="N17" s="5"/>
      <c r="O17" s="5"/>
      <c r="P17" s="11" t="s">
        <v>7</v>
      </c>
    </row>
    <row r="18" spans="1:17" x14ac:dyDescent="0.2">
      <c r="A18" s="21"/>
      <c r="B18" s="22"/>
      <c r="C18" s="22"/>
      <c r="D18" s="22"/>
      <c r="E18" s="22"/>
      <c r="F18" s="22"/>
      <c r="G18" s="24"/>
      <c r="H18" s="24"/>
      <c r="I18" s="24"/>
      <c r="J18" s="24"/>
      <c r="K18" s="24"/>
      <c r="L18" s="24"/>
      <c r="M18" s="25">
        <f ca="1">SUM(L14:L17)</f>
        <v>19</v>
      </c>
      <c r="N18" s="25">
        <f ca="1">20-M18</f>
        <v>1</v>
      </c>
      <c r="O18" s="25">
        <f ca="1">O13+M18</f>
        <v>58</v>
      </c>
      <c r="P18" s="26" t="s">
        <v>10</v>
      </c>
      <c r="Q18" s="27"/>
    </row>
    <row r="19" spans="1:17" x14ac:dyDescent="0.2">
      <c r="B19" s="3">
        <v>10</v>
      </c>
      <c r="C19" s="45" t="s">
        <v>42</v>
      </c>
      <c r="D19" s="20">
        <v>12</v>
      </c>
      <c r="E19" s="20">
        <v>13</v>
      </c>
      <c r="F19" s="20">
        <v>14</v>
      </c>
      <c r="G19" s="18">
        <f t="shared" ref="G19:K22" ca="1" si="3">IF(CELL("TYPE",B19)="v",1,0)</f>
        <v>1</v>
      </c>
      <c r="H19" s="18">
        <f t="shared" ca="1" si="3"/>
        <v>0</v>
      </c>
      <c r="I19" s="18">
        <f t="shared" ca="1" si="3"/>
        <v>1</v>
      </c>
      <c r="J19" s="18">
        <f t="shared" ca="1" si="3"/>
        <v>1</v>
      </c>
      <c r="K19" s="18">
        <f t="shared" ca="1" si="3"/>
        <v>1</v>
      </c>
      <c r="L19" s="18">
        <f ca="1">SUM(G19:K19)</f>
        <v>4</v>
      </c>
      <c r="M19" s="5"/>
      <c r="N19" s="5"/>
      <c r="O19" s="5"/>
      <c r="Q19" s="47" t="s">
        <v>63</v>
      </c>
    </row>
    <row r="20" spans="1:17" x14ac:dyDescent="0.2">
      <c r="A20" s="19" t="s">
        <v>66</v>
      </c>
      <c r="B20" s="3">
        <v>17</v>
      </c>
      <c r="C20" s="20">
        <v>18</v>
      </c>
      <c r="D20" s="3">
        <v>19</v>
      </c>
      <c r="E20" s="63">
        <v>21</v>
      </c>
      <c r="F20" s="63">
        <v>22</v>
      </c>
      <c r="G20" s="18">
        <f ca="1">IF(CELL("TYPE",B20)="v",1,0)</f>
        <v>1</v>
      </c>
      <c r="H20" s="18">
        <f ca="1">IF(CELL("TYPE",C20)="v",1,0)</f>
        <v>1</v>
      </c>
      <c r="I20" s="18">
        <f ca="1">IF(CELL("TYPE",D20)="v",1,0)</f>
        <v>1</v>
      </c>
      <c r="J20" s="18">
        <f t="shared" ca="1" si="3"/>
        <v>1</v>
      </c>
      <c r="K20" s="18">
        <f t="shared" ca="1" si="3"/>
        <v>1</v>
      </c>
      <c r="L20" s="18">
        <f ca="1">SUM(G20:K20)</f>
        <v>5</v>
      </c>
      <c r="M20" s="5"/>
      <c r="N20" s="5"/>
      <c r="O20" s="5"/>
      <c r="Q20" s="47" t="s">
        <v>64</v>
      </c>
    </row>
    <row r="21" spans="1:17" x14ac:dyDescent="0.2">
      <c r="A21" s="19" t="s">
        <v>67</v>
      </c>
      <c r="B21" s="20">
        <v>24</v>
      </c>
      <c r="C21" s="20">
        <v>25</v>
      </c>
      <c r="D21" s="20">
        <v>26</v>
      </c>
      <c r="E21" s="50" t="s">
        <v>61</v>
      </c>
      <c r="F21" s="59" t="s">
        <v>62</v>
      </c>
      <c r="G21" s="18">
        <f t="shared" ca="1" si="3"/>
        <v>1</v>
      </c>
      <c r="H21" s="18">
        <f t="shared" ca="1" si="3"/>
        <v>1</v>
      </c>
      <c r="I21" s="18">
        <f t="shared" ca="1" si="3"/>
        <v>1</v>
      </c>
      <c r="J21" s="18">
        <f t="shared" ca="1" si="3"/>
        <v>0</v>
      </c>
      <c r="K21" s="18">
        <f t="shared" ca="1" si="3"/>
        <v>0</v>
      </c>
      <c r="L21" s="18">
        <f ca="1">SUM(G21:K21)</f>
        <v>3</v>
      </c>
      <c r="M21" s="5"/>
      <c r="N21" s="5"/>
      <c r="O21" s="5"/>
      <c r="Q21" s="60" t="s">
        <v>65</v>
      </c>
    </row>
    <row r="22" spans="1:17" x14ac:dyDescent="0.2">
      <c r="A22" s="19"/>
      <c r="B22" s="20">
        <v>1</v>
      </c>
      <c r="C22" s="20">
        <v>2</v>
      </c>
      <c r="D22" s="20">
        <v>3</v>
      </c>
      <c r="E22" s="20">
        <v>4</v>
      </c>
      <c r="F22" s="20">
        <v>5</v>
      </c>
      <c r="G22" s="18">
        <f t="shared" ca="1" si="3"/>
        <v>1</v>
      </c>
      <c r="H22" s="18">
        <f t="shared" ca="1" si="3"/>
        <v>1</v>
      </c>
      <c r="I22" s="18">
        <f t="shared" ca="1" si="3"/>
        <v>1</v>
      </c>
      <c r="J22" s="18">
        <f t="shared" ca="1" si="3"/>
        <v>1</v>
      </c>
      <c r="K22" s="18">
        <f t="shared" ca="1" si="3"/>
        <v>1</v>
      </c>
      <c r="L22" s="18">
        <f ca="1">SUM(G22:K22)</f>
        <v>5</v>
      </c>
      <c r="M22" s="5"/>
      <c r="N22" s="5"/>
      <c r="O22" s="5"/>
      <c r="P22" s="11" t="s">
        <v>7</v>
      </c>
    </row>
    <row r="23" spans="1:17" x14ac:dyDescent="0.2">
      <c r="A23" s="21"/>
      <c r="B23" s="22"/>
      <c r="C23" s="22"/>
      <c r="D23" s="22"/>
      <c r="E23" s="22"/>
      <c r="F23" s="22"/>
      <c r="G23" s="24"/>
      <c r="H23" s="24"/>
      <c r="I23" s="24"/>
      <c r="J23" s="24"/>
      <c r="K23" s="24"/>
      <c r="L23" s="24"/>
      <c r="M23" s="25">
        <f ca="1">SUM(L19:L22)</f>
        <v>17</v>
      </c>
      <c r="N23" s="25">
        <f ca="1">20-M23</f>
        <v>3</v>
      </c>
      <c r="O23" s="25">
        <f ca="1">O18+M23</f>
        <v>75</v>
      </c>
      <c r="P23" s="26" t="s">
        <v>11</v>
      </c>
      <c r="Q23" s="27"/>
    </row>
    <row r="24" spans="1:17" x14ac:dyDescent="0.2">
      <c r="B24" s="20">
        <v>8</v>
      </c>
      <c r="C24" s="20">
        <v>9</v>
      </c>
      <c r="D24" s="20">
        <v>10</v>
      </c>
      <c r="E24" s="20">
        <v>11</v>
      </c>
      <c r="F24" s="20">
        <v>12</v>
      </c>
      <c r="G24" s="18">
        <f t="shared" ref="G24:K26" ca="1" si="4">IF(CELL("TYPE",B24)="v",1,0)</f>
        <v>1</v>
      </c>
      <c r="H24" s="18">
        <f t="shared" ca="1" si="4"/>
        <v>1</v>
      </c>
      <c r="I24" s="18">
        <f t="shared" ca="1" si="4"/>
        <v>1</v>
      </c>
      <c r="J24" s="18">
        <f t="shared" ca="1" si="4"/>
        <v>1</v>
      </c>
      <c r="K24" s="18">
        <f t="shared" ca="1" si="4"/>
        <v>1</v>
      </c>
      <c r="L24" s="18">
        <f ca="1">SUM(G24:K24)</f>
        <v>5</v>
      </c>
      <c r="M24" s="53"/>
      <c r="N24" s="5"/>
      <c r="O24" s="5"/>
    </row>
    <row r="25" spans="1:17" x14ac:dyDescent="0.2">
      <c r="B25" s="20">
        <v>15</v>
      </c>
      <c r="C25" s="20">
        <v>16</v>
      </c>
      <c r="D25" s="20">
        <v>17</v>
      </c>
      <c r="E25" s="20">
        <v>18</v>
      </c>
      <c r="F25" s="20">
        <v>19</v>
      </c>
      <c r="G25" s="18">
        <f t="shared" ca="1" si="4"/>
        <v>1</v>
      </c>
      <c r="H25" s="18">
        <f t="shared" ca="1" si="4"/>
        <v>1</v>
      </c>
      <c r="I25" s="18">
        <f t="shared" ca="1" si="4"/>
        <v>1</v>
      </c>
      <c r="J25" s="18">
        <f t="shared" ca="1" si="4"/>
        <v>1</v>
      </c>
      <c r="K25" s="18">
        <f t="shared" ca="1" si="4"/>
        <v>1</v>
      </c>
      <c r="L25" s="18">
        <f ca="1">SUM(G25:K25)</f>
        <v>5</v>
      </c>
      <c r="M25" s="13"/>
      <c r="N25" s="5"/>
      <c r="O25" s="5"/>
      <c r="Q25" s="47" t="s">
        <v>45</v>
      </c>
    </row>
    <row r="26" spans="1:17" x14ac:dyDescent="0.2">
      <c r="A26" s="19" t="s">
        <v>67</v>
      </c>
      <c r="B26" s="50" t="s">
        <v>68</v>
      </c>
      <c r="C26" s="50" t="s">
        <v>43</v>
      </c>
      <c r="D26" s="50" t="s">
        <v>36</v>
      </c>
      <c r="E26" s="50" t="s">
        <v>37</v>
      </c>
      <c r="F26" s="50" t="s">
        <v>35</v>
      </c>
      <c r="G26" s="18">
        <f t="shared" ca="1" si="4"/>
        <v>0</v>
      </c>
      <c r="H26" s="18">
        <f t="shared" ca="1" si="4"/>
        <v>0</v>
      </c>
      <c r="I26" s="18">
        <f t="shared" ca="1" si="4"/>
        <v>0</v>
      </c>
      <c r="J26" s="18">
        <f t="shared" ca="1" si="4"/>
        <v>0</v>
      </c>
      <c r="K26" s="18">
        <f t="shared" ca="1" si="4"/>
        <v>0</v>
      </c>
      <c r="L26" s="18">
        <f ca="1">SUM(G26:K26)</f>
        <v>0</v>
      </c>
      <c r="M26" s="13"/>
      <c r="N26" s="5"/>
      <c r="O26" s="5"/>
      <c r="Q26" s="47" t="s">
        <v>81</v>
      </c>
    </row>
    <row r="27" spans="1:17" x14ac:dyDescent="0.2">
      <c r="A27" s="19" t="s">
        <v>70</v>
      </c>
      <c r="B27" s="50" t="s">
        <v>69</v>
      </c>
      <c r="C27" s="50" t="s">
        <v>44</v>
      </c>
      <c r="D27" s="50" t="s">
        <v>38</v>
      </c>
      <c r="E27" s="50" t="s">
        <v>39</v>
      </c>
      <c r="F27" s="50" t="s">
        <v>40</v>
      </c>
      <c r="G27" s="18">
        <f t="shared" ref="G27:K28" ca="1" si="5">IF(CELL("TYPE",B27)="v",1,0)</f>
        <v>0</v>
      </c>
      <c r="H27" s="18">
        <f t="shared" ca="1" si="5"/>
        <v>0</v>
      </c>
      <c r="I27" s="18">
        <f t="shared" ca="1" si="5"/>
        <v>0</v>
      </c>
      <c r="J27" s="18">
        <f t="shared" ca="1" si="5"/>
        <v>0</v>
      </c>
      <c r="K27" s="18">
        <f t="shared" ca="1" si="5"/>
        <v>0</v>
      </c>
      <c r="L27" s="18">
        <f ca="1">SUM(G27:K27)</f>
        <v>0</v>
      </c>
      <c r="M27" s="13"/>
      <c r="N27" s="5"/>
      <c r="O27" s="5"/>
    </row>
    <row r="28" spans="1:17" x14ac:dyDescent="0.2">
      <c r="B28" s="20">
        <v>5</v>
      </c>
      <c r="C28" s="17">
        <v>6</v>
      </c>
      <c r="D28" s="20">
        <v>7</v>
      </c>
      <c r="E28" s="17">
        <v>8</v>
      </c>
      <c r="F28" s="20">
        <v>9</v>
      </c>
      <c r="G28" s="18">
        <f t="shared" ca="1" si="5"/>
        <v>1</v>
      </c>
      <c r="H28" s="18">
        <f t="shared" ca="1" si="5"/>
        <v>1</v>
      </c>
      <c r="I28" s="18">
        <f t="shared" ca="1" si="5"/>
        <v>1</v>
      </c>
      <c r="J28" s="18">
        <f t="shared" ca="1" si="5"/>
        <v>1</v>
      </c>
      <c r="K28" s="18">
        <f t="shared" ca="1" si="5"/>
        <v>1</v>
      </c>
      <c r="L28" s="18">
        <f ca="1">SUM(G28:K28)</f>
        <v>5</v>
      </c>
      <c r="M28" s="54"/>
      <c r="N28" s="5"/>
      <c r="O28" s="5"/>
      <c r="P28" s="11" t="s">
        <v>7</v>
      </c>
    </row>
    <row r="29" spans="1:17" x14ac:dyDescent="0.2">
      <c r="A29" s="21"/>
      <c r="B29" s="29"/>
      <c r="C29" s="29"/>
      <c r="D29" s="29"/>
      <c r="E29" s="29"/>
      <c r="F29" s="29"/>
      <c r="G29" s="24"/>
      <c r="H29" s="24"/>
      <c r="I29" s="24"/>
      <c r="J29" s="24"/>
      <c r="K29" s="24"/>
      <c r="L29" s="24"/>
      <c r="M29" s="25">
        <f ca="1">SUM(L24:L28)</f>
        <v>15</v>
      </c>
      <c r="N29" s="25">
        <f ca="1">20-M29</f>
        <v>5</v>
      </c>
      <c r="O29" s="25">
        <f ca="1">O23+M29</f>
        <v>90</v>
      </c>
      <c r="P29" s="26" t="s">
        <v>12</v>
      </c>
      <c r="Q29" s="27"/>
    </row>
    <row r="30" spans="1:17" x14ac:dyDescent="0.2">
      <c r="B30" s="17">
        <v>12</v>
      </c>
      <c r="C30" s="17">
        <v>13</v>
      </c>
      <c r="D30" s="17">
        <v>14</v>
      </c>
      <c r="E30" s="17">
        <v>15</v>
      </c>
      <c r="F30" s="17">
        <v>16</v>
      </c>
      <c r="G30" s="17">
        <f t="shared" ref="G30:K33" ca="1" si="6">IF(CELL("TYPE",B30)="v",1,0)</f>
        <v>1</v>
      </c>
      <c r="H30" s="17">
        <f t="shared" ca="1" si="6"/>
        <v>1</v>
      </c>
      <c r="I30" s="17">
        <f t="shared" ca="1" si="6"/>
        <v>1</v>
      </c>
      <c r="J30" s="17">
        <f t="shared" ca="1" si="6"/>
        <v>1</v>
      </c>
      <c r="K30" s="17">
        <f t="shared" ca="1" si="6"/>
        <v>1</v>
      </c>
      <c r="L30" s="17">
        <f ca="1">SUM(G30:K30)</f>
        <v>5</v>
      </c>
      <c r="M30" s="16"/>
    </row>
    <row r="31" spans="1:17" x14ac:dyDescent="0.2">
      <c r="A31" s="19" t="s">
        <v>70</v>
      </c>
      <c r="B31" s="45" t="s">
        <v>76</v>
      </c>
      <c r="C31" s="17">
        <v>20</v>
      </c>
      <c r="D31" s="17">
        <v>21</v>
      </c>
      <c r="E31" s="17">
        <v>22</v>
      </c>
      <c r="F31" s="17">
        <v>23</v>
      </c>
      <c r="G31" s="18">
        <f t="shared" ca="1" si="6"/>
        <v>0</v>
      </c>
      <c r="H31" s="18">
        <f t="shared" ca="1" si="6"/>
        <v>1</v>
      </c>
      <c r="I31" s="18">
        <f t="shared" ca="1" si="6"/>
        <v>1</v>
      </c>
      <c r="J31" s="18">
        <f t="shared" ca="1" si="6"/>
        <v>1</v>
      </c>
      <c r="K31" s="18">
        <f t="shared" ca="1" si="6"/>
        <v>1</v>
      </c>
      <c r="L31" s="18">
        <f ca="1">SUM(G31:K31)</f>
        <v>4</v>
      </c>
      <c r="M31" s="5"/>
      <c r="N31" s="5"/>
      <c r="O31" s="5"/>
      <c r="Q31" s="47" t="s">
        <v>32</v>
      </c>
    </row>
    <row r="32" spans="1:17" x14ac:dyDescent="0.2">
      <c r="A32" s="19" t="s">
        <v>71</v>
      </c>
      <c r="B32" s="17">
        <v>26</v>
      </c>
      <c r="C32" s="17">
        <v>27</v>
      </c>
      <c r="D32" s="17">
        <v>28</v>
      </c>
      <c r="E32" s="17">
        <v>29</v>
      </c>
      <c r="F32" s="17">
        <v>30</v>
      </c>
      <c r="G32" s="18">
        <f t="shared" ca="1" si="6"/>
        <v>1</v>
      </c>
      <c r="H32" s="18">
        <f t="shared" ca="1" si="6"/>
        <v>1</v>
      </c>
      <c r="I32" s="18">
        <f t="shared" ca="1" si="6"/>
        <v>1</v>
      </c>
      <c r="J32" s="18">
        <f t="shared" ca="1" si="6"/>
        <v>1</v>
      </c>
      <c r="K32" s="18">
        <f t="shared" ca="1" si="6"/>
        <v>1</v>
      </c>
      <c r="L32" s="18">
        <f ca="1">SUM(G32:K32)</f>
        <v>5</v>
      </c>
      <c r="M32" s="5"/>
      <c r="N32" s="5"/>
      <c r="O32" s="5"/>
      <c r="Q32" s="57">
        <v>42023</v>
      </c>
    </row>
    <row r="33" spans="1:17" x14ac:dyDescent="0.2">
      <c r="A33" s="30"/>
      <c r="B33" s="17">
        <v>2</v>
      </c>
      <c r="C33" s="17">
        <v>3</v>
      </c>
      <c r="D33" s="17">
        <v>4</v>
      </c>
      <c r="E33" s="17">
        <v>5</v>
      </c>
      <c r="F33" s="17">
        <v>6</v>
      </c>
      <c r="G33" s="18">
        <f t="shared" ca="1" si="6"/>
        <v>1</v>
      </c>
      <c r="H33" s="18">
        <f t="shared" ca="1" si="6"/>
        <v>1</v>
      </c>
      <c r="I33" s="18">
        <f t="shared" ca="1" si="6"/>
        <v>1</v>
      </c>
      <c r="J33" s="18">
        <f t="shared" ca="1" si="6"/>
        <v>1</v>
      </c>
      <c r="K33" s="18">
        <f t="shared" ca="1" si="6"/>
        <v>1</v>
      </c>
      <c r="L33" s="18">
        <f ca="1">SUM(G33:K33)</f>
        <v>5</v>
      </c>
      <c r="M33" s="5"/>
      <c r="N33" s="5"/>
      <c r="O33" s="5"/>
      <c r="P33" s="11" t="s">
        <v>7</v>
      </c>
    </row>
    <row r="34" spans="1:17" x14ac:dyDescent="0.2">
      <c r="A34" s="21"/>
      <c r="B34" s="29"/>
      <c r="C34" s="22"/>
      <c r="D34" s="22"/>
      <c r="E34" s="22"/>
      <c r="F34" s="22"/>
      <c r="G34" s="24"/>
      <c r="H34" s="24"/>
      <c r="I34" s="24"/>
      <c r="J34" s="24"/>
      <c r="K34" s="24"/>
      <c r="L34" s="24"/>
      <c r="M34" s="25">
        <f ca="1">SUM(L30:L33)</f>
        <v>19</v>
      </c>
      <c r="N34" s="25">
        <f ca="1">20-M34</f>
        <v>1</v>
      </c>
      <c r="O34" s="25">
        <f ca="1">O29+M34</f>
        <v>109</v>
      </c>
      <c r="P34" s="26" t="s">
        <v>13</v>
      </c>
      <c r="Q34" s="27"/>
    </row>
    <row r="35" spans="1:17" x14ac:dyDescent="0.2">
      <c r="A35" s="19"/>
      <c r="B35" s="31">
        <v>9</v>
      </c>
      <c r="C35" s="31">
        <v>10</v>
      </c>
      <c r="D35" s="31">
        <v>11</v>
      </c>
      <c r="E35" s="31">
        <v>12</v>
      </c>
      <c r="F35" s="31">
        <v>13</v>
      </c>
      <c r="G35" s="18">
        <f t="shared" ref="G35:K38" ca="1" si="7">IF(CELL("TYPE",B35)="v",1,0)</f>
        <v>1</v>
      </c>
      <c r="H35" s="18">
        <f t="shared" ca="1" si="7"/>
        <v>1</v>
      </c>
      <c r="I35" s="18">
        <f t="shared" ca="1" si="7"/>
        <v>1</v>
      </c>
      <c r="J35" s="18">
        <f t="shared" ca="1" si="7"/>
        <v>1</v>
      </c>
      <c r="K35" s="18">
        <f t="shared" ca="1" si="7"/>
        <v>1</v>
      </c>
      <c r="L35" s="18">
        <f ca="1">SUM(G35:K35)</f>
        <v>5</v>
      </c>
      <c r="M35" s="5"/>
      <c r="N35" s="5"/>
      <c r="O35" s="5"/>
      <c r="Q35" s="56"/>
    </row>
    <row r="36" spans="1:17" x14ac:dyDescent="0.2">
      <c r="A36" s="19"/>
      <c r="B36" s="50" t="s">
        <v>77</v>
      </c>
      <c r="C36" s="20">
        <v>17</v>
      </c>
      <c r="D36" s="20">
        <v>18</v>
      </c>
      <c r="E36" s="20">
        <v>19</v>
      </c>
      <c r="F36" s="20">
        <v>20</v>
      </c>
      <c r="G36" s="18">
        <f t="shared" ca="1" si="7"/>
        <v>0</v>
      </c>
      <c r="H36" s="18">
        <f t="shared" ca="1" si="7"/>
        <v>1</v>
      </c>
      <c r="I36" s="18">
        <f t="shared" ca="1" si="7"/>
        <v>1</v>
      </c>
      <c r="J36" s="18">
        <f t="shared" ca="1" si="7"/>
        <v>1</v>
      </c>
      <c r="K36" s="18">
        <f t="shared" ca="1" si="7"/>
        <v>1</v>
      </c>
      <c r="L36" s="18">
        <f ca="1">SUM(G36:K36)</f>
        <v>4</v>
      </c>
      <c r="M36" s="5"/>
      <c r="N36" s="5"/>
      <c r="O36" s="5"/>
      <c r="Q36" s="56" t="s">
        <v>82</v>
      </c>
    </row>
    <row r="37" spans="1:17" x14ac:dyDescent="0.2">
      <c r="A37" s="19" t="s">
        <v>72</v>
      </c>
      <c r="B37" s="17">
        <v>23</v>
      </c>
      <c r="C37" s="17">
        <v>24</v>
      </c>
      <c r="D37" s="17">
        <v>25</v>
      </c>
      <c r="E37" s="17">
        <v>26</v>
      </c>
      <c r="F37" s="17">
        <v>27</v>
      </c>
      <c r="G37" s="18">
        <f ca="1">IF(CELL("TYPE",B37)="v",1,0)</f>
        <v>1</v>
      </c>
      <c r="H37" s="18">
        <f t="shared" ca="1" si="7"/>
        <v>1</v>
      </c>
      <c r="I37" s="18">
        <f t="shared" ca="1" si="7"/>
        <v>1</v>
      </c>
      <c r="J37" s="18">
        <f t="shared" ca="1" si="7"/>
        <v>1</v>
      </c>
      <c r="K37" s="18">
        <f t="shared" ca="1" si="7"/>
        <v>1</v>
      </c>
      <c r="L37" s="18">
        <f ca="1">SUM(G37:K37)</f>
        <v>5</v>
      </c>
      <c r="M37" s="5"/>
      <c r="N37" s="5"/>
      <c r="O37" s="5"/>
    </row>
    <row r="38" spans="1:17" x14ac:dyDescent="0.2">
      <c r="A38" s="30"/>
      <c r="B38" s="17">
        <v>2</v>
      </c>
      <c r="C38" s="17">
        <v>3</v>
      </c>
      <c r="D38" s="17">
        <v>4</v>
      </c>
      <c r="E38" s="17">
        <v>5</v>
      </c>
      <c r="F38" s="17">
        <v>6</v>
      </c>
      <c r="G38" s="18">
        <f t="shared" ca="1" si="7"/>
        <v>1</v>
      </c>
      <c r="H38" s="18">
        <f t="shared" ca="1" si="7"/>
        <v>1</v>
      </c>
      <c r="I38" s="18">
        <f t="shared" ca="1" si="7"/>
        <v>1</v>
      </c>
      <c r="J38" s="18">
        <f t="shared" ca="1" si="7"/>
        <v>1</v>
      </c>
      <c r="K38" s="18">
        <f t="shared" ca="1" si="7"/>
        <v>1</v>
      </c>
      <c r="L38" s="18">
        <f ca="1">SUM(G38:K38)</f>
        <v>5</v>
      </c>
      <c r="M38" s="5"/>
      <c r="N38" s="5"/>
      <c r="O38" s="5"/>
      <c r="P38" s="11" t="s">
        <v>7</v>
      </c>
    </row>
    <row r="39" spans="1:17" x14ac:dyDescent="0.2">
      <c r="A39" s="21"/>
      <c r="B39" s="22"/>
      <c r="C39" s="22"/>
      <c r="D39" s="22"/>
      <c r="E39" s="22"/>
      <c r="F39" s="22"/>
      <c r="G39" s="24"/>
      <c r="H39" s="24"/>
      <c r="I39" s="24"/>
      <c r="J39" s="24"/>
      <c r="K39" s="24"/>
      <c r="L39" s="24"/>
      <c r="M39" s="25">
        <f ca="1">SUM(L35:L38)</f>
        <v>19</v>
      </c>
      <c r="N39" s="25">
        <f ca="1">20-M39</f>
        <v>1</v>
      </c>
      <c r="O39" s="25">
        <f ca="1">O34+M39</f>
        <v>128</v>
      </c>
      <c r="P39" s="26" t="s">
        <v>14</v>
      </c>
      <c r="Q39" s="27"/>
    </row>
    <row r="40" spans="1:17" x14ac:dyDescent="0.2">
      <c r="A40" s="19"/>
      <c r="B40" s="20">
        <v>9</v>
      </c>
      <c r="C40" s="20">
        <v>10</v>
      </c>
      <c r="D40" s="20">
        <v>11</v>
      </c>
      <c r="E40" s="20">
        <v>12</v>
      </c>
      <c r="F40" s="20">
        <v>13</v>
      </c>
      <c r="G40" s="20">
        <v>1</v>
      </c>
      <c r="H40" s="20">
        <v>1</v>
      </c>
      <c r="I40" s="20">
        <v>1</v>
      </c>
      <c r="J40" s="20">
        <v>1</v>
      </c>
      <c r="K40" s="20">
        <v>1</v>
      </c>
      <c r="L40" s="18">
        <f>SUM(G40:K40)</f>
        <v>5</v>
      </c>
      <c r="M40" s="53"/>
      <c r="N40" s="5"/>
      <c r="O40" s="5"/>
    </row>
    <row r="41" spans="1:17" ht="15" customHeight="1" x14ac:dyDescent="0.2">
      <c r="A41" s="19" t="s">
        <v>72</v>
      </c>
      <c r="B41" s="20">
        <v>16</v>
      </c>
      <c r="C41" s="20">
        <v>17</v>
      </c>
      <c r="D41" s="20">
        <v>18</v>
      </c>
      <c r="E41" s="20">
        <v>19</v>
      </c>
      <c r="F41" s="20">
        <v>20</v>
      </c>
      <c r="G41" s="18">
        <f t="shared" ref="G41:K42" ca="1" si="8">IF(CELL("TYPE",B41)="v",1,0)</f>
        <v>1</v>
      </c>
      <c r="H41" s="18">
        <f t="shared" ca="1" si="8"/>
        <v>1</v>
      </c>
      <c r="I41" s="18">
        <f t="shared" ca="1" si="8"/>
        <v>1</v>
      </c>
      <c r="J41" s="18">
        <f t="shared" ca="1" si="8"/>
        <v>1</v>
      </c>
      <c r="K41" s="18">
        <f t="shared" ca="1" si="8"/>
        <v>1</v>
      </c>
      <c r="L41" s="18">
        <f ca="1">SUM(G41:K41)</f>
        <v>5</v>
      </c>
      <c r="M41" s="13"/>
      <c r="N41" s="5"/>
      <c r="O41" s="5"/>
      <c r="Q41" s="47"/>
    </row>
    <row r="42" spans="1:17" x14ac:dyDescent="0.2">
      <c r="A42" s="19" t="s">
        <v>73</v>
      </c>
      <c r="B42" s="20">
        <v>23</v>
      </c>
      <c r="C42" s="20">
        <v>24</v>
      </c>
      <c r="D42" s="20">
        <v>25</v>
      </c>
      <c r="E42" s="20">
        <v>26</v>
      </c>
      <c r="F42" s="20">
        <v>27</v>
      </c>
      <c r="G42" s="18">
        <f t="shared" ca="1" si="8"/>
        <v>1</v>
      </c>
      <c r="H42" s="18">
        <f t="shared" ca="1" si="8"/>
        <v>1</v>
      </c>
      <c r="I42" s="18">
        <f t="shared" ca="1" si="8"/>
        <v>1</v>
      </c>
      <c r="J42" s="18">
        <f t="shared" ca="1" si="8"/>
        <v>1</v>
      </c>
      <c r="K42" s="18">
        <f t="shared" ca="1" si="8"/>
        <v>1</v>
      </c>
      <c r="L42" s="18">
        <f ca="1">SUM(G42:K42)</f>
        <v>5</v>
      </c>
      <c r="M42" s="13"/>
      <c r="N42" s="5"/>
      <c r="O42" s="5"/>
    </row>
    <row r="43" spans="1:17" x14ac:dyDescent="0.2">
      <c r="A43" s="19"/>
      <c r="B43" s="20">
        <v>30</v>
      </c>
      <c r="C43" s="20">
        <v>31</v>
      </c>
      <c r="D43" s="20">
        <v>1</v>
      </c>
      <c r="E43" s="20">
        <v>2</v>
      </c>
      <c r="F43" s="20">
        <v>3</v>
      </c>
      <c r="G43" s="18">
        <f ca="1">IF(CELL("TYPE",B43)="v",1,0)</f>
        <v>1</v>
      </c>
      <c r="H43" s="18">
        <f ca="1">IF(CELL("TYPE",C43)="v",1,0)</f>
        <v>1</v>
      </c>
      <c r="I43" s="18">
        <f ca="1">IF(CELL("TYPE",D43)="v",1,0)</f>
        <v>1</v>
      </c>
      <c r="J43" s="18">
        <f ca="1">IF(CELL("TYPE",E43)="v",1,0)</f>
        <v>1</v>
      </c>
      <c r="K43" s="18">
        <f ca="1">IF(CELL("TYPE",F43)="v",1,0)</f>
        <v>1</v>
      </c>
      <c r="L43" s="18">
        <f ca="1">SUM(G43:K43)</f>
        <v>5</v>
      </c>
      <c r="M43" s="13"/>
      <c r="N43" s="5"/>
      <c r="O43" s="5"/>
      <c r="P43" s="11" t="s">
        <v>7</v>
      </c>
      <c r="Q43" s="51"/>
    </row>
    <row r="44" spans="1:17" x14ac:dyDescent="0.2">
      <c r="A44" s="21"/>
      <c r="B44" s="22"/>
      <c r="C44" s="22"/>
      <c r="D44" s="22"/>
      <c r="E44" s="22"/>
      <c r="F44" s="22"/>
      <c r="G44" s="24"/>
      <c r="H44" s="24"/>
      <c r="I44" s="24"/>
      <c r="J44" s="24"/>
      <c r="K44" s="24"/>
      <c r="L44" s="24"/>
      <c r="M44" s="25">
        <f ca="1">SUM(L40:L43)</f>
        <v>20</v>
      </c>
      <c r="N44" s="25">
        <f ca="1">20-M44</f>
        <v>0</v>
      </c>
      <c r="O44" s="25">
        <f ca="1">O39+M44</f>
        <v>148</v>
      </c>
      <c r="P44" s="26" t="s">
        <v>16</v>
      </c>
      <c r="Q44" s="62"/>
    </row>
    <row r="45" spans="1:17" x14ac:dyDescent="0.2">
      <c r="A45" s="64"/>
      <c r="B45" s="48">
        <v>6</v>
      </c>
      <c r="C45" s="48">
        <v>7</v>
      </c>
      <c r="D45" s="48">
        <v>8</v>
      </c>
      <c r="E45" s="48">
        <v>9</v>
      </c>
      <c r="F45" s="48">
        <v>10</v>
      </c>
      <c r="G45" s="18">
        <f t="shared" ref="G45" ca="1" si="9">IF(CELL("TYPE",B45)="v",1,0)</f>
        <v>1</v>
      </c>
      <c r="H45" s="18">
        <f t="shared" ref="H45" ca="1" si="10">IF(CELL("TYPE",C45)="v",1,0)</f>
        <v>1</v>
      </c>
      <c r="I45" s="18">
        <f t="shared" ref="I45" ca="1" si="11">IF(CELL("TYPE",D45)="v",1,0)</f>
        <v>1</v>
      </c>
      <c r="J45" s="18">
        <f t="shared" ref="J45" ca="1" si="12">IF(CELL("TYPE",E45)="v",1,0)</f>
        <v>1</v>
      </c>
      <c r="K45" s="18">
        <f t="shared" ref="K45" ca="1" si="13">IF(CELL("TYPE",F45)="v",1,0)</f>
        <v>1</v>
      </c>
      <c r="L45" s="18">
        <f ca="1">SUM(G45:K45)</f>
        <v>5</v>
      </c>
      <c r="M45" s="13"/>
      <c r="N45" s="13"/>
      <c r="O45" s="13"/>
      <c r="P45" s="49"/>
      <c r="Q45" s="65"/>
    </row>
    <row r="46" spans="1:17" x14ac:dyDescent="0.2">
      <c r="A46" s="19"/>
      <c r="B46" s="20">
        <v>13</v>
      </c>
      <c r="C46" s="17">
        <v>14</v>
      </c>
      <c r="D46" s="20">
        <v>15</v>
      </c>
      <c r="E46" s="17">
        <v>16</v>
      </c>
      <c r="F46" s="20">
        <v>17</v>
      </c>
      <c r="G46" s="18">
        <f t="shared" ref="G46:K48" ca="1" si="14">IF(CELL("TYPE",B46)="v",1,0)</f>
        <v>1</v>
      </c>
      <c r="H46" s="18">
        <f t="shared" ca="1" si="14"/>
        <v>1</v>
      </c>
      <c r="I46" s="18">
        <f t="shared" ca="1" si="14"/>
        <v>1</v>
      </c>
      <c r="J46" s="18">
        <f t="shared" ca="1" si="14"/>
        <v>1</v>
      </c>
      <c r="K46" s="18">
        <f t="shared" ca="1" si="14"/>
        <v>1</v>
      </c>
      <c r="L46" s="18">
        <f ca="1">SUM(G46:K46)</f>
        <v>5</v>
      </c>
      <c r="M46" s="5"/>
      <c r="N46" s="5"/>
      <c r="O46" s="5"/>
    </row>
    <row r="47" spans="1:17" x14ac:dyDescent="0.2">
      <c r="A47" s="19" t="s">
        <v>73</v>
      </c>
      <c r="B47" s="55" t="s">
        <v>78</v>
      </c>
      <c r="C47" s="55" t="s">
        <v>46</v>
      </c>
      <c r="D47" s="55" t="s">
        <v>47</v>
      </c>
      <c r="E47" s="55" t="s">
        <v>48</v>
      </c>
      <c r="F47" s="55" t="s">
        <v>49</v>
      </c>
      <c r="G47" s="18">
        <f t="shared" ca="1" si="14"/>
        <v>0</v>
      </c>
      <c r="H47" s="18">
        <f t="shared" ca="1" si="14"/>
        <v>0</v>
      </c>
      <c r="I47" s="18">
        <f t="shared" ca="1" si="14"/>
        <v>0</v>
      </c>
      <c r="J47" s="18">
        <f t="shared" ca="1" si="14"/>
        <v>0</v>
      </c>
      <c r="K47" s="18">
        <f t="shared" ca="1" si="14"/>
        <v>0</v>
      </c>
      <c r="L47" s="18">
        <f ca="1">SUM(G47:K47)</f>
        <v>0</v>
      </c>
      <c r="M47" s="5"/>
      <c r="N47" s="5"/>
      <c r="O47" s="5"/>
      <c r="P47" s="3"/>
      <c r="Q47" s="56" t="s">
        <v>15</v>
      </c>
    </row>
    <row r="48" spans="1:17" x14ac:dyDescent="0.2">
      <c r="A48" s="19" t="s">
        <v>74</v>
      </c>
      <c r="B48" s="20">
        <v>27</v>
      </c>
      <c r="C48" s="17">
        <v>28</v>
      </c>
      <c r="D48" s="17">
        <v>29</v>
      </c>
      <c r="E48" s="17">
        <v>30</v>
      </c>
      <c r="F48" s="20">
        <v>1</v>
      </c>
      <c r="G48" s="18">
        <f t="shared" ca="1" si="14"/>
        <v>1</v>
      </c>
      <c r="H48" s="18">
        <f t="shared" ca="1" si="14"/>
        <v>1</v>
      </c>
      <c r="I48" s="18">
        <f t="shared" ca="1" si="14"/>
        <v>1</v>
      </c>
      <c r="J48" s="18">
        <f t="shared" ca="1" si="14"/>
        <v>1</v>
      </c>
      <c r="K48" s="18">
        <f t="shared" ca="1" si="14"/>
        <v>1</v>
      </c>
      <c r="L48" s="18">
        <f ca="1">SUM(G48:K48)</f>
        <v>5</v>
      </c>
      <c r="M48" s="5"/>
      <c r="N48" s="5"/>
      <c r="O48" s="5"/>
      <c r="P48" s="11" t="s">
        <v>7</v>
      </c>
      <c r="Q48" s="56" t="s">
        <v>83</v>
      </c>
    </row>
    <row r="49" spans="1:17" x14ac:dyDescent="0.2">
      <c r="B49" s="17">
        <v>4</v>
      </c>
      <c r="C49" s="17">
        <v>5</v>
      </c>
      <c r="D49" s="17">
        <v>6</v>
      </c>
      <c r="E49" s="17">
        <v>7</v>
      </c>
      <c r="F49" s="17">
        <v>8</v>
      </c>
      <c r="G49" s="18">
        <f t="shared" ref="G49:K53" ca="1" si="15">IF(CELL("TYPE",B49)="v",1,0)</f>
        <v>1</v>
      </c>
      <c r="H49" s="18">
        <f t="shared" ca="1" si="15"/>
        <v>1</v>
      </c>
      <c r="I49" s="18">
        <f t="shared" ca="1" si="15"/>
        <v>1</v>
      </c>
      <c r="J49" s="18">
        <f t="shared" ca="1" si="15"/>
        <v>1</v>
      </c>
      <c r="K49" s="18">
        <f t="shared" ca="1" si="15"/>
        <v>1</v>
      </c>
      <c r="L49" s="18">
        <f ca="1">SUM(G49:K49)</f>
        <v>5</v>
      </c>
      <c r="M49" s="5"/>
      <c r="N49" s="5"/>
      <c r="O49" s="5"/>
    </row>
    <row r="50" spans="1:17" x14ac:dyDescent="0.2">
      <c r="A50" s="21"/>
      <c r="B50" s="29"/>
      <c r="C50" s="29"/>
      <c r="D50" s="29"/>
      <c r="E50" s="29"/>
      <c r="F50" s="29"/>
      <c r="G50" s="24"/>
      <c r="H50" s="24"/>
      <c r="I50" s="24"/>
      <c r="J50" s="24"/>
      <c r="K50" s="24"/>
      <c r="L50" s="24"/>
      <c r="M50" s="25">
        <f ca="1">SUM(L45:L49)</f>
        <v>20</v>
      </c>
      <c r="N50" s="25">
        <f ca="1">20-M50</f>
        <v>0</v>
      </c>
      <c r="O50" s="25">
        <f ca="1">O44+M50</f>
        <v>168</v>
      </c>
      <c r="P50" s="26" t="s">
        <v>17</v>
      </c>
      <c r="Q50" s="27"/>
    </row>
    <row r="51" spans="1:17" x14ac:dyDescent="0.2">
      <c r="A51" s="32"/>
      <c r="B51" s="20">
        <v>11</v>
      </c>
      <c r="C51" s="17">
        <v>12</v>
      </c>
      <c r="D51" s="20">
        <v>13</v>
      </c>
      <c r="E51" s="17">
        <v>14</v>
      </c>
      <c r="F51" s="20">
        <v>15</v>
      </c>
      <c r="G51" s="18">
        <f t="shared" ca="1" si="15"/>
        <v>1</v>
      </c>
      <c r="H51" s="18">
        <f t="shared" ca="1" si="15"/>
        <v>1</v>
      </c>
      <c r="I51" s="18">
        <f t="shared" ca="1" si="15"/>
        <v>1</v>
      </c>
      <c r="J51" s="18">
        <f t="shared" ca="1" si="15"/>
        <v>1</v>
      </c>
      <c r="K51" s="18">
        <f t="shared" ca="1" si="15"/>
        <v>1</v>
      </c>
      <c r="L51" s="18">
        <f ca="1">SUM(G51:K51)</f>
        <v>5</v>
      </c>
      <c r="M51" s="5"/>
      <c r="N51" s="5"/>
      <c r="O51" s="5"/>
    </row>
    <row r="52" spans="1:17" x14ac:dyDescent="0.2">
      <c r="A52" s="19" t="s">
        <v>74</v>
      </c>
      <c r="B52" s="20">
        <v>18</v>
      </c>
      <c r="C52" s="17">
        <v>19</v>
      </c>
      <c r="D52" s="20">
        <v>20</v>
      </c>
      <c r="E52" s="17">
        <v>21</v>
      </c>
      <c r="F52" s="20">
        <v>22</v>
      </c>
      <c r="G52" s="18">
        <f t="shared" ca="1" si="15"/>
        <v>1</v>
      </c>
      <c r="H52" s="18">
        <f t="shared" ca="1" si="15"/>
        <v>1</v>
      </c>
      <c r="I52" s="18">
        <f t="shared" ca="1" si="15"/>
        <v>1</v>
      </c>
      <c r="J52" s="18">
        <f t="shared" ca="1" si="15"/>
        <v>1</v>
      </c>
      <c r="K52" s="18">
        <f t="shared" ca="1" si="15"/>
        <v>1</v>
      </c>
      <c r="L52" s="18">
        <f ca="1">SUM(G52:K52)</f>
        <v>5</v>
      </c>
      <c r="M52" s="5"/>
      <c r="N52" s="5"/>
      <c r="O52" s="5"/>
      <c r="Q52" s="56" t="s">
        <v>84</v>
      </c>
    </row>
    <row r="53" spans="1:17" x14ac:dyDescent="0.2">
      <c r="A53" s="32" t="s">
        <v>75</v>
      </c>
      <c r="B53" s="45" t="s">
        <v>79</v>
      </c>
      <c r="C53" s="17">
        <v>26</v>
      </c>
      <c r="D53" s="20">
        <v>27</v>
      </c>
      <c r="E53" s="48">
        <v>28</v>
      </c>
      <c r="F53" s="20">
        <v>29</v>
      </c>
      <c r="G53" s="18">
        <f t="shared" ref="G53:H55" ca="1" si="16">IF(CELL("TYPE",B53)="v",1,0)</f>
        <v>0</v>
      </c>
      <c r="H53" s="18">
        <f t="shared" ca="1" si="16"/>
        <v>1</v>
      </c>
      <c r="I53" s="18">
        <f t="shared" ca="1" si="15"/>
        <v>1</v>
      </c>
      <c r="J53" s="18">
        <f t="shared" ca="1" si="15"/>
        <v>1</v>
      </c>
      <c r="K53" s="18">
        <f t="shared" ca="1" si="15"/>
        <v>1</v>
      </c>
      <c r="L53" s="18">
        <f ca="1">SUM(G53:K53)</f>
        <v>4</v>
      </c>
      <c r="M53" s="5"/>
      <c r="N53" s="5"/>
      <c r="O53" s="5"/>
      <c r="P53" s="11" t="s">
        <v>7</v>
      </c>
      <c r="Q53" s="3" t="s">
        <v>85</v>
      </c>
    </row>
    <row r="54" spans="1:17" x14ac:dyDescent="0.2">
      <c r="A54" s="32"/>
      <c r="B54" s="20">
        <v>1</v>
      </c>
      <c r="C54" s="20">
        <v>2</v>
      </c>
      <c r="D54" s="20">
        <v>3</v>
      </c>
      <c r="E54" s="20">
        <v>4</v>
      </c>
      <c r="F54" s="20">
        <v>5</v>
      </c>
      <c r="G54" s="18">
        <f t="shared" ca="1" si="16"/>
        <v>1</v>
      </c>
      <c r="H54" s="18">
        <f t="shared" ca="1" si="16"/>
        <v>1</v>
      </c>
      <c r="I54" s="18">
        <f t="shared" ref="I54:K55" ca="1" si="17">IF(CELL("TYPE",D54)="v",1,0)</f>
        <v>1</v>
      </c>
      <c r="J54" s="18">
        <f t="shared" ca="1" si="17"/>
        <v>1</v>
      </c>
      <c r="K54" s="18">
        <f t="shared" ca="1" si="17"/>
        <v>1</v>
      </c>
      <c r="L54" s="18">
        <f ca="1">SUM(G54:K54)</f>
        <v>5</v>
      </c>
      <c r="M54" s="5"/>
      <c r="N54" s="5"/>
      <c r="O54" s="5"/>
      <c r="Q54" s="49" t="s">
        <v>29</v>
      </c>
    </row>
    <row r="55" spans="1:17" x14ac:dyDescent="0.2">
      <c r="A55" s="32"/>
      <c r="B55" s="58" t="s">
        <v>80</v>
      </c>
      <c r="C55" s="58" t="s">
        <v>50</v>
      </c>
      <c r="D55" s="58" t="s">
        <v>41</v>
      </c>
      <c r="E55" s="23"/>
      <c r="F55" s="20"/>
      <c r="G55" s="18">
        <f t="shared" ca="1" si="16"/>
        <v>0</v>
      </c>
      <c r="H55" s="18">
        <f t="shared" ca="1" si="16"/>
        <v>0</v>
      </c>
      <c r="I55" s="18">
        <f t="shared" ca="1" si="17"/>
        <v>0</v>
      </c>
      <c r="J55" s="18">
        <f t="shared" ca="1" si="17"/>
        <v>0</v>
      </c>
      <c r="K55" s="18">
        <f t="shared" ca="1" si="17"/>
        <v>0</v>
      </c>
      <c r="L55" s="18">
        <f ca="1">SUM(G55:K55)</f>
        <v>0</v>
      </c>
      <c r="M55" s="5"/>
      <c r="N55" s="5"/>
      <c r="O55" s="5"/>
      <c r="Q55" s="49"/>
    </row>
    <row r="56" spans="1:17" ht="13.5" thickBot="1" x14ac:dyDescent="0.25">
      <c r="A56" s="36"/>
      <c r="B56" s="37"/>
      <c r="C56" s="37"/>
      <c r="D56" s="37"/>
      <c r="E56" s="38"/>
      <c r="F56" s="37"/>
      <c r="G56" s="36"/>
      <c r="H56" s="36"/>
      <c r="I56" s="36"/>
      <c r="J56" s="36"/>
      <c r="K56" s="36"/>
      <c r="L56" s="36"/>
      <c r="M56" s="39">
        <f ca="1">SUM(L51:L55)</f>
        <v>19</v>
      </c>
      <c r="N56" s="39">
        <f ca="1">20-M56</f>
        <v>1</v>
      </c>
      <c r="O56" s="39">
        <f ca="1">O50+M56</f>
        <v>187</v>
      </c>
      <c r="P56" s="40" t="s">
        <v>19</v>
      </c>
      <c r="Q56" s="40"/>
    </row>
    <row r="57" spans="1:17" ht="13.5" thickTop="1" x14ac:dyDescent="0.2">
      <c r="B57" s="16"/>
      <c r="C57" s="16"/>
      <c r="D57" s="16"/>
      <c r="E57" s="16"/>
      <c r="F57" s="16"/>
      <c r="M57" s="5"/>
      <c r="N57" s="5"/>
      <c r="O57" s="5"/>
    </row>
    <row r="58" spans="1:17" x14ac:dyDescent="0.2">
      <c r="A58" s="3" t="s">
        <v>20</v>
      </c>
      <c r="B58" s="16" t="s">
        <v>21</v>
      </c>
      <c r="C58" s="16"/>
      <c r="D58" s="16"/>
      <c r="E58" s="16"/>
      <c r="F58" s="41" t="s">
        <v>31</v>
      </c>
      <c r="G58" s="11"/>
      <c r="H58" s="11"/>
      <c r="I58" s="11"/>
      <c r="J58" s="11"/>
      <c r="K58" s="11"/>
      <c r="L58" s="11"/>
      <c r="M58" s="42">
        <f ca="1">SUM(M1:M56)</f>
        <v>187</v>
      </c>
      <c r="N58" s="42">
        <f ca="1">SUM(N8:N57)</f>
        <v>13</v>
      </c>
      <c r="O58" s="43">
        <f ca="1">O56</f>
        <v>187</v>
      </c>
    </row>
    <row r="59" spans="1:17" x14ac:dyDescent="0.2">
      <c r="A59" s="3" t="s">
        <v>22</v>
      </c>
      <c r="B59" s="16" t="s">
        <v>23</v>
      </c>
      <c r="C59" s="16"/>
      <c r="D59" s="16"/>
      <c r="E59" s="16"/>
      <c r="F59" s="16"/>
      <c r="M59" s="5"/>
      <c r="N59" s="5"/>
      <c r="O59" s="5"/>
    </row>
    <row r="60" spans="1:17" x14ac:dyDescent="0.2">
      <c r="A60" s="3" t="s">
        <v>24</v>
      </c>
      <c r="B60" s="16" t="s">
        <v>15</v>
      </c>
      <c r="C60" s="16"/>
      <c r="D60" s="16"/>
      <c r="E60" s="16"/>
      <c r="F60" s="16"/>
      <c r="M60" s="5"/>
      <c r="N60" s="5"/>
      <c r="O60" s="5"/>
    </row>
    <row r="61" spans="1:17" x14ac:dyDescent="0.2">
      <c r="A61" s="3" t="s">
        <v>18</v>
      </c>
      <c r="B61" s="16" t="s">
        <v>25</v>
      </c>
      <c r="C61" s="33"/>
      <c r="D61" s="33"/>
      <c r="E61" s="33"/>
      <c r="F61" s="16"/>
      <c r="M61" s="5"/>
      <c r="N61" s="5"/>
      <c r="O61" s="5"/>
    </row>
    <row r="62" spans="1:17" x14ac:dyDescent="0.2">
      <c r="A62" s="3" t="s">
        <v>26</v>
      </c>
      <c r="B62" s="16" t="s">
        <v>27</v>
      </c>
      <c r="C62" s="16"/>
      <c r="D62" s="16"/>
      <c r="E62" s="16"/>
      <c r="F62" s="16"/>
      <c r="M62" s="5"/>
      <c r="N62" s="5"/>
      <c r="O62" s="5"/>
    </row>
    <row r="63" spans="1:17" x14ac:dyDescent="0.2">
      <c r="A63" s="3" t="s">
        <v>28</v>
      </c>
      <c r="B63" s="16"/>
      <c r="C63" s="16"/>
      <c r="O63" s="5"/>
    </row>
    <row r="64" spans="1:17" x14ac:dyDescent="0.2">
      <c r="A64" s="34"/>
      <c r="B64" s="16"/>
      <c r="C64" s="16"/>
      <c r="D64" s="16"/>
      <c r="E64" s="16"/>
      <c r="F64" s="16"/>
      <c r="O64" s="5"/>
    </row>
    <row r="67" spans="1:15" x14ac:dyDescent="0.2">
      <c r="E67" s="16"/>
      <c r="F67" s="16"/>
      <c r="O67" s="5"/>
    </row>
    <row r="68" spans="1:15" x14ac:dyDescent="0.2">
      <c r="A68" s="34"/>
      <c r="B68" s="16"/>
      <c r="C68" s="16"/>
      <c r="D68" s="16"/>
      <c r="E68" s="16"/>
      <c r="F68" s="16"/>
      <c r="O68" s="5"/>
    </row>
  </sheetData>
  <mergeCells count="1">
    <mergeCell ref="G1:L1"/>
  </mergeCells>
  <phoneticPr fontId="0" type="noConversion"/>
  <printOptions horizontalCentered="1"/>
  <pageMargins left="0" right="0" top="0" bottom="0" header="0.5" footer="0.5"/>
  <pageSetup scale="5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NDE</dc:creator>
  <cp:lastModifiedBy>Wendi Skibinski</cp:lastModifiedBy>
  <cp:lastPrinted>2014-03-05T22:53:42Z</cp:lastPrinted>
  <dcterms:created xsi:type="dcterms:W3CDTF">2006-08-23T14:56:08Z</dcterms:created>
  <dcterms:modified xsi:type="dcterms:W3CDTF">2014-03-06T20:12:22Z</dcterms:modified>
</cp:coreProperties>
</file>