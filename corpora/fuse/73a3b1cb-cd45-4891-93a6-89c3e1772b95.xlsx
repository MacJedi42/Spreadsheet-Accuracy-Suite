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05" windowWidth="20115" windowHeight="7485"/>
  </bookViews>
  <sheets>
    <sheet name="S3 Actual scores " sheetId="1" r:id="rId1"/>
  </sheets>
  <calcPr calcId="144525"/>
</workbook>
</file>

<file path=xl/calcChain.xml><?xml version="1.0" encoding="utf-8"?>
<calcChain xmlns="http://schemas.openxmlformats.org/spreadsheetml/2006/main">
  <c r="BU256" i="1" l="1"/>
  <c r="BT256" i="1"/>
  <c r="BV256" i="1" s="1"/>
  <c r="BU255" i="1"/>
  <c r="BV255" i="1" s="1"/>
  <c r="BT255" i="1"/>
  <c r="BV254" i="1"/>
  <c r="BU254" i="1"/>
  <c r="BT254" i="1"/>
  <c r="BV253" i="1"/>
  <c r="BU253" i="1"/>
  <c r="BT253" i="1"/>
  <c r="BU252" i="1"/>
  <c r="BV252" i="1" s="1"/>
  <c r="BT252" i="1"/>
  <c r="BU251" i="1"/>
  <c r="BV251" i="1" s="1"/>
  <c r="BT251" i="1"/>
  <c r="BV250" i="1"/>
  <c r="BU250" i="1"/>
  <c r="BT250" i="1"/>
  <c r="BV249" i="1"/>
  <c r="BU249" i="1"/>
  <c r="BT249" i="1"/>
  <c r="BU248" i="1"/>
  <c r="BV248" i="1" s="1"/>
  <c r="BT248" i="1"/>
  <c r="BU247" i="1"/>
  <c r="BV247" i="1" s="1"/>
  <c r="BT247" i="1"/>
  <c r="BV246" i="1"/>
  <c r="BU246" i="1"/>
  <c r="BT246" i="1"/>
  <c r="BV245" i="1"/>
  <c r="BU245" i="1"/>
  <c r="BT245" i="1"/>
  <c r="BU244" i="1"/>
  <c r="BV244" i="1" s="1"/>
  <c r="BT244" i="1"/>
  <c r="BU243" i="1"/>
  <c r="BV243" i="1" s="1"/>
  <c r="BT243" i="1"/>
  <c r="BV242" i="1"/>
  <c r="BU242" i="1"/>
  <c r="BT242" i="1"/>
  <c r="BV241" i="1"/>
  <c r="BU241" i="1"/>
  <c r="BT241" i="1"/>
  <c r="BU240" i="1"/>
  <c r="BV240" i="1" s="1"/>
  <c r="BT240" i="1"/>
  <c r="BU239" i="1"/>
  <c r="BV239" i="1" s="1"/>
  <c r="BT239" i="1"/>
  <c r="BV238" i="1"/>
  <c r="BU238" i="1"/>
  <c r="BT238" i="1"/>
  <c r="BV237" i="1"/>
  <c r="BU237" i="1"/>
  <c r="BT237" i="1"/>
  <c r="BU236" i="1"/>
  <c r="BV236" i="1" s="1"/>
  <c r="BT236" i="1"/>
  <c r="BU235" i="1"/>
  <c r="BV235" i="1" s="1"/>
  <c r="BT235" i="1"/>
  <c r="BV234" i="1"/>
  <c r="BU234" i="1"/>
  <c r="BT234" i="1"/>
  <c r="BV233" i="1"/>
  <c r="BU233" i="1"/>
  <c r="BT233" i="1"/>
  <c r="BU232" i="1"/>
  <c r="BV232" i="1" s="1"/>
  <c r="BT232" i="1"/>
  <c r="BU231" i="1"/>
  <c r="BV231" i="1" s="1"/>
  <c r="BT231" i="1"/>
  <c r="BV230" i="1"/>
  <c r="BU230" i="1"/>
  <c r="BT230" i="1"/>
  <c r="BV229" i="1"/>
  <c r="BU229" i="1"/>
  <c r="BT229" i="1"/>
  <c r="BU228" i="1"/>
  <c r="BV228" i="1" s="1"/>
  <c r="BT228" i="1"/>
  <c r="BU227" i="1"/>
  <c r="BV227" i="1" s="1"/>
  <c r="BT227" i="1"/>
  <c r="BV226" i="1"/>
  <c r="BU226" i="1"/>
  <c r="BT226" i="1"/>
  <c r="BV225" i="1"/>
  <c r="BU225" i="1"/>
  <c r="BT225" i="1"/>
  <c r="BU224" i="1"/>
  <c r="BV224" i="1" s="1"/>
  <c r="BT224" i="1"/>
  <c r="BU223" i="1"/>
  <c r="BV223" i="1" s="1"/>
  <c r="BT223" i="1"/>
  <c r="BU222" i="1"/>
  <c r="BV222" i="1" s="1"/>
  <c r="BT222" i="1"/>
  <c r="BU221" i="1"/>
  <c r="BV221" i="1" s="1"/>
  <c r="BT221" i="1"/>
  <c r="BU220" i="1"/>
  <c r="BV220" i="1" s="1"/>
  <c r="BT220" i="1"/>
  <c r="BV213" i="1"/>
  <c r="BU213" i="1"/>
  <c r="BT213" i="1"/>
  <c r="BU212" i="1"/>
  <c r="BV212" i="1" s="1"/>
  <c r="BT212" i="1"/>
  <c r="BU211" i="1"/>
  <c r="BT211" i="1"/>
  <c r="BV211" i="1" s="1"/>
  <c r="BU210" i="1"/>
  <c r="BV210" i="1" s="1"/>
  <c r="BT210" i="1"/>
  <c r="BV209" i="1"/>
  <c r="BU209" i="1"/>
  <c r="BT209" i="1"/>
  <c r="BU208" i="1"/>
  <c r="BV208" i="1" s="1"/>
  <c r="BT208" i="1"/>
  <c r="BU207" i="1"/>
  <c r="BT207" i="1"/>
  <c r="BV207" i="1" s="1"/>
  <c r="BU206" i="1"/>
  <c r="BV206" i="1" s="1"/>
  <c r="BT206" i="1"/>
  <c r="BV205" i="1"/>
  <c r="BU205" i="1"/>
  <c r="BT205" i="1"/>
  <c r="BU204" i="1"/>
  <c r="BV204" i="1" s="1"/>
  <c r="BT204" i="1"/>
  <c r="BU203" i="1"/>
  <c r="BT203" i="1"/>
  <c r="BV203" i="1" s="1"/>
  <c r="BU202" i="1"/>
  <c r="BV202" i="1" s="1"/>
  <c r="BT202" i="1"/>
  <c r="BV201" i="1"/>
  <c r="BU201" i="1"/>
  <c r="BT201" i="1"/>
  <c r="BU200" i="1"/>
  <c r="BV200" i="1" s="1"/>
  <c r="BT200" i="1"/>
  <c r="BU199" i="1"/>
  <c r="BT199" i="1"/>
  <c r="BV199" i="1" s="1"/>
  <c r="BU198" i="1"/>
  <c r="BV198" i="1" s="1"/>
  <c r="BT198" i="1"/>
  <c r="BV197" i="1"/>
  <c r="BU197" i="1"/>
  <c r="BT197" i="1"/>
  <c r="BU196" i="1"/>
  <c r="BV196" i="1" s="1"/>
  <c r="BT196" i="1"/>
  <c r="BU195" i="1"/>
  <c r="BT195" i="1"/>
  <c r="BV195" i="1" s="1"/>
  <c r="BU194" i="1"/>
  <c r="BV194" i="1" s="1"/>
  <c r="BT194" i="1"/>
  <c r="BV193" i="1"/>
  <c r="BU193" i="1"/>
  <c r="BT193" i="1"/>
  <c r="BU192" i="1"/>
  <c r="BV192" i="1" s="1"/>
  <c r="BT192" i="1"/>
  <c r="BU191" i="1"/>
  <c r="BT191" i="1"/>
  <c r="BV191" i="1" s="1"/>
  <c r="BU190" i="1"/>
  <c r="BV190" i="1" s="1"/>
  <c r="BT190" i="1"/>
  <c r="BV189" i="1"/>
  <c r="BU189" i="1"/>
  <c r="BT189" i="1"/>
  <c r="BU188" i="1"/>
  <c r="BV188" i="1" s="1"/>
  <c r="BT188" i="1"/>
  <c r="BU187" i="1"/>
  <c r="BT187" i="1"/>
  <c r="BV187" i="1" s="1"/>
  <c r="BU186" i="1"/>
  <c r="BV186" i="1" s="1"/>
  <c r="BT186" i="1"/>
  <c r="BV185" i="1"/>
  <c r="BU185" i="1"/>
  <c r="BT185" i="1"/>
  <c r="BU184" i="1"/>
  <c r="BV184" i="1" s="1"/>
  <c r="BT184" i="1"/>
  <c r="BU183" i="1"/>
  <c r="BT183" i="1"/>
  <c r="BV183" i="1" s="1"/>
  <c r="BU182" i="1"/>
  <c r="BV182" i="1" s="1"/>
  <c r="BT182" i="1"/>
  <c r="BV181" i="1"/>
  <c r="BU181" i="1"/>
  <c r="BT181" i="1"/>
  <c r="BV180" i="1"/>
  <c r="BU180" i="1"/>
  <c r="BT180" i="1"/>
  <c r="BV179" i="1"/>
  <c r="BU179" i="1"/>
  <c r="BT179" i="1"/>
  <c r="BV178" i="1"/>
  <c r="BU178" i="1"/>
  <c r="BT178" i="1"/>
  <c r="BV177" i="1"/>
  <c r="BU177" i="1"/>
  <c r="BT177" i="1"/>
  <c r="BV170" i="1"/>
  <c r="BU170" i="1"/>
  <c r="BT170" i="1"/>
  <c r="BU169" i="1"/>
  <c r="BV169" i="1" s="1"/>
  <c r="BT169" i="1"/>
  <c r="BU168" i="1"/>
  <c r="BV168" i="1" s="1"/>
  <c r="BT168" i="1"/>
  <c r="BV167" i="1"/>
  <c r="BU167" i="1"/>
  <c r="BT167" i="1"/>
  <c r="BV166" i="1"/>
  <c r="BU166" i="1"/>
  <c r="BT166" i="1"/>
  <c r="BU165" i="1"/>
  <c r="BV165" i="1" s="1"/>
  <c r="BT165" i="1"/>
  <c r="BU164" i="1"/>
  <c r="BV164" i="1" s="1"/>
  <c r="BT164" i="1"/>
  <c r="BV163" i="1"/>
  <c r="BU163" i="1"/>
  <c r="BT163" i="1"/>
  <c r="BV162" i="1"/>
  <c r="BU162" i="1"/>
  <c r="BT162" i="1"/>
  <c r="BU161" i="1"/>
  <c r="BV161" i="1" s="1"/>
  <c r="BT161" i="1"/>
  <c r="BU160" i="1"/>
  <c r="BV160" i="1" s="1"/>
  <c r="BT160" i="1"/>
  <c r="BV159" i="1"/>
  <c r="BU159" i="1"/>
  <c r="BT159" i="1"/>
  <c r="BV158" i="1"/>
  <c r="BU158" i="1"/>
  <c r="BT158" i="1"/>
  <c r="BU157" i="1"/>
  <c r="BV157" i="1" s="1"/>
  <c r="BT157" i="1"/>
  <c r="BU156" i="1"/>
  <c r="BV156" i="1" s="1"/>
  <c r="BT156" i="1"/>
  <c r="BV155" i="1"/>
  <c r="BU155" i="1"/>
  <c r="BT155" i="1"/>
  <c r="BV154" i="1"/>
  <c r="BU154" i="1"/>
  <c r="BT154" i="1"/>
  <c r="BU153" i="1"/>
  <c r="BV153" i="1" s="1"/>
  <c r="BT153" i="1"/>
  <c r="BU152" i="1"/>
  <c r="BV152" i="1" s="1"/>
  <c r="BT152" i="1"/>
  <c r="BV151" i="1"/>
  <c r="BU151" i="1"/>
  <c r="BT151" i="1"/>
  <c r="BV150" i="1"/>
  <c r="BU150" i="1"/>
  <c r="BT150" i="1"/>
  <c r="BU149" i="1"/>
  <c r="BV149" i="1" s="1"/>
  <c r="BT149" i="1"/>
  <c r="BU148" i="1"/>
  <c r="BV148" i="1" s="1"/>
  <c r="BT148" i="1"/>
  <c r="BV147" i="1"/>
  <c r="BU147" i="1"/>
  <c r="BT147" i="1"/>
  <c r="BV146" i="1"/>
  <c r="BU146" i="1"/>
  <c r="BT146" i="1"/>
  <c r="BU145" i="1"/>
  <c r="BV145" i="1" s="1"/>
  <c r="BT145" i="1"/>
  <c r="BU144" i="1"/>
  <c r="BV144" i="1" s="1"/>
  <c r="BT144" i="1"/>
  <c r="BV143" i="1"/>
  <c r="BU143" i="1"/>
  <c r="BT143" i="1"/>
  <c r="BV142" i="1"/>
  <c r="BU142" i="1"/>
  <c r="BT142" i="1"/>
  <c r="BU141" i="1"/>
  <c r="BV141" i="1" s="1"/>
  <c r="BT141" i="1"/>
  <c r="BU140" i="1"/>
  <c r="BV140" i="1" s="1"/>
  <c r="BT140" i="1"/>
  <c r="BV139" i="1"/>
  <c r="BU139" i="1"/>
  <c r="BT139" i="1"/>
  <c r="BV138" i="1"/>
  <c r="BU138" i="1"/>
  <c r="BT138" i="1"/>
  <c r="BV137" i="1"/>
  <c r="BU137" i="1"/>
  <c r="BT137" i="1"/>
  <c r="BV136" i="1"/>
  <c r="BU136" i="1"/>
  <c r="BT136" i="1"/>
  <c r="BV135" i="1"/>
  <c r="BU135" i="1"/>
  <c r="BT135" i="1"/>
  <c r="BV134" i="1"/>
  <c r="BX137" i="1" s="1"/>
  <c r="BU134" i="1"/>
  <c r="BT134" i="1"/>
  <c r="BU127" i="1"/>
  <c r="BV127" i="1" s="1"/>
  <c r="BT127" i="1"/>
  <c r="BU126" i="1"/>
  <c r="BV126" i="1" s="1"/>
  <c r="BT126" i="1"/>
  <c r="BV125" i="1"/>
  <c r="BU125" i="1"/>
  <c r="BT125" i="1"/>
  <c r="BV124" i="1"/>
  <c r="BU124" i="1"/>
  <c r="BT124" i="1"/>
  <c r="BU123" i="1"/>
  <c r="BV123" i="1" s="1"/>
  <c r="BT123" i="1"/>
  <c r="BU122" i="1"/>
  <c r="BV122" i="1" s="1"/>
  <c r="BT122" i="1"/>
  <c r="BV121" i="1"/>
  <c r="BU121" i="1"/>
  <c r="BT121" i="1"/>
  <c r="BV120" i="1"/>
  <c r="BU120" i="1"/>
  <c r="BT120" i="1"/>
  <c r="BU119" i="1"/>
  <c r="BV119" i="1" s="1"/>
  <c r="BT119" i="1"/>
  <c r="BU118" i="1"/>
  <c r="BV118" i="1" s="1"/>
  <c r="BT118" i="1"/>
  <c r="BV117" i="1"/>
  <c r="BU117" i="1"/>
  <c r="BT117" i="1"/>
  <c r="BV116" i="1"/>
  <c r="BU116" i="1"/>
  <c r="BT116" i="1"/>
  <c r="BU115" i="1"/>
  <c r="BV115" i="1" s="1"/>
  <c r="BT115" i="1"/>
  <c r="BU114" i="1"/>
  <c r="BV114" i="1" s="1"/>
  <c r="BT114" i="1"/>
  <c r="BV113" i="1"/>
  <c r="BU113" i="1"/>
  <c r="BT113" i="1"/>
  <c r="BV112" i="1"/>
  <c r="BU112" i="1"/>
  <c r="BT112" i="1"/>
  <c r="BU111" i="1"/>
  <c r="BV111" i="1" s="1"/>
  <c r="BT111" i="1"/>
  <c r="BU110" i="1"/>
  <c r="BV110" i="1" s="1"/>
  <c r="BT110" i="1"/>
  <c r="BV109" i="1"/>
  <c r="BU109" i="1"/>
  <c r="BT109" i="1"/>
  <c r="BV108" i="1"/>
  <c r="BU108" i="1"/>
  <c r="BT108" i="1"/>
  <c r="BU107" i="1"/>
  <c r="BV107" i="1" s="1"/>
  <c r="BT107" i="1"/>
  <c r="BU106" i="1"/>
  <c r="BV106" i="1" s="1"/>
  <c r="BT106" i="1"/>
  <c r="BV105" i="1"/>
  <c r="BU105" i="1"/>
  <c r="BT105" i="1"/>
  <c r="BV104" i="1"/>
  <c r="BU104" i="1"/>
  <c r="BT104" i="1"/>
  <c r="BU103" i="1"/>
  <c r="BV103" i="1" s="1"/>
  <c r="BT103" i="1"/>
  <c r="BU102" i="1"/>
  <c r="BV102" i="1" s="1"/>
  <c r="BT102" i="1"/>
  <c r="BV101" i="1"/>
  <c r="BU101" i="1"/>
  <c r="BT101" i="1"/>
  <c r="BV100" i="1"/>
  <c r="BU100" i="1"/>
  <c r="BT100" i="1"/>
  <c r="BU99" i="1"/>
  <c r="BV99" i="1" s="1"/>
  <c r="BT99" i="1"/>
  <c r="BU98" i="1"/>
  <c r="BV98" i="1" s="1"/>
  <c r="BT98" i="1"/>
  <c r="BV97" i="1"/>
  <c r="BU97" i="1"/>
  <c r="BT97" i="1"/>
  <c r="BV96" i="1"/>
  <c r="BU96" i="1"/>
  <c r="BT96" i="1"/>
  <c r="BU95" i="1"/>
  <c r="BV95" i="1" s="1"/>
  <c r="BT95" i="1"/>
  <c r="BU94" i="1"/>
  <c r="BV94" i="1" s="1"/>
  <c r="BT94" i="1"/>
  <c r="BU93" i="1"/>
  <c r="BV93" i="1" s="1"/>
  <c r="BT93" i="1"/>
  <c r="BU92" i="1"/>
  <c r="BV92" i="1" s="1"/>
  <c r="BT92" i="1"/>
  <c r="BU91" i="1"/>
  <c r="BV91" i="1" s="1"/>
  <c r="BT91" i="1"/>
  <c r="BU84" i="1"/>
  <c r="BV84" i="1" s="1"/>
  <c r="BT84" i="1"/>
  <c r="BV83" i="1"/>
  <c r="BU83" i="1"/>
  <c r="BT83" i="1"/>
  <c r="BV82" i="1"/>
  <c r="BU82" i="1"/>
  <c r="BT82" i="1"/>
  <c r="BU81" i="1"/>
  <c r="BV81" i="1" s="1"/>
  <c r="BT81" i="1"/>
  <c r="BU80" i="1"/>
  <c r="BV80" i="1" s="1"/>
  <c r="BT80" i="1"/>
  <c r="BV79" i="1"/>
  <c r="BU79" i="1"/>
  <c r="BT79" i="1"/>
  <c r="BV78" i="1"/>
  <c r="BU78" i="1"/>
  <c r="BT78" i="1"/>
  <c r="BU77" i="1"/>
  <c r="BV77" i="1" s="1"/>
  <c r="BT77" i="1"/>
  <c r="BU76" i="1"/>
  <c r="BV76" i="1" s="1"/>
  <c r="BT76" i="1"/>
  <c r="BV75" i="1"/>
  <c r="BU75" i="1"/>
  <c r="BT75" i="1"/>
  <c r="BV74" i="1"/>
  <c r="BU74" i="1"/>
  <c r="BT74" i="1"/>
  <c r="BU73" i="1"/>
  <c r="BV73" i="1" s="1"/>
  <c r="BT73" i="1"/>
  <c r="BU72" i="1"/>
  <c r="BV72" i="1" s="1"/>
  <c r="BT72" i="1"/>
  <c r="BV71" i="1"/>
  <c r="BU71" i="1"/>
  <c r="BT71" i="1"/>
  <c r="BV70" i="1"/>
  <c r="BU70" i="1"/>
  <c r="BT70" i="1"/>
  <c r="BU69" i="1"/>
  <c r="BV69" i="1" s="1"/>
  <c r="BT69" i="1"/>
  <c r="BU68" i="1"/>
  <c r="BV68" i="1" s="1"/>
  <c r="BT68" i="1"/>
  <c r="BV67" i="1"/>
  <c r="BU67" i="1"/>
  <c r="BT67" i="1"/>
  <c r="BV66" i="1"/>
  <c r="BU66" i="1"/>
  <c r="BT66" i="1"/>
  <c r="BU65" i="1"/>
  <c r="BV65" i="1" s="1"/>
  <c r="BT65" i="1"/>
  <c r="BU64" i="1"/>
  <c r="BV64" i="1" s="1"/>
  <c r="BT64" i="1"/>
  <c r="BV63" i="1"/>
  <c r="BU63" i="1"/>
  <c r="BT63" i="1"/>
  <c r="BV62" i="1"/>
  <c r="BU62" i="1"/>
  <c r="BT62" i="1"/>
  <c r="BU61" i="1"/>
  <c r="BV61" i="1" s="1"/>
  <c r="BT61" i="1"/>
  <c r="BU60" i="1"/>
  <c r="BV60" i="1" s="1"/>
  <c r="BT60" i="1"/>
  <c r="BV59" i="1"/>
  <c r="BU59" i="1"/>
  <c r="BT59" i="1"/>
  <c r="BV58" i="1"/>
  <c r="BU58" i="1"/>
  <c r="BT58" i="1"/>
  <c r="BU57" i="1"/>
  <c r="BV57" i="1" s="1"/>
  <c r="BT57" i="1"/>
  <c r="BU56" i="1"/>
  <c r="BV56" i="1" s="1"/>
  <c r="BT56" i="1"/>
  <c r="BV55" i="1"/>
  <c r="BU55" i="1"/>
  <c r="BT55" i="1"/>
  <c r="BV54" i="1"/>
  <c r="BU54" i="1"/>
  <c r="BT54" i="1"/>
  <c r="BU53" i="1"/>
  <c r="BV53" i="1" s="1"/>
  <c r="BT53" i="1"/>
  <c r="BU52" i="1"/>
  <c r="BV52" i="1" s="1"/>
  <c r="BT52" i="1"/>
  <c r="BU51" i="1"/>
  <c r="BV51" i="1" s="1"/>
  <c r="BT51" i="1"/>
  <c r="BU50" i="1"/>
  <c r="BV50" i="1" s="1"/>
  <c r="BT50" i="1"/>
  <c r="BU49" i="1"/>
  <c r="BV49" i="1" s="1"/>
  <c r="BT49" i="1"/>
  <c r="BU48" i="1"/>
  <c r="BV48" i="1" s="1"/>
  <c r="BT48" i="1"/>
  <c r="ES41" i="1"/>
  <c r="ER41" i="1"/>
  <c r="EQ41" i="1"/>
  <c r="ET41" i="1" s="1"/>
  <c r="EO41" i="1"/>
  <c r="EN41" i="1"/>
  <c r="EM41" i="1"/>
  <c r="EP41" i="1" s="1"/>
  <c r="EK41" i="1"/>
  <c r="EJ41" i="1"/>
  <c r="EI41" i="1"/>
  <c r="EL41" i="1" s="1"/>
  <c r="EG41" i="1"/>
  <c r="EF41" i="1"/>
  <c r="EE41" i="1"/>
  <c r="EH41" i="1" s="1"/>
  <c r="EC41" i="1"/>
  <c r="EB41" i="1"/>
  <c r="EA41" i="1"/>
  <c r="ED41" i="1" s="1"/>
  <c r="DY41" i="1"/>
  <c r="DX41" i="1"/>
  <c r="DW41" i="1"/>
  <c r="DZ41" i="1" s="1"/>
  <c r="DU41" i="1"/>
  <c r="DT41" i="1"/>
  <c r="DS41" i="1"/>
  <c r="DV41" i="1" s="1"/>
  <c r="DQ41" i="1"/>
  <c r="DP41" i="1"/>
  <c r="DO41" i="1"/>
  <c r="DR41" i="1" s="1"/>
  <c r="DM41" i="1"/>
  <c r="DL41" i="1"/>
  <c r="DK41" i="1"/>
  <c r="DN41" i="1" s="1"/>
  <c r="DI41" i="1"/>
  <c r="DH41" i="1"/>
  <c r="DG41" i="1"/>
  <c r="DJ41" i="1" s="1"/>
  <c r="DE41" i="1"/>
  <c r="DD41" i="1"/>
  <c r="DC41" i="1"/>
  <c r="DF41" i="1" s="1"/>
  <c r="DA41" i="1"/>
  <c r="CZ41" i="1"/>
  <c r="CY41" i="1"/>
  <c r="DB41" i="1" s="1"/>
  <c r="CW41" i="1"/>
  <c r="CV41" i="1"/>
  <c r="CU41" i="1"/>
  <c r="CX41" i="1" s="1"/>
  <c r="CS41" i="1"/>
  <c r="CR41" i="1"/>
  <c r="CQ41" i="1"/>
  <c r="CT41" i="1" s="1"/>
  <c r="CO41" i="1"/>
  <c r="CN41" i="1"/>
  <c r="CM41" i="1"/>
  <c r="CP41" i="1" s="1"/>
  <c r="CK41" i="1"/>
  <c r="CJ41" i="1"/>
  <c r="CI41" i="1"/>
  <c r="CL41" i="1" s="1"/>
  <c r="CG41" i="1"/>
  <c r="CF41" i="1"/>
  <c r="CE41" i="1"/>
  <c r="CH41" i="1" s="1"/>
  <c r="CC41" i="1"/>
  <c r="CB41" i="1"/>
  <c r="CA41" i="1"/>
  <c r="BU41" i="1"/>
  <c r="BV41" i="1" s="1"/>
  <c r="BT41" i="1"/>
  <c r="ES40" i="1"/>
  <c r="ER40" i="1"/>
  <c r="EQ40" i="1"/>
  <c r="ET40" i="1" s="1"/>
  <c r="EO40" i="1"/>
  <c r="EN40" i="1"/>
  <c r="EM40" i="1"/>
  <c r="EP40" i="1" s="1"/>
  <c r="EK40" i="1"/>
  <c r="EJ40" i="1"/>
  <c r="EI40" i="1"/>
  <c r="EL40" i="1" s="1"/>
  <c r="EG40" i="1"/>
  <c r="EF40" i="1"/>
  <c r="EE40" i="1"/>
  <c r="EH40" i="1" s="1"/>
  <c r="EC40" i="1"/>
  <c r="EB40" i="1"/>
  <c r="EA40" i="1"/>
  <c r="ED40" i="1" s="1"/>
  <c r="DY40" i="1"/>
  <c r="DX40" i="1"/>
  <c r="DW40" i="1"/>
  <c r="DZ40" i="1" s="1"/>
  <c r="DU40" i="1"/>
  <c r="DT40" i="1"/>
  <c r="DS40" i="1"/>
  <c r="DV40" i="1" s="1"/>
  <c r="DQ40" i="1"/>
  <c r="DP40" i="1"/>
  <c r="DO40" i="1"/>
  <c r="DR40" i="1" s="1"/>
  <c r="DM40" i="1"/>
  <c r="DL40" i="1"/>
  <c r="DK40" i="1"/>
  <c r="DN40" i="1" s="1"/>
  <c r="DI40" i="1"/>
  <c r="DH40" i="1"/>
  <c r="DG40" i="1"/>
  <c r="DE40" i="1"/>
  <c r="DD40" i="1"/>
  <c r="DC40" i="1"/>
  <c r="DA40" i="1"/>
  <c r="CZ40" i="1"/>
  <c r="CY40" i="1"/>
  <c r="DB40" i="1" s="1"/>
  <c r="CW40" i="1"/>
  <c r="CV40" i="1"/>
  <c r="CU40" i="1"/>
  <c r="CS40" i="1"/>
  <c r="CR40" i="1"/>
  <c r="CQ40" i="1"/>
  <c r="CO40" i="1"/>
  <c r="CN40" i="1"/>
  <c r="CM40" i="1"/>
  <c r="CK40" i="1"/>
  <c r="CJ40" i="1"/>
  <c r="CI40" i="1"/>
  <c r="CL40" i="1" s="1"/>
  <c r="CG40" i="1"/>
  <c r="CF40" i="1"/>
  <c r="CE40" i="1"/>
  <c r="CC40" i="1"/>
  <c r="CB40" i="1"/>
  <c r="CA40" i="1"/>
  <c r="BU40" i="1"/>
  <c r="BT40" i="1"/>
  <c r="ES39" i="1"/>
  <c r="ER39" i="1"/>
  <c r="ET39" i="1" s="1"/>
  <c r="EQ39" i="1"/>
  <c r="EO39" i="1"/>
  <c r="EN39" i="1"/>
  <c r="EP39" i="1" s="1"/>
  <c r="EM39" i="1"/>
  <c r="EK39" i="1"/>
  <c r="EJ39" i="1"/>
  <c r="EL39" i="1" s="1"/>
  <c r="EI39" i="1"/>
  <c r="EG39" i="1"/>
  <c r="EF39" i="1"/>
  <c r="EH39" i="1" s="1"/>
  <c r="EE39" i="1"/>
  <c r="EC39" i="1"/>
  <c r="EB39" i="1"/>
  <c r="ED39" i="1" s="1"/>
  <c r="EA39" i="1"/>
  <c r="DY39" i="1"/>
  <c r="DX39" i="1"/>
  <c r="DZ39" i="1" s="1"/>
  <c r="DW39" i="1"/>
  <c r="DU39" i="1"/>
  <c r="DT39" i="1"/>
  <c r="DV39" i="1" s="1"/>
  <c r="DS39" i="1"/>
  <c r="DQ39" i="1"/>
  <c r="DP39" i="1"/>
  <c r="DR39" i="1" s="1"/>
  <c r="DO39" i="1"/>
  <c r="DM39" i="1"/>
  <c r="DL39" i="1"/>
  <c r="DN39" i="1" s="1"/>
  <c r="DK39" i="1"/>
  <c r="DI39" i="1"/>
  <c r="DH39" i="1"/>
  <c r="DJ39" i="1" s="1"/>
  <c r="DG39" i="1"/>
  <c r="DE39" i="1"/>
  <c r="DD39" i="1"/>
  <c r="DF39" i="1" s="1"/>
  <c r="DC39" i="1"/>
  <c r="DA39" i="1"/>
  <c r="CZ39" i="1"/>
  <c r="DB39" i="1" s="1"/>
  <c r="CY39" i="1"/>
  <c r="CW39" i="1"/>
  <c r="CV39" i="1"/>
  <c r="CX39" i="1" s="1"/>
  <c r="CU39" i="1"/>
  <c r="CS39" i="1"/>
  <c r="CR39" i="1"/>
  <c r="CT39" i="1" s="1"/>
  <c r="CQ39" i="1"/>
  <c r="CO39" i="1"/>
  <c r="CN39" i="1"/>
  <c r="CP39" i="1" s="1"/>
  <c r="CM39" i="1"/>
  <c r="CK39" i="1"/>
  <c r="CJ39" i="1"/>
  <c r="CL39" i="1" s="1"/>
  <c r="CI39" i="1"/>
  <c r="CG39" i="1"/>
  <c r="CF39" i="1"/>
  <c r="CH39" i="1" s="1"/>
  <c r="CE39" i="1"/>
  <c r="CC39" i="1"/>
  <c r="CB39" i="1"/>
  <c r="CD39" i="1" s="1"/>
  <c r="CA39" i="1"/>
  <c r="BU39" i="1"/>
  <c r="BT39" i="1"/>
  <c r="ES38" i="1"/>
  <c r="ER38" i="1"/>
  <c r="EQ38" i="1"/>
  <c r="ET38" i="1" s="1"/>
  <c r="EO38" i="1"/>
  <c r="EN38" i="1"/>
  <c r="EM38" i="1"/>
  <c r="EP38" i="1" s="1"/>
  <c r="EK38" i="1"/>
  <c r="EJ38" i="1"/>
  <c r="EI38" i="1"/>
  <c r="EL38" i="1" s="1"/>
  <c r="EG38" i="1"/>
  <c r="EF38" i="1"/>
  <c r="EE38" i="1"/>
  <c r="EH38" i="1" s="1"/>
  <c r="EC38" i="1"/>
  <c r="EB38" i="1"/>
  <c r="EA38" i="1"/>
  <c r="ED38" i="1" s="1"/>
  <c r="DY38" i="1"/>
  <c r="DX38" i="1"/>
  <c r="DW38" i="1"/>
  <c r="DZ38" i="1" s="1"/>
  <c r="DU38" i="1"/>
  <c r="DT38" i="1"/>
  <c r="DS38" i="1"/>
  <c r="DV38" i="1" s="1"/>
  <c r="DQ38" i="1"/>
  <c r="DP38" i="1"/>
  <c r="DO38" i="1"/>
  <c r="DR38" i="1" s="1"/>
  <c r="DM38" i="1"/>
  <c r="DL38" i="1"/>
  <c r="DK38" i="1"/>
  <c r="DN38" i="1" s="1"/>
  <c r="DI38" i="1"/>
  <c r="DH38" i="1"/>
  <c r="DG38" i="1"/>
  <c r="DJ38" i="1" s="1"/>
  <c r="DE38" i="1"/>
  <c r="DD38" i="1"/>
  <c r="DC38" i="1"/>
  <c r="DF38" i="1" s="1"/>
  <c r="DA38" i="1"/>
  <c r="CZ38" i="1"/>
  <c r="CY38" i="1"/>
  <c r="DB38" i="1" s="1"/>
  <c r="CW38" i="1"/>
  <c r="CV38" i="1"/>
  <c r="CU38" i="1"/>
  <c r="CX38" i="1" s="1"/>
  <c r="CS38" i="1"/>
  <c r="CR38" i="1"/>
  <c r="CQ38" i="1"/>
  <c r="CT38" i="1" s="1"/>
  <c r="CO38" i="1"/>
  <c r="CN38" i="1"/>
  <c r="CM38" i="1"/>
  <c r="CP38" i="1" s="1"/>
  <c r="CK38" i="1"/>
  <c r="CJ38" i="1"/>
  <c r="CI38" i="1"/>
  <c r="CL38" i="1" s="1"/>
  <c r="CG38" i="1"/>
  <c r="CF38" i="1"/>
  <c r="CE38" i="1"/>
  <c r="CH38" i="1" s="1"/>
  <c r="CC38" i="1"/>
  <c r="CB38" i="1"/>
  <c r="CA38" i="1"/>
  <c r="BU38" i="1"/>
  <c r="BV38" i="1" s="1"/>
  <c r="BT38" i="1"/>
  <c r="ET37" i="1"/>
  <c r="ES37" i="1"/>
  <c r="ER37" i="1"/>
  <c r="EQ37" i="1"/>
  <c r="EP37" i="1"/>
  <c r="EO37" i="1"/>
  <c r="EN37" i="1"/>
  <c r="EM37" i="1"/>
  <c r="EL37" i="1"/>
  <c r="EK37" i="1"/>
  <c r="EJ37" i="1"/>
  <c r="EI37" i="1"/>
  <c r="EH37" i="1"/>
  <c r="EG37" i="1"/>
  <c r="EF37" i="1"/>
  <c r="EE37" i="1"/>
  <c r="ED37" i="1"/>
  <c r="EC37" i="1"/>
  <c r="EB37" i="1"/>
  <c r="EA37" i="1"/>
  <c r="DZ37" i="1"/>
  <c r="DY37" i="1"/>
  <c r="DX37" i="1"/>
  <c r="DW37" i="1"/>
  <c r="DV37" i="1"/>
  <c r="DU37" i="1"/>
  <c r="DT37" i="1"/>
  <c r="DS37" i="1"/>
  <c r="DR37" i="1"/>
  <c r="DQ37" i="1"/>
  <c r="DP37" i="1"/>
  <c r="DO37" i="1"/>
  <c r="DN37" i="1"/>
  <c r="DM37" i="1"/>
  <c r="DL37" i="1"/>
  <c r="DK37" i="1"/>
  <c r="DJ37" i="1"/>
  <c r="DI37" i="1"/>
  <c r="DH37" i="1"/>
  <c r="DG37" i="1"/>
  <c r="DF37" i="1"/>
  <c r="DE37" i="1"/>
  <c r="DD37" i="1"/>
  <c r="DC37" i="1"/>
  <c r="DB37" i="1"/>
  <c r="DA37" i="1"/>
  <c r="CZ37" i="1"/>
  <c r="CY37" i="1"/>
  <c r="CX37" i="1"/>
  <c r="CW37" i="1"/>
  <c r="CV37" i="1"/>
  <c r="CU37" i="1"/>
  <c r="CT37" i="1"/>
  <c r="CS37" i="1"/>
  <c r="CR37" i="1"/>
  <c r="CQ37" i="1"/>
  <c r="CP37" i="1"/>
  <c r="CO37" i="1"/>
  <c r="CN37" i="1"/>
  <c r="CM37" i="1"/>
  <c r="CL37" i="1"/>
  <c r="CK37" i="1"/>
  <c r="CJ37" i="1"/>
  <c r="CI37" i="1"/>
  <c r="CH37" i="1"/>
  <c r="CG37" i="1"/>
  <c r="CF37" i="1"/>
  <c r="CE37" i="1"/>
  <c r="CD37" i="1"/>
  <c r="CC37" i="1"/>
  <c r="CB37" i="1"/>
  <c r="CA37" i="1"/>
  <c r="EV37" i="1" s="1"/>
  <c r="EW37" i="1" s="1"/>
  <c r="BV37" i="1"/>
  <c r="BU37" i="1"/>
  <c r="BT37" i="1"/>
  <c r="ES36" i="1"/>
  <c r="ER36" i="1"/>
  <c r="EQ36" i="1"/>
  <c r="EO36" i="1"/>
  <c r="EN36" i="1"/>
  <c r="EM36" i="1"/>
  <c r="EK36" i="1"/>
  <c r="EJ36" i="1"/>
  <c r="EI36" i="1"/>
  <c r="EL36" i="1" s="1"/>
  <c r="EG36" i="1"/>
  <c r="EF36" i="1"/>
  <c r="EE36" i="1"/>
  <c r="EH36" i="1" s="1"/>
  <c r="EC36" i="1"/>
  <c r="EB36" i="1"/>
  <c r="EA36" i="1"/>
  <c r="DY36" i="1"/>
  <c r="DX36" i="1"/>
  <c r="DW36" i="1"/>
  <c r="DU36" i="1"/>
  <c r="DT36" i="1"/>
  <c r="DS36" i="1"/>
  <c r="DV36" i="1" s="1"/>
  <c r="DQ36" i="1"/>
  <c r="DP36" i="1"/>
  <c r="DO36" i="1"/>
  <c r="DR36" i="1" s="1"/>
  <c r="DM36" i="1"/>
  <c r="DL36" i="1"/>
  <c r="DK36" i="1"/>
  <c r="DI36" i="1"/>
  <c r="DH36" i="1"/>
  <c r="DG36" i="1"/>
  <c r="DE36" i="1"/>
  <c r="DD36" i="1"/>
  <c r="DC36" i="1"/>
  <c r="DF36" i="1" s="1"/>
  <c r="DA36" i="1"/>
  <c r="CZ36" i="1"/>
  <c r="CY36" i="1"/>
  <c r="DB36" i="1" s="1"/>
  <c r="CW36" i="1"/>
  <c r="CV36" i="1"/>
  <c r="CU36" i="1"/>
  <c r="CS36" i="1"/>
  <c r="CR36" i="1"/>
  <c r="CQ36" i="1"/>
  <c r="CO36" i="1"/>
  <c r="CN36" i="1"/>
  <c r="CM36" i="1"/>
  <c r="CP36" i="1" s="1"/>
  <c r="CK36" i="1"/>
  <c r="CJ36" i="1"/>
  <c r="CI36" i="1"/>
  <c r="CL36" i="1" s="1"/>
  <c r="CG36" i="1"/>
  <c r="CF36" i="1"/>
  <c r="CE36" i="1"/>
  <c r="CC36" i="1"/>
  <c r="CB36" i="1"/>
  <c r="CA36" i="1"/>
  <c r="BU36" i="1"/>
  <c r="BT36" i="1"/>
  <c r="ES35" i="1"/>
  <c r="ER35" i="1"/>
  <c r="ET35" i="1" s="1"/>
  <c r="EQ35" i="1"/>
  <c r="EO35" i="1"/>
  <c r="EN35" i="1"/>
  <c r="EP35" i="1" s="1"/>
  <c r="EM35" i="1"/>
  <c r="EK35" i="1"/>
  <c r="EJ35" i="1"/>
  <c r="EL35" i="1" s="1"/>
  <c r="EI35" i="1"/>
  <c r="EG35" i="1"/>
  <c r="EF35" i="1"/>
  <c r="EH35" i="1" s="1"/>
  <c r="EE35" i="1"/>
  <c r="EC35" i="1"/>
  <c r="EB35" i="1"/>
  <c r="ED35" i="1" s="1"/>
  <c r="EA35" i="1"/>
  <c r="DY35" i="1"/>
  <c r="DX35" i="1"/>
  <c r="DZ35" i="1" s="1"/>
  <c r="DW35" i="1"/>
  <c r="DU35" i="1"/>
  <c r="DT35" i="1"/>
  <c r="DV35" i="1" s="1"/>
  <c r="DS35" i="1"/>
  <c r="DQ35" i="1"/>
  <c r="DP35" i="1"/>
  <c r="DR35" i="1" s="1"/>
  <c r="DO35" i="1"/>
  <c r="DM35" i="1"/>
  <c r="DL35" i="1"/>
  <c r="DN35" i="1" s="1"/>
  <c r="DK35" i="1"/>
  <c r="DI35" i="1"/>
  <c r="DH35" i="1"/>
  <c r="DJ35" i="1" s="1"/>
  <c r="DG35" i="1"/>
  <c r="DE35" i="1"/>
  <c r="DD35" i="1"/>
  <c r="DF35" i="1" s="1"/>
  <c r="DC35" i="1"/>
  <c r="DA35" i="1"/>
  <c r="CZ35" i="1"/>
  <c r="DB35" i="1" s="1"/>
  <c r="CY35" i="1"/>
  <c r="CW35" i="1"/>
  <c r="CV35" i="1"/>
  <c r="CX35" i="1" s="1"/>
  <c r="CU35" i="1"/>
  <c r="CS35" i="1"/>
  <c r="CR35" i="1"/>
  <c r="CT35" i="1" s="1"/>
  <c r="CQ35" i="1"/>
  <c r="CO35" i="1"/>
  <c r="CN35" i="1"/>
  <c r="CP35" i="1" s="1"/>
  <c r="CM35" i="1"/>
  <c r="CK35" i="1"/>
  <c r="CJ35" i="1"/>
  <c r="CL35" i="1" s="1"/>
  <c r="CI35" i="1"/>
  <c r="CG35" i="1"/>
  <c r="CF35" i="1"/>
  <c r="CH35" i="1" s="1"/>
  <c r="CE35" i="1"/>
  <c r="CC35" i="1"/>
  <c r="CB35" i="1"/>
  <c r="CD35" i="1" s="1"/>
  <c r="CA35" i="1"/>
  <c r="BU35" i="1"/>
  <c r="BT35" i="1"/>
  <c r="BV35" i="1" s="1"/>
  <c r="ES34" i="1"/>
  <c r="ER34" i="1"/>
  <c r="EQ34" i="1"/>
  <c r="ET34" i="1" s="1"/>
  <c r="EO34" i="1"/>
  <c r="EN34" i="1"/>
  <c r="EM34" i="1"/>
  <c r="EP34" i="1" s="1"/>
  <c r="EK34" i="1"/>
  <c r="EJ34" i="1"/>
  <c r="EI34" i="1"/>
  <c r="EL34" i="1" s="1"/>
  <c r="EG34" i="1"/>
  <c r="EF34" i="1"/>
  <c r="EE34" i="1"/>
  <c r="EH34" i="1" s="1"/>
  <c r="EC34" i="1"/>
  <c r="EB34" i="1"/>
  <c r="EA34" i="1"/>
  <c r="ED34" i="1" s="1"/>
  <c r="DY34" i="1"/>
  <c r="DX34" i="1"/>
  <c r="DW34" i="1"/>
  <c r="DZ34" i="1" s="1"/>
  <c r="DU34" i="1"/>
  <c r="DT34" i="1"/>
  <c r="DS34" i="1"/>
  <c r="DV34" i="1" s="1"/>
  <c r="DQ34" i="1"/>
  <c r="DP34" i="1"/>
  <c r="DO34" i="1"/>
  <c r="DR34" i="1" s="1"/>
  <c r="DM34" i="1"/>
  <c r="DL34" i="1"/>
  <c r="DK34" i="1"/>
  <c r="DN34" i="1" s="1"/>
  <c r="DI34" i="1"/>
  <c r="DH34" i="1"/>
  <c r="DG34" i="1"/>
  <c r="DJ34" i="1" s="1"/>
  <c r="DE34" i="1"/>
  <c r="DD34" i="1"/>
  <c r="DC34" i="1"/>
  <c r="DF34" i="1" s="1"/>
  <c r="DA34" i="1"/>
  <c r="CZ34" i="1"/>
  <c r="CY34" i="1"/>
  <c r="DB34" i="1" s="1"/>
  <c r="CW34" i="1"/>
  <c r="CV34" i="1"/>
  <c r="CU34" i="1"/>
  <c r="CX34" i="1" s="1"/>
  <c r="CS34" i="1"/>
  <c r="CR34" i="1"/>
  <c r="CQ34" i="1"/>
  <c r="CT34" i="1" s="1"/>
  <c r="CO34" i="1"/>
  <c r="CN34" i="1"/>
  <c r="CM34" i="1"/>
  <c r="CP34" i="1" s="1"/>
  <c r="CK34" i="1"/>
  <c r="CJ34" i="1"/>
  <c r="CI34" i="1"/>
  <c r="CL34" i="1" s="1"/>
  <c r="CG34" i="1"/>
  <c r="CF34" i="1"/>
  <c r="CE34" i="1"/>
  <c r="CH34" i="1" s="1"/>
  <c r="CC34" i="1"/>
  <c r="CB34" i="1"/>
  <c r="CA34" i="1"/>
  <c r="CD34" i="1" s="1"/>
  <c r="BU34" i="1"/>
  <c r="BV34" i="1" s="1"/>
  <c r="BT34" i="1"/>
  <c r="ES33" i="1"/>
  <c r="ER33" i="1"/>
  <c r="ET33" i="1" s="1"/>
  <c r="EQ33" i="1"/>
  <c r="EO33" i="1"/>
  <c r="EN33" i="1"/>
  <c r="EP33" i="1" s="1"/>
  <c r="EM33" i="1"/>
  <c r="EK33" i="1"/>
  <c r="EJ33" i="1"/>
  <c r="EL33" i="1" s="1"/>
  <c r="EI33" i="1"/>
  <c r="EG33" i="1"/>
  <c r="EF33" i="1"/>
  <c r="EH33" i="1" s="1"/>
  <c r="EE33" i="1"/>
  <c r="EC33" i="1"/>
  <c r="EB33" i="1"/>
  <c r="EA33" i="1"/>
  <c r="DY33" i="1"/>
  <c r="DX33" i="1"/>
  <c r="DW33" i="1"/>
  <c r="DZ33" i="1" s="1"/>
  <c r="DU33" i="1"/>
  <c r="DT33" i="1"/>
  <c r="DS33" i="1"/>
  <c r="DV33" i="1" s="1"/>
  <c r="DQ33" i="1"/>
  <c r="DP33" i="1"/>
  <c r="DO33" i="1"/>
  <c r="DM33" i="1"/>
  <c r="DL33" i="1"/>
  <c r="DK33" i="1"/>
  <c r="DI33" i="1"/>
  <c r="DH33" i="1"/>
  <c r="DG33" i="1"/>
  <c r="DJ33" i="1" s="1"/>
  <c r="DE33" i="1"/>
  <c r="DD33" i="1"/>
  <c r="DC33" i="1"/>
  <c r="DF33" i="1" s="1"/>
  <c r="DA33" i="1"/>
  <c r="CZ33" i="1"/>
  <c r="CY33" i="1"/>
  <c r="CW33" i="1"/>
  <c r="CV33" i="1"/>
  <c r="CU33" i="1"/>
  <c r="CS33" i="1"/>
  <c r="CR33" i="1"/>
  <c r="CQ33" i="1"/>
  <c r="CT33" i="1" s="1"/>
  <c r="CO33" i="1"/>
  <c r="CN33" i="1"/>
  <c r="CM33" i="1"/>
  <c r="CP33" i="1" s="1"/>
  <c r="CK33" i="1"/>
  <c r="CJ33" i="1"/>
  <c r="CI33" i="1"/>
  <c r="CG33" i="1"/>
  <c r="CF33" i="1"/>
  <c r="CE33" i="1"/>
  <c r="CC33" i="1"/>
  <c r="CB33" i="1"/>
  <c r="CA33" i="1"/>
  <c r="BU33" i="1"/>
  <c r="BT33" i="1"/>
  <c r="BV33" i="1" s="1"/>
  <c r="ES32" i="1"/>
  <c r="ER32" i="1"/>
  <c r="EQ32" i="1"/>
  <c r="EO32" i="1"/>
  <c r="EN32" i="1"/>
  <c r="EM32" i="1"/>
  <c r="EP32" i="1" s="1"/>
  <c r="EK32" i="1"/>
  <c r="EJ32" i="1"/>
  <c r="EI32" i="1"/>
  <c r="EL32" i="1" s="1"/>
  <c r="EG32" i="1"/>
  <c r="EF32" i="1"/>
  <c r="EE32" i="1"/>
  <c r="EC32" i="1"/>
  <c r="EB32" i="1"/>
  <c r="EA32" i="1"/>
  <c r="DY32" i="1"/>
  <c r="DX32" i="1"/>
  <c r="DW32" i="1"/>
  <c r="DZ32" i="1" s="1"/>
  <c r="DU32" i="1"/>
  <c r="DT32" i="1"/>
  <c r="DS32" i="1"/>
  <c r="DV32" i="1" s="1"/>
  <c r="DQ32" i="1"/>
  <c r="DP32" i="1"/>
  <c r="DO32" i="1"/>
  <c r="DM32" i="1"/>
  <c r="DL32" i="1"/>
  <c r="DK32" i="1"/>
  <c r="DI32" i="1"/>
  <c r="DH32" i="1"/>
  <c r="DG32" i="1"/>
  <c r="DJ32" i="1" s="1"/>
  <c r="DE32" i="1"/>
  <c r="DD32" i="1"/>
  <c r="DC32" i="1"/>
  <c r="DF32" i="1" s="1"/>
  <c r="DA32" i="1"/>
  <c r="CZ32" i="1"/>
  <c r="CY32" i="1"/>
  <c r="CW32" i="1"/>
  <c r="CV32" i="1"/>
  <c r="CU32" i="1"/>
  <c r="CS32" i="1"/>
  <c r="CR32" i="1"/>
  <c r="CQ32" i="1"/>
  <c r="CT32" i="1" s="1"/>
  <c r="CO32" i="1"/>
  <c r="CN32" i="1"/>
  <c r="CM32" i="1"/>
  <c r="CP32" i="1" s="1"/>
  <c r="CK32" i="1"/>
  <c r="CJ32" i="1"/>
  <c r="CI32" i="1"/>
  <c r="CG32" i="1"/>
  <c r="CF32" i="1"/>
  <c r="CE32" i="1"/>
  <c r="CC32" i="1"/>
  <c r="CB32" i="1"/>
  <c r="CA32" i="1"/>
  <c r="BU32" i="1"/>
  <c r="BV32" i="1" s="1"/>
  <c r="BT32" i="1"/>
  <c r="ET31" i="1"/>
  <c r="ES31" i="1"/>
  <c r="ER31" i="1"/>
  <c r="EQ31" i="1"/>
  <c r="EP31" i="1"/>
  <c r="EO31" i="1"/>
  <c r="EN31" i="1"/>
  <c r="EM31" i="1"/>
  <c r="EL31" i="1"/>
  <c r="EK31" i="1"/>
  <c r="EJ31" i="1"/>
  <c r="EI31" i="1"/>
  <c r="EH31" i="1"/>
  <c r="EG31" i="1"/>
  <c r="EF31" i="1"/>
  <c r="EE31" i="1"/>
  <c r="ED31" i="1"/>
  <c r="EC31" i="1"/>
  <c r="EB31" i="1"/>
  <c r="EA31" i="1"/>
  <c r="DZ31" i="1"/>
  <c r="DY31" i="1"/>
  <c r="DX31" i="1"/>
  <c r="DW31" i="1"/>
  <c r="DV31" i="1"/>
  <c r="DU31" i="1"/>
  <c r="DT31" i="1"/>
  <c r="DS31" i="1"/>
  <c r="DR31" i="1"/>
  <c r="DQ31" i="1"/>
  <c r="DP31" i="1"/>
  <c r="DO31" i="1"/>
  <c r="DN31" i="1"/>
  <c r="DM31" i="1"/>
  <c r="DL31" i="1"/>
  <c r="DK31" i="1"/>
  <c r="DJ31" i="1"/>
  <c r="DI31" i="1"/>
  <c r="DH31" i="1"/>
  <c r="DG31" i="1"/>
  <c r="DF31" i="1"/>
  <c r="DE31" i="1"/>
  <c r="DD31" i="1"/>
  <c r="DC31" i="1"/>
  <c r="DB31" i="1"/>
  <c r="DA31" i="1"/>
  <c r="CZ31" i="1"/>
  <c r="CY31" i="1"/>
  <c r="CX31" i="1"/>
  <c r="CW31" i="1"/>
  <c r="CV31" i="1"/>
  <c r="CU31" i="1"/>
  <c r="CT31" i="1"/>
  <c r="CS31" i="1"/>
  <c r="CR31" i="1"/>
  <c r="CQ31" i="1"/>
  <c r="CP31" i="1"/>
  <c r="CO31" i="1"/>
  <c r="CN31" i="1"/>
  <c r="CM31" i="1"/>
  <c r="CL31" i="1"/>
  <c r="CK31" i="1"/>
  <c r="CJ31" i="1"/>
  <c r="CI31" i="1"/>
  <c r="CH31" i="1"/>
  <c r="CG31" i="1"/>
  <c r="CF31" i="1"/>
  <c r="CE31" i="1"/>
  <c r="CD31" i="1"/>
  <c r="CC31" i="1"/>
  <c r="CB31" i="1"/>
  <c r="CA31" i="1"/>
  <c r="BV31" i="1"/>
  <c r="BU31" i="1"/>
  <c r="BT31" i="1"/>
  <c r="ET30" i="1"/>
  <c r="ES30" i="1"/>
  <c r="ER30" i="1"/>
  <c r="EQ30" i="1"/>
  <c r="EP30" i="1"/>
  <c r="EO30" i="1"/>
  <c r="EN30" i="1"/>
  <c r="EM30" i="1"/>
  <c r="EL30" i="1"/>
  <c r="EK30" i="1"/>
  <c r="EJ30" i="1"/>
  <c r="EI30" i="1"/>
  <c r="EH30" i="1"/>
  <c r="EG30" i="1"/>
  <c r="EF30" i="1"/>
  <c r="EE30" i="1"/>
  <c r="ED30" i="1"/>
  <c r="EC30" i="1"/>
  <c r="EB30" i="1"/>
  <c r="EA30" i="1"/>
  <c r="DZ30" i="1"/>
  <c r="DY30" i="1"/>
  <c r="DX30" i="1"/>
  <c r="DW30" i="1"/>
  <c r="DV30" i="1"/>
  <c r="DU30" i="1"/>
  <c r="DT30" i="1"/>
  <c r="DS30" i="1"/>
  <c r="DR30" i="1"/>
  <c r="DQ30" i="1"/>
  <c r="DP30" i="1"/>
  <c r="DO30" i="1"/>
  <c r="DN30" i="1"/>
  <c r="DM30" i="1"/>
  <c r="DL30" i="1"/>
  <c r="DK30" i="1"/>
  <c r="DJ30" i="1"/>
  <c r="DI30" i="1"/>
  <c r="DH30" i="1"/>
  <c r="DG30" i="1"/>
  <c r="DF30" i="1"/>
  <c r="DE30" i="1"/>
  <c r="DD30" i="1"/>
  <c r="DC30" i="1"/>
  <c r="DB30" i="1"/>
  <c r="DA30" i="1"/>
  <c r="CZ30" i="1"/>
  <c r="CY30" i="1"/>
  <c r="CX30" i="1"/>
  <c r="CW30" i="1"/>
  <c r="CV30" i="1"/>
  <c r="CU30" i="1"/>
  <c r="CT30" i="1"/>
  <c r="CS30" i="1"/>
  <c r="CR30" i="1"/>
  <c r="CQ30" i="1"/>
  <c r="CP30" i="1"/>
  <c r="CO30" i="1"/>
  <c r="CN30" i="1"/>
  <c r="CM30" i="1"/>
  <c r="CL30" i="1"/>
  <c r="CK30" i="1"/>
  <c r="CJ30" i="1"/>
  <c r="CI30" i="1"/>
  <c r="CH30" i="1"/>
  <c r="CG30" i="1"/>
  <c r="CF30" i="1"/>
  <c r="CE30" i="1"/>
  <c r="CD30" i="1"/>
  <c r="CC30" i="1"/>
  <c r="CB30" i="1"/>
  <c r="CA30" i="1"/>
  <c r="BV30" i="1"/>
  <c r="BU30" i="1"/>
  <c r="BT30" i="1"/>
  <c r="ES29" i="1"/>
  <c r="ER29" i="1"/>
  <c r="EQ29" i="1"/>
  <c r="ET29" i="1" s="1"/>
  <c r="EO29" i="1"/>
  <c r="EN29" i="1"/>
  <c r="EM29" i="1"/>
  <c r="EP29" i="1" s="1"/>
  <c r="EK29" i="1"/>
  <c r="EJ29" i="1"/>
  <c r="EI29" i="1"/>
  <c r="EL29" i="1" s="1"/>
  <c r="EG29" i="1"/>
  <c r="EF29" i="1"/>
  <c r="EE29" i="1"/>
  <c r="EH29" i="1" s="1"/>
  <c r="EC29" i="1"/>
  <c r="EB29" i="1"/>
  <c r="EA29" i="1"/>
  <c r="ED29" i="1" s="1"/>
  <c r="DY29" i="1"/>
  <c r="DX29" i="1"/>
  <c r="DW29" i="1"/>
  <c r="DZ29" i="1" s="1"/>
  <c r="DU29" i="1"/>
  <c r="DT29" i="1"/>
  <c r="DS29" i="1"/>
  <c r="DV29" i="1" s="1"/>
  <c r="DQ29" i="1"/>
  <c r="DP29" i="1"/>
  <c r="DO29" i="1"/>
  <c r="DR29" i="1" s="1"/>
  <c r="DM29" i="1"/>
  <c r="DL29" i="1"/>
  <c r="DK29" i="1"/>
  <c r="DN29" i="1" s="1"/>
  <c r="DI29" i="1"/>
  <c r="DH29" i="1"/>
  <c r="DG29" i="1"/>
  <c r="DJ29" i="1" s="1"/>
  <c r="DE29" i="1"/>
  <c r="DD29" i="1"/>
  <c r="DC29" i="1"/>
  <c r="DF29" i="1" s="1"/>
  <c r="DA29" i="1"/>
  <c r="CZ29" i="1"/>
  <c r="CY29" i="1"/>
  <c r="DB29" i="1" s="1"/>
  <c r="CW29" i="1"/>
  <c r="CV29" i="1"/>
  <c r="CU29" i="1"/>
  <c r="CX29" i="1" s="1"/>
  <c r="CS29" i="1"/>
  <c r="CR29" i="1"/>
  <c r="CQ29" i="1"/>
  <c r="CT29" i="1" s="1"/>
  <c r="CO29" i="1"/>
  <c r="CN29" i="1"/>
  <c r="CM29" i="1"/>
  <c r="CP29" i="1" s="1"/>
  <c r="CK29" i="1"/>
  <c r="CJ29" i="1"/>
  <c r="CI29" i="1"/>
  <c r="CL29" i="1" s="1"/>
  <c r="CG29" i="1"/>
  <c r="CF29" i="1"/>
  <c r="CE29" i="1"/>
  <c r="CH29" i="1" s="1"/>
  <c r="CC29" i="1"/>
  <c r="CB29" i="1"/>
  <c r="CA29" i="1"/>
  <c r="CD29" i="1" s="1"/>
  <c r="BU29" i="1"/>
  <c r="BT29" i="1"/>
  <c r="BV29" i="1" s="1"/>
  <c r="ES28" i="1"/>
  <c r="ER28" i="1"/>
  <c r="EQ28" i="1"/>
  <c r="ET28" i="1" s="1"/>
  <c r="EO28" i="1"/>
  <c r="EN28" i="1"/>
  <c r="EM28" i="1"/>
  <c r="EP28" i="1" s="1"/>
  <c r="EK28" i="1"/>
  <c r="EJ28" i="1"/>
  <c r="EI28" i="1"/>
  <c r="EG28" i="1"/>
  <c r="EF28" i="1"/>
  <c r="EE28" i="1"/>
  <c r="EC28" i="1"/>
  <c r="EB28" i="1"/>
  <c r="EA28" i="1"/>
  <c r="ED28" i="1" s="1"/>
  <c r="DY28" i="1"/>
  <c r="DX28" i="1"/>
  <c r="DW28" i="1"/>
  <c r="DZ28" i="1" s="1"/>
  <c r="DU28" i="1"/>
  <c r="DT28" i="1"/>
  <c r="DS28" i="1"/>
  <c r="DQ28" i="1"/>
  <c r="DP28" i="1"/>
  <c r="DO28" i="1"/>
  <c r="DM28" i="1"/>
  <c r="DL28" i="1"/>
  <c r="DK28" i="1"/>
  <c r="DN28" i="1" s="1"/>
  <c r="DI28" i="1"/>
  <c r="DH28" i="1"/>
  <c r="DG28" i="1"/>
  <c r="DJ28" i="1" s="1"/>
  <c r="DF28" i="1"/>
  <c r="DE28" i="1"/>
  <c r="DD28" i="1"/>
  <c r="DC28" i="1"/>
  <c r="DB28" i="1"/>
  <c r="DA28" i="1"/>
  <c r="CZ28" i="1"/>
  <c r="CY28" i="1"/>
  <c r="CX28" i="1"/>
  <c r="CW28" i="1"/>
  <c r="CV28" i="1"/>
  <c r="CU28" i="1"/>
  <c r="CT28" i="1"/>
  <c r="CS28" i="1"/>
  <c r="CR28" i="1"/>
  <c r="CQ28" i="1"/>
  <c r="CP28" i="1"/>
  <c r="CO28" i="1"/>
  <c r="CN28" i="1"/>
  <c r="CM28" i="1"/>
  <c r="CL28" i="1"/>
  <c r="CK28" i="1"/>
  <c r="CJ28" i="1"/>
  <c r="CI28" i="1"/>
  <c r="CH28" i="1"/>
  <c r="CG28" i="1"/>
  <c r="CF28" i="1"/>
  <c r="CE28" i="1"/>
  <c r="CD28" i="1"/>
  <c r="CC28" i="1"/>
  <c r="CB28" i="1"/>
  <c r="CA28" i="1"/>
  <c r="BV28" i="1"/>
  <c r="BU28" i="1"/>
  <c r="BT28" i="1"/>
  <c r="ES27" i="1"/>
  <c r="ER27" i="1"/>
  <c r="EQ27" i="1"/>
  <c r="ET27" i="1" s="1"/>
  <c r="EO27" i="1"/>
  <c r="EN27" i="1"/>
  <c r="EM27" i="1"/>
  <c r="EP27" i="1" s="1"/>
  <c r="EK27" i="1"/>
  <c r="EJ27" i="1"/>
  <c r="EI27" i="1"/>
  <c r="EL27" i="1" s="1"/>
  <c r="EG27" i="1"/>
  <c r="EF27" i="1"/>
  <c r="EE27" i="1"/>
  <c r="EH27" i="1" s="1"/>
  <c r="EC27" i="1"/>
  <c r="EB27" i="1"/>
  <c r="EA27" i="1"/>
  <c r="ED27" i="1" s="1"/>
  <c r="DY27" i="1"/>
  <c r="DX27" i="1"/>
  <c r="DW27" i="1"/>
  <c r="DZ27" i="1" s="1"/>
  <c r="DU27" i="1"/>
  <c r="DT27" i="1"/>
  <c r="DS27" i="1"/>
  <c r="DV27" i="1" s="1"/>
  <c r="DQ27" i="1"/>
  <c r="DP27" i="1"/>
  <c r="DO27" i="1"/>
  <c r="DR27" i="1" s="1"/>
  <c r="DM27" i="1"/>
  <c r="DL27" i="1"/>
  <c r="DK27" i="1"/>
  <c r="DN27" i="1" s="1"/>
  <c r="DI27" i="1"/>
  <c r="DH27" i="1"/>
  <c r="DG27" i="1"/>
  <c r="DJ27" i="1" s="1"/>
  <c r="DE27" i="1"/>
  <c r="DD27" i="1"/>
  <c r="DC27" i="1"/>
  <c r="DF27" i="1" s="1"/>
  <c r="DA27" i="1"/>
  <c r="CZ27" i="1"/>
  <c r="CY27" i="1"/>
  <c r="DB27" i="1" s="1"/>
  <c r="CW27" i="1"/>
  <c r="CV27" i="1"/>
  <c r="CU27" i="1"/>
  <c r="CX27" i="1" s="1"/>
  <c r="CS27" i="1"/>
  <c r="CR27" i="1"/>
  <c r="CQ27" i="1"/>
  <c r="CT27" i="1" s="1"/>
  <c r="CO27" i="1"/>
  <c r="CN27" i="1"/>
  <c r="CM27" i="1"/>
  <c r="CP27" i="1" s="1"/>
  <c r="CK27" i="1"/>
  <c r="CJ27" i="1"/>
  <c r="CI27" i="1"/>
  <c r="CL27" i="1" s="1"/>
  <c r="CG27" i="1"/>
  <c r="CF27" i="1"/>
  <c r="CE27" i="1"/>
  <c r="CH27" i="1" s="1"/>
  <c r="CC27" i="1"/>
  <c r="CB27" i="1"/>
  <c r="CA27" i="1"/>
  <c r="CD27" i="1" s="1"/>
  <c r="BU27" i="1"/>
  <c r="BT27" i="1"/>
  <c r="BV27" i="1" s="1"/>
  <c r="ES26" i="1"/>
  <c r="ER26" i="1"/>
  <c r="EQ26" i="1"/>
  <c r="ET26" i="1" s="1"/>
  <c r="EO26" i="1"/>
  <c r="EN26" i="1"/>
  <c r="EM26" i="1"/>
  <c r="EP26" i="1" s="1"/>
  <c r="EK26" i="1"/>
  <c r="EJ26" i="1"/>
  <c r="EI26" i="1"/>
  <c r="EG26" i="1"/>
  <c r="EF26" i="1"/>
  <c r="EE26" i="1"/>
  <c r="EC26" i="1"/>
  <c r="EB26" i="1"/>
  <c r="EA26" i="1"/>
  <c r="ED26" i="1" s="1"/>
  <c r="DY26" i="1"/>
  <c r="DX26" i="1"/>
  <c r="DW26" i="1"/>
  <c r="DZ26" i="1" s="1"/>
  <c r="DU26" i="1"/>
  <c r="DT26" i="1"/>
  <c r="DS26" i="1"/>
  <c r="DQ26" i="1"/>
  <c r="DP26" i="1"/>
  <c r="DO26" i="1"/>
  <c r="DM26" i="1"/>
  <c r="DL26" i="1"/>
  <c r="DK26" i="1"/>
  <c r="DN26" i="1" s="1"/>
  <c r="DI26" i="1"/>
  <c r="DH26" i="1"/>
  <c r="DG26" i="1"/>
  <c r="DJ26" i="1" s="1"/>
  <c r="DF26" i="1"/>
  <c r="DE26" i="1"/>
  <c r="DD26" i="1"/>
  <c r="DC26" i="1"/>
  <c r="DB26" i="1"/>
  <c r="DA26" i="1"/>
  <c r="CZ26" i="1"/>
  <c r="CY26" i="1"/>
  <c r="CX26" i="1"/>
  <c r="CW26" i="1"/>
  <c r="CV26" i="1"/>
  <c r="CU26" i="1"/>
  <c r="CT26" i="1"/>
  <c r="CS26" i="1"/>
  <c r="CR26" i="1"/>
  <c r="CQ26" i="1"/>
  <c r="CP26" i="1"/>
  <c r="CO26" i="1"/>
  <c r="CN26" i="1"/>
  <c r="CM26" i="1"/>
  <c r="CL26" i="1"/>
  <c r="CK26" i="1"/>
  <c r="CJ26" i="1"/>
  <c r="CI26" i="1"/>
  <c r="CH26" i="1"/>
  <c r="CG26" i="1"/>
  <c r="CF26" i="1"/>
  <c r="CE26" i="1"/>
  <c r="CD26" i="1"/>
  <c r="CC26" i="1"/>
  <c r="CB26" i="1"/>
  <c r="CA26" i="1"/>
  <c r="BV26" i="1"/>
  <c r="BU26" i="1"/>
  <c r="BT26" i="1"/>
  <c r="ES25" i="1"/>
  <c r="ER25" i="1"/>
  <c r="EQ25" i="1"/>
  <c r="ET25" i="1" s="1"/>
  <c r="EO25" i="1"/>
  <c r="EN25" i="1"/>
  <c r="EM25" i="1"/>
  <c r="EP25" i="1" s="1"/>
  <c r="EK25" i="1"/>
  <c r="EJ25" i="1"/>
  <c r="EI25" i="1"/>
  <c r="EL25" i="1" s="1"/>
  <c r="EG25" i="1"/>
  <c r="EF25" i="1"/>
  <c r="EE25" i="1"/>
  <c r="EH25" i="1" s="1"/>
  <c r="EC25" i="1"/>
  <c r="EB25" i="1"/>
  <c r="EA25" i="1"/>
  <c r="ED25" i="1" s="1"/>
  <c r="DY25" i="1"/>
  <c r="DX25" i="1"/>
  <c r="DW25" i="1"/>
  <c r="DZ25" i="1" s="1"/>
  <c r="DU25" i="1"/>
  <c r="DT25" i="1"/>
  <c r="DS25" i="1"/>
  <c r="DV25" i="1" s="1"/>
  <c r="DQ25" i="1"/>
  <c r="DP25" i="1"/>
  <c r="DO25" i="1"/>
  <c r="DR25" i="1" s="1"/>
  <c r="DM25" i="1"/>
  <c r="DL25" i="1"/>
  <c r="DK25" i="1"/>
  <c r="DN25" i="1" s="1"/>
  <c r="DI25" i="1"/>
  <c r="DH25" i="1"/>
  <c r="DG25" i="1"/>
  <c r="DJ25" i="1" s="1"/>
  <c r="DE25" i="1"/>
  <c r="DD25" i="1"/>
  <c r="DC25" i="1"/>
  <c r="DF25" i="1" s="1"/>
  <c r="DA25" i="1"/>
  <c r="CZ25" i="1"/>
  <c r="CY25" i="1"/>
  <c r="DB25" i="1" s="1"/>
  <c r="CW25" i="1"/>
  <c r="CV25" i="1"/>
  <c r="CU25" i="1"/>
  <c r="CX25" i="1" s="1"/>
  <c r="CS25" i="1"/>
  <c r="CR25" i="1"/>
  <c r="CQ25" i="1"/>
  <c r="CT25" i="1" s="1"/>
  <c r="CO25" i="1"/>
  <c r="CN25" i="1"/>
  <c r="CM25" i="1"/>
  <c r="CP25" i="1" s="1"/>
  <c r="CK25" i="1"/>
  <c r="CJ25" i="1"/>
  <c r="CI25" i="1"/>
  <c r="CL25" i="1" s="1"/>
  <c r="CG25" i="1"/>
  <c r="CF25" i="1"/>
  <c r="CE25" i="1"/>
  <c r="CH25" i="1" s="1"/>
  <c r="CC25" i="1"/>
  <c r="CB25" i="1"/>
  <c r="CA25" i="1"/>
  <c r="CD25" i="1" s="1"/>
  <c r="BU25" i="1"/>
  <c r="BT25" i="1"/>
  <c r="BV25" i="1" s="1"/>
  <c r="ES24" i="1"/>
  <c r="ER24" i="1"/>
  <c r="EQ24" i="1"/>
  <c r="EO24" i="1"/>
  <c r="EN24" i="1"/>
  <c r="EM24" i="1"/>
  <c r="EP24" i="1" s="1"/>
  <c r="EK24" i="1"/>
  <c r="EJ24" i="1"/>
  <c r="EI24" i="1"/>
  <c r="EL24" i="1" s="1"/>
  <c r="EG24" i="1"/>
  <c r="EF24" i="1"/>
  <c r="EE24" i="1"/>
  <c r="EH24" i="1" s="1"/>
  <c r="EC24" i="1"/>
  <c r="EB24" i="1"/>
  <c r="EA24" i="1"/>
  <c r="DY24" i="1"/>
  <c r="DX24" i="1"/>
  <c r="DW24" i="1"/>
  <c r="DZ24" i="1" s="1"/>
  <c r="DU24" i="1"/>
  <c r="DT24" i="1"/>
  <c r="DS24" i="1"/>
  <c r="DV24" i="1" s="1"/>
  <c r="DQ24" i="1"/>
  <c r="DP24" i="1"/>
  <c r="DO24" i="1"/>
  <c r="DR24" i="1" s="1"/>
  <c r="DM24" i="1"/>
  <c r="DL24" i="1"/>
  <c r="DK24" i="1"/>
  <c r="DI24" i="1"/>
  <c r="DH24" i="1"/>
  <c r="DG24" i="1"/>
  <c r="DJ24" i="1" s="1"/>
  <c r="DE24" i="1"/>
  <c r="DD24" i="1"/>
  <c r="DC24" i="1"/>
  <c r="DF24" i="1" s="1"/>
  <c r="DA24" i="1"/>
  <c r="CZ24" i="1"/>
  <c r="CY24" i="1"/>
  <c r="DB24" i="1" s="1"/>
  <c r="CW24" i="1"/>
  <c r="CV24" i="1"/>
  <c r="CU24" i="1"/>
  <c r="CS24" i="1"/>
  <c r="CR24" i="1"/>
  <c r="CQ24" i="1"/>
  <c r="CT24" i="1" s="1"/>
  <c r="CO24" i="1"/>
  <c r="CN24" i="1"/>
  <c r="CM24" i="1"/>
  <c r="CP24" i="1" s="1"/>
  <c r="CK24" i="1"/>
  <c r="CJ24" i="1"/>
  <c r="CI24" i="1"/>
  <c r="CL24" i="1" s="1"/>
  <c r="CG24" i="1"/>
  <c r="CF24" i="1"/>
  <c r="CE24" i="1"/>
  <c r="CC24" i="1"/>
  <c r="CB24" i="1"/>
  <c r="CA24" i="1"/>
  <c r="BU24" i="1"/>
  <c r="BT24" i="1"/>
  <c r="ES23" i="1"/>
  <c r="ET23" i="1" s="1"/>
  <c r="ER23" i="1"/>
  <c r="EQ23" i="1"/>
  <c r="EO23" i="1"/>
  <c r="EP23" i="1" s="1"/>
  <c r="EN23" i="1"/>
  <c r="EM23" i="1"/>
  <c r="EK23" i="1"/>
  <c r="EL23" i="1" s="1"/>
  <c r="EJ23" i="1"/>
  <c r="EI23" i="1"/>
  <c r="EG23" i="1"/>
  <c r="EH23" i="1" s="1"/>
  <c r="EF23" i="1"/>
  <c r="EE23" i="1"/>
  <c r="EC23" i="1"/>
  <c r="ED23" i="1" s="1"/>
  <c r="EB23" i="1"/>
  <c r="EA23" i="1"/>
  <c r="DY23" i="1"/>
  <c r="DZ23" i="1" s="1"/>
  <c r="DX23" i="1"/>
  <c r="DW23" i="1"/>
  <c r="DU23" i="1"/>
  <c r="DV23" i="1" s="1"/>
  <c r="DT23" i="1"/>
  <c r="DS23" i="1"/>
  <c r="DQ23" i="1"/>
  <c r="DR23" i="1" s="1"/>
  <c r="DP23" i="1"/>
  <c r="DO23" i="1"/>
  <c r="DM23" i="1"/>
  <c r="DN23" i="1" s="1"/>
  <c r="DL23" i="1"/>
  <c r="DK23" i="1"/>
  <c r="DI23" i="1"/>
  <c r="DJ23" i="1" s="1"/>
  <c r="DH23" i="1"/>
  <c r="DG23" i="1"/>
  <c r="DE23" i="1"/>
  <c r="DF23" i="1" s="1"/>
  <c r="DD23" i="1"/>
  <c r="DC23" i="1"/>
  <c r="DA23" i="1"/>
  <c r="DB23" i="1" s="1"/>
  <c r="CZ23" i="1"/>
  <c r="CY23" i="1"/>
  <c r="CW23" i="1"/>
  <c r="CX23" i="1" s="1"/>
  <c r="CV23" i="1"/>
  <c r="CU23" i="1"/>
  <c r="CS23" i="1"/>
  <c r="CT23" i="1" s="1"/>
  <c r="CR23" i="1"/>
  <c r="CQ23" i="1"/>
  <c r="CO23" i="1"/>
  <c r="CP23" i="1" s="1"/>
  <c r="CN23" i="1"/>
  <c r="CM23" i="1"/>
  <c r="CK23" i="1"/>
  <c r="CL23" i="1" s="1"/>
  <c r="CJ23" i="1"/>
  <c r="CI23" i="1"/>
  <c r="CG23" i="1"/>
  <c r="CH23" i="1" s="1"/>
  <c r="CF23" i="1"/>
  <c r="CE23" i="1"/>
  <c r="CC23" i="1"/>
  <c r="CD23" i="1" s="1"/>
  <c r="CB23" i="1"/>
  <c r="CA23" i="1"/>
  <c r="EV23" i="1" s="1"/>
  <c r="EW23" i="1" s="1"/>
  <c r="BU23" i="1"/>
  <c r="BV23" i="1" s="1"/>
  <c r="BT23" i="1"/>
  <c r="ET22" i="1"/>
  <c r="ES22" i="1"/>
  <c r="ER22" i="1"/>
  <c r="EQ22" i="1"/>
  <c r="EP22" i="1"/>
  <c r="EO22" i="1"/>
  <c r="EN22" i="1"/>
  <c r="EM22" i="1"/>
  <c r="EL22" i="1"/>
  <c r="EK22" i="1"/>
  <c r="EJ22" i="1"/>
  <c r="EI22" i="1"/>
  <c r="EH22" i="1"/>
  <c r="EG22" i="1"/>
  <c r="EF22" i="1"/>
  <c r="EE22" i="1"/>
  <c r="ED22" i="1"/>
  <c r="EC22" i="1"/>
  <c r="EB22" i="1"/>
  <c r="EA22" i="1"/>
  <c r="DZ22" i="1"/>
  <c r="DY22" i="1"/>
  <c r="DX22" i="1"/>
  <c r="DW22" i="1"/>
  <c r="DV22" i="1"/>
  <c r="DU22" i="1"/>
  <c r="DT22" i="1"/>
  <c r="DS22" i="1"/>
  <c r="DR22" i="1"/>
  <c r="DQ22" i="1"/>
  <c r="DP22" i="1"/>
  <c r="DO22" i="1"/>
  <c r="DN22" i="1"/>
  <c r="DM22" i="1"/>
  <c r="DL22" i="1"/>
  <c r="DK22" i="1"/>
  <c r="DJ22" i="1"/>
  <c r="DI22" i="1"/>
  <c r="DH22" i="1"/>
  <c r="DG22" i="1"/>
  <c r="DF22" i="1"/>
  <c r="DE22" i="1"/>
  <c r="DD22" i="1"/>
  <c r="DC22" i="1"/>
  <c r="DB22" i="1"/>
  <c r="DA22" i="1"/>
  <c r="CZ22" i="1"/>
  <c r="CY22" i="1"/>
  <c r="CX22" i="1"/>
  <c r="CW22" i="1"/>
  <c r="CV22" i="1"/>
  <c r="CU22" i="1"/>
  <c r="CT22" i="1"/>
  <c r="CS22" i="1"/>
  <c r="CR22" i="1"/>
  <c r="CQ22" i="1"/>
  <c r="CP22" i="1"/>
  <c r="CO22" i="1"/>
  <c r="CN22" i="1"/>
  <c r="CM22" i="1"/>
  <c r="CL22" i="1"/>
  <c r="CK22" i="1"/>
  <c r="CJ22" i="1"/>
  <c r="CI22" i="1"/>
  <c r="CH22" i="1"/>
  <c r="CG22" i="1"/>
  <c r="CF22" i="1"/>
  <c r="CE22" i="1"/>
  <c r="CD22" i="1"/>
  <c r="CC22" i="1"/>
  <c r="CB22" i="1"/>
  <c r="CA22" i="1"/>
  <c r="BV22" i="1"/>
  <c r="BU22" i="1"/>
  <c r="BT22" i="1"/>
  <c r="ES21" i="1"/>
  <c r="ER21" i="1"/>
  <c r="EQ21" i="1"/>
  <c r="ET21" i="1" s="1"/>
  <c r="EO21" i="1"/>
  <c r="EN21" i="1"/>
  <c r="EM21" i="1"/>
  <c r="EK21" i="1"/>
  <c r="EJ21" i="1"/>
  <c r="EI21" i="1"/>
  <c r="EL21" i="1" s="1"/>
  <c r="EG21" i="1"/>
  <c r="EF21" i="1"/>
  <c r="EE21" i="1"/>
  <c r="EH21" i="1" s="1"/>
  <c r="EC21" i="1"/>
  <c r="EB21" i="1"/>
  <c r="EA21" i="1"/>
  <c r="ED21" i="1" s="1"/>
  <c r="DY21" i="1"/>
  <c r="DX21" i="1"/>
  <c r="DW21" i="1"/>
  <c r="DU21" i="1"/>
  <c r="DT21" i="1"/>
  <c r="DS21" i="1"/>
  <c r="DV21" i="1" s="1"/>
  <c r="DQ21" i="1"/>
  <c r="DP21" i="1"/>
  <c r="DO21" i="1"/>
  <c r="DR21" i="1" s="1"/>
  <c r="DM21" i="1"/>
  <c r="DL21" i="1"/>
  <c r="DK21" i="1"/>
  <c r="DN21" i="1" s="1"/>
  <c r="DI21" i="1"/>
  <c r="DH21" i="1"/>
  <c r="DG21" i="1"/>
  <c r="DE21" i="1"/>
  <c r="DD21" i="1"/>
  <c r="DC21" i="1"/>
  <c r="DF21" i="1" s="1"/>
  <c r="DA21" i="1"/>
  <c r="CZ21" i="1"/>
  <c r="CY21" i="1"/>
  <c r="DB21" i="1" s="1"/>
  <c r="CW21" i="1"/>
  <c r="CV21" i="1"/>
  <c r="CU21" i="1"/>
  <c r="CX21" i="1" s="1"/>
  <c r="CS21" i="1"/>
  <c r="CR21" i="1"/>
  <c r="CQ21" i="1"/>
  <c r="CO21" i="1"/>
  <c r="CN21" i="1"/>
  <c r="CM21" i="1"/>
  <c r="CP21" i="1" s="1"/>
  <c r="CK21" i="1"/>
  <c r="CJ21" i="1"/>
  <c r="CI21" i="1"/>
  <c r="CL21" i="1" s="1"/>
  <c r="CG21" i="1"/>
  <c r="CF21" i="1"/>
  <c r="CE21" i="1"/>
  <c r="CH21" i="1" s="1"/>
  <c r="CC21" i="1"/>
  <c r="CB21" i="1"/>
  <c r="CA21" i="1"/>
  <c r="CD21" i="1" s="1"/>
  <c r="BU21" i="1"/>
  <c r="BT21" i="1"/>
  <c r="BV21" i="1" s="1"/>
  <c r="ES20" i="1"/>
  <c r="ER20" i="1"/>
  <c r="EQ20" i="1"/>
  <c r="ET20" i="1" s="1"/>
  <c r="EO20" i="1"/>
  <c r="EN20" i="1"/>
  <c r="EM20" i="1"/>
  <c r="EP20" i="1" s="1"/>
  <c r="EK20" i="1"/>
  <c r="EJ20" i="1"/>
  <c r="EI20" i="1"/>
  <c r="EG20" i="1"/>
  <c r="EF20" i="1"/>
  <c r="EE20" i="1"/>
  <c r="EC20" i="1"/>
  <c r="EB20" i="1"/>
  <c r="EA20" i="1"/>
  <c r="ED20" i="1" s="1"/>
  <c r="DY20" i="1"/>
  <c r="DX20" i="1"/>
  <c r="DW20" i="1"/>
  <c r="DZ20" i="1" s="1"/>
  <c r="DU20" i="1"/>
  <c r="DT20" i="1"/>
  <c r="DS20" i="1"/>
  <c r="DQ20" i="1"/>
  <c r="DP20" i="1"/>
  <c r="DO20" i="1"/>
  <c r="DM20" i="1"/>
  <c r="DL20" i="1"/>
  <c r="DK20" i="1"/>
  <c r="DN20" i="1" s="1"/>
  <c r="DI20" i="1"/>
  <c r="DH20" i="1"/>
  <c r="DG20" i="1"/>
  <c r="DJ20" i="1" s="1"/>
  <c r="DE20" i="1"/>
  <c r="DD20" i="1"/>
  <c r="DC20" i="1"/>
  <c r="DA20" i="1"/>
  <c r="CZ20" i="1"/>
  <c r="CY20" i="1"/>
  <c r="CW20" i="1"/>
  <c r="CV20" i="1"/>
  <c r="CU20" i="1"/>
  <c r="CX20" i="1" s="1"/>
  <c r="CS20" i="1"/>
  <c r="CR20" i="1"/>
  <c r="CQ20" i="1"/>
  <c r="CT20" i="1" s="1"/>
  <c r="CO20" i="1"/>
  <c r="CN20" i="1"/>
  <c r="CM20" i="1"/>
  <c r="CK20" i="1"/>
  <c r="CJ20" i="1"/>
  <c r="CI20" i="1"/>
  <c r="CG20" i="1"/>
  <c r="CF20" i="1"/>
  <c r="CE20" i="1"/>
  <c r="CH20" i="1" s="1"/>
  <c r="CC20" i="1"/>
  <c r="CB20" i="1"/>
  <c r="CA20" i="1"/>
  <c r="CD20" i="1" s="1"/>
  <c r="BU20" i="1"/>
  <c r="BV20" i="1" s="1"/>
  <c r="BT20" i="1"/>
  <c r="ES19" i="1"/>
  <c r="ET19" i="1" s="1"/>
  <c r="ER19" i="1"/>
  <c r="EQ19" i="1"/>
  <c r="EO19" i="1"/>
  <c r="EP19" i="1" s="1"/>
  <c r="EN19" i="1"/>
  <c r="EM19" i="1"/>
  <c r="EK19" i="1"/>
  <c r="EL19" i="1" s="1"/>
  <c r="EJ19" i="1"/>
  <c r="EI19" i="1"/>
  <c r="EG19" i="1"/>
  <c r="EH19" i="1" s="1"/>
  <c r="EF19" i="1"/>
  <c r="EE19" i="1"/>
  <c r="EC19" i="1"/>
  <c r="ED19" i="1" s="1"/>
  <c r="EB19" i="1"/>
  <c r="EA19" i="1"/>
  <c r="DY19" i="1"/>
  <c r="DZ19" i="1" s="1"/>
  <c r="DX19" i="1"/>
  <c r="DW19" i="1"/>
  <c r="DU19" i="1"/>
  <c r="DV19" i="1" s="1"/>
  <c r="DT19" i="1"/>
  <c r="DS19" i="1"/>
  <c r="DQ19" i="1"/>
  <c r="DR19" i="1" s="1"/>
  <c r="DP19" i="1"/>
  <c r="DO19" i="1"/>
  <c r="DM19" i="1"/>
  <c r="DN19" i="1" s="1"/>
  <c r="DL19" i="1"/>
  <c r="DK19" i="1"/>
  <c r="DI19" i="1"/>
  <c r="DJ19" i="1" s="1"/>
  <c r="DH19" i="1"/>
  <c r="DG19" i="1"/>
  <c r="DE19" i="1"/>
  <c r="DF19" i="1" s="1"/>
  <c r="DD19" i="1"/>
  <c r="DC19" i="1"/>
  <c r="DA19" i="1"/>
  <c r="DB19" i="1" s="1"/>
  <c r="CZ19" i="1"/>
  <c r="CY19" i="1"/>
  <c r="CW19" i="1"/>
  <c r="CX19" i="1" s="1"/>
  <c r="CV19" i="1"/>
  <c r="CU19" i="1"/>
  <c r="CS19" i="1"/>
  <c r="CT19" i="1" s="1"/>
  <c r="CR19" i="1"/>
  <c r="CQ19" i="1"/>
  <c r="CO19" i="1"/>
  <c r="CP19" i="1" s="1"/>
  <c r="CN19" i="1"/>
  <c r="CM19" i="1"/>
  <c r="CK19" i="1"/>
  <c r="CL19" i="1" s="1"/>
  <c r="CJ19" i="1"/>
  <c r="CI19" i="1"/>
  <c r="CG19" i="1"/>
  <c r="CH19" i="1" s="1"/>
  <c r="CF19" i="1"/>
  <c r="CE19" i="1"/>
  <c r="CC19" i="1"/>
  <c r="CD19" i="1" s="1"/>
  <c r="CB19" i="1"/>
  <c r="CA19" i="1"/>
  <c r="BU19" i="1"/>
  <c r="BV19" i="1" s="1"/>
  <c r="BT19" i="1"/>
  <c r="ES18" i="1"/>
  <c r="ET18" i="1" s="1"/>
  <c r="ER18" i="1"/>
  <c r="EQ18" i="1"/>
  <c r="EO18" i="1"/>
  <c r="EP18" i="1" s="1"/>
  <c r="EN18" i="1"/>
  <c r="EM18" i="1"/>
  <c r="EK18" i="1"/>
  <c r="EL18" i="1" s="1"/>
  <c r="EJ18" i="1"/>
  <c r="EI18" i="1"/>
  <c r="EG18" i="1"/>
  <c r="EH18" i="1" s="1"/>
  <c r="EF18" i="1"/>
  <c r="EE18" i="1"/>
  <c r="EC18" i="1"/>
  <c r="ED18" i="1" s="1"/>
  <c r="EB18" i="1"/>
  <c r="EA18" i="1"/>
  <c r="DY18" i="1"/>
  <c r="DZ18" i="1" s="1"/>
  <c r="DX18" i="1"/>
  <c r="DW18" i="1"/>
  <c r="DU18" i="1"/>
  <c r="DV18" i="1" s="1"/>
  <c r="DT18" i="1"/>
  <c r="DS18" i="1"/>
  <c r="DQ18" i="1"/>
  <c r="DR18" i="1" s="1"/>
  <c r="DP18" i="1"/>
  <c r="DO18" i="1"/>
  <c r="DM18" i="1"/>
  <c r="DN18" i="1" s="1"/>
  <c r="DL18" i="1"/>
  <c r="DK18" i="1"/>
  <c r="DI18" i="1"/>
  <c r="DJ18" i="1" s="1"/>
  <c r="DH18" i="1"/>
  <c r="DG18" i="1"/>
  <c r="DE18" i="1"/>
  <c r="DF18" i="1" s="1"/>
  <c r="DD18" i="1"/>
  <c r="DC18" i="1"/>
  <c r="DA18" i="1"/>
  <c r="DB18" i="1" s="1"/>
  <c r="CZ18" i="1"/>
  <c r="CY18" i="1"/>
  <c r="CW18" i="1"/>
  <c r="CX18" i="1" s="1"/>
  <c r="CV18" i="1"/>
  <c r="CU18" i="1"/>
  <c r="CS18" i="1"/>
  <c r="CT18" i="1" s="1"/>
  <c r="CR18" i="1"/>
  <c r="CQ18" i="1"/>
  <c r="CO18" i="1"/>
  <c r="CP18" i="1" s="1"/>
  <c r="CN18" i="1"/>
  <c r="CM18" i="1"/>
  <c r="CK18" i="1"/>
  <c r="CL18" i="1" s="1"/>
  <c r="CJ18" i="1"/>
  <c r="CI18" i="1"/>
  <c r="CG18" i="1"/>
  <c r="CH18" i="1" s="1"/>
  <c r="CF18" i="1"/>
  <c r="CE18" i="1"/>
  <c r="CC18" i="1"/>
  <c r="CD18" i="1" s="1"/>
  <c r="CB18" i="1"/>
  <c r="CA18" i="1"/>
  <c r="EV18" i="1" s="1"/>
  <c r="EW18" i="1" s="1"/>
  <c r="BU18" i="1"/>
  <c r="BV18" i="1" s="1"/>
  <c r="BT18" i="1"/>
  <c r="ET17" i="1"/>
  <c r="ES17" i="1"/>
  <c r="ER17" i="1"/>
  <c r="EQ17" i="1"/>
  <c r="EP17" i="1"/>
  <c r="EO17" i="1"/>
  <c r="EN17" i="1"/>
  <c r="EM17" i="1"/>
  <c r="EL17" i="1"/>
  <c r="EK17" i="1"/>
  <c r="EJ17" i="1"/>
  <c r="EI17" i="1"/>
  <c r="EH17" i="1"/>
  <c r="EG17" i="1"/>
  <c r="EF17" i="1"/>
  <c r="EE17" i="1"/>
  <c r="ED17" i="1"/>
  <c r="EC17" i="1"/>
  <c r="EB17" i="1"/>
  <c r="EA17" i="1"/>
  <c r="DZ17" i="1"/>
  <c r="DY17" i="1"/>
  <c r="DX17" i="1"/>
  <c r="DW17" i="1"/>
  <c r="DV17" i="1"/>
  <c r="DU17" i="1"/>
  <c r="DT17" i="1"/>
  <c r="DS17" i="1"/>
  <c r="DR17" i="1"/>
  <c r="DQ17" i="1"/>
  <c r="DP17" i="1"/>
  <c r="DO17" i="1"/>
  <c r="DN17" i="1"/>
  <c r="DM17" i="1"/>
  <c r="DL17" i="1"/>
  <c r="DK17" i="1"/>
  <c r="DJ17" i="1"/>
  <c r="DI17" i="1"/>
  <c r="DH17" i="1"/>
  <c r="DG17" i="1"/>
  <c r="DF17" i="1"/>
  <c r="DE17" i="1"/>
  <c r="DD17" i="1"/>
  <c r="DC17" i="1"/>
  <c r="DB17" i="1"/>
  <c r="DA17" i="1"/>
  <c r="CZ17" i="1"/>
  <c r="CY17" i="1"/>
  <c r="CX17" i="1"/>
  <c r="CW17" i="1"/>
  <c r="CV17" i="1"/>
  <c r="CU17" i="1"/>
  <c r="CT17" i="1"/>
  <c r="CS17" i="1"/>
  <c r="CR17" i="1"/>
  <c r="CQ17" i="1"/>
  <c r="CP17" i="1"/>
  <c r="CO17" i="1"/>
  <c r="CN17" i="1"/>
  <c r="CM17" i="1"/>
  <c r="CL17" i="1"/>
  <c r="CK17" i="1"/>
  <c r="CJ17" i="1"/>
  <c r="CI17" i="1"/>
  <c r="CH17" i="1"/>
  <c r="CG17" i="1"/>
  <c r="CF17" i="1"/>
  <c r="CE17" i="1"/>
  <c r="CD17" i="1"/>
  <c r="CC17" i="1"/>
  <c r="CB17" i="1"/>
  <c r="CA17" i="1"/>
  <c r="EV17" i="1" s="1"/>
  <c r="EW17" i="1" s="1"/>
  <c r="BV17" i="1"/>
  <c r="BU17" i="1"/>
  <c r="BT17" i="1"/>
  <c r="ES16" i="1"/>
  <c r="ER16" i="1"/>
  <c r="EQ16" i="1"/>
  <c r="ET16" i="1" s="1"/>
  <c r="EO16" i="1"/>
  <c r="EN16" i="1"/>
  <c r="EM16" i="1"/>
  <c r="EK16" i="1"/>
  <c r="EJ16" i="1"/>
  <c r="EI16" i="1"/>
  <c r="EG16" i="1"/>
  <c r="EF16" i="1"/>
  <c r="EE16" i="1"/>
  <c r="EH16" i="1" s="1"/>
  <c r="EC16" i="1"/>
  <c r="EB16" i="1"/>
  <c r="EA16" i="1"/>
  <c r="ED16" i="1" s="1"/>
  <c r="DY16" i="1"/>
  <c r="DX16" i="1"/>
  <c r="DW16" i="1"/>
  <c r="DU16" i="1"/>
  <c r="DT16" i="1"/>
  <c r="DS16" i="1"/>
  <c r="DQ16" i="1"/>
  <c r="DP16" i="1"/>
  <c r="DO16" i="1"/>
  <c r="DR16" i="1" s="1"/>
  <c r="DM16" i="1"/>
  <c r="DL16" i="1"/>
  <c r="DK16" i="1"/>
  <c r="DN16" i="1" s="1"/>
  <c r="DI16" i="1"/>
  <c r="DH16" i="1"/>
  <c r="DG16" i="1"/>
  <c r="DE16" i="1"/>
  <c r="DD16" i="1"/>
  <c r="DC16" i="1"/>
  <c r="DA16" i="1"/>
  <c r="CZ16" i="1"/>
  <c r="CY16" i="1"/>
  <c r="DB16" i="1" s="1"/>
  <c r="CW16" i="1"/>
  <c r="CV16" i="1"/>
  <c r="CU16" i="1"/>
  <c r="CX16" i="1" s="1"/>
  <c r="CS16" i="1"/>
  <c r="CR16" i="1"/>
  <c r="CQ16" i="1"/>
  <c r="CO16" i="1"/>
  <c r="CN16" i="1"/>
  <c r="CM16" i="1"/>
  <c r="CK16" i="1"/>
  <c r="CJ16" i="1"/>
  <c r="CI16" i="1"/>
  <c r="CL16" i="1" s="1"/>
  <c r="CG16" i="1"/>
  <c r="CF16" i="1"/>
  <c r="CE16" i="1"/>
  <c r="CH16" i="1" s="1"/>
  <c r="CC16" i="1"/>
  <c r="CB16" i="1"/>
  <c r="CA16" i="1"/>
  <c r="BU16" i="1"/>
  <c r="BT16" i="1"/>
  <c r="ES15" i="1"/>
  <c r="ER15" i="1"/>
  <c r="ET15" i="1" s="1"/>
  <c r="EQ15" i="1"/>
  <c r="EO15" i="1"/>
  <c r="EN15" i="1"/>
  <c r="EP15" i="1" s="1"/>
  <c r="EM15" i="1"/>
  <c r="EK15" i="1"/>
  <c r="EJ15" i="1"/>
  <c r="EL15" i="1" s="1"/>
  <c r="EI15" i="1"/>
  <c r="EG15" i="1"/>
  <c r="EF15" i="1"/>
  <c r="EH15" i="1" s="1"/>
  <c r="EE15" i="1"/>
  <c r="EC15" i="1"/>
  <c r="EB15" i="1"/>
  <c r="ED15" i="1" s="1"/>
  <c r="EA15" i="1"/>
  <c r="DY15" i="1"/>
  <c r="DX15" i="1"/>
  <c r="DZ15" i="1" s="1"/>
  <c r="DW15" i="1"/>
  <c r="DU15" i="1"/>
  <c r="DT15" i="1"/>
  <c r="DV15" i="1" s="1"/>
  <c r="DS15" i="1"/>
  <c r="DQ15" i="1"/>
  <c r="DP15" i="1"/>
  <c r="DR15" i="1" s="1"/>
  <c r="DO15" i="1"/>
  <c r="DM15" i="1"/>
  <c r="DL15" i="1"/>
  <c r="DN15" i="1" s="1"/>
  <c r="DK15" i="1"/>
  <c r="DI15" i="1"/>
  <c r="DH15" i="1"/>
  <c r="DJ15" i="1" s="1"/>
  <c r="DG15" i="1"/>
  <c r="DE15" i="1"/>
  <c r="DD15" i="1"/>
  <c r="DF15" i="1" s="1"/>
  <c r="DC15" i="1"/>
  <c r="DA15" i="1"/>
  <c r="CZ15" i="1"/>
  <c r="DB15" i="1" s="1"/>
  <c r="CY15" i="1"/>
  <c r="CW15" i="1"/>
  <c r="CV15" i="1"/>
  <c r="CX15" i="1" s="1"/>
  <c r="CU15" i="1"/>
  <c r="CS15" i="1"/>
  <c r="CR15" i="1"/>
  <c r="CT15" i="1" s="1"/>
  <c r="CQ15" i="1"/>
  <c r="CO15" i="1"/>
  <c r="CN15" i="1"/>
  <c r="CP15" i="1" s="1"/>
  <c r="CM15" i="1"/>
  <c r="CK15" i="1"/>
  <c r="CJ15" i="1"/>
  <c r="CL15" i="1" s="1"/>
  <c r="CI15" i="1"/>
  <c r="CG15" i="1"/>
  <c r="CF15" i="1"/>
  <c r="CH15" i="1" s="1"/>
  <c r="CE15" i="1"/>
  <c r="CC15" i="1"/>
  <c r="CB15" i="1"/>
  <c r="CD15" i="1" s="1"/>
  <c r="CA15" i="1"/>
  <c r="BU15" i="1"/>
  <c r="BV15" i="1" s="1"/>
  <c r="BT15" i="1"/>
  <c r="ES14" i="1"/>
  <c r="ER14" i="1"/>
  <c r="EQ14" i="1"/>
  <c r="ET14" i="1" s="1"/>
  <c r="EO14" i="1"/>
  <c r="EN14" i="1"/>
  <c r="EM14" i="1"/>
  <c r="EP14" i="1" s="1"/>
  <c r="EK14" i="1"/>
  <c r="EJ14" i="1"/>
  <c r="EI14" i="1"/>
  <c r="EL14" i="1" s="1"/>
  <c r="EG14" i="1"/>
  <c r="EF14" i="1"/>
  <c r="EE14" i="1"/>
  <c r="EH14" i="1" s="1"/>
  <c r="EC14" i="1"/>
  <c r="EB14" i="1"/>
  <c r="EA14" i="1"/>
  <c r="ED14" i="1" s="1"/>
  <c r="DY14" i="1"/>
  <c r="DX14" i="1"/>
  <c r="DW14" i="1"/>
  <c r="DZ14" i="1" s="1"/>
  <c r="DU14" i="1"/>
  <c r="DT14" i="1"/>
  <c r="DS14" i="1"/>
  <c r="DV14" i="1" s="1"/>
  <c r="DQ14" i="1"/>
  <c r="DP14" i="1"/>
  <c r="DO14" i="1"/>
  <c r="DR14" i="1" s="1"/>
  <c r="DM14" i="1"/>
  <c r="DL14" i="1"/>
  <c r="DK14" i="1"/>
  <c r="DN14" i="1" s="1"/>
  <c r="DI14" i="1"/>
  <c r="DH14" i="1"/>
  <c r="DG14" i="1"/>
  <c r="DJ14" i="1" s="1"/>
  <c r="DE14" i="1"/>
  <c r="DD14" i="1"/>
  <c r="DC14" i="1"/>
  <c r="DF14" i="1" s="1"/>
  <c r="DA14" i="1"/>
  <c r="CZ14" i="1"/>
  <c r="CY14" i="1"/>
  <c r="DB14" i="1" s="1"/>
  <c r="CW14" i="1"/>
  <c r="CV14" i="1"/>
  <c r="CU14" i="1"/>
  <c r="CX14" i="1" s="1"/>
  <c r="CS14" i="1"/>
  <c r="CR14" i="1"/>
  <c r="CQ14" i="1"/>
  <c r="CT14" i="1" s="1"/>
  <c r="CO14" i="1"/>
  <c r="CN14" i="1"/>
  <c r="CM14" i="1"/>
  <c r="CP14" i="1" s="1"/>
  <c r="CK14" i="1"/>
  <c r="CJ14" i="1"/>
  <c r="CI14" i="1"/>
  <c r="CL14" i="1" s="1"/>
  <c r="CG14" i="1"/>
  <c r="CF14" i="1"/>
  <c r="CE14" i="1"/>
  <c r="CH14" i="1" s="1"/>
  <c r="CC14" i="1"/>
  <c r="CB14" i="1"/>
  <c r="CA14" i="1"/>
  <c r="BU14" i="1"/>
  <c r="BV14" i="1" s="1"/>
  <c r="BT14" i="1"/>
  <c r="ET13" i="1"/>
  <c r="ES13" i="1"/>
  <c r="ER13" i="1"/>
  <c r="EQ13" i="1"/>
  <c r="EP13" i="1"/>
  <c r="EO13" i="1"/>
  <c r="EN13" i="1"/>
  <c r="EM13" i="1"/>
  <c r="EL13" i="1"/>
  <c r="EK13" i="1"/>
  <c r="EJ13" i="1"/>
  <c r="EI13" i="1"/>
  <c r="EH13" i="1"/>
  <c r="EG13" i="1"/>
  <c r="EF13" i="1"/>
  <c r="EE13" i="1"/>
  <c r="ED13" i="1"/>
  <c r="EC13" i="1"/>
  <c r="EB13" i="1"/>
  <c r="EA13" i="1"/>
  <c r="DZ13" i="1"/>
  <c r="DY13" i="1"/>
  <c r="DX13" i="1"/>
  <c r="DW13" i="1"/>
  <c r="DV13" i="1"/>
  <c r="DU13" i="1"/>
  <c r="DT13" i="1"/>
  <c r="DS13" i="1"/>
  <c r="DR13" i="1"/>
  <c r="DQ13" i="1"/>
  <c r="DP13" i="1"/>
  <c r="DO13" i="1"/>
  <c r="DN13" i="1"/>
  <c r="DM13" i="1"/>
  <c r="DL13" i="1"/>
  <c r="DK13" i="1"/>
  <c r="DJ13" i="1"/>
  <c r="DI13" i="1"/>
  <c r="DH13" i="1"/>
  <c r="DG13" i="1"/>
  <c r="DF13" i="1"/>
  <c r="DE13" i="1"/>
  <c r="DD13" i="1"/>
  <c r="DC13" i="1"/>
  <c r="DB13" i="1"/>
  <c r="DA13" i="1"/>
  <c r="CZ13" i="1"/>
  <c r="CY13" i="1"/>
  <c r="CX13" i="1"/>
  <c r="CW13" i="1"/>
  <c r="CV13" i="1"/>
  <c r="CU13" i="1"/>
  <c r="CT13" i="1"/>
  <c r="CS13" i="1"/>
  <c r="CR13" i="1"/>
  <c r="CQ13" i="1"/>
  <c r="CP13" i="1"/>
  <c r="CO13" i="1"/>
  <c r="CN13" i="1"/>
  <c r="CM13" i="1"/>
  <c r="CL13" i="1"/>
  <c r="CK13" i="1"/>
  <c r="CJ13" i="1"/>
  <c r="CI13" i="1"/>
  <c r="CH13" i="1"/>
  <c r="CG13" i="1"/>
  <c r="CF13" i="1"/>
  <c r="CE13" i="1"/>
  <c r="CD13" i="1"/>
  <c r="CC13" i="1"/>
  <c r="CB13" i="1"/>
  <c r="CA13" i="1"/>
  <c r="EV13" i="1" s="1"/>
  <c r="EW13" i="1" s="1"/>
  <c r="BV13" i="1"/>
  <c r="BU13" i="1"/>
  <c r="BT13" i="1"/>
  <c r="ES12" i="1"/>
  <c r="ER12" i="1"/>
  <c r="EQ12" i="1"/>
  <c r="EO12" i="1"/>
  <c r="EN12" i="1"/>
  <c r="EM12" i="1"/>
  <c r="EK12" i="1"/>
  <c r="EJ12" i="1"/>
  <c r="EI12" i="1"/>
  <c r="EL12" i="1" s="1"/>
  <c r="EG12" i="1"/>
  <c r="EF12" i="1"/>
  <c r="EE12" i="1"/>
  <c r="EH12" i="1" s="1"/>
  <c r="EC12" i="1"/>
  <c r="EB12" i="1"/>
  <c r="EA12" i="1"/>
  <c r="DY12" i="1"/>
  <c r="DX12" i="1"/>
  <c r="DW12" i="1"/>
  <c r="DU12" i="1"/>
  <c r="DT12" i="1"/>
  <c r="DS12" i="1"/>
  <c r="DV12" i="1" s="1"/>
  <c r="DQ12" i="1"/>
  <c r="DP12" i="1"/>
  <c r="DO12" i="1"/>
  <c r="DR12" i="1" s="1"/>
  <c r="DM12" i="1"/>
  <c r="DL12" i="1"/>
  <c r="DK12" i="1"/>
  <c r="DI12" i="1"/>
  <c r="DH12" i="1"/>
  <c r="DG12" i="1"/>
  <c r="DE12" i="1"/>
  <c r="DD12" i="1"/>
  <c r="DC12" i="1"/>
  <c r="DF12" i="1" s="1"/>
  <c r="DA12" i="1"/>
  <c r="CZ12" i="1"/>
  <c r="CY12" i="1"/>
  <c r="DB12" i="1" s="1"/>
  <c r="CW12" i="1"/>
  <c r="CV12" i="1"/>
  <c r="CU12" i="1"/>
  <c r="CS12" i="1"/>
  <c r="CR12" i="1"/>
  <c r="CQ12" i="1"/>
  <c r="CO12" i="1"/>
  <c r="CN12" i="1"/>
  <c r="CM12" i="1"/>
  <c r="CP12" i="1" s="1"/>
  <c r="CK12" i="1"/>
  <c r="CJ12" i="1"/>
  <c r="CI12" i="1"/>
  <c r="CL12" i="1" s="1"/>
  <c r="CG12" i="1"/>
  <c r="CF12" i="1"/>
  <c r="CE12" i="1"/>
  <c r="CC12" i="1"/>
  <c r="CB12" i="1"/>
  <c r="CA12" i="1"/>
  <c r="BU12" i="1"/>
  <c r="BT12" i="1"/>
  <c r="ES11" i="1"/>
  <c r="ER11" i="1"/>
  <c r="ET11" i="1" s="1"/>
  <c r="EQ11" i="1"/>
  <c r="EO11" i="1"/>
  <c r="EN11" i="1"/>
  <c r="EP11" i="1" s="1"/>
  <c r="EM11" i="1"/>
  <c r="EK11" i="1"/>
  <c r="EJ11" i="1"/>
  <c r="EL11" i="1" s="1"/>
  <c r="EI11" i="1"/>
  <c r="EG11" i="1"/>
  <c r="EF11" i="1"/>
  <c r="EH11" i="1" s="1"/>
  <c r="EE11" i="1"/>
  <c r="EC11" i="1"/>
  <c r="EB11" i="1"/>
  <c r="ED11" i="1" s="1"/>
  <c r="EA11" i="1"/>
  <c r="DY11" i="1"/>
  <c r="DX11" i="1"/>
  <c r="DW11" i="1"/>
  <c r="DZ11" i="1" s="1"/>
  <c r="DU11" i="1"/>
  <c r="DT11" i="1"/>
  <c r="DS11" i="1"/>
  <c r="DV11" i="1" s="1"/>
  <c r="DQ11" i="1"/>
  <c r="DP11" i="1"/>
  <c r="DO11" i="1"/>
  <c r="DR11" i="1" s="1"/>
  <c r="DM11" i="1"/>
  <c r="DL11" i="1"/>
  <c r="DK11" i="1"/>
  <c r="DN11" i="1" s="1"/>
  <c r="DI11" i="1"/>
  <c r="DH11" i="1"/>
  <c r="DG11" i="1"/>
  <c r="DJ11" i="1" s="1"/>
  <c r="DE11" i="1"/>
  <c r="DD11" i="1"/>
  <c r="DC11" i="1"/>
  <c r="DF11" i="1" s="1"/>
  <c r="DA11" i="1"/>
  <c r="CZ11" i="1"/>
  <c r="CY11" i="1"/>
  <c r="DB11" i="1" s="1"/>
  <c r="CW11" i="1"/>
  <c r="CV11" i="1"/>
  <c r="CU11" i="1"/>
  <c r="CX11" i="1" s="1"/>
  <c r="CS11" i="1"/>
  <c r="CR11" i="1"/>
  <c r="CQ11" i="1"/>
  <c r="CT11" i="1" s="1"/>
  <c r="CO11" i="1"/>
  <c r="CN11" i="1"/>
  <c r="CM11" i="1"/>
  <c r="CP11" i="1" s="1"/>
  <c r="CK11" i="1"/>
  <c r="CJ11" i="1"/>
  <c r="CI11" i="1"/>
  <c r="CL11" i="1" s="1"/>
  <c r="CG11" i="1"/>
  <c r="CF11" i="1"/>
  <c r="CE11" i="1"/>
  <c r="CH11" i="1" s="1"/>
  <c r="CC11" i="1"/>
  <c r="CB11" i="1"/>
  <c r="CA11" i="1"/>
  <c r="BU11" i="1"/>
  <c r="BT11" i="1"/>
  <c r="BV11" i="1" s="1"/>
  <c r="ES10" i="1"/>
  <c r="ER10" i="1"/>
  <c r="EQ10" i="1"/>
  <c r="ET10" i="1" s="1"/>
  <c r="EO10" i="1"/>
  <c r="EN10" i="1"/>
  <c r="EM10" i="1"/>
  <c r="EP10" i="1" s="1"/>
  <c r="EK10" i="1"/>
  <c r="EJ10" i="1"/>
  <c r="EI10" i="1"/>
  <c r="EL10" i="1" s="1"/>
  <c r="EG10" i="1"/>
  <c r="EF10" i="1"/>
  <c r="EE10" i="1"/>
  <c r="EH10" i="1" s="1"/>
  <c r="EC10" i="1"/>
  <c r="EB10" i="1"/>
  <c r="EA10" i="1"/>
  <c r="ED10" i="1" s="1"/>
  <c r="DY10" i="1"/>
  <c r="DX10" i="1"/>
  <c r="DW10" i="1"/>
  <c r="DZ10" i="1" s="1"/>
  <c r="DU10" i="1"/>
  <c r="DT10" i="1"/>
  <c r="DS10" i="1"/>
  <c r="DV10" i="1" s="1"/>
  <c r="DQ10" i="1"/>
  <c r="DP10" i="1"/>
  <c r="DO10" i="1"/>
  <c r="DR10" i="1" s="1"/>
  <c r="DM10" i="1"/>
  <c r="DL10" i="1"/>
  <c r="DK10" i="1"/>
  <c r="DN10" i="1" s="1"/>
  <c r="DI10" i="1"/>
  <c r="DH10" i="1"/>
  <c r="DG10" i="1"/>
  <c r="DJ10" i="1" s="1"/>
  <c r="DE10" i="1"/>
  <c r="DD10" i="1"/>
  <c r="DC10" i="1"/>
  <c r="DF10" i="1" s="1"/>
  <c r="DA10" i="1"/>
  <c r="CZ10" i="1"/>
  <c r="CY10" i="1"/>
  <c r="DB10" i="1" s="1"/>
  <c r="CW10" i="1"/>
  <c r="CV10" i="1"/>
  <c r="CU10" i="1"/>
  <c r="CX10" i="1" s="1"/>
  <c r="CS10" i="1"/>
  <c r="CR10" i="1"/>
  <c r="CQ10" i="1"/>
  <c r="CT10" i="1" s="1"/>
  <c r="CO10" i="1"/>
  <c r="CN10" i="1"/>
  <c r="CM10" i="1"/>
  <c r="CP10" i="1" s="1"/>
  <c r="CK10" i="1"/>
  <c r="CJ10" i="1"/>
  <c r="CI10" i="1"/>
  <c r="CL10" i="1" s="1"/>
  <c r="CG10" i="1"/>
  <c r="CF10" i="1"/>
  <c r="CE10" i="1"/>
  <c r="CH10" i="1" s="1"/>
  <c r="CC10" i="1"/>
  <c r="CB10" i="1"/>
  <c r="CA10" i="1"/>
  <c r="BU10" i="1"/>
  <c r="BV10" i="1" s="1"/>
  <c r="BT10" i="1"/>
  <c r="ES9" i="1"/>
  <c r="ET9" i="1" s="1"/>
  <c r="ER9" i="1"/>
  <c r="EQ9" i="1"/>
  <c r="EO9" i="1"/>
  <c r="EP9" i="1" s="1"/>
  <c r="EN9" i="1"/>
  <c r="EM9" i="1"/>
  <c r="EK9" i="1"/>
  <c r="EL9" i="1" s="1"/>
  <c r="EJ9" i="1"/>
  <c r="EI9" i="1"/>
  <c r="EG9" i="1"/>
  <c r="EH9" i="1" s="1"/>
  <c r="EF9" i="1"/>
  <c r="EE9" i="1"/>
  <c r="EC9" i="1"/>
  <c r="ED9" i="1" s="1"/>
  <c r="EB9" i="1"/>
  <c r="EA9" i="1"/>
  <c r="DY9" i="1"/>
  <c r="DZ9" i="1" s="1"/>
  <c r="DX9" i="1"/>
  <c r="DW9" i="1"/>
  <c r="DU9" i="1"/>
  <c r="DV9" i="1" s="1"/>
  <c r="DT9" i="1"/>
  <c r="DS9" i="1"/>
  <c r="DQ9" i="1"/>
  <c r="DR9" i="1" s="1"/>
  <c r="DP9" i="1"/>
  <c r="DO9" i="1"/>
  <c r="DM9" i="1"/>
  <c r="DN9" i="1" s="1"/>
  <c r="DL9" i="1"/>
  <c r="DK9" i="1"/>
  <c r="DI9" i="1"/>
  <c r="DJ9" i="1" s="1"/>
  <c r="DH9" i="1"/>
  <c r="DG9" i="1"/>
  <c r="DE9" i="1"/>
  <c r="DF9" i="1" s="1"/>
  <c r="DD9" i="1"/>
  <c r="DC9" i="1"/>
  <c r="DA9" i="1"/>
  <c r="DB9" i="1" s="1"/>
  <c r="CZ9" i="1"/>
  <c r="CY9" i="1"/>
  <c r="CW9" i="1"/>
  <c r="CX9" i="1" s="1"/>
  <c r="CV9" i="1"/>
  <c r="CU9" i="1"/>
  <c r="CS9" i="1"/>
  <c r="CT9" i="1" s="1"/>
  <c r="CR9" i="1"/>
  <c r="CQ9" i="1"/>
  <c r="CO9" i="1"/>
  <c r="CP9" i="1" s="1"/>
  <c r="CN9" i="1"/>
  <c r="CM9" i="1"/>
  <c r="CK9" i="1"/>
  <c r="CL9" i="1" s="1"/>
  <c r="CJ9" i="1"/>
  <c r="CI9" i="1"/>
  <c r="CG9" i="1"/>
  <c r="CH9" i="1" s="1"/>
  <c r="CF9" i="1"/>
  <c r="CE9" i="1"/>
  <c r="CC9" i="1"/>
  <c r="CD9" i="1" s="1"/>
  <c r="CB9" i="1"/>
  <c r="CA9" i="1"/>
  <c r="BU9" i="1"/>
  <c r="BV9" i="1" s="1"/>
  <c r="BT9" i="1"/>
  <c r="ET8" i="1"/>
  <c r="ES8" i="1"/>
  <c r="ER8" i="1"/>
  <c r="EQ8" i="1"/>
  <c r="EP8" i="1"/>
  <c r="EO8" i="1"/>
  <c r="EN8" i="1"/>
  <c r="EM8" i="1"/>
  <c r="EL8" i="1"/>
  <c r="EK8" i="1"/>
  <c r="EJ8" i="1"/>
  <c r="EI8" i="1"/>
  <c r="EH8" i="1"/>
  <c r="EG8" i="1"/>
  <c r="EF8" i="1"/>
  <c r="EE8" i="1"/>
  <c r="ED8" i="1"/>
  <c r="EC8" i="1"/>
  <c r="EB8" i="1"/>
  <c r="EA8" i="1"/>
  <c r="DZ8" i="1"/>
  <c r="DY8" i="1"/>
  <c r="DX8" i="1"/>
  <c r="DW8" i="1"/>
  <c r="DV8" i="1"/>
  <c r="DU8" i="1"/>
  <c r="DT8" i="1"/>
  <c r="DS8" i="1"/>
  <c r="DR8" i="1"/>
  <c r="DQ8" i="1"/>
  <c r="DP8" i="1"/>
  <c r="DO8" i="1"/>
  <c r="DN8" i="1"/>
  <c r="DM8" i="1"/>
  <c r="DL8" i="1"/>
  <c r="DK8" i="1"/>
  <c r="DJ8" i="1"/>
  <c r="DI8" i="1"/>
  <c r="DH8" i="1"/>
  <c r="DG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CA8" i="1"/>
  <c r="EV8" i="1" s="1"/>
  <c r="EW8" i="1" s="1"/>
  <c r="BU8" i="1"/>
  <c r="BT8" i="1"/>
  <c r="BV8" i="1" s="1"/>
  <c r="ES7" i="1"/>
  <c r="ER7" i="1"/>
  <c r="EQ7" i="1"/>
  <c r="ET7" i="1" s="1"/>
  <c r="EO7" i="1"/>
  <c r="EN7" i="1"/>
  <c r="EM7" i="1"/>
  <c r="EP7" i="1" s="1"/>
  <c r="EK7" i="1"/>
  <c r="EJ7" i="1"/>
  <c r="EI7" i="1"/>
  <c r="EL7" i="1" s="1"/>
  <c r="EG7" i="1"/>
  <c r="EF7" i="1"/>
  <c r="EE7" i="1"/>
  <c r="EH7" i="1" s="1"/>
  <c r="EC7" i="1"/>
  <c r="EB7" i="1"/>
  <c r="EA7" i="1"/>
  <c r="ED7" i="1" s="1"/>
  <c r="DY7" i="1"/>
  <c r="DX7" i="1"/>
  <c r="DW7" i="1"/>
  <c r="DZ7" i="1" s="1"/>
  <c r="DU7" i="1"/>
  <c r="DT7" i="1"/>
  <c r="DS7" i="1"/>
  <c r="DV7" i="1" s="1"/>
  <c r="DQ7" i="1"/>
  <c r="DP7" i="1"/>
  <c r="DO7" i="1"/>
  <c r="DR7" i="1" s="1"/>
  <c r="DM7" i="1"/>
  <c r="DL7" i="1"/>
  <c r="DK7" i="1"/>
  <c r="DN7" i="1" s="1"/>
  <c r="DI7" i="1"/>
  <c r="DH7" i="1"/>
  <c r="DG7" i="1"/>
  <c r="DJ7" i="1" s="1"/>
  <c r="DE7" i="1"/>
  <c r="DD7" i="1"/>
  <c r="DC7" i="1"/>
  <c r="DF7" i="1" s="1"/>
  <c r="DA7" i="1"/>
  <c r="CZ7" i="1"/>
  <c r="CY7" i="1"/>
  <c r="DB7" i="1" s="1"/>
  <c r="CW7" i="1"/>
  <c r="CV7" i="1"/>
  <c r="CU7" i="1"/>
  <c r="CX7" i="1" s="1"/>
  <c r="CS7" i="1"/>
  <c r="CR7" i="1"/>
  <c r="CQ7" i="1"/>
  <c r="CT7" i="1" s="1"/>
  <c r="CO7" i="1"/>
  <c r="CN7" i="1"/>
  <c r="CM7" i="1"/>
  <c r="CP7" i="1" s="1"/>
  <c r="CK7" i="1"/>
  <c r="CJ7" i="1"/>
  <c r="CI7" i="1"/>
  <c r="CL7" i="1" s="1"/>
  <c r="CG7" i="1"/>
  <c r="CF7" i="1"/>
  <c r="CE7" i="1"/>
  <c r="CH7" i="1" s="1"/>
  <c r="CC7" i="1"/>
  <c r="CB7" i="1"/>
  <c r="CA7" i="1"/>
  <c r="BU7" i="1"/>
  <c r="BV7" i="1" s="1"/>
  <c r="BT7" i="1"/>
  <c r="ET6" i="1"/>
  <c r="ES6" i="1"/>
  <c r="ER6" i="1"/>
  <c r="EQ6" i="1"/>
  <c r="EP6" i="1"/>
  <c r="EO6" i="1"/>
  <c r="EN6" i="1"/>
  <c r="EM6" i="1"/>
  <c r="EL6" i="1"/>
  <c r="EK6" i="1"/>
  <c r="EJ6" i="1"/>
  <c r="EI6" i="1"/>
  <c r="EH6" i="1"/>
  <c r="EG6" i="1"/>
  <c r="EF6" i="1"/>
  <c r="EE6" i="1"/>
  <c r="ED6" i="1"/>
  <c r="EC6" i="1"/>
  <c r="EB6" i="1"/>
  <c r="EA6" i="1"/>
  <c r="DZ6" i="1"/>
  <c r="DY6" i="1"/>
  <c r="DX6" i="1"/>
  <c r="DW6" i="1"/>
  <c r="DV6" i="1"/>
  <c r="DU6" i="1"/>
  <c r="DT6" i="1"/>
  <c r="DS6" i="1"/>
  <c r="DR6" i="1"/>
  <c r="DQ6" i="1"/>
  <c r="DP6" i="1"/>
  <c r="DO6" i="1"/>
  <c r="DN6" i="1"/>
  <c r="DM6" i="1"/>
  <c r="DL6" i="1"/>
  <c r="DK6" i="1"/>
  <c r="DJ6" i="1"/>
  <c r="DI6" i="1"/>
  <c r="DH6" i="1"/>
  <c r="DG6" i="1"/>
  <c r="DF6" i="1"/>
  <c r="DE6" i="1"/>
  <c r="DD6" i="1"/>
  <c r="DC6" i="1"/>
  <c r="DB6" i="1"/>
  <c r="DA6" i="1"/>
  <c r="CZ6" i="1"/>
  <c r="CY6" i="1"/>
  <c r="CX6" i="1"/>
  <c r="CW6" i="1"/>
  <c r="CV6" i="1"/>
  <c r="CU6" i="1"/>
  <c r="CT6" i="1"/>
  <c r="CS6" i="1"/>
  <c r="CR6" i="1"/>
  <c r="CQ6" i="1"/>
  <c r="CP6" i="1"/>
  <c r="CO6" i="1"/>
  <c r="CN6" i="1"/>
  <c r="CM6" i="1"/>
  <c r="CL6" i="1"/>
  <c r="CK6" i="1"/>
  <c r="CJ6" i="1"/>
  <c r="CI6" i="1"/>
  <c r="CH6" i="1"/>
  <c r="CG6" i="1"/>
  <c r="CF6" i="1"/>
  <c r="CE6" i="1"/>
  <c r="CD6" i="1"/>
  <c r="CC6" i="1"/>
  <c r="CB6" i="1"/>
  <c r="CA6" i="1"/>
  <c r="EV6" i="1" s="1"/>
  <c r="EW6" i="1" s="1"/>
  <c r="BV6" i="1"/>
  <c r="BU6" i="1"/>
  <c r="BT6" i="1"/>
  <c r="ES5" i="1"/>
  <c r="ER5" i="1"/>
  <c r="EQ5" i="1"/>
  <c r="ET5" i="1" s="1"/>
  <c r="EO5" i="1"/>
  <c r="EN5" i="1"/>
  <c r="EM5" i="1"/>
  <c r="EP5" i="1" s="1"/>
  <c r="EK5" i="1"/>
  <c r="EJ5" i="1"/>
  <c r="EI5" i="1"/>
  <c r="EL5" i="1" s="1"/>
  <c r="EG5" i="1"/>
  <c r="EF5" i="1"/>
  <c r="EE5" i="1"/>
  <c r="EH5" i="1" s="1"/>
  <c r="EC5" i="1"/>
  <c r="EB5" i="1"/>
  <c r="EA5" i="1"/>
  <c r="ED5" i="1" s="1"/>
  <c r="DY5" i="1"/>
  <c r="DX5" i="1"/>
  <c r="DW5" i="1"/>
  <c r="DZ5" i="1" s="1"/>
  <c r="DU5" i="1"/>
  <c r="DT5" i="1"/>
  <c r="DS5" i="1"/>
  <c r="DV5" i="1" s="1"/>
  <c r="DQ5" i="1"/>
  <c r="DP5" i="1"/>
  <c r="DO5" i="1"/>
  <c r="DR5" i="1" s="1"/>
  <c r="DM5" i="1"/>
  <c r="DL5" i="1"/>
  <c r="DK5" i="1"/>
  <c r="DN5" i="1" s="1"/>
  <c r="DI5" i="1"/>
  <c r="DH5" i="1"/>
  <c r="DG5" i="1"/>
  <c r="DJ5" i="1" s="1"/>
  <c r="DE5" i="1"/>
  <c r="DD5" i="1"/>
  <c r="DC5" i="1"/>
  <c r="DF5" i="1" s="1"/>
  <c r="DA5" i="1"/>
  <c r="CZ5" i="1"/>
  <c r="CY5" i="1"/>
  <c r="DB5" i="1" s="1"/>
  <c r="CW5" i="1"/>
  <c r="CV5" i="1"/>
  <c r="CU5" i="1"/>
  <c r="CX5" i="1" s="1"/>
  <c r="CS5" i="1"/>
  <c r="CR5" i="1"/>
  <c r="CQ5" i="1"/>
  <c r="CT5" i="1" s="1"/>
  <c r="CO5" i="1"/>
  <c r="CN5" i="1"/>
  <c r="CM5" i="1"/>
  <c r="CP5" i="1" s="1"/>
  <c r="CK5" i="1"/>
  <c r="CJ5" i="1"/>
  <c r="CI5" i="1"/>
  <c r="CL5" i="1" s="1"/>
  <c r="CG5" i="1"/>
  <c r="CF5" i="1"/>
  <c r="CE5" i="1"/>
  <c r="CH5" i="1" s="1"/>
  <c r="CC5" i="1"/>
  <c r="CB5" i="1"/>
  <c r="CA5" i="1"/>
  <c r="BU5" i="1"/>
  <c r="BV5" i="1" s="1"/>
  <c r="BT5" i="1"/>
  <c r="EV10" i="1" l="1"/>
  <c r="EW10" i="1" s="1"/>
  <c r="EV9" i="1"/>
  <c r="EW9" i="1" s="1"/>
  <c r="BV16" i="1"/>
  <c r="EV29" i="1"/>
  <c r="EW29" i="1" s="1"/>
  <c r="EV30" i="1"/>
  <c r="EW30" i="1" s="1"/>
  <c r="CD5" i="1"/>
  <c r="EV5" i="1" s="1"/>
  <c r="EW5" i="1" s="1"/>
  <c r="CD7" i="1"/>
  <c r="EV7" i="1" s="1"/>
  <c r="EW7" i="1" s="1"/>
  <c r="CD10" i="1"/>
  <c r="BV12" i="1"/>
  <c r="BX7" i="1" s="1"/>
  <c r="CH12" i="1"/>
  <c r="CX12" i="1"/>
  <c r="DN12" i="1"/>
  <c r="ED12" i="1"/>
  <c r="ET12" i="1"/>
  <c r="CD14" i="1"/>
  <c r="EV14" i="1" s="1"/>
  <c r="EW14" i="1" s="1"/>
  <c r="CD16" i="1"/>
  <c r="EV16" i="1" s="1"/>
  <c r="EW16" i="1" s="1"/>
  <c r="CT16" i="1"/>
  <c r="DJ16" i="1"/>
  <c r="DZ16" i="1"/>
  <c r="EP16" i="1"/>
  <c r="EV19" i="1"/>
  <c r="EW19" i="1" s="1"/>
  <c r="CP20" i="1"/>
  <c r="DF20" i="1"/>
  <c r="DV20" i="1"/>
  <c r="EL20" i="1"/>
  <c r="EV22" i="1"/>
  <c r="EW22" i="1" s="1"/>
  <c r="EV27" i="1"/>
  <c r="EW27" i="1" s="1"/>
  <c r="CD32" i="1"/>
  <c r="CD11" i="1"/>
  <c r="EV11" i="1" s="1"/>
  <c r="EW11" i="1" s="1"/>
  <c r="CD12" i="1"/>
  <c r="EV12" i="1" s="1"/>
  <c r="EW12" i="1" s="1"/>
  <c r="CT12" i="1"/>
  <c r="DJ12" i="1"/>
  <c r="DZ12" i="1"/>
  <c r="EP12" i="1"/>
  <c r="EV15" i="1"/>
  <c r="EW15" i="1" s="1"/>
  <c r="CP16" i="1"/>
  <c r="DF16" i="1"/>
  <c r="DV16" i="1"/>
  <c r="EL16" i="1"/>
  <c r="CL20" i="1"/>
  <c r="DB20" i="1"/>
  <c r="DR20" i="1"/>
  <c r="EH20" i="1"/>
  <c r="EV20" i="1"/>
  <c r="EW20" i="1" s="1"/>
  <c r="CT21" i="1"/>
  <c r="EV21" i="1" s="1"/>
  <c r="EW21" i="1" s="1"/>
  <c r="DJ21" i="1"/>
  <c r="DZ21" i="1"/>
  <c r="EP21" i="1"/>
  <c r="BV24" i="1"/>
  <c r="CH24" i="1"/>
  <c r="CX24" i="1"/>
  <c r="DN24" i="1"/>
  <c r="ED24" i="1"/>
  <c r="ET24" i="1"/>
  <c r="EV25" i="1"/>
  <c r="EW25" i="1" s="1"/>
  <c r="EV26" i="1"/>
  <c r="EW26" i="1" s="1"/>
  <c r="EV31" i="1"/>
  <c r="EW31" i="1" s="1"/>
  <c r="BV39" i="1"/>
  <c r="CD24" i="1"/>
  <c r="EV24" i="1" s="1"/>
  <c r="EW24" i="1" s="1"/>
  <c r="DV26" i="1"/>
  <c r="EL26" i="1"/>
  <c r="CL33" i="1"/>
  <c r="DB33" i="1"/>
  <c r="DR33" i="1"/>
  <c r="EV35" i="1"/>
  <c r="EW35" i="1" s="1"/>
  <c r="DR26" i="1"/>
  <c r="EH26" i="1"/>
  <c r="DR28" i="1"/>
  <c r="EV28" i="1" s="1"/>
  <c r="EW28" i="1" s="1"/>
  <c r="EH28" i="1"/>
  <c r="CH33" i="1"/>
  <c r="CX33" i="1"/>
  <c r="EV33" i="1" s="1"/>
  <c r="EW33" i="1" s="1"/>
  <c r="DN33" i="1"/>
  <c r="ED33" i="1"/>
  <c r="EV34" i="1"/>
  <c r="EW34" i="1" s="1"/>
  <c r="BV40" i="1"/>
  <c r="BX6" i="1" s="1"/>
  <c r="CH40" i="1"/>
  <c r="CX40" i="1"/>
  <c r="BX51" i="1"/>
  <c r="BX50" i="1"/>
  <c r="BX49" i="1"/>
  <c r="BX48" i="1"/>
  <c r="DV28" i="1"/>
  <c r="EL28" i="1"/>
  <c r="CL32" i="1"/>
  <c r="DB32" i="1"/>
  <c r="DR32" i="1"/>
  <c r="EH32" i="1"/>
  <c r="CD33" i="1"/>
  <c r="BV36" i="1"/>
  <c r="CH36" i="1"/>
  <c r="CX36" i="1"/>
  <c r="DN36" i="1"/>
  <c r="ED36" i="1"/>
  <c r="ET36" i="1"/>
  <c r="CD38" i="1"/>
  <c r="EV38" i="1" s="1"/>
  <c r="EW38" i="1" s="1"/>
  <c r="CD40" i="1"/>
  <c r="CT40" i="1"/>
  <c r="DJ40" i="1"/>
  <c r="CH32" i="1"/>
  <c r="EV32" i="1" s="1"/>
  <c r="EW32" i="1" s="1"/>
  <c r="CX32" i="1"/>
  <c r="DN32" i="1"/>
  <c r="ED32" i="1"/>
  <c r="ET32" i="1"/>
  <c r="CD36" i="1"/>
  <c r="CT36" i="1"/>
  <c r="EV36" i="1" s="1"/>
  <c r="EW36" i="1" s="1"/>
  <c r="DJ36" i="1"/>
  <c r="DZ36" i="1"/>
  <c r="EP36" i="1"/>
  <c r="EV39" i="1"/>
  <c r="EW39" i="1" s="1"/>
  <c r="CP40" i="1"/>
  <c r="EV40" i="1" s="1"/>
  <c r="EW40" i="1" s="1"/>
  <c r="DF40" i="1"/>
  <c r="BX94" i="1"/>
  <c r="BX93" i="1"/>
  <c r="BX92" i="1"/>
  <c r="BX91" i="1"/>
  <c r="BX180" i="1"/>
  <c r="BX179" i="1"/>
  <c r="BX178" i="1"/>
  <c r="BX177" i="1"/>
  <c r="BX223" i="1"/>
  <c r="BX222" i="1"/>
  <c r="BX221" i="1"/>
  <c r="BX220" i="1"/>
  <c r="CD41" i="1"/>
  <c r="EV41" i="1" s="1"/>
  <c r="EW41" i="1" s="1"/>
  <c r="BX134" i="1"/>
  <c r="BX135" i="1"/>
  <c r="BX136" i="1"/>
  <c r="BX8" i="1" l="1"/>
  <c r="BX5" i="1"/>
</calcChain>
</file>

<file path=xl/sharedStrings.xml><?xml version="1.0" encoding="utf-8"?>
<sst xmlns="http://schemas.openxmlformats.org/spreadsheetml/2006/main" count="789" uniqueCount="105">
  <si>
    <t>AVERAGE EXPERT AGREEMENT CALCULATION</t>
  </si>
  <si>
    <t>CRITERION 1: ANSWERABILITY</t>
  </si>
  <si>
    <t>QUESTION 1</t>
  </si>
  <si>
    <t>QUESTION 2</t>
  </si>
  <si>
    <t>QUESTION 3</t>
  </si>
  <si>
    <t>QUESTION 4</t>
  </si>
  <si>
    <t>QUESTION 5</t>
  </si>
  <si>
    <t>QUESTION 6</t>
  </si>
  <si>
    <t>QUESTION 7</t>
  </si>
  <si>
    <t>QUESTION 8</t>
  </si>
  <si>
    <t>QUESTION 9</t>
  </si>
  <si>
    <t>QUESTION 10</t>
  </si>
  <si>
    <t>QUESTION 11</t>
  </si>
  <si>
    <t>QUESTION 12</t>
  </si>
  <si>
    <t>QUESTION 13</t>
  </si>
  <si>
    <t>QUESTION 14</t>
  </si>
  <si>
    <t>QUESTION 15</t>
  </si>
  <si>
    <t>QUESTION 16</t>
  </si>
  <si>
    <t>QUESTION 17</t>
  </si>
  <si>
    <t>QUESTION 18</t>
  </si>
  <si>
    <t>SUM</t>
  </si>
  <si>
    <t>AEA</t>
  </si>
  <si>
    <t>AW</t>
  </si>
  <si>
    <t>AL</t>
  </si>
  <si>
    <t>BJ</t>
  </si>
  <si>
    <t>CH</t>
  </si>
  <si>
    <t>CV</t>
  </si>
  <si>
    <t>FA</t>
  </si>
  <si>
    <t>JB</t>
  </si>
  <si>
    <t>JC</t>
  </si>
  <si>
    <t>JL</t>
  </si>
  <si>
    <t>KH</t>
  </si>
  <si>
    <t>KY</t>
  </si>
  <si>
    <t>MR</t>
  </si>
  <si>
    <t>RM</t>
  </si>
  <si>
    <t>SC</t>
  </si>
  <si>
    <t>SD</t>
  </si>
  <si>
    <t>TD</t>
  </si>
  <si>
    <t>YP</t>
  </si>
  <si>
    <t>ZL</t>
  </si>
  <si>
    <t>ZB</t>
  </si>
  <si>
    <t>Answers</t>
  </si>
  <si>
    <t>Sum</t>
  </si>
  <si>
    <t>Score 1</t>
  </si>
  <si>
    <t>CRITERION 1 STATS</t>
  </si>
  <si>
    <t>"1"</t>
  </si>
  <si>
    <t>"0"</t>
  </si>
  <si>
    <t>"0,5"</t>
  </si>
  <si>
    <t>"Blank"</t>
  </si>
  <si>
    <t>What should constitute an essential package of preconception health interventions for all girls and women of reproductive age?</t>
  </si>
  <si>
    <t>MEAN</t>
  </si>
  <si>
    <t>How can preconception care be most effectively integrated into RMNCH programs for service delivery at scale?</t>
  </si>
  <si>
    <t>STDEV</t>
  </si>
  <si>
    <t xml:space="preserve">What alternative delivery approaches can be developed to increase coverage and affordability of preconception interventions among girls and women in different settings (ie. urban, peri-urban and rural)? </t>
  </si>
  <si>
    <t>MIN</t>
  </si>
  <si>
    <t>How can communication channels (mass media, social networking) be used to increase healthy preconception behaviors and demand for preconception services?</t>
  </si>
  <si>
    <t>MAX</t>
  </si>
  <si>
    <t>What is the effect, cost and feasibility of using cell phones and other information technologies to improve capacities of front-line workers to target and follow-up women of reproductive age for improved preconception health care?</t>
  </si>
  <si>
    <t>How can cell phones and other information technologies be best utilized to improve care-seeking for preconception services and healthy behaviors, especially amongst adolescents?</t>
  </si>
  <si>
    <t>How can economic incentives and performance-based payments be used to increase healthy preconception behaviors and demand for preconception services?</t>
  </si>
  <si>
    <t xml:space="preserve">How can the supply chain for commodities for effective preconception services (nutrition, contraception, medications for chronic and infectious diseases) be integrated with other logistical systems so that it is more reliable and effective?  </t>
  </si>
  <si>
    <t>What are the most effective strategies to involve men in improving preconception health in community and primary healthcare settings?</t>
  </si>
  <si>
    <t>How can effective interventions to prevent adolescent pregnancy and repeat adolescent pregnancy be delivered at scale?</t>
  </si>
  <si>
    <t>How can effective interventions (that increase demand, care-seeking and access) to promote adolescent health and nutrition be delivered at scale?</t>
  </si>
  <si>
    <t>What are effective strategies to increase the demand for and supply of contraceptives for women, including multiparas, during their later reproductive years?</t>
  </si>
  <si>
    <t>What approaches work to increase the use of effective contraception, especially long-acting methods, particularly in the postnatal and post-abortion time periods?</t>
  </si>
  <si>
    <t>What strategies could be developed to promote knowledge of and access to emergency contraception?</t>
  </si>
  <si>
    <t xml:space="preserve">How can the quality of and access to comprehensive post-abortion care services, (including contraceptive counseling, provided by different cadres of healthcare workers, and adaptation to maximize uptake by adolescents) be improved? </t>
  </si>
  <si>
    <t xml:space="preserve">How can preconception nutrition interventions, such as diet diversity, micronutrient supplementation/fortification and achieving optimal BMI, be integrated into broader nutrition and/or health programs and delivered in a cost-effective manner? </t>
  </si>
  <si>
    <t>What are the most effective strategies to scale up the prevention/ detection/ treatment of malaria and helminthiasis to reduce anemia in women of reproductive age?</t>
  </si>
  <si>
    <t xml:space="preserve">How can partnerships with other sectors including agriculture, industry, and education be developed to increase the distribution and consumption of nutritious foods and supplements? </t>
  </si>
  <si>
    <t xml:space="preserve">What effective, affordable strategies could be developed to provide effective STI/HIV identification and management, including early antiretroviral therapy, as part of preconception care, and how could these be adapted to maximize uptake by adolescents? </t>
  </si>
  <si>
    <t>Develop and evaluate the effect and cost of different delivery strategies for an immunization package for girls including rubella and tetanus, and others as appropriate</t>
  </si>
  <si>
    <t>How can task-shifting to community health workers to screen for chronic conditions among women during the preconception period and take appropriate action (such as referring to specialist, counselling, refer to support groups) be effectively enabled?</t>
  </si>
  <si>
    <t xml:space="preserve">What are effective, affordable and feasible means to screen for diabetes affecting girls and women before conception? </t>
  </si>
  <si>
    <t xml:space="preserve">What are effective, affordable and feasible means to screen for hypertension affecting girls and women before conception? </t>
  </si>
  <si>
    <t xml:space="preserve">What are effective, affordable and feasible means to screen for cardiac disease affecting girls and women before conception? </t>
  </si>
  <si>
    <t>How can a package of promotive and preventive mental health interventions for women and girls be effectively and feasibly provided through community health workers and/or groups, with linkages to the primary healthcare system for treatment?</t>
  </si>
  <si>
    <t xml:space="preserve">What effective strategies could be developed to prevent and respond to coerced sex and intimate partner violence in women and girls? </t>
  </si>
  <si>
    <t>What are the best approaches for ensuring that women avoid tobacco use in the preconception period?</t>
  </si>
  <si>
    <t>What are the most effective approaches for ensuring that women do not consume harmful levels of alcohol (especially binge and heavy drinking) during the preconception period?</t>
  </si>
  <si>
    <t>What is the effect, cost and feasibility of a package for community-based genetic screening, that includes screening using a complete medical history, basic laboratory investigations, minimum laboratory requirements, counseling and post-screening services (for hemoglobinopathies, or similar genetic diseases)?</t>
  </si>
  <si>
    <t>What is the feasibility of addressing the risks for consanguinity in a culturally-appropriate manner?</t>
  </si>
  <si>
    <t>What are the principal ethical concerns for implementing genetic screening and bio-banking in the community settings, and what approaches could be developed to address them?</t>
  </si>
  <si>
    <t>What are the public health approaches to regulate and reduce environmental exposures to smoke stoves?</t>
  </si>
  <si>
    <t>What are the public health approaches to regulate and reduce exposures to environmental tobacco smoke?</t>
  </si>
  <si>
    <t>What are the public health approaches to regulate and reduce environmental exposures to lead?</t>
  </si>
  <si>
    <t>What effective strategies can be developed to modify individuals' behavior to reduce their environmental exposures to smoke stoves?</t>
  </si>
  <si>
    <t>What effective strategies can be developed to modify individuals' behavior to reduce their exposures to environmental tobacco smoke?</t>
  </si>
  <si>
    <t>What effective strategies can be developed to modify individuals' behavior to reduce their environmental exposures to lead?</t>
  </si>
  <si>
    <t>CRITERION 2: EFFECTIVENESS</t>
  </si>
  <si>
    <t>Score 2</t>
  </si>
  <si>
    <t>CRITERION 2 STATS</t>
  </si>
  <si>
    <t>CRITERION 3: DELIVERABILITY</t>
  </si>
  <si>
    <t>CRITERION 4: IMPACT- PREGNANCY OUTCOMES</t>
  </si>
  <si>
    <t>o</t>
  </si>
  <si>
    <t xml:space="preserve">CRITERION 5: </t>
  </si>
  <si>
    <t>CRITERION 6: EQUITY</t>
  </si>
  <si>
    <t>1. Whether you had 20 scores for all questions</t>
  </si>
  <si>
    <t>2. Changed formatting to "Number" (to avoid text), which have 1 decimal place for all entries</t>
  </si>
  <si>
    <t>3. Unified font style and size of the scores</t>
  </si>
  <si>
    <t>4. Checked for 0.5 - found 1 entry - replaced with 0,5</t>
  </si>
  <si>
    <t>5. Checked formulae</t>
  </si>
  <si>
    <t>KT/FD</t>
  </si>
  <si>
    <t>MT/ME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</si>
</sst>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27" x14ac:knownFonts="1">
    <font>
      <sz val="11"/>
      <color theme="1"/>
      <name val="Calibri"/>
      <family val="2"/>
      <charset val="238"/>
      <scheme val="minor"/>
    </font>
    <font>
      <sz val="11"/>
      <color theme="1"/>
      <name val="Calibri"/>
      <family val="2"/>
      <scheme val="minor"/>
    </font>
    <font>
      <sz val="9"/>
      <color theme="1"/>
      <name val="Arial"/>
      <family val="2"/>
      <charset val="238"/>
    </font>
    <font>
      <sz val="11"/>
      <color theme="0"/>
      <name val="Calibri"/>
      <family val="2"/>
      <charset val="238"/>
      <scheme val="minor"/>
    </font>
    <font>
      <sz val="10"/>
      <color theme="1"/>
      <name val="Arial"/>
      <family val="2"/>
    </font>
    <font>
      <sz val="10"/>
      <name val="Arial"/>
      <family val="2"/>
    </font>
    <font>
      <sz val="11"/>
      <color theme="1"/>
      <name val="Arial"/>
      <family val="2"/>
    </font>
    <font>
      <sz val="9"/>
      <name val="Arial"/>
      <family val="2"/>
      <charset val="238"/>
    </font>
    <font>
      <sz val="11"/>
      <name val="Arial"/>
      <family val="2"/>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charset val="238"/>
    </font>
    <font>
      <b/>
      <sz val="11"/>
      <color indexed="63"/>
      <name val="Calibri"/>
      <family val="2"/>
    </font>
    <font>
      <b/>
      <sz val="18"/>
      <color indexed="62"/>
      <name val="Cambria"/>
      <family val="2"/>
    </font>
    <font>
      <b/>
      <sz val="11"/>
      <color indexed="8"/>
      <name val="Calibri"/>
      <family val="2"/>
    </font>
    <font>
      <sz val="11"/>
      <color indexed="10"/>
      <name val="Calibri"/>
      <family val="2"/>
    </font>
  </fonts>
  <fills count="30">
    <fill>
      <patternFill patternType="none"/>
    </fill>
    <fill>
      <patternFill patternType="gray125"/>
    </fill>
    <fill>
      <patternFill patternType="solid">
        <fgColor rgb="FF66FFFF"/>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rgb="FFFF0000"/>
        <bgColor indexed="64"/>
      </patternFill>
    </fill>
    <fill>
      <patternFill patternType="solid">
        <fgColor rgb="FF00FF9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9"/>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s>
  <borders count="25">
    <border>
      <left/>
      <right/>
      <top/>
      <bottom/>
      <diagonal/>
    </border>
    <border>
      <left style="thick">
        <color auto="1"/>
      </left>
      <right style="thick">
        <color auto="1"/>
      </right>
      <top style="thick">
        <color auto="1"/>
      </top>
      <bottom style="thick">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medium">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5">
    <xf numFmtId="0" fontId="0" fillId="0" borderId="0"/>
    <xf numFmtId="0" fontId="5"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5" borderId="0" applyNumberFormat="0" applyBorder="0" applyAlignment="0" applyProtection="0"/>
    <xf numFmtId="0" fontId="9" fillId="18"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19" borderId="0" applyNumberFormat="0" applyBorder="0" applyAlignment="0" applyProtection="0"/>
    <xf numFmtId="0" fontId="9" fillId="22" borderId="0" applyNumberFormat="0" applyBorder="0" applyAlignment="0" applyProtection="0"/>
    <xf numFmtId="0" fontId="9" fillId="16" borderId="0" applyNumberFormat="0" applyBorder="0" applyAlignment="0" applyProtection="0"/>
    <xf numFmtId="0" fontId="10" fillId="23"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16"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1" fillId="27" borderId="0" applyNumberFormat="0" applyBorder="0" applyAlignment="0" applyProtection="0"/>
    <xf numFmtId="0" fontId="12" fillId="15" borderId="16" applyNumberFormat="0" applyAlignment="0" applyProtection="0"/>
    <xf numFmtId="0" fontId="13" fillId="28" borderId="17" applyNumberFormat="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18" applyNumberFormat="0" applyFill="0" applyAlignment="0" applyProtection="0"/>
    <xf numFmtId="0" fontId="17" fillId="0" borderId="19" applyNumberFormat="0" applyFill="0" applyAlignment="0" applyProtection="0"/>
    <xf numFmtId="0" fontId="18" fillId="0" borderId="20" applyNumberFormat="0" applyFill="0" applyAlignment="0" applyProtection="0"/>
    <xf numFmtId="0" fontId="18" fillId="0" borderId="0" applyNumberFormat="0" applyFill="0" applyBorder="0" applyAlignment="0" applyProtection="0"/>
    <xf numFmtId="0" fontId="19" fillId="16" borderId="16" applyNumberFormat="0" applyAlignment="0" applyProtection="0"/>
    <xf numFmtId="0" fontId="20" fillId="0" borderId="21" applyNumberFormat="0" applyFill="0" applyAlignment="0" applyProtection="0"/>
    <xf numFmtId="0" fontId="21" fillId="21" borderId="0" applyNumberFormat="0" applyBorder="0" applyAlignment="0" applyProtection="0"/>
    <xf numFmtId="0" fontId="22" fillId="0" borderId="0"/>
    <xf numFmtId="0" fontId="1" fillId="0" borderId="0"/>
    <xf numFmtId="0" fontId="5" fillId="17" borderId="22" applyNumberFormat="0" applyFont="0" applyAlignment="0" applyProtection="0"/>
    <xf numFmtId="0" fontId="23" fillId="15" borderId="23" applyNumberFormat="0" applyAlignment="0" applyProtection="0"/>
    <xf numFmtId="0" fontId="24" fillId="0" borderId="0" applyNumberFormat="0" applyFill="0" applyBorder="0" applyAlignment="0" applyProtection="0"/>
    <xf numFmtId="0" fontId="25" fillId="0" borderId="24" applyNumberFormat="0" applyFill="0" applyAlignment="0" applyProtection="0"/>
    <xf numFmtId="0" fontId="26" fillId="0" borderId="0" applyNumberFormat="0" applyFill="0" applyBorder="0" applyAlignment="0" applyProtection="0"/>
  </cellStyleXfs>
  <cellXfs count="53">
    <xf numFmtId="0" fontId="0" fillId="0" borderId="0" xfId="0"/>
    <xf numFmtId="0" fontId="2" fillId="0" borderId="0" xfId="0" applyFont="1"/>
    <xf numFmtId="164" fontId="0" fillId="0" borderId="0" xfId="0" applyNumberFormat="1"/>
    <xf numFmtId="165" fontId="0" fillId="0" borderId="0" xfId="0" applyNumberFormat="1"/>
    <xf numFmtId="0" fontId="0" fillId="2" borderId="0" xfId="0" applyFill="1"/>
    <xf numFmtId="0" fontId="2" fillId="3" borderId="1" xfId="0" applyFont="1" applyFill="1" applyBorder="1"/>
    <xf numFmtId="0" fontId="0" fillId="4" borderId="0" xfId="0" applyFill="1"/>
    <xf numFmtId="164" fontId="0" fillId="4" borderId="0" xfId="0" applyNumberFormat="1" applyFill="1"/>
    <xf numFmtId="0" fontId="0" fillId="5" borderId="0" xfId="0" applyFill="1"/>
    <xf numFmtId="164" fontId="0" fillId="5" borderId="0" xfId="0" applyNumberFormat="1" applyFill="1"/>
    <xf numFmtId="0" fontId="0" fillId="6" borderId="0" xfId="0" applyFill="1"/>
    <xf numFmtId="164" fontId="0" fillId="6" borderId="0" xfId="0" applyNumberFormat="1" applyFill="1"/>
    <xf numFmtId="0" fontId="0" fillId="0" borderId="0" xfId="0" applyFill="1"/>
    <xf numFmtId="0" fontId="0" fillId="3" borderId="0" xfId="0" applyFill="1" applyAlignment="1">
      <alignment horizontal="center"/>
    </xf>
    <xf numFmtId="0" fontId="0" fillId="7" borderId="0" xfId="0" applyFill="1" applyAlignment="1">
      <alignment horizontal="center"/>
    </xf>
    <xf numFmtId="165" fontId="0" fillId="8" borderId="0" xfId="0" applyNumberFormat="1" applyFill="1" applyAlignment="1">
      <alignment horizontal="center"/>
    </xf>
    <xf numFmtId="0" fontId="0" fillId="9" borderId="0" xfId="0" applyFill="1"/>
    <xf numFmtId="0" fontId="0" fillId="10"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3" fillId="13" borderId="0" xfId="0" applyFont="1" applyFill="1" applyAlignment="1">
      <alignment horizontal="center"/>
    </xf>
    <xf numFmtId="0" fontId="4" fillId="0" borderId="2" xfId="0" applyFont="1" applyBorder="1" applyAlignment="1">
      <alignment horizontal="left" vertical="top" wrapText="1"/>
    </xf>
    <xf numFmtId="0" fontId="0" fillId="3" borderId="2" xfId="0" applyFill="1" applyBorder="1" applyAlignment="1">
      <alignment horizontal="center"/>
    </xf>
    <xf numFmtId="164" fontId="4" fillId="14" borderId="3" xfId="0" applyNumberFormat="1" applyFont="1" applyFill="1" applyBorder="1" applyProtection="1">
      <protection locked="0"/>
    </xf>
    <xf numFmtId="164" fontId="4" fillId="14" borderId="4" xfId="0" applyNumberFormat="1" applyFont="1" applyFill="1" applyBorder="1" applyProtection="1">
      <protection locked="0"/>
    </xf>
    <xf numFmtId="166" fontId="0" fillId="0" borderId="0" xfId="0" applyNumberFormat="1"/>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164" fontId="5" fillId="14" borderId="3" xfId="1" applyNumberFormat="1" applyFont="1" applyFill="1" applyBorder="1" applyProtection="1">
      <protection locked="0"/>
    </xf>
    <xf numFmtId="164" fontId="5" fillId="14" borderId="4" xfId="1" applyNumberFormat="1" applyFont="1" applyFill="1" applyBorder="1" applyProtection="1">
      <protection locked="0"/>
    </xf>
    <xf numFmtId="0" fontId="4" fillId="0" borderId="7" xfId="0" applyFont="1" applyBorder="1" applyAlignment="1">
      <alignment horizontal="left" vertical="top" wrapText="1"/>
    </xf>
    <xf numFmtId="164" fontId="5" fillId="14" borderId="8" xfId="1" applyNumberFormat="1" applyFont="1" applyFill="1" applyBorder="1" applyProtection="1">
      <protection locked="0"/>
    </xf>
    <xf numFmtId="164" fontId="5" fillId="14" borderId="9" xfId="1" applyNumberFormat="1" applyFont="1" applyFill="1" applyBorder="1" applyProtection="1">
      <protection locked="0"/>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164" fontId="6" fillId="14" borderId="0" xfId="0" applyNumberFormat="1" applyFont="1" applyFill="1"/>
    <xf numFmtId="164" fontId="6" fillId="4" borderId="0" xfId="0" applyNumberFormat="1" applyFont="1" applyFill="1"/>
    <xf numFmtId="164" fontId="6" fillId="5" borderId="0" xfId="0" applyNumberFormat="1" applyFont="1" applyFill="1"/>
    <xf numFmtId="164" fontId="6" fillId="6" borderId="0" xfId="0" applyNumberFormat="1" applyFont="1" applyFill="1"/>
    <xf numFmtId="0" fontId="7" fillId="14" borderId="0" xfId="0" applyFont="1" applyFill="1" applyBorder="1" applyAlignment="1">
      <alignment vertical="top" wrapText="1"/>
    </xf>
    <xf numFmtId="0" fontId="0" fillId="14" borderId="0" xfId="0" applyFill="1" applyBorder="1"/>
    <xf numFmtId="0" fontId="0" fillId="14" borderId="0" xfId="0" applyFill="1" applyBorder="1" applyAlignment="1">
      <alignment horizontal="center"/>
    </xf>
    <xf numFmtId="164" fontId="6" fillId="14" borderId="0" xfId="0" applyNumberFormat="1" applyFont="1" applyFill="1" applyBorder="1" applyAlignment="1">
      <alignment horizontal="center" vertical="center"/>
    </xf>
    <xf numFmtId="166" fontId="0" fillId="14" borderId="0" xfId="0" applyNumberFormat="1" applyFill="1" applyBorder="1"/>
    <xf numFmtId="164" fontId="5" fillId="14" borderId="12" xfId="1" applyNumberFormat="1" applyFont="1" applyFill="1" applyBorder="1" applyProtection="1">
      <protection locked="0"/>
    </xf>
    <xf numFmtId="164" fontId="8" fillId="14" borderId="0" xfId="1" applyNumberFormat="1" applyFont="1" applyFill="1" applyBorder="1" applyProtection="1">
      <protection locked="0"/>
    </xf>
    <xf numFmtId="0" fontId="0" fillId="14" borderId="0" xfId="0" applyFill="1"/>
    <xf numFmtId="164" fontId="4" fillId="14" borderId="13" xfId="0" applyNumberFormat="1" applyFont="1" applyFill="1" applyBorder="1" applyProtection="1">
      <protection locked="0"/>
    </xf>
    <xf numFmtId="164" fontId="5" fillId="14" borderId="13" xfId="1" applyNumberFormat="1" applyFont="1" applyFill="1" applyBorder="1" applyProtection="1">
      <protection locked="0"/>
    </xf>
    <xf numFmtId="164" fontId="5" fillId="14" borderId="14" xfId="1" applyNumberFormat="1" applyFont="1" applyFill="1" applyBorder="1" applyProtection="1">
      <protection locked="0"/>
    </xf>
    <xf numFmtId="164" fontId="5" fillId="14" borderId="9" xfId="1" quotePrefix="1" applyNumberFormat="1" applyFont="1" applyFill="1" applyBorder="1" applyProtection="1">
      <protection locked="0"/>
    </xf>
    <xf numFmtId="164" fontId="5" fillId="14" borderId="15" xfId="1" applyNumberFormat="1" applyFill="1" applyBorder="1" applyProtection="1">
      <protection locked="0"/>
    </xf>
    <xf numFmtId="164" fontId="5" fillId="14" borderId="9" xfId="1" applyNumberFormat="1" applyFill="1" applyBorder="1" applyProtection="1">
      <protection locked="0"/>
    </xf>
  </cellXfs>
  <cellStyles count="45">
    <cellStyle name="20% - Accent1 2" xfId="2"/>
    <cellStyle name="20% - Accent2 2" xfId="3"/>
    <cellStyle name="20% - Accent3 2" xfId="4"/>
    <cellStyle name="20% - Accent4 2" xfId="5"/>
    <cellStyle name="20% - Accent5 2" xfId="6"/>
    <cellStyle name="20% - Accent6 2" xfId="7"/>
    <cellStyle name="40% - Accent1 2" xfId="8"/>
    <cellStyle name="40% - Accent2 2" xfId="9"/>
    <cellStyle name="40% - Accent3 2" xfId="10"/>
    <cellStyle name="40% - Accent4 2" xfId="11"/>
    <cellStyle name="40% - Accent5 2" xfId="12"/>
    <cellStyle name="40% - Accent6 2" xfId="13"/>
    <cellStyle name="60% - Accent1 2" xfId="14"/>
    <cellStyle name="60% - Accent2 2" xfId="15"/>
    <cellStyle name="60% - Accent3 2" xfId="16"/>
    <cellStyle name="60% - Accent4 2" xfId="17"/>
    <cellStyle name="60% - Accent5 2" xfId="18"/>
    <cellStyle name="60% - Accent6 2" xfId="19"/>
    <cellStyle name="Accent1 2" xfId="20"/>
    <cellStyle name="Accent2 2" xfId="21"/>
    <cellStyle name="Accent3 2" xfId="22"/>
    <cellStyle name="Accent4 2" xfId="23"/>
    <cellStyle name="Accent5 2" xfId="24"/>
    <cellStyle name="Accent6 2" xfId="25"/>
    <cellStyle name="Bad 2" xfId="26"/>
    <cellStyle name="Calculation 2" xfId="27"/>
    <cellStyle name="Check Cell 2" xfId="28"/>
    <cellStyle name="Explanatory Text 2" xfId="29"/>
    <cellStyle name="Good 2" xfId="30"/>
    <cellStyle name="Heading 1 2" xfId="31"/>
    <cellStyle name="Heading 2 2" xfId="32"/>
    <cellStyle name="Heading 3 2" xfId="33"/>
    <cellStyle name="Heading 4 2" xfId="34"/>
    <cellStyle name="Input 2" xfId="35"/>
    <cellStyle name="Linked Cell 2" xfId="36"/>
    <cellStyle name="Neutral 2" xfId="37"/>
    <cellStyle name="Normal" xfId="0" builtinId="0"/>
    <cellStyle name="Normal 2" xfId="38"/>
    <cellStyle name="Normal 2 2" xfId="1"/>
    <cellStyle name="Normal 3" xfId="39"/>
    <cellStyle name="Note 2" xfId="40"/>
    <cellStyle name="Output 2" xfId="41"/>
    <cellStyle name="Title 2" xfId="42"/>
    <cellStyle name="Total 2" xfId="43"/>
    <cellStyle name="Warning Text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W265"/>
  <sheetViews>
    <sheetView tabSelected="1" topLeftCell="E1" zoomScale="60" zoomScaleNormal="60" workbookViewId="0">
      <selection activeCell="O4" sqref="O4"/>
    </sheetView>
  </sheetViews>
  <sheetFormatPr defaultRowHeight="15" x14ac:dyDescent="0.25"/>
  <cols>
    <col min="2" max="2" width="68.85546875" style="1" customWidth="1"/>
    <col min="20" max="20" width="9.140625" style="2"/>
    <col min="42" max="42" width="9.140625" style="2"/>
    <col min="64" max="64" width="9.140625" style="2"/>
    <col min="74" max="74" width="9.140625" style="3"/>
  </cols>
  <sheetData>
    <row r="2" spans="2:153" ht="15.75" thickBot="1" x14ac:dyDescent="0.3">
      <c r="CA2" s="4" t="s">
        <v>0</v>
      </c>
      <c r="CB2" s="4"/>
      <c r="CC2" s="4"/>
      <c r="CD2" s="4"/>
      <c r="CE2" s="4"/>
      <c r="CF2" s="4"/>
    </row>
    <row r="3" spans="2:153" ht="16.5" thickTop="1" thickBot="1" x14ac:dyDescent="0.3">
      <c r="B3" s="5" t="s">
        <v>1</v>
      </c>
      <c r="E3" s="6" t="s">
        <v>2</v>
      </c>
      <c r="F3" s="6"/>
      <c r="G3" s="6"/>
      <c r="H3" s="6"/>
      <c r="I3" s="6"/>
      <c r="J3" s="6"/>
      <c r="K3" s="6"/>
      <c r="L3" s="6"/>
      <c r="M3" s="6"/>
      <c r="N3" s="6"/>
      <c r="O3" s="6"/>
      <c r="P3" s="6"/>
      <c r="Q3" s="6"/>
      <c r="R3" s="6"/>
      <c r="S3" s="6"/>
      <c r="T3" s="7"/>
      <c r="U3" s="6"/>
      <c r="V3" s="6"/>
      <c r="W3" s="6"/>
      <c r="X3" s="6"/>
      <c r="Y3" s="6"/>
      <c r="Z3" s="6"/>
      <c r="AA3" s="8" t="s">
        <v>3</v>
      </c>
      <c r="AB3" s="8"/>
      <c r="AC3" s="8"/>
      <c r="AD3" s="8"/>
      <c r="AE3" s="8"/>
      <c r="AF3" s="8"/>
      <c r="AG3" s="8"/>
      <c r="AH3" s="8"/>
      <c r="AI3" s="8"/>
      <c r="AJ3" s="8"/>
      <c r="AK3" s="8"/>
      <c r="AL3" s="8"/>
      <c r="AM3" s="8"/>
      <c r="AN3" s="8"/>
      <c r="AO3" s="8"/>
      <c r="AP3" s="9"/>
      <c r="AQ3" s="8"/>
      <c r="AR3" s="8"/>
      <c r="AS3" s="8"/>
      <c r="AT3" s="8"/>
      <c r="AU3" s="8"/>
      <c r="AV3" s="8"/>
      <c r="AW3" s="10" t="s">
        <v>4</v>
      </c>
      <c r="AX3" s="10"/>
      <c r="AY3" s="10"/>
      <c r="AZ3" s="10"/>
      <c r="BA3" s="10"/>
      <c r="BB3" s="10"/>
      <c r="BC3" s="10"/>
      <c r="BD3" s="10"/>
      <c r="BE3" s="10"/>
      <c r="BF3" s="10"/>
      <c r="BG3" s="10"/>
      <c r="BH3" s="10"/>
      <c r="BI3" s="10"/>
      <c r="BJ3" s="10"/>
      <c r="BK3" s="10"/>
      <c r="BL3" s="11"/>
      <c r="BM3" s="10"/>
      <c r="BN3" s="10"/>
      <c r="BO3" s="10"/>
      <c r="BP3" s="10"/>
      <c r="BQ3" s="10"/>
      <c r="BR3" s="10"/>
      <c r="CA3" s="6" t="s">
        <v>2</v>
      </c>
      <c r="CB3" s="6"/>
      <c r="CC3" s="6"/>
      <c r="CD3" s="6"/>
      <c r="CE3" s="8" t="s">
        <v>3</v>
      </c>
      <c r="CF3" s="8"/>
      <c r="CG3" s="8"/>
      <c r="CH3" s="8"/>
      <c r="CI3" s="10" t="s">
        <v>4</v>
      </c>
      <c r="CJ3" s="10"/>
      <c r="CK3" s="10"/>
      <c r="CL3" s="10"/>
      <c r="CM3" s="6" t="s">
        <v>5</v>
      </c>
      <c r="CN3" s="6"/>
      <c r="CO3" s="6"/>
      <c r="CP3" s="6"/>
      <c r="CQ3" s="8" t="s">
        <v>6</v>
      </c>
      <c r="CR3" s="8"/>
      <c r="CS3" s="8"/>
      <c r="CT3" s="8"/>
      <c r="CU3" s="10" t="s">
        <v>7</v>
      </c>
      <c r="CV3" s="10"/>
      <c r="CW3" s="10"/>
      <c r="CX3" s="10"/>
      <c r="CY3" s="6" t="s">
        <v>8</v>
      </c>
      <c r="CZ3" s="6"/>
      <c r="DA3" s="6"/>
      <c r="DB3" s="6"/>
      <c r="DC3" s="8" t="s">
        <v>9</v>
      </c>
      <c r="DD3" s="8"/>
      <c r="DE3" s="8"/>
      <c r="DF3" s="8"/>
      <c r="DG3" s="10" t="s">
        <v>10</v>
      </c>
      <c r="DH3" s="10"/>
      <c r="DI3" s="10"/>
      <c r="DJ3" s="10"/>
      <c r="DK3" s="6" t="s">
        <v>11</v>
      </c>
      <c r="DL3" s="6"/>
      <c r="DM3" s="6"/>
      <c r="DN3" s="6"/>
      <c r="DO3" s="8" t="s">
        <v>12</v>
      </c>
      <c r="DP3" s="8"/>
      <c r="DQ3" s="8"/>
      <c r="DR3" s="8"/>
      <c r="DS3" s="10" t="s">
        <v>13</v>
      </c>
      <c r="DT3" s="10"/>
      <c r="DU3" s="10"/>
      <c r="DV3" s="10"/>
      <c r="DW3" s="6" t="s">
        <v>14</v>
      </c>
      <c r="DX3" s="6"/>
      <c r="DY3" s="6"/>
      <c r="DZ3" s="6"/>
      <c r="EA3" s="8" t="s">
        <v>15</v>
      </c>
      <c r="EB3" s="8"/>
      <c r="EC3" s="8"/>
      <c r="ED3" s="8"/>
      <c r="EE3" s="10" t="s">
        <v>16</v>
      </c>
      <c r="EF3" s="10"/>
      <c r="EG3" s="10"/>
      <c r="EH3" s="10"/>
      <c r="EI3" s="6" t="s">
        <v>17</v>
      </c>
      <c r="EJ3" s="6"/>
      <c r="EK3" s="6"/>
      <c r="EL3" s="6"/>
      <c r="EM3" s="8" t="s">
        <v>18</v>
      </c>
      <c r="EN3" s="8"/>
      <c r="EO3" s="8"/>
      <c r="EP3" s="8"/>
      <c r="EQ3" s="10" t="s">
        <v>19</v>
      </c>
      <c r="ER3" s="10"/>
      <c r="ES3" s="10"/>
      <c r="ET3" s="10"/>
      <c r="EV3" s="4" t="s">
        <v>20</v>
      </c>
      <c r="EW3" s="4" t="s">
        <v>21</v>
      </c>
    </row>
    <row r="4" spans="2:153" ht="16.5" thickTop="1" thickBot="1" x14ac:dyDescent="0.3">
      <c r="D4" s="6"/>
      <c r="E4" s="6" t="s">
        <v>22</v>
      </c>
      <c r="F4" s="6" t="s">
        <v>23</v>
      </c>
      <c r="G4" s="6" t="s">
        <v>24</v>
      </c>
      <c r="H4" s="6" t="s">
        <v>25</v>
      </c>
      <c r="I4" s="6" t="s">
        <v>26</v>
      </c>
      <c r="J4" s="6" t="s">
        <v>27</v>
      </c>
      <c r="K4" s="6" t="s">
        <v>28</v>
      </c>
      <c r="L4" s="6" t="s">
        <v>29</v>
      </c>
      <c r="M4" s="6" t="s">
        <v>30</v>
      </c>
      <c r="N4" s="6" t="s">
        <v>31</v>
      </c>
      <c r="O4" s="6" t="s">
        <v>103</v>
      </c>
      <c r="P4" s="6" t="s">
        <v>32</v>
      </c>
      <c r="Q4" s="6" t="s">
        <v>33</v>
      </c>
      <c r="R4" s="6" t="s">
        <v>104</v>
      </c>
      <c r="S4" s="6" t="s">
        <v>34</v>
      </c>
      <c r="T4" s="7" t="s">
        <v>35</v>
      </c>
      <c r="U4" s="6" t="s">
        <v>35</v>
      </c>
      <c r="V4" s="6" t="s">
        <v>36</v>
      </c>
      <c r="W4" s="6" t="s">
        <v>37</v>
      </c>
      <c r="X4" s="6" t="s">
        <v>38</v>
      </c>
      <c r="Y4" s="6" t="s">
        <v>39</v>
      </c>
      <c r="Z4" s="6" t="s">
        <v>40</v>
      </c>
      <c r="AA4" s="6" t="s">
        <v>22</v>
      </c>
      <c r="AB4" s="6" t="s">
        <v>23</v>
      </c>
      <c r="AC4" s="6" t="s">
        <v>24</v>
      </c>
      <c r="AD4" s="6" t="s">
        <v>25</v>
      </c>
      <c r="AE4" s="6" t="s">
        <v>26</v>
      </c>
      <c r="AF4" s="6" t="s">
        <v>27</v>
      </c>
      <c r="AG4" s="6" t="s">
        <v>28</v>
      </c>
      <c r="AH4" s="6" t="s">
        <v>29</v>
      </c>
      <c r="AI4" s="6" t="s">
        <v>30</v>
      </c>
      <c r="AJ4" s="6" t="s">
        <v>31</v>
      </c>
      <c r="AK4" s="6" t="s">
        <v>103</v>
      </c>
      <c r="AL4" s="6" t="s">
        <v>32</v>
      </c>
      <c r="AM4" s="6" t="s">
        <v>33</v>
      </c>
      <c r="AN4" s="6" t="s">
        <v>104</v>
      </c>
      <c r="AO4" s="6" t="s">
        <v>34</v>
      </c>
      <c r="AP4" s="7" t="s">
        <v>35</v>
      </c>
      <c r="AQ4" s="6" t="s">
        <v>35</v>
      </c>
      <c r="AR4" s="6" t="s">
        <v>36</v>
      </c>
      <c r="AS4" s="6" t="s">
        <v>37</v>
      </c>
      <c r="AT4" s="6" t="s">
        <v>38</v>
      </c>
      <c r="AU4" s="6" t="s">
        <v>39</v>
      </c>
      <c r="AV4" s="6" t="s">
        <v>40</v>
      </c>
      <c r="AW4" s="6" t="s">
        <v>22</v>
      </c>
      <c r="AX4" s="6" t="s">
        <v>23</v>
      </c>
      <c r="AY4" s="6" t="s">
        <v>24</v>
      </c>
      <c r="AZ4" s="6" t="s">
        <v>25</v>
      </c>
      <c r="BA4" s="6" t="s">
        <v>26</v>
      </c>
      <c r="BB4" s="6" t="s">
        <v>27</v>
      </c>
      <c r="BC4" s="6" t="s">
        <v>28</v>
      </c>
      <c r="BD4" s="6" t="s">
        <v>29</v>
      </c>
      <c r="BE4" s="6" t="s">
        <v>30</v>
      </c>
      <c r="BF4" s="6" t="s">
        <v>31</v>
      </c>
      <c r="BG4" s="6" t="s">
        <v>103</v>
      </c>
      <c r="BH4" s="6" t="s">
        <v>32</v>
      </c>
      <c r="BI4" s="6" t="s">
        <v>33</v>
      </c>
      <c r="BJ4" s="6" t="s">
        <v>104</v>
      </c>
      <c r="BK4" s="6" t="s">
        <v>34</v>
      </c>
      <c r="BL4" s="7" t="s">
        <v>35</v>
      </c>
      <c r="BM4" s="6" t="s">
        <v>35</v>
      </c>
      <c r="BN4" s="6" t="s">
        <v>36</v>
      </c>
      <c r="BO4" s="6" t="s">
        <v>37</v>
      </c>
      <c r="BP4" s="6" t="s">
        <v>38</v>
      </c>
      <c r="BQ4" s="6" t="s">
        <v>39</v>
      </c>
      <c r="BR4" s="6" t="s">
        <v>40</v>
      </c>
      <c r="BS4" s="12"/>
      <c r="BT4" s="13" t="s">
        <v>41</v>
      </c>
      <c r="BU4" s="14" t="s">
        <v>42</v>
      </c>
      <c r="BV4" s="15" t="s">
        <v>43</v>
      </c>
      <c r="BW4" s="12"/>
      <c r="BX4" s="16" t="s">
        <v>44</v>
      </c>
      <c r="BY4" s="16"/>
      <c r="BZ4" s="12"/>
      <c r="CA4" s="17" t="s">
        <v>45</v>
      </c>
      <c r="CB4" s="18" t="s">
        <v>46</v>
      </c>
      <c r="CC4" s="19" t="s">
        <v>47</v>
      </c>
      <c r="CD4" s="20" t="s">
        <v>48</v>
      </c>
      <c r="CE4" s="17" t="s">
        <v>45</v>
      </c>
      <c r="CF4" s="18" t="s">
        <v>46</v>
      </c>
      <c r="CG4" s="19" t="s">
        <v>47</v>
      </c>
      <c r="CH4" s="20" t="s">
        <v>48</v>
      </c>
      <c r="CI4" s="17" t="s">
        <v>45</v>
      </c>
      <c r="CJ4" s="18" t="s">
        <v>46</v>
      </c>
      <c r="CK4" s="19" t="s">
        <v>47</v>
      </c>
      <c r="CL4" s="20" t="s">
        <v>48</v>
      </c>
      <c r="CM4" s="17" t="s">
        <v>45</v>
      </c>
      <c r="CN4" s="18" t="s">
        <v>46</v>
      </c>
      <c r="CO4" s="19" t="s">
        <v>47</v>
      </c>
      <c r="CP4" s="20" t="s">
        <v>48</v>
      </c>
      <c r="CQ4" s="17" t="s">
        <v>45</v>
      </c>
      <c r="CR4" s="18" t="s">
        <v>46</v>
      </c>
      <c r="CS4" s="19" t="s">
        <v>47</v>
      </c>
      <c r="CT4" s="20" t="s">
        <v>48</v>
      </c>
      <c r="CU4" s="17" t="s">
        <v>45</v>
      </c>
      <c r="CV4" s="18" t="s">
        <v>46</v>
      </c>
      <c r="CW4" s="19" t="s">
        <v>47</v>
      </c>
      <c r="CX4" s="20" t="s">
        <v>48</v>
      </c>
      <c r="CY4" s="17" t="s">
        <v>45</v>
      </c>
      <c r="CZ4" s="18" t="s">
        <v>46</v>
      </c>
      <c r="DA4" s="19" t="s">
        <v>47</v>
      </c>
      <c r="DB4" s="20" t="s">
        <v>48</v>
      </c>
      <c r="DC4" s="17" t="s">
        <v>45</v>
      </c>
      <c r="DD4" s="18" t="s">
        <v>46</v>
      </c>
      <c r="DE4" s="19" t="s">
        <v>47</v>
      </c>
      <c r="DF4" s="20" t="s">
        <v>48</v>
      </c>
      <c r="DG4" s="17" t="s">
        <v>45</v>
      </c>
      <c r="DH4" s="18" t="s">
        <v>46</v>
      </c>
      <c r="DI4" s="19" t="s">
        <v>47</v>
      </c>
      <c r="DJ4" s="20" t="s">
        <v>48</v>
      </c>
      <c r="DK4" s="17" t="s">
        <v>45</v>
      </c>
      <c r="DL4" s="18" t="s">
        <v>46</v>
      </c>
      <c r="DM4" s="19" t="s">
        <v>47</v>
      </c>
      <c r="DN4" s="20" t="s">
        <v>48</v>
      </c>
      <c r="DO4" s="17" t="s">
        <v>45</v>
      </c>
      <c r="DP4" s="18" t="s">
        <v>46</v>
      </c>
      <c r="DQ4" s="19" t="s">
        <v>47</v>
      </c>
      <c r="DR4" s="20" t="s">
        <v>48</v>
      </c>
      <c r="DS4" s="17" t="s">
        <v>45</v>
      </c>
      <c r="DT4" s="18" t="s">
        <v>46</v>
      </c>
      <c r="DU4" s="19" t="s">
        <v>47</v>
      </c>
      <c r="DV4" s="20" t="s">
        <v>48</v>
      </c>
      <c r="DW4" s="17" t="s">
        <v>45</v>
      </c>
      <c r="DX4" s="18" t="s">
        <v>46</v>
      </c>
      <c r="DY4" s="19" t="s">
        <v>47</v>
      </c>
      <c r="DZ4" s="20" t="s">
        <v>48</v>
      </c>
      <c r="EA4" s="17" t="s">
        <v>45</v>
      </c>
      <c r="EB4" s="18" t="s">
        <v>46</v>
      </c>
      <c r="EC4" s="19" t="s">
        <v>47</v>
      </c>
      <c r="ED4" s="20" t="s">
        <v>48</v>
      </c>
      <c r="EE4" s="17" t="s">
        <v>45</v>
      </c>
      <c r="EF4" s="18" t="s">
        <v>46</v>
      </c>
      <c r="EG4" s="19" t="s">
        <v>47</v>
      </c>
      <c r="EH4" s="20" t="s">
        <v>48</v>
      </c>
      <c r="EI4" s="17" t="s">
        <v>45</v>
      </c>
      <c r="EJ4" s="18" t="s">
        <v>46</v>
      </c>
      <c r="EK4" s="19" t="s">
        <v>47</v>
      </c>
      <c r="EL4" s="20" t="s">
        <v>48</v>
      </c>
      <c r="EM4" s="17" t="s">
        <v>45</v>
      </c>
      <c r="EN4" s="18" t="s">
        <v>46</v>
      </c>
      <c r="EO4" s="19" t="s">
        <v>47</v>
      </c>
      <c r="EP4" s="20" t="s">
        <v>48</v>
      </c>
      <c r="EQ4" s="17" t="s">
        <v>45</v>
      </c>
      <c r="ER4" s="18" t="s">
        <v>46</v>
      </c>
      <c r="ES4" s="19" t="s">
        <v>47</v>
      </c>
      <c r="ET4" s="20" t="s">
        <v>48</v>
      </c>
    </row>
    <row r="5" spans="2:153" ht="26.25" thickBot="1" x14ac:dyDescent="0.3">
      <c r="B5" s="21" t="s">
        <v>49</v>
      </c>
      <c r="D5" s="22">
        <v>1</v>
      </c>
      <c r="E5" s="23">
        <v>0.5</v>
      </c>
      <c r="F5" s="23">
        <v>1</v>
      </c>
      <c r="G5" s="23">
        <v>1</v>
      </c>
      <c r="H5" s="23">
        <v>1</v>
      </c>
      <c r="I5" s="23">
        <v>0</v>
      </c>
      <c r="J5" s="23">
        <v>0</v>
      </c>
      <c r="K5" s="23">
        <v>1</v>
      </c>
      <c r="L5" s="23">
        <v>0.5</v>
      </c>
      <c r="M5" s="23">
        <v>0.5</v>
      </c>
      <c r="N5" s="23">
        <v>1</v>
      </c>
      <c r="O5" s="23">
        <v>1</v>
      </c>
      <c r="P5" s="23">
        <v>1</v>
      </c>
      <c r="Q5" s="23">
        <v>1</v>
      </c>
      <c r="R5" s="23">
        <v>0</v>
      </c>
      <c r="S5" s="23">
        <v>1</v>
      </c>
      <c r="T5" s="23">
        <v>1</v>
      </c>
      <c r="U5" s="23">
        <v>1</v>
      </c>
      <c r="V5" s="23">
        <v>0.5</v>
      </c>
      <c r="W5" s="24">
        <v>1</v>
      </c>
      <c r="X5" s="23">
        <v>1</v>
      </c>
      <c r="Y5" s="23">
        <v>1</v>
      </c>
      <c r="Z5" s="23">
        <v>1</v>
      </c>
      <c r="AA5" s="24">
        <v>1</v>
      </c>
      <c r="AB5" s="24">
        <v>1</v>
      </c>
      <c r="AC5" s="24">
        <v>1</v>
      </c>
      <c r="AD5" s="24">
        <v>1</v>
      </c>
      <c r="AE5" s="24">
        <v>0</v>
      </c>
      <c r="AF5" s="24">
        <v>0</v>
      </c>
      <c r="AG5" s="24">
        <v>1</v>
      </c>
      <c r="AH5" s="24">
        <v>1</v>
      </c>
      <c r="AI5" s="24">
        <v>0.5</v>
      </c>
      <c r="AJ5" s="24">
        <v>0.5</v>
      </c>
      <c r="AK5" s="24">
        <v>0.5</v>
      </c>
      <c r="AL5" s="24">
        <v>1</v>
      </c>
      <c r="AM5" s="24">
        <v>1</v>
      </c>
      <c r="AN5" s="23">
        <v>0</v>
      </c>
      <c r="AO5" s="24">
        <v>1</v>
      </c>
      <c r="AP5" s="24">
        <v>1</v>
      </c>
      <c r="AQ5" s="23">
        <v>1</v>
      </c>
      <c r="AR5" s="24">
        <v>0.5</v>
      </c>
      <c r="AS5" s="24">
        <v>1</v>
      </c>
      <c r="AT5" s="24">
        <v>1</v>
      </c>
      <c r="AU5" s="24">
        <v>1</v>
      </c>
      <c r="AV5" s="24">
        <v>1</v>
      </c>
      <c r="AW5" s="24">
        <v>0.5</v>
      </c>
      <c r="AX5" s="24">
        <v>1</v>
      </c>
      <c r="AY5" s="24">
        <v>1</v>
      </c>
      <c r="AZ5" s="24">
        <v>1</v>
      </c>
      <c r="BA5" s="24">
        <v>1</v>
      </c>
      <c r="BB5" s="24">
        <v>0</v>
      </c>
      <c r="BC5" s="24">
        <v>1</v>
      </c>
      <c r="BD5" s="24">
        <v>1</v>
      </c>
      <c r="BE5" s="24">
        <v>1</v>
      </c>
      <c r="BF5" s="24">
        <v>1</v>
      </c>
      <c r="BG5" s="24">
        <v>1</v>
      </c>
      <c r="BH5" s="24">
        <v>1</v>
      </c>
      <c r="BI5" s="24">
        <v>1</v>
      </c>
      <c r="BJ5" s="24">
        <v>0.5</v>
      </c>
      <c r="BK5" s="24">
        <v>1</v>
      </c>
      <c r="BL5" s="24">
        <v>1</v>
      </c>
      <c r="BM5" s="23">
        <v>1</v>
      </c>
      <c r="BN5" s="24">
        <v>1</v>
      </c>
      <c r="BO5" s="24">
        <v>1</v>
      </c>
      <c r="BP5" s="24">
        <v>1</v>
      </c>
      <c r="BQ5" s="24">
        <v>0</v>
      </c>
      <c r="BR5" s="24">
        <v>0.5</v>
      </c>
      <c r="BT5">
        <f t="shared" ref="BT5:BT41" si="0">COUNT(E5:BS5)</f>
        <v>66</v>
      </c>
      <c r="BU5">
        <f t="shared" ref="BU5:BU41" si="1">SUM(E5:BR5)</f>
        <v>52.5</v>
      </c>
      <c r="BV5" s="25">
        <f>BU5/BT5</f>
        <v>0.79545454545454541</v>
      </c>
      <c r="BX5" s="25">
        <f>AVERAGE(BV5:BV41)</f>
        <v>0.86409662777738527</v>
      </c>
      <c r="BY5" t="s">
        <v>50</v>
      </c>
      <c r="CA5">
        <f t="shared" ref="CA5:CA41" si="2">COUNTIF(E5:Z5,1)</f>
        <v>15</v>
      </c>
      <c r="CB5">
        <f t="shared" ref="CB5:CB41" si="3">COUNTIF(E5:Z5,0)</f>
        <v>3</v>
      </c>
      <c r="CC5">
        <f t="shared" ref="CC5:CC41" si="4">COUNTIF(E5:Z5,0.5)</f>
        <v>4</v>
      </c>
      <c r="CD5">
        <f>22-(CA5+CB5+CC5)</f>
        <v>0</v>
      </c>
      <c r="CE5">
        <f t="shared" ref="CE5:CE41" si="5">COUNTIF(AA5:AV5,1)</f>
        <v>15</v>
      </c>
      <c r="CF5">
        <f t="shared" ref="CF5:CF41" si="6">COUNTIF(AA5:AV5,0)</f>
        <v>3</v>
      </c>
      <c r="CG5">
        <f t="shared" ref="CG5:CG41" si="7">COUNTIF(AA5:AV5,0.5)</f>
        <v>4</v>
      </c>
      <c r="CH5">
        <f>22-(CE5+CF5+CG5)</f>
        <v>0</v>
      </c>
      <c r="CI5">
        <f t="shared" ref="CI5:CI41" si="8">COUNTIF(AW5:BR5,1)</f>
        <v>17</v>
      </c>
      <c r="CJ5">
        <f t="shared" ref="CJ5:CJ41" si="9">COUNTIF(AW5:BR5,0)</f>
        <v>2</v>
      </c>
      <c r="CK5">
        <f t="shared" ref="CK5:CK41" si="10">COUNTIF(AW5:BR5,0.5)</f>
        <v>3</v>
      </c>
      <c r="CL5">
        <f>22-(CI5+CJ5+CK5)</f>
        <v>0</v>
      </c>
      <c r="CM5">
        <f t="shared" ref="CM5:CM41" si="11">COUNTIF(E48:Z48,1)</f>
        <v>14</v>
      </c>
      <c r="CN5">
        <f t="shared" ref="CN5:CN41" si="12">COUNTIF(E48:Z48,0)</f>
        <v>2</v>
      </c>
      <c r="CO5">
        <f t="shared" ref="CO5:CO41" si="13">COUNTIF(E48:Z48,0.5)</f>
        <v>5</v>
      </c>
      <c r="CP5">
        <f>22-(CM5+CN5+CO5)</f>
        <v>1</v>
      </c>
      <c r="CQ5">
        <f t="shared" ref="CQ5:CQ41" si="14">COUNTIF(AA48:AV48,1)</f>
        <v>13</v>
      </c>
      <c r="CR5">
        <f t="shared" ref="CR5:CR41" si="15">COUNTIF(AA48:AV48,0)</f>
        <v>1</v>
      </c>
      <c r="CS5">
        <f t="shared" ref="CS5:CS41" si="16">COUNTIF(AA48:AV48,0.5)</f>
        <v>8</v>
      </c>
      <c r="CT5">
        <f>22-(CQ5+CR5+CS5)</f>
        <v>0</v>
      </c>
      <c r="CU5">
        <f t="shared" ref="CU5:CU41" si="17">COUNTIF(AW48:BR48,1)</f>
        <v>9</v>
      </c>
      <c r="CV5">
        <f t="shared" ref="CV5:CV41" si="18">COUNTIF(AW48:BR48,0)</f>
        <v>5</v>
      </c>
      <c r="CW5">
        <f t="shared" ref="CW5:CW41" si="19">COUNTIF(AW48:BR48,0.5)</f>
        <v>5</v>
      </c>
      <c r="CX5">
        <f>22-(CU5+CV5+CW5)</f>
        <v>3</v>
      </c>
      <c r="CY5">
        <f t="shared" ref="CY5:CY41" si="20">COUNTIF(E91:Z91,1)</f>
        <v>13</v>
      </c>
      <c r="CZ5">
        <f t="shared" ref="CZ5:CZ41" si="21">COUNTIF(E91:Z91,0)</f>
        <v>1</v>
      </c>
      <c r="DA5">
        <f t="shared" ref="DA5:DA41" si="22">COUNTIF(E91:Z91,0.5)</f>
        <v>8</v>
      </c>
      <c r="DB5">
        <f>22-(CY5+CZ5+DA5)</f>
        <v>0</v>
      </c>
      <c r="DC5">
        <f t="shared" ref="DC5:DC41" si="23">COUNTIF(AA91:AV91,1)</f>
        <v>10</v>
      </c>
      <c r="DD5">
        <f t="shared" ref="DD5:DD41" si="24">COUNTIF(AA91:AV91,0)</f>
        <v>2</v>
      </c>
      <c r="DE5">
        <f t="shared" ref="DE5:DE41" si="25">COUNTIF(AA91:AV91,0.5)</f>
        <v>10</v>
      </c>
      <c r="DF5">
        <f>22-(DC5+DD5+DE5)</f>
        <v>0</v>
      </c>
      <c r="DG5">
        <f t="shared" ref="DG5:DG41" si="26">COUNTIF(AW91:BR91,1)</f>
        <v>11</v>
      </c>
      <c r="DH5">
        <f t="shared" ref="DH5:DH41" si="27">COUNTIF(AW91:BR91,0)</f>
        <v>2</v>
      </c>
      <c r="DI5">
        <f t="shared" ref="DI5:DI41" si="28">COUNTIF(AW91:BR91,0.5)</f>
        <v>9</v>
      </c>
      <c r="DJ5">
        <f>22-(DG5+DH5+DI5)</f>
        <v>0</v>
      </c>
      <c r="DK5">
        <f t="shared" ref="DK5:DK41" si="29">COUNTIF(E134:Z134,1)</f>
        <v>17</v>
      </c>
      <c r="DL5">
        <f t="shared" ref="DL5:DL41" si="30">COUNTIF(E134:Z134,0)</f>
        <v>1</v>
      </c>
      <c r="DM5">
        <f t="shared" ref="DM5:DM41" si="31">COUNTIF(E134:Z134,0.5)</f>
        <v>4</v>
      </c>
      <c r="DN5">
        <f>22-(DK5+DL5+DM5)</f>
        <v>0</v>
      </c>
      <c r="DO5">
        <f t="shared" ref="DO5:DO41" si="32">COUNTIF(AA134:AV134,1)</f>
        <v>13</v>
      </c>
      <c r="DP5">
        <f t="shared" ref="DP5:DP41" si="33">COUNTIF(AA134:AV134,0)</f>
        <v>0</v>
      </c>
      <c r="DQ5">
        <f t="shared" ref="DQ5:DQ41" si="34">COUNTIF(AA134:AV134,0.5)</f>
        <v>9</v>
      </c>
      <c r="DR5">
        <f>22-(DO5+DP5+DQ5)</f>
        <v>0</v>
      </c>
      <c r="DS5">
        <f t="shared" ref="DS5:DS41" si="35">COUNTIF(AW134:BR134,1)</f>
        <v>16</v>
      </c>
      <c r="DT5">
        <f t="shared" ref="DT5:DT41" si="36">COUNTIF(AW134:BR134,0)</f>
        <v>1</v>
      </c>
      <c r="DU5">
        <f t="shared" ref="DU5:DU41" si="37">COUNTIF(AW134:BR134,0.5)</f>
        <v>5</v>
      </c>
      <c r="DV5">
        <f>22-(DS5+DT5+DU5)</f>
        <v>0</v>
      </c>
      <c r="DW5">
        <f t="shared" ref="DW5:DW41" si="38">COUNTIF(E177:Z177,1)</f>
        <v>16</v>
      </c>
      <c r="DX5">
        <f t="shared" ref="DX5:DX41" si="39">COUNTIF(E177:Z177,0)</f>
        <v>2</v>
      </c>
      <c r="DY5">
        <f t="shared" ref="DY5:DY41" si="40">COUNTIF(E177:Z177,0.5)</f>
        <v>4</v>
      </c>
      <c r="DZ5">
        <f>22-(DW5+DX5+DY5)</f>
        <v>0</v>
      </c>
      <c r="EA5">
        <f t="shared" ref="EA5:EA41" si="41">COUNTIF(AA177:AV177,1)</f>
        <v>13</v>
      </c>
      <c r="EB5">
        <f t="shared" ref="EB5:EB41" si="42">COUNTIF(AA177:AV177,0)</f>
        <v>1</v>
      </c>
      <c r="EC5">
        <f t="shared" ref="EC5:EC41" si="43">COUNTIF(AA177:AV177,0.5)</f>
        <v>8</v>
      </c>
      <c r="ED5">
        <f>22-(EA5+EB5+EC5)</f>
        <v>0</v>
      </c>
      <c r="EE5">
        <f t="shared" ref="EE5:EE41" si="44">COUNTIF(AW177:BR177,1)</f>
        <v>16</v>
      </c>
      <c r="EF5">
        <f t="shared" ref="EF5:EF41" si="45">COUNTIF(AW177:BR177,0)</f>
        <v>0</v>
      </c>
      <c r="EG5">
        <f t="shared" ref="EG5:EG41" si="46">COUNTIF(AW177:BR177,0.5)</f>
        <v>6</v>
      </c>
      <c r="EH5">
        <f>22-(EE5+EF5+EG5)</f>
        <v>0</v>
      </c>
      <c r="EI5">
        <f>COUNTIF(E220:Z220,1)</f>
        <v>13</v>
      </c>
      <c r="EJ5">
        <f>COUNTIF(E220:Z220,0)</f>
        <v>3</v>
      </c>
      <c r="EK5">
        <f>COUNTIF(E220:Z220,0.5)</f>
        <v>5</v>
      </c>
      <c r="EL5">
        <f>22-(EI5+EJ5+EK5)</f>
        <v>1</v>
      </c>
      <c r="EM5">
        <f>COUNTIF(AA220:AV220,1)</f>
        <v>16</v>
      </c>
      <c r="EN5">
        <f>COUNTIF(AA220:AV220,0)</f>
        <v>0</v>
      </c>
      <c r="EO5">
        <f>COUNTIF(AA220:AV220,0.5)</f>
        <v>4</v>
      </c>
      <c r="EP5">
        <f>22-(EM5+EN5+EO5)</f>
        <v>2</v>
      </c>
      <c r="EQ5">
        <f>COUNTIF(AW220:BR220,1)</f>
        <v>13</v>
      </c>
      <c r="ER5">
        <f>COUNTIF(AW220:BR220,0)</f>
        <v>3</v>
      </c>
      <c r="ES5">
        <f>COUNTIF(AW220:BR220,0.5)</f>
        <v>6</v>
      </c>
      <c r="ET5">
        <f>22-(EQ5+ER5+ES5)</f>
        <v>0</v>
      </c>
      <c r="EV5" s="25">
        <f>(MAX(CA5:CD5)/SUM(CA5:CD5))+(MAX(CE5:CH5)/SUM(CE5:CH5))+(MAX(CI5:CL5)/SUM(CI5:CL5))+(MAX(CM5:CP5)/SUM(CM5:CP5))+(MAX(CQ5:CT5)/SUM(CQ5:CT5))+(MAX(CU5:CX5)/SUM(CU5:CX5))+(MAX(CY5:DB5)/SUM(CY5:DB5))+(MAX(DC5:DF5)/SUM(DC5:DF5))+(MAX(DG5:DJ5)/SUM(DG5:DJ5))+(MAX(DK5:DN5)/SUM(DK5:DN5))+(MAX(DO5:DR5)/SUM(DO5:DR5))+(MAX(DS5:DV5)/SUM(DS5:DV5))+(MAX(DW5:DZ5)/SUM(DW5:DZ5))+(MAX(EA5:ED5)/SUM(EA5:ED5))+(MAX(EE5:EH5)/SUM(EE5:EH5))+(MAX(EI5:EL5)/SUM(EI5:EL5))+(MAX(EM5:EP5)/SUM(EM5:EP5))+(MAX(EQ5:ET5)/SUM(EQ5:ET5))</f>
        <v>11.363636363636363</v>
      </c>
      <c r="EW5" s="25">
        <f>EV5/18</f>
        <v>0.63131313131313127</v>
      </c>
    </row>
    <row r="6" spans="2:153" ht="26.25" thickBot="1" x14ac:dyDescent="0.3">
      <c r="B6" s="26" t="s">
        <v>51</v>
      </c>
      <c r="D6" s="22">
        <v>2</v>
      </c>
      <c r="E6" s="23">
        <v>0.5</v>
      </c>
      <c r="F6" s="23">
        <v>1</v>
      </c>
      <c r="G6" s="23">
        <v>1</v>
      </c>
      <c r="H6" s="23">
        <v>1</v>
      </c>
      <c r="I6" s="23">
        <v>1</v>
      </c>
      <c r="J6" s="23">
        <v>1</v>
      </c>
      <c r="K6" s="23">
        <v>1</v>
      </c>
      <c r="L6" s="23">
        <v>1</v>
      </c>
      <c r="M6" s="23">
        <v>0.5</v>
      </c>
      <c r="N6" s="23">
        <v>0</v>
      </c>
      <c r="O6" s="23">
        <v>0</v>
      </c>
      <c r="P6" s="23">
        <v>1</v>
      </c>
      <c r="Q6" s="23">
        <v>1</v>
      </c>
      <c r="R6" s="23">
        <v>0</v>
      </c>
      <c r="S6" s="23">
        <v>1</v>
      </c>
      <c r="T6" s="23">
        <v>1</v>
      </c>
      <c r="U6" s="23">
        <v>1</v>
      </c>
      <c r="V6" s="23">
        <v>0.5</v>
      </c>
      <c r="W6" s="24">
        <v>1</v>
      </c>
      <c r="X6" s="23">
        <v>1</v>
      </c>
      <c r="Y6" s="23">
        <v>0.5</v>
      </c>
      <c r="Z6" s="23">
        <v>0.5</v>
      </c>
      <c r="AA6" s="24">
        <v>0.5</v>
      </c>
      <c r="AB6" s="24">
        <v>0.5</v>
      </c>
      <c r="AC6" s="24">
        <v>1</v>
      </c>
      <c r="AD6" s="24">
        <v>1</v>
      </c>
      <c r="AE6" s="24">
        <v>1</v>
      </c>
      <c r="AF6" s="24">
        <v>1</v>
      </c>
      <c r="AG6" s="24">
        <v>1</v>
      </c>
      <c r="AH6" s="24">
        <v>1</v>
      </c>
      <c r="AI6" s="24">
        <v>0.5</v>
      </c>
      <c r="AJ6" s="24">
        <v>1</v>
      </c>
      <c r="AK6" s="24">
        <v>0.5</v>
      </c>
      <c r="AL6" s="24">
        <v>1</v>
      </c>
      <c r="AM6" s="24">
        <v>1</v>
      </c>
      <c r="AN6" s="23">
        <v>0</v>
      </c>
      <c r="AO6" s="24">
        <v>1</v>
      </c>
      <c r="AP6" s="24">
        <v>1</v>
      </c>
      <c r="AQ6" s="23">
        <v>1</v>
      </c>
      <c r="AR6" s="24">
        <v>0.5</v>
      </c>
      <c r="AS6" s="24">
        <v>1</v>
      </c>
      <c r="AT6" s="24">
        <v>1</v>
      </c>
      <c r="AU6" s="24">
        <v>1</v>
      </c>
      <c r="AV6" s="24">
        <v>1</v>
      </c>
      <c r="AW6" s="24">
        <v>1</v>
      </c>
      <c r="AX6" s="24">
        <v>0.5</v>
      </c>
      <c r="AY6" s="24">
        <v>1</v>
      </c>
      <c r="AZ6" s="24">
        <v>1</v>
      </c>
      <c r="BA6" s="24">
        <v>1</v>
      </c>
      <c r="BB6" s="24">
        <v>1</v>
      </c>
      <c r="BC6" s="24">
        <v>1</v>
      </c>
      <c r="BD6" s="24">
        <v>1</v>
      </c>
      <c r="BE6" s="24">
        <v>1</v>
      </c>
      <c r="BF6" s="24">
        <v>1</v>
      </c>
      <c r="BG6" s="24">
        <v>1</v>
      </c>
      <c r="BH6" s="24">
        <v>1</v>
      </c>
      <c r="BI6" s="24">
        <v>1</v>
      </c>
      <c r="BJ6" s="24">
        <v>0.5</v>
      </c>
      <c r="BK6" s="24">
        <v>1</v>
      </c>
      <c r="BL6" s="24">
        <v>1</v>
      </c>
      <c r="BM6" s="23">
        <v>1</v>
      </c>
      <c r="BN6" s="24">
        <v>1</v>
      </c>
      <c r="BO6" s="24">
        <v>1</v>
      </c>
      <c r="BP6" s="24">
        <v>1</v>
      </c>
      <c r="BQ6" s="24">
        <v>1</v>
      </c>
      <c r="BR6" s="24">
        <v>1</v>
      </c>
      <c r="BT6">
        <f t="shared" si="0"/>
        <v>66</v>
      </c>
      <c r="BU6">
        <f t="shared" si="1"/>
        <v>56</v>
      </c>
      <c r="BV6" s="25">
        <f t="shared" ref="BV6:BV41" si="47">BU6/BT6</f>
        <v>0.84848484848484851</v>
      </c>
      <c r="BX6">
        <f>STDEV(BV5:BV41)</f>
        <v>5.7382798155641526E-2</v>
      </c>
      <c r="BY6" t="s">
        <v>52</v>
      </c>
      <c r="CA6">
        <f t="shared" si="2"/>
        <v>14</v>
      </c>
      <c r="CB6">
        <f t="shared" si="3"/>
        <v>3</v>
      </c>
      <c r="CC6">
        <f t="shared" si="4"/>
        <v>5</v>
      </c>
      <c r="CD6">
        <f t="shared" ref="CD6:CD41" si="48">22-(CA6+CB6+CC6)</f>
        <v>0</v>
      </c>
      <c r="CE6">
        <f t="shared" si="5"/>
        <v>16</v>
      </c>
      <c r="CF6">
        <f t="shared" si="6"/>
        <v>1</v>
      </c>
      <c r="CG6">
        <f t="shared" si="7"/>
        <v>5</v>
      </c>
      <c r="CH6">
        <f t="shared" ref="CH6:CH41" si="49">22-(CE6+CF6+CG6)</f>
        <v>0</v>
      </c>
      <c r="CI6">
        <f t="shared" si="8"/>
        <v>20</v>
      </c>
      <c r="CJ6">
        <f t="shared" si="9"/>
        <v>0</v>
      </c>
      <c r="CK6">
        <f t="shared" si="10"/>
        <v>2</v>
      </c>
      <c r="CL6">
        <f t="shared" ref="CL6:CL41" si="50">22-(CI6+CJ6+CK6)</f>
        <v>0</v>
      </c>
      <c r="CM6">
        <f t="shared" si="11"/>
        <v>15</v>
      </c>
      <c r="CN6">
        <f t="shared" si="12"/>
        <v>1</v>
      </c>
      <c r="CO6">
        <f t="shared" si="13"/>
        <v>5</v>
      </c>
      <c r="CP6">
        <f t="shared" ref="CP6:CP41" si="51">22-(CM6+CN6+CO6)</f>
        <v>1</v>
      </c>
      <c r="CQ6">
        <f t="shared" si="14"/>
        <v>12</v>
      </c>
      <c r="CR6">
        <f t="shared" si="15"/>
        <v>0</v>
      </c>
      <c r="CS6">
        <f t="shared" si="16"/>
        <v>10</v>
      </c>
      <c r="CT6">
        <f t="shared" ref="CT6:CT41" si="52">22-(CQ6+CR6+CS6)</f>
        <v>0</v>
      </c>
      <c r="CU6">
        <f t="shared" si="17"/>
        <v>9</v>
      </c>
      <c r="CV6">
        <f t="shared" si="18"/>
        <v>4</v>
      </c>
      <c r="CW6">
        <f t="shared" si="19"/>
        <v>6</v>
      </c>
      <c r="CX6">
        <f t="shared" ref="CX6:CX41" si="53">22-(CU6+CV6+CW6)</f>
        <v>3</v>
      </c>
      <c r="CY6">
        <f t="shared" si="20"/>
        <v>13</v>
      </c>
      <c r="CZ6">
        <f t="shared" si="21"/>
        <v>1</v>
      </c>
      <c r="DA6">
        <f t="shared" si="22"/>
        <v>7</v>
      </c>
      <c r="DB6">
        <f t="shared" ref="DB6:DB41" si="54">22-(CY6+CZ6+DA6)</f>
        <v>1</v>
      </c>
      <c r="DC6">
        <f t="shared" si="23"/>
        <v>13</v>
      </c>
      <c r="DD6">
        <f t="shared" si="24"/>
        <v>1</v>
      </c>
      <c r="DE6">
        <f t="shared" si="25"/>
        <v>8</v>
      </c>
      <c r="DF6">
        <f t="shared" ref="DF6:DF41" si="55">22-(DC6+DD6+DE6)</f>
        <v>0</v>
      </c>
      <c r="DG6">
        <f t="shared" si="26"/>
        <v>13</v>
      </c>
      <c r="DH6">
        <f t="shared" si="27"/>
        <v>2</v>
      </c>
      <c r="DI6">
        <f t="shared" si="28"/>
        <v>7</v>
      </c>
      <c r="DJ6">
        <f t="shared" ref="DJ6:DJ41" si="56">22-(DG6+DH6+DI6)</f>
        <v>0</v>
      </c>
      <c r="DK6">
        <f t="shared" si="29"/>
        <v>16</v>
      </c>
      <c r="DL6">
        <f t="shared" si="30"/>
        <v>2</v>
      </c>
      <c r="DM6">
        <f t="shared" si="31"/>
        <v>4</v>
      </c>
      <c r="DN6">
        <f t="shared" ref="DN6:DN41" si="57">22-(DK6+DL6+DM6)</f>
        <v>0</v>
      </c>
      <c r="DO6">
        <f t="shared" si="32"/>
        <v>13</v>
      </c>
      <c r="DP6">
        <f t="shared" si="33"/>
        <v>1</v>
      </c>
      <c r="DQ6">
        <f t="shared" si="34"/>
        <v>8</v>
      </c>
      <c r="DR6">
        <f t="shared" ref="DR6:DR41" si="58">22-(DO6+DP6+DQ6)</f>
        <v>0</v>
      </c>
      <c r="DS6">
        <f t="shared" si="35"/>
        <v>16</v>
      </c>
      <c r="DT6">
        <f t="shared" si="36"/>
        <v>1</v>
      </c>
      <c r="DU6">
        <f t="shared" si="37"/>
        <v>5</v>
      </c>
      <c r="DV6">
        <f t="shared" ref="DV6:DV41" si="59">22-(DS6+DT6+DU6)</f>
        <v>0</v>
      </c>
      <c r="DW6">
        <f t="shared" si="38"/>
        <v>12</v>
      </c>
      <c r="DX6">
        <f t="shared" si="39"/>
        <v>3</v>
      </c>
      <c r="DY6">
        <f t="shared" si="40"/>
        <v>7</v>
      </c>
      <c r="DZ6">
        <f t="shared" ref="DZ6:DZ41" si="60">22-(DW6+DX6+DY6)</f>
        <v>0</v>
      </c>
      <c r="EA6">
        <f t="shared" si="41"/>
        <v>10</v>
      </c>
      <c r="EB6">
        <f t="shared" si="42"/>
        <v>2</v>
      </c>
      <c r="EC6">
        <f t="shared" si="43"/>
        <v>10</v>
      </c>
      <c r="ED6">
        <f t="shared" ref="ED6:ED41" si="61">22-(EA6+EB6+EC6)</f>
        <v>0</v>
      </c>
      <c r="EE6">
        <f t="shared" si="44"/>
        <v>13</v>
      </c>
      <c r="EF6">
        <f t="shared" si="45"/>
        <v>1</v>
      </c>
      <c r="EG6">
        <f t="shared" si="46"/>
        <v>8</v>
      </c>
      <c r="EH6">
        <f t="shared" ref="EH6:EH41" si="62">22-(EE6+EF6+EG6)</f>
        <v>0</v>
      </c>
      <c r="EI6">
        <f t="shared" ref="EI6:EI41" si="63">COUNTIF(E221:Z221,1)</f>
        <v>14</v>
      </c>
      <c r="EJ6">
        <f t="shared" ref="EJ6:EJ41" si="64">COUNTIF(E221:Z221,0)</f>
        <v>4</v>
      </c>
      <c r="EK6">
        <f t="shared" ref="EK6:EK41" si="65">COUNTIF(E221:Z221,0.5)</f>
        <v>3</v>
      </c>
      <c r="EL6">
        <f t="shared" ref="EL6:EL41" si="66">22-(EI6+EJ6+EK6)</f>
        <v>1</v>
      </c>
      <c r="EM6">
        <f t="shared" ref="EM6:EM41" si="67">COUNTIF(AA221:AV221,1)</f>
        <v>17</v>
      </c>
      <c r="EN6">
        <f t="shared" ref="EN6:EN41" si="68">COUNTIF(AA221:AV221,0)</f>
        <v>1</v>
      </c>
      <c r="EO6">
        <f t="shared" ref="EO6:EO41" si="69">COUNTIF(AA221:AV221,0.5)</f>
        <v>2</v>
      </c>
      <c r="EP6">
        <f t="shared" ref="EP6:EP41" si="70">22-(EM6+EN6+EO6)</f>
        <v>2</v>
      </c>
      <c r="EQ6">
        <f t="shared" ref="EQ6:EQ41" si="71">COUNTIF(AW221:BR221,1)</f>
        <v>14</v>
      </c>
      <c r="ER6">
        <f t="shared" ref="ER6:ER41" si="72">COUNTIF(AW221:BR221,0)</f>
        <v>4</v>
      </c>
      <c r="ES6">
        <f t="shared" ref="ES6:ES41" si="73">COUNTIF(AW221:BR221,0.5)</f>
        <v>4</v>
      </c>
      <c r="ET6">
        <f t="shared" ref="ET6:ET41" si="74">22-(EQ6+ER6+ES6)</f>
        <v>0</v>
      </c>
      <c r="EV6" s="25">
        <f t="shared" ref="EV6:EV41" si="75">(MAX(CA6:CD6)/SUM(CA6:CD6))+(MAX(CE6:CH6)/SUM(CE6:CH6))+(MAX(CI6:CL6)/SUM(CI6:CL6))+(MAX(CM6:CP6)/SUM(CM6:CP6))+(MAX(CQ6:CT6)/SUM(CQ6:CT6))+(MAX(CU6:CX6)/SUM(CU6:CX6))+(MAX(CY6:DB6)/SUM(CY6:DB6))+(MAX(DC6:DF6)/SUM(DC6:DF6))+(MAX(DG6:DJ6)/SUM(DG6:DJ6))+(MAX(DK6:DN6)/SUM(DK6:DN6))+(MAX(DO6:DR6)/SUM(DO6:DR6))+(MAX(DS6:DV6)/SUM(DS6:DV6))+(MAX(DW6:DZ6)/SUM(DW6:DZ6))+(MAX(EA6:ED6)/SUM(EA6:ED6))+(MAX(EE6:EH6)/SUM(EE6:EH6))+(MAX(EI6:EL6)/SUM(EI6:EL6))+(MAX(EM6:EP6)/SUM(EM6:EP6))+(MAX(EQ6:ET6)/SUM(EQ6:ET6))</f>
        <v>11.363636363636367</v>
      </c>
      <c r="EW6" s="25">
        <f t="shared" ref="EW6:EW41" si="76">EV6/18</f>
        <v>0.63131313131313149</v>
      </c>
    </row>
    <row r="7" spans="2:153" ht="39" thickBot="1" x14ac:dyDescent="0.3">
      <c r="B7" s="27" t="s">
        <v>53</v>
      </c>
      <c r="D7" s="22">
        <v>3</v>
      </c>
      <c r="E7" s="28">
        <v>1</v>
      </c>
      <c r="F7" s="28">
        <v>1</v>
      </c>
      <c r="G7" s="28">
        <v>1</v>
      </c>
      <c r="H7" s="28">
        <v>1</v>
      </c>
      <c r="I7" s="28">
        <v>1</v>
      </c>
      <c r="J7" s="28">
        <v>1</v>
      </c>
      <c r="K7" s="28">
        <v>1</v>
      </c>
      <c r="L7" s="28">
        <v>1</v>
      </c>
      <c r="M7" s="23">
        <v>0.5</v>
      </c>
      <c r="N7" s="28">
        <v>1</v>
      </c>
      <c r="O7" s="28">
        <v>0</v>
      </c>
      <c r="P7" s="28">
        <v>1</v>
      </c>
      <c r="Q7" s="28">
        <v>1</v>
      </c>
      <c r="R7" s="28">
        <v>0</v>
      </c>
      <c r="S7" s="28">
        <v>1</v>
      </c>
      <c r="T7" s="28">
        <v>1</v>
      </c>
      <c r="U7" s="23">
        <v>1</v>
      </c>
      <c r="V7" s="23">
        <v>1</v>
      </c>
      <c r="W7" s="29">
        <v>1</v>
      </c>
      <c r="X7" s="28">
        <v>1</v>
      </c>
      <c r="Y7" s="23">
        <v>0.5</v>
      </c>
      <c r="Z7" s="23">
        <v>0</v>
      </c>
      <c r="AA7" s="29">
        <v>1</v>
      </c>
      <c r="AB7" s="29">
        <v>0.5</v>
      </c>
      <c r="AC7" s="24">
        <v>1</v>
      </c>
      <c r="AD7" s="29">
        <v>1</v>
      </c>
      <c r="AE7" s="29">
        <v>1</v>
      </c>
      <c r="AF7" s="29">
        <v>1</v>
      </c>
      <c r="AG7" s="29">
        <v>1</v>
      </c>
      <c r="AH7" s="29">
        <v>0.5</v>
      </c>
      <c r="AI7" s="24">
        <v>0.5</v>
      </c>
      <c r="AJ7" s="29">
        <v>1</v>
      </c>
      <c r="AK7" s="29">
        <v>1</v>
      </c>
      <c r="AL7" s="29">
        <v>1</v>
      </c>
      <c r="AM7" s="29">
        <v>1</v>
      </c>
      <c r="AN7" s="28">
        <v>0</v>
      </c>
      <c r="AO7" s="29">
        <v>1</v>
      </c>
      <c r="AP7" s="29">
        <v>1</v>
      </c>
      <c r="AQ7" s="23">
        <v>1</v>
      </c>
      <c r="AR7" s="24">
        <v>0.5</v>
      </c>
      <c r="AS7" s="29">
        <v>1</v>
      </c>
      <c r="AT7" s="29">
        <v>1</v>
      </c>
      <c r="AU7" s="24">
        <v>1</v>
      </c>
      <c r="AV7" s="24">
        <v>1</v>
      </c>
      <c r="AW7" s="29">
        <v>1</v>
      </c>
      <c r="AX7" s="29">
        <v>0.5</v>
      </c>
      <c r="AY7" s="24">
        <v>1</v>
      </c>
      <c r="AZ7" s="29">
        <v>1</v>
      </c>
      <c r="BA7" s="29">
        <v>1</v>
      </c>
      <c r="BB7" s="29">
        <v>1</v>
      </c>
      <c r="BC7" s="29">
        <v>1</v>
      </c>
      <c r="BD7" s="29">
        <v>1</v>
      </c>
      <c r="BE7" s="24">
        <v>1</v>
      </c>
      <c r="BF7" s="29">
        <v>1</v>
      </c>
      <c r="BG7" s="29">
        <v>1</v>
      </c>
      <c r="BH7" s="29">
        <v>1</v>
      </c>
      <c r="BI7" s="29">
        <v>1</v>
      </c>
      <c r="BJ7" s="24">
        <v>0.5</v>
      </c>
      <c r="BK7" s="29">
        <v>1</v>
      </c>
      <c r="BL7" s="29">
        <v>1</v>
      </c>
      <c r="BM7" s="23">
        <v>1</v>
      </c>
      <c r="BN7" s="24">
        <v>1</v>
      </c>
      <c r="BO7" s="29">
        <v>1</v>
      </c>
      <c r="BP7" s="29">
        <v>1</v>
      </c>
      <c r="BQ7" s="24">
        <v>0.5</v>
      </c>
      <c r="BR7" s="24">
        <v>0.5</v>
      </c>
      <c r="BT7">
        <f t="shared" si="0"/>
        <v>66</v>
      </c>
      <c r="BU7">
        <f t="shared" si="1"/>
        <v>57</v>
      </c>
      <c r="BV7" s="25">
        <f t="shared" si="47"/>
        <v>0.86363636363636365</v>
      </c>
      <c r="BX7" s="25">
        <f>MIN(BV5:BV41)</f>
        <v>0.69696969696969702</v>
      </c>
      <c r="BY7" t="s">
        <v>54</v>
      </c>
      <c r="CA7">
        <f t="shared" si="2"/>
        <v>17</v>
      </c>
      <c r="CB7">
        <f t="shared" si="3"/>
        <v>3</v>
      </c>
      <c r="CC7">
        <f t="shared" si="4"/>
        <v>2</v>
      </c>
      <c r="CD7">
        <f t="shared" si="48"/>
        <v>0</v>
      </c>
      <c r="CE7">
        <f t="shared" si="5"/>
        <v>17</v>
      </c>
      <c r="CF7">
        <f t="shared" si="6"/>
        <v>1</v>
      </c>
      <c r="CG7">
        <f t="shared" si="7"/>
        <v>4</v>
      </c>
      <c r="CH7">
        <f t="shared" si="49"/>
        <v>0</v>
      </c>
      <c r="CI7">
        <f t="shared" si="8"/>
        <v>18</v>
      </c>
      <c r="CJ7">
        <f t="shared" si="9"/>
        <v>0</v>
      </c>
      <c r="CK7">
        <f t="shared" si="10"/>
        <v>4</v>
      </c>
      <c r="CL7">
        <f t="shared" si="50"/>
        <v>0</v>
      </c>
      <c r="CM7">
        <f t="shared" si="11"/>
        <v>14</v>
      </c>
      <c r="CN7">
        <f t="shared" si="12"/>
        <v>1</v>
      </c>
      <c r="CO7">
        <f t="shared" si="13"/>
        <v>6</v>
      </c>
      <c r="CP7">
        <f t="shared" si="51"/>
        <v>1</v>
      </c>
      <c r="CQ7">
        <f t="shared" si="14"/>
        <v>14</v>
      </c>
      <c r="CR7">
        <f t="shared" si="15"/>
        <v>0</v>
      </c>
      <c r="CS7">
        <f t="shared" si="16"/>
        <v>8</v>
      </c>
      <c r="CT7">
        <f t="shared" si="52"/>
        <v>0</v>
      </c>
      <c r="CU7">
        <f t="shared" si="17"/>
        <v>10</v>
      </c>
      <c r="CV7">
        <f t="shared" si="18"/>
        <v>4</v>
      </c>
      <c r="CW7">
        <f t="shared" si="19"/>
        <v>5</v>
      </c>
      <c r="CX7">
        <f t="shared" si="53"/>
        <v>3</v>
      </c>
      <c r="CY7">
        <f t="shared" si="20"/>
        <v>13</v>
      </c>
      <c r="CZ7">
        <f t="shared" si="21"/>
        <v>0</v>
      </c>
      <c r="DA7">
        <f t="shared" si="22"/>
        <v>9</v>
      </c>
      <c r="DB7">
        <f t="shared" si="54"/>
        <v>0</v>
      </c>
      <c r="DC7">
        <f t="shared" si="23"/>
        <v>10</v>
      </c>
      <c r="DD7">
        <f t="shared" si="24"/>
        <v>1</v>
      </c>
      <c r="DE7">
        <f t="shared" si="25"/>
        <v>11</v>
      </c>
      <c r="DF7">
        <f t="shared" si="55"/>
        <v>0</v>
      </c>
      <c r="DG7">
        <f t="shared" si="26"/>
        <v>13</v>
      </c>
      <c r="DH7">
        <f t="shared" si="27"/>
        <v>4</v>
      </c>
      <c r="DI7">
        <f t="shared" si="28"/>
        <v>5</v>
      </c>
      <c r="DJ7">
        <f t="shared" si="56"/>
        <v>0</v>
      </c>
      <c r="DK7">
        <f t="shared" si="29"/>
        <v>15</v>
      </c>
      <c r="DL7">
        <f t="shared" si="30"/>
        <v>2</v>
      </c>
      <c r="DM7">
        <f t="shared" si="31"/>
        <v>5</v>
      </c>
      <c r="DN7">
        <f t="shared" si="57"/>
        <v>0</v>
      </c>
      <c r="DO7">
        <f t="shared" si="32"/>
        <v>12</v>
      </c>
      <c r="DP7">
        <f t="shared" si="33"/>
        <v>5</v>
      </c>
      <c r="DQ7">
        <f t="shared" si="34"/>
        <v>5</v>
      </c>
      <c r="DR7">
        <f t="shared" si="58"/>
        <v>0</v>
      </c>
      <c r="DS7">
        <f t="shared" si="35"/>
        <v>15</v>
      </c>
      <c r="DT7">
        <f t="shared" si="36"/>
        <v>2</v>
      </c>
      <c r="DU7">
        <f t="shared" si="37"/>
        <v>4</v>
      </c>
      <c r="DV7">
        <f t="shared" si="59"/>
        <v>1</v>
      </c>
      <c r="DW7">
        <f t="shared" si="38"/>
        <v>12</v>
      </c>
      <c r="DX7">
        <f t="shared" si="39"/>
        <v>1</v>
      </c>
      <c r="DY7">
        <f t="shared" si="40"/>
        <v>9</v>
      </c>
      <c r="DZ7">
        <f t="shared" si="60"/>
        <v>0</v>
      </c>
      <c r="EA7">
        <f t="shared" si="41"/>
        <v>13</v>
      </c>
      <c r="EB7">
        <f t="shared" si="42"/>
        <v>2</v>
      </c>
      <c r="EC7">
        <f t="shared" si="43"/>
        <v>7</v>
      </c>
      <c r="ED7">
        <f t="shared" si="61"/>
        <v>0</v>
      </c>
      <c r="EE7">
        <f t="shared" si="44"/>
        <v>14</v>
      </c>
      <c r="EF7">
        <f t="shared" si="45"/>
        <v>2</v>
      </c>
      <c r="EG7">
        <f t="shared" si="46"/>
        <v>6</v>
      </c>
      <c r="EH7">
        <f t="shared" si="62"/>
        <v>0</v>
      </c>
      <c r="EI7">
        <f t="shared" si="63"/>
        <v>15</v>
      </c>
      <c r="EJ7">
        <f t="shared" si="64"/>
        <v>3</v>
      </c>
      <c r="EK7">
        <f t="shared" si="65"/>
        <v>3</v>
      </c>
      <c r="EL7">
        <f t="shared" si="66"/>
        <v>1</v>
      </c>
      <c r="EM7">
        <f t="shared" si="67"/>
        <v>17</v>
      </c>
      <c r="EN7">
        <f t="shared" si="68"/>
        <v>0</v>
      </c>
      <c r="EO7">
        <f t="shared" si="69"/>
        <v>3</v>
      </c>
      <c r="EP7">
        <f t="shared" si="70"/>
        <v>2</v>
      </c>
      <c r="EQ7">
        <f t="shared" si="71"/>
        <v>15</v>
      </c>
      <c r="ER7">
        <f t="shared" si="72"/>
        <v>2</v>
      </c>
      <c r="ES7">
        <f t="shared" si="73"/>
        <v>5</v>
      </c>
      <c r="ET7">
        <f t="shared" si="74"/>
        <v>0</v>
      </c>
      <c r="EV7" s="25">
        <f t="shared" si="75"/>
        <v>11.590909090909092</v>
      </c>
      <c r="EW7" s="25">
        <f t="shared" si="76"/>
        <v>0.64393939393939403</v>
      </c>
    </row>
    <row r="8" spans="2:153" ht="39" thickBot="1" x14ac:dyDescent="0.3">
      <c r="B8" s="21" t="s">
        <v>55</v>
      </c>
      <c r="D8" s="22">
        <v>4</v>
      </c>
      <c r="E8" s="28">
        <v>1</v>
      </c>
      <c r="F8" s="28">
        <v>1</v>
      </c>
      <c r="G8" s="28">
        <v>1</v>
      </c>
      <c r="H8" s="28">
        <v>1</v>
      </c>
      <c r="I8" s="28">
        <v>1</v>
      </c>
      <c r="J8" s="28">
        <v>1</v>
      </c>
      <c r="K8" s="28">
        <v>0.5</v>
      </c>
      <c r="L8" s="28">
        <v>1</v>
      </c>
      <c r="M8" s="28">
        <v>1</v>
      </c>
      <c r="N8" s="28">
        <v>1</v>
      </c>
      <c r="O8" s="28">
        <v>1</v>
      </c>
      <c r="P8" s="28">
        <v>1</v>
      </c>
      <c r="Q8" s="28">
        <v>1</v>
      </c>
      <c r="R8" s="28">
        <v>0</v>
      </c>
      <c r="S8" s="28">
        <v>1</v>
      </c>
      <c r="T8" s="28">
        <v>1</v>
      </c>
      <c r="U8" s="23">
        <v>1</v>
      </c>
      <c r="V8" s="28">
        <v>1</v>
      </c>
      <c r="W8" s="29">
        <v>1</v>
      </c>
      <c r="X8" s="28">
        <v>1</v>
      </c>
      <c r="Y8" s="28">
        <v>0.5</v>
      </c>
      <c r="Z8" s="28">
        <v>0.5</v>
      </c>
      <c r="AA8" s="29">
        <v>1</v>
      </c>
      <c r="AB8" s="29">
        <v>1</v>
      </c>
      <c r="AC8" s="24">
        <v>1</v>
      </c>
      <c r="AD8" s="29">
        <v>1</v>
      </c>
      <c r="AE8" s="29">
        <v>1</v>
      </c>
      <c r="AF8" s="29">
        <v>1</v>
      </c>
      <c r="AG8" s="29">
        <v>0</v>
      </c>
      <c r="AH8" s="29">
        <v>1</v>
      </c>
      <c r="AI8" s="29">
        <v>1</v>
      </c>
      <c r="AJ8" s="29">
        <v>1</v>
      </c>
      <c r="AK8" s="29">
        <v>1</v>
      </c>
      <c r="AL8" s="29">
        <v>1</v>
      </c>
      <c r="AM8" s="29">
        <v>1</v>
      </c>
      <c r="AN8" s="28">
        <v>0</v>
      </c>
      <c r="AO8" s="29">
        <v>1</v>
      </c>
      <c r="AP8" s="29">
        <v>1</v>
      </c>
      <c r="AQ8" s="23">
        <v>1</v>
      </c>
      <c r="AR8" s="29">
        <v>1</v>
      </c>
      <c r="AS8" s="29">
        <v>1</v>
      </c>
      <c r="AT8" s="29">
        <v>1</v>
      </c>
      <c r="AU8" s="29">
        <v>0.5</v>
      </c>
      <c r="AV8" s="29">
        <v>0.5</v>
      </c>
      <c r="AW8" s="29">
        <v>1</v>
      </c>
      <c r="AX8" s="29">
        <v>1</v>
      </c>
      <c r="AY8" s="24">
        <v>1</v>
      </c>
      <c r="AZ8" s="29">
        <v>1</v>
      </c>
      <c r="BA8" s="29">
        <v>1</v>
      </c>
      <c r="BB8" s="29">
        <v>1</v>
      </c>
      <c r="BC8" s="29">
        <v>1</v>
      </c>
      <c r="BD8" s="29">
        <v>1</v>
      </c>
      <c r="BE8" s="29">
        <v>1</v>
      </c>
      <c r="BF8" s="29">
        <v>1</v>
      </c>
      <c r="BG8" s="29">
        <v>1</v>
      </c>
      <c r="BH8" s="29">
        <v>1</v>
      </c>
      <c r="BI8" s="29">
        <v>1</v>
      </c>
      <c r="BJ8" s="24">
        <v>0.5</v>
      </c>
      <c r="BK8" s="29">
        <v>1</v>
      </c>
      <c r="BL8" s="29">
        <v>1</v>
      </c>
      <c r="BM8" s="23">
        <v>1</v>
      </c>
      <c r="BN8" s="29">
        <v>1</v>
      </c>
      <c r="BO8" s="29">
        <v>1</v>
      </c>
      <c r="BP8" s="29">
        <v>1</v>
      </c>
      <c r="BQ8" s="29">
        <v>1</v>
      </c>
      <c r="BR8" s="29">
        <v>1</v>
      </c>
      <c r="BT8">
        <f t="shared" si="0"/>
        <v>66</v>
      </c>
      <c r="BU8">
        <f t="shared" si="1"/>
        <v>60</v>
      </c>
      <c r="BV8" s="25">
        <f t="shared" si="47"/>
        <v>0.90909090909090906</v>
      </c>
      <c r="BX8" s="25">
        <f>MAX(BV5:BV41)</f>
        <v>0.95833333333333337</v>
      </c>
      <c r="BY8" t="s">
        <v>56</v>
      </c>
      <c r="CA8">
        <f t="shared" si="2"/>
        <v>18</v>
      </c>
      <c r="CB8">
        <f t="shared" si="3"/>
        <v>1</v>
      </c>
      <c r="CC8">
        <f t="shared" si="4"/>
        <v>3</v>
      </c>
      <c r="CD8">
        <f t="shared" si="48"/>
        <v>0</v>
      </c>
      <c r="CE8">
        <f t="shared" si="5"/>
        <v>18</v>
      </c>
      <c r="CF8">
        <f t="shared" si="6"/>
        <v>2</v>
      </c>
      <c r="CG8">
        <f t="shared" si="7"/>
        <v>2</v>
      </c>
      <c r="CH8">
        <f t="shared" si="49"/>
        <v>0</v>
      </c>
      <c r="CI8">
        <f t="shared" si="8"/>
        <v>21</v>
      </c>
      <c r="CJ8">
        <f t="shared" si="9"/>
        <v>0</v>
      </c>
      <c r="CK8">
        <f t="shared" si="10"/>
        <v>1</v>
      </c>
      <c r="CL8">
        <f t="shared" si="50"/>
        <v>0</v>
      </c>
      <c r="CM8">
        <f t="shared" si="11"/>
        <v>12</v>
      </c>
      <c r="CN8">
        <f t="shared" si="12"/>
        <v>3</v>
      </c>
      <c r="CO8">
        <f t="shared" si="13"/>
        <v>5</v>
      </c>
      <c r="CP8">
        <f t="shared" si="51"/>
        <v>2</v>
      </c>
      <c r="CQ8">
        <f t="shared" si="14"/>
        <v>14</v>
      </c>
      <c r="CR8">
        <f t="shared" si="15"/>
        <v>2</v>
      </c>
      <c r="CS8">
        <f t="shared" si="16"/>
        <v>5</v>
      </c>
      <c r="CT8">
        <f t="shared" si="52"/>
        <v>1</v>
      </c>
      <c r="CU8">
        <f t="shared" si="17"/>
        <v>9</v>
      </c>
      <c r="CV8">
        <f t="shared" si="18"/>
        <v>4</v>
      </c>
      <c r="CW8">
        <f t="shared" si="19"/>
        <v>5</v>
      </c>
      <c r="CX8">
        <f t="shared" si="53"/>
        <v>4</v>
      </c>
      <c r="CY8">
        <f t="shared" si="20"/>
        <v>17</v>
      </c>
      <c r="CZ8">
        <f t="shared" si="21"/>
        <v>1</v>
      </c>
      <c r="DA8">
        <f t="shared" si="22"/>
        <v>4</v>
      </c>
      <c r="DB8">
        <f t="shared" si="54"/>
        <v>0</v>
      </c>
      <c r="DC8">
        <f t="shared" si="23"/>
        <v>17</v>
      </c>
      <c r="DD8">
        <f t="shared" si="24"/>
        <v>2</v>
      </c>
      <c r="DE8">
        <f t="shared" si="25"/>
        <v>3</v>
      </c>
      <c r="DF8">
        <f t="shared" si="55"/>
        <v>0</v>
      </c>
      <c r="DG8">
        <f t="shared" si="26"/>
        <v>14</v>
      </c>
      <c r="DH8">
        <f t="shared" si="27"/>
        <v>1</v>
      </c>
      <c r="DI8">
        <f t="shared" si="28"/>
        <v>6</v>
      </c>
      <c r="DJ8">
        <f t="shared" si="56"/>
        <v>1</v>
      </c>
      <c r="DK8">
        <f t="shared" si="29"/>
        <v>9</v>
      </c>
      <c r="DL8">
        <f t="shared" si="30"/>
        <v>3</v>
      </c>
      <c r="DM8">
        <f t="shared" si="31"/>
        <v>9</v>
      </c>
      <c r="DN8">
        <f t="shared" si="57"/>
        <v>1</v>
      </c>
      <c r="DO8">
        <f t="shared" si="32"/>
        <v>6</v>
      </c>
      <c r="DP8">
        <f t="shared" si="33"/>
        <v>3</v>
      </c>
      <c r="DQ8">
        <f t="shared" si="34"/>
        <v>12</v>
      </c>
      <c r="DR8">
        <f t="shared" si="58"/>
        <v>1</v>
      </c>
      <c r="DS8">
        <f t="shared" si="35"/>
        <v>9</v>
      </c>
      <c r="DT8">
        <f t="shared" si="36"/>
        <v>3</v>
      </c>
      <c r="DU8">
        <f t="shared" si="37"/>
        <v>8</v>
      </c>
      <c r="DV8">
        <f t="shared" si="59"/>
        <v>2</v>
      </c>
      <c r="DW8">
        <f t="shared" si="38"/>
        <v>10</v>
      </c>
      <c r="DX8">
        <f t="shared" si="39"/>
        <v>4</v>
      </c>
      <c r="DY8">
        <f t="shared" si="40"/>
        <v>7</v>
      </c>
      <c r="DZ8">
        <f t="shared" si="60"/>
        <v>1</v>
      </c>
      <c r="EA8">
        <f t="shared" si="41"/>
        <v>6</v>
      </c>
      <c r="EB8">
        <f t="shared" si="42"/>
        <v>2</v>
      </c>
      <c r="EC8">
        <f t="shared" si="43"/>
        <v>12</v>
      </c>
      <c r="ED8">
        <f t="shared" si="61"/>
        <v>2</v>
      </c>
      <c r="EE8">
        <f t="shared" si="44"/>
        <v>10</v>
      </c>
      <c r="EF8">
        <f t="shared" si="45"/>
        <v>3</v>
      </c>
      <c r="EG8">
        <f t="shared" si="46"/>
        <v>7</v>
      </c>
      <c r="EH8">
        <f t="shared" si="62"/>
        <v>2</v>
      </c>
      <c r="EI8">
        <f t="shared" si="63"/>
        <v>15</v>
      </c>
      <c r="EJ8">
        <f t="shared" si="64"/>
        <v>5</v>
      </c>
      <c r="EK8">
        <f t="shared" si="65"/>
        <v>0</v>
      </c>
      <c r="EL8">
        <f t="shared" si="66"/>
        <v>2</v>
      </c>
      <c r="EM8">
        <f t="shared" si="67"/>
        <v>13</v>
      </c>
      <c r="EN8">
        <f t="shared" si="68"/>
        <v>2</v>
      </c>
      <c r="EO8">
        <f t="shared" si="69"/>
        <v>4</v>
      </c>
      <c r="EP8">
        <f t="shared" si="70"/>
        <v>3</v>
      </c>
      <c r="EQ8">
        <f t="shared" si="71"/>
        <v>11</v>
      </c>
      <c r="ER8">
        <f t="shared" si="72"/>
        <v>7</v>
      </c>
      <c r="ES8">
        <f t="shared" si="73"/>
        <v>2</v>
      </c>
      <c r="ET8">
        <f t="shared" si="74"/>
        <v>2</v>
      </c>
      <c r="EV8" s="25">
        <f t="shared" si="75"/>
        <v>10.954545454545455</v>
      </c>
      <c r="EW8" s="25">
        <f t="shared" si="76"/>
        <v>0.60858585858585856</v>
      </c>
    </row>
    <row r="9" spans="2:153" ht="39" thickBot="1" x14ac:dyDescent="0.3">
      <c r="B9" s="30" t="s">
        <v>57</v>
      </c>
      <c r="D9" s="22">
        <v>5</v>
      </c>
      <c r="E9" s="31">
        <v>1</v>
      </c>
      <c r="F9" s="31">
        <v>1</v>
      </c>
      <c r="G9" s="31">
        <v>1</v>
      </c>
      <c r="H9" s="31">
        <v>1</v>
      </c>
      <c r="I9" s="31">
        <v>1</v>
      </c>
      <c r="J9" s="28">
        <v>1</v>
      </c>
      <c r="K9" s="31">
        <v>1</v>
      </c>
      <c r="L9" s="31">
        <v>1</v>
      </c>
      <c r="M9" s="28">
        <v>1</v>
      </c>
      <c r="N9" s="31">
        <v>1</v>
      </c>
      <c r="O9" s="31">
        <v>0</v>
      </c>
      <c r="P9" s="31">
        <v>1</v>
      </c>
      <c r="Q9" s="31">
        <v>1</v>
      </c>
      <c r="R9" s="31">
        <v>0</v>
      </c>
      <c r="S9" s="31">
        <v>1</v>
      </c>
      <c r="T9" s="28">
        <v>1</v>
      </c>
      <c r="U9" s="23">
        <v>1</v>
      </c>
      <c r="V9" s="31">
        <v>1</v>
      </c>
      <c r="W9" s="32">
        <v>1</v>
      </c>
      <c r="X9" s="31">
        <v>1</v>
      </c>
      <c r="Y9" s="31">
        <v>1</v>
      </c>
      <c r="Z9" s="31">
        <v>1</v>
      </c>
      <c r="AA9" s="32">
        <v>1</v>
      </c>
      <c r="AB9" s="32">
        <v>1</v>
      </c>
      <c r="AC9" s="24">
        <v>1</v>
      </c>
      <c r="AD9" s="32">
        <v>1</v>
      </c>
      <c r="AE9" s="32">
        <v>1</v>
      </c>
      <c r="AF9" s="28">
        <v>1</v>
      </c>
      <c r="AG9" s="32">
        <v>1</v>
      </c>
      <c r="AH9" s="32">
        <v>1</v>
      </c>
      <c r="AI9" s="29">
        <v>1</v>
      </c>
      <c r="AJ9" s="32">
        <v>1</v>
      </c>
      <c r="AK9" s="32">
        <v>1</v>
      </c>
      <c r="AL9" s="32">
        <v>1</v>
      </c>
      <c r="AM9" s="32">
        <v>1</v>
      </c>
      <c r="AN9" s="31">
        <v>0</v>
      </c>
      <c r="AO9" s="32">
        <v>1</v>
      </c>
      <c r="AP9" s="32">
        <v>1</v>
      </c>
      <c r="AQ9" s="23">
        <v>1</v>
      </c>
      <c r="AR9" s="29">
        <v>1</v>
      </c>
      <c r="AS9" s="32">
        <v>1</v>
      </c>
      <c r="AT9" s="32">
        <v>1</v>
      </c>
      <c r="AU9" s="29">
        <v>1</v>
      </c>
      <c r="AV9" s="29">
        <v>1</v>
      </c>
      <c r="AW9" s="32">
        <v>1</v>
      </c>
      <c r="AX9" s="32">
        <v>1</v>
      </c>
      <c r="AY9" s="24">
        <v>1</v>
      </c>
      <c r="AZ9" s="32">
        <v>1</v>
      </c>
      <c r="BA9" s="32">
        <v>1</v>
      </c>
      <c r="BB9" s="28">
        <v>1</v>
      </c>
      <c r="BC9" s="32">
        <v>1</v>
      </c>
      <c r="BD9" s="32">
        <v>1</v>
      </c>
      <c r="BE9" s="29">
        <v>1</v>
      </c>
      <c r="BF9" s="32">
        <v>1</v>
      </c>
      <c r="BG9" s="32">
        <v>1</v>
      </c>
      <c r="BH9" s="32">
        <v>1</v>
      </c>
      <c r="BI9" s="32">
        <v>1</v>
      </c>
      <c r="BJ9" s="24">
        <v>0.5</v>
      </c>
      <c r="BK9" s="32">
        <v>1</v>
      </c>
      <c r="BL9" s="32">
        <v>1</v>
      </c>
      <c r="BM9" s="23">
        <v>1</v>
      </c>
      <c r="BN9" s="29">
        <v>1</v>
      </c>
      <c r="BO9" s="32">
        <v>1</v>
      </c>
      <c r="BP9" s="32">
        <v>1</v>
      </c>
      <c r="BQ9" s="29">
        <v>1</v>
      </c>
      <c r="BR9" s="29">
        <v>1</v>
      </c>
      <c r="BT9">
        <f t="shared" si="0"/>
        <v>66</v>
      </c>
      <c r="BU9">
        <f t="shared" si="1"/>
        <v>62.5</v>
      </c>
      <c r="BV9" s="25">
        <f t="shared" si="47"/>
        <v>0.94696969696969702</v>
      </c>
      <c r="CA9">
        <f t="shared" si="2"/>
        <v>20</v>
      </c>
      <c r="CB9">
        <f t="shared" si="3"/>
        <v>2</v>
      </c>
      <c r="CC9">
        <f t="shared" si="4"/>
        <v>0</v>
      </c>
      <c r="CD9">
        <f t="shared" si="48"/>
        <v>0</v>
      </c>
      <c r="CE9">
        <f t="shared" si="5"/>
        <v>21</v>
      </c>
      <c r="CF9">
        <f t="shared" si="6"/>
        <v>1</v>
      </c>
      <c r="CG9">
        <f t="shared" si="7"/>
        <v>0</v>
      </c>
      <c r="CH9">
        <f t="shared" si="49"/>
        <v>0</v>
      </c>
      <c r="CI9">
        <f t="shared" si="8"/>
        <v>21</v>
      </c>
      <c r="CJ9">
        <f t="shared" si="9"/>
        <v>0</v>
      </c>
      <c r="CK9">
        <f t="shared" si="10"/>
        <v>1</v>
      </c>
      <c r="CL9">
        <f t="shared" si="50"/>
        <v>0</v>
      </c>
      <c r="CM9">
        <f t="shared" si="11"/>
        <v>15</v>
      </c>
      <c r="CN9">
        <f t="shared" si="12"/>
        <v>1</v>
      </c>
      <c r="CO9">
        <f t="shared" si="13"/>
        <v>5</v>
      </c>
      <c r="CP9">
        <f t="shared" si="51"/>
        <v>1</v>
      </c>
      <c r="CQ9">
        <f t="shared" si="14"/>
        <v>16</v>
      </c>
      <c r="CR9">
        <f t="shared" si="15"/>
        <v>0</v>
      </c>
      <c r="CS9">
        <f t="shared" si="16"/>
        <v>6</v>
      </c>
      <c r="CT9">
        <f t="shared" si="52"/>
        <v>0</v>
      </c>
      <c r="CU9">
        <f t="shared" si="17"/>
        <v>6</v>
      </c>
      <c r="CV9">
        <f t="shared" si="18"/>
        <v>7</v>
      </c>
      <c r="CW9">
        <f t="shared" si="19"/>
        <v>7</v>
      </c>
      <c r="CX9">
        <f t="shared" si="53"/>
        <v>2</v>
      </c>
      <c r="CY9">
        <f t="shared" si="20"/>
        <v>18</v>
      </c>
      <c r="CZ9">
        <f t="shared" si="21"/>
        <v>0</v>
      </c>
      <c r="DA9">
        <f t="shared" si="22"/>
        <v>4</v>
      </c>
      <c r="DB9">
        <f t="shared" si="54"/>
        <v>0</v>
      </c>
      <c r="DC9">
        <f t="shared" si="23"/>
        <v>15</v>
      </c>
      <c r="DD9">
        <f t="shared" si="24"/>
        <v>1</v>
      </c>
      <c r="DE9">
        <f t="shared" si="25"/>
        <v>6</v>
      </c>
      <c r="DF9">
        <f t="shared" si="55"/>
        <v>0</v>
      </c>
      <c r="DG9">
        <f t="shared" si="26"/>
        <v>15</v>
      </c>
      <c r="DH9">
        <f t="shared" si="27"/>
        <v>0</v>
      </c>
      <c r="DI9">
        <f t="shared" si="28"/>
        <v>7</v>
      </c>
      <c r="DJ9">
        <f t="shared" si="56"/>
        <v>0</v>
      </c>
      <c r="DK9">
        <f t="shared" si="29"/>
        <v>12</v>
      </c>
      <c r="DL9">
        <f t="shared" si="30"/>
        <v>1</v>
      </c>
      <c r="DM9">
        <f t="shared" si="31"/>
        <v>9</v>
      </c>
      <c r="DN9">
        <f t="shared" si="57"/>
        <v>0</v>
      </c>
      <c r="DO9">
        <f t="shared" si="32"/>
        <v>8</v>
      </c>
      <c r="DP9">
        <f t="shared" si="33"/>
        <v>3</v>
      </c>
      <c r="DQ9">
        <f t="shared" si="34"/>
        <v>11</v>
      </c>
      <c r="DR9">
        <f t="shared" si="58"/>
        <v>0</v>
      </c>
      <c r="DS9">
        <f t="shared" si="35"/>
        <v>12</v>
      </c>
      <c r="DT9">
        <f t="shared" si="36"/>
        <v>2</v>
      </c>
      <c r="DU9">
        <f t="shared" si="37"/>
        <v>7</v>
      </c>
      <c r="DV9">
        <f t="shared" si="59"/>
        <v>1</v>
      </c>
      <c r="DW9">
        <f t="shared" si="38"/>
        <v>15</v>
      </c>
      <c r="DX9">
        <f t="shared" si="39"/>
        <v>1</v>
      </c>
      <c r="DY9">
        <f t="shared" si="40"/>
        <v>6</v>
      </c>
      <c r="DZ9">
        <f t="shared" si="60"/>
        <v>0</v>
      </c>
      <c r="EA9">
        <f t="shared" si="41"/>
        <v>14</v>
      </c>
      <c r="EB9">
        <f t="shared" si="42"/>
        <v>0</v>
      </c>
      <c r="EC9">
        <f t="shared" si="43"/>
        <v>7</v>
      </c>
      <c r="ED9">
        <f t="shared" si="61"/>
        <v>1</v>
      </c>
      <c r="EE9">
        <f t="shared" si="44"/>
        <v>13</v>
      </c>
      <c r="EF9">
        <f t="shared" si="45"/>
        <v>1</v>
      </c>
      <c r="EG9">
        <f t="shared" si="46"/>
        <v>7</v>
      </c>
      <c r="EH9">
        <f t="shared" si="62"/>
        <v>1</v>
      </c>
      <c r="EI9">
        <f t="shared" si="63"/>
        <v>12</v>
      </c>
      <c r="EJ9">
        <f t="shared" si="64"/>
        <v>5</v>
      </c>
      <c r="EK9">
        <f t="shared" si="65"/>
        <v>3</v>
      </c>
      <c r="EL9">
        <f t="shared" si="66"/>
        <v>2</v>
      </c>
      <c r="EM9">
        <f t="shared" si="67"/>
        <v>13</v>
      </c>
      <c r="EN9">
        <f t="shared" si="68"/>
        <v>2</v>
      </c>
      <c r="EO9">
        <f t="shared" si="69"/>
        <v>3</v>
      </c>
      <c r="EP9">
        <f t="shared" si="70"/>
        <v>4</v>
      </c>
      <c r="EQ9">
        <f t="shared" si="71"/>
        <v>13</v>
      </c>
      <c r="ER9">
        <f t="shared" si="72"/>
        <v>6</v>
      </c>
      <c r="ES9">
        <f t="shared" si="73"/>
        <v>3</v>
      </c>
      <c r="ET9">
        <f t="shared" si="74"/>
        <v>0</v>
      </c>
      <c r="EV9" s="25">
        <f t="shared" si="75"/>
        <v>11.954545454545457</v>
      </c>
      <c r="EW9" s="25">
        <f t="shared" si="76"/>
        <v>0.66414141414141425</v>
      </c>
    </row>
    <row r="10" spans="2:153" ht="39" thickBot="1" x14ac:dyDescent="0.3">
      <c r="B10" s="26" t="s">
        <v>58</v>
      </c>
      <c r="D10" s="22">
        <v>6</v>
      </c>
      <c r="E10" s="31">
        <v>1</v>
      </c>
      <c r="F10" s="31">
        <v>1</v>
      </c>
      <c r="G10" s="31">
        <v>1</v>
      </c>
      <c r="H10" s="31">
        <v>1</v>
      </c>
      <c r="I10" s="31">
        <v>1</v>
      </c>
      <c r="J10" s="28">
        <v>1</v>
      </c>
      <c r="K10" s="31">
        <v>1</v>
      </c>
      <c r="L10" s="31">
        <v>1</v>
      </c>
      <c r="M10" s="28">
        <v>1</v>
      </c>
      <c r="N10" s="31">
        <v>0.5</v>
      </c>
      <c r="O10" s="31">
        <v>1</v>
      </c>
      <c r="P10" s="31">
        <v>1</v>
      </c>
      <c r="Q10" s="31">
        <v>1</v>
      </c>
      <c r="R10" s="31">
        <v>0</v>
      </c>
      <c r="S10" s="31">
        <v>1</v>
      </c>
      <c r="T10" s="31">
        <v>1</v>
      </c>
      <c r="U10" s="23">
        <v>1</v>
      </c>
      <c r="V10" s="31">
        <v>1</v>
      </c>
      <c r="W10" s="32">
        <v>1</v>
      </c>
      <c r="X10" s="31">
        <v>1</v>
      </c>
      <c r="Y10" s="31">
        <v>1</v>
      </c>
      <c r="Z10" s="31">
        <v>1</v>
      </c>
      <c r="AA10" s="32">
        <v>1</v>
      </c>
      <c r="AB10" s="32">
        <v>1</v>
      </c>
      <c r="AC10" s="24">
        <v>1</v>
      </c>
      <c r="AD10" s="32">
        <v>1</v>
      </c>
      <c r="AE10" s="32">
        <v>1</v>
      </c>
      <c r="AF10" s="28">
        <v>1</v>
      </c>
      <c r="AG10" s="32">
        <v>1</v>
      </c>
      <c r="AH10" s="32">
        <v>1</v>
      </c>
      <c r="AI10" s="29">
        <v>1</v>
      </c>
      <c r="AJ10" s="32">
        <v>0.5</v>
      </c>
      <c r="AK10" s="32">
        <v>1</v>
      </c>
      <c r="AL10" s="32">
        <v>1</v>
      </c>
      <c r="AM10" s="32">
        <v>1</v>
      </c>
      <c r="AN10" s="31">
        <v>0</v>
      </c>
      <c r="AO10" s="32">
        <v>1</v>
      </c>
      <c r="AP10" s="32">
        <v>1</v>
      </c>
      <c r="AQ10" s="23">
        <v>1</v>
      </c>
      <c r="AR10" s="29">
        <v>1</v>
      </c>
      <c r="AS10" s="32">
        <v>1</v>
      </c>
      <c r="AT10" s="32">
        <v>1</v>
      </c>
      <c r="AU10" s="29">
        <v>1</v>
      </c>
      <c r="AV10" s="29">
        <v>1</v>
      </c>
      <c r="AW10" s="32">
        <v>1</v>
      </c>
      <c r="AX10" s="32">
        <v>1</v>
      </c>
      <c r="AY10" s="24">
        <v>1</v>
      </c>
      <c r="AZ10" s="32">
        <v>1</v>
      </c>
      <c r="BA10" s="32">
        <v>1</v>
      </c>
      <c r="BB10" s="28">
        <v>1</v>
      </c>
      <c r="BC10" s="32">
        <v>1</v>
      </c>
      <c r="BD10" s="32">
        <v>1</v>
      </c>
      <c r="BE10" s="29">
        <v>1</v>
      </c>
      <c r="BF10" s="32">
        <v>0.5</v>
      </c>
      <c r="BG10" s="32">
        <v>1</v>
      </c>
      <c r="BH10" s="32">
        <v>1</v>
      </c>
      <c r="BI10" s="32">
        <v>1</v>
      </c>
      <c r="BJ10" s="24">
        <v>0.5</v>
      </c>
      <c r="BK10" s="32">
        <v>1</v>
      </c>
      <c r="BL10" s="32">
        <v>1</v>
      </c>
      <c r="BM10" s="23">
        <v>1</v>
      </c>
      <c r="BN10" s="29">
        <v>0.5</v>
      </c>
      <c r="BO10" s="32">
        <v>1</v>
      </c>
      <c r="BP10" s="32">
        <v>1</v>
      </c>
      <c r="BQ10" s="29">
        <v>1</v>
      </c>
      <c r="BR10" s="29">
        <v>1</v>
      </c>
      <c r="BT10">
        <f t="shared" si="0"/>
        <v>66</v>
      </c>
      <c r="BU10">
        <f t="shared" si="1"/>
        <v>61.5</v>
      </c>
      <c r="BV10" s="25">
        <f t="shared" si="47"/>
        <v>0.93181818181818177</v>
      </c>
      <c r="CA10">
        <f t="shared" si="2"/>
        <v>20</v>
      </c>
      <c r="CB10">
        <f t="shared" si="3"/>
        <v>1</v>
      </c>
      <c r="CC10">
        <f t="shared" si="4"/>
        <v>1</v>
      </c>
      <c r="CD10">
        <f t="shared" si="48"/>
        <v>0</v>
      </c>
      <c r="CE10">
        <f t="shared" si="5"/>
        <v>20</v>
      </c>
      <c r="CF10">
        <f t="shared" si="6"/>
        <v>1</v>
      </c>
      <c r="CG10">
        <f t="shared" si="7"/>
        <v>1</v>
      </c>
      <c r="CH10">
        <f t="shared" si="49"/>
        <v>0</v>
      </c>
      <c r="CI10">
        <f t="shared" si="8"/>
        <v>19</v>
      </c>
      <c r="CJ10">
        <f t="shared" si="9"/>
        <v>0</v>
      </c>
      <c r="CK10">
        <f t="shared" si="10"/>
        <v>3</v>
      </c>
      <c r="CL10">
        <f t="shared" si="50"/>
        <v>0</v>
      </c>
      <c r="CM10">
        <f t="shared" si="11"/>
        <v>14</v>
      </c>
      <c r="CN10">
        <f t="shared" si="12"/>
        <v>1</v>
      </c>
      <c r="CO10">
        <f t="shared" si="13"/>
        <v>6</v>
      </c>
      <c r="CP10">
        <f t="shared" si="51"/>
        <v>1</v>
      </c>
      <c r="CQ10">
        <f t="shared" si="14"/>
        <v>14</v>
      </c>
      <c r="CR10">
        <f t="shared" si="15"/>
        <v>0</v>
      </c>
      <c r="CS10">
        <f t="shared" si="16"/>
        <v>8</v>
      </c>
      <c r="CT10">
        <f t="shared" si="52"/>
        <v>0</v>
      </c>
      <c r="CU10">
        <f t="shared" si="17"/>
        <v>5</v>
      </c>
      <c r="CV10">
        <f t="shared" si="18"/>
        <v>6</v>
      </c>
      <c r="CW10">
        <f t="shared" si="19"/>
        <v>8</v>
      </c>
      <c r="CX10">
        <f t="shared" si="53"/>
        <v>3</v>
      </c>
      <c r="CY10">
        <f t="shared" si="20"/>
        <v>19</v>
      </c>
      <c r="CZ10">
        <f t="shared" si="21"/>
        <v>0</v>
      </c>
      <c r="DA10">
        <f t="shared" si="22"/>
        <v>3</v>
      </c>
      <c r="DB10">
        <f t="shared" si="54"/>
        <v>0</v>
      </c>
      <c r="DC10">
        <f t="shared" si="23"/>
        <v>16</v>
      </c>
      <c r="DD10">
        <f t="shared" si="24"/>
        <v>0</v>
      </c>
      <c r="DE10">
        <f t="shared" si="25"/>
        <v>6</v>
      </c>
      <c r="DF10">
        <f t="shared" si="55"/>
        <v>0</v>
      </c>
      <c r="DG10">
        <f t="shared" si="26"/>
        <v>15</v>
      </c>
      <c r="DH10">
        <f t="shared" si="27"/>
        <v>1</v>
      </c>
      <c r="DI10">
        <f t="shared" si="28"/>
        <v>6</v>
      </c>
      <c r="DJ10">
        <f t="shared" si="56"/>
        <v>0</v>
      </c>
      <c r="DK10">
        <f t="shared" si="29"/>
        <v>12</v>
      </c>
      <c r="DL10">
        <f t="shared" si="30"/>
        <v>2</v>
      </c>
      <c r="DM10">
        <f t="shared" si="31"/>
        <v>8</v>
      </c>
      <c r="DN10">
        <f t="shared" si="57"/>
        <v>0</v>
      </c>
      <c r="DO10">
        <f t="shared" si="32"/>
        <v>7</v>
      </c>
      <c r="DP10">
        <f t="shared" si="33"/>
        <v>2</v>
      </c>
      <c r="DQ10">
        <f t="shared" si="34"/>
        <v>13</v>
      </c>
      <c r="DR10">
        <f t="shared" si="58"/>
        <v>0</v>
      </c>
      <c r="DS10">
        <f t="shared" si="35"/>
        <v>10</v>
      </c>
      <c r="DT10">
        <f t="shared" si="36"/>
        <v>3</v>
      </c>
      <c r="DU10">
        <f t="shared" si="37"/>
        <v>8</v>
      </c>
      <c r="DV10">
        <f t="shared" si="59"/>
        <v>1</v>
      </c>
      <c r="DW10">
        <f t="shared" si="38"/>
        <v>14</v>
      </c>
      <c r="DX10">
        <f t="shared" si="39"/>
        <v>1</v>
      </c>
      <c r="DY10">
        <f t="shared" si="40"/>
        <v>7</v>
      </c>
      <c r="DZ10">
        <f t="shared" si="60"/>
        <v>0</v>
      </c>
      <c r="EA10">
        <f t="shared" si="41"/>
        <v>13</v>
      </c>
      <c r="EB10">
        <f t="shared" si="42"/>
        <v>1</v>
      </c>
      <c r="EC10">
        <f t="shared" si="43"/>
        <v>7</v>
      </c>
      <c r="ED10">
        <f t="shared" si="61"/>
        <v>1</v>
      </c>
      <c r="EE10">
        <f t="shared" si="44"/>
        <v>14</v>
      </c>
      <c r="EF10">
        <f t="shared" si="45"/>
        <v>1</v>
      </c>
      <c r="EG10">
        <f t="shared" si="46"/>
        <v>6</v>
      </c>
      <c r="EH10">
        <f t="shared" si="62"/>
        <v>1</v>
      </c>
      <c r="EI10">
        <f t="shared" si="63"/>
        <v>11</v>
      </c>
      <c r="EJ10">
        <f t="shared" si="64"/>
        <v>6</v>
      </c>
      <c r="EK10">
        <f t="shared" si="65"/>
        <v>4</v>
      </c>
      <c r="EL10">
        <f t="shared" si="66"/>
        <v>1</v>
      </c>
      <c r="EM10">
        <f t="shared" si="67"/>
        <v>13</v>
      </c>
      <c r="EN10">
        <f t="shared" si="68"/>
        <v>2</v>
      </c>
      <c r="EO10">
        <f t="shared" si="69"/>
        <v>4</v>
      </c>
      <c r="EP10">
        <f t="shared" si="70"/>
        <v>3</v>
      </c>
      <c r="EQ10">
        <f t="shared" si="71"/>
        <v>13</v>
      </c>
      <c r="ER10">
        <f t="shared" si="72"/>
        <v>5</v>
      </c>
      <c r="ES10">
        <f t="shared" si="73"/>
        <v>4</v>
      </c>
      <c r="ET10">
        <f t="shared" si="74"/>
        <v>0</v>
      </c>
      <c r="EV10" s="25">
        <f t="shared" si="75"/>
        <v>11.727272727272728</v>
      </c>
      <c r="EW10" s="25">
        <f t="shared" si="76"/>
        <v>0.6515151515151516</v>
      </c>
    </row>
    <row r="11" spans="2:153" ht="39" thickBot="1" x14ac:dyDescent="0.3">
      <c r="B11" s="30" t="s">
        <v>59</v>
      </c>
      <c r="D11" s="22">
        <v>7</v>
      </c>
      <c r="E11" s="31">
        <v>1</v>
      </c>
      <c r="F11" s="31">
        <v>1</v>
      </c>
      <c r="G11" s="31">
        <v>1</v>
      </c>
      <c r="H11" s="31">
        <v>1</v>
      </c>
      <c r="I11" s="31">
        <v>1</v>
      </c>
      <c r="J11" s="31">
        <v>1</v>
      </c>
      <c r="K11" s="31">
        <v>1</v>
      </c>
      <c r="L11" s="31">
        <v>1</v>
      </c>
      <c r="M11" s="28">
        <v>0.5</v>
      </c>
      <c r="N11" s="31">
        <v>0.5</v>
      </c>
      <c r="O11" s="31">
        <v>1</v>
      </c>
      <c r="P11" s="31">
        <v>1</v>
      </c>
      <c r="Q11" s="31">
        <v>1</v>
      </c>
      <c r="R11" s="31">
        <v>0</v>
      </c>
      <c r="S11" s="31">
        <v>1</v>
      </c>
      <c r="T11" s="31">
        <v>1</v>
      </c>
      <c r="U11" s="23">
        <v>1</v>
      </c>
      <c r="V11" s="31">
        <v>0.5</v>
      </c>
      <c r="W11" s="32">
        <v>1</v>
      </c>
      <c r="X11" s="31">
        <v>1</v>
      </c>
      <c r="Y11" s="31">
        <v>1</v>
      </c>
      <c r="Z11" s="31">
        <v>1</v>
      </c>
      <c r="AA11" s="32">
        <v>1</v>
      </c>
      <c r="AB11" s="32">
        <v>1</v>
      </c>
      <c r="AC11" s="24">
        <v>1</v>
      </c>
      <c r="AD11" s="32">
        <v>1</v>
      </c>
      <c r="AE11" s="32">
        <v>1</v>
      </c>
      <c r="AF11" s="32">
        <v>1</v>
      </c>
      <c r="AG11" s="32">
        <v>0.5</v>
      </c>
      <c r="AH11" s="32">
        <v>1</v>
      </c>
      <c r="AI11" s="29">
        <v>1</v>
      </c>
      <c r="AJ11" s="32">
        <v>0.5</v>
      </c>
      <c r="AK11" s="32">
        <v>1</v>
      </c>
      <c r="AL11" s="32">
        <v>1</v>
      </c>
      <c r="AM11" s="32">
        <v>1</v>
      </c>
      <c r="AN11" s="31">
        <v>0</v>
      </c>
      <c r="AO11" s="32">
        <v>1</v>
      </c>
      <c r="AP11" s="32">
        <v>1</v>
      </c>
      <c r="AQ11" s="23">
        <v>1</v>
      </c>
      <c r="AR11" s="29">
        <v>0.5</v>
      </c>
      <c r="AS11" s="32">
        <v>1</v>
      </c>
      <c r="AT11" s="32">
        <v>0.5</v>
      </c>
      <c r="AU11" s="29">
        <v>1</v>
      </c>
      <c r="AV11" s="29">
        <v>1</v>
      </c>
      <c r="AW11" s="32">
        <v>1</v>
      </c>
      <c r="AX11" s="32">
        <v>0.5</v>
      </c>
      <c r="AY11" s="24">
        <v>1</v>
      </c>
      <c r="AZ11" s="32">
        <v>1</v>
      </c>
      <c r="BA11" s="32">
        <v>1</v>
      </c>
      <c r="BB11" s="32">
        <v>1</v>
      </c>
      <c r="BC11" s="32">
        <v>0</v>
      </c>
      <c r="BD11" s="32">
        <v>1</v>
      </c>
      <c r="BE11" s="29">
        <v>1</v>
      </c>
      <c r="BF11" s="32">
        <v>0.5</v>
      </c>
      <c r="BG11" s="32">
        <v>1</v>
      </c>
      <c r="BH11" s="32">
        <v>1</v>
      </c>
      <c r="BI11" s="32">
        <v>1</v>
      </c>
      <c r="BJ11" s="24">
        <v>0.5</v>
      </c>
      <c r="BK11" s="32">
        <v>1</v>
      </c>
      <c r="BL11" s="32">
        <v>1</v>
      </c>
      <c r="BM11" s="23">
        <v>1</v>
      </c>
      <c r="BN11" s="29">
        <v>0.5</v>
      </c>
      <c r="BO11" s="32">
        <v>1</v>
      </c>
      <c r="BP11" s="32">
        <v>0.5</v>
      </c>
      <c r="BQ11" s="29">
        <v>1</v>
      </c>
      <c r="BR11" s="29">
        <v>1</v>
      </c>
      <c r="BT11">
        <f t="shared" si="0"/>
        <v>66</v>
      </c>
      <c r="BU11">
        <f t="shared" si="1"/>
        <v>57</v>
      </c>
      <c r="BV11" s="25">
        <f t="shared" si="47"/>
        <v>0.86363636363636365</v>
      </c>
      <c r="CA11">
        <f t="shared" si="2"/>
        <v>18</v>
      </c>
      <c r="CB11">
        <f t="shared" si="3"/>
        <v>1</v>
      </c>
      <c r="CC11">
        <f t="shared" si="4"/>
        <v>3</v>
      </c>
      <c r="CD11">
        <f t="shared" si="48"/>
        <v>0</v>
      </c>
      <c r="CE11">
        <f t="shared" si="5"/>
        <v>17</v>
      </c>
      <c r="CF11">
        <f t="shared" si="6"/>
        <v>1</v>
      </c>
      <c r="CG11">
        <f t="shared" si="7"/>
        <v>4</v>
      </c>
      <c r="CH11">
        <f t="shared" si="49"/>
        <v>0</v>
      </c>
      <c r="CI11">
        <f t="shared" si="8"/>
        <v>16</v>
      </c>
      <c r="CJ11">
        <f t="shared" si="9"/>
        <v>1</v>
      </c>
      <c r="CK11">
        <f t="shared" si="10"/>
        <v>5</v>
      </c>
      <c r="CL11">
        <f t="shared" si="50"/>
        <v>0</v>
      </c>
      <c r="CM11">
        <f t="shared" si="11"/>
        <v>14</v>
      </c>
      <c r="CN11">
        <f t="shared" si="12"/>
        <v>1</v>
      </c>
      <c r="CO11">
        <f t="shared" si="13"/>
        <v>6</v>
      </c>
      <c r="CP11">
        <f t="shared" si="51"/>
        <v>1</v>
      </c>
      <c r="CQ11">
        <f t="shared" si="14"/>
        <v>15</v>
      </c>
      <c r="CR11">
        <f t="shared" si="15"/>
        <v>0</v>
      </c>
      <c r="CS11">
        <f t="shared" si="16"/>
        <v>7</v>
      </c>
      <c r="CT11">
        <f t="shared" si="52"/>
        <v>0</v>
      </c>
      <c r="CU11">
        <f t="shared" si="17"/>
        <v>11</v>
      </c>
      <c r="CV11">
        <f t="shared" si="18"/>
        <v>6</v>
      </c>
      <c r="CW11">
        <f t="shared" si="19"/>
        <v>4</v>
      </c>
      <c r="CX11">
        <f t="shared" si="53"/>
        <v>1</v>
      </c>
      <c r="CY11">
        <f t="shared" si="20"/>
        <v>14</v>
      </c>
      <c r="CZ11">
        <f t="shared" si="21"/>
        <v>3</v>
      </c>
      <c r="DA11">
        <f t="shared" si="22"/>
        <v>5</v>
      </c>
      <c r="DB11">
        <f t="shared" si="54"/>
        <v>0</v>
      </c>
      <c r="DC11">
        <f t="shared" si="23"/>
        <v>6</v>
      </c>
      <c r="DD11">
        <f t="shared" si="24"/>
        <v>6</v>
      </c>
      <c r="DE11">
        <f t="shared" si="25"/>
        <v>10</v>
      </c>
      <c r="DF11">
        <f t="shared" si="55"/>
        <v>0</v>
      </c>
      <c r="DG11">
        <f t="shared" si="26"/>
        <v>7</v>
      </c>
      <c r="DH11">
        <f t="shared" si="27"/>
        <v>8</v>
      </c>
      <c r="DI11">
        <f t="shared" si="28"/>
        <v>7</v>
      </c>
      <c r="DJ11">
        <f t="shared" si="56"/>
        <v>0</v>
      </c>
      <c r="DK11">
        <f t="shared" si="29"/>
        <v>10</v>
      </c>
      <c r="DL11">
        <f t="shared" si="30"/>
        <v>2</v>
      </c>
      <c r="DM11">
        <f t="shared" si="31"/>
        <v>10</v>
      </c>
      <c r="DN11">
        <f t="shared" si="57"/>
        <v>0</v>
      </c>
      <c r="DO11">
        <f t="shared" si="32"/>
        <v>8</v>
      </c>
      <c r="DP11">
        <f t="shared" si="33"/>
        <v>2</v>
      </c>
      <c r="DQ11">
        <f t="shared" si="34"/>
        <v>12</v>
      </c>
      <c r="DR11">
        <f t="shared" si="58"/>
        <v>0</v>
      </c>
      <c r="DS11">
        <f t="shared" si="35"/>
        <v>11</v>
      </c>
      <c r="DT11">
        <f t="shared" si="36"/>
        <v>2</v>
      </c>
      <c r="DU11">
        <f t="shared" si="37"/>
        <v>8</v>
      </c>
      <c r="DV11">
        <f t="shared" si="59"/>
        <v>1</v>
      </c>
      <c r="DW11">
        <f t="shared" si="38"/>
        <v>13</v>
      </c>
      <c r="DX11">
        <f t="shared" si="39"/>
        <v>3</v>
      </c>
      <c r="DY11">
        <f t="shared" si="40"/>
        <v>6</v>
      </c>
      <c r="DZ11">
        <f t="shared" si="60"/>
        <v>0</v>
      </c>
      <c r="EA11">
        <f t="shared" si="41"/>
        <v>10</v>
      </c>
      <c r="EB11">
        <f t="shared" si="42"/>
        <v>3</v>
      </c>
      <c r="EC11">
        <f t="shared" si="43"/>
        <v>9</v>
      </c>
      <c r="ED11">
        <f t="shared" si="61"/>
        <v>0</v>
      </c>
      <c r="EE11">
        <f t="shared" si="44"/>
        <v>14</v>
      </c>
      <c r="EF11">
        <f t="shared" si="45"/>
        <v>2</v>
      </c>
      <c r="EG11">
        <f t="shared" si="46"/>
        <v>6</v>
      </c>
      <c r="EH11">
        <f t="shared" si="62"/>
        <v>0</v>
      </c>
      <c r="EI11">
        <f t="shared" si="63"/>
        <v>14</v>
      </c>
      <c r="EJ11">
        <f t="shared" si="64"/>
        <v>5</v>
      </c>
      <c r="EK11">
        <f t="shared" si="65"/>
        <v>2</v>
      </c>
      <c r="EL11">
        <f t="shared" si="66"/>
        <v>1</v>
      </c>
      <c r="EM11">
        <f t="shared" si="67"/>
        <v>15</v>
      </c>
      <c r="EN11">
        <f t="shared" si="68"/>
        <v>2</v>
      </c>
      <c r="EO11">
        <f t="shared" si="69"/>
        <v>3</v>
      </c>
      <c r="EP11">
        <f t="shared" si="70"/>
        <v>2</v>
      </c>
      <c r="EQ11">
        <f t="shared" si="71"/>
        <v>15</v>
      </c>
      <c r="ER11">
        <f t="shared" si="72"/>
        <v>4</v>
      </c>
      <c r="ES11">
        <f t="shared" si="73"/>
        <v>2</v>
      </c>
      <c r="ET11">
        <f t="shared" si="74"/>
        <v>1</v>
      </c>
      <c r="EV11" s="25">
        <f t="shared" si="75"/>
        <v>10.772727272727272</v>
      </c>
      <c r="EW11" s="25">
        <f t="shared" si="76"/>
        <v>0.5984848484848484</v>
      </c>
    </row>
    <row r="12" spans="2:153" ht="39" thickBot="1" x14ac:dyDescent="0.3">
      <c r="B12" s="30" t="s">
        <v>60</v>
      </c>
      <c r="D12" s="22">
        <v>8</v>
      </c>
      <c r="E12" s="31">
        <v>1</v>
      </c>
      <c r="F12" s="31">
        <v>1</v>
      </c>
      <c r="G12" s="31">
        <v>1</v>
      </c>
      <c r="H12" s="31">
        <v>1</v>
      </c>
      <c r="I12" s="31">
        <v>0.5</v>
      </c>
      <c r="J12" s="31">
        <v>0</v>
      </c>
      <c r="K12" s="31">
        <v>0</v>
      </c>
      <c r="L12" s="31">
        <v>1</v>
      </c>
      <c r="M12" s="28">
        <v>1</v>
      </c>
      <c r="N12" s="31">
        <v>1</v>
      </c>
      <c r="O12" s="23">
        <v>1</v>
      </c>
      <c r="P12" s="31">
        <v>1</v>
      </c>
      <c r="Q12" s="31">
        <v>1</v>
      </c>
      <c r="R12" s="31">
        <v>0</v>
      </c>
      <c r="S12" s="31">
        <v>1</v>
      </c>
      <c r="T12" s="31">
        <v>1</v>
      </c>
      <c r="U12" s="23">
        <v>1</v>
      </c>
      <c r="V12" s="31">
        <v>1</v>
      </c>
      <c r="W12" s="32">
        <v>1</v>
      </c>
      <c r="X12" s="31">
        <v>0.5</v>
      </c>
      <c r="Y12" s="31">
        <v>1</v>
      </c>
      <c r="Z12" s="31">
        <v>1</v>
      </c>
      <c r="AA12" s="32">
        <v>1</v>
      </c>
      <c r="AB12" s="32">
        <v>0.5</v>
      </c>
      <c r="AC12" s="24">
        <v>1</v>
      </c>
      <c r="AD12" s="32">
        <v>1</v>
      </c>
      <c r="AE12" s="32">
        <v>0.5</v>
      </c>
      <c r="AF12" s="32">
        <v>0</v>
      </c>
      <c r="AG12" s="32">
        <v>0.5</v>
      </c>
      <c r="AH12" s="32">
        <v>1</v>
      </c>
      <c r="AI12" s="29">
        <v>1</v>
      </c>
      <c r="AJ12" s="32">
        <v>1</v>
      </c>
      <c r="AK12" s="24">
        <v>0.5</v>
      </c>
      <c r="AL12" s="32">
        <v>1</v>
      </c>
      <c r="AM12" s="32">
        <v>1</v>
      </c>
      <c r="AN12" s="31">
        <v>0</v>
      </c>
      <c r="AO12" s="32">
        <v>1</v>
      </c>
      <c r="AP12" s="32">
        <v>1</v>
      </c>
      <c r="AQ12" s="23">
        <v>1</v>
      </c>
      <c r="AR12" s="29">
        <v>1</v>
      </c>
      <c r="AS12" s="32">
        <v>1</v>
      </c>
      <c r="AT12" s="32">
        <v>1</v>
      </c>
      <c r="AU12" s="29">
        <v>1</v>
      </c>
      <c r="AV12" s="29">
        <v>1</v>
      </c>
      <c r="AW12" s="32">
        <v>1</v>
      </c>
      <c r="AX12" s="32">
        <v>1</v>
      </c>
      <c r="AY12" s="24">
        <v>1</v>
      </c>
      <c r="AZ12" s="32">
        <v>1</v>
      </c>
      <c r="BA12" s="32">
        <v>0.5</v>
      </c>
      <c r="BB12" s="32">
        <v>0.5</v>
      </c>
      <c r="BC12" s="32">
        <v>1</v>
      </c>
      <c r="BD12" s="32">
        <v>1</v>
      </c>
      <c r="BE12" s="29">
        <v>1</v>
      </c>
      <c r="BF12" s="32">
        <v>1</v>
      </c>
      <c r="BG12" s="24">
        <v>1</v>
      </c>
      <c r="BH12" s="32">
        <v>1</v>
      </c>
      <c r="BI12" s="32">
        <v>1</v>
      </c>
      <c r="BJ12" s="24">
        <v>0.5</v>
      </c>
      <c r="BK12" s="32">
        <v>1</v>
      </c>
      <c r="BL12" s="32">
        <v>1</v>
      </c>
      <c r="BM12" s="23">
        <v>1</v>
      </c>
      <c r="BN12" s="29">
        <v>1</v>
      </c>
      <c r="BO12" s="32">
        <v>1</v>
      </c>
      <c r="BP12" s="32">
        <v>1</v>
      </c>
      <c r="BQ12" s="29">
        <v>0.5</v>
      </c>
      <c r="BR12" s="29">
        <v>1</v>
      </c>
      <c r="BT12">
        <f t="shared" si="0"/>
        <v>66</v>
      </c>
      <c r="BU12">
        <f t="shared" si="1"/>
        <v>56</v>
      </c>
      <c r="BV12" s="25">
        <f t="shared" si="47"/>
        <v>0.84848484848484851</v>
      </c>
      <c r="CA12">
        <f t="shared" si="2"/>
        <v>17</v>
      </c>
      <c r="CB12">
        <f t="shared" si="3"/>
        <v>3</v>
      </c>
      <c r="CC12">
        <f t="shared" si="4"/>
        <v>2</v>
      </c>
      <c r="CD12">
        <f t="shared" si="48"/>
        <v>0</v>
      </c>
      <c r="CE12">
        <f t="shared" si="5"/>
        <v>16</v>
      </c>
      <c r="CF12">
        <f t="shared" si="6"/>
        <v>2</v>
      </c>
      <c r="CG12">
        <f t="shared" si="7"/>
        <v>4</v>
      </c>
      <c r="CH12">
        <f t="shared" si="49"/>
        <v>0</v>
      </c>
      <c r="CI12">
        <f t="shared" si="8"/>
        <v>18</v>
      </c>
      <c r="CJ12">
        <f t="shared" si="9"/>
        <v>0</v>
      </c>
      <c r="CK12">
        <f t="shared" si="10"/>
        <v>4</v>
      </c>
      <c r="CL12">
        <f t="shared" si="50"/>
        <v>0</v>
      </c>
      <c r="CM12">
        <f t="shared" si="11"/>
        <v>16</v>
      </c>
      <c r="CN12">
        <f t="shared" si="12"/>
        <v>2</v>
      </c>
      <c r="CO12">
        <f t="shared" si="13"/>
        <v>3</v>
      </c>
      <c r="CP12">
        <f t="shared" si="51"/>
        <v>1</v>
      </c>
      <c r="CQ12">
        <f t="shared" si="14"/>
        <v>16</v>
      </c>
      <c r="CR12">
        <f t="shared" si="15"/>
        <v>1</v>
      </c>
      <c r="CS12">
        <f t="shared" si="16"/>
        <v>5</v>
      </c>
      <c r="CT12">
        <f t="shared" si="52"/>
        <v>0</v>
      </c>
      <c r="CU12">
        <f t="shared" si="17"/>
        <v>6</v>
      </c>
      <c r="CV12">
        <f t="shared" si="18"/>
        <v>5</v>
      </c>
      <c r="CW12">
        <f t="shared" si="19"/>
        <v>9</v>
      </c>
      <c r="CX12">
        <f t="shared" si="53"/>
        <v>2</v>
      </c>
      <c r="CY12">
        <f t="shared" si="20"/>
        <v>17</v>
      </c>
      <c r="CZ12">
        <f t="shared" si="21"/>
        <v>1</v>
      </c>
      <c r="DA12">
        <f t="shared" si="22"/>
        <v>4</v>
      </c>
      <c r="DB12">
        <f t="shared" si="54"/>
        <v>0</v>
      </c>
      <c r="DC12">
        <f t="shared" si="23"/>
        <v>16</v>
      </c>
      <c r="DD12">
        <f t="shared" si="24"/>
        <v>1</v>
      </c>
      <c r="DE12">
        <f t="shared" si="25"/>
        <v>5</v>
      </c>
      <c r="DF12">
        <f t="shared" si="55"/>
        <v>0</v>
      </c>
      <c r="DG12">
        <f t="shared" si="26"/>
        <v>15</v>
      </c>
      <c r="DH12">
        <f t="shared" si="27"/>
        <v>1</v>
      </c>
      <c r="DI12">
        <f t="shared" si="28"/>
        <v>6</v>
      </c>
      <c r="DJ12">
        <f t="shared" si="56"/>
        <v>0</v>
      </c>
      <c r="DK12">
        <f t="shared" si="29"/>
        <v>15</v>
      </c>
      <c r="DL12">
        <f t="shared" si="30"/>
        <v>2</v>
      </c>
      <c r="DM12">
        <f t="shared" si="31"/>
        <v>4</v>
      </c>
      <c r="DN12">
        <f t="shared" si="57"/>
        <v>1</v>
      </c>
      <c r="DO12">
        <f t="shared" si="32"/>
        <v>10</v>
      </c>
      <c r="DP12">
        <f t="shared" si="33"/>
        <v>2</v>
      </c>
      <c r="DQ12">
        <f t="shared" si="34"/>
        <v>9</v>
      </c>
      <c r="DR12">
        <f t="shared" si="58"/>
        <v>1</v>
      </c>
      <c r="DS12">
        <f t="shared" si="35"/>
        <v>14</v>
      </c>
      <c r="DT12">
        <f t="shared" si="36"/>
        <v>1</v>
      </c>
      <c r="DU12">
        <f t="shared" si="37"/>
        <v>6</v>
      </c>
      <c r="DV12">
        <f t="shared" si="59"/>
        <v>1</v>
      </c>
      <c r="DW12">
        <f t="shared" si="38"/>
        <v>16</v>
      </c>
      <c r="DX12">
        <f t="shared" si="39"/>
        <v>1</v>
      </c>
      <c r="DY12">
        <f t="shared" si="40"/>
        <v>3</v>
      </c>
      <c r="DZ12">
        <f t="shared" si="60"/>
        <v>2</v>
      </c>
      <c r="EA12">
        <f t="shared" si="41"/>
        <v>14</v>
      </c>
      <c r="EB12">
        <f t="shared" si="42"/>
        <v>1</v>
      </c>
      <c r="EC12">
        <f t="shared" si="43"/>
        <v>6</v>
      </c>
      <c r="ED12">
        <f t="shared" si="61"/>
        <v>1</v>
      </c>
      <c r="EE12">
        <f t="shared" si="44"/>
        <v>15</v>
      </c>
      <c r="EF12">
        <f t="shared" si="45"/>
        <v>1</v>
      </c>
      <c r="EG12">
        <f t="shared" si="46"/>
        <v>5</v>
      </c>
      <c r="EH12">
        <f t="shared" si="62"/>
        <v>1</v>
      </c>
      <c r="EI12">
        <f t="shared" si="63"/>
        <v>15</v>
      </c>
      <c r="EJ12">
        <f t="shared" si="64"/>
        <v>4</v>
      </c>
      <c r="EK12">
        <f t="shared" si="65"/>
        <v>2</v>
      </c>
      <c r="EL12">
        <f t="shared" si="66"/>
        <v>1</v>
      </c>
      <c r="EM12">
        <f t="shared" si="67"/>
        <v>15</v>
      </c>
      <c r="EN12">
        <f t="shared" si="68"/>
        <v>2</v>
      </c>
      <c r="EO12">
        <f t="shared" si="69"/>
        <v>3</v>
      </c>
      <c r="EP12">
        <f t="shared" si="70"/>
        <v>2</v>
      </c>
      <c r="EQ12">
        <f t="shared" si="71"/>
        <v>16</v>
      </c>
      <c r="ER12">
        <f t="shared" si="72"/>
        <v>4</v>
      </c>
      <c r="ES12">
        <f t="shared" si="73"/>
        <v>2</v>
      </c>
      <c r="ET12">
        <f t="shared" si="74"/>
        <v>0</v>
      </c>
      <c r="EV12" s="25">
        <f t="shared" si="75"/>
        <v>12.272727272727272</v>
      </c>
      <c r="EW12" s="25">
        <f t="shared" si="76"/>
        <v>0.68181818181818177</v>
      </c>
    </row>
    <row r="13" spans="2:153" ht="26.25" thickBot="1" x14ac:dyDescent="0.3">
      <c r="B13" s="26" t="s">
        <v>61</v>
      </c>
      <c r="D13" s="22">
        <v>9</v>
      </c>
      <c r="E13" s="31">
        <v>0.5</v>
      </c>
      <c r="F13" s="31">
        <v>1</v>
      </c>
      <c r="G13" s="31">
        <v>1</v>
      </c>
      <c r="H13" s="31">
        <v>1</v>
      </c>
      <c r="I13" s="31">
        <v>1</v>
      </c>
      <c r="J13" s="31">
        <v>1</v>
      </c>
      <c r="K13" s="31">
        <v>0</v>
      </c>
      <c r="L13" s="31">
        <v>1</v>
      </c>
      <c r="M13" s="31">
        <v>0.5</v>
      </c>
      <c r="N13" s="31">
        <v>1</v>
      </c>
      <c r="O13" s="31">
        <v>1</v>
      </c>
      <c r="P13" s="31">
        <v>1</v>
      </c>
      <c r="Q13" s="31">
        <v>1</v>
      </c>
      <c r="R13" s="31">
        <v>0</v>
      </c>
      <c r="S13" s="31">
        <v>1</v>
      </c>
      <c r="T13" s="31">
        <v>1</v>
      </c>
      <c r="U13" s="23">
        <v>1</v>
      </c>
      <c r="V13" s="31">
        <v>1</v>
      </c>
      <c r="W13" s="32">
        <v>1</v>
      </c>
      <c r="X13" s="31">
        <v>1</v>
      </c>
      <c r="Y13" s="31">
        <v>1</v>
      </c>
      <c r="Z13" s="31">
        <v>1</v>
      </c>
      <c r="AA13" s="32">
        <v>1</v>
      </c>
      <c r="AB13" s="32">
        <v>1</v>
      </c>
      <c r="AC13" s="24">
        <v>1</v>
      </c>
      <c r="AD13" s="32">
        <v>1</v>
      </c>
      <c r="AE13" s="32">
        <v>1</v>
      </c>
      <c r="AF13" s="32">
        <v>1</v>
      </c>
      <c r="AG13" s="32">
        <v>0</v>
      </c>
      <c r="AH13" s="32">
        <v>1</v>
      </c>
      <c r="AI13" s="32">
        <v>0.5</v>
      </c>
      <c r="AJ13" s="32">
        <v>1</v>
      </c>
      <c r="AK13" s="32">
        <v>1</v>
      </c>
      <c r="AL13" s="32">
        <v>1</v>
      </c>
      <c r="AM13" s="32">
        <v>1</v>
      </c>
      <c r="AN13" s="31">
        <v>0</v>
      </c>
      <c r="AO13" s="32">
        <v>1</v>
      </c>
      <c r="AP13" s="32">
        <v>1</v>
      </c>
      <c r="AQ13" s="23">
        <v>1</v>
      </c>
      <c r="AR13" s="24">
        <v>0.5</v>
      </c>
      <c r="AS13" s="32">
        <v>1</v>
      </c>
      <c r="AT13" s="32">
        <v>1</v>
      </c>
      <c r="AU13" s="24">
        <v>1</v>
      </c>
      <c r="AV13" s="24">
        <v>1</v>
      </c>
      <c r="AW13" s="32">
        <v>1</v>
      </c>
      <c r="AX13" s="32">
        <v>1</v>
      </c>
      <c r="AY13" s="24">
        <v>1</v>
      </c>
      <c r="AZ13" s="32">
        <v>1</v>
      </c>
      <c r="BA13" s="32">
        <v>1</v>
      </c>
      <c r="BB13" s="32">
        <v>1</v>
      </c>
      <c r="BC13" s="32">
        <v>1</v>
      </c>
      <c r="BD13" s="32">
        <v>1</v>
      </c>
      <c r="BE13" s="32">
        <v>1</v>
      </c>
      <c r="BF13" s="32">
        <v>1</v>
      </c>
      <c r="BG13" s="32">
        <v>1</v>
      </c>
      <c r="BH13" s="32">
        <v>1</v>
      </c>
      <c r="BI13" s="32">
        <v>1</v>
      </c>
      <c r="BJ13" s="24">
        <v>0.5</v>
      </c>
      <c r="BK13" s="32">
        <v>1</v>
      </c>
      <c r="BL13" s="32">
        <v>1</v>
      </c>
      <c r="BM13" s="23">
        <v>1</v>
      </c>
      <c r="BN13" s="24">
        <v>1</v>
      </c>
      <c r="BO13" s="32">
        <v>1</v>
      </c>
      <c r="BP13" s="32">
        <v>1</v>
      </c>
      <c r="BQ13" s="24">
        <v>0.5</v>
      </c>
      <c r="BR13" s="24">
        <v>0.5</v>
      </c>
      <c r="BT13">
        <f t="shared" si="0"/>
        <v>66</v>
      </c>
      <c r="BU13">
        <f t="shared" si="1"/>
        <v>58.5</v>
      </c>
      <c r="BV13" s="25">
        <f t="shared" si="47"/>
        <v>0.88636363636363635</v>
      </c>
      <c r="CA13">
        <f t="shared" si="2"/>
        <v>18</v>
      </c>
      <c r="CB13">
        <f t="shared" si="3"/>
        <v>2</v>
      </c>
      <c r="CC13">
        <f t="shared" si="4"/>
        <v>2</v>
      </c>
      <c r="CD13">
        <f t="shared" si="48"/>
        <v>0</v>
      </c>
      <c r="CE13">
        <f t="shared" si="5"/>
        <v>18</v>
      </c>
      <c r="CF13">
        <f t="shared" si="6"/>
        <v>2</v>
      </c>
      <c r="CG13">
        <f t="shared" si="7"/>
        <v>2</v>
      </c>
      <c r="CH13">
        <f t="shared" si="49"/>
        <v>0</v>
      </c>
      <c r="CI13">
        <f t="shared" si="8"/>
        <v>19</v>
      </c>
      <c r="CJ13">
        <f t="shared" si="9"/>
        <v>0</v>
      </c>
      <c r="CK13">
        <f t="shared" si="10"/>
        <v>3</v>
      </c>
      <c r="CL13">
        <f t="shared" si="50"/>
        <v>0</v>
      </c>
      <c r="CM13">
        <f t="shared" si="11"/>
        <v>13</v>
      </c>
      <c r="CN13">
        <f t="shared" si="12"/>
        <v>2</v>
      </c>
      <c r="CO13">
        <f t="shared" si="13"/>
        <v>5</v>
      </c>
      <c r="CP13">
        <f t="shared" si="51"/>
        <v>2</v>
      </c>
      <c r="CQ13">
        <f t="shared" si="14"/>
        <v>11</v>
      </c>
      <c r="CR13">
        <f t="shared" si="15"/>
        <v>1</v>
      </c>
      <c r="CS13">
        <f t="shared" si="16"/>
        <v>8</v>
      </c>
      <c r="CT13">
        <f t="shared" si="52"/>
        <v>2</v>
      </c>
      <c r="CU13">
        <f t="shared" si="17"/>
        <v>5</v>
      </c>
      <c r="CV13">
        <f t="shared" si="18"/>
        <v>5</v>
      </c>
      <c r="CW13">
        <f t="shared" si="19"/>
        <v>9</v>
      </c>
      <c r="CX13">
        <f t="shared" si="53"/>
        <v>3</v>
      </c>
      <c r="CY13">
        <f t="shared" si="20"/>
        <v>12</v>
      </c>
      <c r="CZ13">
        <f t="shared" si="21"/>
        <v>3</v>
      </c>
      <c r="DA13">
        <f t="shared" si="22"/>
        <v>6</v>
      </c>
      <c r="DB13">
        <f t="shared" si="54"/>
        <v>1</v>
      </c>
      <c r="DC13">
        <f t="shared" si="23"/>
        <v>13</v>
      </c>
      <c r="DD13">
        <f t="shared" si="24"/>
        <v>1</v>
      </c>
      <c r="DE13">
        <f t="shared" si="25"/>
        <v>6</v>
      </c>
      <c r="DF13">
        <f t="shared" si="55"/>
        <v>2</v>
      </c>
      <c r="DG13">
        <f t="shared" si="26"/>
        <v>13</v>
      </c>
      <c r="DH13">
        <f t="shared" si="27"/>
        <v>1</v>
      </c>
      <c r="DI13">
        <f t="shared" si="28"/>
        <v>6</v>
      </c>
      <c r="DJ13">
        <f t="shared" si="56"/>
        <v>2</v>
      </c>
      <c r="DK13">
        <f t="shared" si="29"/>
        <v>9</v>
      </c>
      <c r="DL13">
        <f t="shared" si="30"/>
        <v>2</v>
      </c>
      <c r="DM13">
        <f t="shared" si="31"/>
        <v>10</v>
      </c>
      <c r="DN13">
        <f t="shared" si="57"/>
        <v>1</v>
      </c>
      <c r="DO13">
        <f t="shared" si="32"/>
        <v>10</v>
      </c>
      <c r="DP13">
        <f t="shared" si="33"/>
        <v>3</v>
      </c>
      <c r="DQ13">
        <f t="shared" si="34"/>
        <v>8</v>
      </c>
      <c r="DR13">
        <f t="shared" si="58"/>
        <v>1</v>
      </c>
      <c r="DS13">
        <f t="shared" si="35"/>
        <v>11</v>
      </c>
      <c r="DT13">
        <f t="shared" si="36"/>
        <v>2</v>
      </c>
      <c r="DU13">
        <f t="shared" si="37"/>
        <v>7</v>
      </c>
      <c r="DV13">
        <f t="shared" si="59"/>
        <v>2</v>
      </c>
      <c r="DW13">
        <f t="shared" si="38"/>
        <v>10</v>
      </c>
      <c r="DX13">
        <f t="shared" si="39"/>
        <v>2</v>
      </c>
      <c r="DY13">
        <f t="shared" si="40"/>
        <v>8</v>
      </c>
      <c r="DZ13">
        <f t="shared" si="60"/>
        <v>2</v>
      </c>
      <c r="EA13">
        <f t="shared" si="41"/>
        <v>11</v>
      </c>
      <c r="EB13">
        <f t="shared" si="42"/>
        <v>2</v>
      </c>
      <c r="EC13">
        <f t="shared" si="43"/>
        <v>7</v>
      </c>
      <c r="ED13">
        <f t="shared" si="61"/>
        <v>2</v>
      </c>
      <c r="EE13">
        <f t="shared" si="44"/>
        <v>12</v>
      </c>
      <c r="EF13">
        <f t="shared" si="45"/>
        <v>2</v>
      </c>
      <c r="EG13">
        <f t="shared" si="46"/>
        <v>6</v>
      </c>
      <c r="EH13">
        <f t="shared" si="62"/>
        <v>2</v>
      </c>
      <c r="EI13">
        <f t="shared" si="63"/>
        <v>12</v>
      </c>
      <c r="EJ13">
        <f t="shared" si="64"/>
        <v>4</v>
      </c>
      <c r="EK13">
        <f t="shared" si="65"/>
        <v>4</v>
      </c>
      <c r="EL13">
        <f t="shared" si="66"/>
        <v>2</v>
      </c>
      <c r="EM13">
        <f t="shared" si="67"/>
        <v>14</v>
      </c>
      <c r="EN13">
        <f t="shared" si="68"/>
        <v>1</v>
      </c>
      <c r="EO13">
        <f t="shared" si="69"/>
        <v>4</v>
      </c>
      <c r="EP13">
        <f t="shared" si="70"/>
        <v>3</v>
      </c>
      <c r="EQ13">
        <f t="shared" si="71"/>
        <v>12</v>
      </c>
      <c r="ER13">
        <f t="shared" si="72"/>
        <v>3</v>
      </c>
      <c r="ES13">
        <f t="shared" si="73"/>
        <v>6</v>
      </c>
      <c r="ET13">
        <f t="shared" si="74"/>
        <v>1</v>
      </c>
      <c r="EV13" s="25">
        <f t="shared" si="75"/>
        <v>10.363636363636362</v>
      </c>
      <c r="EW13" s="25">
        <f t="shared" si="76"/>
        <v>0.57575757575757569</v>
      </c>
    </row>
    <row r="14" spans="2:153" ht="26.25" thickBot="1" x14ac:dyDescent="0.3">
      <c r="B14" s="26" t="s">
        <v>62</v>
      </c>
      <c r="D14" s="22">
        <v>10</v>
      </c>
      <c r="E14" s="31">
        <v>1</v>
      </c>
      <c r="F14" s="31">
        <v>0.5</v>
      </c>
      <c r="G14" s="31">
        <v>1</v>
      </c>
      <c r="H14" s="31">
        <v>1</v>
      </c>
      <c r="I14" s="31">
        <v>0.5</v>
      </c>
      <c r="J14" s="31">
        <v>1</v>
      </c>
      <c r="K14" s="31">
        <v>0</v>
      </c>
      <c r="L14" s="31">
        <v>1</v>
      </c>
      <c r="M14" s="31">
        <v>1</v>
      </c>
      <c r="N14" s="31">
        <v>1</v>
      </c>
      <c r="O14" s="31">
        <v>1</v>
      </c>
      <c r="P14" s="31">
        <v>1</v>
      </c>
      <c r="Q14" s="31">
        <v>1</v>
      </c>
      <c r="R14" s="31">
        <v>1</v>
      </c>
      <c r="S14" s="31">
        <v>1</v>
      </c>
      <c r="T14" s="31">
        <v>1</v>
      </c>
      <c r="U14" s="23">
        <v>1</v>
      </c>
      <c r="V14" s="31">
        <v>1</v>
      </c>
      <c r="W14" s="32">
        <v>1</v>
      </c>
      <c r="X14" s="31">
        <v>1</v>
      </c>
      <c r="Y14" s="31">
        <v>1</v>
      </c>
      <c r="Z14" s="31">
        <v>1</v>
      </c>
      <c r="AA14" s="32">
        <v>1</v>
      </c>
      <c r="AB14" s="32">
        <v>0.5</v>
      </c>
      <c r="AC14" s="24">
        <v>1</v>
      </c>
      <c r="AD14" s="32">
        <v>1</v>
      </c>
      <c r="AE14" s="32">
        <v>0.5</v>
      </c>
      <c r="AF14" s="32">
        <v>1</v>
      </c>
      <c r="AG14" s="32">
        <v>1</v>
      </c>
      <c r="AH14" s="32">
        <v>1</v>
      </c>
      <c r="AI14" s="32">
        <v>1</v>
      </c>
      <c r="AJ14" s="32">
        <v>1</v>
      </c>
      <c r="AK14" s="32">
        <v>1</v>
      </c>
      <c r="AL14" s="32">
        <v>0.5</v>
      </c>
      <c r="AM14" s="32">
        <v>1</v>
      </c>
      <c r="AN14" s="31">
        <v>1</v>
      </c>
      <c r="AO14" s="32">
        <v>1</v>
      </c>
      <c r="AP14" s="32">
        <v>1</v>
      </c>
      <c r="AQ14" s="23">
        <v>0.5</v>
      </c>
      <c r="AR14" s="29">
        <v>1</v>
      </c>
      <c r="AS14" s="32">
        <v>1</v>
      </c>
      <c r="AT14" s="32">
        <v>1</v>
      </c>
      <c r="AU14" s="29">
        <v>1</v>
      </c>
      <c r="AV14" s="29">
        <v>1</v>
      </c>
      <c r="AW14" s="32">
        <v>0</v>
      </c>
      <c r="AX14" s="32">
        <v>1</v>
      </c>
      <c r="AY14" s="24">
        <v>1</v>
      </c>
      <c r="AZ14" s="32">
        <v>1</v>
      </c>
      <c r="BA14" s="32">
        <v>0.5</v>
      </c>
      <c r="BB14" s="32">
        <v>1</v>
      </c>
      <c r="BC14" s="32">
        <v>1</v>
      </c>
      <c r="BD14" s="32">
        <v>0</v>
      </c>
      <c r="BE14" s="32">
        <v>1</v>
      </c>
      <c r="BF14" s="32">
        <v>1</v>
      </c>
      <c r="BG14" s="32">
        <v>1</v>
      </c>
      <c r="BH14" s="32">
        <v>0.5</v>
      </c>
      <c r="BI14" s="32">
        <v>1</v>
      </c>
      <c r="BJ14" s="24">
        <v>0.5</v>
      </c>
      <c r="BK14" s="32">
        <v>1</v>
      </c>
      <c r="BL14" s="32">
        <v>0</v>
      </c>
      <c r="BM14" s="23">
        <v>0.5</v>
      </c>
      <c r="BN14" s="29">
        <v>1</v>
      </c>
      <c r="BO14" s="32">
        <v>1</v>
      </c>
      <c r="BP14" s="32">
        <v>1</v>
      </c>
      <c r="BQ14" s="29">
        <v>1</v>
      </c>
      <c r="BR14" s="29">
        <v>1</v>
      </c>
      <c r="BT14">
        <f t="shared" si="0"/>
        <v>66</v>
      </c>
      <c r="BU14">
        <f t="shared" si="1"/>
        <v>57</v>
      </c>
      <c r="BV14" s="25">
        <f t="shared" si="47"/>
        <v>0.86363636363636365</v>
      </c>
      <c r="CA14">
        <f t="shared" si="2"/>
        <v>19</v>
      </c>
      <c r="CB14">
        <f t="shared" si="3"/>
        <v>1</v>
      </c>
      <c r="CC14">
        <f t="shared" si="4"/>
        <v>2</v>
      </c>
      <c r="CD14">
        <f t="shared" si="48"/>
        <v>0</v>
      </c>
      <c r="CE14">
        <f t="shared" si="5"/>
        <v>18</v>
      </c>
      <c r="CF14">
        <f t="shared" si="6"/>
        <v>0</v>
      </c>
      <c r="CG14">
        <f t="shared" si="7"/>
        <v>4</v>
      </c>
      <c r="CH14">
        <f t="shared" si="49"/>
        <v>0</v>
      </c>
      <c r="CI14">
        <f t="shared" si="8"/>
        <v>15</v>
      </c>
      <c r="CJ14">
        <f t="shared" si="9"/>
        <v>3</v>
      </c>
      <c r="CK14">
        <f t="shared" si="10"/>
        <v>4</v>
      </c>
      <c r="CL14">
        <f t="shared" si="50"/>
        <v>0</v>
      </c>
      <c r="CM14">
        <f t="shared" si="11"/>
        <v>17</v>
      </c>
      <c r="CN14">
        <f t="shared" si="12"/>
        <v>1</v>
      </c>
      <c r="CO14">
        <f t="shared" si="13"/>
        <v>3</v>
      </c>
      <c r="CP14">
        <f t="shared" si="51"/>
        <v>1</v>
      </c>
      <c r="CQ14">
        <f t="shared" si="14"/>
        <v>18</v>
      </c>
      <c r="CR14">
        <f t="shared" si="15"/>
        <v>0</v>
      </c>
      <c r="CS14">
        <f t="shared" si="16"/>
        <v>4</v>
      </c>
      <c r="CT14">
        <f t="shared" si="52"/>
        <v>0</v>
      </c>
      <c r="CU14">
        <f t="shared" si="17"/>
        <v>11</v>
      </c>
      <c r="CV14">
        <f t="shared" si="18"/>
        <v>3</v>
      </c>
      <c r="CW14">
        <f t="shared" si="19"/>
        <v>6</v>
      </c>
      <c r="CX14">
        <f t="shared" si="53"/>
        <v>2</v>
      </c>
      <c r="CY14">
        <f t="shared" si="20"/>
        <v>11</v>
      </c>
      <c r="CZ14">
        <f t="shared" si="21"/>
        <v>1</v>
      </c>
      <c r="DA14">
        <f t="shared" si="22"/>
        <v>10</v>
      </c>
      <c r="DB14">
        <f t="shared" si="54"/>
        <v>0</v>
      </c>
      <c r="DC14">
        <f t="shared" si="23"/>
        <v>12</v>
      </c>
      <c r="DD14">
        <f t="shared" si="24"/>
        <v>0</v>
      </c>
      <c r="DE14">
        <f t="shared" si="25"/>
        <v>10</v>
      </c>
      <c r="DF14">
        <f t="shared" si="55"/>
        <v>0</v>
      </c>
      <c r="DG14">
        <f t="shared" si="26"/>
        <v>12</v>
      </c>
      <c r="DH14">
        <f t="shared" si="27"/>
        <v>0</v>
      </c>
      <c r="DI14">
        <f t="shared" si="28"/>
        <v>10</v>
      </c>
      <c r="DJ14">
        <f t="shared" si="56"/>
        <v>0</v>
      </c>
      <c r="DK14">
        <f t="shared" si="29"/>
        <v>15</v>
      </c>
      <c r="DL14">
        <f t="shared" si="30"/>
        <v>1</v>
      </c>
      <c r="DM14">
        <f t="shared" si="31"/>
        <v>6</v>
      </c>
      <c r="DN14">
        <f t="shared" si="57"/>
        <v>0</v>
      </c>
      <c r="DO14">
        <f t="shared" si="32"/>
        <v>13</v>
      </c>
      <c r="DP14">
        <f t="shared" si="33"/>
        <v>4</v>
      </c>
      <c r="DQ14">
        <f t="shared" si="34"/>
        <v>5</v>
      </c>
      <c r="DR14">
        <f t="shared" si="58"/>
        <v>0</v>
      </c>
      <c r="DS14">
        <f t="shared" si="35"/>
        <v>16</v>
      </c>
      <c r="DT14">
        <f t="shared" si="36"/>
        <v>3</v>
      </c>
      <c r="DU14">
        <f t="shared" si="37"/>
        <v>2</v>
      </c>
      <c r="DV14">
        <f t="shared" si="59"/>
        <v>1</v>
      </c>
      <c r="DW14">
        <f t="shared" si="38"/>
        <v>18</v>
      </c>
      <c r="DX14">
        <f t="shared" si="39"/>
        <v>1</v>
      </c>
      <c r="DY14">
        <f t="shared" si="40"/>
        <v>3</v>
      </c>
      <c r="DZ14">
        <f t="shared" si="60"/>
        <v>0</v>
      </c>
      <c r="EA14">
        <f t="shared" si="41"/>
        <v>15</v>
      </c>
      <c r="EB14">
        <f t="shared" si="42"/>
        <v>3</v>
      </c>
      <c r="EC14">
        <f t="shared" si="43"/>
        <v>4</v>
      </c>
      <c r="ED14">
        <f t="shared" si="61"/>
        <v>0</v>
      </c>
      <c r="EE14">
        <f t="shared" si="44"/>
        <v>18</v>
      </c>
      <c r="EF14">
        <f t="shared" si="45"/>
        <v>3</v>
      </c>
      <c r="EG14">
        <f t="shared" si="46"/>
        <v>1</v>
      </c>
      <c r="EH14">
        <f t="shared" si="62"/>
        <v>0</v>
      </c>
      <c r="EI14">
        <f t="shared" si="63"/>
        <v>16</v>
      </c>
      <c r="EJ14">
        <f t="shared" si="64"/>
        <v>4</v>
      </c>
      <c r="EK14">
        <f t="shared" si="65"/>
        <v>1</v>
      </c>
      <c r="EL14">
        <f t="shared" si="66"/>
        <v>1</v>
      </c>
      <c r="EM14">
        <f t="shared" si="67"/>
        <v>17</v>
      </c>
      <c r="EN14">
        <f t="shared" si="68"/>
        <v>1</v>
      </c>
      <c r="EO14">
        <f t="shared" si="69"/>
        <v>2</v>
      </c>
      <c r="EP14">
        <f t="shared" si="70"/>
        <v>2</v>
      </c>
      <c r="EQ14">
        <f t="shared" si="71"/>
        <v>18</v>
      </c>
      <c r="ER14">
        <f t="shared" si="72"/>
        <v>4</v>
      </c>
      <c r="ES14">
        <f t="shared" si="73"/>
        <v>0</v>
      </c>
      <c r="ET14">
        <f t="shared" si="74"/>
        <v>0</v>
      </c>
      <c r="EV14" s="25">
        <f t="shared" si="75"/>
        <v>12.681818181818182</v>
      </c>
      <c r="EW14" s="25">
        <f t="shared" si="76"/>
        <v>0.70454545454545459</v>
      </c>
    </row>
    <row r="15" spans="2:153" ht="26.25" thickBot="1" x14ac:dyDescent="0.3">
      <c r="B15" s="30" t="s">
        <v>63</v>
      </c>
      <c r="D15" s="22">
        <v>11</v>
      </c>
      <c r="E15" s="31">
        <v>0.5</v>
      </c>
      <c r="F15" s="31">
        <v>0.5</v>
      </c>
      <c r="G15" s="24">
        <v>1</v>
      </c>
      <c r="H15" s="31">
        <v>1</v>
      </c>
      <c r="I15" s="31">
        <v>0.5</v>
      </c>
      <c r="J15" s="31">
        <v>0.5</v>
      </c>
      <c r="K15" s="31">
        <v>0</v>
      </c>
      <c r="L15" s="31">
        <v>1</v>
      </c>
      <c r="M15" s="31">
        <v>0.5</v>
      </c>
      <c r="N15" s="31">
        <v>1</v>
      </c>
      <c r="O15" s="31">
        <v>1</v>
      </c>
      <c r="P15" s="31">
        <v>1</v>
      </c>
      <c r="Q15" s="31">
        <v>1</v>
      </c>
      <c r="R15" s="31">
        <v>1</v>
      </c>
      <c r="S15" s="31">
        <v>1</v>
      </c>
      <c r="T15" s="31">
        <v>1</v>
      </c>
      <c r="U15" s="23">
        <v>1</v>
      </c>
      <c r="V15" s="31">
        <v>1</v>
      </c>
      <c r="W15" s="32">
        <v>1</v>
      </c>
      <c r="X15" s="31">
        <v>1</v>
      </c>
      <c r="Y15" s="31">
        <v>1</v>
      </c>
      <c r="Z15" s="31">
        <v>1</v>
      </c>
      <c r="AA15" s="32">
        <v>0.5</v>
      </c>
      <c r="AB15" s="32">
        <v>0.5</v>
      </c>
      <c r="AC15" s="24">
        <v>1</v>
      </c>
      <c r="AD15" s="32">
        <v>1</v>
      </c>
      <c r="AE15" s="32">
        <v>0.5</v>
      </c>
      <c r="AF15" s="32">
        <v>1</v>
      </c>
      <c r="AG15" s="32">
        <v>1</v>
      </c>
      <c r="AH15" s="32">
        <v>1</v>
      </c>
      <c r="AI15" s="32">
        <v>0.5</v>
      </c>
      <c r="AJ15" s="32">
        <v>1</v>
      </c>
      <c r="AK15" s="32">
        <v>1</v>
      </c>
      <c r="AL15" s="32">
        <v>1</v>
      </c>
      <c r="AM15" s="32">
        <v>1</v>
      </c>
      <c r="AN15" s="31">
        <v>1</v>
      </c>
      <c r="AO15" s="32">
        <v>1</v>
      </c>
      <c r="AP15" s="32">
        <v>1</v>
      </c>
      <c r="AQ15" s="23">
        <v>1</v>
      </c>
      <c r="AR15" s="29">
        <v>1</v>
      </c>
      <c r="AS15" s="32">
        <v>1</v>
      </c>
      <c r="AT15" s="32">
        <v>1</v>
      </c>
      <c r="AU15" s="29">
        <v>1</v>
      </c>
      <c r="AV15" s="29">
        <v>1</v>
      </c>
      <c r="AW15" s="32">
        <v>1</v>
      </c>
      <c r="AX15" s="32">
        <v>0.5</v>
      </c>
      <c r="AY15" s="24">
        <v>1</v>
      </c>
      <c r="AZ15" s="32">
        <v>1</v>
      </c>
      <c r="BA15" s="32">
        <v>0.5</v>
      </c>
      <c r="BB15" s="32">
        <v>1</v>
      </c>
      <c r="BC15" s="32">
        <v>1</v>
      </c>
      <c r="BD15" s="32">
        <v>1</v>
      </c>
      <c r="BE15" s="32">
        <v>1</v>
      </c>
      <c r="BF15" s="32">
        <v>1</v>
      </c>
      <c r="BG15" s="32">
        <v>1</v>
      </c>
      <c r="BH15" s="32">
        <v>1</v>
      </c>
      <c r="BI15" s="32">
        <v>1</v>
      </c>
      <c r="BJ15" s="24">
        <v>0.5</v>
      </c>
      <c r="BK15" s="32">
        <v>1</v>
      </c>
      <c r="BL15" s="32">
        <v>1</v>
      </c>
      <c r="BM15" s="23">
        <v>1</v>
      </c>
      <c r="BN15" s="29">
        <v>1</v>
      </c>
      <c r="BO15" s="32">
        <v>1</v>
      </c>
      <c r="BP15" s="32">
        <v>1</v>
      </c>
      <c r="BQ15" s="29">
        <v>1</v>
      </c>
      <c r="BR15" s="29">
        <v>1</v>
      </c>
      <c r="BT15">
        <f t="shared" si="0"/>
        <v>66</v>
      </c>
      <c r="BU15">
        <f t="shared" si="1"/>
        <v>59</v>
      </c>
      <c r="BV15" s="25">
        <f t="shared" si="47"/>
        <v>0.89393939393939392</v>
      </c>
      <c r="CA15">
        <f t="shared" si="2"/>
        <v>16</v>
      </c>
      <c r="CB15">
        <f t="shared" si="3"/>
        <v>1</v>
      </c>
      <c r="CC15">
        <f t="shared" si="4"/>
        <v>5</v>
      </c>
      <c r="CD15">
        <f t="shared" si="48"/>
        <v>0</v>
      </c>
      <c r="CE15">
        <f t="shared" si="5"/>
        <v>18</v>
      </c>
      <c r="CF15">
        <f t="shared" si="6"/>
        <v>0</v>
      </c>
      <c r="CG15">
        <f t="shared" si="7"/>
        <v>4</v>
      </c>
      <c r="CH15">
        <f t="shared" si="49"/>
        <v>0</v>
      </c>
      <c r="CI15">
        <f t="shared" si="8"/>
        <v>19</v>
      </c>
      <c r="CJ15">
        <f t="shared" si="9"/>
        <v>0</v>
      </c>
      <c r="CK15">
        <f t="shared" si="10"/>
        <v>3</v>
      </c>
      <c r="CL15">
        <f t="shared" si="50"/>
        <v>0</v>
      </c>
      <c r="CM15">
        <f t="shared" si="11"/>
        <v>14</v>
      </c>
      <c r="CN15">
        <f t="shared" si="12"/>
        <v>2</v>
      </c>
      <c r="CO15">
        <f t="shared" si="13"/>
        <v>4</v>
      </c>
      <c r="CP15">
        <f t="shared" si="51"/>
        <v>2</v>
      </c>
      <c r="CQ15">
        <f t="shared" si="14"/>
        <v>14</v>
      </c>
      <c r="CR15">
        <f t="shared" si="15"/>
        <v>2</v>
      </c>
      <c r="CS15">
        <f t="shared" si="16"/>
        <v>5</v>
      </c>
      <c r="CT15">
        <f t="shared" si="52"/>
        <v>1</v>
      </c>
      <c r="CU15">
        <f t="shared" si="17"/>
        <v>11</v>
      </c>
      <c r="CV15">
        <f t="shared" si="18"/>
        <v>3</v>
      </c>
      <c r="CW15">
        <f t="shared" si="19"/>
        <v>3</v>
      </c>
      <c r="CX15">
        <f t="shared" si="53"/>
        <v>5</v>
      </c>
      <c r="CY15">
        <f t="shared" si="20"/>
        <v>16</v>
      </c>
      <c r="CZ15">
        <f t="shared" si="21"/>
        <v>0</v>
      </c>
      <c r="DA15">
        <f t="shared" si="22"/>
        <v>6</v>
      </c>
      <c r="DB15">
        <f t="shared" si="54"/>
        <v>0</v>
      </c>
      <c r="DC15">
        <f t="shared" si="23"/>
        <v>8</v>
      </c>
      <c r="DD15">
        <f t="shared" si="24"/>
        <v>1</v>
      </c>
      <c r="DE15">
        <f t="shared" si="25"/>
        <v>13</v>
      </c>
      <c r="DF15">
        <f t="shared" si="55"/>
        <v>0</v>
      </c>
      <c r="DG15">
        <f t="shared" si="26"/>
        <v>8</v>
      </c>
      <c r="DH15">
        <f t="shared" si="27"/>
        <v>2</v>
      </c>
      <c r="DI15">
        <f t="shared" si="28"/>
        <v>12</v>
      </c>
      <c r="DJ15">
        <f t="shared" si="56"/>
        <v>0</v>
      </c>
      <c r="DK15">
        <f t="shared" si="29"/>
        <v>13</v>
      </c>
      <c r="DL15">
        <f t="shared" si="30"/>
        <v>1</v>
      </c>
      <c r="DM15">
        <f t="shared" si="31"/>
        <v>8</v>
      </c>
      <c r="DN15">
        <f t="shared" si="57"/>
        <v>0</v>
      </c>
      <c r="DO15">
        <f t="shared" si="32"/>
        <v>10</v>
      </c>
      <c r="DP15">
        <f t="shared" si="33"/>
        <v>3</v>
      </c>
      <c r="DQ15">
        <f t="shared" si="34"/>
        <v>9</v>
      </c>
      <c r="DR15">
        <f t="shared" si="58"/>
        <v>0</v>
      </c>
      <c r="DS15">
        <f t="shared" si="35"/>
        <v>13</v>
      </c>
      <c r="DT15">
        <f t="shared" si="36"/>
        <v>2</v>
      </c>
      <c r="DU15">
        <f t="shared" si="37"/>
        <v>6</v>
      </c>
      <c r="DV15">
        <f t="shared" si="59"/>
        <v>1</v>
      </c>
      <c r="DW15">
        <f t="shared" si="38"/>
        <v>15</v>
      </c>
      <c r="DX15">
        <f t="shared" si="39"/>
        <v>1</v>
      </c>
      <c r="DY15">
        <f t="shared" si="40"/>
        <v>6</v>
      </c>
      <c r="DZ15">
        <f t="shared" si="60"/>
        <v>0</v>
      </c>
      <c r="EA15">
        <f t="shared" si="41"/>
        <v>12</v>
      </c>
      <c r="EB15">
        <f t="shared" si="42"/>
        <v>2</v>
      </c>
      <c r="EC15">
        <f t="shared" si="43"/>
        <v>8</v>
      </c>
      <c r="ED15">
        <f t="shared" si="61"/>
        <v>0</v>
      </c>
      <c r="EE15">
        <f t="shared" si="44"/>
        <v>16</v>
      </c>
      <c r="EF15">
        <f t="shared" si="45"/>
        <v>3</v>
      </c>
      <c r="EG15">
        <f t="shared" si="46"/>
        <v>3</v>
      </c>
      <c r="EH15">
        <f t="shared" si="62"/>
        <v>0</v>
      </c>
      <c r="EI15">
        <f t="shared" si="63"/>
        <v>17</v>
      </c>
      <c r="EJ15">
        <f t="shared" si="64"/>
        <v>4</v>
      </c>
      <c r="EK15">
        <f t="shared" si="65"/>
        <v>0</v>
      </c>
      <c r="EL15">
        <f t="shared" si="66"/>
        <v>1</v>
      </c>
      <c r="EM15">
        <f t="shared" si="67"/>
        <v>17</v>
      </c>
      <c r="EN15">
        <f t="shared" si="68"/>
        <v>1</v>
      </c>
      <c r="EO15">
        <f t="shared" si="69"/>
        <v>2</v>
      </c>
      <c r="EP15">
        <f t="shared" si="70"/>
        <v>2</v>
      </c>
      <c r="EQ15">
        <f t="shared" si="71"/>
        <v>18</v>
      </c>
      <c r="ER15">
        <f t="shared" si="72"/>
        <v>3</v>
      </c>
      <c r="ES15">
        <f t="shared" si="73"/>
        <v>1</v>
      </c>
      <c r="ET15">
        <f t="shared" si="74"/>
        <v>0</v>
      </c>
      <c r="EV15" s="25">
        <f t="shared" si="75"/>
        <v>12</v>
      </c>
      <c r="EW15" s="25">
        <f t="shared" si="76"/>
        <v>0.66666666666666663</v>
      </c>
    </row>
    <row r="16" spans="2:153" ht="39" thickBot="1" x14ac:dyDescent="0.3">
      <c r="B16" s="26" t="s">
        <v>64</v>
      </c>
      <c r="D16" s="22">
        <v>12</v>
      </c>
      <c r="E16" s="31">
        <v>1</v>
      </c>
      <c r="F16" s="31">
        <v>1</v>
      </c>
      <c r="G16" s="24">
        <v>1</v>
      </c>
      <c r="H16" s="31">
        <v>1</v>
      </c>
      <c r="I16" s="31">
        <v>1</v>
      </c>
      <c r="J16" s="31">
        <v>1</v>
      </c>
      <c r="K16" s="31">
        <v>0</v>
      </c>
      <c r="L16" s="31">
        <v>0</v>
      </c>
      <c r="M16" s="31">
        <v>1</v>
      </c>
      <c r="N16" s="31">
        <v>1</v>
      </c>
      <c r="O16" s="31">
        <v>1</v>
      </c>
      <c r="P16" s="31">
        <v>1</v>
      </c>
      <c r="Q16" s="31">
        <v>1</v>
      </c>
      <c r="R16" s="31">
        <v>1</v>
      </c>
      <c r="S16" s="31">
        <v>1</v>
      </c>
      <c r="T16" s="31">
        <v>1</v>
      </c>
      <c r="U16" s="23">
        <v>1</v>
      </c>
      <c r="V16" s="31">
        <v>1</v>
      </c>
      <c r="W16" s="32">
        <v>0</v>
      </c>
      <c r="X16" s="31">
        <v>1</v>
      </c>
      <c r="Y16" s="31">
        <v>0.5</v>
      </c>
      <c r="Z16" s="31">
        <v>0.5</v>
      </c>
      <c r="AA16" s="32">
        <v>1</v>
      </c>
      <c r="AB16" s="32">
        <v>1</v>
      </c>
      <c r="AC16" s="24">
        <v>1</v>
      </c>
      <c r="AD16" s="32">
        <v>1</v>
      </c>
      <c r="AE16" s="32">
        <v>1</v>
      </c>
      <c r="AF16" s="32">
        <v>1</v>
      </c>
      <c r="AG16" s="32">
        <v>1</v>
      </c>
      <c r="AH16" s="32">
        <v>0</v>
      </c>
      <c r="AI16" s="32">
        <v>1</v>
      </c>
      <c r="AJ16" s="32">
        <v>1</v>
      </c>
      <c r="AK16" s="32">
        <v>1</v>
      </c>
      <c r="AL16" s="32">
        <v>0.5</v>
      </c>
      <c r="AM16" s="32">
        <v>1</v>
      </c>
      <c r="AN16" s="31">
        <v>1</v>
      </c>
      <c r="AO16" s="32">
        <v>1</v>
      </c>
      <c r="AP16" s="32">
        <v>1</v>
      </c>
      <c r="AQ16" s="23">
        <v>1</v>
      </c>
      <c r="AR16" s="29">
        <v>0.5</v>
      </c>
      <c r="AS16" s="32">
        <v>0</v>
      </c>
      <c r="AT16" s="32">
        <v>1</v>
      </c>
      <c r="AU16" s="29">
        <v>1</v>
      </c>
      <c r="AV16" s="29">
        <v>1</v>
      </c>
      <c r="AW16" s="32">
        <v>1</v>
      </c>
      <c r="AX16" s="32">
        <v>1</v>
      </c>
      <c r="AY16" s="24">
        <v>1</v>
      </c>
      <c r="AZ16" s="32">
        <v>1</v>
      </c>
      <c r="BA16" s="32">
        <v>1</v>
      </c>
      <c r="BB16" s="32">
        <v>1</v>
      </c>
      <c r="BC16" s="32">
        <v>1</v>
      </c>
      <c r="BD16" s="32">
        <v>0.5</v>
      </c>
      <c r="BE16" s="32">
        <v>1</v>
      </c>
      <c r="BF16" s="32">
        <v>1</v>
      </c>
      <c r="BG16" s="32">
        <v>1</v>
      </c>
      <c r="BH16" s="32">
        <v>0.5</v>
      </c>
      <c r="BI16" s="32">
        <v>1</v>
      </c>
      <c r="BJ16" s="24">
        <v>0.5</v>
      </c>
      <c r="BK16" s="32">
        <v>1</v>
      </c>
      <c r="BL16" s="32">
        <v>1</v>
      </c>
      <c r="BM16" s="23">
        <v>1</v>
      </c>
      <c r="BN16" s="29">
        <v>0.5</v>
      </c>
      <c r="BO16" s="32">
        <v>1</v>
      </c>
      <c r="BP16" s="32">
        <v>1</v>
      </c>
      <c r="BQ16" s="29">
        <v>1</v>
      </c>
      <c r="BR16" s="29">
        <v>1</v>
      </c>
      <c r="BT16">
        <f t="shared" si="0"/>
        <v>66</v>
      </c>
      <c r="BU16">
        <f t="shared" si="1"/>
        <v>57</v>
      </c>
      <c r="BV16" s="25">
        <f t="shared" si="47"/>
        <v>0.86363636363636365</v>
      </c>
      <c r="CA16">
        <f t="shared" si="2"/>
        <v>17</v>
      </c>
      <c r="CB16">
        <f t="shared" si="3"/>
        <v>3</v>
      </c>
      <c r="CC16">
        <f t="shared" si="4"/>
        <v>2</v>
      </c>
      <c r="CD16">
        <f t="shared" si="48"/>
        <v>0</v>
      </c>
      <c r="CE16">
        <f t="shared" si="5"/>
        <v>18</v>
      </c>
      <c r="CF16">
        <f t="shared" si="6"/>
        <v>2</v>
      </c>
      <c r="CG16">
        <f t="shared" si="7"/>
        <v>2</v>
      </c>
      <c r="CH16">
        <f t="shared" si="49"/>
        <v>0</v>
      </c>
      <c r="CI16">
        <f t="shared" si="8"/>
        <v>18</v>
      </c>
      <c r="CJ16">
        <f t="shared" si="9"/>
        <v>0</v>
      </c>
      <c r="CK16">
        <f t="shared" si="10"/>
        <v>4</v>
      </c>
      <c r="CL16">
        <f t="shared" si="50"/>
        <v>0</v>
      </c>
      <c r="CM16">
        <f t="shared" si="11"/>
        <v>16</v>
      </c>
      <c r="CN16">
        <f t="shared" si="12"/>
        <v>1</v>
      </c>
      <c r="CO16">
        <f t="shared" si="13"/>
        <v>3</v>
      </c>
      <c r="CP16">
        <f t="shared" si="51"/>
        <v>2</v>
      </c>
      <c r="CQ16">
        <f t="shared" si="14"/>
        <v>16</v>
      </c>
      <c r="CR16">
        <f t="shared" si="15"/>
        <v>1</v>
      </c>
      <c r="CS16">
        <f t="shared" si="16"/>
        <v>4</v>
      </c>
      <c r="CT16">
        <f t="shared" si="52"/>
        <v>1</v>
      </c>
      <c r="CU16">
        <f t="shared" si="17"/>
        <v>9</v>
      </c>
      <c r="CV16">
        <f t="shared" si="18"/>
        <v>1</v>
      </c>
      <c r="CW16">
        <f t="shared" si="19"/>
        <v>9</v>
      </c>
      <c r="CX16">
        <f t="shared" si="53"/>
        <v>3</v>
      </c>
      <c r="CY16">
        <f t="shared" si="20"/>
        <v>14</v>
      </c>
      <c r="CZ16">
        <f t="shared" si="21"/>
        <v>0</v>
      </c>
      <c r="DA16">
        <f t="shared" si="22"/>
        <v>8</v>
      </c>
      <c r="DB16">
        <f t="shared" si="54"/>
        <v>0</v>
      </c>
      <c r="DC16">
        <f t="shared" si="23"/>
        <v>15</v>
      </c>
      <c r="DD16">
        <f t="shared" si="24"/>
        <v>0</v>
      </c>
      <c r="DE16">
        <f t="shared" si="25"/>
        <v>7</v>
      </c>
      <c r="DF16">
        <f t="shared" si="55"/>
        <v>0</v>
      </c>
      <c r="DG16">
        <f t="shared" si="26"/>
        <v>12</v>
      </c>
      <c r="DH16">
        <f t="shared" si="27"/>
        <v>0</v>
      </c>
      <c r="DI16">
        <f t="shared" si="28"/>
        <v>10</v>
      </c>
      <c r="DJ16">
        <f t="shared" si="56"/>
        <v>0</v>
      </c>
      <c r="DK16">
        <f t="shared" si="29"/>
        <v>16</v>
      </c>
      <c r="DL16">
        <f t="shared" si="30"/>
        <v>2</v>
      </c>
      <c r="DM16">
        <f t="shared" si="31"/>
        <v>4</v>
      </c>
      <c r="DN16">
        <f t="shared" si="57"/>
        <v>0</v>
      </c>
      <c r="DO16">
        <f t="shared" si="32"/>
        <v>11</v>
      </c>
      <c r="DP16">
        <f t="shared" si="33"/>
        <v>3</v>
      </c>
      <c r="DQ16">
        <f t="shared" si="34"/>
        <v>8</v>
      </c>
      <c r="DR16">
        <f t="shared" si="58"/>
        <v>0</v>
      </c>
      <c r="DS16">
        <f t="shared" si="35"/>
        <v>12</v>
      </c>
      <c r="DT16">
        <f t="shared" si="36"/>
        <v>3</v>
      </c>
      <c r="DU16">
        <f t="shared" si="37"/>
        <v>7</v>
      </c>
      <c r="DV16">
        <f t="shared" si="59"/>
        <v>0</v>
      </c>
      <c r="DW16">
        <f t="shared" si="38"/>
        <v>16</v>
      </c>
      <c r="DX16">
        <f t="shared" si="39"/>
        <v>1</v>
      </c>
      <c r="DY16">
        <f t="shared" si="40"/>
        <v>5</v>
      </c>
      <c r="DZ16">
        <f t="shared" si="60"/>
        <v>0</v>
      </c>
      <c r="EA16">
        <f t="shared" si="41"/>
        <v>10</v>
      </c>
      <c r="EB16">
        <f t="shared" si="42"/>
        <v>7</v>
      </c>
      <c r="EC16">
        <f t="shared" si="43"/>
        <v>4</v>
      </c>
      <c r="ED16">
        <f t="shared" si="61"/>
        <v>1</v>
      </c>
      <c r="EE16">
        <f t="shared" si="44"/>
        <v>15</v>
      </c>
      <c r="EF16">
        <f t="shared" si="45"/>
        <v>2</v>
      </c>
      <c r="EG16">
        <f t="shared" si="46"/>
        <v>4</v>
      </c>
      <c r="EH16">
        <f t="shared" si="62"/>
        <v>1</v>
      </c>
      <c r="EI16">
        <f t="shared" si="63"/>
        <v>14</v>
      </c>
      <c r="EJ16">
        <f t="shared" si="64"/>
        <v>6</v>
      </c>
      <c r="EK16">
        <f t="shared" si="65"/>
        <v>1</v>
      </c>
      <c r="EL16">
        <f t="shared" si="66"/>
        <v>1</v>
      </c>
      <c r="EM16">
        <f t="shared" si="67"/>
        <v>15</v>
      </c>
      <c r="EN16">
        <f t="shared" si="68"/>
        <v>1</v>
      </c>
      <c r="EO16">
        <f t="shared" si="69"/>
        <v>3</v>
      </c>
      <c r="EP16">
        <f t="shared" si="70"/>
        <v>3</v>
      </c>
      <c r="EQ16">
        <f t="shared" si="71"/>
        <v>17</v>
      </c>
      <c r="ER16">
        <f t="shared" si="72"/>
        <v>4</v>
      </c>
      <c r="ES16">
        <f t="shared" si="73"/>
        <v>1</v>
      </c>
      <c r="ET16">
        <f t="shared" si="74"/>
        <v>0</v>
      </c>
      <c r="EV16" s="25">
        <f t="shared" si="75"/>
        <v>11.863636363636365</v>
      </c>
      <c r="EW16" s="25">
        <f t="shared" si="76"/>
        <v>0.65909090909090917</v>
      </c>
    </row>
    <row r="17" spans="2:153" ht="39" thickBot="1" x14ac:dyDescent="0.3">
      <c r="B17" s="30" t="s">
        <v>65</v>
      </c>
      <c r="D17" s="22">
        <v>13</v>
      </c>
      <c r="E17" s="31">
        <v>1</v>
      </c>
      <c r="F17" s="31">
        <v>1</v>
      </c>
      <c r="G17" s="24">
        <v>1</v>
      </c>
      <c r="H17" s="31">
        <v>1</v>
      </c>
      <c r="I17" s="31">
        <v>1</v>
      </c>
      <c r="J17" s="31">
        <v>0</v>
      </c>
      <c r="K17" s="31">
        <v>1</v>
      </c>
      <c r="L17" s="31">
        <v>0</v>
      </c>
      <c r="M17" s="23">
        <v>1</v>
      </c>
      <c r="N17" s="31">
        <v>1</v>
      </c>
      <c r="O17" s="31">
        <v>1</v>
      </c>
      <c r="P17" s="31">
        <v>0.5</v>
      </c>
      <c r="Q17" s="31">
        <v>1</v>
      </c>
      <c r="R17" s="31">
        <v>1</v>
      </c>
      <c r="S17" s="31">
        <v>1</v>
      </c>
      <c r="T17" s="31">
        <v>1</v>
      </c>
      <c r="U17" s="23">
        <v>1</v>
      </c>
      <c r="V17" s="31">
        <v>1</v>
      </c>
      <c r="W17" s="32">
        <v>1</v>
      </c>
      <c r="X17" s="31">
        <v>1</v>
      </c>
      <c r="Y17" s="31">
        <v>1</v>
      </c>
      <c r="Z17" s="31">
        <v>1</v>
      </c>
      <c r="AA17" s="32">
        <v>1</v>
      </c>
      <c r="AB17" s="32">
        <v>1</v>
      </c>
      <c r="AC17" s="24">
        <v>1</v>
      </c>
      <c r="AD17" s="32">
        <v>1</v>
      </c>
      <c r="AE17" s="32">
        <v>1</v>
      </c>
      <c r="AF17" s="32">
        <v>0.5</v>
      </c>
      <c r="AG17" s="32">
        <v>1</v>
      </c>
      <c r="AH17" s="32">
        <v>1</v>
      </c>
      <c r="AI17" s="24">
        <v>0.5</v>
      </c>
      <c r="AJ17" s="32">
        <v>1</v>
      </c>
      <c r="AK17" s="32">
        <v>1</v>
      </c>
      <c r="AL17" s="32">
        <v>0</v>
      </c>
      <c r="AM17" s="32">
        <v>1</v>
      </c>
      <c r="AN17" s="31">
        <v>1</v>
      </c>
      <c r="AO17" s="32">
        <v>1</v>
      </c>
      <c r="AP17" s="32">
        <v>1</v>
      </c>
      <c r="AQ17" s="23">
        <v>1</v>
      </c>
      <c r="AR17" s="29">
        <v>1</v>
      </c>
      <c r="AS17" s="32">
        <v>1</v>
      </c>
      <c r="AT17" s="32">
        <v>1</v>
      </c>
      <c r="AU17" s="29">
        <v>1</v>
      </c>
      <c r="AV17" s="29">
        <v>1</v>
      </c>
      <c r="AW17" s="32">
        <v>1</v>
      </c>
      <c r="AX17" s="32">
        <v>1</v>
      </c>
      <c r="AY17" s="24">
        <v>1</v>
      </c>
      <c r="AZ17" s="32">
        <v>1</v>
      </c>
      <c r="BA17" s="32">
        <v>1</v>
      </c>
      <c r="BB17" s="32">
        <v>0.5</v>
      </c>
      <c r="BC17" s="32">
        <v>1</v>
      </c>
      <c r="BD17" s="32">
        <v>0</v>
      </c>
      <c r="BE17" s="24">
        <v>1</v>
      </c>
      <c r="BF17" s="32">
        <v>1</v>
      </c>
      <c r="BG17" s="32">
        <v>1</v>
      </c>
      <c r="BH17" s="32">
        <v>0</v>
      </c>
      <c r="BI17" s="32">
        <v>1</v>
      </c>
      <c r="BJ17" s="24">
        <v>0.5</v>
      </c>
      <c r="BK17" s="32">
        <v>1</v>
      </c>
      <c r="BL17" s="32">
        <v>1</v>
      </c>
      <c r="BM17" s="23">
        <v>1</v>
      </c>
      <c r="BN17" s="29">
        <v>0.5</v>
      </c>
      <c r="BO17" s="32">
        <v>1</v>
      </c>
      <c r="BP17" s="32">
        <v>0.5</v>
      </c>
      <c r="BQ17" s="29">
        <v>1</v>
      </c>
      <c r="BR17" s="29">
        <v>1</v>
      </c>
      <c r="BT17">
        <f t="shared" si="0"/>
        <v>66</v>
      </c>
      <c r="BU17">
        <f t="shared" si="1"/>
        <v>57.5</v>
      </c>
      <c r="BV17" s="25">
        <f t="shared" si="47"/>
        <v>0.87121212121212122</v>
      </c>
      <c r="CA17">
        <f t="shared" si="2"/>
        <v>19</v>
      </c>
      <c r="CB17">
        <f t="shared" si="3"/>
        <v>2</v>
      </c>
      <c r="CC17">
        <f t="shared" si="4"/>
        <v>1</v>
      </c>
      <c r="CD17">
        <f t="shared" si="48"/>
        <v>0</v>
      </c>
      <c r="CE17">
        <f t="shared" si="5"/>
        <v>19</v>
      </c>
      <c r="CF17">
        <f t="shared" si="6"/>
        <v>1</v>
      </c>
      <c r="CG17">
        <f t="shared" si="7"/>
        <v>2</v>
      </c>
      <c r="CH17">
        <f t="shared" si="49"/>
        <v>0</v>
      </c>
      <c r="CI17">
        <f t="shared" si="8"/>
        <v>16</v>
      </c>
      <c r="CJ17">
        <f t="shared" si="9"/>
        <v>2</v>
      </c>
      <c r="CK17">
        <f t="shared" si="10"/>
        <v>4</v>
      </c>
      <c r="CL17">
        <f t="shared" si="50"/>
        <v>0</v>
      </c>
      <c r="CM17">
        <f t="shared" si="11"/>
        <v>15</v>
      </c>
      <c r="CN17">
        <f t="shared" si="12"/>
        <v>0</v>
      </c>
      <c r="CO17">
        <f t="shared" si="13"/>
        <v>6</v>
      </c>
      <c r="CP17">
        <f t="shared" si="51"/>
        <v>1</v>
      </c>
      <c r="CQ17">
        <f t="shared" si="14"/>
        <v>14</v>
      </c>
      <c r="CR17">
        <f t="shared" si="15"/>
        <v>0</v>
      </c>
      <c r="CS17">
        <f t="shared" si="16"/>
        <v>7</v>
      </c>
      <c r="CT17">
        <f t="shared" si="52"/>
        <v>1</v>
      </c>
      <c r="CU17">
        <f t="shared" si="17"/>
        <v>9</v>
      </c>
      <c r="CV17">
        <f t="shared" si="18"/>
        <v>4</v>
      </c>
      <c r="CW17">
        <f t="shared" si="19"/>
        <v>6</v>
      </c>
      <c r="CX17">
        <f t="shared" si="53"/>
        <v>3</v>
      </c>
      <c r="CY17">
        <f t="shared" si="20"/>
        <v>12</v>
      </c>
      <c r="CZ17">
        <f t="shared" si="21"/>
        <v>0</v>
      </c>
      <c r="DA17">
        <f t="shared" si="22"/>
        <v>10</v>
      </c>
      <c r="DB17">
        <f t="shared" si="54"/>
        <v>0</v>
      </c>
      <c r="DC17">
        <f t="shared" si="23"/>
        <v>11</v>
      </c>
      <c r="DD17">
        <f t="shared" si="24"/>
        <v>0</v>
      </c>
      <c r="DE17">
        <f t="shared" si="25"/>
        <v>11</v>
      </c>
      <c r="DF17">
        <f t="shared" si="55"/>
        <v>0</v>
      </c>
      <c r="DG17">
        <f t="shared" si="26"/>
        <v>14</v>
      </c>
      <c r="DH17">
        <f t="shared" si="27"/>
        <v>0</v>
      </c>
      <c r="DI17">
        <f t="shared" si="28"/>
        <v>8</v>
      </c>
      <c r="DJ17">
        <f t="shared" si="56"/>
        <v>0</v>
      </c>
      <c r="DK17">
        <f t="shared" si="29"/>
        <v>15</v>
      </c>
      <c r="DL17">
        <f t="shared" si="30"/>
        <v>3</v>
      </c>
      <c r="DM17">
        <f t="shared" si="31"/>
        <v>4</v>
      </c>
      <c r="DN17">
        <f t="shared" si="57"/>
        <v>0</v>
      </c>
      <c r="DO17">
        <f t="shared" si="32"/>
        <v>12</v>
      </c>
      <c r="DP17">
        <f t="shared" si="33"/>
        <v>4</v>
      </c>
      <c r="DQ17">
        <f t="shared" si="34"/>
        <v>6</v>
      </c>
      <c r="DR17">
        <f t="shared" si="58"/>
        <v>0</v>
      </c>
      <c r="DS17">
        <f t="shared" si="35"/>
        <v>13</v>
      </c>
      <c r="DT17">
        <f t="shared" si="36"/>
        <v>5</v>
      </c>
      <c r="DU17">
        <f t="shared" si="37"/>
        <v>3</v>
      </c>
      <c r="DV17">
        <f t="shared" si="59"/>
        <v>1</v>
      </c>
      <c r="DW17">
        <f t="shared" si="38"/>
        <v>19</v>
      </c>
      <c r="DX17">
        <f t="shared" si="39"/>
        <v>0</v>
      </c>
      <c r="DY17">
        <f t="shared" si="40"/>
        <v>3</v>
      </c>
      <c r="DZ17">
        <f t="shared" si="60"/>
        <v>0</v>
      </c>
      <c r="EA17">
        <f t="shared" si="41"/>
        <v>13</v>
      </c>
      <c r="EB17">
        <f t="shared" si="42"/>
        <v>2</v>
      </c>
      <c r="EC17">
        <f t="shared" si="43"/>
        <v>6</v>
      </c>
      <c r="ED17">
        <f t="shared" si="61"/>
        <v>1</v>
      </c>
      <c r="EE17">
        <f t="shared" si="44"/>
        <v>19</v>
      </c>
      <c r="EF17">
        <f t="shared" si="45"/>
        <v>2</v>
      </c>
      <c r="EG17">
        <f t="shared" si="46"/>
        <v>1</v>
      </c>
      <c r="EH17">
        <f t="shared" si="62"/>
        <v>0</v>
      </c>
      <c r="EI17">
        <f t="shared" si="63"/>
        <v>16</v>
      </c>
      <c r="EJ17">
        <f t="shared" si="64"/>
        <v>2</v>
      </c>
      <c r="EK17">
        <f t="shared" si="65"/>
        <v>2</v>
      </c>
      <c r="EL17">
        <f t="shared" si="66"/>
        <v>2</v>
      </c>
      <c r="EM17">
        <f t="shared" si="67"/>
        <v>16</v>
      </c>
      <c r="EN17">
        <f t="shared" si="68"/>
        <v>0</v>
      </c>
      <c r="EO17">
        <f t="shared" si="69"/>
        <v>3</v>
      </c>
      <c r="EP17">
        <f t="shared" si="70"/>
        <v>3</v>
      </c>
      <c r="EQ17">
        <f t="shared" si="71"/>
        <v>18</v>
      </c>
      <c r="ER17">
        <f t="shared" si="72"/>
        <v>2</v>
      </c>
      <c r="ES17">
        <f t="shared" si="73"/>
        <v>1</v>
      </c>
      <c r="ET17">
        <f t="shared" si="74"/>
        <v>1</v>
      </c>
      <c r="EV17" s="25">
        <f t="shared" si="75"/>
        <v>12.272727272727272</v>
      </c>
      <c r="EW17" s="25">
        <f t="shared" si="76"/>
        <v>0.68181818181818177</v>
      </c>
    </row>
    <row r="18" spans="2:153" ht="26.25" thickBot="1" x14ac:dyDescent="0.3">
      <c r="B18" s="26" t="s">
        <v>66</v>
      </c>
      <c r="D18" s="22">
        <v>14</v>
      </c>
      <c r="E18" s="31">
        <v>1</v>
      </c>
      <c r="F18" s="31">
        <v>1</v>
      </c>
      <c r="G18" s="24">
        <v>1</v>
      </c>
      <c r="H18" s="31">
        <v>1</v>
      </c>
      <c r="I18" s="31">
        <v>1</v>
      </c>
      <c r="J18" s="31">
        <v>0</v>
      </c>
      <c r="K18" s="31">
        <v>0</v>
      </c>
      <c r="L18" s="31">
        <v>0</v>
      </c>
      <c r="M18" s="23">
        <v>1</v>
      </c>
      <c r="N18" s="31">
        <v>1</v>
      </c>
      <c r="O18" s="31">
        <v>1</v>
      </c>
      <c r="P18" s="31">
        <v>1</v>
      </c>
      <c r="Q18" s="31">
        <v>1</v>
      </c>
      <c r="R18" s="31">
        <v>1</v>
      </c>
      <c r="S18" s="31">
        <v>1</v>
      </c>
      <c r="T18" s="31">
        <v>1</v>
      </c>
      <c r="U18" s="23">
        <v>1</v>
      </c>
      <c r="V18" s="31">
        <v>0.5</v>
      </c>
      <c r="W18" s="32">
        <v>1</v>
      </c>
      <c r="X18" s="31">
        <v>1</v>
      </c>
      <c r="Y18" s="31">
        <v>1</v>
      </c>
      <c r="Z18" s="31">
        <v>1</v>
      </c>
      <c r="AA18" s="32">
        <v>1</v>
      </c>
      <c r="AB18" s="32">
        <v>1</v>
      </c>
      <c r="AC18" s="24">
        <v>1</v>
      </c>
      <c r="AD18" s="32">
        <v>1</v>
      </c>
      <c r="AE18" s="32">
        <v>1</v>
      </c>
      <c r="AF18" s="32">
        <v>1</v>
      </c>
      <c r="AG18" s="32">
        <v>1</v>
      </c>
      <c r="AH18" s="32">
        <v>0</v>
      </c>
      <c r="AI18" s="24">
        <v>0.5</v>
      </c>
      <c r="AJ18" s="32">
        <v>1</v>
      </c>
      <c r="AK18" s="32">
        <v>1</v>
      </c>
      <c r="AL18" s="32">
        <v>1</v>
      </c>
      <c r="AM18" s="32">
        <v>1</v>
      </c>
      <c r="AN18" s="31">
        <v>1</v>
      </c>
      <c r="AO18" s="32">
        <v>1</v>
      </c>
      <c r="AP18" s="32">
        <v>1</v>
      </c>
      <c r="AQ18" s="23">
        <v>0.5</v>
      </c>
      <c r="AR18" s="29">
        <v>0.5</v>
      </c>
      <c r="AS18" s="32">
        <v>1</v>
      </c>
      <c r="AT18" s="32">
        <v>1</v>
      </c>
      <c r="AU18" s="29">
        <v>1</v>
      </c>
      <c r="AV18" s="29">
        <v>1</v>
      </c>
      <c r="AW18" s="32">
        <v>0.5</v>
      </c>
      <c r="AX18" s="32">
        <v>1</v>
      </c>
      <c r="AY18" s="24">
        <v>1</v>
      </c>
      <c r="AZ18" s="32">
        <v>1</v>
      </c>
      <c r="BA18" s="32">
        <v>1</v>
      </c>
      <c r="BB18" s="32">
        <v>1</v>
      </c>
      <c r="BC18" s="32">
        <v>1</v>
      </c>
      <c r="BD18" s="32">
        <v>0</v>
      </c>
      <c r="BE18" s="24">
        <v>1</v>
      </c>
      <c r="BF18" s="32">
        <v>0.5</v>
      </c>
      <c r="BG18" s="32">
        <v>0.5</v>
      </c>
      <c r="BH18" s="32">
        <v>1</v>
      </c>
      <c r="BI18" s="32">
        <v>1</v>
      </c>
      <c r="BJ18" s="24">
        <v>0.5</v>
      </c>
      <c r="BK18" s="32">
        <v>1</v>
      </c>
      <c r="BL18" s="32">
        <v>1</v>
      </c>
      <c r="BM18" s="23">
        <v>0.5</v>
      </c>
      <c r="BN18" s="29">
        <v>0.5</v>
      </c>
      <c r="BO18" s="32">
        <v>1</v>
      </c>
      <c r="BP18" s="32">
        <v>0.5</v>
      </c>
      <c r="BQ18" s="29">
        <v>1</v>
      </c>
      <c r="BR18" s="29">
        <v>1</v>
      </c>
      <c r="BT18">
        <f t="shared" si="0"/>
        <v>66</v>
      </c>
      <c r="BU18">
        <f t="shared" si="1"/>
        <v>55.5</v>
      </c>
      <c r="BV18" s="25">
        <f t="shared" si="47"/>
        <v>0.84090909090909094</v>
      </c>
      <c r="CA18">
        <f t="shared" si="2"/>
        <v>18</v>
      </c>
      <c r="CB18">
        <f t="shared" si="3"/>
        <v>3</v>
      </c>
      <c r="CC18">
        <f t="shared" si="4"/>
        <v>1</v>
      </c>
      <c r="CD18">
        <f t="shared" si="48"/>
        <v>0</v>
      </c>
      <c r="CE18">
        <f t="shared" si="5"/>
        <v>18</v>
      </c>
      <c r="CF18">
        <f t="shared" si="6"/>
        <v>1</v>
      </c>
      <c r="CG18">
        <f t="shared" si="7"/>
        <v>3</v>
      </c>
      <c r="CH18">
        <f t="shared" si="49"/>
        <v>0</v>
      </c>
      <c r="CI18">
        <f t="shared" si="8"/>
        <v>14</v>
      </c>
      <c r="CJ18">
        <f t="shared" si="9"/>
        <v>1</v>
      </c>
      <c r="CK18">
        <f t="shared" si="10"/>
        <v>7</v>
      </c>
      <c r="CL18">
        <f t="shared" si="50"/>
        <v>0</v>
      </c>
      <c r="CM18">
        <f t="shared" si="11"/>
        <v>10</v>
      </c>
      <c r="CN18">
        <f t="shared" si="12"/>
        <v>2</v>
      </c>
      <c r="CO18">
        <f t="shared" si="13"/>
        <v>7</v>
      </c>
      <c r="CP18">
        <f t="shared" si="51"/>
        <v>3</v>
      </c>
      <c r="CQ18">
        <f t="shared" si="14"/>
        <v>12</v>
      </c>
      <c r="CR18">
        <f t="shared" si="15"/>
        <v>1</v>
      </c>
      <c r="CS18">
        <f t="shared" si="16"/>
        <v>7</v>
      </c>
      <c r="CT18">
        <f t="shared" si="52"/>
        <v>2</v>
      </c>
      <c r="CU18">
        <f t="shared" si="17"/>
        <v>8</v>
      </c>
      <c r="CV18">
        <f t="shared" si="18"/>
        <v>3</v>
      </c>
      <c r="CW18">
        <f t="shared" si="19"/>
        <v>7</v>
      </c>
      <c r="CX18">
        <f t="shared" si="53"/>
        <v>4</v>
      </c>
      <c r="CY18">
        <f t="shared" si="20"/>
        <v>12</v>
      </c>
      <c r="CZ18">
        <f t="shared" si="21"/>
        <v>1</v>
      </c>
      <c r="DA18">
        <f t="shared" si="22"/>
        <v>8</v>
      </c>
      <c r="DB18">
        <f t="shared" si="54"/>
        <v>1</v>
      </c>
      <c r="DC18">
        <f t="shared" si="23"/>
        <v>14</v>
      </c>
      <c r="DD18">
        <f t="shared" si="24"/>
        <v>1</v>
      </c>
      <c r="DE18">
        <f t="shared" si="25"/>
        <v>6</v>
      </c>
      <c r="DF18">
        <f t="shared" si="55"/>
        <v>1</v>
      </c>
      <c r="DG18">
        <f t="shared" si="26"/>
        <v>12</v>
      </c>
      <c r="DH18">
        <f t="shared" si="27"/>
        <v>2</v>
      </c>
      <c r="DI18">
        <f t="shared" si="28"/>
        <v>7</v>
      </c>
      <c r="DJ18">
        <f t="shared" si="56"/>
        <v>1</v>
      </c>
      <c r="DK18">
        <f t="shared" si="29"/>
        <v>10</v>
      </c>
      <c r="DL18">
        <f t="shared" si="30"/>
        <v>4</v>
      </c>
      <c r="DM18">
        <f t="shared" si="31"/>
        <v>7</v>
      </c>
      <c r="DN18">
        <f t="shared" si="57"/>
        <v>1</v>
      </c>
      <c r="DO18">
        <f t="shared" si="32"/>
        <v>7</v>
      </c>
      <c r="DP18">
        <f t="shared" si="33"/>
        <v>8</v>
      </c>
      <c r="DQ18">
        <f t="shared" si="34"/>
        <v>6</v>
      </c>
      <c r="DR18">
        <f t="shared" si="58"/>
        <v>1</v>
      </c>
      <c r="DS18">
        <f t="shared" si="35"/>
        <v>8</v>
      </c>
      <c r="DT18">
        <f t="shared" si="36"/>
        <v>9</v>
      </c>
      <c r="DU18">
        <f t="shared" si="37"/>
        <v>3</v>
      </c>
      <c r="DV18">
        <f t="shared" si="59"/>
        <v>2</v>
      </c>
      <c r="DW18">
        <f t="shared" si="38"/>
        <v>14</v>
      </c>
      <c r="DX18">
        <f t="shared" si="39"/>
        <v>5</v>
      </c>
      <c r="DY18">
        <f t="shared" si="40"/>
        <v>2</v>
      </c>
      <c r="DZ18">
        <f t="shared" si="60"/>
        <v>1</v>
      </c>
      <c r="EA18">
        <f t="shared" si="41"/>
        <v>7</v>
      </c>
      <c r="EB18">
        <f t="shared" si="42"/>
        <v>9</v>
      </c>
      <c r="EC18">
        <f t="shared" si="43"/>
        <v>4</v>
      </c>
      <c r="ED18">
        <f t="shared" si="61"/>
        <v>2</v>
      </c>
      <c r="EE18">
        <f t="shared" si="44"/>
        <v>13</v>
      </c>
      <c r="EF18">
        <f t="shared" si="45"/>
        <v>5</v>
      </c>
      <c r="EG18">
        <f t="shared" si="46"/>
        <v>2</v>
      </c>
      <c r="EH18">
        <f t="shared" si="62"/>
        <v>2</v>
      </c>
      <c r="EI18">
        <f t="shared" si="63"/>
        <v>14</v>
      </c>
      <c r="EJ18">
        <f t="shared" si="64"/>
        <v>4</v>
      </c>
      <c r="EK18">
        <f t="shared" si="65"/>
        <v>2</v>
      </c>
      <c r="EL18">
        <f t="shared" si="66"/>
        <v>2</v>
      </c>
      <c r="EM18">
        <f t="shared" si="67"/>
        <v>15</v>
      </c>
      <c r="EN18">
        <f t="shared" si="68"/>
        <v>1</v>
      </c>
      <c r="EO18">
        <f t="shared" si="69"/>
        <v>2</v>
      </c>
      <c r="EP18">
        <f t="shared" si="70"/>
        <v>4</v>
      </c>
      <c r="EQ18">
        <f t="shared" si="71"/>
        <v>13</v>
      </c>
      <c r="ER18">
        <f t="shared" si="72"/>
        <v>4</v>
      </c>
      <c r="ES18">
        <f t="shared" si="73"/>
        <v>4</v>
      </c>
      <c r="ET18">
        <f t="shared" si="74"/>
        <v>1</v>
      </c>
      <c r="EV18" s="25">
        <f t="shared" si="75"/>
        <v>10.136363636363637</v>
      </c>
      <c r="EW18" s="25">
        <f t="shared" si="76"/>
        <v>0.56313131313131315</v>
      </c>
    </row>
    <row r="19" spans="2:153" ht="51.75" thickBot="1" x14ac:dyDescent="0.3">
      <c r="B19" s="26" t="s">
        <v>67</v>
      </c>
      <c r="D19" s="22">
        <v>15</v>
      </c>
      <c r="E19" s="31">
        <v>0.5</v>
      </c>
      <c r="F19" s="31">
        <v>0</v>
      </c>
      <c r="G19" s="24">
        <v>1</v>
      </c>
      <c r="H19" s="31">
        <v>1</v>
      </c>
      <c r="I19" s="31">
        <v>1</v>
      </c>
      <c r="J19" s="31">
        <v>0</v>
      </c>
      <c r="K19" s="31">
        <v>1</v>
      </c>
      <c r="L19" s="31">
        <v>1</v>
      </c>
      <c r="M19" s="31">
        <v>1</v>
      </c>
      <c r="N19" s="31">
        <v>1</v>
      </c>
      <c r="O19" s="31">
        <v>0.5</v>
      </c>
      <c r="P19" s="31">
        <v>1</v>
      </c>
      <c r="Q19" s="31">
        <v>1</v>
      </c>
      <c r="R19" s="31">
        <v>0</v>
      </c>
      <c r="S19" s="31">
        <v>1</v>
      </c>
      <c r="T19" s="31">
        <v>1</v>
      </c>
      <c r="U19" s="23">
        <v>1</v>
      </c>
      <c r="V19" s="31">
        <v>1</v>
      </c>
      <c r="W19" s="32">
        <v>1</v>
      </c>
      <c r="X19" s="31">
        <v>1</v>
      </c>
      <c r="Y19" s="31">
        <v>1</v>
      </c>
      <c r="Z19" s="31">
        <v>1</v>
      </c>
      <c r="AA19" s="32">
        <v>0.5</v>
      </c>
      <c r="AB19" s="32">
        <v>0.5</v>
      </c>
      <c r="AC19" s="24">
        <v>1</v>
      </c>
      <c r="AD19" s="32">
        <v>1</v>
      </c>
      <c r="AE19" s="32">
        <v>1</v>
      </c>
      <c r="AF19" s="31">
        <v>1</v>
      </c>
      <c r="AG19" s="32">
        <v>1</v>
      </c>
      <c r="AH19" s="32">
        <v>0.5</v>
      </c>
      <c r="AI19" s="32">
        <v>0.5</v>
      </c>
      <c r="AJ19" s="32">
        <v>1</v>
      </c>
      <c r="AK19" s="32">
        <v>0</v>
      </c>
      <c r="AL19" s="32">
        <v>0.5</v>
      </c>
      <c r="AM19" s="32">
        <v>1</v>
      </c>
      <c r="AN19" s="31">
        <v>0</v>
      </c>
      <c r="AO19" s="32">
        <v>1</v>
      </c>
      <c r="AP19" s="32">
        <v>1</v>
      </c>
      <c r="AQ19" s="23">
        <v>1</v>
      </c>
      <c r="AR19" s="29">
        <v>1</v>
      </c>
      <c r="AS19" s="32">
        <v>1</v>
      </c>
      <c r="AT19" s="32">
        <v>1</v>
      </c>
      <c r="AU19" s="29">
        <v>1</v>
      </c>
      <c r="AV19" s="29">
        <v>1</v>
      </c>
      <c r="AW19" s="32">
        <v>0.5</v>
      </c>
      <c r="AX19" s="32">
        <v>0.5</v>
      </c>
      <c r="AY19" s="24">
        <v>1</v>
      </c>
      <c r="AZ19" s="32">
        <v>1</v>
      </c>
      <c r="BA19" s="32">
        <v>1</v>
      </c>
      <c r="BB19" s="32">
        <v>1</v>
      </c>
      <c r="BC19" s="32">
        <v>1</v>
      </c>
      <c r="BD19" s="32">
        <v>0.5</v>
      </c>
      <c r="BE19" s="32">
        <v>1</v>
      </c>
      <c r="BF19" s="32">
        <v>1</v>
      </c>
      <c r="BG19" s="32">
        <v>1</v>
      </c>
      <c r="BH19" s="32">
        <v>0.5</v>
      </c>
      <c r="BI19" s="32">
        <v>1</v>
      </c>
      <c r="BJ19" s="24">
        <v>0.5</v>
      </c>
      <c r="BK19" s="32">
        <v>1</v>
      </c>
      <c r="BL19" s="32">
        <v>1</v>
      </c>
      <c r="BM19" s="23">
        <v>1</v>
      </c>
      <c r="BN19" s="29">
        <v>0.5</v>
      </c>
      <c r="BO19" s="32">
        <v>1</v>
      </c>
      <c r="BP19" s="32">
        <v>0.5</v>
      </c>
      <c r="BQ19" s="29">
        <v>1</v>
      </c>
      <c r="BR19" s="29">
        <v>1</v>
      </c>
      <c r="BT19">
        <f t="shared" si="0"/>
        <v>66</v>
      </c>
      <c r="BU19">
        <f t="shared" si="1"/>
        <v>54</v>
      </c>
      <c r="BV19" s="25">
        <f t="shared" si="47"/>
        <v>0.81818181818181823</v>
      </c>
      <c r="CA19">
        <f t="shared" si="2"/>
        <v>17</v>
      </c>
      <c r="CB19">
        <f t="shared" si="3"/>
        <v>3</v>
      </c>
      <c r="CC19">
        <f t="shared" si="4"/>
        <v>2</v>
      </c>
      <c r="CD19">
        <f t="shared" si="48"/>
        <v>0</v>
      </c>
      <c r="CE19">
        <f t="shared" si="5"/>
        <v>15</v>
      </c>
      <c r="CF19">
        <f t="shared" si="6"/>
        <v>2</v>
      </c>
      <c r="CG19">
        <f t="shared" si="7"/>
        <v>5</v>
      </c>
      <c r="CH19">
        <f t="shared" si="49"/>
        <v>0</v>
      </c>
      <c r="CI19">
        <f t="shared" si="8"/>
        <v>15</v>
      </c>
      <c r="CJ19">
        <f t="shared" si="9"/>
        <v>0</v>
      </c>
      <c r="CK19">
        <f t="shared" si="10"/>
        <v>7</v>
      </c>
      <c r="CL19">
        <f t="shared" si="50"/>
        <v>0</v>
      </c>
      <c r="CM19">
        <f t="shared" si="11"/>
        <v>14</v>
      </c>
      <c r="CN19">
        <f t="shared" si="12"/>
        <v>3</v>
      </c>
      <c r="CO19">
        <f t="shared" si="13"/>
        <v>4</v>
      </c>
      <c r="CP19">
        <f t="shared" si="51"/>
        <v>1</v>
      </c>
      <c r="CQ19">
        <f t="shared" si="14"/>
        <v>13</v>
      </c>
      <c r="CR19">
        <f t="shared" si="15"/>
        <v>3</v>
      </c>
      <c r="CS19">
        <f t="shared" si="16"/>
        <v>5</v>
      </c>
      <c r="CT19">
        <f t="shared" si="52"/>
        <v>1</v>
      </c>
      <c r="CU19">
        <f t="shared" si="17"/>
        <v>11</v>
      </c>
      <c r="CV19">
        <f t="shared" si="18"/>
        <v>3</v>
      </c>
      <c r="CW19">
        <f t="shared" si="19"/>
        <v>4</v>
      </c>
      <c r="CX19">
        <f t="shared" si="53"/>
        <v>4</v>
      </c>
      <c r="CY19">
        <f t="shared" si="20"/>
        <v>15</v>
      </c>
      <c r="CZ19">
        <f t="shared" si="21"/>
        <v>1</v>
      </c>
      <c r="DA19">
        <f t="shared" si="22"/>
        <v>6</v>
      </c>
      <c r="DB19">
        <f t="shared" si="54"/>
        <v>0</v>
      </c>
      <c r="DC19">
        <f t="shared" si="23"/>
        <v>13</v>
      </c>
      <c r="DD19">
        <f t="shared" si="24"/>
        <v>0</v>
      </c>
      <c r="DE19">
        <f t="shared" si="25"/>
        <v>9</v>
      </c>
      <c r="DF19">
        <f t="shared" si="55"/>
        <v>0</v>
      </c>
      <c r="DG19">
        <f t="shared" si="26"/>
        <v>12</v>
      </c>
      <c r="DH19">
        <f t="shared" si="27"/>
        <v>1</v>
      </c>
      <c r="DI19">
        <f t="shared" si="28"/>
        <v>9</v>
      </c>
      <c r="DJ19">
        <f t="shared" si="56"/>
        <v>0</v>
      </c>
      <c r="DK19">
        <f t="shared" si="29"/>
        <v>13</v>
      </c>
      <c r="DL19">
        <f t="shared" si="30"/>
        <v>2</v>
      </c>
      <c r="DM19">
        <f t="shared" si="31"/>
        <v>7</v>
      </c>
      <c r="DN19">
        <f t="shared" si="57"/>
        <v>0</v>
      </c>
      <c r="DO19">
        <f t="shared" si="32"/>
        <v>6</v>
      </c>
      <c r="DP19">
        <f t="shared" si="33"/>
        <v>7</v>
      </c>
      <c r="DQ19">
        <f t="shared" si="34"/>
        <v>7</v>
      </c>
      <c r="DR19">
        <f t="shared" si="58"/>
        <v>2</v>
      </c>
      <c r="DS19">
        <f t="shared" si="35"/>
        <v>7</v>
      </c>
      <c r="DT19">
        <f t="shared" si="36"/>
        <v>7</v>
      </c>
      <c r="DU19">
        <f t="shared" si="37"/>
        <v>7</v>
      </c>
      <c r="DV19">
        <f t="shared" si="59"/>
        <v>1</v>
      </c>
      <c r="DW19">
        <f t="shared" si="38"/>
        <v>19</v>
      </c>
      <c r="DX19">
        <f t="shared" si="39"/>
        <v>1</v>
      </c>
      <c r="DY19">
        <f t="shared" si="40"/>
        <v>2</v>
      </c>
      <c r="DZ19">
        <f t="shared" si="60"/>
        <v>0</v>
      </c>
      <c r="EA19">
        <f t="shared" si="41"/>
        <v>9</v>
      </c>
      <c r="EB19">
        <f t="shared" si="42"/>
        <v>7</v>
      </c>
      <c r="EC19">
        <f t="shared" si="43"/>
        <v>5</v>
      </c>
      <c r="ED19">
        <f t="shared" si="61"/>
        <v>1</v>
      </c>
      <c r="EE19">
        <f t="shared" si="44"/>
        <v>15</v>
      </c>
      <c r="EF19">
        <f t="shared" si="45"/>
        <v>3</v>
      </c>
      <c r="EG19">
        <f t="shared" si="46"/>
        <v>3</v>
      </c>
      <c r="EH19">
        <f t="shared" si="62"/>
        <v>1</v>
      </c>
      <c r="EI19">
        <f t="shared" si="63"/>
        <v>17</v>
      </c>
      <c r="EJ19">
        <f t="shared" si="64"/>
        <v>2</v>
      </c>
      <c r="EK19">
        <f t="shared" si="65"/>
        <v>2</v>
      </c>
      <c r="EL19">
        <f t="shared" si="66"/>
        <v>1</v>
      </c>
      <c r="EM19">
        <f t="shared" si="67"/>
        <v>18</v>
      </c>
      <c r="EN19">
        <f t="shared" si="68"/>
        <v>1</v>
      </c>
      <c r="EO19">
        <f t="shared" si="69"/>
        <v>1</v>
      </c>
      <c r="EP19">
        <f t="shared" si="70"/>
        <v>2</v>
      </c>
      <c r="EQ19">
        <f t="shared" si="71"/>
        <v>19</v>
      </c>
      <c r="ER19">
        <f t="shared" si="72"/>
        <v>2</v>
      </c>
      <c r="ES19">
        <f t="shared" si="73"/>
        <v>1</v>
      </c>
      <c r="ET19">
        <f t="shared" si="74"/>
        <v>0</v>
      </c>
      <c r="EV19" s="25">
        <f t="shared" si="75"/>
        <v>11.318181818181818</v>
      </c>
      <c r="EW19" s="25">
        <f t="shared" si="76"/>
        <v>0.62878787878787878</v>
      </c>
    </row>
    <row r="20" spans="2:153" ht="51.75" thickBot="1" x14ac:dyDescent="0.3">
      <c r="B20" s="26" t="s">
        <v>68</v>
      </c>
      <c r="D20" s="22">
        <v>16</v>
      </c>
      <c r="E20" s="31">
        <v>1</v>
      </c>
      <c r="F20" s="31">
        <v>0.5</v>
      </c>
      <c r="G20" s="24">
        <v>1</v>
      </c>
      <c r="H20" s="31">
        <v>1</v>
      </c>
      <c r="I20" s="31">
        <v>0.5</v>
      </c>
      <c r="J20" s="31">
        <v>1</v>
      </c>
      <c r="K20" s="31">
        <v>1</v>
      </c>
      <c r="L20" s="31">
        <v>1</v>
      </c>
      <c r="M20" s="31">
        <v>1</v>
      </c>
      <c r="N20" s="31">
        <v>1</v>
      </c>
      <c r="O20" s="31">
        <v>1</v>
      </c>
      <c r="P20" s="31">
        <v>1</v>
      </c>
      <c r="Q20" s="31">
        <v>1</v>
      </c>
      <c r="R20" s="31">
        <v>0</v>
      </c>
      <c r="S20" s="31">
        <v>1</v>
      </c>
      <c r="T20" s="31">
        <v>1</v>
      </c>
      <c r="U20" s="23">
        <v>1</v>
      </c>
      <c r="V20" s="31">
        <v>1</v>
      </c>
      <c r="W20" s="32">
        <v>1</v>
      </c>
      <c r="X20" s="31">
        <v>1</v>
      </c>
      <c r="Y20" s="31">
        <v>0.5</v>
      </c>
      <c r="Z20" s="31">
        <v>0.5</v>
      </c>
      <c r="AA20" s="32">
        <v>0.5</v>
      </c>
      <c r="AB20" s="32">
        <v>0.5</v>
      </c>
      <c r="AC20" s="24">
        <v>1</v>
      </c>
      <c r="AD20" s="32">
        <v>1</v>
      </c>
      <c r="AE20" s="32">
        <v>0.5</v>
      </c>
      <c r="AF20" s="32">
        <v>1</v>
      </c>
      <c r="AG20" s="32">
        <v>0</v>
      </c>
      <c r="AH20" s="32">
        <v>1</v>
      </c>
      <c r="AI20" s="32">
        <v>0.5</v>
      </c>
      <c r="AJ20" s="32">
        <v>1</v>
      </c>
      <c r="AK20" s="32">
        <v>1</v>
      </c>
      <c r="AL20" s="32">
        <v>1</v>
      </c>
      <c r="AM20" s="32">
        <v>1</v>
      </c>
      <c r="AN20" s="31">
        <v>0</v>
      </c>
      <c r="AO20" s="32">
        <v>1</v>
      </c>
      <c r="AP20" s="32">
        <v>1</v>
      </c>
      <c r="AQ20" s="23">
        <v>1</v>
      </c>
      <c r="AR20" s="29">
        <v>1</v>
      </c>
      <c r="AS20" s="32">
        <v>1</v>
      </c>
      <c r="AT20" s="32">
        <v>1</v>
      </c>
      <c r="AU20" s="29">
        <v>0.5</v>
      </c>
      <c r="AV20" s="29">
        <v>0.5</v>
      </c>
      <c r="AW20" s="32">
        <v>1</v>
      </c>
      <c r="AX20" s="32">
        <v>1</v>
      </c>
      <c r="AY20" s="24">
        <v>1</v>
      </c>
      <c r="AZ20" s="32">
        <v>1</v>
      </c>
      <c r="BA20" s="32">
        <v>0.5</v>
      </c>
      <c r="BB20" s="32">
        <v>1</v>
      </c>
      <c r="BC20" s="32">
        <v>1</v>
      </c>
      <c r="BD20" s="32">
        <v>1</v>
      </c>
      <c r="BE20" s="32">
        <v>1</v>
      </c>
      <c r="BF20" s="32">
        <v>1</v>
      </c>
      <c r="BG20" s="32">
        <v>1</v>
      </c>
      <c r="BH20" s="32">
        <v>1</v>
      </c>
      <c r="BI20" s="32">
        <v>1</v>
      </c>
      <c r="BJ20" s="24">
        <v>0.5</v>
      </c>
      <c r="BK20" s="32">
        <v>1</v>
      </c>
      <c r="BL20" s="32">
        <v>1</v>
      </c>
      <c r="BM20" s="23">
        <v>1</v>
      </c>
      <c r="BN20" s="29">
        <v>1</v>
      </c>
      <c r="BO20" s="32">
        <v>1</v>
      </c>
      <c r="BP20" s="32">
        <v>1</v>
      </c>
      <c r="BQ20" s="29">
        <v>1</v>
      </c>
      <c r="BR20" s="29">
        <v>1</v>
      </c>
      <c r="BT20">
        <f t="shared" si="0"/>
        <v>66</v>
      </c>
      <c r="BU20">
        <f t="shared" si="1"/>
        <v>57</v>
      </c>
      <c r="BV20" s="25">
        <f t="shared" si="47"/>
        <v>0.86363636363636365</v>
      </c>
      <c r="CA20">
        <f t="shared" si="2"/>
        <v>17</v>
      </c>
      <c r="CB20">
        <f t="shared" si="3"/>
        <v>1</v>
      </c>
      <c r="CC20">
        <f t="shared" si="4"/>
        <v>4</v>
      </c>
      <c r="CD20">
        <f t="shared" si="48"/>
        <v>0</v>
      </c>
      <c r="CE20">
        <f t="shared" si="5"/>
        <v>14</v>
      </c>
      <c r="CF20">
        <f t="shared" si="6"/>
        <v>2</v>
      </c>
      <c r="CG20">
        <f t="shared" si="7"/>
        <v>6</v>
      </c>
      <c r="CH20">
        <f t="shared" si="49"/>
        <v>0</v>
      </c>
      <c r="CI20">
        <f t="shared" si="8"/>
        <v>20</v>
      </c>
      <c r="CJ20">
        <f t="shared" si="9"/>
        <v>0</v>
      </c>
      <c r="CK20">
        <f t="shared" si="10"/>
        <v>2</v>
      </c>
      <c r="CL20">
        <f t="shared" si="50"/>
        <v>0</v>
      </c>
      <c r="CM20">
        <f t="shared" si="11"/>
        <v>16</v>
      </c>
      <c r="CN20">
        <f t="shared" si="12"/>
        <v>2</v>
      </c>
      <c r="CO20">
        <f t="shared" si="13"/>
        <v>3</v>
      </c>
      <c r="CP20">
        <f t="shared" si="51"/>
        <v>1</v>
      </c>
      <c r="CQ20">
        <f t="shared" si="14"/>
        <v>17</v>
      </c>
      <c r="CR20">
        <f t="shared" si="15"/>
        <v>1</v>
      </c>
      <c r="CS20">
        <f t="shared" si="16"/>
        <v>4</v>
      </c>
      <c r="CT20">
        <f t="shared" si="52"/>
        <v>0</v>
      </c>
      <c r="CU20">
        <f t="shared" si="17"/>
        <v>12</v>
      </c>
      <c r="CV20">
        <f t="shared" si="18"/>
        <v>4</v>
      </c>
      <c r="CW20">
        <f t="shared" si="19"/>
        <v>3</v>
      </c>
      <c r="CX20">
        <f t="shared" si="53"/>
        <v>3</v>
      </c>
      <c r="CY20">
        <f t="shared" si="20"/>
        <v>16</v>
      </c>
      <c r="CZ20">
        <f t="shared" si="21"/>
        <v>1</v>
      </c>
      <c r="DA20">
        <f t="shared" si="22"/>
        <v>5</v>
      </c>
      <c r="DB20">
        <f t="shared" si="54"/>
        <v>0</v>
      </c>
      <c r="DC20">
        <f t="shared" si="23"/>
        <v>11</v>
      </c>
      <c r="DD20">
        <f t="shared" si="24"/>
        <v>0</v>
      </c>
      <c r="DE20">
        <f t="shared" si="25"/>
        <v>11</v>
      </c>
      <c r="DF20">
        <f t="shared" si="55"/>
        <v>0</v>
      </c>
      <c r="DG20">
        <f t="shared" si="26"/>
        <v>14</v>
      </c>
      <c r="DH20">
        <f t="shared" si="27"/>
        <v>1</v>
      </c>
      <c r="DI20">
        <f t="shared" si="28"/>
        <v>7</v>
      </c>
      <c r="DJ20">
        <f t="shared" si="56"/>
        <v>0</v>
      </c>
      <c r="DK20">
        <f t="shared" si="29"/>
        <v>16</v>
      </c>
      <c r="DL20">
        <f t="shared" si="30"/>
        <v>1</v>
      </c>
      <c r="DM20">
        <f t="shared" si="31"/>
        <v>5</v>
      </c>
      <c r="DN20">
        <f t="shared" si="57"/>
        <v>0</v>
      </c>
      <c r="DO20">
        <f t="shared" si="32"/>
        <v>13</v>
      </c>
      <c r="DP20">
        <f t="shared" si="33"/>
        <v>2</v>
      </c>
      <c r="DQ20">
        <f t="shared" si="34"/>
        <v>7</v>
      </c>
      <c r="DR20">
        <f t="shared" si="58"/>
        <v>0</v>
      </c>
      <c r="DS20">
        <f t="shared" si="35"/>
        <v>17</v>
      </c>
      <c r="DT20">
        <f t="shared" si="36"/>
        <v>1</v>
      </c>
      <c r="DU20">
        <f t="shared" si="37"/>
        <v>4</v>
      </c>
      <c r="DV20">
        <f t="shared" si="59"/>
        <v>0</v>
      </c>
      <c r="DW20">
        <f t="shared" si="38"/>
        <v>19</v>
      </c>
      <c r="DX20">
        <f t="shared" si="39"/>
        <v>1</v>
      </c>
      <c r="DY20">
        <f t="shared" si="40"/>
        <v>2</v>
      </c>
      <c r="DZ20">
        <f t="shared" si="60"/>
        <v>0</v>
      </c>
      <c r="EA20">
        <f t="shared" si="41"/>
        <v>18</v>
      </c>
      <c r="EB20">
        <f t="shared" si="42"/>
        <v>1</v>
      </c>
      <c r="EC20">
        <f t="shared" si="43"/>
        <v>3</v>
      </c>
      <c r="ED20">
        <f t="shared" si="61"/>
        <v>0</v>
      </c>
      <c r="EE20">
        <f t="shared" si="44"/>
        <v>19</v>
      </c>
      <c r="EF20">
        <f t="shared" si="45"/>
        <v>1</v>
      </c>
      <c r="EG20">
        <f t="shared" si="46"/>
        <v>2</v>
      </c>
      <c r="EH20">
        <f t="shared" si="62"/>
        <v>0</v>
      </c>
      <c r="EI20">
        <f t="shared" si="63"/>
        <v>17</v>
      </c>
      <c r="EJ20">
        <f t="shared" si="64"/>
        <v>2</v>
      </c>
      <c r="EK20">
        <f t="shared" si="65"/>
        <v>2</v>
      </c>
      <c r="EL20">
        <f t="shared" si="66"/>
        <v>1</v>
      </c>
      <c r="EM20">
        <f t="shared" si="67"/>
        <v>17</v>
      </c>
      <c r="EN20">
        <f t="shared" si="68"/>
        <v>0</v>
      </c>
      <c r="EO20">
        <f t="shared" si="69"/>
        <v>3</v>
      </c>
      <c r="EP20">
        <f t="shared" si="70"/>
        <v>2</v>
      </c>
      <c r="EQ20">
        <f t="shared" si="71"/>
        <v>18</v>
      </c>
      <c r="ER20">
        <f t="shared" si="72"/>
        <v>4</v>
      </c>
      <c r="ES20">
        <f t="shared" si="73"/>
        <v>0</v>
      </c>
      <c r="ET20">
        <f t="shared" si="74"/>
        <v>0</v>
      </c>
      <c r="EV20" s="25">
        <f t="shared" si="75"/>
        <v>13.227272727272728</v>
      </c>
      <c r="EW20" s="25">
        <f t="shared" si="76"/>
        <v>0.73484848484848486</v>
      </c>
    </row>
    <row r="21" spans="2:153" ht="39" thickBot="1" x14ac:dyDescent="0.3">
      <c r="B21" s="26" t="s">
        <v>69</v>
      </c>
      <c r="D21" s="22">
        <v>17</v>
      </c>
      <c r="E21" s="31">
        <v>1</v>
      </c>
      <c r="F21" s="31">
        <v>1</v>
      </c>
      <c r="G21" s="24">
        <v>1</v>
      </c>
      <c r="H21" s="31">
        <v>1</v>
      </c>
      <c r="I21" s="31">
        <v>1</v>
      </c>
      <c r="J21" s="31">
        <v>1</v>
      </c>
      <c r="K21" s="31">
        <v>1</v>
      </c>
      <c r="L21" s="31">
        <v>1</v>
      </c>
      <c r="M21" s="31">
        <v>1</v>
      </c>
      <c r="N21" s="31">
        <v>1</v>
      </c>
      <c r="O21" s="31">
        <v>0.5</v>
      </c>
      <c r="P21" s="31">
        <v>1</v>
      </c>
      <c r="Q21" s="31">
        <v>1</v>
      </c>
      <c r="R21" s="31">
        <v>1</v>
      </c>
      <c r="S21" s="31">
        <v>1</v>
      </c>
      <c r="T21" s="31">
        <v>1</v>
      </c>
      <c r="U21" s="23">
        <v>1</v>
      </c>
      <c r="V21" s="31">
        <v>1</v>
      </c>
      <c r="W21" s="32">
        <v>1</v>
      </c>
      <c r="X21" s="31">
        <v>1</v>
      </c>
      <c r="Y21" s="31">
        <v>0.5</v>
      </c>
      <c r="Z21" s="31">
        <v>0.5</v>
      </c>
      <c r="AA21" s="32">
        <v>0.5</v>
      </c>
      <c r="AB21" s="32">
        <v>1</v>
      </c>
      <c r="AC21" s="24">
        <v>1</v>
      </c>
      <c r="AD21" s="32">
        <v>1</v>
      </c>
      <c r="AE21" s="32">
        <v>1</v>
      </c>
      <c r="AF21" s="32">
        <v>1</v>
      </c>
      <c r="AG21" s="32"/>
      <c r="AH21" s="32">
        <v>1</v>
      </c>
      <c r="AI21" s="32">
        <v>1</v>
      </c>
      <c r="AJ21" s="32">
        <v>0</v>
      </c>
      <c r="AK21" s="32">
        <v>0.5</v>
      </c>
      <c r="AL21" s="32">
        <v>1</v>
      </c>
      <c r="AM21" s="32">
        <v>1</v>
      </c>
      <c r="AN21" s="31">
        <v>1</v>
      </c>
      <c r="AO21" s="32">
        <v>1</v>
      </c>
      <c r="AP21" s="32">
        <v>1</v>
      </c>
      <c r="AQ21" s="23">
        <v>1</v>
      </c>
      <c r="AR21" s="29">
        <v>1</v>
      </c>
      <c r="AS21" s="32">
        <v>1</v>
      </c>
      <c r="AT21" s="32">
        <v>1</v>
      </c>
      <c r="AU21" s="29">
        <v>0.5</v>
      </c>
      <c r="AV21" s="29">
        <v>0.5</v>
      </c>
      <c r="AW21" s="32">
        <v>1</v>
      </c>
      <c r="AX21" s="32">
        <v>1</v>
      </c>
      <c r="AY21" s="24">
        <v>1</v>
      </c>
      <c r="AZ21" s="32">
        <v>1</v>
      </c>
      <c r="BA21" s="32">
        <v>1</v>
      </c>
      <c r="BB21" s="32">
        <v>1</v>
      </c>
      <c r="BC21" s="32">
        <v>1</v>
      </c>
      <c r="BD21" s="32">
        <v>1</v>
      </c>
      <c r="BE21" s="32">
        <v>1</v>
      </c>
      <c r="BF21" s="32">
        <v>1</v>
      </c>
      <c r="BG21" s="32">
        <v>1</v>
      </c>
      <c r="BH21" s="32">
        <v>1</v>
      </c>
      <c r="BI21" s="32">
        <v>1</v>
      </c>
      <c r="BJ21" s="24">
        <v>0.5</v>
      </c>
      <c r="BK21" s="32">
        <v>1</v>
      </c>
      <c r="BL21" s="32">
        <v>1</v>
      </c>
      <c r="BM21" s="23">
        <v>1</v>
      </c>
      <c r="BN21" s="29">
        <v>1</v>
      </c>
      <c r="BO21" s="32">
        <v>1</v>
      </c>
      <c r="BP21" s="32">
        <v>1</v>
      </c>
      <c r="BQ21" s="29">
        <v>1</v>
      </c>
      <c r="BR21" s="29">
        <v>1</v>
      </c>
      <c r="BT21">
        <f t="shared" si="0"/>
        <v>65</v>
      </c>
      <c r="BU21">
        <f t="shared" si="1"/>
        <v>60</v>
      </c>
      <c r="BV21" s="25">
        <f t="shared" si="47"/>
        <v>0.92307692307692313</v>
      </c>
      <c r="CA21">
        <f t="shared" si="2"/>
        <v>19</v>
      </c>
      <c r="CB21">
        <f t="shared" si="3"/>
        <v>0</v>
      </c>
      <c r="CC21">
        <f t="shared" si="4"/>
        <v>3</v>
      </c>
      <c r="CD21">
        <f t="shared" si="48"/>
        <v>0</v>
      </c>
      <c r="CE21">
        <f t="shared" si="5"/>
        <v>16</v>
      </c>
      <c r="CF21">
        <f t="shared" si="6"/>
        <v>1</v>
      </c>
      <c r="CG21">
        <f t="shared" si="7"/>
        <v>4</v>
      </c>
      <c r="CH21">
        <f t="shared" si="49"/>
        <v>1</v>
      </c>
      <c r="CI21">
        <f t="shared" si="8"/>
        <v>21</v>
      </c>
      <c r="CJ21">
        <f t="shared" si="9"/>
        <v>0</v>
      </c>
      <c r="CK21">
        <f t="shared" si="10"/>
        <v>1</v>
      </c>
      <c r="CL21">
        <f t="shared" si="50"/>
        <v>0</v>
      </c>
      <c r="CM21">
        <f t="shared" si="11"/>
        <v>16</v>
      </c>
      <c r="CN21">
        <f t="shared" si="12"/>
        <v>1</v>
      </c>
      <c r="CO21">
        <f t="shared" si="13"/>
        <v>4</v>
      </c>
      <c r="CP21">
        <f t="shared" si="51"/>
        <v>1</v>
      </c>
      <c r="CQ21">
        <f t="shared" si="14"/>
        <v>17</v>
      </c>
      <c r="CR21">
        <f t="shared" si="15"/>
        <v>1</v>
      </c>
      <c r="CS21">
        <f t="shared" si="16"/>
        <v>4</v>
      </c>
      <c r="CT21">
        <f t="shared" si="52"/>
        <v>0</v>
      </c>
      <c r="CU21">
        <f t="shared" si="17"/>
        <v>11</v>
      </c>
      <c r="CV21">
        <f t="shared" si="18"/>
        <v>3</v>
      </c>
      <c r="CW21">
        <f t="shared" si="19"/>
        <v>4</v>
      </c>
      <c r="CX21">
        <f t="shared" si="53"/>
        <v>4</v>
      </c>
      <c r="CY21">
        <f t="shared" si="20"/>
        <v>15</v>
      </c>
      <c r="CZ21">
        <f t="shared" si="21"/>
        <v>0</v>
      </c>
      <c r="DA21">
        <f t="shared" si="22"/>
        <v>6</v>
      </c>
      <c r="DB21">
        <f t="shared" si="54"/>
        <v>1</v>
      </c>
      <c r="DC21">
        <f t="shared" si="23"/>
        <v>10</v>
      </c>
      <c r="DD21">
        <f t="shared" si="24"/>
        <v>1</v>
      </c>
      <c r="DE21">
        <f t="shared" si="25"/>
        <v>10</v>
      </c>
      <c r="DF21">
        <f t="shared" si="55"/>
        <v>1</v>
      </c>
      <c r="DG21">
        <f t="shared" si="26"/>
        <v>10</v>
      </c>
      <c r="DH21">
        <f t="shared" si="27"/>
        <v>2</v>
      </c>
      <c r="DI21">
        <f t="shared" si="28"/>
        <v>9</v>
      </c>
      <c r="DJ21">
        <f t="shared" si="56"/>
        <v>1</v>
      </c>
      <c r="DK21">
        <f t="shared" si="29"/>
        <v>17</v>
      </c>
      <c r="DL21">
        <f t="shared" si="30"/>
        <v>1</v>
      </c>
      <c r="DM21">
        <f t="shared" si="31"/>
        <v>4</v>
      </c>
      <c r="DN21">
        <f t="shared" si="57"/>
        <v>0</v>
      </c>
      <c r="DO21">
        <f t="shared" si="32"/>
        <v>10</v>
      </c>
      <c r="DP21">
        <f t="shared" si="33"/>
        <v>6</v>
      </c>
      <c r="DQ21">
        <f t="shared" si="34"/>
        <v>6</v>
      </c>
      <c r="DR21">
        <f t="shared" si="58"/>
        <v>0</v>
      </c>
      <c r="DS21">
        <f t="shared" si="35"/>
        <v>12</v>
      </c>
      <c r="DT21">
        <f t="shared" si="36"/>
        <v>5</v>
      </c>
      <c r="DU21">
        <f t="shared" si="37"/>
        <v>5</v>
      </c>
      <c r="DV21">
        <f t="shared" si="59"/>
        <v>0</v>
      </c>
      <c r="DW21">
        <f t="shared" si="38"/>
        <v>16</v>
      </c>
      <c r="DX21">
        <f t="shared" si="39"/>
        <v>1</v>
      </c>
      <c r="DY21">
        <f t="shared" si="40"/>
        <v>5</v>
      </c>
      <c r="DZ21">
        <f t="shared" si="60"/>
        <v>0</v>
      </c>
      <c r="EA21">
        <f t="shared" si="41"/>
        <v>10</v>
      </c>
      <c r="EB21">
        <f t="shared" si="42"/>
        <v>4</v>
      </c>
      <c r="EC21">
        <f t="shared" si="43"/>
        <v>7</v>
      </c>
      <c r="ED21">
        <f t="shared" si="61"/>
        <v>1</v>
      </c>
      <c r="EE21">
        <f t="shared" si="44"/>
        <v>15</v>
      </c>
      <c r="EF21">
        <f t="shared" si="45"/>
        <v>2</v>
      </c>
      <c r="EG21">
        <f t="shared" si="46"/>
        <v>4</v>
      </c>
      <c r="EH21">
        <f t="shared" si="62"/>
        <v>1</v>
      </c>
      <c r="EI21">
        <f t="shared" si="63"/>
        <v>19</v>
      </c>
      <c r="EJ21">
        <f t="shared" si="64"/>
        <v>2</v>
      </c>
      <c r="EK21">
        <f t="shared" si="65"/>
        <v>0</v>
      </c>
      <c r="EL21">
        <f t="shared" si="66"/>
        <v>1</v>
      </c>
      <c r="EM21">
        <f t="shared" si="67"/>
        <v>17</v>
      </c>
      <c r="EN21">
        <f t="shared" si="68"/>
        <v>2</v>
      </c>
      <c r="EO21">
        <f t="shared" si="69"/>
        <v>1</v>
      </c>
      <c r="EP21">
        <f t="shared" si="70"/>
        <v>2</v>
      </c>
      <c r="EQ21">
        <f t="shared" si="71"/>
        <v>18</v>
      </c>
      <c r="ER21">
        <f t="shared" si="72"/>
        <v>3</v>
      </c>
      <c r="ES21">
        <f t="shared" si="73"/>
        <v>1</v>
      </c>
      <c r="ET21">
        <f t="shared" si="74"/>
        <v>0</v>
      </c>
      <c r="EV21" s="25">
        <f t="shared" si="75"/>
        <v>12.227272727272725</v>
      </c>
      <c r="EW21" s="25">
        <f t="shared" si="76"/>
        <v>0.67929292929292917</v>
      </c>
    </row>
    <row r="22" spans="2:153" ht="39" thickBot="1" x14ac:dyDescent="0.3">
      <c r="B22" s="33" t="s">
        <v>70</v>
      </c>
      <c r="D22" s="22">
        <v>18</v>
      </c>
      <c r="E22" s="31">
        <v>0.5</v>
      </c>
      <c r="F22" s="31">
        <v>0</v>
      </c>
      <c r="G22" s="24">
        <v>1</v>
      </c>
      <c r="H22" s="31">
        <v>1</v>
      </c>
      <c r="I22" s="31">
        <v>0</v>
      </c>
      <c r="J22" s="31">
        <v>0</v>
      </c>
      <c r="K22" s="31">
        <v>0</v>
      </c>
      <c r="L22" s="31">
        <v>1</v>
      </c>
      <c r="M22" s="23">
        <v>0.5</v>
      </c>
      <c r="N22" s="31">
        <v>1</v>
      </c>
      <c r="O22" s="31">
        <v>0.5</v>
      </c>
      <c r="P22" s="31">
        <v>1</v>
      </c>
      <c r="Q22" s="31">
        <v>0.5</v>
      </c>
      <c r="R22" s="31">
        <v>0</v>
      </c>
      <c r="S22" s="31">
        <v>1</v>
      </c>
      <c r="T22" s="31">
        <v>0</v>
      </c>
      <c r="U22" s="23">
        <v>1</v>
      </c>
      <c r="V22" s="31">
        <v>1</v>
      </c>
      <c r="W22" s="32">
        <v>1</v>
      </c>
      <c r="X22" s="31">
        <v>1</v>
      </c>
      <c r="Y22" s="31">
        <v>1</v>
      </c>
      <c r="Z22" s="31">
        <v>0.5</v>
      </c>
      <c r="AA22" s="32">
        <v>1</v>
      </c>
      <c r="AB22" s="32">
        <v>0</v>
      </c>
      <c r="AC22" s="24">
        <v>1</v>
      </c>
      <c r="AD22" s="32">
        <v>1</v>
      </c>
      <c r="AE22" s="32">
        <v>0</v>
      </c>
      <c r="AF22" s="32">
        <v>0.5</v>
      </c>
      <c r="AG22" s="32">
        <v>0</v>
      </c>
      <c r="AH22" s="32">
        <v>1</v>
      </c>
      <c r="AI22" s="24">
        <v>0.5</v>
      </c>
      <c r="AJ22" s="32">
        <v>1</v>
      </c>
      <c r="AK22" s="32">
        <v>1</v>
      </c>
      <c r="AL22" s="32">
        <v>1</v>
      </c>
      <c r="AM22" s="32">
        <v>0.5</v>
      </c>
      <c r="AN22" s="31">
        <v>0</v>
      </c>
      <c r="AO22" s="32">
        <v>1</v>
      </c>
      <c r="AP22" s="32">
        <v>1</v>
      </c>
      <c r="AQ22" s="23">
        <v>1</v>
      </c>
      <c r="AR22" s="29">
        <v>0.5</v>
      </c>
      <c r="AS22" s="32">
        <v>1</v>
      </c>
      <c r="AT22" s="32">
        <v>1</v>
      </c>
      <c r="AU22" s="29">
        <v>0.5</v>
      </c>
      <c r="AV22" s="29">
        <v>0.5</v>
      </c>
      <c r="AW22" s="32">
        <v>1</v>
      </c>
      <c r="AX22" s="32">
        <v>1</v>
      </c>
      <c r="AY22" s="24">
        <v>1</v>
      </c>
      <c r="AZ22" s="32">
        <v>1</v>
      </c>
      <c r="BA22" s="32">
        <v>0</v>
      </c>
      <c r="BB22" s="32">
        <v>1</v>
      </c>
      <c r="BC22" s="32">
        <v>1</v>
      </c>
      <c r="BD22" s="32">
        <v>1</v>
      </c>
      <c r="BE22" s="24">
        <v>1</v>
      </c>
      <c r="BF22" s="32">
        <v>0</v>
      </c>
      <c r="BG22" s="32">
        <v>1</v>
      </c>
      <c r="BH22" s="32">
        <v>1</v>
      </c>
      <c r="BI22" s="32">
        <v>1</v>
      </c>
      <c r="BJ22" s="24">
        <v>0.5</v>
      </c>
      <c r="BK22" s="32">
        <v>1</v>
      </c>
      <c r="BL22" s="32">
        <v>1</v>
      </c>
      <c r="BM22" s="23">
        <v>1</v>
      </c>
      <c r="BN22" s="29">
        <v>1</v>
      </c>
      <c r="BO22" s="32">
        <v>1</v>
      </c>
      <c r="BP22" s="32">
        <v>1</v>
      </c>
      <c r="BQ22" s="29">
        <v>0</v>
      </c>
      <c r="BR22" s="29">
        <v>0</v>
      </c>
      <c r="BT22">
        <f t="shared" si="0"/>
        <v>66</v>
      </c>
      <c r="BU22">
        <f t="shared" si="1"/>
        <v>46</v>
      </c>
      <c r="BV22" s="25">
        <f t="shared" si="47"/>
        <v>0.69696969696969702</v>
      </c>
      <c r="CA22">
        <f t="shared" si="2"/>
        <v>11</v>
      </c>
      <c r="CB22">
        <f t="shared" si="3"/>
        <v>6</v>
      </c>
      <c r="CC22">
        <f t="shared" si="4"/>
        <v>5</v>
      </c>
      <c r="CD22">
        <f t="shared" si="48"/>
        <v>0</v>
      </c>
      <c r="CE22">
        <f t="shared" si="5"/>
        <v>12</v>
      </c>
      <c r="CF22">
        <f t="shared" si="6"/>
        <v>4</v>
      </c>
      <c r="CG22">
        <f t="shared" si="7"/>
        <v>6</v>
      </c>
      <c r="CH22">
        <f t="shared" si="49"/>
        <v>0</v>
      </c>
      <c r="CI22">
        <f t="shared" si="8"/>
        <v>17</v>
      </c>
      <c r="CJ22">
        <f t="shared" si="9"/>
        <v>4</v>
      </c>
      <c r="CK22">
        <f t="shared" si="10"/>
        <v>1</v>
      </c>
      <c r="CL22">
        <f t="shared" si="50"/>
        <v>0</v>
      </c>
      <c r="CM22">
        <f t="shared" si="11"/>
        <v>12</v>
      </c>
      <c r="CN22">
        <f t="shared" si="12"/>
        <v>2</v>
      </c>
      <c r="CO22">
        <f t="shared" si="13"/>
        <v>6</v>
      </c>
      <c r="CP22">
        <f t="shared" si="51"/>
        <v>2</v>
      </c>
      <c r="CQ22">
        <f t="shared" si="14"/>
        <v>12</v>
      </c>
      <c r="CR22">
        <f t="shared" si="15"/>
        <v>2</v>
      </c>
      <c r="CS22">
        <f t="shared" si="16"/>
        <v>7</v>
      </c>
      <c r="CT22">
        <f t="shared" si="52"/>
        <v>1</v>
      </c>
      <c r="CU22">
        <f t="shared" si="17"/>
        <v>6</v>
      </c>
      <c r="CV22">
        <f t="shared" si="18"/>
        <v>4</v>
      </c>
      <c r="CW22">
        <f t="shared" si="19"/>
        <v>8</v>
      </c>
      <c r="CX22">
        <f t="shared" si="53"/>
        <v>4</v>
      </c>
      <c r="CY22">
        <f t="shared" si="20"/>
        <v>14</v>
      </c>
      <c r="CZ22">
        <f t="shared" si="21"/>
        <v>2</v>
      </c>
      <c r="DA22">
        <f t="shared" si="22"/>
        <v>6</v>
      </c>
      <c r="DB22">
        <f t="shared" si="54"/>
        <v>0</v>
      </c>
      <c r="DC22">
        <f t="shared" si="23"/>
        <v>11</v>
      </c>
      <c r="DD22">
        <f t="shared" si="24"/>
        <v>3</v>
      </c>
      <c r="DE22">
        <f t="shared" si="25"/>
        <v>8</v>
      </c>
      <c r="DF22">
        <f t="shared" si="55"/>
        <v>0</v>
      </c>
      <c r="DG22">
        <f t="shared" si="26"/>
        <v>11</v>
      </c>
      <c r="DH22">
        <f t="shared" si="27"/>
        <v>2</v>
      </c>
      <c r="DI22">
        <f t="shared" si="28"/>
        <v>8</v>
      </c>
      <c r="DJ22">
        <f t="shared" si="56"/>
        <v>1</v>
      </c>
      <c r="DK22">
        <f t="shared" si="29"/>
        <v>13</v>
      </c>
      <c r="DL22">
        <f t="shared" si="30"/>
        <v>2</v>
      </c>
      <c r="DM22">
        <f t="shared" si="31"/>
        <v>6</v>
      </c>
      <c r="DN22">
        <f t="shared" si="57"/>
        <v>1</v>
      </c>
      <c r="DO22">
        <f t="shared" si="32"/>
        <v>12</v>
      </c>
      <c r="DP22">
        <f t="shared" si="33"/>
        <v>2</v>
      </c>
      <c r="DQ22">
        <f t="shared" si="34"/>
        <v>7</v>
      </c>
      <c r="DR22">
        <f t="shared" si="58"/>
        <v>1</v>
      </c>
      <c r="DS22">
        <f t="shared" si="35"/>
        <v>15</v>
      </c>
      <c r="DT22">
        <f t="shared" si="36"/>
        <v>2</v>
      </c>
      <c r="DU22">
        <f t="shared" si="37"/>
        <v>4</v>
      </c>
      <c r="DV22">
        <f t="shared" si="59"/>
        <v>1</v>
      </c>
      <c r="DW22">
        <f t="shared" si="38"/>
        <v>13</v>
      </c>
      <c r="DX22">
        <f t="shared" si="39"/>
        <v>2</v>
      </c>
      <c r="DY22">
        <f t="shared" si="40"/>
        <v>6</v>
      </c>
      <c r="DZ22">
        <f t="shared" si="60"/>
        <v>1</v>
      </c>
      <c r="EA22">
        <f t="shared" si="41"/>
        <v>12</v>
      </c>
      <c r="EB22">
        <f t="shared" si="42"/>
        <v>1</v>
      </c>
      <c r="EC22">
        <f t="shared" si="43"/>
        <v>8</v>
      </c>
      <c r="ED22">
        <f t="shared" si="61"/>
        <v>1</v>
      </c>
      <c r="EE22">
        <f t="shared" si="44"/>
        <v>16</v>
      </c>
      <c r="EF22">
        <f t="shared" si="45"/>
        <v>1</v>
      </c>
      <c r="EG22">
        <f t="shared" si="46"/>
        <v>4</v>
      </c>
      <c r="EH22">
        <f t="shared" si="62"/>
        <v>1</v>
      </c>
      <c r="EI22">
        <f t="shared" si="63"/>
        <v>14</v>
      </c>
      <c r="EJ22">
        <f t="shared" si="64"/>
        <v>3</v>
      </c>
      <c r="EK22">
        <f t="shared" si="65"/>
        <v>4</v>
      </c>
      <c r="EL22">
        <f t="shared" si="66"/>
        <v>1</v>
      </c>
      <c r="EM22">
        <f t="shared" si="67"/>
        <v>16</v>
      </c>
      <c r="EN22">
        <f t="shared" si="68"/>
        <v>1</v>
      </c>
      <c r="EO22">
        <f t="shared" si="69"/>
        <v>3</v>
      </c>
      <c r="EP22">
        <f t="shared" si="70"/>
        <v>2</v>
      </c>
      <c r="EQ22">
        <f t="shared" si="71"/>
        <v>13</v>
      </c>
      <c r="ER22">
        <f t="shared" si="72"/>
        <v>6</v>
      </c>
      <c r="ES22">
        <f t="shared" si="73"/>
        <v>3</v>
      </c>
      <c r="ET22">
        <f t="shared" si="74"/>
        <v>0</v>
      </c>
      <c r="EV22" s="25">
        <f t="shared" si="75"/>
        <v>10.545454545454545</v>
      </c>
      <c r="EW22" s="25">
        <f t="shared" si="76"/>
        <v>0.58585858585858586</v>
      </c>
    </row>
    <row r="23" spans="2:153" ht="52.5" thickTop="1" thickBot="1" x14ac:dyDescent="0.3">
      <c r="B23" s="34" t="s">
        <v>71</v>
      </c>
      <c r="D23" s="22">
        <v>19</v>
      </c>
      <c r="E23" s="31">
        <v>0.5</v>
      </c>
      <c r="F23" s="31">
        <v>1</v>
      </c>
      <c r="G23" s="24">
        <v>1</v>
      </c>
      <c r="H23" s="31">
        <v>1</v>
      </c>
      <c r="I23" s="31">
        <v>0</v>
      </c>
      <c r="J23" s="31">
        <v>1</v>
      </c>
      <c r="K23" s="31">
        <v>1</v>
      </c>
      <c r="L23" s="31">
        <v>1</v>
      </c>
      <c r="M23" s="23">
        <v>1</v>
      </c>
      <c r="N23" s="31"/>
      <c r="O23" s="31">
        <v>0.5</v>
      </c>
      <c r="P23" s="31">
        <v>1</v>
      </c>
      <c r="Q23" s="31">
        <v>1</v>
      </c>
      <c r="R23" s="31">
        <v>0</v>
      </c>
      <c r="S23" s="31">
        <v>1</v>
      </c>
      <c r="T23" s="31">
        <v>1</v>
      </c>
      <c r="U23" s="23">
        <v>1</v>
      </c>
      <c r="V23" s="31">
        <v>1</v>
      </c>
      <c r="W23" s="32">
        <v>1</v>
      </c>
      <c r="X23" s="31">
        <v>1</v>
      </c>
      <c r="Y23" s="31">
        <v>0.5</v>
      </c>
      <c r="Z23" s="31">
        <v>0.5</v>
      </c>
      <c r="AA23" s="32">
        <v>1</v>
      </c>
      <c r="AB23" s="32">
        <v>1</v>
      </c>
      <c r="AC23" s="24">
        <v>1</v>
      </c>
      <c r="AD23" s="32">
        <v>1</v>
      </c>
      <c r="AE23" s="32">
        <v>0</v>
      </c>
      <c r="AF23" s="32">
        <v>1</v>
      </c>
      <c r="AG23" s="32">
        <v>1</v>
      </c>
      <c r="AH23" s="32">
        <v>1</v>
      </c>
      <c r="AI23" s="24">
        <v>0.5</v>
      </c>
      <c r="AJ23" s="32"/>
      <c r="AK23" s="32">
        <v>0.5</v>
      </c>
      <c r="AL23" s="32">
        <v>0.5</v>
      </c>
      <c r="AM23" s="32">
        <v>1</v>
      </c>
      <c r="AN23" s="31">
        <v>0</v>
      </c>
      <c r="AO23" s="32">
        <v>1</v>
      </c>
      <c r="AP23" s="32">
        <v>1</v>
      </c>
      <c r="AQ23" s="23">
        <v>1</v>
      </c>
      <c r="AR23" s="29">
        <v>1</v>
      </c>
      <c r="AS23" s="32">
        <v>1</v>
      </c>
      <c r="AT23" s="32">
        <v>1</v>
      </c>
      <c r="AU23" s="29">
        <v>0.5</v>
      </c>
      <c r="AV23" s="29">
        <v>0.5</v>
      </c>
      <c r="AW23" s="32">
        <v>1</v>
      </c>
      <c r="AX23" s="32">
        <v>1</v>
      </c>
      <c r="AY23" s="24">
        <v>1</v>
      </c>
      <c r="AZ23" s="32">
        <v>1</v>
      </c>
      <c r="BA23" s="32">
        <v>0</v>
      </c>
      <c r="BB23" s="32">
        <v>1</v>
      </c>
      <c r="BC23" s="32">
        <v>0</v>
      </c>
      <c r="BD23" s="32">
        <v>0.5</v>
      </c>
      <c r="BE23" s="24">
        <v>1</v>
      </c>
      <c r="BF23" s="32"/>
      <c r="BG23" s="32">
        <v>1</v>
      </c>
      <c r="BH23" s="32">
        <v>0.5</v>
      </c>
      <c r="BI23" s="32">
        <v>1</v>
      </c>
      <c r="BJ23" s="24">
        <v>0.5</v>
      </c>
      <c r="BK23" s="32">
        <v>1</v>
      </c>
      <c r="BL23" s="32">
        <v>1</v>
      </c>
      <c r="BM23" s="23">
        <v>1</v>
      </c>
      <c r="BN23" s="29">
        <v>1</v>
      </c>
      <c r="BO23" s="32">
        <v>1</v>
      </c>
      <c r="BP23" s="32">
        <v>1</v>
      </c>
      <c r="BQ23" s="29">
        <v>1</v>
      </c>
      <c r="BR23" s="29">
        <v>1</v>
      </c>
      <c r="BT23">
        <f t="shared" si="0"/>
        <v>63</v>
      </c>
      <c r="BU23">
        <f t="shared" si="1"/>
        <v>51</v>
      </c>
      <c r="BV23" s="25">
        <f t="shared" si="47"/>
        <v>0.80952380952380953</v>
      </c>
      <c r="CA23">
        <f t="shared" si="2"/>
        <v>15</v>
      </c>
      <c r="CB23">
        <f t="shared" si="3"/>
        <v>2</v>
      </c>
      <c r="CC23">
        <f t="shared" si="4"/>
        <v>4</v>
      </c>
      <c r="CD23">
        <f t="shared" si="48"/>
        <v>1</v>
      </c>
      <c r="CE23">
        <f t="shared" si="5"/>
        <v>14</v>
      </c>
      <c r="CF23">
        <f t="shared" si="6"/>
        <v>2</v>
      </c>
      <c r="CG23">
        <f t="shared" si="7"/>
        <v>5</v>
      </c>
      <c r="CH23">
        <f t="shared" si="49"/>
        <v>1</v>
      </c>
      <c r="CI23">
        <f t="shared" si="8"/>
        <v>16</v>
      </c>
      <c r="CJ23">
        <f t="shared" si="9"/>
        <v>2</v>
      </c>
      <c r="CK23">
        <f t="shared" si="10"/>
        <v>3</v>
      </c>
      <c r="CL23">
        <f t="shared" si="50"/>
        <v>1</v>
      </c>
      <c r="CM23">
        <f t="shared" si="11"/>
        <v>14</v>
      </c>
      <c r="CN23">
        <f t="shared" si="12"/>
        <v>1</v>
      </c>
      <c r="CO23">
        <f t="shared" si="13"/>
        <v>5</v>
      </c>
      <c r="CP23">
        <f t="shared" si="51"/>
        <v>2</v>
      </c>
      <c r="CQ23">
        <f t="shared" si="14"/>
        <v>13</v>
      </c>
      <c r="CR23">
        <f t="shared" si="15"/>
        <v>0</v>
      </c>
      <c r="CS23">
        <f t="shared" si="16"/>
        <v>8</v>
      </c>
      <c r="CT23">
        <f t="shared" si="52"/>
        <v>1</v>
      </c>
      <c r="CU23">
        <f t="shared" si="17"/>
        <v>6</v>
      </c>
      <c r="CV23">
        <f t="shared" si="18"/>
        <v>4</v>
      </c>
      <c r="CW23">
        <f t="shared" si="19"/>
        <v>9</v>
      </c>
      <c r="CX23">
        <f t="shared" si="53"/>
        <v>3</v>
      </c>
      <c r="CY23">
        <f t="shared" si="20"/>
        <v>14</v>
      </c>
      <c r="CZ23">
        <f t="shared" si="21"/>
        <v>1</v>
      </c>
      <c r="DA23">
        <f t="shared" si="22"/>
        <v>6</v>
      </c>
      <c r="DB23">
        <f t="shared" si="54"/>
        <v>1</v>
      </c>
      <c r="DC23">
        <f t="shared" si="23"/>
        <v>9</v>
      </c>
      <c r="DD23">
        <f t="shared" si="24"/>
        <v>1</v>
      </c>
      <c r="DE23">
        <f t="shared" si="25"/>
        <v>11</v>
      </c>
      <c r="DF23">
        <f t="shared" si="55"/>
        <v>1</v>
      </c>
      <c r="DG23">
        <f t="shared" si="26"/>
        <v>12</v>
      </c>
      <c r="DH23">
        <f t="shared" si="27"/>
        <v>1</v>
      </c>
      <c r="DI23">
        <f t="shared" si="28"/>
        <v>8</v>
      </c>
      <c r="DJ23">
        <f t="shared" si="56"/>
        <v>1</v>
      </c>
      <c r="DK23">
        <f t="shared" si="29"/>
        <v>15</v>
      </c>
      <c r="DL23">
        <f t="shared" si="30"/>
        <v>1</v>
      </c>
      <c r="DM23">
        <f t="shared" si="31"/>
        <v>5</v>
      </c>
      <c r="DN23">
        <f t="shared" si="57"/>
        <v>1</v>
      </c>
      <c r="DO23">
        <f t="shared" si="32"/>
        <v>15</v>
      </c>
      <c r="DP23">
        <f t="shared" si="33"/>
        <v>2</v>
      </c>
      <c r="DQ23">
        <f t="shared" si="34"/>
        <v>4</v>
      </c>
      <c r="DR23">
        <f t="shared" si="58"/>
        <v>1</v>
      </c>
      <c r="DS23">
        <f t="shared" si="35"/>
        <v>18</v>
      </c>
      <c r="DT23">
        <f t="shared" si="36"/>
        <v>1</v>
      </c>
      <c r="DU23">
        <f t="shared" si="37"/>
        <v>2</v>
      </c>
      <c r="DV23">
        <f t="shared" si="59"/>
        <v>1</v>
      </c>
      <c r="DW23">
        <f t="shared" si="38"/>
        <v>19</v>
      </c>
      <c r="DX23">
        <f t="shared" si="39"/>
        <v>0</v>
      </c>
      <c r="DY23">
        <f t="shared" si="40"/>
        <v>2</v>
      </c>
      <c r="DZ23">
        <f t="shared" si="60"/>
        <v>1</v>
      </c>
      <c r="EA23">
        <f t="shared" si="41"/>
        <v>16</v>
      </c>
      <c r="EB23">
        <f t="shared" si="42"/>
        <v>2</v>
      </c>
      <c r="EC23">
        <f t="shared" si="43"/>
        <v>3</v>
      </c>
      <c r="ED23">
        <f t="shared" si="61"/>
        <v>1</v>
      </c>
      <c r="EE23">
        <f t="shared" si="44"/>
        <v>16</v>
      </c>
      <c r="EF23">
        <f t="shared" si="45"/>
        <v>1</v>
      </c>
      <c r="EG23">
        <f t="shared" si="46"/>
        <v>4</v>
      </c>
      <c r="EH23">
        <f t="shared" si="62"/>
        <v>1</v>
      </c>
      <c r="EI23">
        <f t="shared" si="63"/>
        <v>15</v>
      </c>
      <c r="EJ23">
        <f t="shared" si="64"/>
        <v>3</v>
      </c>
      <c r="EK23">
        <f t="shared" si="65"/>
        <v>2</v>
      </c>
      <c r="EL23">
        <f t="shared" si="66"/>
        <v>2</v>
      </c>
      <c r="EM23">
        <f t="shared" si="67"/>
        <v>14</v>
      </c>
      <c r="EN23">
        <f t="shared" si="68"/>
        <v>1</v>
      </c>
      <c r="EO23">
        <f t="shared" si="69"/>
        <v>4</v>
      </c>
      <c r="EP23">
        <f t="shared" si="70"/>
        <v>3</v>
      </c>
      <c r="EQ23">
        <f t="shared" si="71"/>
        <v>14</v>
      </c>
      <c r="ER23">
        <f t="shared" si="72"/>
        <v>3</v>
      </c>
      <c r="ES23">
        <f t="shared" si="73"/>
        <v>4</v>
      </c>
      <c r="ET23">
        <f t="shared" si="74"/>
        <v>1</v>
      </c>
      <c r="EV23" s="25">
        <f t="shared" si="75"/>
        <v>11.818181818181817</v>
      </c>
      <c r="EW23" s="25">
        <f t="shared" si="76"/>
        <v>0.65656565656565646</v>
      </c>
    </row>
    <row r="24" spans="2:153" ht="39" thickBot="1" x14ac:dyDescent="0.3">
      <c r="B24" s="33" t="s">
        <v>72</v>
      </c>
      <c r="D24" s="22">
        <v>20</v>
      </c>
      <c r="E24" s="31">
        <v>1</v>
      </c>
      <c r="F24" s="31">
        <v>1</v>
      </c>
      <c r="G24" s="24">
        <v>1</v>
      </c>
      <c r="H24" s="31">
        <v>1</v>
      </c>
      <c r="I24" s="31">
        <v>0.5</v>
      </c>
      <c r="J24" s="31">
        <v>1</v>
      </c>
      <c r="K24" s="31">
        <v>1</v>
      </c>
      <c r="L24" s="31">
        <v>1</v>
      </c>
      <c r="M24" s="23">
        <v>1</v>
      </c>
      <c r="N24" s="31">
        <v>1</v>
      </c>
      <c r="O24" s="31">
        <v>0.5</v>
      </c>
      <c r="P24" s="31">
        <v>1</v>
      </c>
      <c r="Q24" s="31">
        <v>1</v>
      </c>
      <c r="R24" s="31">
        <v>1</v>
      </c>
      <c r="S24" s="31">
        <v>1</v>
      </c>
      <c r="T24" s="31">
        <v>1</v>
      </c>
      <c r="U24" s="23">
        <v>1</v>
      </c>
      <c r="V24" s="31">
        <v>1</v>
      </c>
      <c r="W24" s="32">
        <v>1</v>
      </c>
      <c r="X24" s="31">
        <v>1</v>
      </c>
      <c r="Y24" s="31">
        <v>0.5</v>
      </c>
      <c r="Z24" s="31">
        <v>0.5</v>
      </c>
      <c r="AA24" s="32">
        <v>1</v>
      </c>
      <c r="AB24" s="32">
        <v>1</v>
      </c>
      <c r="AC24" s="24">
        <v>1</v>
      </c>
      <c r="AD24" s="32">
        <v>1</v>
      </c>
      <c r="AE24" s="32">
        <v>0.5</v>
      </c>
      <c r="AF24" s="32">
        <v>1</v>
      </c>
      <c r="AG24" s="32">
        <v>1</v>
      </c>
      <c r="AH24" s="32">
        <v>1</v>
      </c>
      <c r="AI24" s="24">
        <v>0.5</v>
      </c>
      <c r="AJ24" s="32">
        <v>1</v>
      </c>
      <c r="AK24" s="32">
        <v>1</v>
      </c>
      <c r="AL24" s="32">
        <v>1</v>
      </c>
      <c r="AM24" s="32">
        <v>1</v>
      </c>
      <c r="AN24" s="31">
        <v>1</v>
      </c>
      <c r="AO24" s="32">
        <v>1</v>
      </c>
      <c r="AP24" s="32">
        <v>1</v>
      </c>
      <c r="AQ24" s="23">
        <v>1</v>
      </c>
      <c r="AR24" s="29">
        <v>1</v>
      </c>
      <c r="AS24" s="32">
        <v>1</v>
      </c>
      <c r="AT24" s="32">
        <v>1</v>
      </c>
      <c r="AU24" s="29">
        <v>0.5</v>
      </c>
      <c r="AV24" s="29">
        <v>0.5</v>
      </c>
      <c r="AW24" s="32">
        <v>1</v>
      </c>
      <c r="AX24" s="32">
        <v>1</v>
      </c>
      <c r="AY24" s="24">
        <v>1</v>
      </c>
      <c r="AZ24" s="32">
        <v>1</v>
      </c>
      <c r="BA24" s="32">
        <v>0.5</v>
      </c>
      <c r="BB24" s="32">
        <v>1</v>
      </c>
      <c r="BC24" s="32">
        <v>1</v>
      </c>
      <c r="BD24" s="32">
        <v>1</v>
      </c>
      <c r="BE24" s="24">
        <v>1</v>
      </c>
      <c r="BF24" s="32">
        <v>1</v>
      </c>
      <c r="BG24" s="32">
        <v>1</v>
      </c>
      <c r="BH24" s="32">
        <v>1</v>
      </c>
      <c r="BI24" s="32">
        <v>1</v>
      </c>
      <c r="BJ24" s="24">
        <v>0.5</v>
      </c>
      <c r="BK24" s="32">
        <v>1</v>
      </c>
      <c r="BL24" s="32">
        <v>1</v>
      </c>
      <c r="BM24" s="23">
        <v>1</v>
      </c>
      <c r="BN24" s="29">
        <v>1</v>
      </c>
      <c r="BO24" s="32">
        <v>1</v>
      </c>
      <c r="BP24" s="32">
        <v>1</v>
      </c>
      <c r="BQ24" s="29">
        <v>1</v>
      </c>
      <c r="BR24" s="29">
        <v>1</v>
      </c>
      <c r="BT24">
        <f t="shared" si="0"/>
        <v>66</v>
      </c>
      <c r="BU24">
        <f t="shared" si="1"/>
        <v>61</v>
      </c>
      <c r="BV24" s="25">
        <f t="shared" si="47"/>
        <v>0.9242424242424242</v>
      </c>
      <c r="CA24">
        <f t="shared" si="2"/>
        <v>18</v>
      </c>
      <c r="CB24">
        <f t="shared" si="3"/>
        <v>0</v>
      </c>
      <c r="CC24">
        <f t="shared" si="4"/>
        <v>4</v>
      </c>
      <c r="CD24">
        <f t="shared" si="48"/>
        <v>0</v>
      </c>
      <c r="CE24">
        <f t="shared" si="5"/>
        <v>18</v>
      </c>
      <c r="CF24">
        <f t="shared" si="6"/>
        <v>0</v>
      </c>
      <c r="CG24">
        <f t="shared" si="7"/>
        <v>4</v>
      </c>
      <c r="CH24">
        <f t="shared" si="49"/>
        <v>0</v>
      </c>
      <c r="CI24">
        <f t="shared" si="8"/>
        <v>20</v>
      </c>
      <c r="CJ24">
        <f t="shared" si="9"/>
        <v>0</v>
      </c>
      <c r="CK24">
        <f t="shared" si="10"/>
        <v>2</v>
      </c>
      <c r="CL24">
        <f t="shared" si="50"/>
        <v>0</v>
      </c>
      <c r="CM24">
        <f t="shared" si="11"/>
        <v>14</v>
      </c>
      <c r="CN24">
        <f t="shared" si="12"/>
        <v>1</v>
      </c>
      <c r="CO24">
        <f t="shared" si="13"/>
        <v>6</v>
      </c>
      <c r="CP24">
        <f t="shared" si="51"/>
        <v>1</v>
      </c>
      <c r="CQ24">
        <f t="shared" si="14"/>
        <v>13</v>
      </c>
      <c r="CR24">
        <f t="shared" si="15"/>
        <v>1</v>
      </c>
      <c r="CS24">
        <f t="shared" si="16"/>
        <v>8</v>
      </c>
      <c r="CT24">
        <f t="shared" si="52"/>
        <v>0</v>
      </c>
      <c r="CU24">
        <f t="shared" si="17"/>
        <v>12</v>
      </c>
      <c r="CV24">
        <f t="shared" si="18"/>
        <v>1</v>
      </c>
      <c r="CW24">
        <f t="shared" si="19"/>
        <v>6</v>
      </c>
      <c r="CX24">
        <f t="shared" si="53"/>
        <v>3</v>
      </c>
      <c r="CY24">
        <f t="shared" si="20"/>
        <v>15</v>
      </c>
      <c r="CZ24">
        <f t="shared" si="21"/>
        <v>0</v>
      </c>
      <c r="DA24">
        <f t="shared" si="22"/>
        <v>7</v>
      </c>
      <c r="DB24">
        <f t="shared" si="54"/>
        <v>0</v>
      </c>
      <c r="DC24">
        <f t="shared" si="23"/>
        <v>14</v>
      </c>
      <c r="DD24">
        <f t="shared" si="24"/>
        <v>0</v>
      </c>
      <c r="DE24">
        <f t="shared" si="25"/>
        <v>8</v>
      </c>
      <c r="DF24">
        <f t="shared" si="55"/>
        <v>0</v>
      </c>
      <c r="DG24">
        <f t="shared" si="26"/>
        <v>14</v>
      </c>
      <c r="DH24">
        <f t="shared" si="27"/>
        <v>0</v>
      </c>
      <c r="DI24">
        <f t="shared" si="28"/>
        <v>8</v>
      </c>
      <c r="DJ24">
        <f t="shared" si="56"/>
        <v>0</v>
      </c>
      <c r="DK24">
        <f t="shared" si="29"/>
        <v>14</v>
      </c>
      <c r="DL24">
        <f t="shared" si="30"/>
        <v>5</v>
      </c>
      <c r="DM24">
        <f t="shared" si="31"/>
        <v>3</v>
      </c>
      <c r="DN24">
        <f t="shared" si="57"/>
        <v>0</v>
      </c>
      <c r="DO24">
        <f t="shared" si="32"/>
        <v>14</v>
      </c>
      <c r="DP24">
        <f t="shared" si="33"/>
        <v>4</v>
      </c>
      <c r="DQ24">
        <f t="shared" si="34"/>
        <v>4</v>
      </c>
      <c r="DR24">
        <f t="shared" si="58"/>
        <v>0</v>
      </c>
      <c r="DS24">
        <f t="shared" si="35"/>
        <v>18</v>
      </c>
      <c r="DT24">
        <f t="shared" si="36"/>
        <v>2</v>
      </c>
      <c r="DU24">
        <f t="shared" si="37"/>
        <v>2</v>
      </c>
      <c r="DV24">
        <f t="shared" si="59"/>
        <v>0</v>
      </c>
      <c r="DW24">
        <f t="shared" si="38"/>
        <v>15</v>
      </c>
      <c r="DX24">
        <f t="shared" si="39"/>
        <v>4</v>
      </c>
      <c r="DY24">
        <f t="shared" si="40"/>
        <v>2</v>
      </c>
      <c r="DZ24">
        <f t="shared" si="60"/>
        <v>1</v>
      </c>
      <c r="EA24">
        <f t="shared" si="41"/>
        <v>13</v>
      </c>
      <c r="EB24">
        <f t="shared" si="42"/>
        <v>4</v>
      </c>
      <c r="EC24">
        <f t="shared" si="43"/>
        <v>4</v>
      </c>
      <c r="ED24">
        <f t="shared" si="61"/>
        <v>1</v>
      </c>
      <c r="EE24">
        <f t="shared" si="44"/>
        <v>15</v>
      </c>
      <c r="EF24">
        <f t="shared" si="45"/>
        <v>4</v>
      </c>
      <c r="EG24">
        <f t="shared" si="46"/>
        <v>2</v>
      </c>
      <c r="EH24">
        <f t="shared" si="62"/>
        <v>1</v>
      </c>
      <c r="EI24">
        <f t="shared" si="63"/>
        <v>15</v>
      </c>
      <c r="EJ24">
        <f t="shared" si="64"/>
        <v>4</v>
      </c>
      <c r="EK24">
        <f t="shared" si="65"/>
        <v>2</v>
      </c>
      <c r="EL24">
        <f t="shared" si="66"/>
        <v>1</v>
      </c>
      <c r="EM24">
        <f t="shared" si="67"/>
        <v>14</v>
      </c>
      <c r="EN24">
        <f t="shared" si="68"/>
        <v>1</v>
      </c>
      <c r="EO24">
        <f t="shared" si="69"/>
        <v>4</v>
      </c>
      <c r="EP24">
        <f t="shared" si="70"/>
        <v>3</v>
      </c>
      <c r="EQ24">
        <f t="shared" si="71"/>
        <v>12</v>
      </c>
      <c r="ER24">
        <f t="shared" si="72"/>
        <v>3</v>
      </c>
      <c r="ES24">
        <f t="shared" si="73"/>
        <v>6</v>
      </c>
      <c r="ET24">
        <f t="shared" si="74"/>
        <v>1</v>
      </c>
      <c r="EV24" s="25">
        <f t="shared" si="75"/>
        <v>12.181818181818183</v>
      </c>
      <c r="EW24" s="25">
        <f t="shared" si="76"/>
        <v>0.67676767676767691</v>
      </c>
    </row>
    <row r="25" spans="2:153" ht="51.75" thickBot="1" x14ac:dyDescent="0.3">
      <c r="B25" s="33" t="s">
        <v>73</v>
      </c>
      <c r="D25" s="22">
        <v>21</v>
      </c>
      <c r="E25" s="31">
        <v>0</v>
      </c>
      <c r="F25" s="31">
        <v>1</v>
      </c>
      <c r="G25" s="24">
        <v>1</v>
      </c>
      <c r="H25" s="31">
        <v>1</v>
      </c>
      <c r="I25" s="31">
        <v>1</v>
      </c>
      <c r="J25" s="31">
        <v>1</v>
      </c>
      <c r="K25" s="31">
        <v>0.5</v>
      </c>
      <c r="L25" s="31">
        <v>1</v>
      </c>
      <c r="M25" s="23">
        <v>1</v>
      </c>
      <c r="N25" s="31">
        <v>1</v>
      </c>
      <c r="O25" s="31">
        <v>1</v>
      </c>
      <c r="P25" s="31">
        <v>1</v>
      </c>
      <c r="Q25" s="31">
        <v>1</v>
      </c>
      <c r="R25" s="31">
        <v>0</v>
      </c>
      <c r="S25" s="31">
        <v>1</v>
      </c>
      <c r="T25" s="31">
        <v>1</v>
      </c>
      <c r="U25" s="23">
        <v>1</v>
      </c>
      <c r="V25" s="31">
        <v>0.5</v>
      </c>
      <c r="W25" s="32">
        <v>1</v>
      </c>
      <c r="X25" s="31">
        <v>1</v>
      </c>
      <c r="Y25" s="31">
        <v>1</v>
      </c>
      <c r="Z25" s="31">
        <v>1</v>
      </c>
      <c r="AA25" s="32">
        <v>0.5</v>
      </c>
      <c r="AB25" s="32">
        <v>1</v>
      </c>
      <c r="AC25" s="24">
        <v>1</v>
      </c>
      <c r="AD25" s="32">
        <v>1</v>
      </c>
      <c r="AE25" s="32">
        <v>1</v>
      </c>
      <c r="AF25" s="32">
        <v>1</v>
      </c>
      <c r="AG25" s="32">
        <v>0.5</v>
      </c>
      <c r="AH25" s="32">
        <v>1</v>
      </c>
      <c r="AI25" s="24">
        <v>0.5</v>
      </c>
      <c r="AJ25" s="32">
        <v>1</v>
      </c>
      <c r="AK25" s="32">
        <v>1</v>
      </c>
      <c r="AL25" s="32">
        <v>1</v>
      </c>
      <c r="AM25" s="32">
        <v>1</v>
      </c>
      <c r="AN25" s="31">
        <v>0</v>
      </c>
      <c r="AO25" s="32">
        <v>1</v>
      </c>
      <c r="AP25" s="32">
        <v>1</v>
      </c>
      <c r="AQ25" s="23">
        <v>1</v>
      </c>
      <c r="AR25" s="29">
        <v>1</v>
      </c>
      <c r="AS25" s="32">
        <v>1</v>
      </c>
      <c r="AT25" s="32">
        <v>1</v>
      </c>
      <c r="AU25" s="29">
        <v>0.5</v>
      </c>
      <c r="AV25" s="29">
        <v>0.5</v>
      </c>
      <c r="AW25" s="32">
        <v>1</v>
      </c>
      <c r="AX25" s="32">
        <v>1</v>
      </c>
      <c r="AY25" s="24">
        <v>1</v>
      </c>
      <c r="AZ25" s="32">
        <v>1</v>
      </c>
      <c r="BA25" s="32">
        <v>1</v>
      </c>
      <c r="BB25" s="32">
        <v>1</v>
      </c>
      <c r="BC25" s="32">
        <v>1</v>
      </c>
      <c r="BD25" s="32">
        <v>1</v>
      </c>
      <c r="BE25" s="24">
        <v>1</v>
      </c>
      <c r="BF25" s="32">
        <v>1</v>
      </c>
      <c r="BG25" s="32">
        <v>1</v>
      </c>
      <c r="BH25" s="32">
        <v>1</v>
      </c>
      <c r="BI25" s="32">
        <v>1</v>
      </c>
      <c r="BJ25" s="24">
        <v>0.5</v>
      </c>
      <c r="BK25" s="32">
        <v>1</v>
      </c>
      <c r="BL25" s="32">
        <v>1</v>
      </c>
      <c r="BM25" s="23">
        <v>1</v>
      </c>
      <c r="BN25" s="29">
        <v>0.5</v>
      </c>
      <c r="BO25" s="32">
        <v>1</v>
      </c>
      <c r="BP25" s="32">
        <v>1</v>
      </c>
      <c r="BQ25" s="29">
        <v>0.5</v>
      </c>
      <c r="BR25" s="29">
        <v>0.5</v>
      </c>
      <c r="BT25">
        <f t="shared" si="0"/>
        <v>66</v>
      </c>
      <c r="BU25">
        <f t="shared" si="1"/>
        <v>57.5</v>
      </c>
      <c r="BV25" s="25">
        <f t="shared" si="47"/>
        <v>0.87121212121212122</v>
      </c>
      <c r="CA25">
        <f t="shared" si="2"/>
        <v>18</v>
      </c>
      <c r="CB25">
        <f t="shared" si="3"/>
        <v>2</v>
      </c>
      <c r="CC25">
        <f t="shared" si="4"/>
        <v>2</v>
      </c>
      <c r="CD25">
        <f t="shared" si="48"/>
        <v>0</v>
      </c>
      <c r="CE25">
        <f t="shared" si="5"/>
        <v>16</v>
      </c>
      <c r="CF25">
        <f t="shared" si="6"/>
        <v>1</v>
      </c>
      <c r="CG25">
        <f t="shared" si="7"/>
        <v>5</v>
      </c>
      <c r="CH25">
        <f t="shared" si="49"/>
        <v>0</v>
      </c>
      <c r="CI25">
        <f t="shared" si="8"/>
        <v>18</v>
      </c>
      <c r="CJ25">
        <f t="shared" si="9"/>
        <v>0</v>
      </c>
      <c r="CK25">
        <f t="shared" si="10"/>
        <v>4</v>
      </c>
      <c r="CL25">
        <f t="shared" si="50"/>
        <v>0</v>
      </c>
      <c r="CM25">
        <f t="shared" si="11"/>
        <v>12</v>
      </c>
      <c r="CN25">
        <f t="shared" si="12"/>
        <v>0</v>
      </c>
      <c r="CO25">
        <f t="shared" si="13"/>
        <v>7</v>
      </c>
      <c r="CP25">
        <f t="shared" si="51"/>
        <v>3</v>
      </c>
      <c r="CQ25">
        <f t="shared" si="14"/>
        <v>12</v>
      </c>
      <c r="CR25">
        <f t="shared" si="15"/>
        <v>0</v>
      </c>
      <c r="CS25">
        <f t="shared" si="16"/>
        <v>8</v>
      </c>
      <c r="CT25">
        <f t="shared" si="52"/>
        <v>2</v>
      </c>
      <c r="CU25">
        <f t="shared" si="17"/>
        <v>11</v>
      </c>
      <c r="CV25">
        <f t="shared" si="18"/>
        <v>5</v>
      </c>
      <c r="CW25">
        <f t="shared" si="19"/>
        <v>3</v>
      </c>
      <c r="CX25">
        <f t="shared" si="53"/>
        <v>3</v>
      </c>
      <c r="CY25">
        <f t="shared" si="20"/>
        <v>15</v>
      </c>
      <c r="CZ25">
        <f t="shared" si="21"/>
        <v>1</v>
      </c>
      <c r="DA25">
        <f t="shared" si="22"/>
        <v>6</v>
      </c>
      <c r="DB25">
        <f t="shared" si="54"/>
        <v>0</v>
      </c>
      <c r="DC25">
        <f t="shared" si="23"/>
        <v>14</v>
      </c>
      <c r="DD25">
        <f t="shared" si="24"/>
        <v>0</v>
      </c>
      <c r="DE25">
        <f t="shared" si="25"/>
        <v>8</v>
      </c>
      <c r="DF25">
        <f t="shared" si="55"/>
        <v>0</v>
      </c>
      <c r="DG25">
        <f t="shared" si="26"/>
        <v>14</v>
      </c>
      <c r="DH25">
        <f t="shared" si="27"/>
        <v>0</v>
      </c>
      <c r="DI25">
        <f t="shared" si="28"/>
        <v>8</v>
      </c>
      <c r="DJ25">
        <f t="shared" si="56"/>
        <v>0</v>
      </c>
      <c r="DK25">
        <f t="shared" si="29"/>
        <v>15</v>
      </c>
      <c r="DL25">
        <f t="shared" si="30"/>
        <v>1</v>
      </c>
      <c r="DM25">
        <f t="shared" si="31"/>
        <v>5</v>
      </c>
      <c r="DN25">
        <f t="shared" si="57"/>
        <v>1</v>
      </c>
      <c r="DO25">
        <f t="shared" si="32"/>
        <v>13</v>
      </c>
      <c r="DP25">
        <f t="shared" si="33"/>
        <v>1</v>
      </c>
      <c r="DQ25">
        <f t="shared" si="34"/>
        <v>7</v>
      </c>
      <c r="DR25">
        <f t="shared" si="58"/>
        <v>1</v>
      </c>
      <c r="DS25">
        <f t="shared" si="35"/>
        <v>13</v>
      </c>
      <c r="DT25">
        <f t="shared" si="36"/>
        <v>2</v>
      </c>
      <c r="DU25">
        <f t="shared" si="37"/>
        <v>6</v>
      </c>
      <c r="DV25">
        <f t="shared" si="59"/>
        <v>1</v>
      </c>
      <c r="DW25">
        <f t="shared" si="38"/>
        <v>18</v>
      </c>
      <c r="DX25">
        <f t="shared" si="39"/>
        <v>1</v>
      </c>
      <c r="DY25">
        <f t="shared" si="40"/>
        <v>2</v>
      </c>
      <c r="DZ25">
        <f t="shared" si="60"/>
        <v>1</v>
      </c>
      <c r="EA25">
        <f t="shared" si="41"/>
        <v>12</v>
      </c>
      <c r="EB25">
        <f t="shared" si="42"/>
        <v>2</v>
      </c>
      <c r="EC25">
        <f t="shared" si="43"/>
        <v>7</v>
      </c>
      <c r="ED25">
        <f t="shared" si="61"/>
        <v>1</v>
      </c>
      <c r="EE25">
        <f t="shared" si="44"/>
        <v>13</v>
      </c>
      <c r="EF25">
        <f t="shared" si="45"/>
        <v>3</v>
      </c>
      <c r="EG25">
        <f t="shared" si="46"/>
        <v>4</v>
      </c>
      <c r="EH25">
        <f t="shared" si="62"/>
        <v>2</v>
      </c>
      <c r="EI25">
        <f t="shared" si="63"/>
        <v>12</v>
      </c>
      <c r="EJ25">
        <f t="shared" si="64"/>
        <v>7</v>
      </c>
      <c r="EK25">
        <f t="shared" si="65"/>
        <v>2</v>
      </c>
      <c r="EL25">
        <f t="shared" si="66"/>
        <v>1</v>
      </c>
      <c r="EM25">
        <f t="shared" si="67"/>
        <v>16</v>
      </c>
      <c r="EN25">
        <f t="shared" si="68"/>
        <v>1</v>
      </c>
      <c r="EO25">
        <f t="shared" si="69"/>
        <v>1</v>
      </c>
      <c r="EP25">
        <f t="shared" si="70"/>
        <v>4</v>
      </c>
      <c r="EQ25">
        <f t="shared" si="71"/>
        <v>16</v>
      </c>
      <c r="ER25">
        <f t="shared" si="72"/>
        <v>2</v>
      </c>
      <c r="ES25">
        <f t="shared" si="73"/>
        <v>3</v>
      </c>
      <c r="ET25">
        <f t="shared" si="74"/>
        <v>1</v>
      </c>
      <c r="EV25" s="25">
        <f t="shared" si="75"/>
        <v>11.727272727272727</v>
      </c>
      <c r="EW25" s="25">
        <f t="shared" si="76"/>
        <v>0.65151515151515149</v>
      </c>
    </row>
    <row r="26" spans="2:153" ht="26.25" thickBot="1" x14ac:dyDescent="0.3">
      <c r="B26" s="27" t="s">
        <v>74</v>
      </c>
      <c r="D26" s="22">
        <v>22</v>
      </c>
      <c r="E26" s="31">
        <v>1</v>
      </c>
      <c r="F26" s="31">
        <v>1</v>
      </c>
      <c r="G26" s="24">
        <v>1</v>
      </c>
      <c r="H26" s="31">
        <v>1</v>
      </c>
      <c r="I26" s="31">
        <v>1</v>
      </c>
      <c r="J26" s="31">
        <v>1</v>
      </c>
      <c r="K26" s="31">
        <v>1</v>
      </c>
      <c r="L26" s="31">
        <v>1</v>
      </c>
      <c r="M26" s="23">
        <v>1</v>
      </c>
      <c r="N26" s="31">
        <v>1</v>
      </c>
      <c r="O26" s="31">
        <v>1</v>
      </c>
      <c r="P26" s="31">
        <v>1</v>
      </c>
      <c r="Q26" s="31">
        <v>1</v>
      </c>
      <c r="R26" s="31">
        <v>1</v>
      </c>
      <c r="S26" s="31">
        <v>1</v>
      </c>
      <c r="T26" s="31">
        <v>1</v>
      </c>
      <c r="U26" s="23">
        <v>1</v>
      </c>
      <c r="V26" s="31">
        <v>1</v>
      </c>
      <c r="W26" s="32">
        <v>1</v>
      </c>
      <c r="X26" s="31">
        <v>1</v>
      </c>
      <c r="Y26" s="31">
        <v>1</v>
      </c>
      <c r="Z26" s="31">
        <v>1</v>
      </c>
      <c r="AA26" s="32">
        <v>1</v>
      </c>
      <c r="AB26" s="32">
        <v>0.5</v>
      </c>
      <c r="AC26" s="24">
        <v>1</v>
      </c>
      <c r="AD26" s="32">
        <v>1</v>
      </c>
      <c r="AE26" s="32">
        <v>1</v>
      </c>
      <c r="AF26" s="32">
        <v>1</v>
      </c>
      <c r="AG26" s="32">
        <v>1</v>
      </c>
      <c r="AH26" s="32">
        <v>0</v>
      </c>
      <c r="AI26" s="24">
        <v>1</v>
      </c>
      <c r="AJ26" s="32">
        <v>0.5</v>
      </c>
      <c r="AK26" s="32">
        <v>1</v>
      </c>
      <c r="AL26" s="32">
        <v>1</v>
      </c>
      <c r="AM26" s="32">
        <v>1</v>
      </c>
      <c r="AN26" s="31">
        <v>1</v>
      </c>
      <c r="AO26" s="32">
        <v>1</v>
      </c>
      <c r="AP26" s="32">
        <v>1</v>
      </c>
      <c r="AQ26" s="23">
        <v>1</v>
      </c>
      <c r="AR26" s="29">
        <v>1</v>
      </c>
      <c r="AS26" s="32">
        <v>1</v>
      </c>
      <c r="AT26" s="32">
        <v>1</v>
      </c>
      <c r="AU26" s="29">
        <v>1</v>
      </c>
      <c r="AV26" s="29">
        <v>0.5</v>
      </c>
      <c r="AW26" s="32">
        <v>1</v>
      </c>
      <c r="AX26" s="32">
        <v>1</v>
      </c>
      <c r="AY26" s="24">
        <v>1</v>
      </c>
      <c r="AZ26" s="32">
        <v>1</v>
      </c>
      <c r="BA26" s="32">
        <v>1</v>
      </c>
      <c r="BB26" s="32">
        <v>1</v>
      </c>
      <c r="BC26" s="32">
        <v>1</v>
      </c>
      <c r="BD26" s="32">
        <v>1</v>
      </c>
      <c r="BE26" s="24">
        <v>1</v>
      </c>
      <c r="BF26" s="32">
        <v>1</v>
      </c>
      <c r="BG26" s="32">
        <v>1</v>
      </c>
      <c r="BH26" s="32">
        <v>1</v>
      </c>
      <c r="BI26" s="32">
        <v>1</v>
      </c>
      <c r="BJ26" s="24">
        <v>0.5</v>
      </c>
      <c r="BK26" s="32">
        <v>1</v>
      </c>
      <c r="BL26" s="32">
        <v>1</v>
      </c>
      <c r="BM26" s="23">
        <v>1</v>
      </c>
      <c r="BN26" s="29">
        <v>1</v>
      </c>
      <c r="BO26" s="32">
        <v>1</v>
      </c>
      <c r="BP26" s="32">
        <v>1</v>
      </c>
      <c r="BQ26" s="29">
        <v>1</v>
      </c>
      <c r="BR26" s="29">
        <v>0.5</v>
      </c>
      <c r="BT26">
        <f t="shared" si="0"/>
        <v>66</v>
      </c>
      <c r="BU26">
        <f t="shared" si="1"/>
        <v>62.5</v>
      </c>
      <c r="BV26" s="25">
        <f t="shared" si="47"/>
        <v>0.94696969696969702</v>
      </c>
      <c r="CA26">
        <f t="shared" si="2"/>
        <v>22</v>
      </c>
      <c r="CB26">
        <f t="shared" si="3"/>
        <v>0</v>
      </c>
      <c r="CC26">
        <f t="shared" si="4"/>
        <v>0</v>
      </c>
      <c r="CD26">
        <f t="shared" si="48"/>
        <v>0</v>
      </c>
      <c r="CE26">
        <f t="shared" si="5"/>
        <v>18</v>
      </c>
      <c r="CF26">
        <f t="shared" si="6"/>
        <v>1</v>
      </c>
      <c r="CG26">
        <f t="shared" si="7"/>
        <v>3</v>
      </c>
      <c r="CH26">
        <f t="shared" si="49"/>
        <v>0</v>
      </c>
      <c r="CI26">
        <f t="shared" si="8"/>
        <v>20</v>
      </c>
      <c r="CJ26">
        <f t="shared" si="9"/>
        <v>0</v>
      </c>
      <c r="CK26">
        <f t="shared" si="10"/>
        <v>2</v>
      </c>
      <c r="CL26">
        <f t="shared" si="50"/>
        <v>0</v>
      </c>
      <c r="CM26">
        <f t="shared" si="11"/>
        <v>17</v>
      </c>
      <c r="CN26">
        <f t="shared" si="12"/>
        <v>1</v>
      </c>
      <c r="CO26">
        <f t="shared" si="13"/>
        <v>3</v>
      </c>
      <c r="CP26">
        <f t="shared" si="51"/>
        <v>1</v>
      </c>
      <c r="CQ26">
        <f t="shared" si="14"/>
        <v>14</v>
      </c>
      <c r="CR26">
        <f t="shared" si="15"/>
        <v>1</v>
      </c>
      <c r="CS26">
        <f t="shared" si="16"/>
        <v>6</v>
      </c>
      <c r="CT26">
        <f t="shared" si="52"/>
        <v>1</v>
      </c>
      <c r="CU26">
        <f t="shared" si="17"/>
        <v>13</v>
      </c>
      <c r="CV26">
        <f t="shared" si="18"/>
        <v>4</v>
      </c>
      <c r="CW26">
        <f t="shared" si="19"/>
        <v>4</v>
      </c>
      <c r="CX26">
        <f t="shared" si="53"/>
        <v>1</v>
      </c>
      <c r="CY26">
        <f t="shared" si="20"/>
        <v>13</v>
      </c>
      <c r="CZ26">
        <f t="shared" si="21"/>
        <v>1</v>
      </c>
      <c r="DA26">
        <f t="shared" si="22"/>
        <v>7</v>
      </c>
      <c r="DB26">
        <f t="shared" si="54"/>
        <v>1</v>
      </c>
      <c r="DC26">
        <f t="shared" si="23"/>
        <v>10</v>
      </c>
      <c r="DD26">
        <f t="shared" si="24"/>
        <v>1</v>
      </c>
      <c r="DE26">
        <f t="shared" si="25"/>
        <v>10</v>
      </c>
      <c r="DF26">
        <f t="shared" si="55"/>
        <v>1</v>
      </c>
      <c r="DG26">
        <f t="shared" si="26"/>
        <v>9</v>
      </c>
      <c r="DH26">
        <f t="shared" si="27"/>
        <v>1</v>
      </c>
      <c r="DI26">
        <f t="shared" si="28"/>
        <v>11</v>
      </c>
      <c r="DJ26">
        <f t="shared" si="56"/>
        <v>1</v>
      </c>
      <c r="DK26">
        <f t="shared" si="29"/>
        <v>17</v>
      </c>
      <c r="DL26">
        <f t="shared" si="30"/>
        <v>2</v>
      </c>
      <c r="DM26">
        <f t="shared" si="31"/>
        <v>3</v>
      </c>
      <c r="DN26">
        <f t="shared" si="57"/>
        <v>0</v>
      </c>
      <c r="DO26">
        <f t="shared" si="32"/>
        <v>15</v>
      </c>
      <c r="DP26">
        <f t="shared" si="33"/>
        <v>3</v>
      </c>
      <c r="DQ26">
        <f t="shared" si="34"/>
        <v>4</v>
      </c>
      <c r="DR26">
        <f t="shared" si="58"/>
        <v>0</v>
      </c>
      <c r="DS26">
        <f t="shared" si="35"/>
        <v>14</v>
      </c>
      <c r="DT26">
        <f t="shared" si="36"/>
        <v>3</v>
      </c>
      <c r="DU26">
        <f t="shared" si="37"/>
        <v>5</v>
      </c>
      <c r="DV26">
        <f t="shared" si="59"/>
        <v>0</v>
      </c>
      <c r="DW26">
        <f t="shared" si="38"/>
        <v>19</v>
      </c>
      <c r="DX26">
        <f t="shared" si="39"/>
        <v>2</v>
      </c>
      <c r="DY26">
        <f t="shared" si="40"/>
        <v>1</v>
      </c>
      <c r="DZ26">
        <f t="shared" si="60"/>
        <v>0</v>
      </c>
      <c r="EA26">
        <f t="shared" si="41"/>
        <v>11</v>
      </c>
      <c r="EB26">
        <f t="shared" si="42"/>
        <v>5</v>
      </c>
      <c r="EC26">
        <f t="shared" si="43"/>
        <v>5</v>
      </c>
      <c r="ED26">
        <f t="shared" si="61"/>
        <v>1</v>
      </c>
      <c r="EE26">
        <f t="shared" si="44"/>
        <v>14</v>
      </c>
      <c r="EF26">
        <f t="shared" si="45"/>
        <v>5</v>
      </c>
      <c r="EG26">
        <f t="shared" si="46"/>
        <v>2</v>
      </c>
      <c r="EH26">
        <f t="shared" si="62"/>
        <v>1</v>
      </c>
      <c r="EI26">
        <f t="shared" si="63"/>
        <v>10</v>
      </c>
      <c r="EJ26">
        <f t="shared" si="64"/>
        <v>8</v>
      </c>
      <c r="EK26">
        <f t="shared" si="65"/>
        <v>3</v>
      </c>
      <c r="EL26">
        <f t="shared" si="66"/>
        <v>1</v>
      </c>
      <c r="EM26">
        <f t="shared" si="67"/>
        <v>13</v>
      </c>
      <c r="EN26">
        <f t="shared" si="68"/>
        <v>3</v>
      </c>
      <c r="EO26">
        <f t="shared" si="69"/>
        <v>2</v>
      </c>
      <c r="EP26">
        <f t="shared" si="70"/>
        <v>4</v>
      </c>
      <c r="EQ26">
        <f t="shared" si="71"/>
        <v>15</v>
      </c>
      <c r="ER26">
        <f t="shared" si="72"/>
        <v>4</v>
      </c>
      <c r="ES26">
        <f t="shared" si="73"/>
        <v>1</v>
      </c>
      <c r="ET26">
        <f t="shared" si="74"/>
        <v>2</v>
      </c>
      <c r="EV26" s="25">
        <f t="shared" si="75"/>
        <v>12.090909090909092</v>
      </c>
      <c r="EW26" s="25">
        <f t="shared" si="76"/>
        <v>0.67171717171717171</v>
      </c>
    </row>
    <row r="27" spans="2:153" ht="26.25" thickBot="1" x14ac:dyDescent="0.3">
      <c r="B27" s="21" t="s">
        <v>75</v>
      </c>
      <c r="D27" s="22">
        <v>23</v>
      </c>
      <c r="E27" s="31">
        <v>1</v>
      </c>
      <c r="F27" s="31">
        <v>1</v>
      </c>
      <c r="G27" s="24">
        <v>1</v>
      </c>
      <c r="H27" s="31">
        <v>1</v>
      </c>
      <c r="I27" s="31">
        <v>1</v>
      </c>
      <c r="J27" s="31">
        <v>1</v>
      </c>
      <c r="K27" s="31">
        <v>1</v>
      </c>
      <c r="L27" s="31">
        <v>1</v>
      </c>
      <c r="M27" s="23">
        <v>1</v>
      </c>
      <c r="N27" s="31">
        <v>1</v>
      </c>
      <c r="O27" s="31">
        <v>1</v>
      </c>
      <c r="P27" s="31">
        <v>1</v>
      </c>
      <c r="Q27" s="31">
        <v>1</v>
      </c>
      <c r="R27" s="31">
        <v>1</v>
      </c>
      <c r="S27" s="31">
        <v>1</v>
      </c>
      <c r="T27" s="31">
        <v>1</v>
      </c>
      <c r="U27" s="23">
        <v>1</v>
      </c>
      <c r="V27" s="31">
        <v>1</v>
      </c>
      <c r="W27" s="32">
        <v>1</v>
      </c>
      <c r="X27" s="31">
        <v>0.5</v>
      </c>
      <c r="Y27" s="31">
        <v>1</v>
      </c>
      <c r="Z27" s="31">
        <v>1</v>
      </c>
      <c r="AA27" s="32">
        <v>1</v>
      </c>
      <c r="AB27" s="32">
        <v>0.5</v>
      </c>
      <c r="AC27" s="24">
        <v>1</v>
      </c>
      <c r="AD27" s="32">
        <v>1</v>
      </c>
      <c r="AE27" s="32">
        <v>1</v>
      </c>
      <c r="AF27" s="32">
        <v>1</v>
      </c>
      <c r="AG27" s="32">
        <v>1</v>
      </c>
      <c r="AH27" s="32">
        <v>1</v>
      </c>
      <c r="AI27" s="24">
        <v>1</v>
      </c>
      <c r="AJ27" s="32">
        <v>0.5</v>
      </c>
      <c r="AK27" s="32">
        <v>1</v>
      </c>
      <c r="AL27" s="32">
        <v>1</v>
      </c>
      <c r="AM27" s="32">
        <v>1</v>
      </c>
      <c r="AN27" s="31">
        <v>1</v>
      </c>
      <c r="AO27" s="32">
        <v>1</v>
      </c>
      <c r="AP27" s="32">
        <v>1</v>
      </c>
      <c r="AQ27" s="23">
        <v>1</v>
      </c>
      <c r="AR27" s="29">
        <v>1</v>
      </c>
      <c r="AS27" s="32">
        <v>1</v>
      </c>
      <c r="AT27" s="32">
        <v>0.5</v>
      </c>
      <c r="AU27" s="29">
        <v>0.5</v>
      </c>
      <c r="AV27" s="29">
        <v>0.5</v>
      </c>
      <c r="AW27" s="32">
        <v>1</v>
      </c>
      <c r="AX27" s="32">
        <v>1</v>
      </c>
      <c r="AY27" s="24">
        <v>1</v>
      </c>
      <c r="AZ27" s="32">
        <v>1</v>
      </c>
      <c r="BA27" s="32">
        <v>1</v>
      </c>
      <c r="BB27" s="32">
        <v>1</v>
      </c>
      <c r="BC27" s="32">
        <v>1</v>
      </c>
      <c r="BD27" s="32">
        <v>1</v>
      </c>
      <c r="BE27" s="24">
        <v>1</v>
      </c>
      <c r="BF27" s="32">
        <v>1</v>
      </c>
      <c r="BG27" s="32">
        <v>1</v>
      </c>
      <c r="BH27" s="32">
        <v>1</v>
      </c>
      <c r="BI27" s="32">
        <v>1</v>
      </c>
      <c r="BJ27" s="24">
        <v>0.5</v>
      </c>
      <c r="BK27" s="32">
        <v>1</v>
      </c>
      <c r="BL27" s="32">
        <v>1</v>
      </c>
      <c r="BM27" s="23">
        <v>1</v>
      </c>
      <c r="BN27" s="29">
        <v>1</v>
      </c>
      <c r="BO27" s="32">
        <v>1</v>
      </c>
      <c r="BP27" s="32">
        <v>1</v>
      </c>
      <c r="BQ27" s="29">
        <v>0.5</v>
      </c>
      <c r="BR27" s="29">
        <v>0.5</v>
      </c>
      <c r="BT27">
        <f t="shared" si="0"/>
        <v>66</v>
      </c>
      <c r="BU27">
        <f t="shared" si="1"/>
        <v>61.5</v>
      </c>
      <c r="BV27" s="25">
        <f t="shared" si="47"/>
        <v>0.93181818181818177</v>
      </c>
      <c r="CA27">
        <f t="shared" si="2"/>
        <v>21</v>
      </c>
      <c r="CB27">
        <f t="shared" si="3"/>
        <v>0</v>
      </c>
      <c r="CC27">
        <f t="shared" si="4"/>
        <v>1</v>
      </c>
      <c r="CD27">
        <f t="shared" si="48"/>
        <v>0</v>
      </c>
      <c r="CE27">
        <f t="shared" si="5"/>
        <v>17</v>
      </c>
      <c r="CF27">
        <f t="shared" si="6"/>
        <v>0</v>
      </c>
      <c r="CG27">
        <f t="shared" si="7"/>
        <v>5</v>
      </c>
      <c r="CH27">
        <f t="shared" si="49"/>
        <v>0</v>
      </c>
      <c r="CI27">
        <f t="shared" si="8"/>
        <v>19</v>
      </c>
      <c r="CJ27">
        <f t="shared" si="9"/>
        <v>0</v>
      </c>
      <c r="CK27">
        <f t="shared" si="10"/>
        <v>3</v>
      </c>
      <c r="CL27">
        <f t="shared" si="50"/>
        <v>0</v>
      </c>
      <c r="CM27">
        <f t="shared" si="11"/>
        <v>16</v>
      </c>
      <c r="CN27">
        <f t="shared" si="12"/>
        <v>1</v>
      </c>
      <c r="CO27">
        <f t="shared" si="13"/>
        <v>3</v>
      </c>
      <c r="CP27">
        <f t="shared" si="51"/>
        <v>2</v>
      </c>
      <c r="CQ27">
        <f t="shared" si="14"/>
        <v>15</v>
      </c>
      <c r="CR27">
        <f t="shared" si="15"/>
        <v>0</v>
      </c>
      <c r="CS27">
        <f t="shared" si="16"/>
        <v>5</v>
      </c>
      <c r="CT27">
        <f t="shared" si="52"/>
        <v>2</v>
      </c>
      <c r="CU27">
        <f t="shared" si="17"/>
        <v>11</v>
      </c>
      <c r="CV27">
        <f t="shared" si="18"/>
        <v>4</v>
      </c>
      <c r="CW27">
        <f t="shared" si="19"/>
        <v>5</v>
      </c>
      <c r="CX27">
        <f t="shared" si="53"/>
        <v>2</v>
      </c>
      <c r="CY27">
        <f t="shared" si="20"/>
        <v>15</v>
      </c>
      <c r="CZ27">
        <f t="shared" si="21"/>
        <v>0</v>
      </c>
      <c r="DA27">
        <f t="shared" si="22"/>
        <v>6</v>
      </c>
      <c r="DB27">
        <f t="shared" si="54"/>
        <v>1</v>
      </c>
      <c r="DC27">
        <f t="shared" si="23"/>
        <v>14</v>
      </c>
      <c r="DD27">
        <f t="shared" si="24"/>
        <v>0</v>
      </c>
      <c r="DE27">
        <f t="shared" si="25"/>
        <v>7</v>
      </c>
      <c r="DF27">
        <f t="shared" si="55"/>
        <v>1</v>
      </c>
      <c r="DG27">
        <f t="shared" si="26"/>
        <v>12</v>
      </c>
      <c r="DH27">
        <f t="shared" si="27"/>
        <v>0</v>
      </c>
      <c r="DI27">
        <f t="shared" si="28"/>
        <v>9</v>
      </c>
      <c r="DJ27">
        <f t="shared" si="56"/>
        <v>1</v>
      </c>
      <c r="DK27">
        <f t="shared" si="29"/>
        <v>18</v>
      </c>
      <c r="DL27">
        <f t="shared" si="30"/>
        <v>1</v>
      </c>
      <c r="DM27">
        <f t="shared" si="31"/>
        <v>3</v>
      </c>
      <c r="DN27">
        <f t="shared" si="57"/>
        <v>0</v>
      </c>
      <c r="DO27">
        <f t="shared" si="32"/>
        <v>15</v>
      </c>
      <c r="DP27">
        <f t="shared" si="33"/>
        <v>3</v>
      </c>
      <c r="DQ27">
        <f t="shared" si="34"/>
        <v>4</v>
      </c>
      <c r="DR27">
        <f t="shared" si="58"/>
        <v>0</v>
      </c>
      <c r="DS27">
        <f t="shared" si="35"/>
        <v>15</v>
      </c>
      <c r="DT27">
        <f t="shared" si="36"/>
        <v>4</v>
      </c>
      <c r="DU27">
        <f t="shared" si="37"/>
        <v>3</v>
      </c>
      <c r="DV27">
        <f t="shared" si="59"/>
        <v>0</v>
      </c>
      <c r="DW27">
        <f t="shared" si="38"/>
        <v>20</v>
      </c>
      <c r="DX27">
        <f t="shared" si="39"/>
        <v>0</v>
      </c>
      <c r="DY27">
        <f t="shared" si="40"/>
        <v>2</v>
      </c>
      <c r="DZ27">
        <f t="shared" si="60"/>
        <v>0</v>
      </c>
      <c r="EA27">
        <f t="shared" si="41"/>
        <v>12</v>
      </c>
      <c r="EB27">
        <f t="shared" si="42"/>
        <v>3</v>
      </c>
      <c r="EC27">
        <f t="shared" si="43"/>
        <v>6</v>
      </c>
      <c r="ED27">
        <f t="shared" si="61"/>
        <v>1</v>
      </c>
      <c r="EE27">
        <f t="shared" si="44"/>
        <v>14</v>
      </c>
      <c r="EF27">
        <f t="shared" si="45"/>
        <v>6</v>
      </c>
      <c r="EG27">
        <f t="shared" si="46"/>
        <v>1</v>
      </c>
      <c r="EH27">
        <f t="shared" si="62"/>
        <v>1</v>
      </c>
      <c r="EI27">
        <f t="shared" si="63"/>
        <v>10</v>
      </c>
      <c r="EJ27">
        <f t="shared" si="64"/>
        <v>9</v>
      </c>
      <c r="EK27">
        <f t="shared" si="65"/>
        <v>2</v>
      </c>
      <c r="EL27">
        <f t="shared" si="66"/>
        <v>1</v>
      </c>
      <c r="EM27">
        <f t="shared" si="67"/>
        <v>13</v>
      </c>
      <c r="EN27">
        <f t="shared" si="68"/>
        <v>3</v>
      </c>
      <c r="EO27">
        <f t="shared" si="69"/>
        <v>2</v>
      </c>
      <c r="EP27">
        <f t="shared" si="70"/>
        <v>4</v>
      </c>
      <c r="EQ27">
        <f t="shared" si="71"/>
        <v>15</v>
      </c>
      <c r="ER27">
        <f t="shared" si="72"/>
        <v>4</v>
      </c>
      <c r="ES27">
        <f t="shared" si="73"/>
        <v>1</v>
      </c>
      <c r="ET27">
        <f t="shared" si="74"/>
        <v>2</v>
      </c>
      <c r="EV27" s="25">
        <f t="shared" si="75"/>
        <v>12.363636363636363</v>
      </c>
      <c r="EW27" s="25">
        <f t="shared" si="76"/>
        <v>0.68686868686868685</v>
      </c>
    </row>
    <row r="28" spans="2:153" ht="26.25" thickBot="1" x14ac:dyDescent="0.3">
      <c r="B28" s="21" t="s">
        <v>76</v>
      </c>
      <c r="D28" s="22">
        <v>24</v>
      </c>
      <c r="E28" s="31">
        <v>1</v>
      </c>
      <c r="F28" s="31"/>
      <c r="G28" s="24">
        <v>1</v>
      </c>
      <c r="H28" s="31">
        <v>1</v>
      </c>
      <c r="I28" s="31">
        <v>1</v>
      </c>
      <c r="J28" s="31">
        <v>1</v>
      </c>
      <c r="K28" s="31">
        <v>1</v>
      </c>
      <c r="L28" s="31">
        <v>1</v>
      </c>
      <c r="M28" s="23">
        <v>1</v>
      </c>
      <c r="N28" s="31"/>
      <c r="O28" s="31">
        <v>1</v>
      </c>
      <c r="P28" s="31">
        <v>1</v>
      </c>
      <c r="Q28" s="31">
        <v>0.5</v>
      </c>
      <c r="R28" s="31">
        <v>0</v>
      </c>
      <c r="S28" s="31">
        <v>1</v>
      </c>
      <c r="T28" s="31">
        <v>1</v>
      </c>
      <c r="U28" s="23">
        <v>1</v>
      </c>
      <c r="V28" s="31">
        <v>1</v>
      </c>
      <c r="W28" s="32">
        <v>1</v>
      </c>
      <c r="X28" s="31">
        <v>0.5</v>
      </c>
      <c r="Y28" s="31">
        <v>1</v>
      </c>
      <c r="Z28" s="31">
        <v>1</v>
      </c>
      <c r="AA28" s="32">
        <v>1</v>
      </c>
      <c r="AB28" s="32"/>
      <c r="AC28" s="24">
        <v>1</v>
      </c>
      <c r="AD28" s="32">
        <v>1</v>
      </c>
      <c r="AE28" s="32">
        <v>1</v>
      </c>
      <c r="AF28" s="32">
        <v>1</v>
      </c>
      <c r="AG28" s="32">
        <v>1</v>
      </c>
      <c r="AH28" s="32">
        <v>0</v>
      </c>
      <c r="AI28" s="24">
        <v>1</v>
      </c>
      <c r="AJ28" s="32"/>
      <c r="AK28" s="32">
        <v>1</v>
      </c>
      <c r="AL28" s="32">
        <v>1</v>
      </c>
      <c r="AM28" s="32">
        <v>0.5</v>
      </c>
      <c r="AN28" s="31">
        <v>0</v>
      </c>
      <c r="AO28" s="32">
        <v>1</v>
      </c>
      <c r="AP28" s="32">
        <v>1</v>
      </c>
      <c r="AQ28" s="23">
        <v>1</v>
      </c>
      <c r="AR28" s="29">
        <v>0.5</v>
      </c>
      <c r="AS28" s="32">
        <v>1</v>
      </c>
      <c r="AT28" s="32">
        <v>0.5</v>
      </c>
      <c r="AU28" s="29">
        <v>0.5</v>
      </c>
      <c r="AV28" s="29">
        <v>0.5</v>
      </c>
      <c r="AW28" s="32">
        <v>1</v>
      </c>
      <c r="AX28" s="32"/>
      <c r="AY28" s="24">
        <v>1</v>
      </c>
      <c r="AZ28" s="32">
        <v>1</v>
      </c>
      <c r="BA28" s="32">
        <v>1</v>
      </c>
      <c r="BB28" s="32">
        <v>1</v>
      </c>
      <c r="BC28" s="32">
        <v>1</v>
      </c>
      <c r="BD28" s="32">
        <v>1</v>
      </c>
      <c r="BE28" s="24">
        <v>1</v>
      </c>
      <c r="BF28" s="32"/>
      <c r="BG28" s="32">
        <v>1</v>
      </c>
      <c r="BH28" s="32">
        <v>1</v>
      </c>
      <c r="BI28" s="32">
        <v>1</v>
      </c>
      <c r="BJ28" s="24">
        <v>0.5</v>
      </c>
      <c r="BK28" s="32">
        <v>1</v>
      </c>
      <c r="BL28" s="32">
        <v>1</v>
      </c>
      <c r="BM28" s="23">
        <v>1</v>
      </c>
      <c r="BN28" s="29">
        <v>1</v>
      </c>
      <c r="BO28" s="32">
        <v>1</v>
      </c>
      <c r="BP28" s="32">
        <v>1</v>
      </c>
      <c r="BQ28" s="29">
        <v>0.5</v>
      </c>
      <c r="BR28" s="29">
        <v>0.5</v>
      </c>
      <c r="BT28">
        <f t="shared" si="0"/>
        <v>60</v>
      </c>
      <c r="BU28">
        <f t="shared" si="1"/>
        <v>52</v>
      </c>
      <c r="BV28" s="25">
        <f t="shared" si="47"/>
        <v>0.8666666666666667</v>
      </c>
      <c r="CA28">
        <f t="shared" si="2"/>
        <v>17</v>
      </c>
      <c r="CB28">
        <f t="shared" si="3"/>
        <v>1</v>
      </c>
      <c r="CC28">
        <f t="shared" si="4"/>
        <v>2</v>
      </c>
      <c r="CD28">
        <f t="shared" si="48"/>
        <v>2</v>
      </c>
      <c r="CE28">
        <f t="shared" si="5"/>
        <v>13</v>
      </c>
      <c r="CF28">
        <f t="shared" si="6"/>
        <v>2</v>
      </c>
      <c r="CG28">
        <f t="shared" si="7"/>
        <v>5</v>
      </c>
      <c r="CH28">
        <f t="shared" si="49"/>
        <v>2</v>
      </c>
      <c r="CI28">
        <f t="shared" si="8"/>
        <v>17</v>
      </c>
      <c r="CJ28">
        <f t="shared" si="9"/>
        <v>0</v>
      </c>
      <c r="CK28">
        <f t="shared" si="10"/>
        <v>3</v>
      </c>
      <c r="CL28">
        <f t="shared" si="50"/>
        <v>2</v>
      </c>
      <c r="CM28">
        <f t="shared" si="11"/>
        <v>13</v>
      </c>
      <c r="CN28">
        <f t="shared" si="12"/>
        <v>0</v>
      </c>
      <c r="CO28">
        <f t="shared" si="13"/>
        <v>6</v>
      </c>
      <c r="CP28">
        <f t="shared" si="51"/>
        <v>3</v>
      </c>
      <c r="CQ28">
        <f t="shared" si="14"/>
        <v>11</v>
      </c>
      <c r="CR28">
        <f t="shared" si="15"/>
        <v>2</v>
      </c>
      <c r="CS28">
        <f t="shared" si="16"/>
        <v>6</v>
      </c>
      <c r="CT28">
        <f t="shared" si="52"/>
        <v>3</v>
      </c>
      <c r="CU28">
        <f t="shared" si="17"/>
        <v>7</v>
      </c>
      <c r="CV28">
        <f t="shared" si="18"/>
        <v>4</v>
      </c>
      <c r="CW28">
        <f t="shared" si="19"/>
        <v>5</v>
      </c>
      <c r="CX28">
        <f t="shared" si="53"/>
        <v>6</v>
      </c>
      <c r="CY28">
        <f t="shared" si="20"/>
        <v>10</v>
      </c>
      <c r="CZ28">
        <f t="shared" si="21"/>
        <v>2</v>
      </c>
      <c r="DA28">
        <f t="shared" si="22"/>
        <v>8</v>
      </c>
      <c r="DB28">
        <f t="shared" si="54"/>
        <v>2</v>
      </c>
      <c r="DC28">
        <f t="shared" si="23"/>
        <v>7</v>
      </c>
      <c r="DD28">
        <f t="shared" si="24"/>
        <v>1</v>
      </c>
      <c r="DE28">
        <f t="shared" si="25"/>
        <v>12</v>
      </c>
      <c r="DF28">
        <f t="shared" si="55"/>
        <v>2</v>
      </c>
      <c r="DG28">
        <f t="shared" si="26"/>
        <v>6</v>
      </c>
      <c r="DH28">
        <f t="shared" si="27"/>
        <v>2</v>
      </c>
      <c r="DI28">
        <f t="shared" si="28"/>
        <v>12</v>
      </c>
      <c r="DJ28">
        <f t="shared" si="56"/>
        <v>2</v>
      </c>
      <c r="DK28">
        <f t="shared" si="29"/>
        <v>12</v>
      </c>
      <c r="DL28">
        <f t="shared" si="30"/>
        <v>2</v>
      </c>
      <c r="DM28">
        <f t="shared" si="31"/>
        <v>6</v>
      </c>
      <c r="DN28">
        <f t="shared" si="57"/>
        <v>2</v>
      </c>
      <c r="DO28">
        <f t="shared" si="32"/>
        <v>7</v>
      </c>
      <c r="DP28">
        <f t="shared" si="33"/>
        <v>3</v>
      </c>
      <c r="DQ28">
        <f t="shared" si="34"/>
        <v>9</v>
      </c>
      <c r="DR28">
        <f t="shared" si="58"/>
        <v>3</v>
      </c>
      <c r="DS28">
        <f t="shared" si="35"/>
        <v>8</v>
      </c>
      <c r="DT28">
        <f t="shared" si="36"/>
        <v>5</v>
      </c>
      <c r="DU28">
        <f t="shared" si="37"/>
        <v>6</v>
      </c>
      <c r="DV28">
        <f t="shared" si="59"/>
        <v>3</v>
      </c>
      <c r="DW28">
        <f t="shared" si="38"/>
        <v>18</v>
      </c>
      <c r="DX28">
        <f t="shared" si="39"/>
        <v>1</v>
      </c>
      <c r="DY28">
        <f t="shared" si="40"/>
        <v>1</v>
      </c>
      <c r="DZ28">
        <f t="shared" si="60"/>
        <v>2</v>
      </c>
      <c r="EA28">
        <f t="shared" si="41"/>
        <v>6</v>
      </c>
      <c r="EB28">
        <f t="shared" si="42"/>
        <v>5</v>
      </c>
      <c r="EC28">
        <f t="shared" si="43"/>
        <v>8</v>
      </c>
      <c r="ED28">
        <f t="shared" si="61"/>
        <v>3</v>
      </c>
      <c r="EE28">
        <f t="shared" si="44"/>
        <v>10</v>
      </c>
      <c r="EF28">
        <f t="shared" si="45"/>
        <v>6</v>
      </c>
      <c r="EG28">
        <f t="shared" si="46"/>
        <v>3</v>
      </c>
      <c r="EH28">
        <f t="shared" si="62"/>
        <v>3</v>
      </c>
      <c r="EI28">
        <f t="shared" si="63"/>
        <v>8</v>
      </c>
      <c r="EJ28">
        <f t="shared" si="64"/>
        <v>7</v>
      </c>
      <c r="EK28">
        <f t="shared" si="65"/>
        <v>4</v>
      </c>
      <c r="EL28">
        <f t="shared" si="66"/>
        <v>3</v>
      </c>
      <c r="EM28">
        <f t="shared" si="67"/>
        <v>7</v>
      </c>
      <c r="EN28">
        <f t="shared" si="68"/>
        <v>3</v>
      </c>
      <c r="EO28">
        <f t="shared" si="69"/>
        <v>6</v>
      </c>
      <c r="EP28">
        <f t="shared" si="70"/>
        <v>6</v>
      </c>
      <c r="EQ28">
        <f t="shared" si="71"/>
        <v>9</v>
      </c>
      <c r="ER28">
        <f t="shared" si="72"/>
        <v>4</v>
      </c>
      <c r="ES28">
        <f t="shared" si="73"/>
        <v>5</v>
      </c>
      <c r="ET28">
        <f t="shared" si="74"/>
        <v>4</v>
      </c>
      <c r="EV28" s="25">
        <f t="shared" si="75"/>
        <v>9.1363636363636331</v>
      </c>
      <c r="EW28" s="25">
        <f t="shared" si="76"/>
        <v>0.50757575757575735</v>
      </c>
    </row>
    <row r="29" spans="2:153" ht="51.75" thickBot="1" x14ac:dyDescent="0.3">
      <c r="B29" s="21" t="s">
        <v>77</v>
      </c>
      <c r="D29" s="22">
        <v>25</v>
      </c>
      <c r="E29" s="31">
        <v>0.5</v>
      </c>
      <c r="F29" s="31"/>
      <c r="G29" s="24">
        <v>1</v>
      </c>
      <c r="H29" s="31">
        <v>1</v>
      </c>
      <c r="I29" s="31">
        <v>0.5</v>
      </c>
      <c r="J29" s="31">
        <v>1</v>
      </c>
      <c r="K29" s="31">
        <v>0.5</v>
      </c>
      <c r="L29" s="31">
        <v>1</v>
      </c>
      <c r="M29" s="23">
        <v>0.5</v>
      </c>
      <c r="N29" s="31"/>
      <c r="O29" s="31">
        <v>0.5</v>
      </c>
      <c r="P29" s="31">
        <v>1</v>
      </c>
      <c r="Q29" s="31">
        <v>1</v>
      </c>
      <c r="R29" s="31">
        <v>0</v>
      </c>
      <c r="S29" s="31">
        <v>1</v>
      </c>
      <c r="T29" s="31">
        <v>1</v>
      </c>
      <c r="U29" s="23">
        <v>1</v>
      </c>
      <c r="V29" s="31">
        <v>1</v>
      </c>
      <c r="W29" s="32">
        <v>1</v>
      </c>
      <c r="X29" s="31">
        <v>0.5</v>
      </c>
      <c r="Y29" s="31">
        <v>1</v>
      </c>
      <c r="Z29" s="31">
        <v>1</v>
      </c>
      <c r="AA29" s="32">
        <v>1</v>
      </c>
      <c r="AB29" s="32"/>
      <c r="AC29" s="24">
        <v>1</v>
      </c>
      <c r="AD29" s="32">
        <v>1</v>
      </c>
      <c r="AE29" s="32">
        <v>0.5</v>
      </c>
      <c r="AF29" s="32">
        <v>1</v>
      </c>
      <c r="AG29" s="32">
        <v>0.5</v>
      </c>
      <c r="AH29" s="32">
        <v>1</v>
      </c>
      <c r="AI29" s="24">
        <v>0.5</v>
      </c>
      <c r="AJ29" s="32"/>
      <c r="AK29" s="32">
        <v>0.5</v>
      </c>
      <c r="AL29" s="32">
        <v>1</v>
      </c>
      <c r="AM29" s="32">
        <v>1</v>
      </c>
      <c r="AN29" s="31">
        <v>0</v>
      </c>
      <c r="AO29" s="32">
        <v>1</v>
      </c>
      <c r="AP29" s="32">
        <v>1</v>
      </c>
      <c r="AQ29" s="23">
        <v>1</v>
      </c>
      <c r="AR29" s="29">
        <v>0.5</v>
      </c>
      <c r="AS29" s="32">
        <v>1</v>
      </c>
      <c r="AT29" s="32">
        <v>0.5</v>
      </c>
      <c r="AU29" s="29">
        <v>1</v>
      </c>
      <c r="AV29" s="29">
        <v>1</v>
      </c>
      <c r="AW29" s="32">
        <v>0.5</v>
      </c>
      <c r="AX29" s="32"/>
      <c r="AY29" s="24">
        <v>1</v>
      </c>
      <c r="AZ29" s="32">
        <v>1</v>
      </c>
      <c r="BA29" s="32">
        <v>0.5</v>
      </c>
      <c r="BB29" s="32">
        <v>1</v>
      </c>
      <c r="BC29" s="32">
        <v>1</v>
      </c>
      <c r="BD29" s="32">
        <v>1</v>
      </c>
      <c r="BE29" s="24">
        <v>1</v>
      </c>
      <c r="BF29" s="32"/>
      <c r="BG29" s="32">
        <v>0.5</v>
      </c>
      <c r="BH29" s="32">
        <v>1</v>
      </c>
      <c r="BI29" s="32">
        <v>1</v>
      </c>
      <c r="BJ29" s="24">
        <v>0.5</v>
      </c>
      <c r="BK29" s="32">
        <v>1</v>
      </c>
      <c r="BL29" s="32">
        <v>1</v>
      </c>
      <c r="BM29" s="23">
        <v>1</v>
      </c>
      <c r="BN29" s="29">
        <v>0.5</v>
      </c>
      <c r="BO29" s="32">
        <v>1</v>
      </c>
      <c r="BP29" s="32">
        <v>1</v>
      </c>
      <c r="BQ29" s="29">
        <v>1</v>
      </c>
      <c r="BR29" s="29">
        <v>1</v>
      </c>
      <c r="BT29">
        <f t="shared" si="0"/>
        <v>60</v>
      </c>
      <c r="BU29">
        <f t="shared" si="1"/>
        <v>49.5</v>
      </c>
      <c r="BV29" s="25">
        <f t="shared" si="47"/>
        <v>0.82499999999999996</v>
      </c>
      <c r="CA29">
        <f t="shared" si="2"/>
        <v>13</v>
      </c>
      <c r="CB29">
        <f t="shared" si="3"/>
        <v>1</v>
      </c>
      <c r="CC29">
        <f t="shared" si="4"/>
        <v>6</v>
      </c>
      <c r="CD29">
        <f t="shared" si="48"/>
        <v>2</v>
      </c>
      <c r="CE29">
        <f t="shared" si="5"/>
        <v>13</v>
      </c>
      <c r="CF29">
        <f t="shared" si="6"/>
        <v>1</v>
      </c>
      <c r="CG29">
        <f t="shared" si="7"/>
        <v>6</v>
      </c>
      <c r="CH29">
        <f t="shared" si="49"/>
        <v>2</v>
      </c>
      <c r="CI29">
        <f t="shared" si="8"/>
        <v>15</v>
      </c>
      <c r="CJ29">
        <f t="shared" si="9"/>
        <v>0</v>
      </c>
      <c r="CK29">
        <f t="shared" si="10"/>
        <v>5</v>
      </c>
      <c r="CL29">
        <f t="shared" si="50"/>
        <v>2</v>
      </c>
      <c r="CM29">
        <f t="shared" si="11"/>
        <v>11</v>
      </c>
      <c r="CN29">
        <f t="shared" si="12"/>
        <v>0</v>
      </c>
      <c r="CO29">
        <f t="shared" si="13"/>
        <v>8</v>
      </c>
      <c r="CP29">
        <f t="shared" si="51"/>
        <v>3</v>
      </c>
      <c r="CQ29">
        <f t="shared" si="14"/>
        <v>11</v>
      </c>
      <c r="CR29">
        <f t="shared" si="15"/>
        <v>0</v>
      </c>
      <c r="CS29">
        <f t="shared" si="16"/>
        <v>9</v>
      </c>
      <c r="CT29">
        <f t="shared" si="52"/>
        <v>2</v>
      </c>
      <c r="CU29">
        <f t="shared" si="17"/>
        <v>7</v>
      </c>
      <c r="CV29">
        <f t="shared" si="18"/>
        <v>5</v>
      </c>
      <c r="CW29">
        <f t="shared" si="19"/>
        <v>6</v>
      </c>
      <c r="CX29">
        <f t="shared" si="53"/>
        <v>4</v>
      </c>
      <c r="CY29">
        <f t="shared" si="20"/>
        <v>11</v>
      </c>
      <c r="CZ29">
        <f t="shared" si="21"/>
        <v>2</v>
      </c>
      <c r="DA29">
        <f t="shared" si="22"/>
        <v>8</v>
      </c>
      <c r="DB29">
        <f t="shared" si="54"/>
        <v>1</v>
      </c>
      <c r="DC29">
        <f t="shared" si="23"/>
        <v>9</v>
      </c>
      <c r="DD29">
        <f t="shared" si="24"/>
        <v>0</v>
      </c>
      <c r="DE29">
        <f t="shared" si="25"/>
        <v>12</v>
      </c>
      <c r="DF29">
        <f t="shared" si="55"/>
        <v>1</v>
      </c>
      <c r="DG29">
        <f t="shared" si="26"/>
        <v>8</v>
      </c>
      <c r="DH29">
        <f t="shared" si="27"/>
        <v>1</v>
      </c>
      <c r="DI29">
        <f t="shared" si="28"/>
        <v>12</v>
      </c>
      <c r="DJ29">
        <f t="shared" si="56"/>
        <v>1</v>
      </c>
      <c r="DK29">
        <f t="shared" si="29"/>
        <v>11</v>
      </c>
      <c r="DL29">
        <f t="shared" si="30"/>
        <v>3</v>
      </c>
      <c r="DM29">
        <f t="shared" si="31"/>
        <v>6</v>
      </c>
      <c r="DN29">
        <f t="shared" si="57"/>
        <v>2</v>
      </c>
      <c r="DO29">
        <f t="shared" si="32"/>
        <v>6</v>
      </c>
      <c r="DP29">
        <f t="shared" si="33"/>
        <v>5</v>
      </c>
      <c r="DQ29">
        <f t="shared" si="34"/>
        <v>8</v>
      </c>
      <c r="DR29">
        <f t="shared" si="58"/>
        <v>3</v>
      </c>
      <c r="DS29">
        <f t="shared" si="35"/>
        <v>10</v>
      </c>
      <c r="DT29">
        <f t="shared" si="36"/>
        <v>4</v>
      </c>
      <c r="DU29">
        <f t="shared" si="37"/>
        <v>5</v>
      </c>
      <c r="DV29">
        <f t="shared" si="59"/>
        <v>3</v>
      </c>
      <c r="DW29">
        <f t="shared" si="38"/>
        <v>20</v>
      </c>
      <c r="DX29">
        <f t="shared" si="39"/>
        <v>0</v>
      </c>
      <c r="DY29">
        <f t="shared" si="40"/>
        <v>1</v>
      </c>
      <c r="DZ29">
        <f t="shared" si="60"/>
        <v>1</v>
      </c>
      <c r="EA29">
        <f t="shared" si="41"/>
        <v>11</v>
      </c>
      <c r="EB29">
        <f t="shared" si="42"/>
        <v>2</v>
      </c>
      <c r="EC29">
        <f t="shared" si="43"/>
        <v>7</v>
      </c>
      <c r="ED29">
        <f t="shared" si="61"/>
        <v>2</v>
      </c>
      <c r="EE29">
        <f t="shared" si="44"/>
        <v>19</v>
      </c>
      <c r="EF29">
        <f t="shared" si="45"/>
        <v>0</v>
      </c>
      <c r="EG29">
        <f t="shared" si="46"/>
        <v>2</v>
      </c>
      <c r="EH29">
        <f t="shared" si="62"/>
        <v>1</v>
      </c>
      <c r="EI29">
        <f t="shared" si="63"/>
        <v>14</v>
      </c>
      <c r="EJ29">
        <f t="shared" si="64"/>
        <v>4</v>
      </c>
      <c r="EK29">
        <f t="shared" si="65"/>
        <v>2</v>
      </c>
      <c r="EL29">
        <f t="shared" si="66"/>
        <v>2</v>
      </c>
      <c r="EM29">
        <f t="shared" si="67"/>
        <v>15</v>
      </c>
      <c r="EN29">
        <f t="shared" si="68"/>
        <v>1</v>
      </c>
      <c r="EO29">
        <f t="shared" si="69"/>
        <v>2</v>
      </c>
      <c r="EP29">
        <f t="shared" si="70"/>
        <v>4</v>
      </c>
      <c r="EQ29">
        <f t="shared" si="71"/>
        <v>14</v>
      </c>
      <c r="ER29">
        <f t="shared" si="72"/>
        <v>4</v>
      </c>
      <c r="ES29">
        <f t="shared" si="73"/>
        <v>1</v>
      </c>
      <c r="ET29">
        <f t="shared" si="74"/>
        <v>3</v>
      </c>
      <c r="EV29" s="25">
        <f t="shared" si="75"/>
        <v>10.318181818181818</v>
      </c>
      <c r="EW29" s="25">
        <f t="shared" si="76"/>
        <v>0.5732323232323232</v>
      </c>
    </row>
    <row r="30" spans="2:153" ht="26.25" thickBot="1" x14ac:dyDescent="0.3">
      <c r="B30" s="21" t="s">
        <v>78</v>
      </c>
      <c r="D30" s="22">
        <v>26</v>
      </c>
      <c r="E30" s="31">
        <v>0.5</v>
      </c>
      <c r="F30" s="31">
        <v>1</v>
      </c>
      <c r="G30" s="24">
        <v>1</v>
      </c>
      <c r="H30" s="31">
        <v>1</v>
      </c>
      <c r="I30" s="31">
        <v>1</v>
      </c>
      <c r="J30" s="31">
        <v>0</v>
      </c>
      <c r="K30" s="31">
        <v>1</v>
      </c>
      <c r="L30" s="31">
        <v>1</v>
      </c>
      <c r="M30" s="23">
        <v>0.5</v>
      </c>
      <c r="N30" s="31">
        <v>0</v>
      </c>
      <c r="O30" s="31">
        <v>1</v>
      </c>
      <c r="P30" s="31">
        <v>1</v>
      </c>
      <c r="Q30" s="31">
        <v>1</v>
      </c>
      <c r="R30" s="31">
        <v>1</v>
      </c>
      <c r="S30" s="31">
        <v>1</v>
      </c>
      <c r="T30" s="31">
        <v>1</v>
      </c>
      <c r="U30" s="23">
        <v>1</v>
      </c>
      <c r="V30" s="31">
        <v>1</v>
      </c>
      <c r="W30" s="32">
        <v>1</v>
      </c>
      <c r="X30" s="31">
        <v>0.5</v>
      </c>
      <c r="Y30" s="31">
        <v>0.5</v>
      </c>
      <c r="Z30" s="31">
        <v>0.5</v>
      </c>
      <c r="AA30" s="32">
        <v>1</v>
      </c>
      <c r="AB30" s="32">
        <v>1</v>
      </c>
      <c r="AC30" s="24">
        <v>1</v>
      </c>
      <c r="AD30" s="32">
        <v>1</v>
      </c>
      <c r="AE30" s="32">
        <v>1</v>
      </c>
      <c r="AF30" s="32">
        <v>0.5</v>
      </c>
      <c r="AG30" s="32">
        <v>0.5</v>
      </c>
      <c r="AH30" s="32">
        <v>0.5</v>
      </c>
      <c r="AI30" s="24">
        <v>0.5</v>
      </c>
      <c r="AJ30" s="32">
        <v>0</v>
      </c>
      <c r="AK30" s="32">
        <v>0.5</v>
      </c>
      <c r="AL30" s="32">
        <v>1</v>
      </c>
      <c r="AM30" s="32">
        <v>0.5</v>
      </c>
      <c r="AN30" s="31">
        <v>1</v>
      </c>
      <c r="AO30" s="32">
        <v>1</v>
      </c>
      <c r="AP30" s="32">
        <v>1</v>
      </c>
      <c r="AQ30" s="23">
        <v>1</v>
      </c>
      <c r="AR30" s="29">
        <v>1</v>
      </c>
      <c r="AS30" s="32">
        <v>1</v>
      </c>
      <c r="AT30" s="32">
        <v>0.5</v>
      </c>
      <c r="AU30" s="29">
        <v>0.5</v>
      </c>
      <c r="AV30" s="29">
        <v>0.5</v>
      </c>
      <c r="AW30" s="32">
        <v>0.5</v>
      </c>
      <c r="AX30" s="32">
        <v>1</v>
      </c>
      <c r="AY30" s="24">
        <v>1</v>
      </c>
      <c r="AZ30" s="32">
        <v>1</v>
      </c>
      <c r="BA30" s="32">
        <v>1</v>
      </c>
      <c r="BB30" s="32">
        <v>1</v>
      </c>
      <c r="BC30" s="32">
        <v>1</v>
      </c>
      <c r="BD30" s="32">
        <v>1</v>
      </c>
      <c r="BE30" s="24">
        <v>0.5</v>
      </c>
      <c r="BF30" s="32">
        <v>0</v>
      </c>
      <c r="BG30" s="32">
        <v>0.5</v>
      </c>
      <c r="BH30" s="32">
        <v>1</v>
      </c>
      <c r="BI30" s="32">
        <v>1</v>
      </c>
      <c r="BJ30" s="24">
        <v>0.5</v>
      </c>
      <c r="BK30" s="32">
        <v>1</v>
      </c>
      <c r="BL30" s="32">
        <v>1</v>
      </c>
      <c r="BM30" s="23">
        <v>1</v>
      </c>
      <c r="BN30" s="29">
        <v>0.5</v>
      </c>
      <c r="BO30" s="32">
        <v>1</v>
      </c>
      <c r="BP30" s="32">
        <v>1</v>
      </c>
      <c r="BQ30" s="29">
        <v>0.5</v>
      </c>
      <c r="BR30" s="29">
        <v>0.5</v>
      </c>
      <c r="BT30">
        <f t="shared" si="0"/>
        <v>66</v>
      </c>
      <c r="BU30">
        <f t="shared" si="1"/>
        <v>51.5</v>
      </c>
      <c r="BV30" s="25">
        <f t="shared" si="47"/>
        <v>0.78030303030303028</v>
      </c>
      <c r="CA30">
        <f t="shared" si="2"/>
        <v>15</v>
      </c>
      <c r="CB30">
        <f t="shared" si="3"/>
        <v>2</v>
      </c>
      <c r="CC30">
        <f t="shared" si="4"/>
        <v>5</v>
      </c>
      <c r="CD30">
        <f t="shared" si="48"/>
        <v>0</v>
      </c>
      <c r="CE30">
        <f t="shared" si="5"/>
        <v>12</v>
      </c>
      <c r="CF30">
        <f t="shared" si="6"/>
        <v>1</v>
      </c>
      <c r="CG30">
        <f t="shared" si="7"/>
        <v>9</v>
      </c>
      <c r="CH30">
        <f t="shared" si="49"/>
        <v>0</v>
      </c>
      <c r="CI30">
        <f t="shared" si="8"/>
        <v>14</v>
      </c>
      <c r="CJ30">
        <f t="shared" si="9"/>
        <v>1</v>
      </c>
      <c r="CK30">
        <f t="shared" si="10"/>
        <v>7</v>
      </c>
      <c r="CL30">
        <f t="shared" si="50"/>
        <v>0</v>
      </c>
      <c r="CM30">
        <f t="shared" si="11"/>
        <v>10</v>
      </c>
      <c r="CN30">
        <f t="shared" si="12"/>
        <v>3</v>
      </c>
      <c r="CO30">
        <f t="shared" si="13"/>
        <v>6</v>
      </c>
      <c r="CP30">
        <f t="shared" si="51"/>
        <v>3</v>
      </c>
      <c r="CQ30">
        <f t="shared" si="14"/>
        <v>8</v>
      </c>
      <c r="CR30">
        <f t="shared" si="15"/>
        <v>3</v>
      </c>
      <c r="CS30">
        <f t="shared" si="16"/>
        <v>9</v>
      </c>
      <c r="CT30">
        <f t="shared" si="52"/>
        <v>2</v>
      </c>
      <c r="CU30">
        <f t="shared" si="17"/>
        <v>6</v>
      </c>
      <c r="CV30">
        <f t="shared" si="18"/>
        <v>3</v>
      </c>
      <c r="CW30">
        <f t="shared" si="19"/>
        <v>7</v>
      </c>
      <c r="CX30">
        <f t="shared" si="53"/>
        <v>6</v>
      </c>
      <c r="CY30">
        <f t="shared" si="20"/>
        <v>6</v>
      </c>
      <c r="CZ30">
        <f t="shared" si="21"/>
        <v>3</v>
      </c>
      <c r="DA30">
        <f t="shared" si="22"/>
        <v>11</v>
      </c>
      <c r="DB30">
        <f t="shared" si="54"/>
        <v>2</v>
      </c>
      <c r="DC30">
        <f t="shared" si="23"/>
        <v>6</v>
      </c>
      <c r="DD30">
        <f t="shared" si="24"/>
        <v>2</v>
      </c>
      <c r="DE30">
        <f t="shared" si="25"/>
        <v>12</v>
      </c>
      <c r="DF30">
        <f t="shared" si="55"/>
        <v>2</v>
      </c>
      <c r="DG30">
        <f t="shared" si="26"/>
        <v>4</v>
      </c>
      <c r="DH30">
        <f t="shared" si="27"/>
        <v>2</v>
      </c>
      <c r="DI30">
        <f t="shared" si="28"/>
        <v>14</v>
      </c>
      <c r="DJ30">
        <f t="shared" si="56"/>
        <v>2</v>
      </c>
      <c r="DK30">
        <f t="shared" si="29"/>
        <v>11</v>
      </c>
      <c r="DL30">
        <f t="shared" si="30"/>
        <v>6</v>
      </c>
      <c r="DM30">
        <f t="shared" si="31"/>
        <v>4</v>
      </c>
      <c r="DN30">
        <f t="shared" si="57"/>
        <v>1</v>
      </c>
      <c r="DO30">
        <f t="shared" si="32"/>
        <v>8</v>
      </c>
      <c r="DP30">
        <f t="shared" si="33"/>
        <v>6</v>
      </c>
      <c r="DQ30">
        <f t="shared" si="34"/>
        <v>6</v>
      </c>
      <c r="DR30">
        <f t="shared" si="58"/>
        <v>2</v>
      </c>
      <c r="DS30">
        <f t="shared" si="35"/>
        <v>6</v>
      </c>
      <c r="DT30">
        <f t="shared" si="36"/>
        <v>7</v>
      </c>
      <c r="DU30">
        <f t="shared" si="37"/>
        <v>7</v>
      </c>
      <c r="DV30">
        <f t="shared" si="59"/>
        <v>2</v>
      </c>
      <c r="DW30">
        <f t="shared" si="38"/>
        <v>15</v>
      </c>
      <c r="DX30">
        <f t="shared" si="39"/>
        <v>4</v>
      </c>
      <c r="DY30">
        <f t="shared" si="40"/>
        <v>3</v>
      </c>
      <c r="DZ30">
        <f t="shared" si="60"/>
        <v>0</v>
      </c>
      <c r="EA30">
        <f t="shared" si="41"/>
        <v>7</v>
      </c>
      <c r="EB30">
        <f t="shared" si="42"/>
        <v>5</v>
      </c>
      <c r="EC30">
        <f t="shared" si="43"/>
        <v>8</v>
      </c>
      <c r="ED30">
        <f t="shared" si="61"/>
        <v>2</v>
      </c>
      <c r="EE30">
        <f t="shared" si="44"/>
        <v>13</v>
      </c>
      <c r="EF30">
        <f t="shared" si="45"/>
        <v>4</v>
      </c>
      <c r="EG30">
        <f t="shared" si="46"/>
        <v>4</v>
      </c>
      <c r="EH30">
        <f t="shared" si="62"/>
        <v>1</v>
      </c>
      <c r="EI30">
        <f t="shared" si="63"/>
        <v>9</v>
      </c>
      <c r="EJ30">
        <f t="shared" si="64"/>
        <v>6</v>
      </c>
      <c r="EK30">
        <f t="shared" si="65"/>
        <v>5</v>
      </c>
      <c r="EL30">
        <f t="shared" si="66"/>
        <v>2</v>
      </c>
      <c r="EM30">
        <f t="shared" si="67"/>
        <v>14</v>
      </c>
      <c r="EN30">
        <f t="shared" si="68"/>
        <v>2</v>
      </c>
      <c r="EO30">
        <f t="shared" si="69"/>
        <v>2</v>
      </c>
      <c r="EP30">
        <f t="shared" si="70"/>
        <v>4</v>
      </c>
      <c r="EQ30">
        <f t="shared" si="71"/>
        <v>14</v>
      </c>
      <c r="ER30">
        <f t="shared" si="72"/>
        <v>4</v>
      </c>
      <c r="ES30">
        <f t="shared" si="73"/>
        <v>2</v>
      </c>
      <c r="ET30">
        <f t="shared" si="74"/>
        <v>2</v>
      </c>
      <c r="EV30" s="25">
        <f t="shared" si="75"/>
        <v>9.2272727272727266</v>
      </c>
      <c r="EW30" s="25">
        <f t="shared" si="76"/>
        <v>0.51262626262626254</v>
      </c>
    </row>
    <row r="31" spans="2:153" ht="26.25" thickBot="1" x14ac:dyDescent="0.3">
      <c r="B31" s="21" t="s">
        <v>79</v>
      </c>
      <c r="D31" s="22">
        <v>27</v>
      </c>
      <c r="E31" s="31">
        <v>0.5</v>
      </c>
      <c r="F31" s="31">
        <v>1</v>
      </c>
      <c r="G31" s="24">
        <v>1</v>
      </c>
      <c r="H31" s="31">
        <v>1</v>
      </c>
      <c r="I31" s="31">
        <v>1</v>
      </c>
      <c r="J31" s="31">
        <v>1</v>
      </c>
      <c r="K31" s="31">
        <v>1</v>
      </c>
      <c r="L31" s="31">
        <v>1</v>
      </c>
      <c r="M31" s="23">
        <v>1</v>
      </c>
      <c r="N31" s="31">
        <v>0</v>
      </c>
      <c r="O31" s="31">
        <v>1</v>
      </c>
      <c r="P31" s="31">
        <v>1</v>
      </c>
      <c r="Q31" s="31">
        <v>1</v>
      </c>
      <c r="R31" s="31">
        <v>1</v>
      </c>
      <c r="S31" s="31">
        <v>1</v>
      </c>
      <c r="T31" s="31">
        <v>1</v>
      </c>
      <c r="U31" s="23">
        <v>1</v>
      </c>
      <c r="V31" s="31">
        <v>1</v>
      </c>
      <c r="W31" s="32">
        <v>1</v>
      </c>
      <c r="X31" s="31">
        <v>1</v>
      </c>
      <c r="Y31" s="31">
        <v>1</v>
      </c>
      <c r="Z31" s="31">
        <v>1</v>
      </c>
      <c r="AA31" s="32">
        <v>0.5</v>
      </c>
      <c r="AB31" s="32">
        <v>1</v>
      </c>
      <c r="AC31" s="24">
        <v>1</v>
      </c>
      <c r="AD31" s="32">
        <v>1</v>
      </c>
      <c r="AE31" s="32">
        <v>1</v>
      </c>
      <c r="AF31" s="32">
        <v>1</v>
      </c>
      <c r="AG31" s="32">
        <v>1</v>
      </c>
      <c r="AH31" s="32">
        <v>1</v>
      </c>
      <c r="AI31" s="24">
        <v>1</v>
      </c>
      <c r="AJ31" s="32">
        <v>0</v>
      </c>
      <c r="AK31" s="32">
        <v>1</v>
      </c>
      <c r="AL31" s="32">
        <v>1</v>
      </c>
      <c r="AM31" s="32">
        <v>1</v>
      </c>
      <c r="AN31" s="31">
        <v>1</v>
      </c>
      <c r="AO31" s="32">
        <v>1</v>
      </c>
      <c r="AP31" s="32">
        <v>1</v>
      </c>
      <c r="AQ31" s="23">
        <v>1</v>
      </c>
      <c r="AR31" s="29">
        <v>0.5</v>
      </c>
      <c r="AS31" s="32">
        <v>1</v>
      </c>
      <c r="AT31" s="32">
        <v>1</v>
      </c>
      <c r="AU31" s="29">
        <v>0.5</v>
      </c>
      <c r="AV31" s="29">
        <v>0.5</v>
      </c>
      <c r="AW31" s="32">
        <v>1</v>
      </c>
      <c r="AX31" s="32">
        <v>1</v>
      </c>
      <c r="AY31" s="24">
        <v>1</v>
      </c>
      <c r="AZ31" s="32">
        <v>1</v>
      </c>
      <c r="BA31" s="32">
        <v>1</v>
      </c>
      <c r="BB31" s="32">
        <v>1</v>
      </c>
      <c r="BC31" s="32">
        <v>1</v>
      </c>
      <c r="BD31" s="32">
        <v>1</v>
      </c>
      <c r="BE31" s="24">
        <v>1</v>
      </c>
      <c r="BF31" s="32">
        <v>0</v>
      </c>
      <c r="BG31" s="32">
        <v>1</v>
      </c>
      <c r="BH31" s="32">
        <v>1</v>
      </c>
      <c r="BI31" s="32">
        <v>1</v>
      </c>
      <c r="BJ31" s="24">
        <v>0.5</v>
      </c>
      <c r="BK31" s="32">
        <v>1</v>
      </c>
      <c r="BL31" s="32">
        <v>1</v>
      </c>
      <c r="BM31" s="23">
        <v>1</v>
      </c>
      <c r="BN31" s="29">
        <v>1</v>
      </c>
      <c r="BO31" s="32">
        <v>1</v>
      </c>
      <c r="BP31" s="32">
        <v>1</v>
      </c>
      <c r="BQ31" s="29">
        <v>0.5</v>
      </c>
      <c r="BR31" s="29">
        <v>0.5</v>
      </c>
      <c r="BT31">
        <f t="shared" si="0"/>
        <v>66</v>
      </c>
      <c r="BU31">
        <f t="shared" si="1"/>
        <v>59</v>
      </c>
      <c r="BV31" s="25">
        <f t="shared" si="47"/>
        <v>0.89393939393939392</v>
      </c>
      <c r="CA31">
        <f t="shared" si="2"/>
        <v>20</v>
      </c>
      <c r="CB31">
        <f t="shared" si="3"/>
        <v>1</v>
      </c>
      <c r="CC31">
        <f t="shared" si="4"/>
        <v>1</v>
      </c>
      <c r="CD31">
        <f t="shared" si="48"/>
        <v>0</v>
      </c>
      <c r="CE31">
        <f t="shared" si="5"/>
        <v>17</v>
      </c>
      <c r="CF31">
        <f t="shared" si="6"/>
        <v>1</v>
      </c>
      <c r="CG31">
        <f t="shared" si="7"/>
        <v>4</v>
      </c>
      <c r="CH31">
        <f t="shared" si="49"/>
        <v>0</v>
      </c>
      <c r="CI31">
        <f t="shared" si="8"/>
        <v>18</v>
      </c>
      <c r="CJ31">
        <f t="shared" si="9"/>
        <v>1</v>
      </c>
      <c r="CK31">
        <f t="shared" si="10"/>
        <v>3</v>
      </c>
      <c r="CL31">
        <f t="shared" si="50"/>
        <v>0</v>
      </c>
      <c r="CM31">
        <f t="shared" si="11"/>
        <v>14</v>
      </c>
      <c r="CN31">
        <f t="shared" si="12"/>
        <v>2</v>
      </c>
      <c r="CO31">
        <f t="shared" si="13"/>
        <v>6</v>
      </c>
      <c r="CP31">
        <f t="shared" si="51"/>
        <v>0</v>
      </c>
      <c r="CQ31">
        <f t="shared" si="14"/>
        <v>16</v>
      </c>
      <c r="CR31">
        <f t="shared" si="15"/>
        <v>1</v>
      </c>
      <c r="CS31">
        <f t="shared" si="16"/>
        <v>5</v>
      </c>
      <c r="CT31">
        <f t="shared" si="52"/>
        <v>0</v>
      </c>
      <c r="CU31">
        <f t="shared" si="17"/>
        <v>9</v>
      </c>
      <c r="CV31">
        <f t="shared" si="18"/>
        <v>4</v>
      </c>
      <c r="CW31">
        <f t="shared" si="19"/>
        <v>7</v>
      </c>
      <c r="CX31">
        <f t="shared" si="53"/>
        <v>2</v>
      </c>
      <c r="CY31">
        <f t="shared" si="20"/>
        <v>15</v>
      </c>
      <c r="CZ31">
        <f t="shared" si="21"/>
        <v>1</v>
      </c>
      <c r="DA31">
        <f t="shared" si="22"/>
        <v>6</v>
      </c>
      <c r="DB31">
        <f t="shared" si="54"/>
        <v>0</v>
      </c>
      <c r="DC31">
        <f t="shared" si="23"/>
        <v>13</v>
      </c>
      <c r="DD31">
        <f t="shared" si="24"/>
        <v>1</v>
      </c>
      <c r="DE31">
        <f t="shared" si="25"/>
        <v>7</v>
      </c>
      <c r="DF31">
        <f t="shared" si="55"/>
        <v>1</v>
      </c>
      <c r="DG31">
        <f t="shared" si="26"/>
        <v>13</v>
      </c>
      <c r="DH31">
        <f t="shared" si="27"/>
        <v>1</v>
      </c>
      <c r="DI31">
        <f t="shared" si="28"/>
        <v>7</v>
      </c>
      <c r="DJ31">
        <f t="shared" si="56"/>
        <v>1</v>
      </c>
      <c r="DK31">
        <f t="shared" si="29"/>
        <v>14</v>
      </c>
      <c r="DL31">
        <f t="shared" si="30"/>
        <v>5</v>
      </c>
      <c r="DM31">
        <f t="shared" si="31"/>
        <v>3</v>
      </c>
      <c r="DN31">
        <f t="shared" si="57"/>
        <v>0</v>
      </c>
      <c r="DO31">
        <f t="shared" si="32"/>
        <v>15</v>
      </c>
      <c r="DP31">
        <f t="shared" si="33"/>
        <v>2</v>
      </c>
      <c r="DQ31">
        <f t="shared" si="34"/>
        <v>5</v>
      </c>
      <c r="DR31">
        <f t="shared" si="58"/>
        <v>0</v>
      </c>
      <c r="DS31">
        <f t="shared" si="35"/>
        <v>15</v>
      </c>
      <c r="DT31">
        <f t="shared" si="36"/>
        <v>1</v>
      </c>
      <c r="DU31">
        <f t="shared" si="37"/>
        <v>6</v>
      </c>
      <c r="DV31">
        <f t="shared" si="59"/>
        <v>0</v>
      </c>
      <c r="DW31">
        <f t="shared" si="38"/>
        <v>17</v>
      </c>
      <c r="DX31">
        <f t="shared" si="39"/>
        <v>3</v>
      </c>
      <c r="DY31">
        <f t="shared" si="40"/>
        <v>2</v>
      </c>
      <c r="DZ31">
        <f t="shared" si="60"/>
        <v>0</v>
      </c>
      <c r="EA31">
        <f t="shared" si="41"/>
        <v>11</v>
      </c>
      <c r="EB31">
        <f t="shared" si="42"/>
        <v>4</v>
      </c>
      <c r="EC31">
        <f t="shared" si="43"/>
        <v>6</v>
      </c>
      <c r="ED31">
        <f t="shared" si="61"/>
        <v>1</v>
      </c>
      <c r="EE31">
        <f t="shared" si="44"/>
        <v>13</v>
      </c>
      <c r="EF31">
        <f t="shared" si="45"/>
        <v>5</v>
      </c>
      <c r="EG31">
        <f t="shared" si="46"/>
        <v>3</v>
      </c>
      <c r="EH31">
        <f t="shared" si="62"/>
        <v>1</v>
      </c>
      <c r="EI31">
        <f t="shared" si="63"/>
        <v>6</v>
      </c>
      <c r="EJ31">
        <f t="shared" si="64"/>
        <v>11</v>
      </c>
      <c r="EK31">
        <f t="shared" si="65"/>
        <v>4</v>
      </c>
      <c r="EL31">
        <f t="shared" si="66"/>
        <v>1</v>
      </c>
      <c r="EM31">
        <f t="shared" si="67"/>
        <v>11</v>
      </c>
      <c r="EN31">
        <f t="shared" si="68"/>
        <v>4</v>
      </c>
      <c r="EO31">
        <f t="shared" si="69"/>
        <v>4</v>
      </c>
      <c r="EP31">
        <f t="shared" si="70"/>
        <v>3</v>
      </c>
      <c r="EQ31">
        <f t="shared" si="71"/>
        <v>10</v>
      </c>
      <c r="ER31">
        <f t="shared" si="72"/>
        <v>8</v>
      </c>
      <c r="ES31">
        <f t="shared" si="73"/>
        <v>3</v>
      </c>
      <c r="ET31">
        <f t="shared" si="74"/>
        <v>1</v>
      </c>
      <c r="EV31" s="25">
        <f t="shared" si="75"/>
        <v>11.454545454545457</v>
      </c>
      <c r="EW31" s="25">
        <f t="shared" si="76"/>
        <v>0.63636363636363646</v>
      </c>
    </row>
    <row r="32" spans="2:153" ht="39" thickBot="1" x14ac:dyDescent="0.3">
      <c r="B32" s="21" t="s">
        <v>80</v>
      </c>
      <c r="D32" s="22">
        <v>28</v>
      </c>
      <c r="E32" s="31">
        <v>0.5</v>
      </c>
      <c r="F32" s="31">
        <v>1</v>
      </c>
      <c r="G32" s="24">
        <v>1</v>
      </c>
      <c r="H32" s="31">
        <v>1</v>
      </c>
      <c r="I32" s="31">
        <v>1</v>
      </c>
      <c r="J32" s="31">
        <v>1</v>
      </c>
      <c r="K32" s="31"/>
      <c r="L32" s="31">
        <v>1</v>
      </c>
      <c r="M32" s="23">
        <v>1</v>
      </c>
      <c r="N32" s="31">
        <v>0</v>
      </c>
      <c r="O32" s="31">
        <v>1</v>
      </c>
      <c r="P32" s="31">
        <v>1</v>
      </c>
      <c r="Q32" s="31">
        <v>1</v>
      </c>
      <c r="R32" s="31">
        <v>1</v>
      </c>
      <c r="S32" s="31">
        <v>1</v>
      </c>
      <c r="T32" s="31">
        <v>1</v>
      </c>
      <c r="U32" s="23">
        <v>1</v>
      </c>
      <c r="V32" s="31">
        <v>1</v>
      </c>
      <c r="W32" s="32">
        <v>1</v>
      </c>
      <c r="X32" s="31">
        <v>1</v>
      </c>
      <c r="Y32" s="31">
        <v>1</v>
      </c>
      <c r="Z32" s="31">
        <v>1</v>
      </c>
      <c r="AA32" s="32">
        <v>0.5</v>
      </c>
      <c r="AB32" s="32">
        <v>0.5</v>
      </c>
      <c r="AC32" s="24">
        <v>1</v>
      </c>
      <c r="AD32" s="32">
        <v>1</v>
      </c>
      <c r="AE32" s="32">
        <v>1</v>
      </c>
      <c r="AF32" s="32">
        <v>1</v>
      </c>
      <c r="AG32" s="32"/>
      <c r="AH32" s="32">
        <v>1</v>
      </c>
      <c r="AI32" s="24">
        <v>1</v>
      </c>
      <c r="AJ32" s="32">
        <v>0</v>
      </c>
      <c r="AK32" s="32">
        <v>1</v>
      </c>
      <c r="AL32" s="32">
        <v>1</v>
      </c>
      <c r="AM32" s="32">
        <v>1</v>
      </c>
      <c r="AN32" s="31">
        <v>1</v>
      </c>
      <c r="AO32" s="32">
        <v>1</v>
      </c>
      <c r="AP32" s="32">
        <v>1</v>
      </c>
      <c r="AQ32" s="23">
        <v>1</v>
      </c>
      <c r="AR32" s="29">
        <v>0.5</v>
      </c>
      <c r="AS32" s="32">
        <v>1</v>
      </c>
      <c r="AT32" s="32">
        <v>1</v>
      </c>
      <c r="AU32" s="29">
        <v>0.5</v>
      </c>
      <c r="AV32" s="29">
        <v>0.5</v>
      </c>
      <c r="AW32" s="32">
        <v>1</v>
      </c>
      <c r="AX32" s="32">
        <v>1</v>
      </c>
      <c r="AY32" s="24">
        <v>1</v>
      </c>
      <c r="AZ32" s="32">
        <v>1</v>
      </c>
      <c r="BA32" s="32">
        <v>1</v>
      </c>
      <c r="BB32" s="32">
        <v>1</v>
      </c>
      <c r="BC32" s="32">
        <v>1</v>
      </c>
      <c r="BD32" s="32">
        <v>1</v>
      </c>
      <c r="BE32" s="24">
        <v>1</v>
      </c>
      <c r="BF32" s="32">
        <v>0</v>
      </c>
      <c r="BG32" s="32">
        <v>1</v>
      </c>
      <c r="BH32" s="32">
        <v>1</v>
      </c>
      <c r="BI32" s="32">
        <v>1</v>
      </c>
      <c r="BJ32" s="24">
        <v>0.5</v>
      </c>
      <c r="BK32" s="32">
        <v>1</v>
      </c>
      <c r="BL32" s="32">
        <v>1</v>
      </c>
      <c r="BM32" s="23">
        <v>1</v>
      </c>
      <c r="BN32" s="29">
        <v>1</v>
      </c>
      <c r="BO32" s="32">
        <v>1</v>
      </c>
      <c r="BP32" s="32">
        <v>1</v>
      </c>
      <c r="BQ32" s="29">
        <v>0.5</v>
      </c>
      <c r="BR32" s="29">
        <v>0.5</v>
      </c>
      <c r="BT32">
        <f t="shared" si="0"/>
        <v>64</v>
      </c>
      <c r="BU32">
        <f t="shared" si="1"/>
        <v>56.5</v>
      </c>
      <c r="BV32" s="25">
        <f t="shared" si="47"/>
        <v>0.8828125</v>
      </c>
      <c r="CA32">
        <f t="shared" si="2"/>
        <v>19</v>
      </c>
      <c r="CB32">
        <f t="shared" si="3"/>
        <v>1</v>
      </c>
      <c r="CC32">
        <f t="shared" si="4"/>
        <v>1</v>
      </c>
      <c r="CD32">
        <f t="shared" si="48"/>
        <v>1</v>
      </c>
      <c r="CE32">
        <f t="shared" si="5"/>
        <v>15</v>
      </c>
      <c r="CF32">
        <f t="shared" si="6"/>
        <v>1</v>
      </c>
      <c r="CG32">
        <f t="shared" si="7"/>
        <v>5</v>
      </c>
      <c r="CH32">
        <f t="shared" si="49"/>
        <v>1</v>
      </c>
      <c r="CI32">
        <f t="shared" si="8"/>
        <v>18</v>
      </c>
      <c r="CJ32">
        <f t="shared" si="9"/>
        <v>1</v>
      </c>
      <c r="CK32">
        <f t="shared" si="10"/>
        <v>3</v>
      </c>
      <c r="CL32">
        <f t="shared" si="50"/>
        <v>0</v>
      </c>
      <c r="CM32">
        <f t="shared" si="11"/>
        <v>12</v>
      </c>
      <c r="CN32">
        <f t="shared" si="12"/>
        <v>2</v>
      </c>
      <c r="CO32">
        <f t="shared" si="13"/>
        <v>6</v>
      </c>
      <c r="CP32">
        <f t="shared" si="51"/>
        <v>2</v>
      </c>
      <c r="CQ32">
        <f t="shared" si="14"/>
        <v>11</v>
      </c>
      <c r="CR32">
        <f t="shared" si="15"/>
        <v>3</v>
      </c>
      <c r="CS32">
        <f t="shared" si="16"/>
        <v>6</v>
      </c>
      <c r="CT32">
        <f t="shared" si="52"/>
        <v>2</v>
      </c>
      <c r="CU32">
        <f t="shared" si="17"/>
        <v>8</v>
      </c>
      <c r="CV32">
        <f t="shared" si="18"/>
        <v>2</v>
      </c>
      <c r="CW32">
        <f t="shared" si="19"/>
        <v>9</v>
      </c>
      <c r="CX32">
        <f t="shared" si="53"/>
        <v>3</v>
      </c>
      <c r="CY32">
        <f t="shared" si="20"/>
        <v>13</v>
      </c>
      <c r="CZ32">
        <f t="shared" si="21"/>
        <v>1</v>
      </c>
      <c r="DA32">
        <f t="shared" si="22"/>
        <v>7</v>
      </c>
      <c r="DB32">
        <f t="shared" si="54"/>
        <v>1</v>
      </c>
      <c r="DC32">
        <f t="shared" si="23"/>
        <v>11</v>
      </c>
      <c r="DD32">
        <f t="shared" si="24"/>
        <v>1</v>
      </c>
      <c r="DE32">
        <f t="shared" si="25"/>
        <v>8</v>
      </c>
      <c r="DF32">
        <f t="shared" si="55"/>
        <v>2</v>
      </c>
      <c r="DG32">
        <f t="shared" si="26"/>
        <v>9</v>
      </c>
      <c r="DH32">
        <f t="shared" si="27"/>
        <v>1</v>
      </c>
      <c r="DI32">
        <f t="shared" si="28"/>
        <v>10</v>
      </c>
      <c r="DJ32">
        <f t="shared" si="56"/>
        <v>2</v>
      </c>
      <c r="DK32">
        <f t="shared" si="29"/>
        <v>11</v>
      </c>
      <c r="DL32">
        <f t="shared" si="30"/>
        <v>6</v>
      </c>
      <c r="DM32">
        <f t="shared" si="31"/>
        <v>5</v>
      </c>
      <c r="DN32">
        <f t="shared" si="57"/>
        <v>0</v>
      </c>
      <c r="DO32">
        <f t="shared" si="32"/>
        <v>13</v>
      </c>
      <c r="DP32">
        <f t="shared" si="33"/>
        <v>3</v>
      </c>
      <c r="DQ32">
        <f t="shared" si="34"/>
        <v>5</v>
      </c>
      <c r="DR32">
        <f t="shared" si="58"/>
        <v>1</v>
      </c>
      <c r="DS32">
        <f t="shared" si="35"/>
        <v>13</v>
      </c>
      <c r="DT32">
        <f t="shared" si="36"/>
        <v>2</v>
      </c>
      <c r="DU32">
        <f t="shared" si="37"/>
        <v>7</v>
      </c>
      <c r="DV32">
        <f t="shared" si="59"/>
        <v>0</v>
      </c>
      <c r="DW32">
        <f t="shared" si="38"/>
        <v>16</v>
      </c>
      <c r="DX32">
        <f t="shared" si="39"/>
        <v>3</v>
      </c>
      <c r="DY32">
        <f t="shared" si="40"/>
        <v>3</v>
      </c>
      <c r="DZ32">
        <f t="shared" si="60"/>
        <v>0</v>
      </c>
      <c r="EA32">
        <f t="shared" si="41"/>
        <v>15</v>
      </c>
      <c r="EB32">
        <f t="shared" si="42"/>
        <v>1</v>
      </c>
      <c r="EC32">
        <f t="shared" si="43"/>
        <v>5</v>
      </c>
      <c r="ED32">
        <f t="shared" si="61"/>
        <v>1</v>
      </c>
      <c r="EE32">
        <f t="shared" si="44"/>
        <v>16</v>
      </c>
      <c r="EF32">
        <f t="shared" si="45"/>
        <v>1</v>
      </c>
      <c r="EG32">
        <f t="shared" si="46"/>
        <v>3</v>
      </c>
      <c r="EH32">
        <f t="shared" si="62"/>
        <v>2</v>
      </c>
      <c r="EI32">
        <f t="shared" si="63"/>
        <v>8</v>
      </c>
      <c r="EJ32">
        <f t="shared" si="64"/>
        <v>9</v>
      </c>
      <c r="EK32">
        <f t="shared" si="65"/>
        <v>4</v>
      </c>
      <c r="EL32">
        <f t="shared" si="66"/>
        <v>1</v>
      </c>
      <c r="EM32">
        <f t="shared" si="67"/>
        <v>12</v>
      </c>
      <c r="EN32">
        <f t="shared" si="68"/>
        <v>4</v>
      </c>
      <c r="EO32">
        <f t="shared" si="69"/>
        <v>4</v>
      </c>
      <c r="EP32">
        <f t="shared" si="70"/>
        <v>2</v>
      </c>
      <c r="EQ32">
        <f t="shared" si="71"/>
        <v>10</v>
      </c>
      <c r="ER32">
        <f t="shared" si="72"/>
        <v>7</v>
      </c>
      <c r="ES32">
        <f t="shared" si="73"/>
        <v>4</v>
      </c>
      <c r="ET32">
        <f t="shared" si="74"/>
        <v>1</v>
      </c>
      <c r="EV32" s="25">
        <f t="shared" si="75"/>
        <v>10.59090909090909</v>
      </c>
      <c r="EW32" s="25">
        <f t="shared" si="76"/>
        <v>0.58838383838383834</v>
      </c>
    </row>
    <row r="33" spans="2:153" ht="64.5" thickBot="1" x14ac:dyDescent="0.3">
      <c r="B33" s="21" t="s">
        <v>81</v>
      </c>
      <c r="D33" s="22">
        <v>29</v>
      </c>
      <c r="E33" s="31">
        <v>1</v>
      </c>
      <c r="F33" s="31"/>
      <c r="G33" s="24">
        <v>1</v>
      </c>
      <c r="H33" s="31">
        <v>1</v>
      </c>
      <c r="I33" s="31"/>
      <c r="J33" s="31">
        <v>1</v>
      </c>
      <c r="K33" s="31">
        <v>0</v>
      </c>
      <c r="L33" s="31">
        <v>1</v>
      </c>
      <c r="M33" s="23">
        <v>0.5</v>
      </c>
      <c r="N33" s="31">
        <v>1</v>
      </c>
      <c r="O33" s="31">
        <v>0</v>
      </c>
      <c r="P33" s="31">
        <v>1</v>
      </c>
      <c r="Q33" s="31">
        <v>1</v>
      </c>
      <c r="R33" s="31">
        <v>0</v>
      </c>
      <c r="S33" s="31">
        <v>1</v>
      </c>
      <c r="T33" s="31">
        <v>1</v>
      </c>
      <c r="U33" s="23">
        <v>1</v>
      </c>
      <c r="V33" s="31">
        <v>1</v>
      </c>
      <c r="W33" s="32">
        <v>1</v>
      </c>
      <c r="X33" s="31">
        <v>1</v>
      </c>
      <c r="Y33" s="31">
        <v>1</v>
      </c>
      <c r="Z33" s="31">
        <v>1</v>
      </c>
      <c r="AA33" s="32">
        <v>1</v>
      </c>
      <c r="AB33" s="32"/>
      <c r="AC33" s="24">
        <v>1</v>
      </c>
      <c r="AD33" s="32">
        <v>1</v>
      </c>
      <c r="AE33" s="32"/>
      <c r="AF33" s="32">
        <v>1</v>
      </c>
      <c r="AG33" s="32">
        <v>0</v>
      </c>
      <c r="AH33" s="32">
        <v>1</v>
      </c>
      <c r="AI33" s="24">
        <v>1</v>
      </c>
      <c r="AJ33" s="32">
        <v>1</v>
      </c>
      <c r="AK33" s="32">
        <v>0.5</v>
      </c>
      <c r="AL33" s="32">
        <v>1</v>
      </c>
      <c r="AM33" s="32">
        <v>1</v>
      </c>
      <c r="AN33" s="31">
        <v>0</v>
      </c>
      <c r="AO33" s="32">
        <v>1</v>
      </c>
      <c r="AP33" s="32">
        <v>1</v>
      </c>
      <c r="AQ33" s="23">
        <v>1</v>
      </c>
      <c r="AR33" s="32">
        <v>0.5</v>
      </c>
      <c r="AS33" s="32">
        <v>1</v>
      </c>
      <c r="AT33" s="32">
        <v>1</v>
      </c>
      <c r="AU33" s="32">
        <v>0.5</v>
      </c>
      <c r="AV33" s="32">
        <v>0.5</v>
      </c>
      <c r="AW33" s="32">
        <v>1</v>
      </c>
      <c r="AX33" s="32">
        <v>1</v>
      </c>
      <c r="AY33" s="24">
        <v>1</v>
      </c>
      <c r="AZ33" s="32">
        <v>1</v>
      </c>
      <c r="BA33" s="32"/>
      <c r="BB33" s="32">
        <v>1</v>
      </c>
      <c r="BC33" s="32">
        <v>1</v>
      </c>
      <c r="BD33" s="32">
        <v>1</v>
      </c>
      <c r="BE33" s="24">
        <v>1</v>
      </c>
      <c r="BF33" s="32">
        <v>1</v>
      </c>
      <c r="BG33" s="32">
        <v>0.5</v>
      </c>
      <c r="BH33" s="32">
        <v>1</v>
      </c>
      <c r="BI33" s="32">
        <v>1</v>
      </c>
      <c r="BJ33" s="24">
        <v>0.5</v>
      </c>
      <c r="BK33" s="32">
        <v>1</v>
      </c>
      <c r="BL33" s="32">
        <v>0</v>
      </c>
      <c r="BM33" s="23">
        <v>1</v>
      </c>
      <c r="BN33" s="32">
        <v>0.5</v>
      </c>
      <c r="BO33" s="32">
        <v>1</v>
      </c>
      <c r="BP33" s="32">
        <v>1</v>
      </c>
      <c r="BQ33" s="32">
        <v>0</v>
      </c>
      <c r="BR33" s="32">
        <v>0</v>
      </c>
      <c r="BT33">
        <f t="shared" si="0"/>
        <v>61</v>
      </c>
      <c r="BU33">
        <f t="shared" si="1"/>
        <v>49</v>
      </c>
      <c r="BV33" s="25">
        <f t="shared" si="47"/>
        <v>0.80327868852459017</v>
      </c>
      <c r="CA33">
        <f t="shared" si="2"/>
        <v>16</v>
      </c>
      <c r="CB33">
        <f t="shared" si="3"/>
        <v>3</v>
      </c>
      <c r="CC33">
        <f t="shared" si="4"/>
        <v>1</v>
      </c>
      <c r="CD33">
        <f t="shared" si="48"/>
        <v>2</v>
      </c>
      <c r="CE33">
        <f t="shared" si="5"/>
        <v>14</v>
      </c>
      <c r="CF33">
        <f t="shared" si="6"/>
        <v>2</v>
      </c>
      <c r="CG33">
        <f t="shared" si="7"/>
        <v>4</v>
      </c>
      <c r="CH33">
        <f t="shared" si="49"/>
        <v>2</v>
      </c>
      <c r="CI33">
        <f t="shared" si="8"/>
        <v>15</v>
      </c>
      <c r="CJ33">
        <f t="shared" si="9"/>
        <v>3</v>
      </c>
      <c r="CK33">
        <f t="shared" si="10"/>
        <v>3</v>
      </c>
      <c r="CL33">
        <f t="shared" si="50"/>
        <v>1</v>
      </c>
      <c r="CM33">
        <f t="shared" si="11"/>
        <v>13</v>
      </c>
      <c r="CN33">
        <f t="shared" si="12"/>
        <v>1</v>
      </c>
      <c r="CO33">
        <f t="shared" si="13"/>
        <v>5</v>
      </c>
      <c r="CP33">
        <f t="shared" si="51"/>
        <v>3</v>
      </c>
      <c r="CQ33">
        <f t="shared" si="14"/>
        <v>8</v>
      </c>
      <c r="CR33">
        <f t="shared" si="15"/>
        <v>1</v>
      </c>
      <c r="CS33">
        <f t="shared" si="16"/>
        <v>10</v>
      </c>
      <c r="CT33">
        <f t="shared" si="52"/>
        <v>3</v>
      </c>
      <c r="CU33">
        <f t="shared" si="17"/>
        <v>7</v>
      </c>
      <c r="CV33">
        <f t="shared" si="18"/>
        <v>1</v>
      </c>
      <c r="CW33">
        <f t="shared" si="19"/>
        <v>8</v>
      </c>
      <c r="CX33">
        <f t="shared" si="53"/>
        <v>6</v>
      </c>
      <c r="CY33">
        <f t="shared" si="20"/>
        <v>7</v>
      </c>
      <c r="CZ33">
        <f t="shared" si="21"/>
        <v>3</v>
      </c>
      <c r="DA33">
        <f t="shared" si="22"/>
        <v>10</v>
      </c>
      <c r="DB33">
        <f t="shared" si="54"/>
        <v>2</v>
      </c>
      <c r="DC33">
        <f t="shared" si="23"/>
        <v>7</v>
      </c>
      <c r="DD33">
        <f t="shared" si="24"/>
        <v>2</v>
      </c>
      <c r="DE33">
        <f t="shared" si="25"/>
        <v>11</v>
      </c>
      <c r="DF33">
        <f t="shared" si="55"/>
        <v>2</v>
      </c>
      <c r="DG33">
        <f t="shared" si="26"/>
        <v>5</v>
      </c>
      <c r="DH33">
        <f t="shared" si="27"/>
        <v>3</v>
      </c>
      <c r="DI33">
        <f t="shared" si="28"/>
        <v>12</v>
      </c>
      <c r="DJ33">
        <f t="shared" si="56"/>
        <v>2</v>
      </c>
      <c r="DK33">
        <f t="shared" si="29"/>
        <v>6</v>
      </c>
      <c r="DL33">
        <f t="shared" si="30"/>
        <v>6</v>
      </c>
      <c r="DM33">
        <f t="shared" si="31"/>
        <v>9</v>
      </c>
      <c r="DN33">
        <f t="shared" si="57"/>
        <v>1</v>
      </c>
      <c r="DO33">
        <f t="shared" si="32"/>
        <v>8</v>
      </c>
      <c r="DP33">
        <f t="shared" si="33"/>
        <v>3</v>
      </c>
      <c r="DQ33">
        <f t="shared" si="34"/>
        <v>9</v>
      </c>
      <c r="DR33">
        <f t="shared" si="58"/>
        <v>2</v>
      </c>
      <c r="DS33">
        <f t="shared" si="35"/>
        <v>11</v>
      </c>
      <c r="DT33">
        <f t="shared" si="36"/>
        <v>3</v>
      </c>
      <c r="DU33">
        <f t="shared" si="37"/>
        <v>6</v>
      </c>
      <c r="DV33">
        <f t="shared" si="59"/>
        <v>2</v>
      </c>
      <c r="DW33">
        <f t="shared" si="38"/>
        <v>10</v>
      </c>
      <c r="DX33">
        <f t="shared" si="39"/>
        <v>7</v>
      </c>
      <c r="DY33">
        <f t="shared" si="40"/>
        <v>4</v>
      </c>
      <c r="DZ33">
        <f t="shared" si="60"/>
        <v>1</v>
      </c>
      <c r="EA33">
        <f t="shared" si="41"/>
        <v>15</v>
      </c>
      <c r="EB33">
        <f t="shared" si="42"/>
        <v>3</v>
      </c>
      <c r="EC33">
        <f t="shared" si="43"/>
        <v>3</v>
      </c>
      <c r="ED33">
        <f t="shared" si="61"/>
        <v>1</v>
      </c>
      <c r="EE33">
        <f t="shared" si="44"/>
        <v>14</v>
      </c>
      <c r="EF33">
        <f t="shared" si="45"/>
        <v>5</v>
      </c>
      <c r="EG33">
        <f t="shared" si="46"/>
        <v>1</v>
      </c>
      <c r="EH33">
        <f t="shared" si="62"/>
        <v>2</v>
      </c>
      <c r="EI33">
        <f t="shared" si="63"/>
        <v>7</v>
      </c>
      <c r="EJ33">
        <f t="shared" si="64"/>
        <v>11</v>
      </c>
      <c r="EK33">
        <f t="shared" si="65"/>
        <v>2</v>
      </c>
      <c r="EL33">
        <f t="shared" si="66"/>
        <v>2</v>
      </c>
      <c r="EM33">
        <f t="shared" si="67"/>
        <v>11</v>
      </c>
      <c r="EN33">
        <f t="shared" si="68"/>
        <v>3</v>
      </c>
      <c r="EO33">
        <f t="shared" si="69"/>
        <v>5</v>
      </c>
      <c r="EP33">
        <f t="shared" si="70"/>
        <v>3</v>
      </c>
      <c r="EQ33">
        <f t="shared" si="71"/>
        <v>12</v>
      </c>
      <c r="ER33">
        <f t="shared" si="72"/>
        <v>5</v>
      </c>
      <c r="ES33">
        <f t="shared" si="73"/>
        <v>4</v>
      </c>
      <c r="ET33">
        <f t="shared" si="74"/>
        <v>1</v>
      </c>
      <c r="EV33" s="25">
        <f t="shared" si="75"/>
        <v>9.5909090909090899</v>
      </c>
      <c r="EW33" s="25">
        <f t="shared" si="76"/>
        <v>0.53282828282828276</v>
      </c>
    </row>
    <row r="34" spans="2:153" ht="26.25" thickBot="1" x14ac:dyDescent="0.3">
      <c r="B34" s="21" t="s">
        <v>82</v>
      </c>
      <c r="D34" s="22">
        <v>30</v>
      </c>
      <c r="E34" s="31">
        <v>1</v>
      </c>
      <c r="F34" s="31"/>
      <c r="G34" s="24">
        <v>1</v>
      </c>
      <c r="H34" s="31">
        <v>1</v>
      </c>
      <c r="I34" s="31"/>
      <c r="J34" s="31">
        <v>0.5</v>
      </c>
      <c r="K34" s="31">
        <v>0</v>
      </c>
      <c r="L34" s="31">
        <v>1</v>
      </c>
      <c r="M34" s="23">
        <v>1</v>
      </c>
      <c r="N34" s="31">
        <v>1</v>
      </c>
      <c r="O34" s="31">
        <v>0</v>
      </c>
      <c r="P34" s="31">
        <v>1</v>
      </c>
      <c r="Q34" s="31">
        <v>1</v>
      </c>
      <c r="R34" s="31">
        <v>1</v>
      </c>
      <c r="S34" s="31">
        <v>1</v>
      </c>
      <c r="T34" s="31">
        <v>1</v>
      </c>
      <c r="U34" s="23">
        <v>1</v>
      </c>
      <c r="V34" s="31">
        <v>0.5</v>
      </c>
      <c r="W34" s="32">
        <v>1</v>
      </c>
      <c r="X34" s="31">
        <v>1</v>
      </c>
      <c r="Y34" s="31">
        <v>1</v>
      </c>
      <c r="Z34" s="31">
        <v>1</v>
      </c>
      <c r="AA34" s="32">
        <v>1</v>
      </c>
      <c r="AB34" s="32"/>
      <c r="AC34" s="24">
        <v>1</v>
      </c>
      <c r="AD34" s="32">
        <v>1</v>
      </c>
      <c r="AE34" s="32"/>
      <c r="AF34" s="32">
        <v>0.5</v>
      </c>
      <c r="AG34" s="32">
        <v>0</v>
      </c>
      <c r="AH34" s="32">
        <v>1</v>
      </c>
      <c r="AI34" s="24">
        <v>1</v>
      </c>
      <c r="AJ34" s="32">
        <v>0.5</v>
      </c>
      <c r="AK34" s="32">
        <v>0.5</v>
      </c>
      <c r="AL34" s="32">
        <v>0.5</v>
      </c>
      <c r="AM34" s="32">
        <v>1</v>
      </c>
      <c r="AN34" s="31">
        <v>1</v>
      </c>
      <c r="AO34" s="32">
        <v>1</v>
      </c>
      <c r="AP34" s="32">
        <v>1</v>
      </c>
      <c r="AQ34" s="23">
        <v>1</v>
      </c>
      <c r="AR34" s="32">
        <v>0</v>
      </c>
      <c r="AS34" s="32">
        <v>1</v>
      </c>
      <c r="AT34" s="32">
        <v>1</v>
      </c>
      <c r="AU34" s="32">
        <v>0.5</v>
      </c>
      <c r="AV34" s="32">
        <v>0.5</v>
      </c>
      <c r="AW34" s="32">
        <v>1</v>
      </c>
      <c r="AX34" s="32">
        <v>1</v>
      </c>
      <c r="AY34" s="24">
        <v>1</v>
      </c>
      <c r="AZ34" s="32">
        <v>1</v>
      </c>
      <c r="BA34" s="32"/>
      <c r="BB34" s="32">
        <v>1</v>
      </c>
      <c r="BC34" s="32">
        <v>1</v>
      </c>
      <c r="BD34" s="32">
        <v>1</v>
      </c>
      <c r="BE34" s="24">
        <v>1</v>
      </c>
      <c r="BF34" s="32">
        <v>1</v>
      </c>
      <c r="BG34" s="32">
        <v>0.5</v>
      </c>
      <c r="BH34" s="32">
        <v>0.5</v>
      </c>
      <c r="BI34" s="32">
        <v>1</v>
      </c>
      <c r="BJ34" s="24">
        <v>0.5</v>
      </c>
      <c r="BK34" s="32">
        <v>1</v>
      </c>
      <c r="BL34" s="32">
        <v>0</v>
      </c>
      <c r="BM34" s="23">
        <v>1</v>
      </c>
      <c r="BN34" s="32">
        <v>0.5</v>
      </c>
      <c r="BO34" s="32">
        <v>0</v>
      </c>
      <c r="BP34" s="32">
        <v>1</v>
      </c>
      <c r="BQ34" s="32">
        <v>0</v>
      </c>
      <c r="BR34" s="32">
        <v>0</v>
      </c>
      <c r="BT34">
        <f t="shared" si="0"/>
        <v>61</v>
      </c>
      <c r="BU34">
        <f t="shared" si="1"/>
        <v>47</v>
      </c>
      <c r="BV34" s="25">
        <f t="shared" si="47"/>
        <v>0.77049180327868849</v>
      </c>
      <c r="CA34">
        <f t="shared" si="2"/>
        <v>16</v>
      </c>
      <c r="CB34">
        <f t="shared" si="3"/>
        <v>2</v>
      </c>
      <c r="CC34">
        <f t="shared" si="4"/>
        <v>2</v>
      </c>
      <c r="CD34">
        <f t="shared" si="48"/>
        <v>2</v>
      </c>
      <c r="CE34">
        <f t="shared" si="5"/>
        <v>12</v>
      </c>
      <c r="CF34">
        <f t="shared" si="6"/>
        <v>2</v>
      </c>
      <c r="CG34">
        <f t="shared" si="7"/>
        <v>6</v>
      </c>
      <c r="CH34">
        <f t="shared" si="49"/>
        <v>2</v>
      </c>
      <c r="CI34">
        <f t="shared" si="8"/>
        <v>13</v>
      </c>
      <c r="CJ34">
        <f t="shared" si="9"/>
        <v>4</v>
      </c>
      <c r="CK34">
        <f t="shared" si="10"/>
        <v>4</v>
      </c>
      <c r="CL34">
        <f t="shared" si="50"/>
        <v>1</v>
      </c>
      <c r="CM34">
        <f t="shared" si="11"/>
        <v>8</v>
      </c>
      <c r="CN34">
        <f t="shared" si="12"/>
        <v>2</v>
      </c>
      <c r="CO34">
        <f t="shared" si="13"/>
        <v>8</v>
      </c>
      <c r="CP34">
        <f t="shared" si="51"/>
        <v>4</v>
      </c>
      <c r="CQ34">
        <f t="shared" si="14"/>
        <v>7</v>
      </c>
      <c r="CR34">
        <f t="shared" si="15"/>
        <v>1</v>
      </c>
      <c r="CS34">
        <f t="shared" si="16"/>
        <v>11</v>
      </c>
      <c r="CT34">
        <f t="shared" si="52"/>
        <v>3</v>
      </c>
      <c r="CU34">
        <f t="shared" si="17"/>
        <v>5</v>
      </c>
      <c r="CV34">
        <f t="shared" si="18"/>
        <v>3</v>
      </c>
      <c r="CW34">
        <f t="shared" si="19"/>
        <v>7</v>
      </c>
      <c r="CX34">
        <f t="shared" si="53"/>
        <v>7</v>
      </c>
      <c r="CY34">
        <f t="shared" si="20"/>
        <v>7</v>
      </c>
      <c r="CZ34">
        <f t="shared" si="21"/>
        <v>5</v>
      </c>
      <c r="DA34">
        <f t="shared" si="22"/>
        <v>8</v>
      </c>
      <c r="DB34">
        <f t="shared" si="54"/>
        <v>2</v>
      </c>
      <c r="DC34">
        <f t="shared" si="23"/>
        <v>10</v>
      </c>
      <c r="DD34">
        <f t="shared" si="24"/>
        <v>3</v>
      </c>
      <c r="DE34">
        <f t="shared" si="25"/>
        <v>7</v>
      </c>
      <c r="DF34">
        <f t="shared" si="55"/>
        <v>2</v>
      </c>
      <c r="DG34">
        <f t="shared" si="26"/>
        <v>6</v>
      </c>
      <c r="DH34">
        <f t="shared" si="27"/>
        <v>3</v>
      </c>
      <c r="DI34">
        <f t="shared" si="28"/>
        <v>11</v>
      </c>
      <c r="DJ34">
        <f t="shared" si="56"/>
        <v>2</v>
      </c>
      <c r="DK34">
        <f t="shared" si="29"/>
        <v>9</v>
      </c>
      <c r="DL34">
        <f t="shared" si="30"/>
        <v>11</v>
      </c>
      <c r="DM34">
        <f t="shared" si="31"/>
        <v>1</v>
      </c>
      <c r="DN34">
        <f t="shared" si="57"/>
        <v>1</v>
      </c>
      <c r="DO34">
        <f t="shared" si="32"/>
        <v>9</v>
      </c>
      <c r="DP34">
        <f t="shared" si="33"/>
        <v>4</v>
      </c>
      <c r="DQ34">
        <f t="shared" si="34"/>
        <v>7</v>
      </c>
      <c r="DR34">
        <f t="shared" si="58"/>
        <v>2</v>
      </c>
      <c r="DS34">
        <f t="shared" si="35"/>
        <v>12</v>
      </c>
      <c r="DT34">
        <f t="shared" si="36"/>
        <v>4</v>
      </c>
      <c r="DU34">
        <f t="shared" si="37"/>
        <v>4</v>
      </c>
      <c r="DV34">
        <f t="shared" si="59"/>
        <v>2</v>
      </c>
      <c r="DW34">
        <f t="shared" si="38"/>
        <v>8</v>
      </c>
      <c r="DX34">
        <f t="shared" si="39"/>
        <v>11</v>
      </c>
      <c r="DY34">
        <f t="shared" si="40"/>
        <v>2</v>
      </c>
      <c r="DZ34">
        <f t="shared" si="60"/>
        <v>1</v>
      </c>
      <c r="EA34">
        <f t="shared" si="41"/>
        <v>15</v>
      </c>
      <c r="EB34">
        <f t="shared" si="42"/>
        <v>3</v>
      </c>
      <c r="EC34">
        <f t="shared" si="43"/>
        <v>3</v>
      </c>
      <c r="ED34">
        <f t="shared" si="61"/>
        <v>1</v>
      </c>
      <c r="EE34">
        <f t="shared" si="44"/>
        <v>12</v>
      </c>
      <c r="EF34">
        <f t="shared" si="45"/>
        <v>6</v>
      </c>
      <c r="EG34">
        <f t="shared" si="46"/>
        <v>2</v>
      </c>
      <c r="EH34">
        <f t="shared" si="62"/>
        <v>2</v>
      </c>
      <c r="EI34">
        <f t="shared" si="63"/>
        <v>10</v>
      </c>
      <c r="EJ34">
        <f t="shared" si="64"/>
        <v>6</v>
      </c>
      <c r="EK34">
        <f t="shared" si="65"/>
        <v>4</v>
      </c>
      <c r="EL34">
        <f t="shared" si="66"/>
        <v>2</v>
      </c>
      <c r="EM34">
        <f t="shared" si="67"/>
        <v>15</v>
      </c>
      <c r="EN34">
        <f t="shared" si="68"/>
        <v>2</v>
      </c>
      <c r="EO34">
        <f t="shared" si="69"/>
        <v>2</v>
      </c>
      <c r="EP34">
        <f t="shared" si="70"/>
        <v>3</v>
      </c>
      <c r="EQ34">
        <f t="shared" si="71"/>
        <v>11</v>
      </c>
      <c r="ER34">
        <f t="shared" si="72"/>
        <v>6</v>
      </c>
      <c r="ES34">
        <f t="shared" si="73"/>
        <v>4</v>
      </c>
      <c r="ET34">
        <f t="shared" si="74"/>
        <v>1</v>
      </c>
      <c r="EV34" s="25">
        <f t="shared" si="75"/>
        <v>9.1818181818181817</v>
      </c>
      <c r="EW34" s="25">
        <f t="shared" si="76"/>
        <v>0.51010101010101006</v>
      </c>
    </row>
    <row r="35" spans="2:153" ht="39" thickBot="1" x14ac:dyDescent="0.3">
      <c r="B35" s="33" t="s">
        <v>83</v>
      </c>
      <c r="D35" s="22">
        <v>31</v>
      </c>
      <c r="E35" s="31">
        <v>0.5</v>
      </c>
      <c r="F35" s="31"/>
      <c r="G35" s="24">
        <v>1</v>
      </c>
      <c r="H35" s="31">
        <v>1</v>
      </c>
      <c r="I35" s="31"/>
      <c r="J35" s="31">
        <v>1</v>
      </c>
      <c r="K35" s="31"/>
      <c r="L35" s="31">
        <v>1</v>
      </c>
      <c r="M35" s="23">
        <v>0</v>
      </c>
      <c r="N35" s="31"/>
      <c r="O35" s="31">
        <v>1</v>
      </c>
      <c r="P35" s="31">
        <v>1</v>
      </c>
      <c r="Q35" s="31">
        <v>1</v>
      </c>
      <c r="R35" s="31">
        <v>0</v>
      </c>
      <c r="S35" s="31">
        <v>1</v>
      </c>
      <c r="T35" s="31">
        <v>1</v>
      </c>
      <c r="U35" s="23">
        <v>1</v>
      </c>
      <c r="V35" s="31">
        <v>0.5</v>
      </c>
      <c r="W35" s="32">
        <v>1</v>
      </c>
      <c r="X35" s="31">
        <v>1</v>
      </c>
      <c r="Y35" s="31">
        <v>1</v>
      </c>
      <c r="Z35" s="31">
        <v>1</v>
      </c>
      <c r="AA35" s="32">
        <v>0.5</v>
      </c>
      <c r="AB35" s="32"/>
      <c r="AC35" s="24">
        <v>1</v>
      </c>
      <c r="AD35" s="32">
        <v>1</v>
      </c>
      <c r="AE35" s="32"/>
      <c r="AF35" s="32">
        <v>1</v>
      </c>
      <c r="AG35" s="32"/>
      <c r="AH35" s="32">
        <v>1</v>
      </c>
      <c r="AI35" s="24">
        <v>0</v>
      </c>
      <c r="AJ35" s="32"/>
      <c r="AK35" s="32">
        <v>1</v>
      </c>
      <c r="AL35" s="32">
        <v>1</v>
      </c>
      <c r="AM35" s="32">
        <v>1</v>
      </c>
      <c r="AN35" s="31">
        <v>0</v>
      </c>
      <c r="AO35" s="32">
        <v>1</v>
      </c>
      <c r="AP35" s="32">
        <v>1</v>
      </c>
      <c r="AQ35" s="23">
        <v>1</v>
      </c>
      <c r="AR35" s="32">
        <v>0</v>
      </c>
      <c r="AS35" s="32">
        <v>1</v>
      </c>
      <c r="AT35" s="32">
        <v>1</v>
      </c>
      <c r="AU35" s="32">
        <v>0.5</v>
      </c>
      <c r="AV35" s="32">
        <v>0.5</v>
      </c>
      <c r="AW35" s="32">
        <v>1</v>
      </c>
      <c r="AX35" s="32"/>
      <c r="AY35" s="24">
        <v>1</v>
      </c>
      <c r="AZ35" s="32">
        <v>1</v>
      </c>
      <c r="BA35" s="32"/>
      <c r="BB35" s="32">
        <v>1</v>
      </c>
      <c r="BC35" s="32"/>
      <c r="BD35" s="32">
        <v>1</v>
      </c>
      <c r="BE35" s="24">
        <v>1</v>
      </c>
      <c r="BF35" s="32"/>
      <c r="BG35" s="32">
        <v>1</v>
      </c>
      <c r="BH35" s="32">
        <v>1</v>
      </c>
      <c r="BI35" s="32">
        <v>1</v>
      </c>
      <c r="BJ35" s="24">
        <v>0.5</v>
      </c>
      <c r="BK35" s="32">
        <v>1</v>
      </c>
      <c r="BL35" s="32">
        <v>1</v>
      </c>
      <c r="BM35" s="23">
        <v>1</v>
      </c>
      <c r="BN35" s="32">
        <v>0.5</v>
      </c>
      <c r="BO35" s="32">
        <v>0</v>
      </c>
      <c r="BP35" s="32">
        <v>1</v>
      </c>
      <c r="BQ35" s="32">
        <v>0</v>
      </c>
      <c r="BR35" s="32">
        <v>0</v>
      </c>
      <c r="BT35">
        <f t="shared" si="0"/>
        <v>54</v>
      </c>
      <c r="BU35">
        <f t="shared" si="1"/>
        <v>42.5</v>
      </c>
      <c r="BV35" s="25">
        <f t="shared" si="47"/>
        <v>0.78703703703703709</v>
      </c>
      <c r="CA35">
        <f t="shared" si="2"/>
        <v>14</v>
      </c>
      <c r="CB35">
        <f t="shared" si="3"/>
        <v>2</v>
      </c>
      <c r="CC35">
        <f t="shared" si="4"/>
        <v>2</v>
      </c>
      <c r="CD35">
        <f t="shared" si="48"/>
        <v>4</v>
      </c>
      <c r="CE35">
        <f t="shared" si="5"/>
        <v>12</v>
      </c>
      <c r="CF35">
        <f t="shared" si="6"/>
        <v>3</v>
      </c>
      <c r="CG35">
        <f t="shared" si="7"/>
        <v>3</v>
      </c>
      <c r="CH35">
        <f t="shared" si="49"/>
        <v>4</v>
      </c>
      <c r="CI35">
        <f t="shared" si="8"/>
        <v>13</v>
      </c>
      <c r="CJ35">
        <f t="shared" si="9"/>
        <v>3</v>
      </c>
      <c r="CK35">
        <f t="shared" si="10"/>
        <v>2</v>
      </c>
      <c r="CL35">
        <f t="shared" si="50"/>
        <v>4</v>
      </c>
      <c r="CM35">
        <f t="shared" si="11"/>
        <v>10</v>
      </c>
      <c r="CN35">
        <f t="shared" si="12"/>
        <v>2</v>
      </c>
      <c r="CO35">
        <f t="shared" si="13"/>
        <v>5</v>
      </c>
      <c r="CP35">
        <f t="shared" si="51"/>
        <v>5</v>
      </c>
      <c r="CQ35">
        <f t="shared" si="14"/>
        <v>8</v>
      </c>
      <c r="CR35">
        <f t="shared" si="15"/>
        <v>2</v>
      </c>
      <c r="CS35">
        <f t="shared" si="16"/>
        <v>8</v>
      </c>
      <c r="CT35">
        <f t="shared" si="52"/>
        <v>4</v>
      </c>
      <c r="CU35">
        <f t="shared" si="17"/>
        <v>5</v>
      </c>
      <c r="CV35">
        <f t="shared" si="18"/>
        <v>4</v>
      </c>
      <c r="CW35">
        <f t="shared" si="19"/>
        <v>5</v>
      </c>
      <c r="CX35">
        <f t="shared" si="53"/>
        <v>8</v>
      </c>
      <c r="CY35">
        <f t="shared" si="20"/>
        <v>11</v>
      </c>
      <c r="CZ35">
        <f t="shared" si="21"/>
        <v>3</v>
      </c>
      <c r="DA35">
        <f t="shared" si="22"/>
        <v>5</v>
      </c>
      <c r="DB35">
        <f t="shared" si="54"/>
        <v>3</v>
      </c>
      <c r="DC35">
        <f t="shared" si="23"/>
        <v>8</v>
      </c>
      <c r="DD35">
        <f t="shared" si="24"/>
        <v>4</v>
      </c>
      <c r="DE35">
        <f t="shared" si="25"/>
        <v>7</v>
      </c>
      <c r="DF35">
        <f t="shared" si="55"/>
        <v>3</v>
      </c>
      <c r="DG35">
        <f t="shared" si="26"/>
        <v>7</v>
      </c>
      <c r="DH35">
        <f t="shared" si="27"/>
        <v>3</v>
      </c>
      <c r="DI35">
        <f t="shared" si="28"/>
        <v>9</v>
      </c>
      <c r="DJ35">
        <f t="shared" si="56"/>
        <v>3</v>
      </c>
      <c r="DK35">
        <f t="shared" si="29"/>
        <v>6</v>
      </c>
      <c r="DL35">
        <f t="shared" si="30"/>
        <v>9</v>
      </c>
      <c r="DM35">
        <f t="shared" si="31"/>
        <v>5</v>
      </c>
      <c r="DN35">
        <f t="shared" si="57"/>
        <v>2</v>
      </c>
      <c r="DO35">
        <f t="shared" si="32"/>
        <v>6</v>
      </c>
      <c r="DP35">
        <f t="shared" si="33"/>
        <v>4</v>
      </c>
      <c r="DQ35">
        <f t="shared" si="34"/>
        <v>9</v>
      </c>
      <c r="DR35">
        <f t="shared" si="58"/>
        <v>3</v>
      </c>
      <c r="DS35">
        <f t="shared" si="35"/>
        <v>8</v>
      </c>
      <c r="DT35">
        <f t="shared" si="36"/>
        <v>4</v>
      </c>
      <c r="DU35">
        <f t="shared" si="37"/>
        <v>7</v>
      </c>
      <c r="DV35">
        <f t="shared" si="59"/>
        <v>3</v>
      </c>
      <c r="DW35">
        <f t="shared" si="38"/>
        <v>7</v>
      </c>
      <c r="DX35">
        <f t="shared" si="39"/>
        <v>10</v>
      </c>
      <c r="DY35">
        <f t="shared" si="40"/>
        <v>3</v>
      </c>
      <c r="DZ35">
        <f t="shared" si="60"/>
        <v>2</v>
      </c>
      <c r="EA35">
        <f t="shared" si="41"/>
        <v>10</v>
      </c>
      <c r="EB35">
        <f t="shared" si="42"/>
        <v>6</v>
      </c>
      <c r="EC35">
        <f t="shared" si="43"/>
        <v>3</v>
      </c>
      <c r="ED35">
        <f t="shared" si="61"/>
        <v>3</v>
      </c>
      <c r="EE35">
        <f t="shared" si="44"/>
        <v>10</v>
      </c>
      <c r="EF35">
        <f t="shared" si="45"/>
        <v>7</v>
      </c>
      <c r="EG35">
        <f t="shared" si="46"/>
        <v>2</v>
      </c>
      <c r="EH35">
        <f t="shared" si="62"/>
        <v>3</v>
      </c>
      <c r="EI35">
        <f t="shared" si="63"/>
        <v>5</v>
      </c>
      <c r="EJ35">
        <f t="shared" si="64"/>
        <v>11</v>
      </c>
      <c r="EK35">
        <f t="shared" si="65"/>
        <v>2</v>
      </c>
      <c r="EL35">
        <f t="shared" si="66"/>
        <v>4</v>
      </c>
      <c r="EM35">
        <f t="shared" si="67"/>
        <v>10</v>
      </c>
      <c r="EN35">
        <f t="shared" si="68"/>
        <v>5</v>
      </c>
      <c r="EO35">
        <f t="shared" si="69"/>
        <v>2</v>
      </c>
      <c r="EP35">
        <f t="shared" si="70"/>
        <v>5</v>
      </c>
      <c r="EQ35">
        <f t="shared" si="71"/>
        <v>9</v>
      </c>
      <c r="ER35">
        <f t="shared" si="72"/>
        <v>9</v>
      </c>
      <c r="ES35">
        <f t="shared" si="73"/>
        <v>1</v>
      </c>
      <c r="ET35">
        <f t="shared" si="74"/>
        <v>3</v>
      </c>
      <c r="EV35" s="25">
        <f t="shared" si="75"/>
        <v>8.1363636363636349</v>
      </c>
      <c r="EW35" s="25">
        <f t="shared" si="76"/>
        <v>0.45202020202020193</v>
      </c>
    </row>
    <row r="36" spans="2:153" ht="26.25" thickBot="1" x14ac:dyDescent="0.3">
      <c r="B36" s="33" t="s">
        <v>84</v>
      </c>
      <c r="D36" s="22">
        <v>32</v>
      </c>
      <c r="E36" s="31">
        <v>0.5</v>
      </c>
      <c r="F36" s="31"/>
      <c r="G36" s="24">
        <v>1</v>
      </c>
      <c r="H36" s="31">
        <v>1</v>
      </c>
      <c r="I36" s="31"/>
      <c r="J36" s="31">
        <v>1</v>
      </c>
      <c r="K36" s="31">
        <v>1</v>
      </c>
      <c r="L36" s="31">
        <v>1</v>
      </c>
      <c r="M36" s="23">
        <v>0.5</v>
      </c>
      <c r="N36" s="31">
        <v>1</v>
      </c>
      <c r="O36" s="31">
        <v>1</v>
      </c>
      <c r="P36" s="31">
        <v>1</v>
      </c>
      <c r="Q36" s="31">
        <v>1</v>
      </c>
      <c r="R36" s="31">
        <v>1</v>
      </c>
      <c r="S36" s="31">
        <v>1</v>
      </c>
      <c r="T36" s="31">
        <v>1</v>
      </c>
      <c r="U36" s="23">
        <v>1</v>
      </c>
      <c r="V36" s="31">
        <v>0.5</v>
      </c>
      <c r="W36" s="32">
        <v>1</v>
      </c>
      <c r="X36" s="31">
        <v>1</v>
      </c>
      <c r="Y36" s="31">
        <v>1</v>
      </c>
      <c r="Z36" s="31">
        <v>1</v>
      </c>
      <c r="AA36" s="32">
        <v>0.5</v>
      </c>
      <c r="AB36" s="32"/>
      <c r="AC36" s="24">
        <v>1</v>
      </c>
      <c r="AD36" s="32">
        <v>1</v>
      </c>
      <c r="AE36" s="32"/>
      <c r="AF36" s="32">
        <v>1</v>
      </c>
      <c r="AG36" s="32">
        <v>1</v>
      </c>
      <c r="AH36" s="32">
        <v>1</v>
      </c>
      <c r="AI36" s="24">
        <v>1</v>
      </c>
      <c r="AJ36" s="32">
        <v>1</v>
      </c>
      <c r="AK36" s="32">
        <v>1</v>
      </c>
      <c r="AL36" s="32">
        <v>1</v>
      </c>
      <c r="AM36" s="32">
        <v>1</v>
      </c>
      <c r="AN36" s="31">
        <v>1</v>
      </c>
      <c r="AO36" s="32">
        <v>1</v>
      </c>
      <c r="AP36" s="32">
        <v>1</v>
      </c>
      <c r="AQ36" s="23">
        <v>1</v>
      </c>
      <c r="AR36" s="29">
        <v>0.5</v>
      </c>
      <c r="AS36" s="32">
        <v>1</v>
      </c>
      <c r="AT36" s="32">
        <v>1</v>
      </c>
      <c r="AU36" s="29">
        <v>0.5</v>
      </c>
      <c r="AV36" s="29">
        <v>0.5</v>
      </c>
      <c r="AW36" s="32">
        <v>1</v>
      </c>
      <c r="AX36" s="32"/>
      <c r="AY36" s="24">
        <v>1</v>
      </c>
      <c r="AZ36" s="32">
        <v>1</v>
      </c>
      <c r="BA36" s="32"/>
      <c r="BB36" s="32">
        <v>1</v>
      </c>
      <c r="BC36" s="32">
        <v>1</v>
      </c>
      <c r="BD36" s="32">
        <v>1</v>
      </c>
      <c r="BE36" s="24">
        <v>1</v>
      </c>
      <c r="BF36" s="32">
        <v>1</v>
      </c>
      <c r="BG36" s="32">
        <v>1</v>
      </c>
      <c r="BH36" s="32">
        <v>1</v>
      </c>
      <c r="BI36" s="32">
        <v>1</v>
      </c>
      <c r="BJ36" s="24">
        <v>0.5</v>
      </c>
      <c r="BK36" s="32">
        <v>1</v>
      </c>
      <c r="BL36" s="32">
        <v>1</v>
      </c>
      <c r="BM36" s="23">
        <v>1</v>
      </c>
      <c r="BN36" s="29">
        <v>1</v>
      </c>
      <c r="BO36" s="32">
        <v>1</v>
      </c>
      <c r="BP36" s="32">
        <v>1</v>
      </c>
      <c r="BQ36" s="29">
        <v>0.5</v>
      </c>
      <c r="BR36" s="29">
        <v>0.5</v>
      </c>
      <c r="BT36">
        <f t="shared" si="0"/>
        <v>60</v>
      </c>
      <c r="BU36">
        <f t="shared" si="1"/>
        <v>55</v>
      </c>
      <c r="BV36" s="25">
        <f t="shared" si="47"/>
        <v>0.91666666666666663</v>
      </c>
      <c r="CA36">
        <f t="shared" si="2"/>
        <v>17</v>
      </c>
      <c r="CB36">
        <f t="shared" si="3"/>
        <v>0</v>
      </c>
      <c r="CC36">
        <f t="shared" si="4"/>
        <v>3</v>
      </c>
      <c r="CD36">
        <f t="shared" si="48"/>
        <v>2</v>
      </c>
      <c r="CE36">
        <f t="shared" si="5"/>
        <v>16</v>
      </c>
      <c r="CF36">
        <f t="shared" si="6"/>
        <v>0</v>
      </c>
      <c r="CG36">
        <f t="shared" si="7"/>
        <v>4</v>
      </c>
      <c r="CH36">
        <f t="shared" si="49"/>
        <v>2</v>
      </c>
      <c r="CI36">
        <f t="shared" si="8"/>
        <v>17</v>
      </c>
      <c r="CJ36">
        <f t="shared" si="9"/>
        <v>0</v>
      </c>
      <c r="CK36">
        <f t="shared" si="10"/>
        <v>3</v>
      </c>
      <c r="CL36">
        <f t="shared" si="50"/>
        <v>2</v>
      </c>
      <c r="CM36">
        <f t="shared" si="11"/>
        <v>12</v>
      </c>
      <c r="CN36">
        <f t="shared" si="12"/>
        <v>1</v>
      </c>
      <c r="CO36">
        <f t="shared" si="13"/>
        <v>6</v>
      </c>
      <c r="CP36">
        <f t="shared" si="51"/>
        <v>3</v>
      </c>
      <c r="CQ36">
        <f t="shared" si="14"/>
        <v>12</v>
      </c>
      <c r="CR36">
        <f t="shared" si="15"/>
        <v>1</v>
      </c>
      <c r="CS36">
        <f t="shared" si="16"/>
        <v>7</v>
      </c>
      <c r="CT36">
        <f t="shared" si="52"/>
        <v>2</v>
      </c>
      <c r="CU36">
        <f t="shared" si="17"/>
        <v>10</v>
      </c>
      <c r="CV36">
        <f t="shared" si="18"/>
        <v>2</v>
      </c>
      <c r="CW36">
        <f t="shared" si="19"/>
        <v>5</v>
      </c>
      <c r="CX36">
        <f t="shared" si="53"/>
        <v>5</v>
      </c>
      <c r="CY36">
        <f t="shared" si="20"/>
        <v>16</v>
      </c>
      <c r="CZ36">
        <f t="shared" si="21"/>
        <v>3</v>
      </c>
      <c r="DA36">
        <f t="shared" si="22"/>
        <v>1</v>
      </c>
      <c r="DB36">
        <f t="shared" si="54"/>
        <v>2</v>
      </c>
      <c r="DC36">
        <f t="shared" si="23"/>
        <v>11</v>
      </c>
      <c r="DD36">
        <f t="shared" si="24"/>
        <v>2</v>
      </c>
      <c r="DE36">
        <f t="shared" si="25"/>
        <v>7</v>
      </c>
      <c r="DF36">
        <f t="shared" si="55"/>
        <v>2</v>
      </c>
      <c r="DG36">
        <f t="shared" si="26"/>
        <v>13</v>
      </c>
      <c r="DH36">
        <f t="shared" si="27"/>
        <v>1</v>
      </c>
      <c r="DI36">
        <f t="shared" si="28"/>
        <v>6</v>
      </c>
      <c r="DJ36">
        <f t="shared" si="56"/>
        <v>2</v>
      </c>
      <c r="DK36">
        <f t="shared" si="29"/>
        <v>11</v>
      </c>
      <c r="DL36">
        <f t="shared" si="30"/>
        <v>5</v>
      </c>
      <c r="DM36">
        <f t="shared" si="31"/>
        <v>5</v>
      </c>
      <c r="DN36">
        <f t="shared" si="57"/>
        <v>1</v>
      </c>
      <c r="DO36">
        <f t="shared" si="32"/>
        <v>11</v>
      </c>
      <c r="DP36">
        <f t="shared" si="33"/>
        <v>2</v>
      </c>
      <c r="DQ36">
        <f t="shared" si="34"/>
        <v>8</v>
      </c>
      <c r="DR36">
        <f t="shared" si="58"/>
        <v>1</v>
      </c>
      <c r="DS36">
        <f t="shared" si="35"/>
        <v>11</v>
      </c>
      <c r="DT36">
        <f t="shared" si="36"/>
        <v>0</v>
      </c>
      <c r="DU36">
        <f t="shared" si="37"/>
        <v>9</v>
      </c>
      <c r="DV36">
        <f t="shared" si="59"/>
        <v>2</v>
      </c>
      <c r="DW36">
        <f t="shared" si="38"/>
        <v>15</v>
      </c>
      <c r="DX36">
        <f t="shared" si="39"/>
        <v>2</v>
      </c>
      <c r="DY36">
        <f t="shared" si="40"/>
        <v>4</v>
      </c>
      <c r="DZ36">
        <f t="shared" si="60"/>
        <v>1</v>
      </c>
      <c r="EA36">
        <f t="shared" si="41"/>
        <v>12</v>
      </c>
      <c r="EB36">
        <f t="shared" si="42"/>
        <v>1</v>
      </c>
      <c r="EC36">
        <f t="shared" si="43"/>
        <v>7</v>
      </c>
      <c r="ED36">
        <f t="shared" si="61"/>
        <v>2</v>
      </c>
      <c r="EE36">
        <f t="shared" si="44"/>
        <v>13</v>
      </c>
      <c r="EF36">
        <f t="shared" si="45"/>
        <v>3</v>
      </c>
      <c r="EG36">
        <f t="shared" si="46"/>
        <v>4</v>
      </c>
      <c r="EH36">
        <f t="shared" si="62"/>
        <v>2</v>
      </c>
      <c r="EI36">
        <f t="shared" si="63"/>
        <v>18</v>
      </c>
      <c r="EJ36">
        <f t="shared" si="64"/>
        <v>0</v>
      </c>
      <c r="EK36">
        <f t="shared" si="65"/>
        <v>2</v>
      </c>
      <c r="EL36">
        <f t="shared" si="66"/>
        <v>2</v>
      </c>
      <c r="EM36">
        <f t="shared" si="67"/>
        <v>17</v>
      </c>
      <c r="EN36">
        <f t="shared" si="68"/>
        <v>0</v>
      </c>
      <c r="EO36">
        <f t="shared" si="69"/>
        <v>1</v>
      </c>
      <c r="EP36">
        <f t="shared" si="70"/>
        <v>4</v>
      </c>
      <c r="EQ36">
        <f t="shared" si="71"/>
        <v>18</v>
      </c>
      <c r="ER36">
        <f t="shared" si="72"/>
        <v>2</v>
      </c>
      <c r="ES36">
        <f t="shared" si="73"/>
        <v>0</v>
      </c>
      <c r="ET36">
        <f t="shared" si="74"/>
        <v>2</v>
      </c>
      <c r="EV36" s="25">
        <f t="shared" si="75"/>
        <v>11.363636363636365</v>
      </c>
      <c r="EW36" s="25">
        <f t="shared" si="76"/>
        <v>0.63131313131313138</v>
      </c>
    </row>
    <row r="37" spans="2:153" ht="26.25" thickBot="1" x14ac:dyDescent="0.3">
      <c r="B37" s="33" t="s">
        <v>85</v>
      </c>
      <c r="D37" s="22">
        <v>33</v>
      </c>
      <c r="E37" s="31">
        <v>0.5</v>
      </c>
      <c r="F37" s="31"/>
      <c r="G37" s="24">
        <v>1</v>
      </c>
      <c r="H37" s="31">
        <v>1</v>
      </c>
      <c r="I37" s="31"/>
      <c r="J37" s="31">
        <v>1</v>
      </c>
      <c r="K37" s="31">
        <v>1</v>
      </c>
      <c r="L37" s="31">
        <v>1</v>
      </c>
      <c r="M37" s="23">
        <v>1</v>
      </c>
      <c r="N37" s="31">
        <v>1</v>
      </c>
      <c r="O37" s="31">
        <v>1</v>
      </c>
      <c r="P37" s="31">
        <v>1</v>
      </c>
      <c r="Q37" s="31">
        <v>1</v>
      </c>
      <c r="R37" s="31">
        <v>1</v>
      </c>
      <c r="S37" s="31">
        <v>1</v>
      </c>
      <c r="T37" s="31">
        <v>1</v>
      </c>
      <c r="U37" s="23">
        <v>1</v>
      </c>
      <c r="V37" s="31">
        <v>1</v>
      </c>
      <c r="W37" s="32">
        <v>1</v>
      </c>
      <c r="X37" s="31">
        <v>1</v>
      </c>
      <c r="Y37" s="31">
        <v>1</v>
      </c>
      <c r="Z37" s="31">
        <v>1</v>
      </c>
      <c r="AA37" s="32">
        <v>0.5</v>
      </c>
      <c r="AB37" s="32"/>
      <c r="AC37" s="24">
        <v>1</v>
      </c>
      <c r="AD37" s="32">
        <v>1</v>
      </c>
      <c r="AE37" s="32"/>
      <c r="AF37" s="32">
        <v>1</v>
      </c>
      <c r="AG37" s="32">
        <v>1</v>
      </c>
      <c r="AH37" s="32">
        <v>1</v>
      </c>
      <c r="AI37" s="24">
        <v>1</v>
      </c>
      <c r="AJ37" s="32">
        <v>1</v>
      </c>
      <c r="AK37" s="32">
        <v>1</v>
      </c>
      <c r="AL37" s="32">
        <v>1</v>
      </c>
      <c r="AM37" s="32">
        <v>1</v>
      </c>
      <c r="AN37" s="31">
        <v>1</v>
      </c>
      <c r="AO37" s="32">
        <v>1</v>
      </c>
      <c r="AP37" s="32">
        <v>1</v>
      </c>
      <c r="AQ37" s="23">
        <v>1</v>
      </c>
      <c r="AR37" s="29">
        <v>1</v>
      </c>
      <c r="AS37" s="32">
        <v>1</v>
      </c>
      <c r="AT37" s="32">
        <v>1</v>
      </c>
      <c r="AU37" s="29">
        <v>1</v>
      </c>
      <c r="AV37" s="29">
        <v>1</v>
      </c>
      <c r="AW37" s="32">
        <v>1</v>
      </c>
      <c r="AX37" s="32"/>
      <c r="AY37" s="24">
        <v>1</v>
      </c>
      <c r="AZ37" s="32">
        <v>1</v>
      </c>
      <c r="BA37" s="32"/>
      <c r="BB37" s="32">
        <v>1</v>
      </c>
      <c r="BC37" s="32">
        <v>1</v>
      </c>
      <c r="BD37" s="32">
        <v>1</v>
      </c>
      <c r="BE37" s="24">
        <v>1</v>
      </c>
      <c r="BF37" s="32">
        <v>1</v>
      </c>
      <c r="BG37" s="32">
        <v>1</v>
      </c>
      <c r="BH37" s="32">
        <v>1</v>
      </c>
      <c r="BI37" s="32">
        <v>1</v>
      </c>
      <c r="BJ37" s="24">
        <v>0.5</v>
      </c>
      <c r="BK37" s="32">
        <v>1</v>
      </c>
      <c r="BL37" s="32">
        <v>1</v>
      </c>
      <c r="BM37" s="23">
        <v>1</v>
      </c>
      <c r="BN37" s="29">
        <v>1</v>
      </c>
      <c r="BO37" s="32">
        <v>1</v>
      </c>
      <c r="BP37" s="32">
        <v>1</v>
      </c>
      <c r="BQ37" s="29">
        <v>0.5</v>
      </c>
      <c r="BR37" s="29">
        <v>0.5</v>
      </c>
      <c r="BT37">
        <f t="shared" si="0"/>
        <v>60</v>
      </c>
      <c r="BU37">
        <f t="shared" si="1"/>
        <v>57.5</v>
      </c>
      <c r="BV37" s="25">
        <f t="shared" si="47"/>
        <v>0.95833333333333337</v>
      </c>
      <c r="CA37">
        <f t="shared" si="2"/>
        <v>19</v>
      </c>
      <c r="CB37">
        <f t="shared" si="3"/>
        <v>0</v>
      </c>
      <c r="CC37">
        <f t="shared" si="4"/>
        <v>1</v>
      </c>
      <c r="CD37">
        <f t="shared" si="48"/>
        <v>2</v>
      </c>
      <c r="CE37">
        <f t="shared" si="5"/>
        <v>19</v>
      </c>
      <c r="CF37">
        <f t="shared" si="6"/>
        <v>0</v>
      </c>
      <c r="CG37">
        <f t="shared" si="7"/>
        <v>1</v>
      </c>
      <c r="CH37">
        <f t="shared" si="49"/>
        <v>2</v>
      </c>
      <c r="CI37">
        <f t="shared" si="8"/>
        <v>17</v>
      </c>
      <c r="CJ37">
        <f t="shared" si="9"/>
        <v>0</v>
      </c>
      <c r="CK37">
        <f t="shared" si="10"/>
        <v>3</v>
      </c>
      <c r="CL37">
        <f t="shared" si="50"/>
        <v>2</v>
      </c>
      <c r="CM37">
        <f t="shared" si="11"/>
        <v>15</v>
      </c>
      <c r="CN37">
        <f t="shared" si="12"/>
        <v>1</v>
      </c>
      <c r="CO37">
        <f t="shared" si="13"/>
        <v>4</v>
      </c>
      <c r="CP37">
        <f t="shared" si="51"/>
        <v>2</v>
      </c>
      <c r="CQ37">
        <f t="shared" si="14"/>
        <v>14</v>
      </c>
      <c r="CR37">
        <f t="shared" si="15"/>
        <v>0</v>
      </c>
      <c r="CS37">
        <f t="shared" si="16"/>
        <v>7</v>
      </c>
      <c r="CT37">
        <f t="shared" si="52"/>
        <v>1</v>
      </c>
      <c r="CU37">
        <f t="shared" si="17"/>
        <v>14</v>
      </c>
      <c r="CV37">
        <f t="shared" si="18"/>
        <v>2</v>
      </c>
      <c r="CW37">
        <f t="shared" si="19"/>
        <v>5</v>
      </c>
      <c r="CX37">
        <f t="shared" si="53"/>
        <v>1</v>
      </c>
      <c r="CY37">
        <f t="shared" si="20"/>
        <v>19</v>
      </c>
      <c r="CZ37">
        <f t="shared" si="21"/>
        <v>0</v>
      </c>
      <c r="DA37">
        <f t="shared" si="22"/>
        <v>2</v>
      </c>
      <c r="DB37">
        <f t="shared" si="54"/>
        <v>1</v>
      </c>
      <c r="DC37">
        <f t="shared" si="23"/>
        <v>16</v>
      </c>
      <c r="DD37">
        <f t="shared" si="24"/>
        <v>0</v>
      </c>
      <c r="DE37">
        <f t="shared" si="25"/>
        <v>5</v>
      </c>
      <c r="DF37">
        <f t="shared" si="55"/>
        <v>1</v>
      </c>
      <c r="DG37">
        <f t="shared" si="26"/>
        <v>16</v>
      </c>
      <c r="DH37">
        <f t="shared" si="27"/>
        <v>0</v>
      </c>
      <c r="DI37">
        <f t="shared" si="28"/>
        <v>5</v>
      </c>
      <c r="DJ37">
        <f t="shared" si="56"/>
        <v>1</v>
      </c>
      <c r="DK37">
        <f t="shared" si="29"/>
        <v>13</v>
      </c>
      <c r="DL37">
        <f t="shared" si="30"/>
        <v>5</v>
      </c>
      <c r="DM37">
        <f t="shared" si="31"/>
        <v>3</v>
      </c>
      <c r="DN37">
        <f t="shared" si="57"/>
        <v>1</v>
      </c>
      <c r="DO37">
        <f t="shared" si="32"/>
        <v>13</v>
      </c>
      <c r="DP37">
        <f t="shared" si="33"/>
        <v>1</v>
      </c>
      <c r="DQ37">
        <f t="shared" si="34"/>
        <v>7</v>
      </c>
      <c r="DR37">
        <f t="shared" si="58"/>
        <v>1</v>
      </c>
      <c r="DS37">
        <f t="shared" si="35"/>
        <v>14</v>
      </c>
      <c r="DT37">
        <f t="shared" si="36"/>
        <v>1</v>
      </c>
      <c r="DU37">
        <f t="shared" si="37"/>
        <v>6</v>
      </c>
      <c r="DV37">
        <f t="shared" si="59"/>
        <v>1</v>
      </c>
      <c r="DW37">
        <f t="shared" si="38"/>
        <v>17</v>
      </c>
      <c r="DX37">
        <f t="shared" si="39"/>
        <v>2</v>
      </c>
      <c r="DY37">
        <f t="shared" si="40"/>
        <v>2</v>
      </c>
      <c r="DZ37">
        <f t="shared" si="60"/>
        <v>1</v>
      </c>
      <c r="EA37">
        <f t="shared" si="41"/>
        <v>13</v>
      </c>
      <c r="EB37">
        <f t="shared" si="42"/>
        <v>1</v>
      </c>
      <c r="EC37">
        <f t="shared" si="43"/>
        <v>6</v>
      </c>
      <c r="ED37">
        <f t="shared" si="61"/>
        <v>2</v>
      </c>
      <c r="EE37">
        <f t="shared" si="44"/>
        <v>14</v>
      </c>
      <c r="EF37">
        <f t="shared" si="45"/>
        <v>2</v>
      </c>
      <c r="EG37">
        <f t="shared" si="46"/>
        <v>4</v>
      </c>
      <c r="EH37">
        <f t="shared" si="62"/>
        <v>2</v>
      </c>
      <c r="EI37">
        <f t="shared" si="63"/>
        <v>8</v>
      </c>
      <c r="EJ37">
        <f t="shared" si="64"/>
        <v>9</v>
      </c>
      <c r="EK37">
        <f t="shared" si="65"/>
        <v>3</v>
      </c>
      <c r="EL37">
        <f t="shared" si="66"/>
        <v>2</v>
      </c>
      <c r="EM37">
        <f t="shared" si="67"/>
        <v>13</v>
      </c>
      <c r="EN37">
        <f t="shared" si="68"/>
        <v>1</v>
      </c>
      <c r="EO37">
        <f t="shared" si="69"/>
        <v>3</v>
      </c>
      <c r="EP37">
        <f t="shared" si="70"/>
        <v>5</v>
      </c>
      <c r="EQ37">
        <f t="shared" si="71"/>
        <v>11</v>
      </c>
      <c r="ER37">
        <f t="shared" si="72"/>
        <v>7</v>
      </c>
      <c r="ES37">
        <f t="shared" si="73"/>
        <v>1</v>
      </c>
      <c r="ET37">
        <f t="shared" si="74"/>
        <v>3</v>
      </c>
      <c r="EV37" s="25">
        <f t="shared" si="75"/>
        <v>12.090909090909092</v>
      </c>
      <c r="EW37" s="25">
        <f t="shared" si="76"/>
        <v>0.67171717171717171</v>
      </c>
    </row>
    <row r="38" spans="2:153" ht="26.25" thickBot="1" x14ac:dyDescent="0.3">
      <c r="B38" s="33" t="s">
        <v>86</v>
      </c>
      <c r="D38" s="22">
        <v>34</v>
      </c>
      <c r="E38" s="31">
        <v>0.5</v>
      </c>
      <c r="F38" s="31">
        <v>1</v>
      </c>
      <c r="G38" s="24">
        <v>1</v>
      </c>
      <c r="H38" s="31">
        <v>1</v>
      </c>
      <c r="I38" s="31"/>
      <c r="J38" s="31">
        <v>1</v>
      </c>
      <c r="K38" s="31">
        <v>1</v>
      </c>
      <c r="L38" s="31">
        <v>1</v>
      </c>
      <c r="M38" s="23">
        <v>1</v>
      </c>
      <c r="N38" s="31">
        <v>1</v>
      </c>
      <c r="O38" s="31">
        <v>1</v>
      </c>
      <c r="P38" s="31">
        <v>1</v>
      </c>
      <c r="Q38" s="31">
        <v>1</v>
      </c>
      <c r="R38" s="31">
        <v>1</v>
      </c>
      <c r="S38" s="31">
        <v>1</v>
      </c>
      <c r="T38" s="31">
        <v>1</v>
      </c>
      <c r="U38" s="23">
        <v>1</v>
      </c>
      <c r="V38" s="31">
        <v>0</v>
      </c>
      <c r="W38" s="32">
        <v>1</v>
      </c>
      <c r="X38" s="31">
        <v>1</v>
      </c>
      <c r="Y38" s="31">
        <v>1</v>
      </c>
      <c r="Z38" s="31">
        <v>1</v>
      </c>
      <c r="AA38" s="32">
        <v>0.5</v>
      </c>
      <c r="AB38" s="32">
        <v>1</v>
      </c>
      <c r="AC38" s="24">
        <v>1</v>
      </c>
      <c r="AD38" s="32">
        <v>1</v>
      </c>
      <c r="AE38" s="32"/>
      <c r="AF38" s="32">
        <v>1</v>
      </c>
      <c r="AG38" s="32">
        <v>0</v>
      </c>
      <c r="AH38" s="32">
        <v>1</v>
      </c>
      <c r="AI38" s="24">
        <v>0.5</v>
      </c>
      <c r="AJ38" s="32">
        <v>1</v>
      </c>
      <c r="AK38" s="32">
        <v>1</v>
      </c>
      <c r="AL38" s="32">
        <v>1</v>
      </c>
      <c r="AM38" s="32">
        <v>1</v>
      </c>
      <c r="AN38" s="31">
        <v>1</v>
      </c>
      <c r="AO38" s="32">
        <v>1</v>
      </c>
      <c r="AP38" s="32">
        <v>1</v>
      </c>
      <c r="AQ38" s="23">
        <v>1</v>
      </c>
      <c r="AR38" s="29">
        <v>0.5</v>
      </c>
      <c r="AS38" s="32">
        <v>1</v>
      </c>
      <c r="AT38" s="32">
        <v>1</v>
      </c>
      <c r="AU38" s="29">
        <v>1</v>
      </c>
      <c r="AV38" s="29">
        <v>1</v>
      </c>
      <c r="AW38" s="32">
        <v>1</v>
      </c>
      <c r="AX38" s="32">
        <v>1</v>
      </c>
      <c r="AY38" s="24">
        <v>1</v>
      </c>
      <c r="AZ38" s="32">
        <v>1</v>
      </c>
      <c r="BA38" s="32"/>
      <c r="BB38" s="32">
        <v>1</v>
      </c>
      <c r="BC38" s="32">
        <v>1</v>
      </c>
      <c r="BD38" s="32">
        <v>1</v>
      </c>
      <c r="BE38" s="24">
        <v>1</v>
      </c>
      <c r="BF38" s="32">
        <v>1</v>
      </c>
      <c r="BG38" s="32">
        <v>1</v>
      </c>
      <c r="BH38" s="32">
        <v>1</v>
      </c>
      <c r="BI38" s="32">
        <v>1</v>
      </c>
      <c r="BJ38" s="24">
        <v>0.5</v>
      </c>
      <c r="BK38" s="32">
        <v>1</v>
      </c>
      <c r="BL38" s="32">
        <v>1</v>
      </c>
      <c r="BM38" s="23">
        <v>1</v>
      </c>
      <c r="BN38" s="29">
        <v>1</v>
      </c>
      <c r="BO38" s="32">
        <v>1</v>
      </c>
      <c r="BP38" s="32">
        <v>1</v>
      </c>
      <c r="BQ38" s="29">
        <v>1</v>
      </c>
      <c r="BR38" s="29">
        <v>1</v>
      </c>
      <c r="BT38">
        <f t="shared" si="0"/>
        <v>63</v>
      </c>
      <c r="BU38">
        <f t="shared" si="1"/>
        <v>58.5</v>
      </c>
      <c r="BV38" s="25">
        <f t="shared" si="47"/>
        <v>0.9285714285714286</v>
      </c>
      <c r="CA38">
        <f t="shared" si="2"/>
        <v>19</v>
      </c>
      <c r="CB38">
        <f t="shared" si="3"/>
        <v>1</v>
      </c>
      <c r="CC38">
        <f t="shared" si="4"/>
        <v>1</v>
      </c>
      <c r="CD38">
        <f t="shared" si="48"/>
        <v>1</v>
      </c>
      <c r="CE38">
        <f t="shared" si="5"/>
        <v>17</v>
      </c>
      <c r="CF38">
        <f t="shared" si="6"/>
        <v>1</v>
      </c>
      <c r="CG38">
        <f t="shared" si="7"/>
        <v>3</v>
      </c>
      <c r="CH38">
        <f t="shared" si="49"/>
        <v>1</v>
      </c>
      <c r="CI38">
        <f t="shared" si="8"/>
        <v>20</v>
      </c>
      <c r="CJ38">
        <f t="shared" si="9"/>
        <v>0</v>
      </c>
      <c r="CK38">
        <f t="shared" si="10"/>
        <v>1</v>
      </c>
      <c r="CL38">
        <f t="shared" si="50"/>
        <v>1</v>
      </c>
      <c r="CM38">
        <f t="shared" si="11"/>
        <v>13</v>
      </c>
      <c r="CN38">
        <f t="shared" si="12"/>
        <v>1</v>
      </c>
      <c r="CO38">
        <f t="shared" si="13"/>
        <v>5</v>
      </c>
      <c r="CP38">
        <f t="shared" si="51"/>
        <v>3</v>
      </c>
      <c r="CQ38">
        <f t="shared" si="14"/>
        <v>11</v>
      </c>
      <c r="CR38">
        <f t="shared" si="15"/>
        <v>1</v>
      </c>
      <c r="CS38">
        <f t="shared" si="16"/>
        <v>8</v>
      </c>
      <c r="CT38">
        <f t="shared" si="52"/>
        <v>2</v>
      </c>
      <c r="CU38">
        <f t="shared" si="17"/>
        <v>11</v>
      </c>
      <c r="CV38">
        <f t="shared" si="18"/>
        <v>1</v>
      </c>
      <c r="CW38">
        <f t="shared" si="19"/>
        <v>7</v>
      </c>
      <c r="CX38">
        <f t="shared" si="53"/>
        <v>3</v>
      </c>
      <c r="CY38">
        <f t="shared" si="20"/>
        <v>14</v>
      </c>
      <c r="CZ38">
        <f t="shared" si="21"/>
        <v>0</v>
      </c>
      <c r="DA38">
        <f t="shared" si="22"/>
        <v>7</v>
      </c>
      <c r="DB38">
        <f t="shared" si="54"/>
        <v>1</v>
      </c>
      <c r="DC38">
        <f t="shared" si="23"/>
        <v>10</v>
      </c>
      <c r="DD38">
        <f t="shared" si="24"/>
        <v>0</v>
      </c>
      <c r="DE38">
        <f t="shared" si="25"/>
        <v>11</v>
      </c>
      <c r="DF38">
        <f t="shared" si="55"/>
        <v>1</v>
      </c>
      <c r="DG38">
        <f t="shared" si="26"/>
        <v>13</v>
      </c>
      <c r="DH38">
        <f t="shared" si="27"/>
        <v>0</v>
      </c>
      <c r="DI38">
        <f t="shared" si="28"/>
        <v>7</v>
      </c>
      <c r="DJ38">
        <f t="shared" si="56"/>
        <v>2</v>
      </c>
      <c r="DK38">
        <f t="shared" si="29"/>
        <v>9</v>
      </c>
      <c r="DL38">
        <f t="shared" si="30"/>
        <v>7</v>
      </c>
      <c r="DM38">
        <f t="shared" si="31"/>
        <v>3</v>
      </c>
      <c r="DN38">
        <f t="shared" si="57"/>
        <v>3</v>
      </c>
      <c r="DO38">
        <f t="shared" si="32"/>
        <v>8</v>
      </c>
      <c r="DP38">
        <f t="shared" si="33"/>
        <v>2</v>
      </c>
      <c r="DQ38">
        <f t="shared" si="34"/>
        <v>8</v>
      </c>
      <c r="DR38">
        <f t="shared" si="58"/>
        <v>4</v>
      </c>
      <c r="DS38">
        <f t="shared" si="35"/>
        <v>13</v>
      </c>
      <c r="DT38">
        <f t="shared" si="36"/>
        <v>2</v>
      </c>
      <c r="DU38">
        <f t="shared" si="37"/>
        <v>4</v>
      </c>
      <c r="DV38">
        <f t="shared" si="59"/>
        <v>3</v>
      </c>
      <c r="DW38">
        <f t="shared" si="38"/>
        <v>11</v>
      </c>
      <c r="DX38">
        <f t="shared" si="39"/>
        <v>5</v>
      </c>
      <c r="DY38">
        <f t="shared" si="40"/>
        <v>4</v>
      </c>
      <c r="DZ38">
        <f t="shared" si="60"/>
        <v>2</v>
      </c>
      <c r="EA38">
        <f t="shared" si="41"/>
        <v>12</v>
      </c>
      <c r="EB38">
        <f t="shared" si="42"/>
        <v>3</v>
      </c>
      <c r="EC38">
        <f t="shared" si="43"/>
        <v>5</v>
      </c>
      <c r="ED38">
        <f t="shared" si="61"/>
        <v>2</v>
      </c>
      <c r="EE38">
        <f t="shared" si="44"/>
        <v>14</v>
      </c>
      <c r="EF38">
        <f t="shared" si="45"/>
        <v>3</v>
      </c>
      <c r="EG38">
        <f t="shared" si="46"/>
        <v>3</v>
      </c>
      <c r="EH38">
        <f t="shared" si="62"/>
        <v>2</v>
      </c>
      <c r="EI38">
        <f t="shared" si="63"/>
        <v>13</v>
      </c>
      <c r="EJ38">
        <f t="shared" si="64"/>
        <v>5</v>
      </c>
      <c r="EK38">
        <f t="shared" si="65"/>
        <v>1</v>
      </c>
      <c r="EL38">
        <f t="shared" si="66"/>
        <v>3</v>
      </c>
      <c r="EM38">
        <f t="shared" si="67"/>
        <v>14</v>
      </c>
      <c r="EN38">
        <f t="shared" si="68"/>
        <v>2</v>
      </c>
      <c r="EO38">
        <f t="shared" si="69"/>
        <v>2</v>
      </c>
      <c r="EP38">
        <f t="shared" si="70"/>
        <v>4</v>
      </c>
      <c r="EQ38">
        <f t="shared" si="71"/>
        <v>15</v>
      </c>
      <c r="ER38">
        <f t="shared" si="72"/>
        <v>4</v>
      </c>
      <c r="ES38">
        <f t="shared" si="73"/>
        <v>1</v>
      </c>
      <c r="ET38">
        <f t="shared" si="74"/>
        <v>2</v>
      </c>
      <c r="EV38" s="25">
        <f t="shared" si="75"/>
        <v>10.81818181818182</v>
      </c>
      <c r="EW38" s="25">
        <f t="shared" si="76"/>
        <v>0.60101010101010111</v>
      </c>
    </row>
    <row r="39" spans="2:153" ht="26.25" thickBot="1" x14ac:dyDescent="0.3">
      <c r="B39" s="27" t="s">
        <v>87</v>
      </c>
      <c r="D39" s="22">
        <v>35</v>
      </c>
      <c r="E39" s="31">
        <v>0.5</v>
      </c>
      <c r="F39" s="31">
        <v>1</v>
      </c>
      <c r="G39" s="24">
        <v>1</v>
      </c>
      <c r="H39" s="31">
        <v>1</v>
      </c>
      <c r="I39" s="31"/>
      <c r="J39" s="31">
        <v>1</v>
      </c>
      <c r="K39" s="31">
        <v>0.5</v>
      </c>
      <c r="L39" s="31">
        <v>1</v>
      </c>
      <c r="M39" s="23">
        <v>0.5</v>
      </c>
      <c r="N39" s="31">
        <v>1</v>
      </c>
      <c r="O39" s="31">
        <v>1</v>
      </c>
      <c r="P39" s="31">
        <v>1</v>
      </c>
      <c r="Q39" s="31">
        <v>1</v>
      </c>
      <c r="R39" s="31">
        <v>0</v>
      </c>
      <c r="S39" s="31">
        <v>1</v>
      </c>
      <c r="T39" s="31">
        <v>1</v>
      </c>
      <c r="U39" s="23">
        <v>1</v>
      </c>
      <c r="V39" s="31">
        <v>0.5</v>
      </c>
      <c r="W39" s="32">
        <v>1</v>
      </c>
      <c r="X39" s="31">
        <v>1</v>
      </c>
      <c r="Y39" s="31">
        <v>1</v>
      </c>
      <c r="Z39" s="31">
        <v>1</v>
      </c>
      <c r="AA39" s="32">
        <v>1</v>
      </c>
      <c r="AB39" s="32"/>
      <c r="AC39" s="24">
        <v>1</v>
      </c>
      <c r="AD39" s="32">
        <v>1</v>
      </c>
      <c r="AE39" s="32"/>
      <c r="AF39" s="32">
        <v>1</v>
      </c>
      <c r="AG39" s="32">
        <v>0.5</v>
      </c>
      <c r="AH39" s="32">
        <v>1</v>
      </c>
      <c r="AI39" s="24">
        <v>1</v>
      </c>
      <c r="AJ39" s="32">
        <v>1</v>
      </c>
      <c r="AK39" s="32">
        <v>1</v>
      </c>
      <c r="AL39" s="32">
        <v>1</v>
      </c>
      <c r="AM39" s="32">
        <v>1</v>
      </c>
      <c r="AN39" s="31">
        <v>0</v>
      </c>
      <c r="AO39" s="32">
        <v>1</v>
      </c>
      <c r="AP39" s="32">
        <v>1</v>
      </c>
      <c r="AQ39" s="23">
        <v>1</v>
      </c>
      <c r="AR39" s="29">
        <v>0</v>
      </c>
      <c r="AS39" s="32">
        <v>1</v>
      </c>
      <c r="AT39" s="32">
        <v>1</v>
      </c>
      <c r="AU39" s="29">
        <v>0.5</v>
      </c>
      <c r="AV39" s="29">
        <v>0.5</v>
      </c>
      <c r="AW39" s="32">
        <v>1</v>
      </c>
      <c r="AX39" s="32">
        <v>1</v>
      </c>
      <c r="AY39" s="24">
        <v>1</v>
      </c>
      <c r="AZ39" s="32">
        <v>1</v>
      </c>
      <c r="BA39" s="32"/>
      <c r="BB39" s="32">
        <v>1</v>
      </c>
      <c r="BC39" s="32">
        <v>1</v>
      </c>
      <c r="BD39" s="32">
        <v>1</v>
      </c>
      <c r="BE39" s="24">
        <v>1</v>
      </c>
      <c r="BF39" s="32">
        <v>1</v>
      </c>
      <c r="BG39" s="32">
        <v>1</v>
      </c>
      <c r="BH39" s="32">
        <v>1</v>
      </c>
      <c r="BI39" s="32">
        <v>1</v>
      </c>
      <c r="BJ39" s="24">
        <v>0.5</v>
      </c>
      <c r="BK39" s="32">
        <v>1</v>
      </c>
      <c r="BL39" s="32">
        <v>1</v>
      </c>
      <c r="BM39" s="23">
        <v>1</v>
      </c>
      <c r="BN39" s="29">
        <v>1</v>
      </c>
      <c r="BO39" s="32">
        <v>1</v>
      </c>
      <c r="BP39" s="32">
        <v>1</v>
      </c>
      <c r="BQ39" s="29">
        <v>0.5</v>
      </c>
      <c r="BR39" s="29">
        <v>0.5</v>
      </c>
      <c r="BT39">
        <f t="shared" si="0"/>
        <v>62</v>
      </c>
      <c r="BU39">
        <f t="shared" si="1"/>
        <v>54</v>
      </c>
      <c r="BV39" s="25">
        <f t="shared" si="47"/>
        <v>0.87096774193548387</v>
      </c>
      <c r="CA39">
        <f t="shared" si="2"/>
        <v>16</v>
      </c>
      <c r="CB39">
        <f t="shared" si="3"/>
        <v>1</v>
      </c>
      <c r="CC39">
        <f t="shared" si="4"/>
        <v>4</v>
      </c>
      <c r="CD39">
        <f t="shared" si="48"/>
        <v>1</v>
      </c>
      <c r="CE39">
        <f t="shared" si="5"/>
        <v>15</v>
      </c>
      <c r="CF39">
        <f t="shared" si="6"/>
        <v>2</v>
      </c>
      <c r="CG39">
        <f t="shared" si="7"/>
        <v>3</v>
      </c>
      <c r="CH39">
        <f t="shared" si="49"/>
        <v>2</v>
      </c>
      <c r="CI39">
        <f t="shared" si="8"/>
        <v>18</v>
      </c>
      <c r="CJ39">
        <f t="shared" si="9"/>
        <v>0</v>
      </c>
      <c r="CK39">
        <f t="shared" si="10"/>
        <v>3</v>
      </c>
      <c r="CL39">
        <f t="shared" si="50"/>
        <v>1</v>
      </c>
      <c r="CM39">
        <f t="shared" si="11"/>
        <v>14</v>
      </c>
      <c r="CN39">
        <f t="shared" si="12"/>
        <v>2</v>
      </c>
      <c r="CO39">
        <f t="shared" si="13"/>
        <v>3</v>
      </c>
      <c r="CP39">
        <f t="shared" si="51"/>
        <v>3</v>
      </c>
      <c r="CQ39">
        <f t="shared" si="14"/>
        <v>11</v>
      </c>
      <c r="CR39">
        <f t="shared" si="15"/>
        <v>2</v>
      </c>
      <c r="CS39">
        <f t="shared" si="16"/>
        <v>7</v>
      </c>
      <c r="CT39">
        <f t="shared" si="52"/>
        <v>2</v>
      </c>
      <c r="CU39">
        <f t="shared" si="17"/>
        <v>9</v>
      </c>
      <c r="CV39">
        <f t="shared" si="18"/>
        <v>1</v>
      </c>
      <c r="CW39">
        <f t="shared" si="19"/>
        <v>8</v>
      </c>
      <c r="CX39">
        <f t="shared" si="53"/>
        <v>4</v>
      </c>
      <c r="CY39">
        <f t="shared" si="20"/>
        <v>13</v>
      </c>
      <c r="CZ39">
        <f t="shared" si="21"/>
        <v>2</v>
      </c>
      <c r="DA39">
        <f t="shared" si="22"/>
        <v>6</v>
      </c>
      <c r="DB39">
        <f t="shared" si="54"/>
        <v>1</v>
      </c>
      <c r="DC39">
        <f t="shared" si="23"/>
        <v>12</v>
      </c>
      <c r="DD39">
        <f t="shared" si="24"/>
        <v>1</v>
      </c>
      <c r="DE39">
        <f t="shared" si="25"/>
        <v>8</v>
      </c>
      <c r="DF39">
        <f t="shared" si="55"/>
        <v>1</v>
      </c>
      <c r="DG39">
        <f t="shared" si="26"/>
        <v>12</v>
      </c>
      <c r="DH39">
        <f t="shared" si="27"/>
        <v>1</v>
      </c>
      <c r="DI39">
        <f t="shared" si="28"/>
        <v>8</v>
      </c>
      <c r="DJ39">
        <f t="shared" si="56"/>
        <v>1</v>
      </c>
      <c r="DK39">
        <f t="shared" si="29"/>
        <v>11</v>
      </c>
      <c r="DL39">
        <f t="shared" si="30"/>
        <v>6</v>
      </c>
      <c r="DM39">
        <f t="shared" si="31"/>
        <v>4</v>
      </c>
      <c r="DN39">
        <f t="shared" si="57"/>
        <v>1</v>
      </c>
      <c r="DO39">
        <f t="shared" si="32"/>
        <v>11</v>
      </c>
      <c r="DP39">
        <f t="shared" si="33"/>
        <v>2</v>
      </c>
      <c r="DQ39">
        <f t="shared" si="34"/>
        <v>7</v>
      </c>
      <c r="DR39">
        <f t="shared" si="58"/>
        <v>2</v>
      </c>
      <c r="DS39">
        <f t="shared" si="35"/>
        <v>10</v>
      </c>
      <c r="DT39">
        <f t="shared" si="36"/>
        <v>1</v>
      </c>
      <c r="DU39">
        <f t="shared" si="37"/>
        <v>9</v>
      </c>
      <c r="DV39">
        <f t="shared" si="59"/>
        <v>2</v>
      </c>
      <c r="DW39">
        <f t="shared" si="38"/>
        <v>16</v>
      </c>
      <c r="DX39">
        <f t="shared" si="39"/>
        <v>2</v>
      </c>
      <c r="DY39">
        <f t="shared" si="40"/>
        <v>3</v>
      </c>
      <c r="DZ39">
        <f t="shared" si="60"/>
        <v>1</v>
      </c>
      <c r="EA39">
        <f t="shared" si="41"/>
        <v>13</v>
      </c>
      <c r="EB39">
        <f t="shared" si="42"/>
        <v>1</v>
      </c>
      <c r="EC39">
        <f t="shared" si="43"/>
        <v>6</v>
      </c>
      <c r="ED39">
        <f t="shared" si="61"/>
        <v>2</v>
      </c>
      <c r="EE39">
        <f t="shared" si="44"/>
        <v>14</v>
      </c>
      <c r="EF39">
        <f t="shared" si="45"/>
        <v>2</v>
      </c>
      <c r="EG39">
        <f t="shared" si="46"/>
        <v>4</v>
      </c>
      <c r="EH39">
        <f t="shared" si="62"/>
        <v>2</v>
      </c>
      <c r="EI39">
        <f t="shared" si="63"/>
        <v>19</v>
      </c>
      <c r="EJ39">
        <f t="shared" si="64"/>
        <v>0</v>
      </c>
      <c r="EK39">
        <f t="shared" si="65"/>
        <v>2</v>
      </c>
      <c r="EL39">
        <f t="shared" si="66"/>
        <v>1</v>
      </c>
      <c r="EM39">
        <f t="shared" si="67"/>
        <v>18</v>
      </c>
      <c r="EN39">
        <f t="shared" si="68"/>
        <v>0</v>
      </c>
      <c r="EO39">
        <f t="shared" si="69"/>
        <v>1</v>
      </c>
      <c r="EP39">
        <f t="shared" si="70"/>
        <v>3</v>
      </c>
      <c r="EQ39">
        <f t="shared" si="71"/>
        <v>19</v>
      </c>
      <c r="ER39">
        <f t="shared" si="72"/>
        <v>1</v>
      </c>
      <c r="ES39">
        <f t="shared" si="73"/>
        <v>1</v>
      </c>
      <c r="ET39">
        <f t="shared" si="74"/>
        <v>1</v>
      </c>
      <c r="EV39" s="25">
        <f t="shared" si="75"/>
        <v>11.40909090909091</v>
      </c>
      <c r="EW39" s="25">
        <f t="shared" si="76"/>
        <v>0.63383838383838387</v>
      </c>
    </row>
    <row r="40" spans="2:153" ht="26.25" thickBot="1" x14ac:dyDescent="0.3">
      <c r="B40" s="21" t="s">
        <v>88</v>
      </c>
      <c r="D40" s="22">
        <v>36</v>
      </c>
      <c r="E40" s="31">
        <v>0.5</v>
      </c>
      <c r="F40" s="31">
        <v>1</v>
      </c>
      <c r="G40" s="24">
        <v>1</v>
      </c>
      <c r="H40" s="31">
        <v>1</v>
      </c>
      <c r="I40" s="31"/>
      <c r="J40" s="31">
        <v>1</v>
      </c>
      <c r="K40" s="31">
        <v>0.5</v>
      </c>
      <c r="L40" s="31">
        <v>1</v>
      </c>
      <c r="M40" s="23">
        <v>0.5</v>
      </c>
      <c r="N40" s="31">
        <v>1</v>
      </c>
      <c r="O40" s="31">
        <v>1</v>
      </c>
      <c r="P40" s="31">
        <v>1</v>
      </c>
      <c r="Q40" s="31">
        <v>1</v>
      </c>
      <c r="R40" s="31">
        <v>0</v>
      </c>
      <c r="S40" s="31">
        <v>1</v>
      </c>
      <c r="T40" s="31">
        <v>1</v>
      </c>
      <c r="U40" s="23">
        <v>1</v>
      </c>
      <c r="V40" s="31">
        <v>1</v>
      </c>
      <c r="W40" s="32">
        <v>1</v>
      </c>
      <c r="X40" s="31">
        <v>1</v>
      </c>
      <c r="Y40" s="31">
        <v>1</v>
      </c>
      <c r="Z40" s="31">
        <v>1</v>
      </c>
      <c r="AA40" s="32">
        <v>1</v>
      </c>
      <c r="AB40" s="32">
        <v>0</v>
      </c>
      <c r="AC40" s="24">
        <v>1</v>
      </c>
      <c r="AD40" s="32">
        <v>1</v>
      </c>
      <c r="AE40" s="32"/>
      <c r="AF40" s="32">
        <v>1</v>
      </c>
      <c r="AG40" s="32">
        <v>0.5</v>
      </c>
      <c r="AH40" s="32">
        <v>1</v>
      </c>
      <c r="AI40" s="24">
        <v>0.5</v>
      </c>
      <c r="AJ40" s="32">
        <v>1</v>
      </c>
      <c r="AK40" s="32">
        <v>1</v>
      </c>
      <c r="AL40" s="32">
        <v>1</v>
      </c>
      <c r="AM40" s="32">
        <v>0.5</v>
      </c>
      <c r="AN40" s="31">
        <v>0</v>
      </c>
      <c r="AO40" s="32">
        <v>1</v>
      </c>
      <c r="AP40" s="32">
        <v>1</v>
      </c>
      <c r="AQ40" s="23">
        <v>1</v>
      </c>
      <c r="AR40" s="29">
        <v>0.5</v>
      </c>
      <c r="AS40" s="32">
        <v>1</v>
      </c>
      <c r="AT40" s="32">
        <v>1</v>
      </c>
      <c r="AU40" s="29">
        <v>0.5</v>
      </c>
      <c r="AV40" s="29">
        <v>0.5</v>
      </c>
      <c r="AW40" s="32">
        <v>1</v>
      </c>
      <c r="AX40" s="32">
        <v>1</v>
      </c>
      <c r="AY40" s="24">
        <v>1</v>
      </c>
      <c r="AZ40" s="32">
        <v>1</v>
      </c>
      <c r="BA40" s="32"/>
      <c r="BB40" s="32">
        <v>1</v>
      </c>
      <c r="BC40" s="32">
        <v>1</v>
      </c>
      <c r="BD40" s="32">
        <v>1</v>
      </c>
      <c r="BE40" s="24">
        <v>1</v>
      </c>
      <c r="BF40" s="32">
        <v>1</v>
      </c>
      <c r="BG40" s="32">
        <v>1</v>
      </c>
      <c r="BH40" s="32">
        <v>1</v>
      </c>
      <c r="BI40" s="32">
        <v>1</v>
      </c>
      <c r="BJ40" s="24">
        <v>0.5</v>
      </c>
      <c r="BK40" s="32">
        <v>1</v>
      </c>
      <c r="BL40" s="32">
        <v>1</v>
      </c>
      <c r="BM40" s="23">
        <v>1</v>
      </c>
      <c r="BN40" s="29">
        <v>1</v>
      </c>
      <c r="BO40" s="32">
        <v>1</v>
      </c>
      <c r="BP40" s="32">
        <v>1</v>
      </c>
      <c r="BQ40" s="29">
        <v>0.5</v>
      </c>
      <c r="BR40" s="29">
        <v>0.5</v>
      </c>
      <c r="BT40">
        <f t="shared" si="0"/>
        <v>63</v>
      </c>
      <c r="BU40">
        <f t="shared" si="1"/>
        <v>54</v>
      </c>
      <c r="BV40" s="25">
        <f t="shared" si="47"/>
        <v>0.8571428571428571</v>
      </c>
      <c r="CA40">
        <f t="shared" si="2"/>
        <v>17</v>
      </c>
      <c r="CB40">
        <f t="shared" si="3"/>
        <v>1</v>
      </c>
      <c r="CC40">
        <f t="shared" si="4"/>
        <v>3</v>
      </c>
      <c r="CD40">
        <f t="shared" si="48"/>
        <v>1</v>
      </c>
      <c r="CE40">
        <f t="shared" si="5"/>
        <v>13</v>
      </c>
      <c r="CF40">
        <f t="shared" si="6"/>
        <v>2</v>
      </c>
      <c r="CG40">
        <f t="shared" si="7"/>
        <v>6</v>
      </c>
      <c r="CH40">
        <f t="shared" si="49"/>
        <v>1</v>
      </c>
      <c r="CI40">
        <f t="shared" si="8"/>
        <v>18</v>
      </c>
      <c r="CJ40">
        <f t="shared" si="9"/>
        <v>0</v>
      </c>
      <c r="CK40">
        <f t="shared" si="10"/>
        <v>3</v>
      </c>
      <c r="CL40">
        <f t="shared" si="50"/>
        <v>1</v>
      </c>
      <c r="CM40">
        <f t="shared" si="11"/>
        <v>13</v>
      </c>
      <c r="CN40">
        <f t="shared" si="12"/>
        <v>3</v>
      </c>
      <c r="CO40">
        <f t="shared" si="13"/>
        <v>3</v>
      </c>
      <c r="CP40">
        <f t="shared" si="51"/>
        <v>3</v>
      </c>
      <c r="CQ40">
        <f t="shared" si="14"/>
        <v>12</v>
      </c>
      <c r="CR40">
        <f t="shared" si="15"/>
        <v>3</v>
      </c>
      <c r="CS40">
        <f t="shared" si="16"/>
        <v>5</v>
      </c>
      <c r="CT40">
        <f t="shared" si="52"/>
        <v>2</v>
      </c>
      <c r="CU40">
        <f t="shared" si="17"/>
        <v>9</v>
      </c>
      <c r="CV40">
        <f t="shared" si="18"/>
        <v>3</v>
      </c>
      <c r="CW40">
        <f t="shared" si="19"/>
        <v>6</v>
      </c>
      <c r="CX40">
        <f t="shared" si="53"/>
        <v>4</v>
      </c>
      <c r="CY40">
        <f t="shared" si="20"/>
        <v>14</v>
      </c>
      <c r="CZ40">
        <f t="shared" si="21"/>
        <v>3</v>
      </c>
      <c r="DA40">
        <f t="shared" si="22"/>
        <v>4</v>
      </c>
      <c r="DB40">
        <f t="shared" si="54"/>
        <v>1</v>
      </c>
      <c r="DC40">
        <f t="shared" si="23"/>
        <v>11</v>
      </c>
      <c r="DD40">
        <f t="shared" si="24"/>
        <v>1</v>
      </c>
      <c r="DE40">
        <f t="shared" si="25"/>
        <v>9</v>
      </c>
      <c r="DF40">
        <f t="shared" si="55"/>
        <v>1</v>
      </c>
      <c r="DG40">
        <f t="shared" si="26"/>
        <v>10</v>
      </c>
      <c r="DH40">
        <f t="shared" si="27"/>
        <v>1</v>
      </c>
      <c r="DI40">
        <f t="shared" si="28"/>
        <v>10</v>
      </c>
      <c r="DJ40">
        <f t="shared" si="56"/>
        <v>1</v>
      </c>
      <c r="DK40">
        <f t="shared" si="29"/>
        <v>13</v>
      </c>
      <c r="DL40">
        <f t="shared" si="30"/>
        <v>5</v>
      </c>
      <c r="DM40">
        <f t="shared" si="31"/>
        <v>2</v>
      </c>
      <c r="DN40">
        <f t="shared" si="57"/>
        <v>2</v>
      </c>
      <c r="DO40">
        <f t="shared" si="32"/>
        <v>13</v>
      </c>
      <c r="DP40">
        <f t="shared" si="33"/>
        <v>1</v>
      </c>
      <c r="DQ40">
        <f t="shared" si="34"/>
        <v>7</v>
      </c>
      <c r="DR40">
        <f t="shared" si="58"/>
        <v>1</v>
      </c>
      <c r="DS40">
        <f t="shared" si="35"/>
        <v>12</v>
      </c>
      <c r="DT40">
        <f t="shared" si="36"/>
        <v>1</v>
      </c>
      <c r="DU40">
        <f t="shared" si="37"/>
        <v>7</v>
      </c>
      <c r="DV40">
        <f t="shared" si="59"/>
        <v>2</v>
      </c>
      <c r="DW40">
        <f t="shared" si="38"/>
        <v>17</v>
      </c>
      <c r="DX40">
        <f t="shared" si="39"/>
        <v>2</v>
      </c>
      <c r="DY40">
        <f t="shared" si="40"/>
        <v>2</v>
      </c>
      <c r="DZ40">
        <f t="shared" si="60"/>
        <v>1</v>
      </c>
      <c r="EA40">
        <f t="shared" si="41"/>
        <v>12</v>
      </c>
      <c r="EB40">
        <f t="shared" si="42"/>
        <v>2</v>
      </c>
      <c r="EC40">
        <f t="shared" si="43"/>
        <v>6</v>
      </c>
      <c r="ED40">
        <f t="shared" si="61"/>
        <v>2</v>
      </c>
      <c r="EE40">
        <f t="shared" si="44"/>
        <v>14</v>
      </c>
      <c r="EF40">
        <f t="shared" si="45"/>
        <v>3</v>
      </c>
      <c r="EG40">
        <f t="shared" si="46"/>
        <v>3</v>
      </c>
      <c r="EH40">
        <f t="shared" si="62"/>
        <v>2</v>
      </c>
      <c r="EI40">
        <f t="shared" si="63"/>
        <v>10</v>
      </c>
      <c r="EJ40">
        <f t="shared" si="64"/>
        <v>8</v>
      </c>
      <c r="EK40">
        <f t="shared" si="65"/>
        <v>2</v>
      </c>
      <c r="EL40">
        <f t="shared" si="66"/>
        <v>2</v>
      </c>
      <c r="EM40">
        <f t="shared" si="67"/>
        <v>13</v>
      </c>
      <c r="EN40">
        <f t="shared" si="68"/>
        <v>2</v>
      </c>
      <c r="EO40">
        <f t="shared" si="69"/>
        <v>3</v>
      </c>
      <c r="EP40">
        <f t="shared" si="70"/>
        <v>4</v>
      </c>
      <c r="EQ40">
        <f t="shared" si="71"/>
        <v>13</v>
      </c>
      <c r="ER40">
        <f t="shared" si="72"/>
        <v>6</v>
      </c>
      <c r="ES40">
        <f t="shared" si="73"/>
        <v>2</v>
      </c>
      <c r="ET40">
        <f t="shared" si="74"/>
        <v>1</v>
      </c>
      <c r="EV40" s="25">
        <f t="shared" si="75"/>
        <v>10.636363636363638</v>
      </c>
      <c r="EW40" s="25">
        <f t="shared" si="76"/>
        <v>0.59090909090909105</v>
      </c>
    </row>
    <row r="41" spans="2:153" ht="26.25" thickBot="1" x14ac:dyDescent="0.3">
      <c r="B41" s="33" t="s">
        <v>89</v>
      </c>
      <c r="D41" s="22">
        <v>37</v>
      </c>
      <c r="E41" s="31">
        <v>0.5</v>
      </c>
      <c r="F41" s="31">
        <v>1</v>
      </c>
      <c r="G41" s="24">
        <v>1</v>
      </c>
      <c r="H41" s="31">
        <v>1</v>
      </c>
      <c r="I41" s="31"/>
      <c r="J41" s="31">
        <v>1</v>
      </c>
      <c r="K41" s="31">
        <v>0.5</v>
      </c>
      <c r="L41" s="31">
        <v>1</v>
      </c>
      <c r="M41" s="23">
        <v>0.5</v>
      </c>
      <c r="N41" s="31">
        <v>0</v>
      </c>
      <c r="O41" s="31">
        <v>1</v>
      </c>
      <c r="P41" s="31">
        <v>1</v>
      </c>
      <c r="Q41" s="31">
        <v>1</v>
      </c>
      <c r="R41" s="31">
        <v>0</v>
      </c>
      <c r="S41" s="31">
        <v>1</v>
      </c>
      <c r="T41" s="31">
        <v>1</v>
      </c>
      <c r="U41" s="23">
        <v>1</v>
      </c>
      <c r="V41" s="31">
        <v>0</v>
      </c>
      <c r="W41" s="32">
        <v>1</v>
      </c>
      <c r="X41" s="31">
        <v>1</v>
      </c>
      <c r="Y41" s="31">
        <v>1</v>
      </c>
      <c r="Z41" s="31">
        <v>1</v>
      </c>
      <c r="AA41" s="32">
        <v>1</v>
      </c>
      <c r="AB41" s="32">
        <v>1</v>
      </c>
      <c r="AC41" s="24">
        <v>1</v>
      </c>
      <c r="AD41" s="32">
        <v>1</v>
      </c>
      <c r="AE41" s="32"/>
      <c r="AF41" s="32">
        <v>1</v>
      </c>
      <c r="AG41" s="32">
        <v>0.5</v>
      </c>
      <c r="AH41" s="32">
        <v>1</v>
      </c>
      <c r="AI41" s="24">
        <v>0.5</v>
      </c>
      <c r="AJ41" s="32">
        <v>0.5</v>
      </c>
      <c r="AK41" s="32">
        <v>1</v>
      </c>
      <c r="AL41" s="32">
        <v>1</v>
      </c>
      <c r="AM41" s="32">
        <v>0.5</v>
      </c>
      <c r="AN41" s="31">
        <v>0</v>
      </c>
      <c r="AO41" s="32">
        <v>1</v>
      </c>
      <c r="AP41" s="32">
        <v>1</v>
      </c>
      <c r="AQ41" s="23">
        <v>1</v>
      </c>
      <c r="AR41" s="29">
        <v>0</v>
      </c>
      <c r="AS41" s="32">
        <v>1</v>
      </c>
      <c r="AT41" s="32">
        <v>1</v>
      </c>
      <c r="AU41" s="29">
        <v>0.5</v>
      </c>
      <c r="AV41" s="29">
        <v>0.5</v>
      </c>
      <c r="AW41" s="32">
        <v>1</v>
      </c>
      <c r="AX41" s="32">
        <v>1</v>
      </c>
      <c r="AY41" s="24">
        <v>1</v>
      </c>
      <c r="AZ41" s="32">
        <v>1</v>
      </c>
      <c r="BA41" s="32"/>
      <c r="BB41" s="32">
        <v>1</v>
      </c>
      <c r="BC41" s="32">
        <v>1</v>
      </c>
      <c r="BD41" s="32">
        <v>1</v>
      </c>
      <c r="BE41" s="24">
        <v>1</v>
      </c>
      <c r="BF41" s="32">
        <v>0.5</v>
      </c>
      <c r="BG41" s="32">
        <v>1</v>
      </c>
      <c r="BH41" s="32">
        <v>1</v>
      </c>
      <c r="BI41" s="32">
        <v>1</v>
      </c>
      <c r="BJ41" s="24">
        <v>0.5</v>
      </c>
      <c r="BK41" s="32">
        <v>1</v>
      </c>
      <c r="BL41" s="32">
        <v>1</v>
      </c>
      <c r="BM41" s="23">
        <v>1</v>
      </c>
      <c r="BN41" s="29">
        <v>1</v>
      </c>
      <c r="BO41" s="32">
        <v>1</v>
      </c>
      <c r="BP41" s="32">
        <v>1</v>
      </c>
      <c r="BQ41" s="29">
        <v>0.5</v>
      </c>
      <c r="BR41" s="29">
        <v>0.5</v>
      </c>
      <c r="BT41">
        <f t="shared" si="0"/>
        <v>63</v>
      </c>
      <c r="BU41">
        <f t="shared" si="1"/>
        <v>51.5</v>
      </c>
      <c r="BV41" s="25">
        <f t="shared" si="47"/>
        <v>0.81746031746031744</v>
      </c>
      <c r="CA41">
        <f t="shared" si="2"/>
        <v>15</v>
      </c>
      <c r="CB41">
        <f t="shared" si="3"/>
        <v>3</v>
      </c>
      <c r="CC41">
        <f t="shared" si="4"/>
        <v>3</v>
      </c>
      <c r="CD41">
        <f t="shared" si="48"/>
        <v>1</v>
      </c>
      <c r="CE41">
        <f t="shared" si="5"/>
        <v>13</v>
      </c>
      <c r="CF41">
        <f t="shared" si="6"/>
        <v>2</v>
      </c>
      <c r="CG41">
        <f t="shared" si="7"/>
        <v>6</v>
      </c>
      <c r="CH41">
        <f t="shared" si="49"/>
        <v>1</v>
      </c>
      <c r="CI41">
        <f t="shared" si="8"/>
        <v>17</v>
      </c>
      <c r="CJ41">
        <f t="shared" si="9"/>
        <v>0</v>
      </c>
      <c r="CK41">
        <f t="shared" si="10"/>
        <v>4</v>
      </c>
      <c r="CL41">
        <f t="shared" si="50"/>
        <v>1</v>
      </c>
      <c r="CM41">
        <f t="shared" si="11"/>
        <v>10</v>
      </c>
      <c r="CN41">
        <f t="shared" si="12"/>
        <v>3</v>
      </c>
      <c r="CO41">
        <f t="shared" si="13"/>
        <v>6</v>
      </c>
      <c r="CP41">
        <f t="shared" si="51"/>
        <v>3</v>
      </c>
      <c r="CQ41">
        <f t="shared" si="14"/>
        <v>9</v>
      </c>
      <c r="CR41">
        <f t="shared" si="15"/>
        <v>4</v>
      </c>
      <c r="CS41">
        <f t="shared" si="16"/>
        <v>7</v>
      </c>
      <c r="CT41">
        <f t="shared" si="52"/>
        <v>2</v>
      </c>
      <c r="CU41">
        <f t="shared" si="17"/>
        <v>9</v>
      </c>
      <c r="CV41">
        <f t="shared" si="18"/>
        <v>2</v>
      </c>
      <c r="CW41">
        <f t="shared" si="19"/>
        <v>5</v>
      </c>
      <c r="CX41">
        <f t="shared" si="53"/>
        <v>6</v>
      </c>
      <c r="CY41">
        <f t="shared" si="20"/>
        <v>12</v>
      </c>
      <c r="CZ41">
        <f t="shared" si="21"/>
        <v>4</v>
      </c>
      <c r="DA41">
        <f t="shared" si="22"/>
        <v>5</v>
      </c>
      <c r="DB41">
        <f t="shared" si="54"/>
        <v>1</v>
      </c>
      <c r="DC41">
        <f t="shared" si="23"/>
        <v>9</v>
      </c>
      <c r="DD41">
        <f t="shared" si="24"/>
        <v>2</v>
      </c>
      <c r="DE41">
        <f t="shared" si="25"/>
        <v>10</v>
      </c>
      <c r="DF41">
        <f t="shared" si="55"/>
        <v>1</v>
      </c>
      <c r="DG41">
        <f t="shared" si="26"/>
        <v>8</v>
      </c>
      <c r="DH41">
        <f t="shared" si="27"/>
        <v>2</v>
      </c>
      <c r="DI41">
        <f t="shared" si="28"/>
        <v>11</v>
      </c>
      <c r="DJ41">
        <f t="shared" si="56"/>
        <v>1</v>
      </c>
      <c r="DK41">
        <f t="shared" si="29"/>
        <v>8</v>
      </c>
      <c r="DL41">
        <f t="shared" si="30"/>
        <v>9</v>
      </c>
      <c r="DM41">
        <f t="shared" si="31"/>
        <v>3</v>
      </c>
      <c r="DN41">
        <f t="shared" si="57"/>
        <v>2</v>
      </c>
      <c r="DO41">
        <f t="shared" si="32"/>
        <v>8</v>
      </c>
      <c r="DP41">
        <f t="shared" si="33"/>
        <v>3</v>
      </c>
      <c r="DQ41">
        <f t="shared" si="34"/>
        <v>7</v>
      </c>
      <c r="DR41">
        <f t="shared" si="58"/>
        <v>4</v>
      </c>
      <c r="DS41">
        <f t="shared" si="35"/>
        <v>12</v>
      </c>
      <c r="DT41">
        <f t="shared" si="36"/>
        <v>3</v>
      </c>
      <c r="DU41">
        <f t="shared" si="37"/>
        <v>4</v>
      </c>
      <c r="DV41">
        <f t="shared" si="59"/>
        <v>3</v>
      </c>
      <c r="DW41">
        <f t="shared" si="38"/>
        <v>11</v>
      </c>
      <c r="DX41">
        <f t="shared" si="39"/>
        <v>5</v>
      </c>
      <c r="DY41">
        <f t="shared" si="40"/>
        <v>4</v>
      </c>
      <c r="DZ41">
        <f t="shared" si="60"/>
        <v>2</v>
      </c>
      <c r="EA41">
        <f t="shared" si="41"/>
        <v>12</v>
      </c>
      <c r="EB41">
        <f t="shared" si="42"/>
        <v>4</v>
      </c>
      <c r="EC41">
        <f t="shared" si="43"/>
        <v>4</v>
      </c>
      <c r="ED41">
        <f t="shared" si="61"/>
        <v>2</v>
      </c>
      <c r="EE41">
        <f t="shared" si="44"/>
        <v>15</v>
      </c>
      <c r="EF41">
        <f t="shared" si="45"/>
        <v>3</v>
      </c>
      <c r="EG41">
        <f t="shared" si="46"/>
        <v>2</v>
      </c>
      <c r="EH41">
        <f t="shared" si="62"/>
        <v>2</v>
      </c>
      <c r="EI41">
        <f t="shared" si="63"/>
        <v>14</v>
      </c>
      <c r="EJ41">
        <f t="shared" si="64"/>
        <v>4</v>
      </c>
      <c r="EK41">
        <f t="shared" si="65"/>
        <v>1</v>
      </c>
      <c r="EL41">
        <f t="shared" si="66"/>
        <v>3</v>
      </c>
      <c r="EM41">
        <f t="shared" si="67"/>
        <v>15</v>
      </c>
      <c r="EN41">
        <f t="shared" si="68"/>
        <v>1</v>
      </c>
      <c r="EO41">
        <f t="shared" si="69"/>
        <v>2</v>
      </c>
      <c r="EP41">
        <f t="shared" si="70"/>
        <v>4</v>
      </c>
      <c r="EQ41">
        <f t="shared" si="71"/>
        <v>16</v>
      </c>
      <c r="ER41">
        <f t="shared" si="72"/>
        <v>5</v>
      </c>
      <c r="ES41">
        <f t="shared" si="73"/>
        <v>0</v>
      </c>
      <c r="ET41">
        <f t="shared" si="74"/>
        <v>1</v>
      </c>
      <c r="EV41" s="25">
        <f t="shared" si="75"/>
        <v>9.9090909090909083</v>
      </c>
      <c r="EW41" s="25">
        <f t="shared" si="76"/>
        <v>0.5505050505050505</v>
      </c>
    </row>
    <row r="42" spans="2:153" x14ac:dyDescent="0.25">
      <c r="E42" s="35"/>
      <c r="F42" s="35"/>
      <c r="G42" s="35"/>
      <c r="H42" s="35"/>
      <c r="I42" s="35"/>
      <c r="J42" s="35"/>
      <c r="K42" s="35"/>
      <c r="L42" s="35"/>
      <c r="M42" s="35"/>
      <c r="N42" s="35"/>
      <c r="O42" s="35"/>
      <c r="P42" s="35"/>
      <c r="Q42" s="35"/>
      <c r="R42" s="35"/>
      <c r="S42" s="35"/>
      <c r="U42" s="35"/>
      <c r="V42" s="35"/>
      <c r="W42" s="35"/>
      <c r="X42" s="35"/>
      <c r="Y42" s="35"/>
      <c r="Z42" s="35"/>
      <c r="AA42" s="35"/>
      <c r="AB42" s="35"/>
      <c r="AC42" s="35"/>
      <c r="AD42" s="35"/>
      <c r="AE42" s="35"/>
      <c r="AF42" s="35"/>
      <c r="AG42" s="35"/>
      <c r="AH42" s="35"/>
      <c r="AI42" s="35"/>
      <c r="AJ42" s="35"/>
      <c r="AK42" s="35"/>
      <c r="AL42" s="35"/>
      <c r="AM42" s="35"/>
      <c r="AN42" s="35"/>
      <c r="AO42" s="35"/>
      <c r="AQ42" s="35"/>
      <c r="AR42" s="35"/>
      <c r="AS42" s="35"/>
      <c r="AT42" s="35"/>
      <c r="AU42" s="35"/>
      <c r="AV42" s="35"/>
      <c r="AW42" s="35"/>
      <c r="AX42" s="35"/>
      <c r="AY42" s="35"/>
      <c r="AZ42" s="35"/>
      <c r="BA42" s="35"/>
      <c r="BB42" s="35"/>
      <c r="BC42" s="35"/>
      <c r="BD42" s="35"/>
      <c r="BE42" s="35"/>
      <c r="BF42" s="35"/>
      <c r="BG42" s="35"/>
      <c r="BH42" s="35"/>
      <c r="BI42" s="35"/>
      <c r="BJ42" s="35"/>
      <c r="BK42" s="35"/>
      <c r="BM42" s="35"/>
      <c r="BN42" s="35"/>
      <c r="BO42" s="35"/>
      <c r="BP42" s="35"/>
      <c r="BQ42" s="35"/>
      <c r="BR42" s="35"/>
      <c r="BV42" s="25"/>
      <c r="EV42" s="25"/>
      <c r="EW42" s="25"/>
    </row>
    <row r="43" spans="2:153" x14ac:dyDescent="0.2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V43" s="25"/>
    </row>
    <row r="44" spans="2:153" x14ac:dyDescent="0.2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V44" s="25"/>
    </row>
    <row r="45" spans="2:153" ht="15.75" thickBot="1" x14ac:dyDescent="0.3">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V45" s="25"/>
    </row>
    <row r="46" spans="2:153" ht="16.5" thickTop="1" thickBot="1" x14ac:dyDescent="0.3">
      <c r="B46" s="5" t="s">
        <v>90</v>
      </c>
      <c r="E46" s="36" t="s">
        <v>5</v>
      </c>
      <c r="F46" s="36"/>
      <c r="G46" s="36"/>
      <c r="H46" s="36"/>
      <c r="I46" s="36"/>
      <c r="J46" s="36"/>
      <c r="K46" s="36"/>
      <c r="L46" s="36"/>
      <c r="M46" s="36"/>
      <c r="N46" s="36"/>
      <c r="O46" s="36"/>
      <c r="P46" s="36"/>
      <c r="Q46" s="36"/>
      <c r="R46" s="36"/>
      <c r="S46" s="36"/>
      <c r="T46" s="36"/>
      <c r="U46" s="36"/>
      <c r="V46" s="36"/>
      <c r="W46" s="36"/>
      <c r="X46" s="36"/>
      <c r="Y46" s="36"/>
      <c r="Z46" s="36"/>
      <c r="AA46" s="37" t="s">
        <v>6</v>
      </c>
      <c r="AB46" s="37"/>
      <c r="AC46" s="37"/>
      <c r="AD46" s="37"/>
      <c r="AE46" s="37"/>
      <c r="AF46" s="37"/>
      <c r="AG46" s="37"/>
      <c r="AH46" s="37"/>
      <c r="AI46" s="37"/>
      <c r="AJ46" s="37"/>
      <c r="AK46" s="37"/>
      <c r="AL46" s="37"/>
      <c r="AM46" s="37"/>
      <c r="AN46" s="37"/>
      <c r="AO46" s="37"/>
      <c r="AP46" s="37"/>
      <c r="AQ46" s="37"/>
      <c r="AR46" s="37"/>
      <c r="AS46" s="37"/>
      <c r="AT46" s="37"/>
      <c r="AU46" s="37"/>
      <c r="AV46" s="37"/>
      <c r="AW46" s="38" t="s">
        <v>7</v>
      </c>
      <c r="AX46" s="38"/>
      <c r="AY46" s="38"/>
      <c r="AZ46" s="38"/>
      <c r="BA46" s="38"/>
      <c r="BB46" s="38"/>
      <c r="BC46" s="38"/>
      <c r="BD46" s="38"/>
      <c r="BE46" s="38"/>
      <c r="BF46" s="38"/>
      <c r="BG46" s="38"/>
      <c r="BH46" s="38"/>
      <c r="BI46" s="38"/>
      <c r="BJ46" s="38"/>
      <c r="BK46" s="38"/>
      <c r="BL46" s="38"/>
      <c r="BM46" s="38"/>
      <c r="BN46" s="38"/>
      <c r="BO46" s="38"/>
      <c r="BP46" s="38"/>
      <c r="BQ46" s="38"/>
      <c r="BR46" s="38"/>
      <c r="BV46" s="25"/>
    </row>
    <row r="47" spans="2:153" ht="16.5" thickTop="1" thickBot="1" x14ac:dyDescent="0.3">
      <c r="D47" s="6"/>
      <c r="E47" s="36" t="s">
        <v>22</v>
      </c>
      <c r="F47" s="36" t="s">
        <v>23</v>
      </c>
      <c r="G47" s="36" t="s">
        <v>24</v>
      </c>
      <c r="H47" s="36" t="s">
        <v>25</v>
      </c>
      <c r="I47" s="36" t="s">
        <v>26</v>
      </c>
      <c r="J47" s="36" t="s">
        <v>27</v>
      </c>
      <c r="K47" s="36" t="s">
        <v>28</v>
      </c>
      <c r="L47" s="36" t="s">
        <v>29</v>
      </c>
      <c r="M47" s="36" t="s">
        <v>30</v>
      </c>
      <c r="N47" s="36" t="s">
        <v>31</v>
      </c>
      <c r="O47" s="36" t="s">
        <v>103</v>
      </c>
      <c r="P47" s="36" t="s">
        <v>32</v>
      </c>
      <c r="Q47" s="36" t="s">
        <v>33</v>
      </c>
      <c r="R47" s="36" t="s">
        <v>104</v>
      </c>
      <c r="S47" s="36" t="s">
        <v>34</v>
      </c>
      <c r="T47" s="36" t="s">
        <v>35</v>
      </c>
      <c r="U47" s="36" t="s">
        <v>35</v>
      </c>
      <c r="V47" s="36" t="s">
        <v>36</v>
      </c>
      <c r="W47" s="36" t="s">
        <v>37</v>
      </c>
      <c r="X47" s="36" t="s">
        <v>38</v>
      </c>
      <c r="Y47" s="36" t="s">
        <v>39</v>
      </c>
      <c r="Z47" s="36" t="s">
        <v>40</v>
      </c>
      <c r="AA47" s="36" t="s">
        <v>22</v>
      </c>
      <c r="AB47" s="36" t="s">
        <v>23</v>
      </c>
      <c r="AC47" s="36" t="s">
        <v>24</v>
      </c>
      <c r="AD47" s="36" t="s">
        <v>25</v>
      </c>
      <c r="AE47" s="36" t="s">
        <v>26</v>
      </c>
      <c r="AF47" s="36" t="s">
        <v>27</v>
      </c>
      <c r="AG47" s="36" t="s">
        <v>28</v>
      </c>
      <c r="AH47" s="36" t="s">
        <v>29</v>
      </c>
      <c r="AI47" s="36" t="s">
        <v>30</v>
      </c>
      <c r="AJ47" s="36" t="s">
        <v>31</v>
      </c>
      <c r="AK47" s="36" t="s">
        <v>103</v>
      </c>
      <c r="AL47" s="36" t="s">
        <v>32</v>
      </c>
      <c r="AM47" s="36" t="s">
        <v>33</v>
      </c>
      <c r="AN47" s="36" t="s">
        <v>104</v>
      </c>
      <c r="AO47" s="36" t="s">
        <v>34</v>
      </c>
      <c r="AP47" s="36" t="s">
        <v>35</v>
      </c>
      <c r="AQ47" s="36" t="s">
        <v>35</v>
      </c>
      <c r="AR47" s="36" t="s">
        <v>36</v>
      </c>
      <c r="AS47" s="36" t="s">
        <v>37</v>
      </c>
      <c r="AT47" s="36" t="s">
        <v>38</v>
      </c>
      <c r="AU47" s="36" t="s">
        <v>39</v>
      </c>
      <c r="AV47" s="36" t="s">
        <v>40</v>
      </c>
      <c r="AW47" s="36" t="s">
        <v>22</v>
      </c>
      <c r="AX47" s="36" t="s">
        <v>23</v>
      </c>
      <c r="AY47" s="36" t="s">
        <v>24</v>
      </c>
      <c r="AZ47" s="36" t="s">
        <v>25</v>
      </c>
      <c r="BA47" s="36" t="s">
        <v>26</v>
      </c>
      <c r="BB47" s="36" t="s">
        <v>27</v>
      </c>
      <c r="BC47" s="36" t="s">
        <v>28</v>
      </c>
      <c r="BD47" s="36" t="s">
        <v>29</v>
      </c>
      <c r="BE47" s="36" t="s">
        <v>30</v>
      </c>
      <c r="BF47" s="36" t="s">
        <v>31</v>
      </c>
      <c r="BG47" s="36" t="s">
        <v>103</v>
      </c>
      <c r="BH47" s="36" t="s">
        <v>32</v>
      </c>
      <c r="BI47" s="36" t="s">
        <v>33</v>
      </c>
      <c r="BJ47" s="36" t="s">
        <v>104</v>
      </c>
      <c r="BK47" s="36" t="s">
        <v>34</v>
      </c>
      <c r="BL47" s="36" t="s">
        <v>35</v>
      </c>
      <c r="BM47" s="36" t="s">
        <v>35</v>
      </c>
      <c r="BN47" s="36" t="s">
        <v>36</v>
      </c>
      <c r="BO47" s="36" t="s">
        <v>37</v>
      </c>
      <c r="BP47" s="36" t="s">
        <v>38</v>
      </c>
      <c r="BQ47" s="36" t="s">
        <v>39</v>
      </c>
      <c r="BR47" s="36" t="s">
        <v>40</v>
      </c>
      <c r="BS47" s="12"/>
      <c r="BT47" s="13" t="s">
        <v>41</v>
      </c>
      <c r="BU47" s="14" t="s">
        <v>42</v>
      </c>
      <c r="BV47" s="15" t="s">
        <v>91</v>
      </c>
      <c r="BW47" s="12"/>
      <c r="BX47" s="16" t="s">
        <v>92</v>
      </c>
      <c r="BY47" s="16"/>
      <c r="BZ47" s="12"/>
      <c r="CA47" s="12"/>
      <c r="CB47" s="12"/>
      <c r="CC47" s="12"/>
    </row>
    <row r="48" spans="2:153" ht="26.25" thickBot="1" x14ac:dyDescent="0.3">
      <c r="B48" s="21" t="s">
        <v>49</v>
      </c>
      <c r="D48" s="22">
        <v>1</v>
      </c>
      <c r="E48" s="24">
        <v>1</v>
      </c>
      <c r="F48" s="24">
        <v>0.5</v>
      </c>
      <c r="G48" s="24">
        <v>1</v>
      </c>
      <c r="H48" s="24">
        <v>1</v>
      </c>
      <c r="I48" s="24">
        <v>0</v>
      </c>
      <c r="J48" s="24"/>
      <c r="K48" s="24">
        <v>1</v>
      </c>
      <c r="L48" s="24">
        <v>1</v>
      </c>
      <c r="M48" s="24">
        <v>0.5</v>
      </c>
      <c r="N48" s="24">
        <v>1</v>
      </c>
      <c r="O48" s="24">
        <v>0.5</v>
      </c>
      <c r="P48" s="24">
        <v>0.5</v>
      </c>
      <c r="Q48" s="24">
        <v>1</v>
      </c>
      <c r="R48" s="24">
        <v>0.5</v>
      </c>
      <c r="S48" s="24">
        <v>1</v>
      </c>
      <c r="T48" s="24">
        <v>1</v>
      </c>
      <c r="U48" s="23">
        <v>1</v>
      </c>
      <c r="V48" s="24">
        <v>1</v>
      </c>
      <c r="W48" s="24">
        <v>0</v>
      </c>
      <c r="X48" s="24">
        <v>1</v>
      </c>
      <c r="Y48" s="24">
        <v>1</v>
      </c>
      <c r="Z48" s="24">
        <v>1</v>
      </c>
      <c r="AA48" s="24">
        <v>1</v>
      </c>
      <c r="AB48" s="24">
        <v>0.5</v>
      </c>
      <c r="AC48" s="24">
        <v>1</v>
      </c>
      <c r="AD48" s="24">
        <v>1</v>
      </c>
      <c r="AE48" s="24">
        <v>0</v>
      </c>
      <c r="AF48" s="24">
        <v>1</v>
      </c>
      <c r="AG48" s="24">
        <v>1</v>
      </c>
      <c r="AH48" s="24">
        <v>1</v>
      </c>
      <c r="AI48" s="24">
        <v>0.5</v>
      </c>
      <c r="AJ48" s="24">
        <v>1</v>
      </c>
      <c r="AK48" s="24">
        <v>0.5</v>
      </c>
      <c r="AL48" s="24">
        <v>0.5</v>
      </c>
      <c r="AM48" s="24">
        <v>1</v>
      </c>
      <c r="AN48" s="24">
        <v>0.5</v>
      </c>
      <c r="AO48" s="24">
        <v>1</v>
      </c>
      <c r="AP48" s="24">
        <v>0.5</v>
      </c>
      <c r="AQ48" s="23">
        <v>1</v>
      </c>
      <c r="AR48" s="24">
        <v>1</v>
      </c>
      <c r="AS48" s="24">
        <v>1</v>
      </c>
      <c r="AT48" s="24">
        <v>1</v>
      </c>
      <c r="AU48" s="24">
        <v>0.5</v>
      </c>
      <c r="AV48" s="24">
        <v>0.5</v>
      </c>
      <c r="AW48" s="24">
        <v>0.5</v>
      </c>
      <c r="AX48" s="24">
        <v>1</v>
      </c>
      <c r="AY48" s="24">
        <v>1</v>
      </c>
      <c r="AZ48" s="24">
        <v>1</v>
      </c>
      <c r="BA48" s="24">
        <v>0</v>
      </c>
      <c r="BB48" s="24">
        <v>1</v>
      </c>
      <c r="BC48" s="24">
        <v>0</v>
      </c>
      <c r="BD48" s="24">
        <v>0</v>
      </c>
      <c r="BE48" s="24">
        <v>0.5</v>
      </c>
      <c r="BF48" s="24"/>
      <c r="BG48" s="24">
        <v>0</v>
      </c>
      <c r="BH48" s="24"/>
      <c r="BI48" s="24">
        <v>1</v>
      </c>
      <c r="BJ48" s="24"/>
      <c r="BK48" s="24">
        <v>0.5</v>
      </c>
      <c r="BL48" s="24">
        <v>1</v>
      </c>
      <c r="BM48" s="23">
        <v>1</v>
      </c>
      <c r="BN48" s="24">
        <v>1</v>
      </c>
      <c r="BO48" s="24">
        <v>0</v>
      </c>
      <c r="BP48" s="24">
        <v>1</v>
      </c>
      <c r="BQ48" s="24">
        <v>0.5</v>
      </c>
      <c r="BR48" s="24">
        <v>0.5</v>
      </c>
      <c r="BT48">
        <f t="shared" ref="BT48:BT84" si="77">COUNT(E48:BS48)</f>
        <v>62</v>
      </c>
      <c r="BU48">
        <f t="shared" ref="BU48:BU84" si="78">SUM(E48:BR48)</f>
        <v>45</v>
      </c>
      <c r="BV48" s="25">
        <f>BU48/BT48</f>
        <v>0.72580645161290325</v>
      </c>
      <c r="BX48" s="25">
        <f>AVERAGE(BV48:BV84)</f>
        <v>0.74327352399394031</v>
      </c>
      <c r="BY48" t="s">
        <v>50</v>
      </c>
      <c r="EV48" s="25"/>
      <c r="EW48" s="25"/>
    </row>
    <row r="49" spans="2:153" ht="26.25" thickBot="1" x14ac:dyDescent="0.3">
      <c r="B49" s="26" t="s">
        <v>51</v>
      </c>
      <c r="D49" s="22">
        <v>2</v>
      </c>
      <c r="E49" s="24">
        <v>1</v>
      </c>
      <c r="F49" s="24">
        <v>0.5</v>
      </c>
      <c r="G49" s="24">
        <v>1</v>
      </c>
      <c r="H49" s="24">
        <v>1</v>
      </c>
      <c r="I49" s="24">
        <v>1</v>
      </c>
      <c r="J49" s="24"/>
      <c r="K49" s="24">
        <v>1</v>
      </c>
      <c r="L49" s="24">
        <v>1</v>
      </c>
      <c r="M49" s="24">
        <v>0.5</v>
      </c>
      <c r="N49" s="24">
        <v>0.5</v>
      </c>
      <c r="O49" s="24">
        <v>1</v>
      </c>
      <c r="P49" s="24">
        <v>0.5</v>
      </c>
      <c r="Q49" s="24">
        <v>1</v>
      </c>
      <c r="R49" s="24">
        <v>0.5</v>
      </c>
      <c r="S49" s="24">
        <v>1</v>
      </c>
      <c r="T49" s="24">
        <v>1</v>
      </c>
      <c r="U49" s="23">
        <v>1</v>
      </c>
      <c r="V49" s="24">
        <v>1</v>
      </c>
      <c r="W49" s="24">
        <v>0</v>
      </c>
      <c r="X49" s="24">
        <v>1</v>
      </c>
      <c r="Y49" s="24">
        <v>1</v>
      </c>
      <c r="Z49" s="24">
        <v>1</v>
      </c>
      <c r="AA49" s="24">
        <v>0.5</v>
      </c>
      <c r="AB49" s="24">
        <v>0.5</v>
      </c>
      <c r="AC49" s="24">
        <v>1</v>
      </c>
      <c r="AD49" s="24">
        <v>1</v>
      </c>
      <c r="AE49" s="24">
        <v>1</v>
      </c>
      <c r="AF49" s="24">
        <v>1</v>
      </c>
      <c r="AG49" s="24">
        <v>1</v>
      </c>
      <c r="AH49" s="24">
        <v>0.5</v>
      </c>
      <c r="AI49" s="24">
        <v>0.5</v>
      </c>
      <c r="AJ49" s="24">
        <v>0.5</v>
      </c>
      <c r="AK49" s="24">
        <v>1</v>
      </c>
      <c r="AL49" s="24">
        <v>0.5</v>
      </c>
      <c r="AM49" s="24">
        <v>1</v>
      </c>
      <c r="AN49" s="24">
        <v>0.5</v>
      </c>
      <c r="AO49" s="24">
        <v>0.5</v>
      </c>
      <c r="AP49" s="24">
        <v>1</v>
      </c>
      <c r="AQ49" s="23">
        <v>1</v>
      </c>
      <c r="AR49" s="24">
        <v>1</v>
      </c>
      <c r="AS49" s="24">
        <v>1</v>
      </c>
      <c r="AT49" s="24">
        <v>1</v>
      </c>
      <c r="AU49" s="24">
        <v>0.5</v>
      </c>
      <c r="AV49" s="24">
        <v>0.5</v>
      </c>
      <c r="AW49" s="24">
        <v>1</v>
      </c>
      <c r="AX49" s="24">
        <v>0.5</v>
      </c>
      <c r="AY49" s="24">
        <v>1</v>
      </c>
      <c r="AZ49" s="24">
        <v>1</v>
      </c>
      <c r="BA49" s="24">
        <v>1</v>
      </c>
      <c r="BB49" s="24">
        <v>0.5</v>
      </c>
      <c r="BC49" s="24">
        <v>0</v>
      </c>
      <c r="BD49" s="24">
        <v>0.5</v>
      </c>
      <c r="BE49" s="24">
        <v>0.5</v>
      </c>
      <c r="BF49" s="24"/>
      <c r="BG49" s="24">
        <v>0</v>
      </c>
      <c r="BH49" s="24"/>
      <c r="BI49" s="24">
        <v>1</v>
      </c>
      <c r="BJ49" s="24"/>
      <c r="BK49" s="24">
        <v>0</v>
      </c>
      <c r="BL49" s="24">
        <v>1</v>
      </c>
      <c r="BM49" s="23">
        <v>1</v>
      </c>
      <c r="BN49" s="24">
        <v>1</v>
      </c>
      <c r="BO49" s="24">
        <v>0</v>
      </c>
      <c r="BP49" s="24">
        <v>1</v>
      </c>
      <c r="BQ49" s="24">
        <v>0.5</v>
      </c>
      <c r="BR49" s="24">
        <v>0.5</v>
      </c>
      <c r="BT49">
        <f t="shared" si="77"/>
        <v>62</v>
      </c>
      <c r="BU49">
        <f t="shared" si="78"/>
        <v>46.5</v>
      </c>
      <c r="BV49" s="25">
        <f t="shared" ref="BV49:BV84" si="79">BU49/BT49</f>
        <v>0.75</v>
      </c>
      <c r="BX49">
        <f>STDEV(BV48:BV84)</f>
        <v>5.1457285341099362E-2</v>
      </c>
      <c r="BY49" t="s">
        <v>52</v>
      </c>
      <c r="EV49" s="25"/>
      <c r="EW49" s="25"/>
    </row>
    <row r="50" spans="2:153" ht="39" thickBot="1" x14ac:dyDescent="0.3">
      <c r="B50" s="27" t="s">
        <v>53</v>
      </c>
      <c r="D50" s="22">
        <v>3</v>
      </c>
      <c r="E50" s="29">
        <v>1</v>
      </c>
      <c r="F50" s="29">
        <v>0.5</v>
      </c>
      <c r="G50" s="24">
        <v>1</v>
      </c>
      <c r="H50" s="29">
        <v>1</v>
      </c>
      <c r="I50" s="29">
        <v>1</v>
      </c>
      <c r="J50" s="29"/>
      <c r="K50" s="29">
        <v>0.5</v>
      </c>
      <c r="L50" s="29">
        <v>0.5</v>
      </c>
      <c r="M50" s="24">
        <v>0.5</v>
      </c>
      <c r="N50" s="29">
        <v>1</v>
      </c>
      <c r="O50" s="29">
        <v>1</v>
      </c>
      <c r="P50" s="29">
        <v>0.5</v>
      </c>
      <c r="Q50" s="29">
        <v>1</v>
      </c>
      <c r="R50" s="29">
        <v>0.5</v>
      </c>
      <c r="S50" s="29">
        <v>1</v>
      </c>
      <c r="T50" s="29">
        <v>1</v>
      </c>
      <c r="U50" s="23">
        <v>1</v>
      </c>
      <c r="V50" s="24">
        <v>1</v>
      </c>
      <c r="W50" s="29">
        <v>0</v>
      </c>
      <c r="X50" s="29">
        <v>1</v>
      </c>
      <c r="Y50" s="24">
        <v>1</v>
      </c>
      <c r="Z50" s="24">
        <v>1</v>
      </c>
      <c r="AA50" s="29">
        <v>1</v>
      </c>
      <c r="AB50" s="29">
        <v>0.5</v>
      </c>
      <c r="AC50" s="24">
        <v>1</v>
      </c>
      <c r="AD50" s="29">
        <v>1</v>
      </c>
      <c r="AE50" s="29">
        <v>1</v>
      </c>
      <c r="AF50" s="29">
        <v>1</v>
      </c>
      <c r="AG50" s="29">
        <v>0.5</v>
      </c>
      <c r="AH50" s="29">
        <v>0.5</v>
      </c>
      <c r="AI50" s="24">
        <v>0.5</v>
      </c>
      <c r="AJ50" s="29">
        <v>1</v>
      </c>
      <c r="AK50" s="29">
        <v>1</v>
      </c>
      <c r="AL50" s="29">
        <v>0.5</v>
      </c>
      <c r="AM50" s="29">
        <v>1</v>
      </c>
      <c r="AN50" s="29">
        <v>0.5</v>
      </c>
      <c r="AO50" s="29">
        <v>1</v>
      </c>
      <c r="AP50" s="29">
        <v>1</v>
      </c>
      <c r="AQ50" s="23">
        <v>1</v>
      </c>
      <c r="AR50" s="24">
        <v>1</v>
      </c>
      <c r="AS50" s="29">
        <v>1</v>
      </c>
      <c r="AT50" s="29">
        <v>1</v>
      </c>
      <c r="AU50" s="24">
        <v>0.5</v>
      </c>
      <c r="AV50" s="24">
        <v>0.5</v>
      </c>
      <c r="AW50" s="29">
        <v>1</v>
      </c>
      <c r="AX50" s="29">
        <v>0</v>
      </c>
      <c r="AY50" s="24">
        <v>1</v>
      </c>
      <c r="AZ50" s="29">
        <v>1</v>
      </c>
      <c r="BA50" s="29">
        <v>1</v>
      </c>
      <c r="BB50" s="29">
        <v>1</v>
      </c>
      <c r="BC50" s="29">
        <v>0</v>
      </c>
      <c r="BD50" s="29"/>
      <c r="BE50" s="24">
        <v>0.5</v>
      </c>
      <c r="BF50" s="29">
        <v>1</v>
      </c>
      <c r="BG50" s="29">
        <v>0</v>
      </c>
      <c r="BH50" s="29"/>
      <c r="BI50" s="29">
        <v>0.5</v>
      </c>
      <c r="BJ50" s="24"/>
      <c r="BK50" s="29">
        <v>0.5</v>
      </c>
      <c r="BL50" s="29">
        <v>1</v>
      </c>
      <c r="BM50" s="23">
        <v>1</v>
      </c>
      <c r="BN50" s="24">
        <v>1</v>
      </c>
      <c r="BO50" s="29">
        <v>0</v>
      </c>
      <c r="BP50" s="29">
        <v>1</v>
      </c>
      <c r="BQ50" s="24">
        <v>0.5</v>
      </c>
      <c r="BR50" s="24">
        <v>0.5</v>
      </c>
      <c r="BT50">
        <f t="shared" si="77"/>
        <v>62</v>
      </c>
      <c r="BU50">
        <f t="shared" si="78"/>
        <v>47.5</v>
      </c>
      <c r="BV50" s="25">
        <f t="shared" si="79"/>
        <v>0.7661290322580645</v>
      </c>
      <c r="BX50" s="25">
        <f>MIN(BV48:BV84)</f>
        <v>0.63461538461538458</v>
      </c>
      <c r="BY50" t="s">
        <v>54</v>
      </c>
      <c r="EV50" s="25"/>
      <c r="EW50" s="25"/>
    </row>
    <row r="51" spans="2:153" ht="39" thickBot="1" x14ac:dyDescent="0.3">
      <c r="B51" s="21" t="s">
        <v>55</v>
      </c>
      <c r="D51" s="22">
        <v>4</v>
      </c>
      <c r="E51" s="29">
        <v>1</v>
      </c>
      <c r="F51" s="29"/>
      <c r="G51" s="24">
        <v>1</v>
      </c>
      <c r="H51" s="29">
        <v>1</v>
      </c>
      <c r="I51" s="29">
        <v>1</v>
      </c>
      <c r="J51" s="29"/>
      <c r="K51" s="29">
        <v>0.5</v>
      </c>
      <c r="L51" s="29">
        <v>1</v>
      </c>
      <c r="M51" s="29">
        <v>0.5</v>
      </c>
      <c r="N51" s="29">
        <v>1</v>
      </c>
      <c r="O51" s="29">
        <v>0</v>
      </c>
      <c r="P51" s="29">
        <v>0.5</v>
      </c>
      <c r="Q51" s="29">
        <v>0.5</v>
      </c>
      <c r="R51" s="29">
        <v>0.5</v>
      </c>
      <c r="S51" s="29">
        <v>1</v>
      </c>
      <c r="T51" s="29">
        <v>0</v>
      </c>
      <c r="U51" s="23">
        <v>1</v>
      </c>
      <c r="V51" s="29">
        <v>1</v>
      </c>
      <c r="W51" s="29">
        <v>0</v>
      </c>
      <c r="X51" s="29">
        <v>1</v>
      </c>
      <c r="Y51" s="29">
        <v>1</v>
      </c>
      <c r="Z51" s="29">
        <v>1</v>
      </c>
      <c r="AA51" s="29">
        <v>1</v>
      </c>
      <c r="AB51" s="29"/>
      <c r="AC51" s="24">
        <v>1</v>
      </c>
      <c r="AD51" s="29">
        <v>1</v>
      </c>
      <c r="AE51" s="29">
        <v>1</v>
      </c>
      <c r="AF51" s="29">
        <v>1</v>
      </c>
      <c r="AG51" s="29">
        <v>0.5</v>
      </c>
      <c r="AH51" s="29">
        <v>1</v>
      </c>
      <c r="AI51" s="29">
        <v>0.5</v>
      </c>
      <c r="AJ51" s="29">
        <v>1</v>
      </c>
      <c r="AK51" s="29">
        <v>0</v>
      </c>
      <c r="AL51" s="29">
        <v>0.5</v>
      </c>
      <c r="AM51" s="29">
        <v>0.5</v>
      </c>
      <c r="AN51" s="29">
        <v>0.5</v>
      </c>
      <c r="AO51" s="29">
        <v>1</v>
      </c>
      <c r="AP51" s="29">
        <v>0</v>
      </c>
      <c r="AQ51" s="23">
        <v>1</v>
      </c>
      <c r="AR51" s="29">
        <v>1</v>
      </c>
      <c r="AS51" s="29">
        <v>1</v>
      </c>
      <c r="AT51" s="29">
        <v>1</v>
      </c>
      <c r="AU51" s="29">
        <v>1</v>
      </c>
      <c r="AV51" s="29">
        <v>1</v>
      </c>
      <c r="AW51" s="29">
        <v>1</v>
      </c>
      <c r="AX51" s="29">
        <v>0</v>
      </c>
      <c r="AY51" s="24">
        <v>1</v>
      </c>
      <c r="AZ51" s="29">
        <v>1</v>
      </c>
      <c r="BA51" s="29">
        <v>1</v>
      </c>
      <c r="BB51" s="29">
        <v>1</v>
      </c>
      <c r="BC51" s="29">
        <v>0</v>
      </c>
      <c r="BD51" s="29">
        <v>0</v>
      </c>
      <c r="BE51" s="29">
        <v>0.5</v>
      </c>
      <c r="BF51" s="29">
        <v>1</v>
      </c>
      <c r="BG51" s="29"/>
      <c r="BH51" s="29"/>
      <c r="BI51" s="29"/>
      <c r="BJ51" s="24"/>
      <c r="BK51" s="29">
        <v>0.5</v>
      </c>
      <c r="BL51" s="29">
        <v>1</v>
      </c>
      <c r="BM51" s="23">
        <v>1</v>
      </c>
      <c r="BN51" s="29">
        <v>0</v>
      </c>
      <c r="BO51" s="29">
        <v>0.5</v>
      </c>
      <c r="BP51" s="29">
        <v>1</v>
      </c>
      <c r="BQ51" s="29">
        <v>0.5</v>
      </c>
      <c r="BR51" s="29">
        <v>0.5</v>
      </c>
      <c r="BT51">
        <f t="shared" si="77"/>
        <v>59</v>
      </c>
      <c r="BU51">
        <f t="shared" si="78"/>
        <v>42.5</v>
      </c>
      <c r="BV51" s="25">
        <f t="shared" si="79"/>
        <v>0.72033898305084743</v>
      </c>
      <c r="BX51" s="25">
        <f>MAX(BV48:BV84)</f>
        <v>0.83333333333333337</v>
      </c>
      <c r="BY51" t="s">
        <v>56</v>
      </c>
      <c r="EV51" s="25"/>
      <c r="EW51" s="25"/>
    </row>
    <row r="52" spans="2:153" ht="51.75" thickBot="1" x14ac:dyDescent="0.3">
      <c r="B52" s="30" t="s">
        <v>57</v>
      </c>
      <c r="D52" s="22">
        <v>5</v>
      </c>
      <c r="E52" s="32">
        <v>1</v>
      </c>
      <c r="F52" s="32">
        <v>0.5</v>
      </c>
      <c r="G52" s="24">
        <v>1</v>
      </c>
      <c r="H52" s="32">
        <v>1</v>
      </c>
      <c r="I52" s="32">
        <v>0.5</v>
      </c>
      <c r="J52" s="32"/>
      <c r="K52" s="32">
        <v>1</v>
      </c>
      <c r="L52" s="32">
        <v>1</v>
      </c>
      <c r="M52" s="29">
        <v>0.5</v>
      </c>
      <c r="N52" s="32">
        <v>1</v>
      </c>
      <c r="O52" s="32">
        <v>1</v>
      </c>
      <c r="P52" s="32">
        <v>0.5</v>
      </c>
      <c r="Q52" s="32">
        <v>1</v>
      </c>
      <c r="R52" s="32">
        <v>0.5</v>
      </c>
      <c r="S52" s="32">
        <v>1</v>
      </c>
      <c r="T52" s="32">
        <v>1</v>
      </c>
      <c r="U52" s="23">
        <v>1</v>
      </c>
      <c r="V52" s="29">
        <v>1</v>
      </c>
      <c r="W52" s="32">
        <v>0</v>
      </c>
      <c r="X52" s="32">
        <v>1</v>
      </c>
      <c r="Y52" s="29">
        <v>1</v>
      </c>
      <c r="Z52" s="29">
        <v>1</v>
      </c>
      <c r="AA52" s="32">
        <v>0.5</v>
      </c>
      <c r="AB52" s="32">
        <v>1</v>
      </c>
      <c r="AC52" s="24">
        <v>1</v>
      </c>
      <c r="AD52" s="32">
        <v>1</v>
      </c>
      <c r="AE52" s="32">
        <v>0.5</v>
      </c>
      <c r="AF52" s="32">
        <v>1</v>
      </c>
      <c r="AG52" s="32">
        <v>1</v>
      </c>
      <c r="AH52" s="32">
        <v>1</v>
      </c>
      <c r="AI52" s="29">
        <v>0.5</v>
      </c>
      <c r="AJ52" s="32">
        <v>1</v>
      </c>
      <c r="AK52" s="32">
        <v>1</v>
      </c>
      <c r="AL52" s="32">
        <v>0.5</v>
      </c>
      <c r="AM52" s="32">
        <v>0.5</v>
      </c>
      <c r="AN52" s="32">
        <v>0.5</v>
      </c>
      <c r="AO52" s="32">
        <v>1</v>
      </c>
      <c r="AP52" s="32">
        <v>1</v>
      </c>
      <c r="AQ52" s="23">
        <v>1</v>
      </c>
      <c r="AR52" s="29">
        <v>1</v>
      </c>
      <c r="AS52" s="32">
        <v>1</v>
      </c>
      <c r="AT52" s="32">
        <v>1</v>
      </c>
      <c r="AU52" s="29">
        <v>1</v>
      </c>
      <c r="AV52" s="29">
        <v>1</v>
      </c>
      <c r="AW52" s="32">
        <v>0</v>
      </c>
      <c r="AX52" s="32">
        <v>0</v>
      </c>
      <c r="AY52" s="24">
        <v>1</v>
      </c>
      <c r="AZ52" s="32">
        <v>1</v>
      </c>
      <c r="BA52" s="32">
        <v>0.5</v>
      </c>
      <c r="BB52" s="32">
        <v>1</v>
      </c>
      <c r="BC52" s="32">
        <v>0</v>
      </c>
      <c r="BD52" s="32">
        <v>0</v>
      </c>
      <c r="BE52" s="29">
        <v>0</v>
      </c>
      <c r="BF52" s="32">
        <v>1</v>
      </c>
      <c r="BG52" s="32">
        <v>0.5</v>
      </c>
      <c r="BH52" s="32"/>
      <c r="BI52" s="32">
        <v>0.5</v>
      </c>
      <c r="BJ52" s="24"/>
      <c r="BK52" s="32">
        <v>0</v>
      </c>
      <c r="BL52" s="32">
        <v>1</v>
      </c>
      <c r="BM52" s="23">
        <v>1</v>
      </c>
      <c r="BN52" s="29">
        <v>0</v>
      </c>
      <c r="BO52" s="32">
        <v>0.5</v>
      </c>
      <c r="BP52" s="32">
        <v>0.5</v>
      </c>
      <c r="BQ52" s="29">
        <v>0.5</v>
      </c>
      <c r="BR52" s="29">
        <v>0.5</v>
      </c>
      <c r="BT52">
        <f t="shared" si="77"/>
        <v>63</v>
      </c>
      <c r="BU52">
        <f t="shared" si="78"/>
        <v>46</v>
      </c>
      <c r="BV52" s="25">
        <f t="shared" si="79"/>
        <v>0.73015873015873012</v>
      </c>
      <c r="EV52" s="25"/>
      <c r="EW52" s="25"/>
    </row>
    <row r="53" spans="2:153" ht="39" thickBot="1" x14ac:dyDescent="0.3">
      <c r="B53" s="26" t="s">
        <v>58</v>
      </c>
      <c r="D53" s="22">
        <v>6</v>
      </c>
      <c r="E53" s="32">
        <v>1</v>
      </c>
      <c r="F53" s="32">
        <v>0.5</v>
      </c>
      <c r="G53" s="24">
        <v>1</v>
      </c>
      <c r="H53" s="32">
        <v>1</v>
      </c>
      <c r="I53" s="32">
        <v>0.5</v>
      </c>
      <c r="J53" s="32"/>
      <c r="K53" s="32">
        <v>1</v>
      </c>
      <c r="L53" s="32">
        <v>1</v>
      </c>
      <c r="M53" s="29">
        <v>0.5</v>
      </c>
      <c r="N53" s="32">
        <v>1</v>
      </c>
      <c r="O53" s="32">
        <v>0.5</v>
      </c>
      <c r="P53" s="32">
        <v>1</v>
      </c>
      <c r="Q53" s="32">
        <v>0.5</v>
      </c>
      <c r="R53" s="32">
        <v>0.5</v>
      </c>
      <c r="S53" s="32">
        <v>1</v>
      </c>
      <c r="T53" s="32">
        <v>1</v>
      </c>
      <c r="U53" s="23">
        <v>1</v>
      </c>
      <c r="V53" s="29">
        <v>1</v>
      </c>
      <c r="W53" s="32">
        <v>0</v>
      </c>
      <c r="X53" s="32">
        <v>1</v>
      </c>
      <c r="Y53" s="29">
        <v>1</v>
      </c>
      <c r="Z53" s="29">
        <v>1</v>
      </c>
      <c r="AA53" s="32">
        <v>0.5</v>
      </c>
      <c r="AB53" s="32">
        <v>0.5</v>
      </c>
      <c r="AC53" s="24">
        <v>1</v>
      </c>
      <c r="AD53" s="32">
        <v>1</v>
      </c>
      <c r="AE53" s="32">
        <v>0.5</v>
      </c>
      <c r="AF53" s="32">
        <v>1</v>
      </c>
      <c r="AG53" s="32">
        <v>1</v>
      </c>
      <c r="AH53" s="32">
        <v>1</v>
      </c>
      <c r="AI53" s="29">
        <v>0.5</v>
      </c>
      <c r="AJ53" s="32">
        <v>1</v>
      </c>
      <c r="AK53" s="32">
        <v>0.5</v>
      </c>
      <c r="AL53" s="32">
        <v>0.5</v>
      </c>
      <c r="AM53" s="32">
        <v>0.5</v>
      </c>
      <c r="AN53" s="32">
        <v>0.5</v>
      </c>
      <c r="AO53" s="32">
        <v>1</v>
      </c>
      <c r="AP53" s="32">
        <v>1</v>
      </c>
      <c r="AQ53" s="23">
        <v>1</v>
      </c>
      <c r="AR53" s="29">
        <v>1</v>
      </c>
      <c r="AS53" s="32">
        <v>1</v>
      </c>
      <c r="AT53" s="32">
        <v>1</v>
      </c>
      <c r="AU53" s="29">
        <v>1</v>
      </c>
      <c r="AV53" s="29">
        <v>1</v>
      </c>
      <c r="AW53" s="32">
        <v>0</v>
      </c>
      <c r="AX53" s="32">
        <v>0</v>
      </c>
      <c r="AY53" s="24">
        <v>1</v>
      </c>
      <c r="AZ53" s="32">
        <v>1</v>
      </c>
      <c r="BA53" s="32">
        <v>0.5</v>
      </c>
      <c r="BB53" s="32">
        <v>1</v>
      </c>
      <c r="BC53" s="32">
        <v>0</v>
      </c>
      <c r="BD53" s="32">
        <v>0</v>
      </c>
      <c r="BE53" s="29">
        <v>0</v>
      </c>
      <c r="BF53" s="32">
        <v>0.5</v>
      </c>
      <c r="BG53" s="32">
        <v>0.5</v>
      </c>
      <c r="BH53" s="32"/>
      <c r="BI53" s="32"/>
      <c r="BJ53" s="24"/>
      <c r="BK53" s="32">
        <v>0</v>
      </c>
      <c r="BL53" s="32">
        <v>1</v>
      </c>
      <c r="BM53" s="23">
        <v>1</v>
      </c>
      <c r="BN53" s="29">
        <v>0.5</v>
      </c>
      <c r="BO53" s="32">
        <v>0.5</v>
      </c>
      <c r="BP53" s="32">
        <v>0.5</v>
      </c>
      <c r="BQ53" s="29">
        <v>0.5</v>
      </c>
      <c r="BR53" s="29">
        <v>0.5</v>
      </c>
      <c r="BT53">
        <f t="shared" si="77"/>
        <v>62</v>
      </c>
      <c r="BU53">
        <f t="shared" si="78"/>
        <v>44</v>
      </c>
      <c r="BV53" s="25">
        <f t="shared" si="79"/>
        <v>0.70967741935483875</v>
      </c>
      <c r="EV53" s="25"/>
      <c r="EW53" s="25"/>
    </row>
    <row r="54" spans="2:153" ht="39" thickBot="1" x14ac:dyDescent="0.3">
      <c r="B54" s="30" t="s">
        <v>59</v>
      </c>
      <c r="D54" s="22">
        <v>7</v>
      </c>
      <c r="E54" s="32">
        <v>1</v>
      </c>
      <c r="F54" s="32">
        <v>0.5</v>
      </c>
      <c r="G54" s="24">
        <v>1</v>
      </c>
      <c r="H54" s="32">
        <v>1</v>
      </c>
      <c r="I54" s="32">
        <v>1</v>
      </c>
      <c r="J54" s="32"/>
      <c r="K54" s="32">
        <v>0.5</v>
      </c>
      <c r="L54" s="32">
        <v>1</v>
      </c>
      <c r="M54" s="29">
        <v>0.5</v>
      </c>
      <c r="N54" s="32">
        <v>1</v>
      </c>
      <c r="O54" s="32">
        <v>0.5</v>
      </c>
      <c r="P54" s="32">
        <v>1</v>
      </c>
      <c r="Q54" s="32">
        <v>1</v>
      </c>
      <c r="R54" s="32">
        <v>0.5</v>
      </c>
      <c r="S54" s="32">
        <v>1</v>
      </c>
      <c r="T54" s="32">
        <v>1</v>
      </c>
      <c r="U54" s="23">
        <v>1</v>
      </c>
      <c r="V54" s="29">
        <v>0.5</v>
      </c>
      <c r="W54" s="32">
        <v>0</v>
      </c>
      <c r="X54" s="32">
        <v>1</v>
      </c>
      <c r="Y54" s="29">
        <v>1</v>
      </c>
      <c r="Z54" s="29">
        <v>1</v>
      </c>
      <c r="AA54" s="32">
        <v>1</v>
      </c>
      <c r="AB54" s="32">
        <v>0.5</v>
      </c>
      <c r="AC54" s="24">
        <v>1</v>
      </c>
      <c r="AD54" s="32">
        <v>1</v>
      </c>
      <c r="AE54" s="32">
        <v>1</v>
      </c>
      <c r="AF54" s="32">
        <v>1</v>
      </c>
      <c r="AG54" s="32">
        <v>0.5</v>
      </c>
      <c r="AH54" s="32">
        <v>0.5</v>
      </c>
      <c r="AI54" s="29">
        <v>0.5</v>
      </c>
      <c r="AJ54" s="32">
        <v>1</v>
      </c>
      <c r="AK54" s="32">
        <v>1</v>
      </c>
      <c r="AL54" s="32">
        <v>0.5</v>
      </c>
      <c r="AM54" s="32">
        <v>1</v>
      </c>
      <c r="AN54" s="32">
        <v>0.5</v>
      </c>
      <c r="AO54" s="32">
        <v>1</v>
      </c>
      <c r="AP54" s="32">
        <v>1</v>
      </c>
      <c r="AQ54" s="23">
        <v>1</v>
      </c>
      <c r="AR54" s="29">
        <v>0.5</v>
      </c>
      <c r="AS54" s="32">
        <v>1</v>
      </c>
      <c r="AT54" s="32">
        <v>1</v>
      </c>
      <c r="AU54" s="29">
        <v>1</v>
      </c>
      <c r="AV54" s="29">
        <v>1</v>
      </c>
      <c r="AW54" s="32">
        <v>0.5</v>
      </c>
      <c r="AX54" s="32">
        <v>0</v>
      </c>
      <c r="AY54" s="24">
        <v>1</v>
      </c>
      <c r="AZ54" s="32">
        <v>1</v>
      </c>
      <c r="BA54" s="32">
        <v>1</v>
      </c>
      <c r="BB54" s="32">
        <v>1</v>
      </c>
      <c r="BC54" s="32">
        <v>0</v>
      </c>
      <c r="BD54" s="32">
        <v>0.5</v>
      </c>
      <c r="BE54" s="29">
        <v>0</v>
      </c>
      <c r="BF54" s="32">
        <v>0.5</v>
      </c>
      <c r="BG54" s="32">
        <v>0.5</v>
      </c>
      <c r="BH54" s="32">
        <v>0</v>
      </c>
      <c r="BI54" s="32">
        <v>1</v>
      </c>
      <c r="BJ54" s="24"/>
      <c r="BK54" s="32">
        <v>0</v>
      </c>
      <c r="BL54" s="32">
        <v>1</v>
      </c>
      <c r="BM54" s="23">
        <v>1</v>
      </c>
      <c r="BN54" s="29">
        <v>0</v>
      </c>
      <c r="BO54" s="32">
        <v>1</v>
      </c>
      <c r="BP54" s="32">
        <v>1</v>
      </c>
      <c r="BQ54" s="29">
        <v>1</v>
      </c>
      <c r="BR54" s="29">
        <v>1</v>
      </c>
      <c r="BT54">
        <f t="shared" si="77"/>
        <v>64</v>
      </c>
      <c r="BU54">
        <f t="shared" si="78"/>
        <v>48.5</v>
      </c>
      <c r="BV54" s="25">
        <f t="shared" si="79"/>
        <v>0.7578125</v>
      </c>
      <c r="EV54" s="25"/>
      <c r="EW54" s="25"/>
    </row>
    <row r="55" spans="2:153" ht="39" thickBot="1" x14ac:dyDescent="0.3">
      <c r="B55" s="30" t="s">
        <v>60</v>
      </c>
      <c r="D55" s="22">
        <v>8</v>
      </c>
      <c r="E55" s="32">
        <v>1</v>
      </c>
      <c r="F55" s="32">
        <v>0.5</v>
      </c>
      <c r="G55" s="24">
        <v>1</v>
      </c>
      <c r="H55" s="32">
        <v>1</v>
      </c>
      <c r="I55" s="32">
        <v>1</v>
      </c>
      <c r="J55" s="32"/>
      <c r="K55" s="32">
        <v>0</v>
      </c>
      <c r="L55" s="32">
        <v>1</v>
      </c>
      <c r="M55" s="29">
        <v>0.5</v>
      </c>
      <c r="N55" s="32">
        <v>1</v>
      </c>
      <c r="O55" s="24">
        <v>1</v>
      </c>
      <c r="P55" s="32">
        <v>1</v>
      </c>
      <c r="Q55" s="32">
        <v>1</v>
      </c>
      <c r="R55" s="32">
        <v>0.5</v>
      </c>
      <c r="S55" s="32">
        <v>1</v>
      </c>
      <c r="T55" s="32">
        <v>1</v>
      </c>
      <c r="U55" s="23">
        <v>1</v>
      </c>
      <c r="V55" s="29">
        <v>1</v>
      </c>
      <c r="W55" s="32">
        <v>0</v>
      </c>
      <c r="X55" s="32">
        <v>1</v>
      </c>
      <c r="Y55" s="29">
        <v>1</v>
      </c>
      <c r="Z55" s="29">
        <v>1</v>
      </c>
      <c r="AA55" s="32">
        <v>1</v>
      </c>
      <c r="AB55" s="32">
        <v>1</v>
      </c>
      <c r="AC55" s="24">
        <v>1</v>
      </c>
      <c r="AD55" s="32">
        <v>1</v>
      </c>
      <c r="AE55" s="32">
        <v>1</v>
      </c>
      <c r="AF55" s="32">
        <v>0.5</v>
      </c>
      <c r="AG55" s="32">
        <v>0</v>
      </c>
      <c r="AH55" s="32">
        <v>0.5</v>
      </c>
      <c r="AI55" s="29">
        <v>0.5</v>
      </c>
      <c r="AJ55" s="32">
        <v>1</v>
      </c>
      <c r="AK55" s="24">
        <v>1</v>
      </c>
      <c r="AL55" s="32">
        <v>0.5</v>
      </c>
      <c r="AM55" s="32">
        <v>1</v>
      </c>
      <c r="AN55" s="32">
        <v>0.5</v>
      </c>
      <c r="AO55" s="32">
        <v>1</v>
      </c>
      <c r="AP55" s="32">
        <v>1</v>
      </c>
      <c r="AQ55" s="23">
        <v>1</v>
      </c>
      <c r="AR55" s="29">
        <v>1</v>
      </c>
      <c r="AS55" s="32">
        <v>1</v>
      </c>
      <c r="AT55" s="32">
        <v>1</v>
      </c>
      <c r="AU55" s="29">
        <v>1</v>
      </c>
      <c r="AV55" s="29">
        <v>1</v>
      </c>
      <c r="AW55" s="32">
        <v>0</v>
      </c>
      <c r="AX55" s="32">
        <v>0.5</v>
      </c>
      <c r="AY55" s="24">
        <v>1</v>
      </c>
      <c r="AZ55" s="32">
        <v>1</v>
      </c>
      <c r="BA55" s="32">
        <v>1</v>
      </c>
      <c r="BB55" s="32">
        <v>0.5</v>
      </c>
      <c r="BC55" s="32">
        <v>0</v>
      </c>
      <c r="BD55" s="32">
        <v>0</v>
      </c>
      <c r="BE55" s="29">
        <v>0</v>
      </c>
      <c r="BF55" s="32">
        <v>0.5</v>
      </c>
      <c r="BG55" s="24">
        <v>0</v>
      </c>
      <c r="BH55" s="32">
        <v>0.5</v>
      </c>
      <c r="BI55" s="32">
        <v>1</v>
      </c>
      <c r="BJ55" s="24"/>
      <c r="BK55" s="32">
        <v>0.5</v>
      </c>
      <c r="BL55" s="32">
        <v>1</v>
      </c>
      <c r="BM55" s="23">
        <v>1</v>
      </c>
      <c r="BN55" s="29">
        <v>0.5</v>
      </c>
      <c r="BO55" s="32">
        <v>0.5</v>
      </c>
      <c r="BP55" s="32"/>
      <c r="BQ55" s="29">
        <v>0.5</v>
      </c>
      <c r="BR55" s="29">
        <v>0.5</v>
      </c>
      <c r="BT55">
        <f t="shared" si="77"/>
        <v>63</v>
      </c>
      <c r="BU55">
        <f t="shared" si="78"/>
        <v>46.5</v>
      </c>
      <c r="BV55" s="25">
        <f t="shared" si="79"/>
        <v>0.73809523809523814</v>
      </c>
      <c r="EV55" s="25"/>
      <c r="EW55" s="25"/>
    </row>
    <row r="56" spans="2:153" ht="26.25" thickBot="1" x14ac:dyDescent="0.3">
      <c r="B56" s="26" t="s">
        <v>61</v>
      </c>
      <c r="D56" s="22">
        <v>9</v>
      </c>
      <c r="E56" s="32"/>
      <c r="F56" s="32">
        <v>0.5</v>
      </c>
      <c r="G56" s="24">
        <v>1</v>
      </c>
      <c r="H56" s="32">
        <v>1</v>
      </c>
      <c r="I56" s="32">
        <v>1</v>
      </c>
      <c r="J56" s="32">
        <v>0.5</v>
      </c>
      <c r="K56" s="32"/>
      <c r="L56" s="32">
        <v>1</v>
      </c>
      <c r="M56" s="32">
        <v>0</v>
      </c>
      <c r="N56" s="32">
        <v>1</v>
      </c>
      <c r="O56" s="32">
        <v>0.5</v>
      </c>
      <c r="P56" s="32">
        <v>1</v>
      </c>
      <c r="Q56" s="32">
        <v>1</v>
      </c>
      <c r="R56" s="32">
        <v>0.5</v>
      </c>
      <c r="S56" s="32">
        <v>0.5</v>
      </c>
      <c r="T56" s="32">
        <v>1</v>
      </c>
      <c r="U56" s="23">
        <v>1</v>
      </c>
      <c r="V56" s="24">
        <v>1</v>
      </c>
      <c r="W56" s="32">
        <v>0</v>
      </c>
      <c r="X56" s="32">
        <v>1</v>
      </c>
      <c r="Y56" s="24">
        <v>1</v>
      </c>
      <c r="Z56" s="24">
        <v>1</v>
      </c>
      <c r="AA56" s="32"/>
      <c r="AB56" s="32">
        <v>0.5</v>
      </c>
      <c r="AC56" s="24">
        <v>1</v>
      </c>
      <c r="AD56" s="32">
        <v>1</v>
      </c>
      <c r="AE56" s="32">
        <v>1</v>
      </c>
      <c r="AF56" s="32">
        <v>0.5</v>
      </c>
      <c r="AG56" s="32"/>
      <c r="AH56" s="32">
        <v>1</v>
      </c>
      <c r="AI56" s="32">
        <v>0</v>
      </c>
      <c r="AJ56" s="32">
        <v>1</v>
      </c>
      <c r="AK56" s="32">
        <v>0.5</v>
      </c>
      <c r="AL56" s="32">
        <v>0.5</v>
      </c>
      <c r="AM56" s="32">
        <v>0.5</v>
      </c>
      <c r="AN56" s="32">
        <v>0.5</v>
      </c>
      <c r="AO56" s="32">
        <v>0.5</v>
      </c>
      <c r="AP56" s="32">
        <v>1</v>
      </c>
      <c r="AQ56" s="23">
        <v>1</v>
      </c>
      <c r="AR56" s="24">
        <v>1</v>
      </c>
      <c r="AS56" s="32">
        <v>1</v>
      </c>
      <c r="AT56" s="32">
        <v>1</v>
      </c>
      <c r="AU56" s="24">
        <v>1</v>
      </c>
      <c r="AV56" s="24">
        <v>0.5</v>
      </c>
      <c r="AW56" s="32"/>
      <c r="AX56" s="32">
        <v>0.5</v>
      </c>
      <c r="AY56" s="24">
        <v>0.5</v>
      </c>
      <c r="AZ56" s="32">
        <v>1</v>
      </c>
      <c r="BA56" s="32">
        <v>1</v>
      </c>
      <c r="BB56" s="32">
        <v>0.5</v>
      </c>
      <c r="BC56" s="32"/>
      <c r="BD56" s="32">
        <v>0</v>
      </c>
      <c r="BE56" s="32">
        <v>0</v>
      </c>
      <c r="BF56" s="32">
        <v>0.5</v>
      </c>
      <c r="BG56" s="32">
        <v>0</v>
      </c>
      <c r="BH56" s="32">
        <v>0.5</v>
      </c>
      <c r="BI56" s="32">
        <v>0</v>
      </c>
      <c r="BJ56" s="24"/>
      <c r="BK56" s="32">
        <v>0</v>
      </c>
      <c r="BL56" s="32">
        <v>1</v>
      </c>
      <c r="BM56" s="23">
        <v>1</v>
      </c>
      <c r="BN56" s="24">
        <v>0.5</v>
      </c>
      <c r="BO56" s="32">
        <v>0.5</v>
      </c>
      <c r="BP56" s="32">
        <v>1</v>
      </c>
      <c r="BQ56" s="24">
        <v>0.5</v>
      </c>
      <c r="BR56" s="24">
        <v>0.5</v>
      </c>
      <c r="BT56">
        <f t="shared" si="77"/>
        <v>59</v>
      </c>
      <c r="BU56">
        <f t="shared" si="78"/>
        <v>40</v>
      </c>
      <c r="BV56" s="25">
        <f t="shared" si="79"/>
        <v>0.67796610169491522</v>
      </c>
      <c r="EV56" s="25"/>
      <c r="EW56" s="25"/>
    </row>
    <row r="57" spans="2:153" ht="26.25" thickBot="1" x14ac:dyDescent="0.3">
      <c r="B57" s="26" t="s">
        <v>62</v>
      </c>
      <c r="D57" s="22">
        <v>10</v>
      </c>
      <c r="E57" s="32">
        <v>1</v>
      </c>
      <c r="F57" s="32">
        <v>0.5</v>
      </c>
      <c r="G57" s="24">
        <v>1</v>
      </c>
      <c r="H57" s="32">
        <v>1</v>
      </c>
      <c r="I57" s="32">
        <v>1</v>
      </c>
      <c r="J57" s="32"/>
      <c r="K57" s="32">
        <v>1</v>
      </c>
      <c r="L57" s="32">
        <v>0.5</v>
      </c>
      <c r="M57" s="32">
        <v>1</v>
      </c>
      <c r="N57" s="32">
        <v>1</v>
      </c>
      <c r="O57" s="32">
        <v>1</v>
      </c>
      <c r="P57" s="32">
        <v>1</v>
      </c>
      <c r="Q57" s="32">
        <v>1</v>
      </c>
      <c r="R57" s="32">
        <v>0.5</v>
      </c>
      <c r="S57" s="32">
        <v>1</v>
      </c>
      <c r="T57" s="32">
        <v>1</v>
      </c>
      <c r="U57" s="23">
        <v>1</v>
      </c>
      <c r="V57" s="29">
        <v>1</v>
      </c>
      <c r="W57" s="32">
        <v>0</v>
      </c>
      <c r="X57" s="32">
        <v>1</v>
      </c>
      <c r="Y57" s="29">
        <v>1</v>
      </c>
      <c r="Z57" s="29">
        <v>1</v>
      </c>
      <c r="AA57" s="32">
        <v>1</v>
      </c>
      <c r="AB57" s="32">
        <v>0.5</v>
      </c>
      <c r="AC57" s="24">
        <v>1</v>
      </c>
      <c r="AD57" s="32">
        <v>1</v>
      </c>
      <c r="AE57" s="32">
        <v>1</v>
      </c>
      <c r="AF57" s="32">
        <v>1</v>
      </c>
      <c r="AG57" s="32">
        <v>1</v>
      </c>
      <c r="AH57" s="32">
        <v>0.5</v>
      </c>
      <c r="AI57" s="32">
        <v>1</v>
      </c>
      <c r="AJ57" s="32">
        <v>1</v>
      </c>
      <c r="AK57" s="32">
        <v>1</v>
      </c>
      <c r="AL57" s="32">
        <v>0.5</v>
      </c>
      <c r="AM57" s="32">
        <v>1</v>
      </c>
      <c r="AN57" s="32">
        <v>0.5</v>
      </c>
      <c r="AO57" s="32">
        <v>1</v>
      </c>
      <c r="AP57" s="32">
        <v>1</v>
      </c>
      <c r="AQ57" s="23">
        <v>1</v>
      </c>
      <c r="AR57" s="29">
        <v>1</v>
      </c>
      <c r="AS57" s="32">
        <v>1</v>
      </c>
      <c r="AT57" s="32">
        <v>1</v>
      </c>
      <c r="AU57" s="29">
        <v>1</v>
      </c>
      <c r="AV57" s="29">
        <v>1</v>
      </c>
      <c r="AW57" s="32">
        <v>1</v>
      </c>
      <c r="AX57" s="32">
        <v>0.5</v>
      </c>
      <c r="AY57" s="24">
        <v>1</v>
      </c>
      <c r="AZ57" s="32">
        <v>1</v>
      </c>
      <c r="BA57" s="32">
        <v>1</v>
      </c>
      <c r="BB57" s="32">
        <v>1</v>
      </c>
      <c r="BC57" s="32">
        <v>0</v>
      </c>
      <c r="BD57" s="32">
        <v>0.5</v>
      </c>
      <c r="BE57" s="32">
        <v>0.5</v>
      </c>
      <c r="BF57" s="32"/>
      <c r="BG57" s="32">
        <v>0</v>
      </c>
      <c r="BH57" s="32">
        <v>0.5</v>
      </c>
      <c r="BI57" s="32">
        <v>1</v>
      </c>
      <c r="BJ57" s="24"/>
      <c r="BK57" s="32">
        <v>0.5</v>
      </c>
      <c r="BL57" s="32">
        <v>0</v>
      </c>
      <c r="BM57" s="23">
        <v>1</v>
      </c>
      <c r="BN57" s="29">
        <v>1</v>
      </c>
      <c r="BO57" s="32">
        <v>0.5</v>
      </c>
      <c r="BP57" s="32">
        <v>1</v>
      </c>
      <c r="BQ57" s="29">
        <v>1</v>
      </c>
      <c r="BR57" s="29">
        <v>1</v>
      </c>
      <c r="BT57">
        <f t="shared" si="77"/>
        <v>63</v>
      </c>
      <c r="BU57">
        <f t="shared" si="78"/>
        <v>52.5</v>
      </c>
      <c r="BV57" s="25">
        <f t="shared" si="79"/>
        <v>0.83333333333333337</v>
      </c>
      <c r="EV57" s="25"/>
      <c r="EW57" s="25"/>
    </row>
    <row r="58" spans="2:153" ht="26.25" thickBot="1" x14ac:dyDescent="0.3">
      <c r="B58" s="30" t="s">
        <v>63</v>
      </c>
      <c r="D58" s="22">
        <v>11</v>
      </c>
      <c r="E58" s="32">
        <v>1</v>
      </c>
      <c r="F58" s="32"/>
      <c r="G58" s="24">
        <v>1</v>
      </c>
      <c r="H58" s="32">
        <v>1</v>
      </c>
      <c r="I58" s="32">
        <v>1</v>
      </c>
      <c r="J58" s="32"/>
      <c r="K58" s="32">
        <v>1</v>
      </c>
      <c r="L58" s="32">
        <v>1</v>
      </c>
      <c r="M58" s="32">
        <v>0</v>
      </c>
      <c r="N58" s="32">
        <v>1</v>
      </c>
      <c r="O58" s="32">
        <v>0.5</v>
      </c>
      <c r="P58" s="32">
        <v>0.5</v>
      </c>
      <c r="Q58" s="32">
        <v>1</v>
      </c>
      <c r="R58" s="32">
        <v>0.5</v>
      </c>
      <c r="S58" s="32">
        <v>1</v>
      </c>
      <c r="T58" s="32">
        <v>1</v>
      </c>
      <c r="U58" s="23">
        <v>1</v>
      </c>
      <c r="V58" s="29">
        <v>1</v>
      </c>
      <c r="W58" s="32">
        <v>0</v>
      </c>
      <c r="X58" s="32">
        <v>0.5</v>
      </c>
      <c r="Y58" s="29">
        <v>1</v>
      </c>
      <c r="Z58" s="29">
        <v>1</v>
      </c>
      <c r="AA58" s="32">
        <v>0.5</v>
      </c>
      <c r="AB58" s="32"/>
      <c r="AC58" s="24">
        <v>1</v>
      </c>
      <c r="AD58" s="32">
        <v>1</v>
      </c>
      <c r="AE58" s="32">
        <v>1</v>
      </c>
      <c r="AF58" s="32">
        <v>1</v>
      </c>
      <c r="AG58" s="32">
        <v>1</v>
      </c>
      <c r="AH58" s="32">
        <v>1</v>
      </c>
      <c r="AI58" s="32">
        <v>0</v>
      </c>
      <c r="AJ58" s="32">
        <v>1</v>
      </c>
      <c r="AK58" s="32">
        <v>0.5</v>
      </c>
      <c r="AL58" s="32">
        <v>0.5</v>
      </c>
      <c r="AM58" s="32">
        <v>1</v>
      </c>
      <c r="AN58" s="32">
        <v>0.5</v>
      </c>
      <c r="AO58" s="32">
        <v>1</v>
      </c>
      <c r="AP58" s="32">
        <v>1</v>
      </c>
      <c r="AQ58" s="23">
        <v>1</v>
      </c>
      <c r="AR58" s="29">
        <v>1</v>
      </c>
      <c r="AS58" s="32">
        <v>0</v>
      </c>
      <c r="AT58" s="32">
        <v>0.5</v>
      </c>
      <c r="AU58" s="29">
        <v>1</v>
      </c>
      <c r="AV58" s="29">
        <v>1</v>
      </c>
      <c r="AW58" s="32">
        <v>0.5</v>
      </c>
      <c r="AX58" s="32"/>
      <c r="AY58" s="24">
        <v>1</v>
      </c>
      <c r="AZ58" s="32">
        <v>1</v>
      </c>
      <c r="BA58" s="32">
        <v>1</v>
      </c>
      <c r="BB58" s="32">
        <v>1</v>
      </c>
      <c r="BC58" s="32">
        <v>0</v>
      </c>
      <c r="BD58" s="32">
        <v>1</v>
      </c>
      <c r="BE58" s="32">
        <v>0</v>
      </c>
      <c r="BF58" s="32"/>
      <c r="BG58" s="32">
        <v>0</v>
      </c>
      <c r="BH58" s="32">
        <v>0.5</v>
      </c>
      <c r="BI58" s="32">
        <v>1</v>
      </c>
      <c r="BJ58" s="24"/>
      <c r="BK58" s="32">
        <v>0.5</v>
      </c>
      <c r="BL58" s="32">
        <v>1</v>
      </c>
      <c r="BM58" s="23">
        <v>1</v>
      </c>
      <c r="BN58" s="29">
        <v>1</v>
      </c>
      <c r="BO58" s="32"/>
      <c r="BP58" s="32"/>
      <c r="BQ58" s="29">
        <v>1</v>
      </c>
      <c r="BR58" s="29">
        <v>1</v>
      </c>
      <c r="BT58">
        <f t="shared" si="77"/>
        <v>58</v>
      </c>
      <c r="BU58">
        <f t="shared" si="78"/>
        <v>45</v>
      </c>
      <c r="BV58" s="25">
        <f t="shared" si="79"/>
        <v>0.77586206896551724</v>
      </c>
      <c r="EV58" s="25"/>
      <c r="EW58" s="25"/>
    </row>
    <row r="59" spans="2:153" ht="39" thickBot="1" x14ac:dyDescent="0.3">
      <c r="B59" s="26" t="s">
        <v>64</v>
      </c>
      <c r="D59" s="22">
        <v>12</v>
      </c>
      <c r="E59" s="32"/>
      <c r="F59" s="32">
        <v>1</v>
      </c>
      <c r="G59" s="24">
        <v>1</v>
      </c>
      <c r="H59" s="32">
        <v>1</v>
      </c>
      <c r="I59" s="32">
        <v>1</v>
      </c>
      <c r="J59" s="32"/>
      <c r="K59" s="32">
        <v>1</v>
      </c>
      <c r="L59" s="32">
        <v>1</v>
      </c>
      <c r="M59" s="32">
        <v>1</v>
      </c>
      <c r="N59" s="32">
        <v>1</v>
      </c>
      <c r="O59" s="32">
        <v>1</v>
      </c>
      <c r="P59" s="32">
        <v>0.5</v>
      </c>
      <c r="Q59" s="32">
        <v>1</v>
      </c>
      <c r="R59" s="32">
        <v>0.5</v>
      </c>
      <c r="S59" s="32">
        <v>1</v>
      </c>
      <c r="T59" s="32">
        <v>1</v>
      </c>
      <c r="U59" s="23">
        <v>1</v>
      </c>
      <c r="V59" s="29">
        <v>0.5</v>
      </c>
      <c r="W59" s="32">
        <v>0</v>
      </c>
      <c r="X59" s="32">
        <v>1</v>
      </c>
      <c r="Y59" s="29">
        <v>1</v>
      </c>
      <c r="Z59" s="29">
        <v>1</v>
      </c>
      <c r="AA59" s="32"/>
      <c r="AB59" s="32">
        <v>1</v>
      </c>
      <c r="AC59" s="24">
        <v>1</v>
      </c>
      <c r="AD59" s="32">
        <v>1</v>
      </c>
      <c r="AE59" s="32">
        <v>1</v>
      </c>
      <c r="AF59" s="32">
        <v>1</v>
      </c>
      <c r="AG59" s="32">
        <v>1</v>
      </c>
      <c r="AH59" s="32">
        <v>1</v>
      </c>
      <c r="AI59" s="32">
        <v>1</v>
      </c>
      <c r="AJ59" s="32">
        <v>1</v>
      </c>
      <c r="AK59" s="32">
        <v>1</v>
      </c>
      <c r="AL59" s="32">
        <v>0.5</v>
      </c>
      <c r="AM59" s="32">
        <v>1</v>
      </c>
      <c r="AN59" s="32">
        <v>0.5</v>
      </c>
      <c r="AO59" s="32">
        <v>1</v>
      </c>
      <c r="AP59" s="32">
        <v>1</v>
      </c>
      <c r="AQ59" s="23">
        <v>1</v>
      </c>
      <c r="AR59" s="29">
        <v>1</v>
      </c>
      <c r="AS59" s="32">
        <v>0</v>
      </c>
      <c r="AT59" s="32">
        <v>1</v>
      </c>
      <c r="AU59" s="29">
        <v>0.5</v>
      </c>
      <c r="AV59" s="29">
        <v>0.5</v>
      </c>
      <c r="AW59" s="32"/>
      <c r="AX59" s="32">
        <v>1</v>
      </c>
      <c r="AY59" s="24">
        <v>1</v>
      </c>
      <c r="AZ59" s="32">
        <v>1</v>
      </c>
      <c r="BA59" s="32">
        <v>1</v>
      </c>
      <c r="BB59" s="32">
        <v>1</v>
      </c>
      <c r="BC59" s="32">
        <v>0</v>
      </c>
      <c r="BD59" s="32">
        <v>0.5</v>
      </c>
      <c r="BE59" s="32">
        <v>0.5</v>
      </c>
      <c r="BF59" s="32">
        <v>0.5</v>
      </c>
      <c r="BG59" s="32">
        <v>0.5</v>
      </c>
      <c r="BH59" s="32">
        <v>0.5</v>
      </c>
      <c r="BI59" s="32">
        <v>1</v>
      </c>
      <c r="BJ59" s="24"/>
      <c r="BK59" s="32">
        <v>0.5</v>
      </c>
      <c r="BL59" s="32">
        <v>1</v>
      </c>
      <c r="BM59" s="23">
        <v>1</v>
      </c>
      <c r="BN59" s="29">
        <v>0.5</v>
      </c>
      <c r="BO59" s="32"/>
      <c r="BP59" s="32">
        <v>1</v>
      </c>
      <c r="BQ59" s="29">
        <v>0.5</v>
      </c>
      <c r="BR59" s="29">
        <v>0.5</v>
      </c>
      <c r="BT59">
        <f t="shared" si="77"/>
        <v>60</v>
      </c>
      <c r="BU59">
        <f t="shared" si="78"/>
        <v>49</v>
      </c>
      <c r="BV59" s="25">
        <f t="shared" si="79"/>
        <v>0.81666666666666665</v>
      </c>
      <c r="EV59" s="25"/>
      <c r="EW59" s="25"/>
    </row>
    <row r="60" spans="2:153" ht="39" thickBot="1" x14ac:dyDescent="0.3">
      <c r="B60" s="30" t="s">
        <v>65</v>
      </c>
      <c r="D60" s="22">
        <v>13</v>
      </c>
      <c r="E60" s="32">
        <v>1</v>
      </c>
      <c r="F60" s="32">
        <v>1</v>
      </c>
      <c r="G60" s="24">
        <v>1</v>
      </c>
      <c r="H60" s="32">
        <v>1</v>
      </c>
      <c r="I60" s="32">
        <v>1</v>
      </c>
      <c r="J60" s="32"/>
      <c r="K60" s="32">
        <v>1</v>
      </c>
      <c r="L60" s="32">
        <v>0.5</v>
      </c>
      <c r="M60" s="24">
        <v>0.5</v>
      </c>
      <c r="N60" s="32">
        <v>1</v>
      </c>
      <c r="O60" s="32">
        <v>1</v>
      </c>
      <c r="P60" s="32">
        <v>0.5</v>
      </c>
      <c r="Q60" s="32">
        <v>1</v>
      </c>
      <c r="R60" s="32">
        <v>0.5</v>
      </c>
      <c r="S60" s="32">
        <v>1</v>
      </c>
      <c r="T60" s="32">
        <v>1</v>
      </c>
      <c r="U60" s="23">
        <v>1</v>
      </c>
      <c r="V60" s="29">
        <v>1</v>
      </c>
      <c r="W60" s="32">
        <v>0.5</v>
      </c>
      <c r="X60" s="32">
        <v>0.5</v>
      </c>
      <c r="Y60" s="29">
        <v>1</v>
      </c>
      <c r="Z60" s="29">
        <v>1</v>
      </c>
      <c r="AA60" s="32"/>
      <c r="AB60" s="32">
        <v>1</v>
      </c>
      <c r="AC60" s="24">
        <v>1</v>
      </c>
      <c r="AD60" s="32">
        <v>1</v>
      </c>
      <c r="AE60" s="32">
        <v>1</v>
      </c>
      <c r="AF60" s="32">
        <v>0.5</v>
      </c>
      <c r="AG60" s="32">
        <v>1</v>
      </c>
      <c r="AH60" s="32">
        <v>0.5</v>
      </c>
      <c r="AI60" s="24">
        <v>0.5</v>
      </c>
      <c r="AJ60" s="32">
        <v>1</v>
      </c>
      <c r="AK60" s="32">
        <v>1</v>
      </c>
      <c r="AL60" s="32">
        <v>0.5</v>
      </c>
      <c r="AM60" s="32">
        <v>1</v>
      </c>
      <c r="AN60" s="32">
        <v>0.5</v>
      </c>
      <c r="AO60" s="32">
        <v>1</v>
      </c>
      <c r="AP60" s="32">
        <v>1</v>
      </c>
      <c r="AQ60" s="23">
        <v>1</v>
      </c>
      <c r="AR60" s="29">
        <v>1</v>
      </c>
      <c r="AS60" s="32">
        <v>0.5</v>
      </c>
      <c r="AT60" s="32">
        <v>0.5</v>
      </c>
      <c r="AU60" s="29">
        <v>1</v>
      </c>
      <c r="AV60" s="29">
        <v>1</v>
      </c>
      <c r="AW60" s="32">
        <v>0</v>
      </c>
      <c r="AX60" s="32">
        <v>1</v>
      </c>
      <c r="AY60" s="24">
        <v>1</v>
      </c>
      <c r="AZ60" s="32">
        <v>1</v>
      </c>
      <c r="BA60" s="32">
        <v>1</v>
      </c>
      <c r="BB60" s="32">
        <v>0.5</v>
      </c>
      <c r="BC60" s="32">
        <v>0</v>
      </c>
      <c r="BD60" s="32">
        <v>0</v>
      </c>
      <c r="BE60" s="24">
        <v>0.5</v>
      </c>
      <c r="BF60" s="32">
        <v>0.5</v>
      </c>
      <c r="BG60" s="32">
        <v>0.5</v>
      </c>
      <c r="BH60" s="32"/>
      <c r="BI60" s="32">
        <v>1</v>
      </c>
      <c r="BJ60" s="24"/>
      <c r="BK60" s="32">
        <v>0.5</v>
      </c>
      <c r="BL60" s="32">
        <v>1</v>
      </c>
      <c r="BM60" s="23">
        <v>1</v>
      </c>
      <c r="BN60" s="29">
        <v>0.5</v>
      </c>
      <c r="BO60" s="32">
        <v>0</v>
      </c>
      <c r="BP60" s="32"/>
      <c r="BQ60" s="29">
        <v>1</v>
      </c>
      <c r="BR60" s="29">
        <v>1</v>
      </c>
      <c r="BT60">
        <f t="shared" si="77"/>
        <v>61</v>
      </c>
      <c r="BU60">
        <f t="shared" si="78"/>
        <v>47.5</v>
      </c>
      <c r="BV60" s="25">
        <f t="shared" si="79"/>
        <v>0.77868852459016391</v>
      </c>
      <c r="EV60" s="25"/>
      <c r="EW60" s="25"/>
    </row>
    <row r="61" spans="2:153" ht="26.25" thickBot="1" x14ac:dyDescent="0.3">
      <c r="B61" s="26" t="s">
        <v>66</v>
      </c>
      <c r="D61" s="22">
        <v>14</v>
      </c>
      <c r="E61" s="32"/>
      <c r="F61" s="32">
        <v>0.5</v>
      </c>
      <c r="G61" s="24">
        <v>1</v>
      </c>
      <c r="H61" s="32">
        <v>1</v>
      </c>
      <c r="I61" s="32">
        <v>1</v>
      </c>
      <c r="J61" s="32"/>
      <c r="K61" s="32">
        <v>0.5</v>
      </c>
      <c r="L61" s="32"/>
      <c r="M61" s="24">
        <v>0.5</v>
      </c>
      <c r="N61" s="32">
        <v>0.5</v>
      </c>
      <c r="O61" s="32">
        <v>0.5</v>
      </c>
      <c r="P61" s="32">
        <v>1</v>
      </c>
      <c r="Q61" s="32">
        <v>1</v>
      </c>
      <c r="R61" s="32">
        <v>0.5</v>
      </c>
      <c r="S61" s="32">
        <v>1</v>
      </c>
      <c r="T61" s="32">
        <v>1</v>
      </c>
      <c r="U61" s="23">
        <v>1</v>
      </c>
      <c r="V61" s="29">
        <v>0.5</v>
      </c>
      <c r="W61" s="32">
        <v>0</v>
      </c>
      <c r="X61" s="32">
        <v>0</v>
      </c>
      <c r="Y61" s="29">
        <v>1</v>
      </c>
      <c r="Z61" s="29">
        <v>1</v>
      </c>
      <c r="AA61" s="32"/>
      <c r="AB61" s="32">
        <v>1</v>
      </c>
      <c r="AC61" s="24">
        <v>1</v>
      </c>
      <c r="AD61" s="32">
        <v>1</v>
      </c>
      <c r="AE61" s="32">
        <v>1</v>
      </c>
      <c r="AF61" s="32">
        <v>1</v>
      </c>
      <c r="AG61" s="32">
        <v>0.5</v>
      </c>
      <c r="AH61" s="32"/>
      <c r="AI61" s="24">
        <v>0.5</v>
      </c>
      <c r="AJ61" s="32">
        <v>0.5</v>
      </c>
      <c r="AK61" s="32">
        <v>0.5</v>
      </c>
      <c r="AL61" s="32">
        <v>0.5</v>
      </c>
      <c r="AM61" s="32">
        <v>1</v>
      </c>
      <c r="AN61" s="32">
        <v>0.5</v>
      </c>
      <c r="AO61" s="32">
        <v>1</v>
      </c>
      <c r="AP61" s="32">
        <v>1</v>
      </c>
      <c r="AQ61" s="23">
        <v>1</v>
      </c>
      <c r="AR61" s="29">
        <v>0.5</v>
      </c>
      <c r="AS61" s="32">
        <v>1</v>
      </c>
      <c r="AT61" s="32">
        <v>0</v>
      </c>
      <c r="AU61" s="29">
        <v>1</v>
      </c>
      <c r="AV61" s="29">
        <v>1</v>
      </c>
      <c r="AW61" s="32"/>
      <c r="AX61" s="32">
        <v>0.5</v>
      </c>
      <c r="AY61" s="24">
        <v>1</v>
      </c>
      <c r="AZ61" s="32">
        <v>1</v>
      </c>
      <c r="BA61" s="32">
        <v>1</v>
      </c>
      <c r="BB61" s="32">
        <v>1</v>
      </c>
      <c r="BC61" s="32">
        <v>0</v>
      </c>
      <c r="BD61" s="32"/>
      <c r="BE61" s="24">
        <v>0.5</v>
      </c>
      <c r="BF61" s="32">
        <v>0</v>
      </c>
      <c r="BG61" s="32">
        <v>0.5</v>
      </c>
      <c r="BH61" s="32">
        <v>0.5</v>
      </c>
      <c r="BI61" s="32">
        <v>1</v>
      </c>
      <c r="BJ61" s="24"/>
      <c r="BK61" s="32">
        <v>0.5</v>
      </c>
      <c r="BL61" s="32">
        <v>0</v>
      </c>
      <c r="BM61" s="23">
        <v>1</v>
      </c>
      <c r="BN61" s="29">
        <v>0.5</v>
      </c>
      <c r="BO61" s="32">
        <v>0.5</v>
      </c>
      <c r="BP61" s="32"/>
      <c r="BQ61" s="29">
        <v>1</v>
      </c>
      <c r="BR61" s="29">
        <v>1</v>
      </c>
      <c r="BT61">
        <f t="shared" si="77"/>
        <v>57</v>
      </c>
      <c r="BU61">
        <f t="shared" si="78"/>
        <v>40.5</v>
      </c>
      <c r="BV61" s="25">
        <f t="shared" si="79"/>
        <v>0.71052631578947367</v>
      </c>
      <c r="EV61" s="25"/>
      <c r="EW61" s="25"/>
    </row>
    <row r="62" spans="2:153" ht="51.75" thickBot="1" x14ac:dyDescent="0.3">
      <c r="B62" s="26" t="s">
        <v>67</v>
      </c>
      <c r="D62" s="22">
        <v>15</v>
      </c>
      <c r="E62" s="32">
        <v>1</v>
      </c>
      <c r="F62" s="32">
        <v>0.5</v>
      </c>
      <c r="G62" s="24">
        <v>1</v>
      </c>
      <c r="H62" s="32">
        <v>1</v>
      </c>
      <c r="I62" s="32">
        <v>1</v>
      </c>
      <c r="J62" s="32"/>
      <c r="K62" s="32">
        <v>1</v>
      </c>
      <c r="L62" s="32">
        <v>0.5</v>
      </c>
      <c r="M62" s="32">
        <v>0</v>
      </c>
      <c r="N62" s="32">
        <v>1</v>
      </c>
      <c r="O62" s="32">
        <v>0.5</v>
      </c>
      <c r="P62" s="32">
        <v>1</v>
      </c>
      <c r="Q62" s="32">
        <v>1</v>
      </c>
      <c r="R62" s="32">
        <v>0.5</v>
      </c>
      <c r="S62" s="32">
        <v>1</v>
      </c>
      <c r="T62" s="32">
        <v>1</v>
      </c>
      <c r="U62" s="23">
        <v>1</v>
      </c>
      <c r="V62" s="29">
        <v>1</v>
      </c>
      <c r="W62" s="32">
        <v>0</v>
      </c>
      <c r="X62" s="32">
        <v>0</v>
      </c>
      <c r="Y62" s="29">
        <v>1</v>
      </c>
      <c r="Z62" s="29">
        <v>1</v>
      </c>
      <c r="AA62" s="32"/>
      <c r="AB62" s="32">
        <v>0.5</v>
      </c>
      <c r="AC62" s="24">
        <v>1</v>
      </c>
      <c r="AD62" s="32">
        <v>1</v>
      </c>
      <c r="AE62" s="32">
        <v>1</v>
      </c>
      <c r="AF62" s="32">
        <v>1</v>
      </c>
      <c r="AG62" s="32">
        <v>1</v>
      </c>
      <c r="AH62" s="32">
        <v>0.5</v>
      </c>
      <c r="AI62" s="32">
        <v>0</v>
      </c>
      <c r="AJ62" s="32">
        <v>1</v>
      </c>
      <c r="AK62" s="32">
        <v>0.5</v>
      </c>
      <c r="AL62" s="32">
        <v>0.5</v>
      </c>
      <c r="AM62" s="32">
        <v>1</v>
      </c>
      <c r="AN62" s="32">
        <v>0.5</v>
      </c>
      <c r="AO62" s="32">
        <v>1</v>
      </c>
      <c r="AP62" s="32">
        <v>1</v>
      </c>
      <c r="AQ62" s="23">
        <v>1</v>
      </c>
      <c r="AR62" s="29">
        <v>1</v>
      </c>
      <c r="AS62" s="32">
        <v>0</v>
      </c>
      <c r="AT62" s="32">
        <v>0</v>
      </c>
      <c r="AU62" s="29">
        <v>1</v>
      </c>
      <c r="AV62" s="29">
        <v>1</v>
      </c>
      <c r="AW62" s="32">
        <v>0.5</v>
      </c>
      <c r="AX62" s="32">
        <v>0</v>
      </c>
      <c r="AY62" s="24">
        <v>1</v>
      </c>
      <c r="AZ62" s="32">
        <v>1</v>
      </c>
      <c r="BA62" s="32">
        <v>1</v>
      </c>
      <c r="BB62" s="32">
        <v>1</v>
      </c>
      <c r="BC62" s="32">
        <v>0</v>
      </c>
      <c r="BD62" s="32"/>
      <c r="BE62" s="32">
        <v>0</v>
      </c>
      <c r="BF62" s="32">
        <v>1</v>
      </c>
      <c r="BG62" s="32">
        <v>0.5</v>
      </c>
      <c r="BH62" s="32">
        <v>0.5</v>
      </c>
      <c r="BI62" s="32">
        <v>1</v>
      </c>
      <c r="BJ62" s="24"/>
      <c r="BK62" s="32">
        <v>0.5</v>
      </c>
      <c r="BL62" s="32">
        <v>1</v>
      </c>
      <c r="BM62" s="23">
        <v>1</v>
      </c>
      <c r="BN62" s="29">
        <v>1</v>
      </c>
      <c r="BO62" s="32"/>
      <c r="BP62" s="32"/>
      <c r="BQ62" s="29">
        <v>1</v>
      </c>
      <c r="BR62" s="29">
        <v>1</v>
      </c>
      <c r="BT62">
        <f t="shared" si="77"/>
        <v>60</v>
      </c>
      <c r="BU62">
        <f t="shared" si="78"/>
        <v>44.5</v>
      </c>
      <c r="BV62" s="25">
        <f t="shared" si="79"/>
        <v>0.7416666666666667</v>
      </c>
      <c r="EV62" s="25"/>
      <c r="EW62" s="25"/>
    </row>
    <row r="63" spans="2:153" ht="51.75" thickBot="1" x14ac:dyDescent="0.3">
      <c r="B63" s="26" t="s">
        <v>68</v>
      </c>
      <c r="D63" s="22">
        <v>16</v>
      </c>
      <c r="E63" s="32">
        <v>1</v>
      </c>
      <c r="F63" s="32">
        <v>1</v>
      </c>
      <c r="G63" s="24">
        <v>1</v>
      </c>
      <c r="H63" s="32">
        <v>1</v>
      </c>
      <c r="I63" s="32">
        <v>1</v>
      </c>
      <c r="J63" s="32"/>
      <c r="K63" s="32">
        <v>0.5</v>
      </c>
      <c r="L63" s="32">
        <v>1</v>
      </c>
      <c r="M63" s="32">
        <v>0</v>
      </c>
      <c r="N63" s="32">
        <v>1</v>
      </c>
      <c r="O63" s="32">
        <v>1</v>
      </c>
      <c r="P63" s="32">
        <v>0.5</v>
      </c>
      <c r="Q63" s="32">
        <v>1</v>
      </c>
      <c r="R63" s="32">
        <v>0.5</v>
      </c>
      <c r="S63" s="32">
        <v>1</v>
      </c>
      <c r="T63" s="32">
        <v>1</v>
      </c>
      <c r="U63" s="23">
        <v>1</v>
      </c>
      <c r="V63" s="29">
        <v>1</v>
      </c>
      <c r="W63" s="32">
        <v>0</v>
      </c>
      <c r="X63" s="32">
        <v>1</v>
      </c>
      <c r="Y63" s="29">
        <v>1</v>
      </c>
      <c r="Z63" s="29">
        <v>1</v>
      </c>
      <c r="AA63" s="32">
        <v>1</v>
      </c>
      <c r="AB63" s="32">
        <v>1</v>
      </c>
      <c r="AC63" s="24">
        <v>1</v>
      </c>
      <c r="AD63" s="32">
        <v>1</v>
      </c>
      <c r="AE63" s="32">
        <v>1</v>
      </c>
      <c r="AF63" s="32">
        <v>1</v>
      </c>
      <c r="AG63" s="32">
        <v>0.5</v>
      </c>
      <c r="AH63" s="32">
        <v>0.5</v>
      </c>
      <c r="AI63" s="32">
        <v>0</v>
      </c>
      <c r="AJ63" s="32">
        <v>1</v>
      </c>
      <c r="AK63" s="32">
        <v>1</v>
      </c>
      <c r="AL63" s="32">
        <v>0.5</v>
      </c>
      <c r="AM63" s="32">
        <v>1</v>
      </c>
      <c r="AN63" s="32">
        <v>0.5</v>
      </c>
      <c r="AO63" s="32">
        <v>1</v>
      </c>
      <c r="AP63" s="32">
        <v>1</v>
      </c>
      <c r="AQ63" s="23">
        <v>1</v>
      </c>
      <c r="AR63" s="29">
        <v>1</v>
      </c>
      <c r="AS63" s="32">
        <v>1</v>
      </c>
      <c r="AT63" s="32">
        <v>1</v>
      </c>
      <c r="AU63" s="29">
        <v>1</v>
      </c>
      <c r="AV63" s="29">
        <v>1</v>
      </c>
      <c r="AW63" s="32">
        <v>1</v>
      </c>
      <c r="AX63" s="32">
        <v>0.5</v>
      </c>
      <c r="AY63" s="24">
        <v>1</v>
      </c>
      <c r="AZ63" s="32">
        <v>1</v>
      </c>
      <c r="BA63" s="32">
        <v>1</v>
      </c>
      <c r="BB63" s="32">
        <v>1</v>
      </c>
      <c r="BC63" s="32">
        <v>0</v>
      </c>
      <c r="BD63" s="32">
        <v>0</v>
      </c>
      <c r="BE63" s="32">
        <v>0</v>
      </c>
      <c r="BF63" s="32">
        <v>1</v>
      </c>
      <c r="BG63" s="32">
        <v>0.5</v>
      </c>
      <c r="BH63" s="32"/>
      <c r="BI63" s="32">
        <v>1</v>
      </c>
      <c r="BJ63" s="24"/>
      <c r="BK63" s="32">
        <v>0</v>
      </c>
      <c r="BL63" s="32">
        <v>1</v>
      </c>
      <c r="BM63" s="23">
        <v>1</v>
      </c>
      <c r="BN63" s="29">
        <v>1</v>
      </c>
      <c r="BO63" s="32">
        <v>0.5</v>
      </c>
      <c r="BP63" s="32"/>
      <c r="BQ63" s="29">
        <v>1</v>
      </c>
      <c r="BR63" s="29">
        <v>1</v>
      </c>
      <c r="BT63">
        <f t="shared" si="77"/>
        <v>62</v>
      </c>
      <c r="BU63">
        <f t="shared" si="78"/>
        <v>50</v>
      </c>
      <c r="BV63" s="25">
        <f t="shared" si="79"/>
        <v>0.80645161290322576</v>
      </c>
      <c r="EV63" s="25"/>
      <c r="EW63" s="25"/>
    </row>
    <row r="64" spans="2:153" ht="39" thickBot="1" x14ac:dyDescent="0.3">
      <c r="B64" s="26" t="s">
        <v>69</v>
      </c>
      <c r="D64" s="22">
        <v>17</v>
      </c>
      <c r="E64" s="32">
        <v>1</v>
      </c>
      <c r="F64" s="32">
        <v>1</v>
      </c>
      <c r="G64" s="24">
        <v>1</v>
      </c>
      <c r="H64" s="32">
        <v>1</v>
      </c>
      <c r="I64" s="32">
        <v>1</v>
      </c>
      <c r="J64" s="32"/>
      <c r="K64" s="32">
        <v>0.5</v>
      </c>
      <c r="L64" s="32">
        <v>1</v>
      </c>
      <c r="M64" s="32">
        <v>0</v>
      </c>
      <c r="N64" s="32">
        <v>0.5</v>
      </c>
      <c r="O64" s="32">
        <v>1</v>
      </c>
      <c r="P64" s="32">
        <v>1</v>
      </c>
      <c r="Q64" s="32">
        <v>1</v>
      </c>
      <c r="R64" s="32">
        <v>0.5</v>
      </c>
      <c r="S64" s="32">
        <v>1</v>
      </c>
      <c r="T64" s="32">
        <v>1</v>
      </c>
      <c r="U64" s="23">
        <v>1</v>
      </c>
      <c r="V64" s="29">
        <v>0.5</v>
      </c>
      <c r="W64" s="32">
        <v>1</v>
      </c>
      <c r="X64" s="32">
        <v>1</v>
      </c>
      <c r="Y64" s="29">
        <v>1</v>
      </c>
      <c r="Z64" s="29">
        <v>1</v>
      </c>
      <c r="AA64" s="32">
        <v>1</v>
      </c>
      <c r="AB64" s="32">
        <v>1</v>
      </c>
      <c r="AC64" s="24">
        <v>1</v>
      </c>
      <c r="AD64" s="32">
        <v>1</v>
      </c>
      <c r="AE64" s="32">
        <v>1</v>
      </c>
      <c r="AF64" s="32">
        <v>1</v>
      </c>
      <c r="AG64" s="32">
        <v>0.5</v>
      </c>
      <c r="AH64" s="32">
        <v>1</v>
      </c>
      <c r="AI64" s="32">
        <v>0</v>
      </c>
      <c r="AJ64" s="32">
        <v>0.5</v>
      </c>
      <c r="AK64" s="32">
        <v>1</v>
      </c>
      <c r="AL64" s="32">
        <v>0.5</v>
      </c>
      <c r="AM64" s="32">
        <v>1</v>
      </c>
      <c r="AN64" s="32">
        <v>0.5</v>
      </c>
      <c r="AO64" s="32">
        <v>1</v>
      </c>
      <c r="AP64" s="32">
        <v>1</v>
      </c>
      <c r="AQ64" s="23">
        <v>1</v>
      </c>
      <c r="AR64" s="29">
        <v>1</v>
      </c>
      <c r="AS64" s="32">
        <v>1</v>
      </c>
      <c r="AT64" s="32">
        <v>1</v>
      </c>
      <c r="AU64" s="29">
        <v>1</v>
      </c>
      <c r="AV64" s="29">
        <v>1</v>
      </c>
      <c r="AW64" s="32">
        <v>1</v>
      </c>
      <c r="AX64" s="32"/>
      <c r="AY64" s="24">
        <v>1</v>
      </c>
      <c r="AZ64" s="32">
        <v>1</v>
      </c>
      <c r="BA64" s="32">
        <v>1</v>
      </c>
      <c r="BB64" s="32">
        <v>1</v>
      </c>
      <c r="BC64" s="32">
        <v>0</v>
      </c>
      <c r="BD64" s="32">
        <v>1</v>
      </c>
      <c r="BE64" s="32">
        <v>0</v>
      </c>
      <c r="BF64" s="32"/>
      <c r="BG64" s="32">
        <v>0.5</v>
      </c>
      <c r="BH64" s="32">
        <v>0.5</v>
      </c>
      <c r="BI64" s="32">
        <v>1</v>
      </c>
      <c r="BJ64" s="24"/>
      <c r="BK64" s="32">
        <v>0.5</v>
      </c>
      <c r="BL64" s="32">
        <v>1</v>
      </c>
      <c r="BM64" s="23">
        <v>1</v>
      </c>
      <c r="BN64" s="29">
        <v>0</v>
      </c>
      <c r="BO64" s="32">
        <v>0.5</v>
      </c>
      <c r="BP64" s="32"/>
      <c r="BQ64" s="29">
        <v>1</v>
      </c>
      <c r="BR64" s="29">
        <v>1</v>
      </c>
      <c r="BT64">
        <f t="shared" si="77"/>
        <v>61</v>
      </c>
      <c r="BU64">
        <f t="shared" si="78"/>
        <v>50</v>
      </c>
      <c r="BV64" s="25">
        <f t="shared" si="79"/>
        <v>0.81967213114754101</v>
      </c>
      <c r="EV64" s="25"/>
      <c r="EW64" s="25"/>
    </row>
    <row r="65" spans="2:153" ht="39" thickBot="1" x14ac:dyDescent="0.3">
      <c r="B65" s="33" t="s">
        <v>70</v>
      </c>
      <c r="D65" s="22">
        <v>18</v>
      </c>
      <c r="E65" s="32">
        <v>1</v>
      </c>
      <c r="F65" s="32">
        <v>0.5</v>
      </c>
      <c r="G65" s="24">
        <v>1</v>
      </c>
      <c r="H65" s="32">
        <v>1</v>
      </c>
      <c r="I65" s="32">
        <v>0</v>
      </c>
      <c r="J65" s="32"/>
      <c r="K65" s="32"/>
      <c r="L65" s="32">
        <v>1</v>
      </c>
      <c r="M65" s="24">
        <v>0.5</v>
      </c>
      <c r="N65" s="32">
        <v>1</v>
      </c>
      <c r="O65" s="32">
        <v>0.5</v>
      </c>
      <c r="P65" s="32">
        <v>1</v>
      </c>
      <c r="Q65" s="32">
        <v>1</v>
      </c>
      <c r="R65" s="32">
        <v>0.5</v>
      </c>
      <c r="S65" s="32">
        <v>1</v>
      </c>
      <c r="T65" s="32">
        <v>1</v>
      </c>
      <c r="U65" s="23">
        <v>1</v>
      </c>
      <c r="V65" s="29">
        <v>1</v>
      </c>
      <c r="W65" s="32">
        <v>0</v>
      </c>
      <c r="X65" s="32">
        <v>1</v>
      </c>
      <c r="Y65" s="29">
        <v>0.5</v>
      </c>
      <c r="Z65" s="29">
        <v>0.5</v>
      </c>
      <c r="AA65" s="32">
        <v>1</v>
      </c>
      <c r="AB65" s="32">
        <v>1</v>
      </c>
      <c r="AC65" s="24">
        <v>1</v>
      </c>
      <c r="AD65" s="32">
        <v>1</v>
      </c>
      <c r="AE65" s="32">
        <v>0</v>
      </c>
      <c r="AF65" s="32">
        <v>0.5</v>
      </c>
      <c r="AG65" s="32"/>
      <c r="AH65" s="32">
        <v>1</v>
      </c>
      <c r="AI65" s="24">
        <v>0.5</v>
      </c>
      <c r="AJ65" s="32">
        <v>1</v>
      </c>
      <c r="AK65" s="32">
        <v>1</v>
      </c>
      <c r="AL65" s="32">
        <v>0.5</v>
      </c>
      <c r="AM65" s="32">
        <v>0.5</v>
      </c>
      <c r="AN65" s="32">
        <v>0.5</v>
      </c>
      <c r="AO65" s="32">
        <v>1</v>
      </c>
      <c r="AP65" s="32">
        <v>1</v>
      </c>
      <c r="AQ65" s="23">
        <v>1</v>
      </c>
      <c r="AR65" s="29">
        <v>1</v>
      </c>
      <c r="AS65" s="32">
        <v>0</v>
      </c>
      <c r="AT65" s="32">
        <v>1</v>
      </c>
      <c r="AU65" s="29">
        <v>0.5</v>
      </c>
      <c r="AV65" s="29">
        <v>0.5</v>
      </c>
      <c r="AW65" s="32">
        <v>0.5</v>
      </c>
      <c r="AX65" s="32">
        <v>0</v>
      </c>
      <c r="AY65" s="24">
        <v>1</v>
      </c>
      <c r="AZ65" s="32">
        <v>0.5</v>
      </c>
      <c r="BA65" s="32">
        <v>0</v>
      </c>
      <c r="BB65" s="32">
        <v>0</v>
      </c>
      <c r="BC65" s="32"/>
      <c r="BD65" s="32">
        <v>1</v>
      </c>
      <c r="BE65" s="24">
        <v>0.5</v>
      </c>
      <c r="BF65" s="32">
        <v>0.5</v>
      </c>
      <c r="BG65" s="32">
        <v>0.5</v>
      </c>
      <c r="BH65" s="32">
        <v>0</v>
      </c>
      <c r="BI65" s="32">
        <v>1</v>
      </c>
      <c r="BJ65" s="24"/>
      <c r="BK65" s="32">
        <v>0.5</v>
      </c>
      <c r="BL65" s="32">
        <v>1</v>
      </c>
      <c r="BM65" s="23">
        <v>1</v>
      </c>
      <c r="BN65" s="29">
        <v>1</v>
      </c>
      <c r="BO65" s="32"/>
      <c r="BP65" s="32"/>
      <c r="BQ65" s="29">
        <v>0.5</v>
      </c>
      <c r="BR65" s="29">
        <v>0.5</v>
      </c>
      <c r="BT65">
        <f t="shared" si="77"/>
        <v>59</v>
      </c>
      <c r="BU65">
        <f t="shared" si="78"/>
        <v>40.5</v>
      </c>
      <c r="BV65" s="25">
        <f t="shared" si="79"/>
        <v>0.68644067796610164</v>
      </c>
      <c r="EV65" s="25"/>
      <c r="EW65" s="25"/>
    </row>
    <row r="66" spans="2:153" ht="52.5" thickTop="1" thickBot="1" x14ac:dyDescent="0.3">
      <c r="B66" s="34" t="s">
        <v>71</v>
      </c>
      <c r="D66" s="22">
        <v>19</v>
      </c>
      <c r="E66" s="32">
        <v>1</v>
      </c>
      <c r="F66" s="32">
        <v>1</v>
      </c>
      <c r="G66" s="24">
        <v>1</v>
      </c>
      <c r="H66" s="32">
        <v>1</v>
      </c>
      <c r="I66" s="32">
        <v>0.5</v>
      </c>
      <c r="J66" s="32"/>
      <c r="K66" s="32">
        <v>1</v>
      </c>
      <c r="L66" s="32">
        <v>1</v>
      </c>
      <c r="M66" s="24">
        <v>0.5</v>
      </c>
      <c r="N66" s="32"/>
      <c r="O66" s="32">
        <v>0.5</v>
      </c>
      <c r="P66" s="32">
        <v>0.5</v>
      </c>
      <c r="Q66" s="32">
        <v>1</v>
      </c>
      <c r="R66" s="32">
        <v>0.5</v>
      </c>
      <c r="S66" s="32">
        <v>1</v>
      </c>
      <c r="T66" s="32">
        <v>1</v>
      </c>
      <c r="U66" s="23">
        <v>1</v>
      </c>
      <c r="V66" s="29">
        <v>1</v>
      </c>
      <c r="W66" s="32">
        <v>0</v>
      </c>
      <c r="X66" s="32">
        <v>1</v>
      </c>
      <c r="Y66" s="29">
        <v>1</v>
      </c>
      <c r="Z66" s="29">
        <v>1</v>
      </c>
      <c r="AA66" s="32">
        <v>1</v>
      </c>
      <c r="AB66" s="32">
        <v>1</v>
      </c>
      <c r="AC66" s="24">
        <v>1</v>
      </c>
      <c r="AD66" s="32">
        <v>1</v>
      </c>
      <c r="AE66" s="32">
        <v>0.5</v>
      </c>
      <c r="AF66" s="32">
        <v>0.5</v>
      </c>
      <c r="AG66" s="32">
        <v>1</v>
      </c>
      <c r="AH66" s="32">
        <v>1</v>
      </c>
      <c r="AI66" s="24">
        <v>0.5</v>
      </c>
      <c r="AJ66" s="32"/>
      <c r="AK66" s="32">
        <v>0.5</v>
      </c>
      <c r="AL66" s="32">
        <v>0.5</v>
      </c>
      <c r="AM66" s="32">
        <v>1</v>
      </c>
      <c r="AN66" s="32">
        <v>0.5</v>
      </c>
      <c r="AO66" s="32">
        <v>1</v>
      </c>
      <c r="AP66" s="32">
        <v>1</v>
      </c>
      <c r="AQ66" s="23">
        <v>1</v>
      </c>
      <c r="AR66" s="29">
        <v>1</v>
      </c>
      <c r="AS66" s="32">
        <v>1</v>
      </c>
      <c r="AT66" s="32">
        <v>1</v>
      </c>
      <c r="AU66" s="29">
        <v>0.5</v>
      </c>
      <c r="AV66" s="29">
        <v>0.5</v>
      </c>
      <c r="AW66" s="32">
        <v>0.5</v>
      </c>
      <c r="AX66" s="32">
        <v>0.5</v>
      </c>
      <c r="AY66" s="24">
        <v>1</v>
      </c>
      <c r="AZ66" s="32">
        <v>1</v>
      </c>
      <c r="BA66" s="32">
        <v>0.5</v>
      </c>
      <c r="BB66" s="32">
        <v>0.5</v>
      </c>
      <c r="BC66" s="32">
        <v>0</v>
      </c>
      <c r="BD66" s="32">
        <v>0</v>
      </c>
      <c r="BE66" s="24">
        <v>0.5</v>
      </c>
      <c r="BF66" s="32"/>
      <c r="BG66" s="32">
        <v>0.5</v>
      </c>
      <c r="BH66" s="32"/>
      <c r="BI66" s="32">
        <v>1</v>
      </c>
      <c r="BJ66" s="24"/>
      <c r="BK66" s="32">
        <v>0.5</v>
      </c>
      <c r="BL66" s="32">
        <v>0</v>
      </c>
      <c r="BM66" s="23">
        <v>1</v>
      </c>
      <c r="BN66" s="29">
        <v>1</v>
      </c>
      <c r="BO66" s="32">
        <v>0</v>
      </c>
      <c r="BP66" s="32">
        <v>1</v>
      </c>
      <c r="BQ66" s="29">
        <v>0.5</v>
      </c>
      <c r="BR66" s="29">
        <v>0.5</v>
      </c>
      <c r="BT66">
        <f t="shared" si="77"/>
        <v>60</v>
      </c>
      <c r="BU66">
        <f t="shared" si="78"/>
        <v>44</v>
      </c>
      <c r="BV66" s="25">
        <f t="shared" si="79"/>
        <v>0.73333333333333328</v>
      </c>
      <c r="EV66" s="25"/>
      <c r="EW66" s="25"/>
    </row>
    <row r="67" spans="2:153" ht="39" thickBot="1" x14ac:dyDescent="0.3">
      <c r="B67" s="33" t="s">
        <v>72</v>
      </c>
      <c r="D67" s="22">
        <v>20</v>
      </c>
      <c r="E67" s="32">
        <v>1</v>
      </c>
      <c r="F67" s="32">
        <v>1</v>
      </c>
      <c r="G67" s="24">
        <v>1</v>
      </c>
      <c r="H67" s="32">
        <v>1</v>
      </c>
      <c r="I67" s="32">
        <v>1</v>
      </c>
      <c r="J67" s="32"/>
      <c r="K67" s="32">
        <v>0.5</v>
      </c>
      <c r="L67" s="32">
        <v>1</v>
      </c>
      <c r="M67" s="24">
        <v>0.5</v>
      </c>
      <c r="N67" s="32">
        <v>0.5</v>
      </c>
      <c r="O67" s="32">
        <v>0.5</v>
      </c>
      <c r="P67" s="32">
        <v>0.5</v>
      </c>
      <c r="Q67" s="32">
        <v>1</v>
      </c>
      <c r="R67" s="32">
        <v>0.5</v>
      </c>
      <c r="S67" s="32">
        <v>1</v>
      </c>
      <c r="T67" s="32">
        <v>1</v>
      </c>
      <c r="U67" s="23">
        <v>1</v>
      </c>
      <c r="V67" s="29">
        <v>1</v>
      </c>
      <c r="W67" s="32">
        <v>0</v>
      </c>
      <c r="X67" s="32">
        <v>1</v>
      </c>
      <c r="Y67" s="29">
        <v>1</v>
      </c>
      <c r="Z67" s="29">
        <v>1</v>
      </c>
      <c r="AA67" s="32">
        <v>1</v>
      </c>
      <c r="AB67" s="32">
        <v>1</v>
      </c>
      <c r="AC67" s="24">
        <v>1</v>
      </c>
      <c r="AD67" s="32">
        <v>1</v>
      </c>
      <c r="AE67" s="32">
        <v>1</v>
      </c>
      <c r="AF67" s="32">
        <v>0.5</v>
      </c>
      <c r="AG67" s="32">
        <v>0.5</v>
      </c>
      <c r="AH67" s="32">
        <v>1</v>
      </c>
      <c r="AI67" s="24">
        <v>0.5</v>
      </c>
      <c r="AJ67" s="32">
        <v>0.5</v>
      </c>
      <c r="AK67" s="32">
        <v>0.5</v>
      </c>
      <c r="AL67" s="32">
        <v>0.5</v>
      </c>
      <c r="AM67" s="32">
        <v>0.5</v>
      </c>
      <c r="AN67" s="32">
        <v>0.5</v>
      </c>
      <c r="AO67" s="32">
        <v>1</v>
      </c>
      <c r="AP67" s="32">
        <v>1</v>
      </c>
      <c r="AQ67" s="23">
        <v>1</v>
      </c>
      <c r="AR67" s="29">
        <v>1</v>
      </c>
      <c r="AS67" s="32">
        <v>0</v>
      </c>
      <c r="AT67" s="32">
        <v>1</v>
      </c>
      <c r="AU67" s="29">
        <v>1</v>
      </c>
      <c r="AV67" s="29">
        <v>1</v>
      </c>
      <c r="AW67" s="32">
        <v>1</v>
      </c>
      <c r="AX67" s="32">
        <v>0.5</v>
      </c>
      <c r="AY67" s="24">
        <v>1</v>
      </c>
      <c r="AZ67" s="32">
        <v>1</v>
      </c>
      <c r="BA67" s="32">
        <v>1</v>
      </c>
      <c r="BB67" s="32">
        <v>0.5</v>
      </c>
      <c r="BC67" s="32">
        <v>0</v>
      </c>
      <c r="BD67" s="32">
        <v>1</v>
      </c>
      <c r="BE67" s="24">
        <v>0.5</v>
      </c>
      <c r="BF67" s="32">
        <v>0.5</v>
      </c>
      <c r="BG67" s="32">
        <v>0.5</v>
      </c>
      <c r="BH67" s="32"/>
      <c r="BI67" s="32">
        <v>1</v>
      </c>
      <c r="BJ67" s="24"/>
      <c r="BK67" s="32">
        <v>0.5</v>
      </c>
      <c r="BL67" s="32">
        <v>1</v>
      </c>
      <c r="BM67" s="23">
        <v>1</v>
      </c>
      <c r="BN67" s="29">
        <v>1</v>
      </c>
      <c r="BO67" s="32"/>
      <c r="BP67" s="32">
        <v>1</v>
      </c>
      <c r="BQ67" s="29">
        <v>1</v>
      </c>
      <c r="BR67" s="29">
        <v>1</v>
      </c>
      <c r="BT67">
        <f t="shared" si="77"/>
        <v>62</v>
      </c>
      <c r="BU67">
        <f t="shared" si="78"/>
        <v>49</v>
      </c>
      <c r="BV67" s="25">
        <f t="shared" si="79"/>
        <v>0.79032258064516125</v>
      </c>
      <c r="EV67" s="25"/>
      <c r="EW67" s="25"/>
    </row>
    <row r="68" spans="2:153" ht="51.75" thickBot="1" x14ac:dyDescent="0.3">
      <c r="B68" s="33" t="s">
        <v>73</v>
      </c>
      <c r="D68" s="22">
        <v>21</v>
      </c>
      <c r="E68" s="32">
        <v>1</v>
      </c>
      <c r="F68" s="32"/>
      <c r="G68" s="24">
        <v>1</v>
      </c>
      <c r="H68" s="32">
        <v>1</v>
      </c>
      <c r="I68" s="32">
        <v>1</v>
      </c>
      <c r="J68" s="32"/>
      <c r="K68" s="32"/>
      <c r="L68" s="32">
        <v>1</v>
      </c>
      <c r="M68" s="24">
        <v>0.5</v>
      </c>
      <c r="N68" s="32">
        <v>0.5</v>
      </c>
      <c r="O68" s="32">
        <v>0.5</v>
      </c>
      <c r="P68" s="32">
        <v>0.5</v>
      </c>
      <c r="Q68" s="32">
        <v>1</v>
      </c>
      <c r="R68" s="32">
        <v>0.5</v>
      </c>
      <c r="S68" s="32">
        <v>0.5</v>
      </c>
      <c r="T68" s="32">
        <v>0.5</v>
      </c>
      <c r="U68" s="23">
        <v>1</v>
      </c>
      <c r="V68" s="29">
        <v>1</v>
      </c>
      <c r="W68" s="32">
        <v>1</v>
      </c>
      <c r="X68" s="32">
        <v>1</v>
      </c>
      <c r="Y68" s="29">
        <v>1</v>
      </c>
      <c r="Z68" s="29">
        <v>1</v>
      </c>
      <c r="AA68" s="32">
        <v>0.5</v>
      </c>
      <c r="AB68" s="32"/>
      <c r="AC68" s="24">
        <v>1</v>
      </c>
      <c r="AD68" s="32">
        <v>1</v>
      </c>
      <c r="AE68" s="32">
        <v>1</v>
      </c>
      <c r="AF68" s="32">
        <v>1</v>
      </c>
      <c r="AG68" s="32"/>
      <c r="AH68" s="32">
        <v>1</v>
      </c>
      <c r="AI68" s="24">
        <v>0.5</v>
      </c>
      <c r="AJ68" s="32">
        <v>0.5</v>
      </c>
      <c r="AK68" s="32">
        <v>0.5</v>
      </c>
      <c r="AL68" s="32">
        <v>0.5</v>
      </c>
      <c r="AM68" s="32">
        <v>1</v>
      </c>
      <c r="AN68" s="32">
        <v>0.5</v>
      </c>
      <c r="AO68" s="32">
        <v>0.5</v>
      </c>
      <c r="AP68" s="32">
        <v>0.5</v>
      </c>
      <c r="AQ68" s="23">
        <v>1</v>
      </c>
      <c r="AR68" s="29">
        <v>1</v>
      </c>
      <c r="AS68" s="32">
        <v>1</v>
      </c>
      <c r="AT68" s="32">
        <v>1</v>
      </c>
      <c r="AU68" s="29">
        <v>1</v>
      </c>
      <c r="AV68" s="29">
        <v>1</v>
      </c>
      <c r="AW68" s="32">
        <v>0</v>
      </c>
      <c r="AX68" s="32">
        <v>0</v>
      </c>
      <c r="AY68" s="24">
        <v>1</v>
      </c>
      <c r="AZ68" s="32">
        <v>1</v>
      </c>
      <c r="BA68" s="32">
        <v>1</v>
      </c>
      <c r="BB68" s="32">
        <v>1</v>
      </c>
      <c r="BC68" s="32"/>
      <c r="BD68" s="32">
        <v>1</v>
      </c>
      <c r="BE68" s="24">
        <v>0.5</v>
      </c>
      <c r="BF68" s="32">
        <v>0.5</v>
      </c>
      <c r="BG68" s="32">
        <v>0.5</v>
      </c>
      <c r="BH68" s="32"/>
      <c r="BI68" s="32">
        <v>1</v>
      </c>
      <c r="BJ68" s="24"/>
      <c r="BK68" s="32">
        <v>0</v>
      </c>
      <c r="BL68" s="32">
        <v>0</v>
      </c>
      <c r="BM68" s="23">
        <v>1</v>
      </c>
      <c r="BN68" s="29">
        <v>0</v>
      </c>
      <c r="BO68" s="32">
        <v>1</v>
      </c>
      <c r="BP68" s="32">
        <v>1</v>
      </c>
      <c r="BQ68" s="29">
        <v>1</v>
      </c>
      <c r="BR68" s="29">
        <v>1</v>
      </c>
      <c r="BT68">
        <f t="shared" si="77"/>
        <v>58</v>
      </c>
      <c r="BU68">
        <f t="shared" si="78"/>
        <v>44</v>
      </c>
      <c r="BV68" s="25">
        <f t="shared" si="79"/>
        <v>0.75862068965517238</v>
      </c>
      <c r="EV68" s="25"/>
      <c r="EW68" s="25"/>
    </row>
    <row r="69" spans="2:153" ht="26.25" thickBot="1" x14ac:dyDescent="0.3">
      <c r="B69" s="27" t="s">
        <v>74</v>
      </c>
      <c r="D69" s="22">
        <v>22</v>
      </c>
      <c r="E69" s="32">
        <v>1</v>
      </c>
      <c r="F69" s="32"/>
      <c r="G69" s="24">
        <v>1</v>
      </c>
      <c r="H69" s="32">
        <v>1</v>
      </c>
      <c r="I69" s="32">
        <v>1</v>
      </c>
      <c r="J69" s="32">
        <v>1</v>
      </c>
      <c r="K69" s="32">
        <v>0.5</v>
      </c>
      <c r="L69" s="32">
        <v>1</v>
      </c>
      <c r="M69" s="24">
        <v>0.5</v>
      </c>
      <c r="N69" s="32">
        <v>1</v>
      </c>
      <c r="O69" s="32">
        <v>0.5</v>
      </c>
      <c r="P69" s="32">
        <v>1</v>
      </c>
      <c r="Q69" s="32">
        <v>1</v>
      </c>
      <c r="R69" s="32">
        <v>1</v>
      </c>
      <c r="S69" s="32">
        <v>1</v>
      </c>
      <c r="T69" s="32">
        <v>1</v>
      </c>
      <c r="U69" s="23">
        <v>1</v>
      </c>
      <c r="V69" s="29">
        <v>1</v>
      </c>
      <c r="W69" s="32">
        <v>0</v>
      </c>
      <c r="X69" s="32">
        <v>1</v>
      </c>
      <c r="Y69" s="29">
        <v>1</v>
      </c>
      <c r="Z69" s="29">
        <v>1</v>
      </c>
      <c r="AA69" s="32">
        <v>0.5</v>
      </c>
      <c r="AB69" s="32"/>
      <c r="AC69" s="24">
        <v>1</v>
      </c>
      <c r="AD69" s="32">
        <v>1</v>
      </c>
      <c r="AE69" s="32">
        <v>1</v>
      </c>
      <c r="AF69" s="32">
        <v>1</v>
      </c>
      <c r="AG69" s="32">
        <v>0.5</v>
      </c>
      <c r="AH69" s="32">
        <v>0</v>
      </c>
      <c r="AI69" s="24">
        <v>0.5</v>
      </c>
      <c r="AJ69" s="32">
        <v>1</v>
      </c>
      <c r="AK69" s="32">
        <v>1</v>
      </c>
      <c r="AL69" s="32">
        <v>0.5</v>
      </c>
      <c r="AM69" s="32">
        <v>1</v>
      </c>
      <c r="AN69" s="32">
        <v>0.5</v>
      </c>
      <c r="AO69" s="32">
        <v>1</v>
      </c>
      <c r="AP69" s="32">
        <v>1</v>
      </c>
      <c r="AQ69" s="23">
        <v>1</v>
      </c>
      <c r="AR69" s="29">
        <v>1</v>
      </c>
      <c r="AS69" s="32">
        <v>0.5</v>
      </c>
      <c r="AT69" s="32">
        <v>1</v>
      </c>
      <c r="AU69" s="29">
        <v>1</v>
      </c>
      <c r="AV69" s="29">
        <v>1</v>
      </c>
      <c r="AW69" s="32">
        <v>1</v>
      </c>
      <c r="AX69" s="32">
        <v>0</v>
      </c>
      <c r="AY69" s="24">
        <v>1</v>
      </c>
      <c r="AZ69" s="32">
        <v>1</v>
      </c>
      <c r="BA69" s="32">
        <v>1</v>
      </c>
      <c r="BB69" s="32">
        <v>0.5</v>
      </c>
      <c r="BC69" s="32">
        <v>0</v>
      </c>
      <c r="BD69" s="32">
        <v>0</v>
      </c>
      <c r="BE69" s="24">
        <v>0.5</v>
      </c>
      <c r="BF69" s="32">
        <v>1</v>
      </c>
      <c r="BG69" s="32">
        <v>0.5</v>
      </c>
      <c r="BH69" s="32">
        <v>0.5</v>
      </c>
      <c r="BI69" s="32">
        <v>1</v>
      </c>
      <c r="BJ69" s="32">
        <v>1</v>
      </c>
      <c r="BK69" s="32">
        <v>0</v>
      </c>
      <c r="BL69" s="32">
        <v>1</v>
      </c>
      <c r="BM69" s="23">
        <v>1</v>
      </c>
      <c r="BN69" s="29">
        <v>1</v>
      </c>
      <c r="BO69" s="32"/>
      <c r="BP69" s="32">
        <v>1</v>
      </c>
      <c r="BQ69" s="29">
        <v>1</v>
      </c>
      <c r="BR69" s="29">
        <v>1</v>
      </c>
      <c r="BT69">
        <f t="shared" si="77"/>
        <v>63</v>
      </c>
      <c r="BU69">
        <f t="shared" si="78"/>
        <v>50.5</v>
      </c>
      <c r="BV69" s="25">
        <f t="shared" si="79"/>
        <v>0.80158730158730163</v>
      </c>
      <c r="EV69" s="25"/>
      <c r="EW69" s="25"/>
    </row>
    <row r="70" spans="2:153" ht="26.25" thickBot="1" x14ac:dyDescent="0.3">
      <c r="B70" s="21" t="s">
        <v>75</v>
      </c>
      <c r="D70" s="22">
        <v>23</v>
      </c>
      <c r="E70" s="32"/>
      <c r="F70" s="32"/>
      <c r="G70" s="24">
        <v>1</v>
      </c>
      <c r="H70" s="32">
        <v>1</v>
      </c>
      <c r="I70" s="32">
        <v>1</v>
      </c>
      <c r="J70" s="32">
        <v>1</v>
      </c>
      <c r="K70" s="32">
        <v>0.5</v>
      </c>
      <c r="L70" s="32">
        <v>1</v>
      </c>
      <c r="M70" s="24">
        <v>0.5</v>
      </c>
      <c r="N70" s="32">
        <v>1</v>
      </c>
      <c r="O70" s="32">
        <v>0.5</v>
      </c>
      <c r="P70" s="32">
        <v>1</v>
      </c>
      <c r="Q70" s="32">
        <v>1</v>
      </c>
      <c r="R70" s="32">
        <v>1</v>
      </c>
      <c r="S70" s="32">
        <v>1</v>
      </c>
      <c r="T70" s="32">
        <v>1</v>
      </c>
      <c r="U70" s="23">
        <v>1</v>
      </c>
      <c r="V70" s="29">
        <v>1</v>
      </c>
      <c r="W70" s="32">
        <v>0</v>
      </c>
      <c r="X70" s="32">
        <v>1</v>
      </c>
      <c r="Y70" s="29">
        <v>1</v>
      </c>
      <c r="Z70" s="29">
        <v>1</v>
      </c>
      <c r="AA70" s="32"/>
      <c r="AB70" s="32"/>
      <c r="AC70" s="24">
        <v>1</v>
      </c>
      <c r="AD70" s="32">
        <v>1</v>
      </c>
      <c r="AE70" s="32">
        <v>1</v>
      </c>
      <c r="AF70" s="32">
        <v>1</v>
      </c>
      <c r="AG70" s="32">
        <v>0.5</v>
      </c>
      <c r="AH70" s="32">
        <v>1</v>
      </c>
      <c r="AI70" s="24">
        <v>0.5</v>
      </c>
      <c r="AJ70" s="32">
        <v>1</v>
      </c>
      <c r="AK70" s="32">
        <v>1</v>
      </c>
      <c r="AL70" s="32">
        <v>0.5</v>
      </c>
      <c r="AM70" s="32">
        <v>1</v>
      </c>
      <c r="AN70" s="32">
        <v>0.5</v>
      </c>
      <c r="AO70" s="32">
        <v>1</v>
      </c>
      <c r="AP70" s="32">
        <v>1</v>
      </c>
      <c r="AQ70" s="23">
        <v>1</v>
      </c>
      <c r="AR70" s="29">
        <v>1</v>
      </c>
      <c r="AS70" s="32">
        <v>0.5</v>
      </c>
      <c r="AT70" s="32">
        <v>1</v>
      </c>
      <c r="AU70" s="29">
        <v>1</v>
      </c>
      <c r="AV70" s="29">
        <v>1</v>
      </c>
      <c r="AW70" s="32"/>
      <c r="AX70" s="32">
        <v>0</v>
      </c>
      <c r="AY70" s="24">
        <v>1</v>
      </c>
      <c r="AZ70" s="32">
        <v>1</v>
      </c>
      <c r="BA70" s="32">
        <v>1</v>
      </c>
      <c r="BB70" s="32">
        <v>0.5</v>
      </c>
      <c r="BC70" s="32">
        <v>0</v>
      </c>
      <c r="BD70" s="32">
        <v>1</v>
      </c>
      <c r="BE70" s="24">
        <v>0.5</v>
      </c>
      <c r="BF70" s="32">
        <v>1</v>
      </c>
      <c r="BG70" s="32">
        <v>0.5</v>
      </c>
      <c r="BH70" s="32">
        <v>0.5</v>
      </c>
      <c r="BI70" s="32">
        <v>1</v>
      </c>
      <c r="BJ70" s="32">
        <v>1</v>
      </c>
      <c r="BK70" s="32">
        <v>0</v>
      </c>
      <c r="BL70" s="32">
        <v>0</v>
      </c>
      <c r="BM70" s="23">
        <v>1</v>
      </c>
      <c r="BN70" s="29">
        <v>0.5</v>
      </c>
      <c r="BO70" s="32"/>
      <c r="BP70" s="32">
        <v>1</v>
      </c>
      <c r="BQ70" s="29">
        <v>1</v>
      </c>
      <c r="BR70" s="29">
        <v>1</v>
      </c>
      <c r="BT70">
        <f t="shared" si="77"/>
        <v>60</v>
      </c>
      <c r="BU70">
        <f t="shared" si="78"/>
        <v>48.5</v>
      </c>
      <c r="BV70" s="25">
        <f t="shared" si="79"/>
        <v>0.80833333333333335</v>
      </c>
      <c r="EV70" s="25"/>
      <c r="EW70" s="25"/>
    </row>
    <row r="71" spans="2:153" ht="26.25" thickBot="1" x14ac:dyDescent="0.3">
      <c r="B71" s="21" t="s">
        <v>76</v>
      </c>
      <c r="D71" s="22">
        <v>24</v>
      </c>
      <c r="E71" s="32"/>
      <c r="F71" s="32"/>
      <c r="G71" s="24">
        <v>1</v>
      </c>
      <c r="H71" s="32">
        <v>1</v>
      </c>
      <c r="I71" s="32">
        <v>1</v>
      </c>
      <c r="J71" s="32">
        <v>1</v>
      </c>
      <c r="K71" s="32">
        <v>0.5</v>
      </c>
      <c r="L71" s="32">
        <v>1</v>
      </c>
      <c r="M71" s="24">
        <v>0.5</v>
      </c>
      <c r="N71" s="32"/>
      <c r="O71" s="32">
        <v>0.5</v>
      </c>
      <c r="P71" s="32">
        <v>1</v>
      </c>
      <c r="Q71" s="32">
        <v>0.5</v>
      </c>
      <c r="R71" s="32">
        <v>0.5</v>
      </c>
      <c r="S71" s="32">
        <v>0.5</v>
      </c>
      <c r="T71" s="32">
        <v>1</v>
      </c>
      <c r="U71" s="23">
        <v>1</v>
      </c>
      <c r="V71" s="29">
        <v>1</v>
      </c>
      <c r="W71" s="32">
        <v>1</v>
      </c>
      <c r="X71" s="32">
        <v>1</v>
      </c>
      <c r="Y71" s="29">
        <v>1</v>
      </c>
      <c r="Z71" s="29">
        <v>1</v>
      </c>
      <c r="AA71" s="32"/>
      <c r="AB71" s="32"/>
      <c r="AC71" s="24">
        <v>1</v>
      </c>
      <c r="AD71" s="32">
        <v>1</v>
      </c>
      <c r="AE71" s="32">
        <v>1</v>
      </c>
      <c r="AF71" s="32">
        <v>1</v>
      </c>
      <c r="AG71" s="32">
        <v>0.5</v>
      </c>
      <c r="AH71" s="32">
        <v>0</v>
      </c>
      <c r="AI71" s="24">
        <v>0.5</v>
      </c>
      <c r="AJ71" s="32"/>
      <c r="AK71" s="32">
        <v>0.5</v>
      </c>
      <c r="AL71" s="32">
        <v>0.5</v>
      </c>
      <c r="AM71" s="32">
        <v>0.5</v>
      </c>
      <c r="AN71" s="32">
        <v>0.5</v>
      </c>
      <c r="AO71" s="32">
        <v>0</v>
      </c>
      <c r="AP71" s="32">
        <v>1</v>
      </c>
      <c r="AQ71" s="23">
        <v>1</v>
      </c>
      <c r="AR71" s="29">
        <v>1</v>
      </c>
      <c r="AS71" s="32">
        <v>1</v>
      </c>
      <c r="AT71" s="32">
        <v>1</v>
      </c>
      <c r="AU71" s="29">
        <v>1</v>
      </c>
      <c r="AV71" s="29">
        <v>1</v>
      </c>
      <c r="AW71" s="32"/>
      <c r="AX71" s="32"/>
      <c r="AY71" s="24">
        <v>1</v>
      </c>
      <c r="AZ71" s="32">
        <v>1</v>
      </c>
      <c r="BA71" s="32">
        <v>1</v>
      </c>
      <c r="BB71" s="32">
        <v>0.5</v>
      </c>
      <c r="BC71" s="32">
        <v>0</v>
      </c>
      <c r="BD71" s="32"/>
      <c r="BE71" s="24">
        <v>0.5</v>
      </c>
      <c r="BF71" s="32"/>
      <c r="BG71" s="32">
        <v>0.5</v>
      </c>
      <c r="BH71" s="32">
        <v>0.5</v>
      </c>
      <c r="BI71" s="32"/>
      <c r="BJ71" s="32"/>
      <c r="BK71" s="32">
        <v>0</v>
      </c>
      <c r="BL71" s="32">
        <v>0</v>
      </c>
      <c r="BM71" s="23">
        <v>1</v>
      </c>
      <c r="BN71" s="29">
        <v>0</v>
      </c>
      <c r="BO71" s="32">
        <v>0.5</v>
      </c>
      <c r="BP71" s="32">
        <v>1</v>
      </c>
      <c r="BQ71" s="29">
        <v>1</v>
      </c>
      <c r="BR71" s="29">
        <v>1</v>
      </c>
      <c r="BT71">
        <f t="shared" si="77"/>
        <v>54</v>
      </c>
      <c r="BU71">
        <f t="shared" si="78"/>
        <v>39.5</v>
      </c>
      <c r="BV71" s="25">
        <f t="shared" si="79"/>
        <v>0.73148148148148151</v>
      </c>
      <c r="EV71" s="25"/>
      <c r="EW71" s="25"/>
    </row>
    <row r="72" spans="2:153" ht="51.75" thickBot="1" x14ac:dyDescent="0.3">
      <c r="B72" s="21" t="s">
        <v>77</v>
      </c>
      <c r="D72" s="22">
        <v>25</v>
      </c>
      <c r="E72" s="32">
        <v>0.5</v>
      </c>
      <c r="F72" s="32"/>
      <c r="G72" s="24">
        <v>1</v>
      </c>
      <c r="H72" s="32">
        <v>1</v>
      </c>
      <c r="I72" s="32">
        <v>0.5</v>
      </c>
      <c r="J72" s="32"/>
      <c r="K72" s="32">
        <v>0.5</v>
      </c>
      <c r="L72" s="32">
        <v>1</v>
      </c>
      <c r="M72" s="24">
        <v>0.5</v>
      </c>
      <c r="N72" s="32"/>
      <c r="O72" s="32">
        <v>0.5</v>
      </c>
      <c r="P72" s="32">
        <v>1</v>
      </c>
      <c r="Q72" s="32">
        <v>0.5</v>
      </c>
      <c r="R72" s="32">
        <v>0.5</v>
      </c>
      <c r="S72" s="32">
        <v>1</v>
      </c>
      <c r="T72" s="32">
        <v>1</v>
      </c>
      <c r="U72" s="23">
        <v>1</v>
      </c>
      <c r="V72" s="29">
        <v>0.5</v>
      </c>
      <c r="W72" s="32">
        <v>1</v>
      </c>
      <c r="X72" s="32">
        <v>1</v>
      </c>
      <c r="Y72" s="29">
        <v>1</v>
      </c>
      <c r="Z72" s="29">
        <v>1</v>
      </c>
      <c r="AA72" s="32">
        <v>0.5</v>
      </c>
      <c r="AB72" s="32"/>
      <c r="AC72" s="24">
        <v>1</v>
      </c>
      <c r="AD72" s="32">
        <v>1</v>
      </c>
      <c r="AE72" s="32">
        <v>0.5</v>
      </c>
      <c r="AF72" s="32">
        <v>1</v>
      </c>
      <c r="AG72" s="32">
        <v>0.5</v>
      </c>
      <c r="AH72" s="32">
        <v>1</v>
      </c>
      <c r="AI72" s="24">
        <v>0.5</v>
      </c>
      <c r="AJ72" s="32"/>
      <c r="AK72" s="32">
        <v>0.5</v>
      </c>
      <c r="AL72" s="32">
        <v>0.5</v>
      </c>
      <c r="AM72" s="32">
        <v>0.5</v>
      </c>
      <c r="AN72" s="32">
        <v>0.5</v>
      </c>
      <c r="AO72" s="32">
        <v>0.5</v>
      </c>
      <c r="AP72" s="32">
        <v>1</v>
      </c>
      <c r="AQ72" s="23">
        <v>1</v>
      </c>
      <c r="AR72" s="29">
        <v>1</v>
      </c>
      <c r="AS72" s="32">
        <v>1</v>
      </c>
      <c r="AT72" s="32">
        <v>1</v>
      </c>
      <c r="AU72" s="29">
        <v>1</v>
      </c>
      <c r="AV72" s="29">
        <v>1</v>
      </c>
      <c r="AW72" s="32">
        <v>0</v>
      </c>
      <c r="AX72" s="32"/>
      <c r="AY72" s="24">
        <v>1</v>
      </c>
      <c r="AZ72" s="32">
        <v>1</v>
      </c>
      <c r="BA72" s="32">
        <v>0.5</v>
      </c>
      <c r="BB72" s="32">
        <v>0.5</v>
      </c>
      <c r="BC72" s="32">
        <v>0</v>
      </c>
      <c r="BD72" s="32">
        <v>0</v>
      </c>
      <c r="BE72" s="24">
        <v>0.5</v>
      </c>
      <c r="BF72" s="32"/>
      <c r="BG72" s="32">
        <v>0.5</v>
      </c>
      <c r="BH72" s="32">
        <v>0.5</v>
      </c>
      <c r="BI72" s="32"/>
      <c r="BJ72" s="32"/>
      <c r="BK72" s="32">
        <v>0.5</v>
      </c>
      <c r="BL72" s="32">
        <v>0</v>
      </c>
      <c r="BM72" s="23">
        <v>1</v>
      </c>
      <c r="BN72" s="29">
        <v>0</v>
      </c>
      <c r="BO72" s="32">
        <v>1</v>
      </c>
      <c r="BP72" s="32">
        <v>1</v>
      </c>
      <c r="BQ72" s="29">
        <v>1</v>
      </c>
      <c r="BR72" s="29">
        <v>1</v>
      </c>
      <c r="BT72">
        <f t="shared" si="77"/>
        <v>57</v>
      </c>
      <c r="BU72">
        <f t="shared" si="78"/>
        <v>40.5</v>
      </c>
      <c r="BV72" s="25">
        <f t="shared" si="79"/>
        <v>0.71052631578947367</v>
      </c>
      <c r="EV72" s="25"/>
      <c r="EW72" s="25"/>
    </row>
    <row r="73" spans="2:153" ht="26.25" thickBot="1" x14ac:dyDescent="0.3">
      <c r="B73" s="21" t="s">
        <v>78</v>
      </c>
      <c r="D73" s="22">
        <v>26</v>
      </c>
      <c r="E73" s="32"/>
      <c r="F73" s="32">
        <v>0.5</v>
      </c>
      <c r="G73" s="24">
        <v>1</v>
      </c>
      <c r="H73" s="32">
        <v>1</v>
      </c>
      <c r="I73" s="32">
        <v>1</v>
      </c>
      <c r="J73" s="32"/>
      <c r="K73" s="32"/>
      <c r="L73" s="32">
        <v>0.5</v>
      </c>
      <c r="M73" s="24">
        <v>0.5</v>
      </c>
      <c r="N73" s="32">
        <v>0</v>
      </c>
      <c r="O73" s="32">
        <v>0.5</v>
      </c>
      <c r="P73" s="32">
        <v>1</v>
      </c>
      <c r="Q73" s="32">
        <v>1</v>
      </c>
      <c r="R73" s="32">
        <v>0.5</v>
      </c>
      <c r="S73" s="32">
        <v>0.5</v>
      </c>
      <c r="T73" s="32">
        <v>1</v>
      </c>
      <c r="U73" s="23">
        <v>1</v>
      </c>
      <c r="V73" s="29">
        <v>1</v>
      </c>
      <c r="W73" s="32">
        <v>0</v>
      </c>
      <c r="X73" s="32">
        <v>0</v>
      </c>
      <c r="Y73" s="29">
        <v>1</v>
      </c>
      <c r="Z73" s="29">
        <v>1</v>
      </c>
      <c r="AA73" s="32"/>
      <c r="AB73" s="32">
        <v>0.5</v>
      </c>
      <c r="AC73" s="24">
        <v>1</v>
      </c>
      <c r="AD73" s="32">
        <v>1</v>
      </c>
      <c r="AE73" s="32">
        <v>1</v>
      </c>
      <c r="AF73" s="32">
        <v>0.5</v>
      </c>
      <c r="AG73" s="32"/>
      <c r="AH73" s="32">
        <v>0.5</v>
      </c>
      <c r="AI73" s="24">
        <v>0</v>
      </c>
      <c r="AJ73" s="32">
        <v>0</v>
      </c>
      <c r="AK73" s="32">
        <v>0.5</v>
      </c>
      <c r="AL73" s="32">
        <v>0.5</v>
      </c>
      <c r="AM73" s="32">
        <v>0.5</v>
      </c>
      <c r="AN73" s="32">
        <v>0.5</v>
      </c>
      <c r="AO73" s="32">
        <v>0.5</v>
      </c>
      <c r="AP73" s="32">
        <v>1</v>
      </c>
      <c r="AQ73" s="23">
        <v>1</v>
      </c>
      <c r="AR73" s="29">
        <v>1</v>
      </c>
      <c r="AS73" s="32">
        <v>0.5</v>
      </c>
      <c r="AT73" s="32">
        <v>0</v>
      </c>
      <c r="AU73" s="29">
        <v>1</v>
      </c>
      <c r="AV73" s="29">
        <v>1</v>
      </c>
      <c r="AW73" s="32"/>
      <c r="AX73" s="32">
        <v>0.5</v>
      </c>
      <c r="AY73" s="24">
        <v>1</v>
      </c>
      <c r="AZ73" s="32">
        <v>1</v>
      </c>
      <c r="BA73" s="32">
        <v>1</v>
      </c>
      <c r="BB73" s="32"/>
      <c r="BC73" s="32"/>
      <c r="BD73" s="32">
        <v>0.5</v>
      </c>
      <c r="BE73" s="24">
        <v>0.5</v>
      </c>
      <c r="BF73" s="32">
        <v>0</v>
      </c>
      <c r="BG73" s="32">
        <v>0.5</v>
      </c>
      <c r="BH73" s="32">
        <v>0.5</v>
      </c>
      <c r="BI73" s="32">
        <v>0</v>
      </c>
      <c r="BJ73" s="32"/>
      <c r="BK73" s="32">
        <v>0.5</v>
      </c>
      <c r="BL73" s="32">
        <v>0</v>
      </c>
      <c r="BM73" s="23">
        <v>1</v>
      </c>
      <c r="BN73" s="29">
        <v>0.5</v>
      </c>
      <c r="BO73" s="32"/>
      <c r="BP73" s="32"/>
      <c r="BQ73" s="29">
        <v>1</v>
      </c>
      <c r="BR73" s="29">
        <v>1</v>
      </c>
      <c r="BT73">
        <f t="shared" si="77"/>
        <v>55</v>
      </c>
      <c r="BU73">
        <f t="shared" si="78"/>
        <v>35</v>
      </c>
      <c r="BV73" s="25">
        <f t="shared" si="79"/>
        <v>0.63636363636363635</v>
      </c>
      <c r="EV73" s="25"/>
      <c r="EW73" s="25"/>
    </row>
    <row r="74" spans="2:153" ht="26.25" thickBot="1" x14ac:dyDescent="0.3">
      <c r="B74" s="21" t="s">
        <v>79</v>
      </c>
      <c r="D74" s="22">
        <v>27</v>
      </c>
      <c r="E74" s="32">
        <v>1</v>
      </c>
      <c r="F74" s="32">
        <v>0.5</v>
      </c>
      <c r="G74" s="24">
        <v>1</v>
      </c>
      <c r="H74" s="32">
        <v>1</v>
      </c>
      <c r="I74" s="32">
        <v>1</v>
      </c>
      <c r="J74" s="32">
        <v>1</v>
      </c>
      <c r="K74" s="32">
        <v>1</v>
      </c>
      <c r="L74" s="32">
        <v>1</v>
      </c>
      <c r="M74" s="24">
        <v>0.5</v>
      </c>
      <c r="N74" s="32">
        <v>0</v>
      </c>
      <c r="O74" s="32">
        <v>0.5</v>
      </c>
      <c r="P74" s="32">
        <v>1</v>
      </c>
      <c r="Q74" s="32">
        <v>0.5</v>
      </c>
      <c r="R74" s="32">
        <v>0.5</v>
      </c>
      <c r="S74" s="32">
        <v>1</v>
      </c>
      <c r="T74" s="32">
        <v>1</v>
      </c>
      <c r="U74" s="23">
        <v>1</v>
      </c>
      <c r="V74" s="29">
        <v>0.5</v>
      </c>
      <c r="W74" s="32">
        <v>0</v>
      </c>
      <c r="X74" s="32">
        <v>1</v>
      </c>
      <c r="Y74" s="29">
        <v>1</v>
      </c>
      <c r="Z74" s="29">
        <v>1</v>
      </c>
      <c r="AA74" s="32">
        <v>1</v>
      </c>
      <c r="AB74" s="32">
        <v>0.5</v>
      </c>
      <c r="AC74" s="24">
        <v>1</v>
      </c>
      <c r="AD74" s="32">
        <v>1</v>
      </c>
      <c r="AE74" s="32">
        <v>1</v>
      </c>
      <c r="AF74" s="32">
        <v>1</v>
      </c>
      <c r="AG74" s="32">
        <v>1</v>
      </c>
      <c r="AH74" s="32">
        <v>1</v>
      </c>
      <c r="AI74" s="24">
        <v>0.5</v>
      </c>
      <c r="AJ74" s="32">
        <v>0</v>
      </c>
      <c r="AK74" s="32">
        <v>1</v>
      </c>
      <c r="AL74" s="32">
        <v>0.5</v>
      </c>
      <c r="AM74" s="32">
        <v>0.5</v>
      </c>
      <c r="AN74" s="32">
        <v>0.5</v>
      </c>
      <c r="AO74" s="32">
        <v>1</v>
      </c>
      <c r="AP74" s="32">
        <v>1</v>
      </c>
      <c r="AQ74" s="23">
        <v>1</v>
      </c>
      <c r="AR74" s="29">
        <v>1</v>
      </c>
      <c r="AS74" s="32">
        <v>1</v>
      </c>
      <c r="AT74" s="32">
        <v>1</v>
      </c>
      <c r="AU74" s="29">
        <v>1</v>
      </c>
      <c r="AV74" s="29">
        <v>1</v>
      </c>
      <c r="AW74" s="32">
        <v>0.5</v>
      </c>
      <c r="AX74" s="32">
        <v>0.5</v>
      </c>
      <c r="AY74" s="24">
        <v>0.5</v>
      </c>
      <c r="AZ74" s="32">
        <v>1</v>
      </c>
      <c r="BA74" s="32">
        <v>1</v>
      </c>
      <c r="BB74" s="32">
        <v>1</v>
      </c>
      <c r="BC74" s="32">
        <v>0</v>
      </c>
      <c r="BD74" s="32">
        <v>1</v>
      </c>
      <c r="BE74" s="24">
        <v>0.5</v>
      </c>
      <c r="BF74" s="32">
        <v>0</v>
      </c>
      <c r="BG74" s="32">
        <v>1</v>
      </c>
      <c r="BH74" s="32">
        <v>0.5</v>
      </c>
      <c r="BI74" s="32"/>
      <c r="BJ74" s="32"/>
      <c r="BK74" s="32">
        <v>0.5</v>
      </c>
      <c r="BL74" s="32">
        <v>0</v>
      </c>
      <c r="BM74" s="23">
        <v>1</v>
      </c>
      <c r="BN74" s="29">
        <v>0.5</v>
      </c>
      <c r="BO74" s="32">
        <v>0</v>
      </c>
      <c r="BP74" s="32">
        <v>1</v>
      </c>
      <c r="BQ74" s="29">
        <v>1</v>
      </c>
      <c r="BR74" s="29">
        <v>1</v>
      </c>
      <c r="BT74">
        <f t="shared" si="77"/>
        <v>64</v>
      </c>
      <c r="BU74">
        <f t="shared" si="78"/>
        <v>48</v>
      </c>
      <c r="BV74" s="25">
        <f t="shared" si="79"/>
        <v>0.75</v>
      </c>
      <c r="EV74" s="25"/>
      <c r="EW74" s="25"/>
    </row>
    <row r="75" spans="2:153" ht="39" thickBot="1" x14ac:dyDescent="0.3">
      <c r="B75" s="21" t="s">
        <v>80</v>
      </c>
      <c r="D75" s="22">
        <v>28</v>
      </c>
      <c r="E75" s="32">
        <v>1</v>
      </c>
      <c r="F75" s="32"/>
      <c r="G75" s="24">
        <v>1</v>
      </c>
      <c r="H75" s="32">
        <v>1</v>
      </c>
      <c r="I75" s="32">
        <v>0.5</v>
      </c>
      <c r="J75" s="32">
        <v>1</v>
      </c>
      <c r="K75" s="32"/>
      <c r="L75" s="32">
        <v>1</v>
      </c>
      <c r="M75" s="24">
        <v>0.5</v>
      </c>
      <c r="N75" s="32">
        <v>0</v>
      </c>
      <c r="O75" s="32">
        <v>0.5</v>
      </c>
      <c r="P75" s="32">
        <v>1</v>
      </c>
      <c r="Q75" s="32">
        <v>1</v>
      </c>
      <c r="R75" s="32">
        <v>0.5</v>
      </c>
      <c r="S75" s="32">
        <v>1</v>
      </c>
      <c r="T75" s="32">
        <v>0.5</v>
      </c>
      <c r="U75" s="23">
        <v>1</v>
      </c>
      <c r="V75" s="29">
        <v>0.5</v>
      </c>
      <c r="W75" s="32">
        <v>0</v>
      </c>
      <c r="X75" s="32">
        <v>1</v>
      </c>
      <c r="Y75" s="29">
        <v>1</v>
      </c>
      <c r="Z75" s="29">
        <v>1</v>
      </c>
      <c r="AA75" s="32">
        <v>0</v>
      </c>
      <c r="AB75" s="32"/>
      <c r="AC75" s="24">
        <v>1</v>
      </c>
      <c r="AD75" s="32">
        <v>1</v>
      </c>
      <c r="AE75" s="32">
        <v>0.5</v>
      </c>
      <c r="AF75" s="32">
        <v>1</v>
      </c>
      <c r="AG75" s="32"/>
      <c r="AH75" s="32">
        <v>0</v>
      </c>
      <c r="AI75" s="24">
        <v>0.5</v>
      </c>
      <c r="AJ75" s="32">
        <v>0</v>
      </c>
      <c r="AK75" s="32">
        <v>1</v>
      </c>
      <c r="AL75" s="32">
        <v>0.5</v>
      </c>
      <c r="AM75" s="32">
        <v>1</v>
      </c>
      <c r="AN75" s="32">
        <v>0.5</v>
      </c>
      <c r="AO75" s="32">
        <v>1</v>
      </c>
      <c r="AP75" s="32">
        <v>0.5</v>
      </c>
      <c r="AQ75" s="23">
        <v>1</v>
      </c>
      <c r="AR75" s="29">
        <v>1</v>
      </c>
      <c r="AS75" s="32">
        <v>0.5</v>
      </c>
      <c r="AT75" s="32">
        <v>1</v>
      </c>
      <c r="AU75" s="29">
        <v>1</v>
      </c>
      <c r="AV75" s="29">
        <v>1</v>
      </c>
      <c r="AW75" s="32">
        <v>0.5</v>
      </c>
      <c r="AX75" s="32">
        <v>0</v>
      </c>
      <c r="AY75" s="24">
        <v>1</v>
      </c>
      <c r="AZ75" s="32">
        <v>0.5</v>
      </c>
      <c r="BA75" s="32">
        <v>0.5</v>
      </c>
      <c r="BB75" s="32">
        <v>1</v>
      </c>
      <c r="BC75" s="32"/>
      <c r="BD75" s="32">
        <v>0.5</v>
      </c>
      <c r="BE75" s="24">
        <v>0.5</v>
      </c>
      <c r="BF75" s="32">
        <v>0</v>
      </c>
      <c r="BG75" s="32">
        <v>1</v>
      </c>
      <c r="BH75" s="32">
        <v>0.5</v>
      </c>
      <c r="BI75" s="32">
        <v>1</v>
      </c>
      <c r="BJ75" s="32"/>
      <c r="BK75" s="32">
        <v>0.5</v>
      </c>
      <c r="BL75" s="32">
        <v>0.5</v>
      </c>
      <c r="BM75" s="23">
        <v>1</v>
      </c>
      <c r="BN75" s="29">
        <v>0.5</v>
      </c>
      <c r="BO75" s="32"/>
      <c r="BP75" s="32">
        <v>1</v>
      </c>
      <c r="BQ75" s="29">
        <v>1</v>
      </c>
      <c r="BR75" s="29">
        <v>1</v>
      </c>
      <c r="BT75">
        <f t="shared" si="77"/>
        <v>59</v>
      </c>
      <c r="BU75">
        <f t="shared" si="78"/>
        <v>41.5</v>
      </c>
      <c r="BV75" s="25">
        <f t="shared" si="79"/>
        <v>0.70338983050847459</v>
      </c>
      <c r="EV75" s="25"/>
      <c r="EW75" s="25"/>
    </row>
    <row r="76" spans="2:153" ht="64.5" thickBot="1" x14ac:dyDescent="0.3">
      <c r="B76" s="21" t="s">
        <v>81</v>
      </c>
      <c r="D76" s="22">
        <v>29</v>
      </c>
      <c r="E76" s="32"/>
      <c r="F76" s="32"/>
      <c r="G76" s="24">
        <v>1</v>
      </c>
      <c r="H76" s="32">
        <v>1</v>
      </c>
      <c r="I76" s="32">
        <v>0.5</v>
      </c>
      <c r="J76" s="32">
        <v>1</v>
      </c>
      <c r="K76" s="32"/>
      <c r="L76" s="32">
        <v>1</v>
      </c>
      <c r="M76" s="24">
        <v>0.5</v>
      </c>
      <c r="N76" s="32">
        <v>1</v>
      </c>
      <c r="O76" s="32">
        <v>0.5</v>
      </c>
      <c r="P76" s="32">
        <v>1</v>
      </c>
      <c r="Q76" s="32">
        <v>1</v>
      </c>
      <c r="R76" s="32">
        <v>0.5</v>
      </c>
      <c r="S76" s="32">
        <v>1</v>
      </c>
      <c r="T76" s="32">
        <v>0</v>
      </c>
      <c r="U76" s="23">
        <v>1</v>
      </c>
      <c r="V76" s="32">
        <v>1</v>
      </c>
      <c r="W76" s="32">
        <v>0.5</v>
      </c>
      <c r="X76" s="32">
        <v>1</v>
      </c>
      <c r="Y76" s="32">
        <v>1</v>
      </c>
      <c r="Z76" s="32">
        <v>1</v>
      </c>
      <c r="AA76" s="32"/>
      <c r="AB76" s="32"/>
      <c r="AC76" s="24">
        <v>1</v>
      </c>
      <c r="AD76" s="32">
        <v>1</v>
      </c>
      <c r="AE76" s="32">
        <v>0.5</v>
      </c>
      <c r="AF76" s="32">
        <v>0.5</v>
      </c>
      <c r="AG76" s="32"/>
      <c r="AH76" s="32">
        <v>1</v>
      </c>
      <c r="AI76" s="24">
        <v>0.5</v>
      </c>
      <c r="AJ76" s="32">
        <v>1</v>
      </c>
      <c r="AK76" s="32">
        <v>0.5</v>
      </c>
      <c r="AL76" s="32">
        <v>0.5</v>
      </c>
      <c r="AM76" s="32">
        <v>1</v>
      </c>
      <c r="AN76" s="32">
        <v>0.5</v>
      </c>
      <c r="AO76" s="32">
        <v>0.5</v>
      </c>
      <c r="AP76" s="32">
        <v>0</v>
      </c>
      <c r="AQ76" s="23">
        <v>1</v>
      </c>
      <c r="AR76" s="32">
        <v>1</v>
      </c>
      <c r="AS76" s="32">
        <v>0.5</v>
      </c>
      <c r="AT76" s="32">
        <v>1</v>
      </c>
      <c r="AU76" s="32">
        <v>0.5</v>
      </c>
      <c r="AV76" s="32">
        <v>0.5</v>
      </c>
      <c r="AW76" s="32"/>
      <c r="AX76" s="32"/>
      <c r="AY76" s="24">
        <v>1</v>
      </c>
      <c r="AZ76" s="32">
        <v>1</v>
      </c>
      <c r="BA76" s="32">
        <v>0.5</v>
      </c>
      <c r="BB76" s="32"/>
      <c r="BC76" s="32"/>
      <c r="BD76" s="32">
        <v>1</v>
      </c>
      <c r="BE76" s="24">
        <v>0.5</v>
      </c>
      <c r="BF76" s="32">
        <v>1</v>
      </c>
      <c r="BG76" s="32">
        <v>0.5</v>
      </c>
      <c r="BH76" s="32">
        <v>0.5</v>
      </c>
      <c r="BI76" s="32">
        <v>1</v>
      </c>
      <c r="BJ76" s="32"/>
      <c r="BK76" s="32">
        <v>0.5</v>
      </c>
      <c r="BL76" s="32">
        <v>0</v>
      </c>
      <c r="BM76" s="23">
        <v>1</v>
      </c>
      <c r="BN76" s="32">
        <v>0.5</v>
      </c>
      <c r="BO76" s="32"/>
      <c r="BP76" s="32">
        <v>1</v>
      </c>
      <c r="BQ76" s="32">
        <v>0.5</v>
      </c>
      <c r="BR76" s="32">
        <v>0.5</v>
      </c>
      <c r="BT76">
        <f t="shared" si="77"/>
        <v>54</v>
      </c>
      <c r="BU76">
        <f t="shared" si="78"/>
        <v>39.5</v>
      </c>
      <c r="BV76" s="25">
        <f t="shared" si="79"/>
        <v>0.73148148148148151</v>
      </c>
      <c r="EV76" s="25"/>
      <c r="EW76" s="25"/>
    </row>
    <row r="77" spans="2:153" ht="26.25" thickBot="1" x14ac:dyDescent="0.3">
      <c r="B77" s="21" t="s">
        <v>82</v>
      </c>
      <c r="D77" s="22">
        <v>30</v>
      </c>
      <c r="E77" s="32"/>
      <c r="F77" s="32"/>
      <c r="G77" s="24">
        <v>1</v>
      </c>
      <c r="H77" s="32">
        <v>1</v>
      </c>
      <c r="I77" s="32">
        <v>0.5</v>
      </c>
      <c r="J77" s="32"/>
      <c r="K77" s="32"/>
      <c r="L77" s="32">
        <v>1</v>
      </c>
      <c r="M77" s="24">
        <v>0.5</v>
      </c>
      <c r="N77" s="32">
        <v>0.5</v>
      </c>
      <c r="O77" s="32">
        <v>0.5</v>
      </c>
      <c r="P77" s="32">
        <v>0</v>
      </c>
      <c r="Q77" s="32">
        <v>1</v>
      </c>
      <c r="R77" s="32">
        <v>0.5</v>
      </c>
      <c r="S77" s="32">
        <v>0.5</v>
      </c>
      <c r="T77" s="32">
        <v>0.5</v>
      </c>
      <c r="U77" s="23">
        <v>1</v>
      </c>
      <c r="V77" s="32">
        <v>0.5</v>
      </c>
      <c r="W77" s="32">
        <v>0</v>
      </c>
      <c r="X77" s="32">
        <v>1</v>
      </c>
      <c r="Y77" s="32">
        <v>1</v>
      </c>
      <c r="Z77" s="32">
        <v>1</v>
      </c>
      <c r="AA77" s="32"/>
      <c r="AB77" s="32"/>
      <c r="AC77" s="24">
        <v>1</v>
      </c>
      <c r="AD77" s="32">
        <v>1</v>
      </c>
      <c r="AE77" s="32">
        <v>0.5</v>
      </c>
      <c r="AF77" s="32">
        <v>0.5</v>
      </c>
      <c r="AG77" s="32"/>
      <c r="AH77" s="32">
        <v>1</v>
      </c>
      <c r="AI77" s="24">
        <v>0.5</v>
      </c>
      <c r="AJ77" s="32">
        <v>0.5</v>
      </c>
      <c r="AK77" s="32">
        <v>0.5</v>
      </c>
      <c r="AL77" s="32">
        <v>0.5</v>
      </c>
      <c r="AM77" s="32">
        <v>0.5</v>
      </c>
      <c r="AN77" s="32">
        <v>0.5</v>
      </c>
      <c r="AO77" s="32">
        <v>1</v>
      </c>
      <c r="AP77" s="32">
        <v>0.5</v>
      </c>
      <c r="AQ77" s="23">
        <v>1</v>
      </c>
      <c r="AR77" s="32">
        <v>1</v>
      </c>
      <c r="AS77" s="32">
        <v>0</v>
      </c>
      <c r="AT77" s="32">
        <v>1</v>
      </c>
      <c r="AU77" s="32">
        <v>0.5</v>
      </c>
      <c r="AV77" s="32">
        <v>0.5</v>
      </c>
      <c r="AW77" s="32"/>
      <c r="AX77" s="32"/>
      <c r="AY77" s="24">
        <v>1</v>
      </c>
      <c r="AZ77" s="32">
        <v>1</v>
      </c>
      <c r="BA77" s="32">
        <v>0.5</v>
      </c>
      <c r="BB77" s="32"/>
      <c r="BC77" s="32"/>
      <c r="BD77" s="32">
        <v>0.5</v>
      </c>
      <c r="BE77" s="24">
        <v>0.5</v>
      </c>
      <c r="BF77" s="32">
        <v>0</v>
      </c>
      <c r="BG77" s="32">
        <v>0.5</v>
      </c>
      <c r="BH77" s="32"/>
      <c r="BI77" s="32">
        <v>1</v>
      </c>
      <c r="BJ77" s="32"/>
      <c r="BK77" s="32">
        <v>0</v>
      </c>
      <c r="BL77" s="32">
        <v>0.5</v>
      </c>
      <c r="BM77" s="23">
        <v>1</v>
      </c>
      <c r="BN77" s="32">
        <v>0</v>
      </c>
      <c r="BO77" s="32"/>
      <c r="BP77" s="32">
        <v>1</v>
      </c>
      <c r="BQ77" s="32">
        <v>0.5</v>
      </c>
      <c r="BR77" s="32">
        <v>0.5</v>
      </c>
      <c r="BT77">
        <f t="shared" si="77"/>
        <v>52</v>
      </c>
      <c r="BU77">
        <f t="shared" si="78"/>
        <v>33</v>
      </c>
      <c r="BV77" s="25">
        <f t="shared" si="79"/>
        <v>0.63461538461538458</v>
      </c>
      <c r="EV77" s="25"/>
      <c r="EW77" s="25"/>
    </row>
    <row r="78" spans="2:153" ht="39" thickBot="1" x14ac:dyDescent="0.3">
      <c r="B78" s="33" t="s">
        <v>83</v>
      </c>
      <c r="D78" s="22">
        <v>31</v>
      </c>
      <c r="E78" s="32"/>
      <c r="F78" s="32"/>
      <c r="G78" s="24">
        <v>1</v>
      </c>
      <c r="H78" s="32">
        <v>1</v>
      </c>
      <c r="I78" s="32">
        <v>0</v>
      </c>
      <c r="J78" s="32"/>
      <c r="K78" s="32"/>
      <c r="L78" s="32">
        <v>1</v>
      </c>
      <c r="M78" s="24">
        <v>0.5</v>
      </c>
      <c r="N78" s="32"/>
      <c r="O78" s="32">
        <v>0.5</v>
      </c>
      <c r="P78" s="32">
        <v>0.5</v>
      </c>
      <c r="Q78" s="32">
        <v>1</v>
      </c>
      <c r="R78" s="32">
        <v>0.5</v>
      </c>
      <c r="S78" s="32">
        <v>1</v>
      </c>
      <c r="T78" s="32">
        <v>1</v>
      </c>
      <c r="U78" s="23">
        <v>1</v>
      </c>
      <c r="V78" s="32">
        <v>0.5</v>
      </c>
      <c r="W78" s="32">
        <v>0</v>
      </c>
      <c r="X78" s="32">
        <v>1</v>
      </c>
      <c r="Y78" s="32">
        <v>1</v>
      </c>
      <c r="Z78" s="32">
        <v>1</v>
      </c>
      <c r="AA78" s="32"/>
      <c r="AB78" s="32"/>
      <c r="AC78" s="24">
        <v>1</v>
      </c>
      <c r="AD78" s="32">
        <v>1</v>
      </c>
      <c r="AE78" s="32">
        <v>0</v>
      </c>
      <c r="AF78" s="32">
        <v>0.5</v>
      </c>
      <c r="AG78" s="32"/>
      <c r="AH78" s="32">
        <v>1</v>
      </c>
      <c r="AI78" s="24">
        <v>0.5</v>
      </c>
      <c r="AJ78" s="32"/>
      <c r="AK78" s="32">
        <v>1</v>
      </c>
      <c r="AL78" s="32">
        <v>0.5</v>
      </c>
      <c r="AM78" s="32">
        <v>0.5</v>
      </c>
      <c r="AN78" s="32">
        <v>0.5</v>
      </c>
      <c r="AO78" s="32">
        <v>1</v>
      </c>
      <c r="AP78" s="32">
        <v>1</v>
      </c>
      <c r="AQ78" s="23">
        <v>1</v>
      </c>
      <c r="AR78" s="32">
        <v>0.5</v>
      </c>
      <c r="AS78" s="32">
        <v>0</v>
      </c>
      <c r="AT78" s="32">
        <v>1</v>
      </c>
      <c r="AU78" s="32">
        <v>0.5</v>
      </c>
      <c r="AV78" s="32">
        <v>0.5</v>
      </c>
      <c r="AW78" s="32"/>
      <c r="AX78" s="32"/>
      <c r="AY78" s="24">
        <v>1</v>
      </c>
      <c r="AZ78" s="32">
        <v>1</v>
      </c>
      <c r="BA78" s="32">
        <v>0</v>
      </c>
      <c r="BB78" s="32"/>
      <c r="BC78" s="32"/>
      <c r="BD78" s="32">
        <v>0</v>
      </c>
      <c r="BE78" s="24">
        <v>0.5</v>
      </c>
      <c r="BF78" s="32"/>
      <c r="BG78" s="32">
        <v>0.5</v>
      </c>
      <c r="BH78" s="32"/>
      <c r="BI78" s="32">
        <v>1</v>
      </c>
      <c r="BJ78" s="32"/>
      <c r="BK78" s="32">
        <v>0.5</v>
      </c>
      <c r="BL78" s="32">
        <v>0</v>
      </c>
      <c r="BM78" s="23">
        <v>1</v>
      </c>
      <c r="BN78" s="32">
        <v>0</v>
      </c>
      <c r="BO78" s="32"/>
      <c r="BP78" s="32">
        <v>1</v>
      </c>
      <c r="BQ78" s="32">
        <v>0.5</v>
      </c>
      <c r="BR78" s="32">
        <v>0.5</v>
      </c>
      <c r="BT78">
        <f t="shared" si="77"/>
        <v>49</v>
      </c>
      <c r="BU78">
        <f t="shared" si="78"/>
        <v>32</v>
      </c>
      <c r="BV78" s="25">
        <f t="shared" si="79"/>
        <v>0.65306122448979587</v>
      </c>
      <c r="EV78" s="25"/>
      <c r="EW78" s="25"/>
    </row>
    <row r="79" spans="2:153" ht="26.25" thickBot="1" x14ac:dyDescent="0.3">
      <c r="B79" s="33" t="s">
        <v>84</v>
      </c>
      <c r="D79" s="22">
        <v>32</v>
      </c>
      <c r="E79" s="32"/>
      <c r="F79" s="32"/>
      <c r="G79" s="24">
        <v>1</v>
      </c>
      <c r="H79" s="32">
        <v>1</v>
      </c>
      <c r="I79" s="32">
        <v>0.5</v>
      </c>
      <c r="J79" s="32"/>
      <c r="K79" s="32">
        <v>1</v>
      </c>
      <c r="L79" s="32">
        <v>1</v>
      </c>
      <c r="M79" s="24">
        <v>0.5</v>
      </c>
      <c r="N79" s="32">
        <v>1</v>
      </c>
      <c r="O79" s="32">
        <v>0.5</v>
      </c>
      <c r="P79" s="32">
        <v>1</v>
      </c>
      <c r="Q79" s="32">
        <v>0.5</v>
      </c>
      <c r="R79" s="32">
        <v>1</v>
      </c>
      <c r="S79" s="32">
        <v>1</v>
      </c>
      <c r="T79" s="32">
        <v>1</v>
      </c>
      <c r="U79" s="23">
        <v>1</v>
      </c>
      <c r="V79" s="29">
        <v>0.5</v>
      </c>
      <c r="W79" s="32">
        <v>0</v>
      </c>
      <c r="X79" s="32">
        <v>0.5</v>
      </c>
      <c r="Y79" s="29">
        <v>1</v>
      </c>
      <c r="Z79" s="29">
        <v>1</v>
      </c>
      <c r="AA79" s="32"/>
      <c r="AB79" s="32"/>
      <c r="AC79" s="24">
        <v>1</v>
      </c>
      <c r="AD79" s="32">
        <v>1</v>
      </c>
      <c r="AE79" s="32">
        <v>0.5</v>
      </c>
      <c r="AF79" s="32">
        <v>1</v>
      </c>
      <c r="AG79" s="32">
        <v>0.5</v>
      </c>
      <c r="AH79" s="32">
        <v>1</v>
      </c>
      <c r="AI79" s="24">
        <v>0.5</v>
      </c>
      <c r="AJ79" s="32">
        <v>1</v>
      </c>
      <c r="AK79" s="32">
        <v>1</v>
      </c>
      <c r="AL79" s="32">
        <v>0.5</v>
      </c>
      <c r="AM79" s="32">
        <v>0.5</v>
      </c>
      <c r="AN79" s="32">
        <v>0.5</v>
      </c>
      <c r="AO79" s="32">
        <v>1</v>
      </c>
      <c r="AP79" s="32">
        <v>1</v>
      </c>
      <c r="AQ79" s="23">
        <v>1</v>
      </c>
      <c r="AR79" s="29">
        <v>1</v>
      </c>
      <c r="AS79" s="32">
        <v>0</v>
      </c>
      <c r="AT79" s="32">
        <v>0.5</v>
      </c>
      <c r="AU79" s="29">
        <v>1</v>
      </c>
      <c r="AV79" s="29">
        <v>1</v>
      </c>
      <c r="AW79" s="32"/>
      <c r="AX79" s="32"/>
      <c r="AY79" s="24">
        <v>1</v>
      </c>
      <c r="AZ79" s="32">
        <v>1</v>
      </c>
      <c r="BA79" s="32">
        <v>0.5</v>
      </c>
      <c r="BB79" s="32">
        <v>1</v>
      </c>
      <c r="BC79" s="32">
        <v>0</v>
      </c>
      <c r="BD79" s="32">
        <v>1</v>
      </c>
      <c r="BE79" s="24">
        <v>0.5</v>
      </c>
      <c r="BF79" s="32">
        <v>1</v>
      </c>
      <c r="BG79" s="32">
        <v>0.5</v>
      </c>
      <c r="BH79" s="32">
        <v>0.5</v>
      </c>
      <c r="BI79" s="32"/>
      <c r="BJ79" s="32">
        <v>1</v>
      </c>
      <c r="BK79" s="32">
        <v>0.5</v>
      </c>
      <c r="BL79" s="32">
        <v>1</v>
      </c>
      <c r="BM79" s="23">
        <v>1</v>
      </c>
      <c r="BN79" s="29">
        <v>0</v>
      </c>
      <c r="BO79" s="32"/>
      <c r="BP79" s="32"/>
      <c r="BQ79" s="29">
        <v>1</v>
      </c>
      <c r="BR79" s="29">
        <v>1</v>
      </c>
      <c r="BT79">
        <f t="shared" si="77"/>
        <v>56</v>
      </c>
      <c r="BU79">
        <f t="shared" si="78"/>
        <v>43</v>
      </c>
      <c r="BV79" s="25">
        <f t="shared" si="79"/>
        <v>0.7678571428571429</v>
      </c>
      <c r="EV79" s="25"/>
      <c r="EW79" s="25"/>
    </row>
    <row r="80" spans="2:153" ht="26.25" thickBot="1" x14ac:dyDescent="0.3">
      <c r="B80" s="33" t="s">
        <v>85</v>
      </c>
      <c r="D80" s="22">
        <v>33</v>
      </c>
      <c r="E80" s="32">
        <v>1</v>
      </c>
      <c r="F80" s="32"/>
      <c r="G80" s="24">
        <v>1</v>
      </c>
      <c r="H80" s="32">
        <v>1</v>
      </c>
      <c r="I80" s="32">
        <v>0.5</v>
      </c>
      <c r="J80" s="32"/>
      <c r="K80" s="32">
        <v>1</v>
      </c>
      <c r="L80" s="32">
        <v>1</v>
      </c>
      <c r="M80" s="24">
        <v>0.5</v>
      </c>
      <c r="N80" s="32">
        <v>1</v>
      </c>
      <c r="O80" s="32">
        <v>0.5</v>
      </c>
      <c r="P80" s="32">
        <v>1</v>
      </c>
      <c r="Q80" s="32">
        <v>1</v>
      </c>
      <c r="R80" s="32">
        <v>1</v>
      </c>
      <c r="S80" s="32">
        <v>1</v>
      </c>
      <c r="T80" s="32">
        <v>1</v>
      </c>
      <c r="U80" s="23">
        <v>1</v>
      </c>
      <c r="V80" s="29">
        <v>0.5</v>
      </c>
      <c r="W80" s="32">
        <v>0</v>
      </c>
      <c r="X80" s="32">
        <v>1</v>
      </c>
      <c r="Y80" s="29">
        <v>1</v>
      </c>
      <c r="Z80" s="29">
        <v>1</v>
      </c>
      <c r="AA80" s="32">
        <v>0.5</v>
      </c>
      <c r="AB80" s="32"/>
      <c r="AC80" s="24">
        <v>1</v>
      </c>
      <c r="AD80" s="32">
        <v>1</v>
      </c>
      <c r="AE80" s="32">
        <v>0.5</v>
      </c>
      <c r="AF80" s="32">
        <v>1</v>
      </c>
      <c r="AG80" s="32">
        <v>0.5</v>
      </c>
      <c r="AH80" s="32">
        <v>1</v>
      </c>
      <c r="AI80" s="24">
        <v>0.5</v>
      </c>
      <c r="AJ80" s="32">
        <v>1</v>
      </c>
      <c r="AK80" s="32">
        <v>1</v>
      </c>
      <c r="AL80" s="32">
        <v>0.5</v>
      </c>
      <c r="AM80" s="32">
        <v>0.5</v>
      </c>
      <c r="AN80" s="32">
        <v>0.5</v>
      </c>
      <c r="AO80" s="32">
        <v>1</v>
      </c>
      <c r="AP80" s="32">
        <v>1</v>
      </c>
      <c r="AQ80" s="23">
        <v>1</v>
      </c>
      <c r="AR80" s="29">
        <v>1</v>
      </c>
      <c r="AS80" s="32">
        <v>1</v>
      </c>
      <c r="AT80" s="32">
        <v>1</v>
      </c>
      <c r="AU80" s="29">
        <v>1</v>
      </c>
      <c r="AV80" s="29">
        <v>1</v>
      </c>
      <c r="AW80" s="32">
        <v>1</v>
      </c>
      <c r="AX80" s="32"/>
      <c r="AY80" s="24">
        <v>1</v>
      </c>
      <c r="AZ80" s="32">
        <v>1</v>
      </c>
      <c r="BA80" s="32">
        <v>0.5</v>
      </c>
      <c r="BB80" s="32">
        <v>1</v>
      </c>
      <c r="BC80" s="32">
        <v>0</v>
      </c>
      <c r="BD80" s="32">
        <v>0</v>
      </c>
      <c r="BE80" s="24">
        <v>0.5</v>
      </c>
      <c r="BF80" s="32">
        <v>1</v>
      </c>
      <c r="BG80" s="32">
        <v>0.5</v>
      </c>
      <c r="BH80" s="32">
        <v>0.5</v>
      </c>
      <c r="BI80" s="32">
        <v>1</v>
      </c>
      <c r="BJ80" s="32">
        <v>1</v>
      </c>
      <c r="BK80" s="32">
        <v>1</v>
      </c>
      <c r="BL80" s="32">
        <v>1</v>
      </c>
      <c r="BM80" s="23">
        <v>1</v>
      </c>
      <c r="BN80" s="29">
        <v>0.5</v>
      </c>
      <c r="BO80" s="32">
        <v>1</v>
      </c>
      <c r="BP80" s="32">
        <v>1</v>
      </c>
      <c r="BQ80" s="29">
        <v>1</v>
      </c>
      <c r="BR80" s="29">
        <v>1</v>
      </c>
      <c r="BT80">
        <f t="shared" si="77"/>
        <v>62</v>
      </c>
      <c r="BU80">
        <f t="shared" si="78"/>
        <v>51</v>
      </c>
      <c r="BV80" s="25">
        <f t="shared" si="79"/>
        <v>0.82258064516129037</v>
      </c>
      <c r="EV80" s="25"/>
      <c r="EW80" s="25"/>
    </row>
    <row r="81" spans="2:153" ht="26.25" thickBot="1" x14ac:dyDescent="0.3">
      <c r="B81" s="33" t="s">
        <v>86</v>
      </c>
      <c r="D81" s="22">
        <v>34</v>
      </c>
      <c r="E81" s="32"/>
      <c r="F81" s="32">
        <v>1</v>
      </c>
      <c r="G81" s="24">
        <v>1</v>
      </c>
      <c r="H81" s="32">
        <v>1</v>
      </c>
      <c r="I81" s="32">
        <v>0.5</v>
      </c>
      <c r="J81" s="32"/>
      <c r="K81" s="32"/>
      <c r="L81" s="32">
        <v>1</v>
      </c>
      <c r="M81" s="24">
        <v>0.5</v>
      </c>
      <c r="N81" s="32">
        <v>0.5</v>
      </c>
      <c r="O81" s="32">
        <v>0.5</v>
      </c>
      <c r="P81" s="32">
        <v>1</v>
      </c>
      <c r="Q81" s="32">
        <v>1</v>
      </c>
      <c r="R81" s="32">
        <v>1</v>
      </c>
      <c r="S81" s="32">
        <v>1</v>
      </c>
      <c r="T81" s="32">
        <v>1</v>
      </c>
      <c r="U81" s="23">
        <v>1</v>
      </c>
      <c r="V81" s="29">
        <v>0.5</v>
      </c>
      <c r="W81" s="32">
        <v>0</v>
      </c>
      <c r="X81" s="32">
        <v>1</v>
      </c>
      <c r="Y81" s="29">
        <v>1</v>
      </c>
      <c r="Z81" s="29">
        <v>1</v>
      </c>
      <c r="AA81" s="32"/>
      <c r="AB81" s="32">
        <v>1</v>
      </c>
      <c r="AC81" s="24">
        <v>1</v>
      </c>
      <c r="AD81" s="32">
        <v>1</v>
      </c>
      <c r="AE81" s="32">
        <v>0.5</v>
      </c>
      <c r="AF81" s="32">
        <v>1</v>
      </c>
      <c r="AG81" s="32"/>
      <c r="AH81" s="32">
        <v>0.5</v>
      </c>
      <c r="AI81" s="24">
        <v>0.5</v>
      </c>
      <c r="AJ81" s="32">
        <v>0.5</v>
      </c>
      <c r="AK81" s="32">
        <v>1</v>
      </c>
      <c r="AL81" s="32">
        <v>0.5</v>
      </c>
      <c r="AM81" s="32">
        <v>0.5</v>
      </c>
      <c r="AN81" s="32">
        <v>0.5</v>
      </c>
      <c r="AO81" s="32">
        <v>1</v>
      </c>
      <c r="AP81" s="32">
        <v>1</v>
      </c>
      <c r="AQ81" s="23">
        <v>1</v>
      </c>
      <c r="AR81" s="29">
        <v>0</v>
      </c>
      <c r="AS81" s="32">
        <v>0.5</v>
      </c>
      <c r="AT81" s="32">
        <v>1</v>
      </c>
      <c r="AU81" s="29">
        <v>1</v>
      </c>
      <c r="AV81" s="29">
        <v>1</v>
      </c>
      <c r="AW81" s="32"/>
      <c r="AX81" s="32">
        <v>1</v>
      </c>
      <c r="AY81" s="24">
        <v>1</v>
      </c>
      <c r="AZ81" s="32">
        <v>1</v>
      </c>
      <c r="BA81" s="32">
        <v>0.5</v>
      </c>
      <c r="BB81" s="32">
        <v>1</v>
      </c>
      <c r="BC81" s="32"/>
      <c r="BD81" s="32">
        <v>0.5</v>
      </c>
      <c r="BE81" s="24">
        <v>0.5</v>
      </c>
      <c r="BF81" s="32">
        <v>0.5</v>
      </c>
      <c r="BG81" s="32">
        <v>0.5</v>
      </c>
      <c r="BH81" s="32">
        <v>0.5</v>
      </c>
      <c r="BI81" s="32">
        <v>1</v>
      </c>
      <c r="BJ81" s="32">
        <v>1</v>
      </c>
      <c r="BK81" s="32">
        <v>0.5</v>
      </c>
      <c r="BL81" s="32">
        <v>1</v>
      </c>
      <c r="BM81" s="23">
        <v>1</v>
      </c>
      <c r="BN81" s="29">
        <v>0</v>
      </c>
      <c r="BO81" s="32"/>
      <c r="BP81" s="32">
        <v>1</v>
      </c>
      <c r="BQ81" s="29">
        <v>1</v>
      </c>
      <c r="BR81" s="29">
        <v>1</v>
      </c>
      <c r="BT81">
        <f t="shared" si="77"/>
        <v>58</v>
      </c>
      <c r="BU81">
        <f t="shared" si="78"/>
        <v>45</v>
      </c>
      <c r="BV81" s="25">
        <f t="shared" si="79"/>
        <v>0.77586206896551724</v>
      </c>
      <c r="EV81" s="25"/>
      <c r="EW81" s="25"/>
    </row>
    <row r="82" spans="2:153" ht="26.25" thickBot="1" x14ac:dyDescent="0.3">
      <c r="B82" s="27" t="s">
        <v>87</v>
      </c>
      <c r="D82" s="22">
        <v>35</v>
      </c>
      <c r="E82" s="32">
        <v>1</v>
      </c>
      <c r="F82" s="32"/>
      <c r="G82" s="24">
        <v>1</v>
      </c>
      <c r="H82" s="32">
        <v>1</v>
      </c>
      <c r="I82" s="32">
        <v>0.5</v>
      </c>
      <c r="J82" s="32"/>
      <c r="K82" s="32"/>
      <c r="L82" s="32">
        <v>1</v>
      </c>
      <c r="M82" s="24">
        <v>0.5</v>
      </c>
      <c r="N82" s="32">
        <v>1</v>
      </c>
      <c r="O82" s="32">
        <v>0</v>
      </c>
      <c r="P82" s="32">
        <v>1</v>
      </c>
      <c r="Q82" s="32">
        <v>1</v>
      </c>
      <c r="R82" s="32">
        <v>0.5</v>
      </c>
      <c r="S82" s="32">
        <v>1</v>
      </c>
      <c r="T82" s="32">
        <v>1</v>
      </c>
      <c r="U82" s="23">
        <v>1</v>
      </c>
      <c r="V82" s="29">
        <v>1</v>
      </c>
      <c r="W82" s="32">
        <v>0</v>
      </c>
      <c r="X82" s="32">
        <v>1</v>
      </c>
      <c r="Y82" s="29">
        <v>1</v>
      </c>
      <c r="Z82" s="29">
        <v>1</v>
      </c>
      <c r="AA82" s="32">
        <v>1</v>
      </c>
      <c r="AB82" s="32"/>
      <c r="AC82" s="24">
        <v>1</v>
      </c>
      <c r="AD82" s="32">
        <v>1</v>
      </c>
      <c r="AE82" s="32">
        <v>0.5</v>
      </c>
      <c r="AF82" s="32">
        <v>1</v>
      </c>
      <c r="AG82" s="32"/>
      <c r="AH82" s="32">
        <v>1</v>
      </c>
      <c r="AI82" s="24">
        <v>0.5</v>
      </c>
      <c r="AJ82" s="32">
        <v>1</v>
      </c>
      <c r="AK82" s="32">
        <v>0</v>
      </c>
      <c r="AL82" s="32">
        <v>0.5</v>
      </c>
      <c r="AM82" s="32">
        <v>1</v>
      </c>
      <c r="AN82" s="32">
        <v>0.5</v>
      </c>
      <c r="AO82" s="32">
        <v>0.5</v>
      </c>
      <c r="AP82" s="32">
        <v>1</v>
      </c>
      <c r="AQ82" s="23">
        <v>1</v>
      </c>
      <c r="AR82" s="29">
        <v>0.5</v>
      </c>
      <c r="AS82" s="32">
        <v>0</v>
      </c>
      <c r="AT82" s="32">
        <v>0.5</v>
      </c>
      <c r="AU82" s="29">
        <v>1</v>
      </c>
      <c r="AV82" s="29">
        <v>1</v>
      </c>
      <c r="AW82" s="32">
        <v>1</v>
      </c>
      <c r="AX82" s="32"/>
      <c r="AY82" s="24">
        <v>1</v>
      </c>
      <c r="AZ82" s="32">
        <v>1</v>
      </c>
      <c r="BA82" s="32">
        <v>0.5</v>
      </c>
      <c r="BB82" s="32">
        <v>1</v>
      </c>
      <c r="BC82" s="32"/>
      <c r="BD82" s="32">
        <v>0.5</v>
      </c>
      <c r="BE82" s="24">
        <v>0.5</v>
      </c>
      <c r="BF82" s="32">
        <v>1</v>
      </c>
      <c r="BG82" s="32">
        <v>0.5</v>
      </c>
      <c r="BH82" s="32">
        <v>0.5</v>
      </c>
      <c r="BI82" s="32">
        <v>0.5</v>
      </c>
      <c r="BJ82" s="32"/>
      <c r="BK82" s="32">
        <v>0.5</v>
      </c>
      <c r="BL82" s="32">
        <v>0</v>
      </c>
      <c r="BM82" s="23">
        <v>1</v>
      </c>
      <c r="BN82" s="29">
        <v>0.5</v>
      </c>
      <c r="BO82" s="32"/>
      <c r="BP82" s="32">
        <v>1</v>
      </c>
      <c r="BQ82" s="29">
        <v>1</v>
      </c>
      <c r="BR82" s="29">
        <v>1</v>
      </c>
      <c r="BT82">
        <f t="shared" si="77"/>
        <v>57</v>
      </c>
      <c r="BU82">
        <f t="shared" si="78"/>
        <v>43</v>
      </c>
      <c r="BV82" s="25">
        <f t="shared" si="79"/>
        <v>0.75438596491228072</v>
      </c>
      <c r="EV82" s="25"/>
      <c r="EW82" s="25"/>
    </row>
    <row r="83" spans="2:153" ht="26.25" thickBot="1" x14ac:dyDescent="0.3">
      <c r="B83" s="21" t="s">
        <v>88</v>
      </c>
      <c r="D83" s="22">
        <v>36</v>
      </c>
      <c r="E83" s="32"/>
      <c r="F83" s="32">
        <v>0</v>
      </c>
      <c r="G83" s="24">
        <v>1</v>
      </c>
      <c r="H83" s="32">
        <v>1</v>
      </c>
      <c r="I83" s="32">
        <v>1</v>
      </c>
      <c r="J83" s="32"/>
      <c r="K83" s="32"/>
      <c r="L83" s="32">
        <v>1</v>
      </c>
      <c r="M83" s="24">
        <v>0.5</v>
      </c>
      <c r="N83" s="32">
        <v>1</v>
      </c>
      <c r="O83" s="32">
        <v>0</v>
      </c>
      <c r="P83" s="32">
        <v>1</v>
      </c>
      <c r="Q83" s="32">
        <v>1</v>
      </c>
      <c r="R83" s="32">
        <v>0.5</v>
      </c>
      <c r="S83" s="32">
        <v>1</v>
      </c>
      <c r="T83" s="32">
        <v>1</v>
      </c>
      <c r="U83" s="23">
        <v>1</v>
      </c>
      <c r="V83" s="29">
        <v>0.5</v>
      </c>
      <c r="W83" s="32">
        <v>0</v>
      </c>
      <c r="X83" s="32">
        <v>1</v>
      </c>
      <c r="Y83" s="29">
        <v>1</v>
      </c>
      <c r="Z83" s="29">
        <v>1</v>
      </c>
      <c r="AA83" s="32"/>
      <c r="AB83" s="32">
        <v>0</v>
      </c>
      <c r="AC83" s="24">
        <v>1</v>
      </c>
      <c r="AD83" s="32">
        <v>1</v>
      </c>
      <c r="AE83" s="32">
        <v>1</v>
      </c>
      <c r="AF83" s="32">
        <v>1</v>
      </c>
      <c r="AG83" s="32"/>
      <c r="AH83" s="32">
        <v>1</v>
      </c>
      <c r="AI83" s="24">
        <v>0.5</v>
      </c>
      <c r="AJ83" s="32">
        <v>1</v>
      </c>
      <c r="AK83" s="32">
        <v>0</v>
      </c>
      <c r="AL83" s="32">
        <v>0.5</v>
      </c>
      <c r="AM83" s="32">
        <v>0.5</v>
      </c>
      <c r="AN83" s="32">
        <v>0.5</v>
      </c>
      <c r="AO83" s="32">
        <v>0.5</v>
      </c>
      <c r="AP83" s="32">
        <v>1</v>
      </c>
      <c r="AQ83" s="23">
        <v>1</v>
      </c>
      <c r="AR83" s="29">
        <v>1</v>
      </c>
      <c r="AS83" s="32">
        <v>0</v>
      </c>
      <c r="AT83" s="32">
        <v>1</v>
      </c>
      <c r="AU83" s="29">
        <v>1</v>
      </c>
      <c r="AV83" s="29">
        <v>1</v>
      </c>
      <c r="AW83" s="32"/>
      <c r="AX83" s="32">
        <v>0</v>
      </c>
      <c r="AY83" s="24">
        <v>1</v>
      </c>
      <c r="AZ83" s="32">
        <v>1</v>
      </c>
      <c r="BA83" s="32">
        <v>1</v>
      </c>
      <c r="BB83" s="32">
        <v>1</v>
      </c>
      <c r="BC83" s="32"/>
      <c r="BD83" s="32">
        <v>0.5</v>
      </c>
      <c r="BE83" s="24">
        <v>0.5</v>
      </c>
      <c r="BF83" s="32">
        <v>1</v>
      </c>
      <c r="BG83" s="32">
        <v>0.5</v>
      </c>
      <c r="BH83" s="32">
        <v>0.5</v>
      </c>
      <c r="BI83" s="32">
        <v>0</v>
      </c>
      <c r="BJ83" s="32"/>
      <c r="BK83" s="32">
        <v>0.5</v>
      </c>
      <c r="BL83" s="32">
        <v>0</v>
      </c>
      <c r="BM83" s="23">
        <v>1</v>
      </c>
      <c r="BN83" s="29">
        <v>0.5</v>
      </c>
      <c r="BO83" s="32"/>
      <c r="BP83" s="32">
        <v>1</v>
      </c>
      <c r="BQ83" s="29">
        <v>1</v>
      </c>
      <c r="BR83" s="29">
        <v>1</v>
      </c>
      <c r="BT83">
        <f t="shared" si="77"/>
        <v>57</v>
      </c>
      <c r="BU83">
        <f t="shared" si="78"/>
        <v>41</v>
      </c>
      <c r="BV83" s="25">
        <f t="shared" si="79"/>
        <v>0.7192982456140351</v>
      </c>
      <c r="EV83" s="25"/>
      <c r="EW83" s="25"/>
    </row>
    <row r="84" spans="2:153" ht="26.25" thickBot="1" x14ac:dyDescent="0.3">
      <c r="B84" s="33" t="s">
        <v>89</v>
      </c>
      <c r="D84" s="22">
        <v>37</v>
      </c>
      <c r="E84" s="32"/>
      <c r="F84" s="32">
        <v>0.5</v>
      </c>
      <c r="G84" s="24">
        <v>1</v>
      </c>
      <c r="H84" s="32">
        <v>1</v>
      </c>
      <c r="I84" s="32">
        <v>0.5</v>
      </c>
      <c r="J84" s="32"/>
      <c r="K84" s="32"/>
      <c r="L84" s="32">
        <v>1</v>
      </c>
      <c r="M84" s="24">
        <v>0.5</v>
      </c>
      <c r="N84" s="32">
        <v>0</v>
      </c>
      <c r="O84" s="32">
        <v>0</v>
      </c>
      <c r="P84" s="32">
        <v>1</v>
      </c>
      <c r="Q84" s="32">
        <v>0.5</v>
      </c>
      <c r="R84" s="32">
        <v>0.5</v>
      </c>
      <c r="S84" s="32">
        <v>1</v>
      </c>
      <c r="T84" s="32">
        <v>1</v>
      </c>
      <c r="U84" s="23">
        <v>1</v>
      </c>
      <c r="V84" s="29">
        <v>0.5</v>
      </c>
      <c r="W84" s="32">
        <v>0</v>
      </c>
      <c r="X84" s="32">
        <v>1</v>
      </c>
      <c r="Y84" s="29">
        <v>1</v>
      </c>
      <c r="Z84" s="29">
        <v>1</v>
      </c>
      <c r="AA84" s="32"/>
      <c r="AB84" s="32">
        <v>0.5</v>
      </c>
      <c r="AC84" s="24">
        <v>1</v>
      </c>
      <c r="AD84" s="32">
        <v>1</v>
      </c>
      <c r="AE84" s="32">
        <v>0.5</v>
      </c>
      <c r="AF84" s="32">
        <v>1</v>
      </c>
      <c r="AG84" s="32"/>
      <c r="AH84" s="32">
        <v>0.5</v>
      </c>
      <c r="AI84" s="24">
        <v>0.5</v>
      </c>
      <c r="AJ84" s="32">
        <v>0</v>
      </c>
      <c r="AK84" s="32">
        <v>0</v>
      </c>
      <c r="AL84" s="32">
        <v>0.5</v>
      </c>
      <c r="AM84" s="32">
        <v>1</v>
      </c>
      <c r="AN84" s="32">
        <v>0.5</v>
      </c>
      <c r="AO84" s="32">
        <v>0.5</v>
      </c>
      <c r="AP84" s="32">
        <v>1</v>
      </c>
      <c r="AQ84" s="23">
        <v>1</v>
      </c>
      <c r="AR84" s="29">
        <v>0</v>
      </c>
      <c r="AS84" s="32">
        <v>0</v>
      </c>
      <c r="AT84" s="32">
        <v>1</v>
      </c>
      <c r="AU84" s="29">
        <v>1</v>
      </c>
      <c r="AV84" s="29">
        <v>1</v>
      </c>
      <c r="AW84" s="32"/>
      <c r="AX84" s="32">
        <v>1</v>
      </c>
      <c r="AY84" s="24">
        <v>1</v>
      </c>
      <c r="AZ84" s="32">
        <v>1</v>
      </c>
      <c r="BA84" s="32">
        <v>0.5</v>
      </c>
      <c r="BB84" s="32">
        <v>1</v>
      </c>
      <c r="BC84" s="32"/>
      <c r="BD84" s="32"/>
      <c r="BE84" s="24">
        <v>0.5</v>
      </c>
      <c r="BF84" s="32"/>
      <c r="BG84" s="32">
        <v>0.5</v>
      </c>
      <c r="BH84" s="32">
        <v>0.5</v>
      </c>
      <c r="BI84" s="32">
        <v>1</v>
      </c>
      <c r="BJ84" s="32"/>
      <c r="BK84" s="32">
        <v>0.5</v>
      </c>
      <c r="BL84" s="32">
        <v>0</v>
      </c>
      <c r="BM84" s="23">
        <v>1</v>
      </c>
      <c r="BN84" s="29">
        <v>0</v>
      </c>
      <c r="BO84" s="32"/>
      <c r="BP84" s="32">
        <v>1</v>
      </c>
      <c r="BQ84" s="29">
        <v>1</v>
      </c>
      <c r="BR84" s="29">
        <v>1</v>
      </c>
      <c r="BT84">
        <f t="shared" si="77"/>
        <v>55</v>
      </c>
      <c r="BU84">
        <f t="shared" si="78"/>
        <v>37</v>
      </c>
      <c r="BV84" s="25">
        <f t="shared" si="79"/>
        <v>0.67272727272727273</v>
      </c>
      <c r="EV84" s="25"/>
      <c r="EW84" s="25"/>
    </row>
    <row r="85" spans="2:153" x14ac:dyDescent="0.25">
      <c r="B85" s="39"/>
      <c r="C85" s="40"/>
      <c r="D85" s="41"/>
      <c r="E85" s="42"/>
      <c r="F85" s="42"/>
      <c r="G85" s="42"/>
      <c r="H85" s="42"/>
      <c r="I85" s="42"/>
      <c r="J85" s="42"/>
      <c r="K85" s="42"/>
      <c r="L85" s="42"/>
      <c r="M85" s="42"/>
      <c r="N85" s="42"/>
      <c r="O85" s="42"/>
      <c r="P85" s="42"/>
      <c r="Q85" s="42"/>
      <c r="R85" s="42"/>
      <c r="S85" s="42"/>
      <c r="U85" s="42"/>
      <c r="V85" s="42"/>
      <c r="W85" s="42"/>
      <c r="X85" s="42"/>
      <c r="Y85" s="42"/>
      <c r="Z85" s="42"/>
      <c r="AA85" s="42"/>
      <c r="AB85" s="42"/>
      <c r="AC85" s="42"/>
      <c r="AD85" s="42"/>
      <c r="AE85" s="42"/>
      <c r="AF85" s="42"/>
      <c r="AG85" s="42"/>
      <c r="AH85" s="42"/>
      <c r="AI85" s="42"/>
      <c r="AJ85" s="42"/>
      <c r="AK85" s="42"/>
      <c r="AL85" s="42"/>
      <c r="AM85" s="42"/>
      <c r="AN85" s="42"/>
      <c r="AO85" s="42"/>
      <c r="AQ85" s="42"/>
      <c r="AR85" s="42"/>
      <c r="AS85" s="42"/>
      <c r="AT85" s="42"/>
      <c r="AU85" s="42"/>
      <c r="AV85" s="42"/>
      <c r="AW85" s="42"/>
      <c r="AX85" s="42"/>
      <c r="AY85" s="42"/>
      <c r="AZ85" s="42"/>
      <c r="BA85" s="42"/>
      <c r="BB85" s="42"/>
      <c r="BC85" s="42"/>
      <c r="BD85" s="42"/>
      <c r="BE85" s="42"/>
      <c r="BF85" s="42"/>
      <c r="BG85" s="42"/>
      <c r="BH85" s="42"/>
      <c r="BI85" s="42"/>
      <c r="BJ85" s="42"/>
      <c r="BK85" s="42"/>
      <c r="BM85" s="42"/>
      <c r="BN85" s="42"/>
      <c r="BO85" s="42"/>
      <c r="BP85" s="42"/>
      <c r="BQ85" s="42"/>
      <c r="BR85" s="42"/>
      <c r="BS85" s="40"/>
      <c r="BT85" s="40"/>
      <c r="BU85" s="40"/>
      <c r="BV85" s="43"/>
      <c r="BW85" s="40"/>
      <c r="BX85" s="40"/>
      <c r="BY85" s="40"/>
    </row>
    <row r="86" spans="2:153" x14ac:dyDescent="0.25">
      <c r="B86" s="39"/>
      <c r="C86" s="40"/>
      <c r="D86" s="41"/>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0"/>
      <c r="BT86" s="40"/>
      <c r="BU86" s="40"/>
      <c r="BV86" s="43"/>
      <c r="BW86" s="40"/>
      <c r="BX86" s="40"/>
      <c r="BY86" s="40"/>
    </row>
    <row r="87" spans="2:153" x14ac:dyDescent="0.25">
      <c r="B87" s="39"/>
      <c r="C87" s="40"/>
      <c r="D87" s="41"/>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0"/>
      <c r="BT87" s="40"/>
      <c r="BU87" s="40"/>
      <c r="BV87" s="43"/>
      <c r="BW87" s="40"/>
      <c r="BX87" s="40"/>
      <c r="BY87" s="40"/>
    </row>
    <row r="88" spans="2:153" ht="15.75" thickBot="1" x14ac:dyDescent="0.3">
      <c r="B88" s="39"/>
      <c r="C88" s="40"/>
      <c r="D88" s="41"/>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0"/>
      <c r="BT88" s="40"/>
      <c r="BU88" s="40"/>
      <c r="BV88" s="43"/>
      <c r="BW88" s="40"/>
      <c r="BX88" s="40"/>
      <c r="BY88" s="40"/>
    </row>
    <row r="89" spans="2:153" ht="16.5" thickTop="1" thickBot="1" x14ac:dyDescent="0.3">
      <c r="B89" s="5" t="s">
        <v>93</v>
      </c>
      <c r="E89" s="36" t="s">
        <v>8</v>
      </c>
      <c r="F89" s="36"/>
      <c r="G89" s="36"/>
      <c r="H89" s="36"/>
      <c r="I89" s="36"/>
      <c r="J89" s="36"/>
      <c r="K89" s="36"/>
      <c r="L89" s="36"/>
      <c r="M89" s="36"/>
      <c r="N89" s="36"/>
      <c r="O89" s="36"/>
      <c r="P89" s="36"/>
      <c r="Q89" s="36"/>
      <c r="R89" s="36"/>
      <c r="S89" s="36"/>
      <c r="T89" s="36"/>
      <c r="U89" s="36"/>
      <c r="V89" s="36"/>
      <c r="W89" s="36"/>
      <c r="X89" s="36"/>
      <c r="Y89" s="36"/>
      <c r="Z89" s="36"/>
      <c r="AA89" s="37" t="s">
        <v>9</v>
      </c>
      <c r="AB89" s="37"/>
      <c r="AC89" s="37"/>
      <c r="AD89" s="37"/>
      <c r="AE89" s="37"/>
      <c r="AF89" s="37"/>
      <c r="AG89" s="37"/>
      <c r="AH89" s="37"/>
      <c r="AI89" s="37"/>
      <c r="AJ89" s="37"/>
      <c r="AK89" s="37"/>
      <c r="AL89" s="37"/>
      <c r="AM89" s="37"/>
      <c r="AN89" s="37"/>
      <c r="AO89" s="37"/>
      <c r="AP89" s="37"/>
      <c r="AQ89" s="37"/>
      <c r="AR89" s="37"/>
      <c r="AS89" s="37"/>
      <c r="AT89" s="37"/>
      <c r="AU89" s="37"/>
      <c r="AV89" s="37"/>
      <c r="AW89" s="38" t="s">
        <v>10</v>
      </c>
      <c r="AX89" s="38"/>
      <c r="AY89" s="38"/>
      <c r="AZ89" s="38"/>
      <c r="BA89" s="38"/>
      <c r="BB89" s="38"/>
      <c r="BC89" s="38"/>
      <c r="BD89" s="38"/>
      <c r="BE89" s="38"/>
      <c r="BF89" s="38"/>
      <c r="BG89" s="38"/>
      <c r="BH89" s="38"/>
      <c r="BI89" s="38"/>
      <c r="BJ89" s="38"/>
      <c r="BK89" s="38"/>
      <c r="BL89" s="38"/>
      <c r="BM89" s="38"/>
      <c r="BN89" s="38"/>
      <c r="BO89" s="38"/>
      <c r="BP89" s="38"/>
      <c r="BQ89" s="38"/>
      <c r="BR89" s="38"/>
    </row>
    <row r="90" spans="2:153" ht="16.5" thickTop="1" thickBot="1" x14ac:dyDescent="0.3">
      <c r="D90" s="6"/>
      <c r="E90" s="36" t="s">
        <v>22</v>
      </c>
      <c r="F90" s="36" t="s">
        <v>23</v>
      </c>
      <c r="G90" s="36" t="s">
        <v>24</v>
      </c>
      <c r="H90" s="36" t="s">
        <v>25</v>
      </c>
      <c r="I90" s="36" t="s">
        <v>26</v>
      </c>
      <c r="J90" s="36" t="s">
        <v>27</v>
      </c>
      <c r="K90" s="36" t="s">
        <v>28</v>
      </c>
      <c r="L90" s="36" t="s">
        <v>29</v>
      </c>
      <c r="M90" s="36" t="s">
        <v>30</v>
      </c>
      <c r="N90" s="36" t="s">
        <v>31</v>
      </c>
      <c r="O90" s="36" t="s">
        <v>103</v>
      </c>
      <c r="P90" s="36" t="s">
        <v>32</v>
      </c>
      <c r="Q90" s="36" t="s">
        <v>33</v>
      </c>
      <c r="R90" s="36" t="s">
        <v>104</v>
      </c>
      <c r="S90" s="36" t="s">
        <v>34</v>
      </c>
      <c r="T90" s="36" t="s">
        <v>35</v>
      </c>
      <c r="U90" s="36" t="s">
        <v>35</v>
      </c>
      <c r="V90" s="36" t="s">
        <v>36</v>
      </c>
      <c r="W90" s="36" t="s">
        <v>37</v>
      </c>
      <c r="X90" s="36" t="s">
        <v>38</v>
      </c>
      <c r="Y90" s="36" t="s">
        <v>39</v>
      </c>
      <c r="Z90" s="36" t="s">
        <v>40</v>
      </c>
      <c r="AA90" s="36" t="s">
        <v>22</v>
      </c>
      <c r="AB90" s="36" t="s">
        <v>23</v>
      </c>
      <c r="AC90" s="36" t="s">
        <v>24</v>
      </c>
      <c r="AD90" s="36" t="s">
        <v>25</v>
      </c>
      <c r="AE90" s="36" t="s">
        <v>26</v>
      </c>
      <c r="AF90" s="36" t="s">
        <v>27</v>
      </c>
      <c r="AG90" s="36" t="s">
        <v>28</v>
      </c>
      <c r="AH90" s="36" t="s">
        <v>29</v>
      </c>
      <c r="AI90" s="36" t="s">
        <v>30</v>
      </c>
      <c r="AJ90" s="36" t="s">
        <v>31</v>
      </c>
      <c r="AK90" s="36" t="s">
        <v>103</v>
      </c>
      <c r="AL90" s="36" t="s">
        <v>32</v>
      </c>
      <c r="AM90" s="36" t="s">
        <v>33</v>
      </c>
      <c r="AN90" s="36" t="s">
        <v>104</v>
      </c>
      <c r="AO90" s="36" t="s">
        <v>34</v>
      </c>
      <c r="AP90" s="36" t="s">
        <v>35</v>
      </c>
      <c r="AQ90" s="36" t="s">
        <v>35</v>
      </c>
      <c r="AR90" s="36" t="s">
        <v>36</v>
      </c>
      <c r="AS90" s="36" t="s">
        <v>37</v>
      </c>
      <c r="AT90" s="36" t="s">
        <v>38</v>
      </c>
      <c r="AU90" s="36" t="s">
        <v>39</v>
      </c>
      <c r="AV90" s="36" t="s">
        <v>40</v>
      </c>
      <c r="AW90" s="36" t="s">
        <v>22</v>
      </c>
      <c r="AX90" s="36" t="s">
        <v>23</v>
      </c>
      <c r="AY90" s="36" t="s">
        <v>24</v>
      </c>
      <c r="AZ90" s="36" t="s">
        <v>25</v>
      </c>
      <c r="BA90" s="36" t="s">
        <v>26</v>
      </c>
      <c r="BB90" s="36" t="s">
        <v>27</v>
      </c>
      <c r="BC90" s="36" t="s">
        <v>28</v>
      </c>
      <c r="BD90" s="36" t="s">
        <v>29</v>
      </c>
      <c r="BE90" s="36" t="s">
        <v>30</v>
      </c>
      <c r="BF90" s="36" t="s">
        <v>31</v>
      </c>
      <c r="BG90" s="36" t="s">
        <v>103</v>
      </c>
      <c r="BH90" s="36" t="s">
        <v>32</v>
      </c>
      <c r="BI90" s="36" t="s">
        <v>33</v>
      </c>
      <c r="BJ90" s="36" t="s">
        <v>104</v>
      </c>
      <c r="BK90" s="36" t="s">
        <v>34</v>
      </c>
      <c r="BL90" s="36" t="s">
        <v>35</v>
      </c>
      <c r="BM90" s="36" t="s">
        <v>35</v>
      </c>
      <c r="BN90" s="36" t="s">
        <v>36</v>
      </c>
      <c r="BO90" s="36" t="s">
        <v>37</v>
      </c>
      <c r="BP90" s="36" t="s">
        <v>38</v>
      </c>
      <c r="BQ90" s="36" t="s">
        <v>39</v>
      </c>
      <c r="BR90" s="36" t="s">
        <v>40</v>
      </c>
      <c r="BS90" s="12"/>
      <c r="BT90" s="13" t="s">
        <v>41</v>
      </c>
      <c r="BU90" s="14" t="s">
        <v>42</v>
      </c>
      <c r="BV90" s="15" t="s">
        <v>43</v>
      </c>
      <c r="BW90" s="12"/>
      <c r="BX90" s="16" t="s">
        <v>44</v>
      </c>
      <c r="BY90" s="16"/>
    </row>
    <row r="91" spans="2:153" ht="26.25" thickBot="1" x14ac:dyDescent="0.3">
      <c r="B91" s="21" t="s">
        <v>49</v>
      </c>
      <c r="D91" s="22">
        <v>1</v>
      </c>
      <c r="E91" s="24">
        <v>0.5</v>
      </c>
      <c r="F91" s="24">
        <v>0.5</v>
      </c>
      <c r="G91" s="24">
        <v>1</v>
      </c>
      <c r="H91" s="24">
        <v>1</v>
      </c>
      <c r="I91" s="24">
        <v>1</v>
      </c>
      <c r="J91" s="24">
        <v>1</v>
      </c>
      <c r="K91" s="24">
        <v>1</v>
      </c>
      <c r="L91" s="24">
        <v>0</v>
      </c>
      <c r="M91" s="24">
        <v>0.5</v>
      </c>
      <c r="N91" s="24">
        <v>1</v>
      </c>
      <c r="O91" s="24">
        <v>1</v>
      </c>
      <c r="P91" s="32">
        <v>1</v>
      </c>
      <c r="Q91" s="24">
        <v>1</v>
      </c>
      <c r="R91" s="24">
        <v>0.5</v>
      </c>
      <c r="S91" s="24">
        <v>1</v>
      </c>
      <c r="T91" s="24">
        <v>1</v>
      </c>
      <c r="U91" s="23">
        <v>1</v>
      </c>
      <c r="V91" s="24">
        <v>0.5</v>
      </c>
      <c r="W91" s="24">
        <v>0.5</v>
      </c>
      <c r="X91" s="24">
        <v>1</v>
      </c>
      <c r="Y91" s="24">
        <v>0.5</v>
      </c>
      <c r="Z91" s="24">
        <v>0.5</v>
      </c>
      <c r="AA91" s="24">
        <v>0.5</v>
      </c>
      <c r="AB91" s="24">
        <v>0</v>
      </c>
      <c r="AC91" s="24">
        <v>1</v>
      </c>
      <c r="AD91" s="24">
        <v>0.5</v>
      </c>
      <c r="AE91" s="24">
        <v>1</v>
      </c>
      <c r="AF91" s="24">
        <v>1</v>
      </c>
      <c r="AG91" s="24">
        <v>1</v>
      </c>
      <c r="AH91" s="24">
        <v>0.5</v>
      </c>
      <c r="AI91" s="24">
        <v>0.5</v>
      </c>
      <c r="AJ91" s="24">
        <v>1</v>
      </c>
      <c r="AK91" s="24">
        <v>0</v>
      </c>
      <c r="AL91" s="32">
        <v>1</v>
      </c>
      <c r="AM91" s="24">
        <v>0.5</v>
      </c>
      <c r="AN91" s="24">
        <v>0.5</v>
      </c>
      <c r="AO91" s="24">
        <v>1</v>
      </c>
      <c r="AP91" s="24">
        <v>1</v>
      </c>
      <c r="AQ91" s="23">
        <v>1</v>
      </c>
      <c r="AR91" s="24">
        <v>0.5</v>
      </c>
      <c r="AS91" s="24">
        <v>0.5</v>
      </c>
      <c r="AT91" s="24">
        <v>1</v>
      </c>
      <c r="AU91" s="24">
        <v>0.5</v>
      </c>
      <c r="AV91" s="24">
        <v>0.5</v>
      </c>
      <c r="AW91" s="24">
        <v>0.5</v>
      </c>
      <c r="AX91" s="24">
        <v>0.5</v>
      </c>
      <c r="AY91" s="24">
        <v>1</v>
      </c>
      <c r="AZ91" s="24">
        <v>0.5</v>
      </c>
      <c r="BA91" s="24">
        <v>1</v>
      </c>
      <c r="BB91" s="24">
        <v>1</v>
      </c>
      <c r="BC91" s="24">
        <v>1</v>
      </c>
      <c r="BD91" s="24">
        <v>0</v>
      </c>
      <c r="BE91" s="24">
        <v>0.5</v>
      </c>
      <c r="BF91" s="24">
        <v>0.5</v>
      </c>
      <c r="BG91" s="24">
        <v>0</v>
      </c>
      <c r="BH91" s="24">
        <v>0.5</v>
      </c>
      <c r="BI91" s="24">
        <v>0.5</v>
      </c>
      <c r="BJ91" s="24">
        <v>0.5</v>
      </c>
      <c r="BK91" s="24">
        <v>1</v>
      </c>
      <c r="BL91" s="24">
        <v>1</v>
      </c>
      <c r="BM91" s="23">
        <v>1</v>
      </c>
      <c r="BN91" s="24">
        <v>1</v>
      </c>
      <c r="BO91" s="24">
        <v>0.5</v>
      </c>
      <c r="BP91" s="24">
        <v>1</v>
      </c>
      <c r="BQ91" s="24">
        <v>1</v>
      </c>
      <c r="BR91" s="24">
        <v>1</v>
      </c>
      <c r="BT91">
        <f t="shared" ref="BT91:BT127" si="80">COUNT(E91:BS91)</f>
        <v>66</v>
      </c>
      <c r="BU91">
        <f t="shared" ref="BU91:BU127" si="81">SUM(E91:BR91)</f>
        <v>47.5</v>
      </c>
      <c r="BV91" s="25">
        <f>BU91/BT91</f>
        <v>0.71969696969696972</v>
      </c>
      <c r="BX91" s="25">
        <f>AVERAGE(BV91:BV127)</f>
        <v>0.7508078282290096</v>
      </c>
      <c r="BY91" t="s">
        <v>50</v>
      </c>
    </row>
    <row r="92" spans="2:153" ht="26.25" thickBot="1" x14ac:dyDescent="0.3">
      <c r="B92" s="26" t="s">
        <v>51</v>
      </c>
      <c r="D92" s="22">
        <v>2</v>
      </c>
      <c r="E92" s="24">
        <v>0.5</v>
      </c>
      <c r="F92" s="24">
        <v>0</v>
      </c>
      <c r="G92" s="24">
        <v>1</v>
      </c>
      <c r="H92" s="24">
        <v>1</v>
      </c>
      <c r="I92" s="24">
        <v>1</v>
      </c>
      <c r="J92" s="24">
        <v>0.5</v>
      </c>
      <c r="K92" s="24">
        <v>1</v>
      </c>
      <c r="L92" s="24">
        <v>0.5</v>
      </c>
      <c r="M92" s="24">
        <v>0.5</v>
      </c>
      <c r="N92" s="24"/>
      <c r="O92" s="24">
        <v>1</v>
      </c>
      <c r="P92" s="32">
        <v>0.5</v>
      </c>
      <c r="Q92" s="24">
        <v>1</v>
      </c>
      <c r="R92" s="24">
        <v>0.5</v>
      </c>
      <c r="S92" s="24">
        <v>1</v>
      </c>
      <c r="T92" s="24">
        <v>1</v>
      </c>
      <c r="U92" s="23">
        <v>1</v>
      </c>
      <c r="V92" s="24">
        <v>1</v>
      </c>
      <c r="W92" s="24">
        <v>0.5</v>
      </c>
      <c r="X92" s="24">
        <v>1</v>
      </c>
      <c r="Y92" s="24">
        <v>1</v>
      </c>
      <c r="Z92" s="24">
        <v>1</v>
      </c>
      <c r="AA92" s="24">
        <v>0</v>
      </c>
      <c r="AB92" s="24">
        <v>0.5</v>
      </c>
      <c r="AC92" s="24">
        <v>1</v>
      </c>
      <c r="AD92" s="24">
        <v>1</v>
      </c>
      <c r="AE92" s="24">
        <v>1</v>
      </c>
      <c r="AF92" s="24">
        <v>1</v>
      </c>
      <c r="AG92" s="24">
        <v>1</v>
      </c>
      <c r="AH92" s="24">
        <v>0.5</v>
      </c>
      <c r="AI92" s="24">
        <v>0.5</v>
      </c>
      <c r="AJ92" s="24">
        <v>1</v>
      </c>
      <c r="AK92" s="24">
        <v>1</v>
      </c>
      <c r="AL92" s="32">
        <v>0.5</v>
      </c>
      <c r="AM92" s="24">
        <v>1</v>
      </c>
      <c r="AN92" s="24">
        <v>0.5</v>
      </c>
      <c r="AO92" s="24">
        <v>1</v>
      </c>
      <c r="AP92" s="24">
        <v>1</v>
      </c>
      <c r="AQ92" s="23">
        <v>1</v>
      </c>
      <c r="AR92" s="24">
        <v>1</v>
      </c>
      <c r="AS92" s="24">
        <v>0.5</v>
      </c>
      <c r="AT92" s="24">
        <v>1</v>
      </c>
      <c r="AU92" s="24">
        <v>0.5</v>
      </c>
      <c r="AV92" s="24">
        <v>0.5</v>
      </c>
      <c r="AW92" s="24">
        <v>0</v>
      </c>
      <c r="AX92" s="24">
        <v>0.5</v>
      </c>
      <c r="AY92" s="24">
        <v>1</v>
      </c>
      <c r="AZ92" s="24">
        <v>1</v>
      </c>
      <c r="BA92" s="24">
        <v>1</v>
      </c>
      <c r="BB92" s="24">
        <v>0.5</v>
      </c>
      <c r="BC92" s="24">
        <v>1</v>
      </c>
      <c r="BD92" s="24">
        <v>0.5</v>
      </c>
      <c r="BE92" s="24">
        <v>0.5</v>
      </c>
      <c r="BF92" s="24">
        <v>0</v>
      </c>
      <c r="BG92" s="24">
        <v>1</v>
      </c>
      <c r="BH92" s="24">
        <v>0.5</v>
      </c>
      <c r="BI92" s="24">
        <v>1</v>
      </c>
      <c r="BJ92" s="24">
        <v>0.5</v>
      </c>
      <c r="BK92" s="24">
        <v>1</v>
      </c>
      <c r="BL92" s="24">
        <v>1</v>
      </c>
      <c r="BM92" s="23">
        <v>1</v>
      </c>
      <c r="BN92" s="24">
        <v>1</v>
      </c>
      <c r="BO92" s="24">
        <v>0.5</v>
      </c>
      <c r="BP92" s="24">
        <v>1</v>
      </c>
      <c r="BQ92" s="24">
        <v>1</v>
      </c>
      <c r="BR92" s="24">
        <v>1</v>
      </c>
      <c r="BT92">
        <f t="shared" si="80"/>
        <v>65</v>
      </c>
      <c r="BU92">
        <f t="shared" si="81"/>
        <v>50</v>
      </c>
      <c r="BV92" s="25">
        <f t="shared" ref="BV92:BV127" si="82">BU92/BT92</f>
        <v>0.76923076923076927</v>
      </c>
      <c r="BX92">
        <f>STDEV(BV91:BV127)</f>
        <v>8.1770943905961235E-2</v>
      </c>
      <c r="BY92" t="s">
        <v>52</v>
      </c>
    </row>
    <row r="93" spans="2:153" ht="39" thickBot="1" x14ac:dyDescent="0.3">
      <c r="B93" s="27" t="s">
        <v>53</v>
      </c>
      <c r="D93" s="22">
        <v>3</v>
      </c>
      <c r="E93" s="29">
        <v>1</v>
      </c>
      <c r="F93" s="29">
        <v>0.5</v>
      </c>
      <c r="G93" s="24">
        <v>1</v>
      </c>
      <c r="H93" s="29">
        <v>1</v>
      </c>
      <c r="I93" s="29">
        <v>1</v>
      </c>
      <c r="J93" s="29">
        <v>0.5</v>
      </c>
      <c r="K93" s="29">
        <v>0.5</v>
      </c>
      <c r="L93" s="29">
        <v>0.5</v>
      </c>
      <c r="M93" s="24">
        <v>0.5</v>
      </c>
      <c r="N93" s="29">
        <v>1</v>
      </c>
      <c r="O93" s="29">
        <v>1</v>
      </c>
      <c r="P93" s="32">
        <v>0.5</v>
      </c>
      <c r="Q93" s="29">
        <v>0.5</v>
      </c>
      <c r="R93" s="24">
        <v>0.5</v>
      </c>
      <c r="S93" s="29">
        <v>1</v>
      </c>
      <c r="T93" s="29">
        <v>1</v>
      </c>
      <c r="U93" s="23">
        <v>1</v>
      </c>
      <c r="V93" s="24">
        <v>1</v>
      </c>
      <c r="W93" s="29">
        <v>0.5</v>
      </c>
      <c r="X93" s="29">
        <v>1</v>
      </c>
      <c r="Y93" s="24">
        <v>1</v>
      </c>
      <c r="Z93" s="24">
        <v>1</v>
      </c>
      <c r="AA93" s="29">
        <v>0.5</v>
      </c>
      <c r="AB93" s="29">
        <v>0.5</v>
      </c>
      <c r="AC93" s="24">
        <v>1</v>
      </c>
      <c r="AD93" s="29">
        <v>1</v>
      </c>
      <c r="AE93" s="29">
        <v>1</v>
      </c>
      <c r="AF93" s="29">
        <v>0.5</v>
      </c>
      <c r="AG93" s="29">
        <v>0.5</v>
      </c>
      <c r="AH93" s="29">
        <v>0</v>
      </c>
      <c r="AI93" s="24">
        <v>0.5</v>
      </c>
      <c r="AJ93" s="29">
        <v>1</v>
      </c>
      <c r="AK93" s="29">
        <v>1</v>
      </c>
      <c r="AL93" s="32">
        <v>0.5</v>
      </c>
      <c r="AM93" s="29">
        <v>0.5</v>
      </c>
      <c r="AN93" s="24">
        <v>0.5</v>
      </c>
      <c r="AO93" s="29">
        <v>1</v>
      </c>
      <c r="AP93" s="29">
        <v>1</v>
      </c>
      <c r="AQ93" s="23">
        <v>1</v>
      </c>
      <c r="AR93" s="24">
        <v>1</v>
      </c>
      <c r="AS93" s="29">
        <v>0.5</v>
      </c>
      <c r="AT93" s="29">
        <v>1</v>
      </c>
      <c r="AU93" s="24">
        <v>0.5</v>
      </c>
      <c r="AV93" s="24">
        <v>0.5</v>
      </c>
      <c r="AW93" s="29">
        <v>0.5</v>
      </c>
      <c r="AX93" s="29">
        <v>0.5</v>
      </c>
      <c r="AY93" s="24">
        <v>1</v>
      </c>
      <c r="AZ93" s="29">
        <v>1</v>
      </c>
      <c r="BA93" s="29">
        <v>1</v>
      </c>
      <c r="BB93" s="29">
        <v>1</v>
      </c>
      <c r="BC93" s="29">
        <v>1</v>
      </c>
      <c r="BD93" s="29">
        <v>0</v>
      </c>
      <c r="BE93" s="24">
        <v>0.5</v>
      </c>
      <c r="BF93" s="29">
        <v>0</v>
      </c>
      <c r="BG93" s="29">
        <v>1</v>
      </c>
      <c r="BH93" s="29">
        <v>0</v>
      </c>
      <c r="BI93" s="29">
        <v>0</v>
      </c>
      <c r="BJ93" s="24">
        <v>0.5</v>
      </c>
      <c r="BK93" s="29">
        <v>1</v>
      </c>
      <c r="BL93" s="29">
        <v>1</v>
      </c>
      <c r="BM93" s="23">
        <v>1</v>
      </c>
      <c r="BN93" s="24">
        <v>1</v>
      </c>
      <c r="BO93" s="29">
        <v>0.5</v>
      </c>
      <c r="BP93" s="29">
        <v>1</v>
      </c>
      <c r="BQ93" s="24">
        <v>1</v>
      </c>
      <c r="BR93" s="24">
        <v>1</v>
      </c>
      <c r="BT93">
        <f t="shared" si="80"/>
        <v>66</v>
      </c>
      <c r="BU93">
        <f t="shared" si="81"/>
        <v>48.5</v>
      </c>
      <c r="BV93" s="25">
        <f t="shared" si="82"/>
        <v>0.73484848484848486</v>
      </c>
      <c r="BX93" s="25">
        <f>MIN(BV91:BV127)</f>
        <v>0.57499999999999996</v>
      </c>
      <c r="BY93" t="s">
        <v>54</v>
      </c>
    </row>
    <row r="94" spans="2:153" ht="39" thickBot="1" x14ac:dyDescent="0.3">
      <c r="B94" s="21" t="s">
        <v>55</v>
      </c>
      <c r="D94" s="22">
        <v>4</v>
      </c>
      <c r="E94" s="29">
        <v>1</v>
      </c>
      <c r="F94" s="29">
        <v>1</v>
      </c>
      <c r="G94" s="24">
        <v>1</v>
      </c>
      <c r="H94" s="29">
        <v>1</v>
      </c>
      <c r="I94" s="29">
        <v>1</v>
      </c>
      <c r="J94" s="29">
        <v>1</v>
      </c>
      <c r="K94" s="29">
        <v>0</v>
      </c>
      <c r="L94" s="29">
        <v>1</v>
      </c>
      <c r="M94" s="24">
        <v>0.5</v>
      </c>
      <c r="N94" s="29">
        <v>1</v>
      </c>
      <c r="O94" s="29">
        <v>1</v>
      </c>
      <c r="P94" s="32">
        <v>1</v>
      </c>
      <c r="Q94" s="29">
        <v>1</v>
      </c>
      <c r="R94" s="24">
        <v>0.5</v>
      </c>
      <c r="S94" s="29">
        <v>1</v>
      </c>
      <c r="T94" s="29">
        <v>1</v>
      </c>
      <c r="U94" s="23">
        <v>1</v>
      </c>
      <c r="V94" s="29">
        <v>1</v>
      </c>
      <c r="W94" s="29">
        <v>1</v>
      </c>
      <c r="X94" s="29">
        <v>1</v>
      </c>
      <c r="Y94" s="29">
        <v>0.5</v>
      </c>
      <c r="Z94" s="29">
        <v>0.5</v>
      </c>
      <c r="AA94" s="29">
        <v>1</v>
      </c>
      <c r="AB94" s="29">
        <v>1</v>
      </c>
      <c r="AC94" s="24">
        <v>1</v>
      </c>
      <c r="AD94" s="29">
        <v>1</v>
      </c>
      <c r="AE94" s="29">
        <v>1</v>
      </c>
      <c r="AF94" s="29">
        <v>1</v>
      </c>
      <c r="AG94" s="29">
        <v>0</v>
      </c>
      <c r="AH94" s="29">
        <v>1</v>
      </c>
      <c r="AI94" s="24">
        <v>0.5</v>
      </c>
      <c r="AJ94" s="29">
        <v>1</v>
      </c>
      <c r="AK94" s="29">
        <v>0</v>
      </c>
      <c r="AL94" s="32">
        <v>1</v>
      </c>
      <c r="AM94" s="29">
        <v>1</v>
      </c>
      <c r="AN94" s="24">
        <v>0.5</v>
      </c>
      <c r="AO94" s="29">
        <v>1</v>
      </c>
      <c r="AP94" s="29">
        <v>1</v>
      </c>
      <c r="AQ94" s="23">
        <v>1</v>
      </c>
      <c r="AR94" s="29">
        <v>1</v>
      </c>
      <c r="AS94" s="29">
        <v>0.5</v>
      </c>
      <c r="AT94" s="29">
        <v>1</v>
      </c>
      <c r="AU94" s="29">
        <v>1</v>
      </c>
      <c r="AV94" s="29">
        <v>1</v>
      </c>
      <c r="AW94" s="29">
        <v>1</v>
      </c>
      <c r="AX94" s="29">
        <v>0.5</v>
      </c>
      <c r="AY94" s="24">
        <v>1</v>
      </c>
      <c r="AZ94" s="29">
        <v>1</v>
      </c>
      <c r="BA94" s="29"/>
      <c r="BB94" s="29">
        <v>0.5</v>
      </c>
      <c r="BC94" s="29">
        <v>0.5</v>
      </c>
      <c r="BD94" s="29">
        <v>1</v>
      </c>
      <c r="BE94" s="24">
        <v>0.5</v>
      </c>
      <c r="BF94" s="29">
        <v>1</v>
      </c>
      <c r="BG94" s="29">
        <v>0</v>
      </c>
      <c r="BH94" s="29">
        <v>1</v>
      </c>
      <c r="BI94" s="29">
        <v>1</v>
      </c>
      <c r="BJ94" s="24">
        <v>0.5</v>
      </c>
      <c r="BK94" s="29">
        <v>1</v>
      </c>
      <c r="BL94" s="29">
        <v>1</v>
      </c>
      <c r="BM94" s="23">
        <v>1</v>
      </c>
      <c r="BN94" s="29">
        <v>1</v>
      </c>
      <c r="BO94" s="29">
        <v>1</v>
      </c>
      <c r="BP94" s="29">
        <v>0.5</v>
      </c>
      <c r="BQ94" s="29">
        <v>1</v>
      </c>
      <c r="BR94" s="29">
        <v>1</v>
      </c>
      <c r="BT94">
        <f t="shared" si="80"/>
        <v>65</v>
      </c>
      <c r="BU94">
        <f t="shared" si="81"/>
        <v>54.5</v>
      </c>
      <c r="BV94" s="25">
        <f t="shared" si="82"/>
        <v>0.83846153846153848</v>
      </c>
      <c r="BX94" s="25">
        <f>MAX(BV91:BV127)</f>
        <v>0.90476190476190477</v>
      </c>
      <c r="BY94" t="s">
        <v>56</v>
      </c>
    </row>
    <row r="95" spans="2:153" ht="51.75" thickBot="1" x14ac:dyDescent="0.3">
      <c r="B95" s="30" t="s">
        <v>57</v>
      </c>
      <c r="D95" s="22">
        <v>5</v>
      </c>
      <c r="E95" s="32">
        <v>1</v>
      </c>
      <c r="F95" s="32">
        <v>1</v>
      </c>
      <c r="G95" s="24">
        <v>1</v>
      </c>
      <c r="H95" s="32">
        <v>1</v>
      </c>
      <c r="I95" s="32">
        <v>0.5</v>
      </c>
      <c r="J95" s="32">
        <v>1</v>
      </c>
      <c r="K95" s="32">
        <v>1</v>
      </c>
      <c r="L95" s="32">
        <v>1</v>
      </c>
      <c r="M95" s="24">
        <v>0.5</v>
      </c>
      <c r="N95" s="32">
        <v>1</v>
      </c>
      <c r="O95" s="32">
        <v>1</v>
      </c>
      <c r="P95" s="32">
        <v>1</v>
      </c>
      <c r="Q95" s="32">
        <v>1</v>
      </c>
      <c r="R95" s="24">
        <v>0.5</v>
      </c>
      <c r="S95" s="32">
        <v>1</v>
      </c>
      <c r="T95" s="32">
        <v>1</v>
      </c>
      <c r="U95" s="23">
        <v>1</v>
      </c>
      <c r="V95" s="29">
        <v>0.5</v>
      </c>
      <c r="W95" s="32">
        <v>1</v>
      </c>
      <c r="X95" s="32">
        <v>1</v>
      </c>
      <c r="Y95" s="29">
        <v>1</v>
      </c>
      <c r="Z95" s="29">
        <v>1</v>
      </c>
      <c r="AA95" s="32">
        <v>1</v>
      </c>
      <c r="AB95" s="32">
        <v>1</v>
      </c>
      <c r="AC95" s="24">
        <v>1</v>
      </c>
      <c r="AD95" s="32">
        <v>1</v>
      </c>
      <c r="AE95" s="32">
        <v>0.5</v>
      </c>
      <c r="AF95" s="32">
        <v>1</v>
      </c>
      <c r="AG95" s="32">
        <v>1</v>
      </c>
      <c r="AH95" s="32">
        <v>1</v>
      </c>
      <c r="AI95" s="24">
        <v>0.5</v>
      </c>
      <c r="AJ95" s="32">
        <v>1</v>
      </c>
      <c r="AK95" s="32">
        <v>0.5</v>
      </c>
      <c r="AL95" s="32">
        <v>1</v>
      </c>
      <c r="AM95" s="32">
        <v>0</v>
      </c>
      <c r="AN95" s="24">
        <v>0.5</v>
      </c>
      <c r="AO95" s="32">
        <v>1</v>
      </c>
      <c r="AP95" s="32">
        <v>1</v>
      </c>
      <c r="AQ95" s="23">
        <v>1</v>
      </c>
      <c r="AR95" s="29">
        <v>0.5</v>
      </c>
      <c r="AS95" s="32">
        <v>0.5</v>
      </c>
      <c r="AT95" s="32">
        <v>1</v>
      </c>
      <c r="AU95" s="29">
        <v>1</v>
      </c>
      <c r="AV95" s="29">
        <v>1</v>
      </c>
      <c r="AW95" s="32">
        <v>1</v>
      </c>
      <c r="AX95" s="32">
        <v>1</v>
      </c>
      <c r="AY95" s="24">
        <v>1</v>
      </c>
      <c r="AZ95" s="32">
        <v>1</v>
      </c>
      <c r="BA95" s="32">
        <v>0.5</v>
      </c>
      <c r="BB95" s="32">
        <v>1</v>
      </c>
      <c r="BC95" s="32">
        <v>1</v>
      </c>
      <c r="BD95" s="32">
        <v>1</v>
      </c>
      <c r="BE95" s="24">
        <v>0.5</v>
      </c>
      <c r="BF95" s="32">
        <v>1</v>
      </c>
      <c r="BG95" s="32">
        <v>0.5</v>
      </c>
      <c r="BH95" s="32">
        <v>1</v>
      </c>
      <c r="BI95" s="32">
        <v>0.5</v>
      </c>
      <c r="BJ95" s="24">
        <v>0.5</v>
      </c>
      <c r="BK95" s="32">
        <v>1</v>
      </c>
      <c r="BL95" s="32">
        <v>1</v>
      </c>
      <c r="BM95" s="23">
        <v>1</v>
      </c>
      <c r="BN95" s="29">
        <v>1</v>
      </c>
      <c r="BO95" s="32">
        <v>0.5</v>
      </c>
      <c r="BP95" s="32">
        <v>0.5</v>
      </c>
      <c r="BQ95" s="29">
        <v>1</v>
      </c>
      <c r="BR95" s="29">
        <v>1</v>
      </c>
      <c r="BT95">
        <f t="shared" si="80"/>
        <v>66</v>
      </c>
      <c r="BU95">
        <f t="shared" si="81"/>
        <v>56.5</v>
      </c>
      <c r="BV95" s="25">
        <f t="shared" si="82"/>
        <v>0.85606060606060608</v>
      </c>
    </row>
    <row r="96" spans="2:153" ht="39" thickBot="1" x14ac:dyDescent="0.3">
      <c r="B96" s="26" t="s">
        <v>58</v>
      </c>
      <c r="D96" s="22">
        <v>6</v>
      </c>
      <c r="E96" s="32">
        <v>1</v>
      </c>
      <c r="F96" s="32">
        <v>1</v>
      </c>
      <c r="G96" s="24">
        <v>1</v>
      </c>
      <c r="H96" s="32">
        <v>1</v>
      </c>
      <c r="I96" s="32">
        <v>0.5</v>
      </c>
      <c r="J96" s="32">
        <v>1</v>
      </c>
      <c r="K96" s="32">
        <v>1</v>
      </c>
      <c r="L96" s="32">
        <v>1</v>
      </c>
      <c r="M96" s="24">
        <v>0.5</v>
      </c>
      <c r="N96" s="32">
        <v>1</v>
      </c>
      <c r="O96" s="32">
        <v>1</v>
      </c>
      <c r="P96" s="32">
        <v>1</v>
      </c>
      <c r="Q96" s="32">
        <v>1</v>
      </c>
      <c r="R96" s="24">
        <v>0.5</v>
      </c>
      <c r="S96" s="32">
        <v>1</v>
      </c>
      <c r="T96" s="32">
        <v>1</v>
      </c>
      <c r="U96" s="23">
        <v>1</v>
      </c>
      <c r="V96" s="29">
        <v>1</v>
      </c>
      <c r="W96" s="32">
        <v>1</v>
      </c>
      <c r="X96" s="32">
        <v>1</v>
      </c>
      <c r="Y96" s="29">
        <v>1</v>
      </c>
      <c r="Z96" s="29">
        <v>1</v>
      </c>
      <c r="AA96" s="32">
        <v>1</v>
      </c>
      <c r="AB96" s="32">
        <v>1</v>
      </c>
      <c r="AC96" s="24">
        <v>1</v>
      </c>
      <c r="AD96" s="32">
        <v>1</v>
      </c>
      <c r="AE96" s="32">
        <v>0.5</v>
      </c>
      <c r="AF96" s="32">
        <v>1</v>
      </c>
      <c r="AG96" s="32">
        <v>1</v>
      </c>
      <c r="AH96" s="32">
        <v>1</v>
      </c>
      <c r="AI96" s="24">
        <v>0.5</v>
      </c>
      <c r="AJ96" s="32">
        <v>1</v>
      </c>
      <c r="AK96" s="32">
        <v>0.5</v>
      </c>
      <c r="AL96" s="32">
        <v>1</v>
      </c>
      <c r="AM96" s="32">
        <v>1</v>
      </c>
      <c r="AN96" s="24">
        <v>0.5</v>
      </c>
      <c r="AO96" s="32">
        <v>1</v>
      </c>
      <c r="AP96" s="32">
        <v>1</v>
      </c>
      <c r="AQ96" s="23">
        <v>1</v>
      </c>
      <c r="AR96" s="29">
        <v>0.5</v>
      </c>
      <c r="AS96" s="32">
        <v>0.5</v>
      </c>
      <c r="AT96" s="32">
        <v>1</v>
      </c>
      <c r="AU96" s="29">
        <v>1</v>
      </c>
      <c r="AV96" s="29">
        <v>1</v>
      </c>
      <c r="AW96" s="32">
        <v>1</v>
      </c>
      <c r="AX96" s="32">
        <v>1</v>
      </c>
      <c r="AY96" s="24">
        <v>1</v>
      </c>
      <c r="AZ96" s="32">
        <v>1</v>
      </c>
      <c r="BA96" s="32">
        <v>0.5</v>
      </c>
      <c r="BB96" s="32">
        <v>1</v>
      </c>
      <c r="BC96" s="32">
        <v>1</v>
      </c>
      <c r="BD96" s="32">
        <v>1</v>
      </c>
      <c r="BE96" s="24">
        <v>0.5</v>
      </c>
      <c r="BF96" s="32">
        <v>0</v>
      </c>
      <c r="BG96" s="32">
        <v>0.5</v>
      </c>
      <c r="BH96" s="32">
        <v>0.5</v>
      </c>
      <c r="BI96" s="32">
        <v>1</v>
      </c>
      <c r="BJ96" s="24">
        <v>0.5</v>
      </c>
      <c r="BK96" s="32">
        <v>1</v>
      </c>
      <c r="BL96" s="32">
        <v>1</v>
      </c>
      <c r="BM96" s="23">
        <v>1</v>
      </c>
      <c r="BN96" s="29">
        <v>1</v>
      </c>
      <c r="BO96" s="32">
        <v>0.5</v>
      </c>
      <c r="BP96" s="32">
        <v>1</v>
      </c>
      <c r="BQ96" s="29">
        <v>1</v>
      </c>
      <c r="BR96" s="29">
        <v>1</v>
      </c>
      <c r="BT96">
        <f t="shared" si="80"/>
        <v>66</v>
      </c>
      <c r="BU96">
        <f t="shared" si="81"/>
        <v>57.5</v>
      </c>
      <c r="BV96" s="25">
        <f t="shared" si="82"/>
        <v>0.87121212121212122</v>
      </c>
    </row>
    <row r="97" spans="2:81" ht="39" thickBot="1" x14ac:dyDescent="0.3">
      <c r="B97" s="30" t="s">
        <v>59</v>
      </c>
      <c r="D97" s="22">
        <v>7</v>
      </c>
      <c r="E97" s="32">
        <v>0.5</v>
      </c>
      <c r="F97" s="32">
        <v>1</v>
      </c>
      <c r="G97" s="24">
        <v>1</v>
      </c>
      <c r="H97" s="32">
        <v>1</v>
      </c>
      <c r="I97" s="32">
        <v>0</v>
      </c>
      <c r="J97" s="32">
        <v>0.5</v>
      </c>
      <c r="K97" s="32">
        <v>0</v>
      </c>
      <c r="L97" s="32">
        <v>1</v>
      </c>
      <c r="M97" s="24">
        <v>0.5</v>
      </c>
      <c r="N97" s="32">
        <v>0</v>
      </c>
      <c r="O97" s="32">
        <v>1</v>
      </c>
      <c r="P97" s="32">
        <v>1</v>
      </c>
      <c r="Q97" s="32">
        <v>1</v>
      </c>
      <c r="R97" s="24">
        <v>0.5</v>
      </c>
      <c r="S97" s="32">
        <v>1</v>
      </c>
      <c r="T97" s="32">
        <v>1</v>
      </c>
      <c r="U97" s="23">
        <v>1</v>
      </c>
      <c r="V97" s="29">
        <v>0.5</v>
      </c>
      <c r="W97" s="32">
        <v>1</v>
      </c>
      <c r="X97" s="32">
        <v>1</v>
      </c>
      <c r="Y97" s="29">
        <v>1</v>
      </c>
      <c r="Z97" s="29">
        <v>1</v>
      </c>
      <c r="AA97" s="32">
        <v>0</v>
      </c>
      <c r="AB97" s="32">
        <v>0.5</v>
      </c>
      <c r="AC97" s="24">
        <v>1</v>
      </c>
      <c r="AD97" s="32">
        <v>1</v>
      </c>
      <c r="AE97" s="32">
        <v>0</v>
      </c>
      <c r="AF97" s="32">
        <v>0.5</v>
      </c>
      <c r="AG97" s="32">
        <v>0</v>
      </c>
      <c r="AH97" s="32">
        <v>1</v>
      </c>
      <c r="AI97" s="24">
        <v>0.5</v>
      </c>
      <c r="AJ97" s="32">
        <v>0</v>
      </c>
      <c r="AK97" s="32">
        <v>0</v>
      </c>
      <c r="AL97" s="32">
        <v>0.5</v>
      </c>
      <c r="AM97" s="32">
        <v>0.5</v>
      </c>
      <c r="AN97" s="24">
        <v>0.5</v>
      </c>
      <c r="AO97" s="32">
        <v>0</v>
      </c>
      <c r="AP97" s="32">
        <v>1</v>
      </c>
      <c r="AQ97" s="23">
        <v>1</v>
      </c>
      <c r="AR97" s="29">
        <v>0.5</v>
      </c>
      <c r="AS97" s="32">
        <v>0.5</v>
      </c>
      <c r="AT97" s="32">
        <v>1</v>
      </c>
      <c r="AU97" s="29">
        <v>0.5</v>
      </c>
      <c r="AV97" s="29">
        <v>0.5</v>
      </c>
      <c r="AW97" s="32">
        <v>0</v>
      </c>
      <c r="AX97" s="32">
        <v>0.5</v>
      </c>
      <c r="AY97" s="24">
        <v>1</v>
      </c>
      <c r="AZ97" s="32">
        <v>1</v>
      </c>
      <c r="BA97" s="32">
        <v>0</v>
      </c>
      <c r="BB97" s="32">
        <v>0.5</v>
      </c>
      <c r="BC97" s="32">
        <v>0</v>
      </c>
      <c r="BD97" s="32">
        <v>1</v>
      </c>
      <c r="BE97" s="24">
        <v>0.5</v>
      </c>
      <c r="BF97" s="32">
        <v>0</v>
      </c>
      <c r="BG97" s="32">
        <v>0</v>
      </c>
      <c r="BH97" s="32">
        <v>0.5</v>
      </c>
      <c r="BI97" s="32">
        <v>0.5</v>
      </c>
      <c r="BJ97" s="24">
        <v>0.5</v>
      </c>
      <c r="BK97" s="32">
        <v>0</v>
      </c>
      <c r="BL97" s="32">
        <v>0</v>
      </c>
      <c r="BM97" s="23">
        <v>1</v>
      </c>
      <c r="BN97" s="29">
        <v>0</v>
      </c>
      <c r="BO97" s="32">
        <v>0.5</v>
      </c>
      <c r="BP97" s="32">
        <v>1</v>
      </c>
      <c r="BQ97" s="29">
        <v>1</v>
      </c>
      <c r="BR97" s="29">
        <v>1</v>
      </c>
      <c r="BT97">
        <f t="shared" si="80"/>
        <v>66</v>
      </c>
      <c r="BU97">
        <f t="shared" si="81"/>
        <v>38</v>
      </c>
      <c r="BV97" s="25">
        <f t="shared" si="82"/>
        <v>0.5757575757575758</v>
      </c>
    </row>
    <row r="98" spans="2:81" ht="39" thickBot="1" x14ac:dyDescent="0.3">
      <c r="B98" s="30" t="s">
        <v>60</v>
      </c>
      <c r="D98" s="22">
        <v>8</v>
      </c>
      <c r="E98" s="32">
        <v>1</v>
      </c>
      <c r="F98" s="32">
        <v>1</v>
      </c>
      <c r="G98" s="24">
        <v>1</v>
      </c>
      <c r="H98" s="32">
        <v>1</v>
      </c>
      <c r="I98" s="32">
        <v>0.5</v>
      </c>
      <c r="J98" s="32">
        <v>0.5</v>
      </c>
      <c r="K98" s="32">
        <v>0</v>
      </c>
      <c r="L98" s="32">
        <v>1</v>
      </c>
      <c r="M98" s="24">
        <v>0.5</v>
      </c>
      <c r="N98" s="32">
        <v>1</v>
      </c>
      <c r="O98" s="24">
        <v>1</v>
      </c>
      <c r="P98" s="32">
        <v>1</v>
      </c>
      <c r="Q98" s="32">
        <v>1</v>
      </c>
      <c r="R98" s="24">
        <v>0.5</v>
      </c>
      <c r="S98" s="32">
        <v>1</v>
      </c>
      <c r="T98" s="32">
        <v>1</v>
      </c>
      <c r="U98" s="23">
        <v>1</v>
      </c>
      <c r="V98" s="29">
        <v>1</v>
      </c>
      <c r="W98" s="32">
        <v>1</v>
      </c>
      <c r="X98" s="32">
        <v>1</v>
      </c>
      <c r="Y98" s="29">
        <v>1</v>
      </c>
      <c r="Z98" s="29">
        <v>1</v>
      </c>
      <c r="AA98" s="32">
        <v>1</v>
      </c>
      <c r="AB98" s="32">
        <v>1</v>
      </c>
      <c r="AC98" s="24">
        <v>1</v>
      </c>
      <c r="AD98" s="32">
        <v>1</v>
      </c>
      <c r="AE98" s="32">
        <v>0.5</v>
      </c>
      <c r="AF98" s="32">
        <v>0.5</v>
      </c>
      <c r="AG98" s="32">
        <v>0</v>
      </c>
      <c r="AH98" s="32">
        <v>1</v>
      </c>
      <c r="AI98" s="24">
        <v>0.5</v>
      </c>
      <c r="AJ98" s="32">
        <v>1</v>
      </c>
      <c r="AK98" s="24">
        <v>1</v>
      </c>
      <c r="AL98" s="32">
        <v>0.5</v>
      </c>
      <c r="AM98" s="32">
        <v>1</v>
      </c>
      <c r="AN98" s="24">
        <v>0.5</v>
      </c>
      <c r="AO98" s="32">
        <v>1</v>
      </c>
      <c r="AP98" s="32">
        <v>1</v>
      </c>
      <c r="AQ98" s="23">
        <v>1</v>
      </c>
      <c r="AR98" s="29">
        <v>1</v>
      </c>
      <c r="AS98" s="32">
        <v>1</v>
      </c>
      <c r="AT98" s="32">
        <v>1</v>
      </c>
      <c r="AU98" s="29">
        <v>1</v>
      </c>
      <c r="AV98" s="29">
        <v>1</v>
      </c>
      <c r="AW98" s="32">
        <v>1</v>
      </c>
      <c r="AX98" s="32">
        <v>0.5</v>
      </c>
      <c r="AY98" s="24">
        <v>1</v>
      </c>
      <c r="AZ98" s="32">
        <v>1</v>
      </c>
      <c r="BA98" s="32">
        <v>0.5</v>
      </c>
      <c r="BB98" s="32">
        <v>0.5</v>
      </c>
      <c r="BC98" s="32">
        <v>0</v>
      </c>
      <c r="BD98" s="32">
        <v>1</v>
      </c>
      <c r="BE98" s="24">
        <v>0.5</v>
      </c>
      <c r="BF98" s="32">
        <v>1</v>
      </c>
      <c r="BG98" s="24">
        <v>1</v>
      </c>
      <c r="BH98" s="32">
        <v>0.5</v>
      </c>
      <c r="BI98" s="32">
        <v>1</v>
      </c>
      <c r="BJ98" s="24">
        <v>0.5</v>
      </c>
      <c r="BK98" s="32">
        <v>1</v>
      </c>
      <c r="BL98" s="32">
        <v>1</v>
      </c>
      <c r="BM98" s="23">
        <v>1</v>
      </c>
      <c r="BN98" s="29">
        <v>1</v>
      </c>
      <c r="BO98" s="32">
        <v>1</v>
      </c>
      <c r="BP98" s="32">
        <v>1</v>
      </c>
      <c r="BQ98" s="29">
        <v>1</v>
      </c>
      <c r="BR98" s="29">
        <v>1</v>
      </c>
      <c r="BT98">
        <f t="shared" si="80"/>
        <v>66</v>
      </c>
      <c r="BU98">
        <f t="shared" si="81"/>
        <v>55.5</v>
      </c>
      <c r="BV98" s="25">
        <f t="shared" si="82"/>
        <v>0.84090909090909094</v>
      </c>
    </row>
    <row r="99" spans="2:81" ht="26.25" thickBot="1" x14ac:dyDescent="0.3">
      <c r="B99" s="26" t="s">
        <v>61</v>
      </c>
      <c r="D99" s="22">
        <v>9</v>
      </c>
      <c r="E99" s="32"/>
      <c r="F99" s="32">
        <v>0.5</v>
      </c>
      <c r="G99" s="24">
        <v>1</v>
      </c>
      <c r="H99" s="32">
        <v>1</v>
      </c>
      <c r="I99" s="32">
        <v>0.5</v>
      </c>
      <c r="J99" s="32">
        <v>0.5</v>
      </c>
      <c r="K99" s="32">
        <v>0</v>
      </c>
      <c r="L99" s="32">
        <v>1</v>
      </c>
      <c r="M99" s="32">
        <v>0.5</v>
      </c>
      <c r="N99" s="32">
        <v>0</v>
      </c>
      <c r="O99" s="32">
        <v>1</v>
      </c>
      <c r="P99" s="32">
        <v>1</v>
      </c>
      <c r="Q99" s="32">
        <v>1</v>
      </c>
      <c r="R99" s="24">
        <v>0.5</v>
      </c>
      <c r="S99" s="32">
        <v>0</v>
      </c>
      <c r="T99" s="32">
        <v>1</v>
      </c>
      <c r="U99" s="23">
        <v>1</v>
      </c>
      <c r="V99" s="24">
        <v>0.5</v>
      </c>
      <c r="W99" s="32">
        <v>1</v>
      </c>
      <c r="X99" s="32">
        <v>1</v>
      </c>
      <c r="Y99" s="24">
        <v>1</v>
      </c>
      <c r="Z99" s="24">
        <v>1</v>
      </c>
      <c r="AA99" s="32"/>
      <c r="AB99" s="32">
        <v>1</v>
      </c>
      <c r="AC99" s="24">
        <v>1</v>
      </c>
      <c r="AD99" s="32">
        <v>0.5</v>
      </c>
      <c r="AE99" s="32">
        <v>0.5</v>
      </c>
      <c r="AF99" s="32">
        <v>1</v>
      </c>
      <c r="AG99" s="32">
        <v>0</v>
      </c>
      <c r="AH99" s="32">
        <v>1</v>
      </c>
      <c r="AI99" s="32">
        <v>0.5</v>
      </c>
      <c r="AJ99" s="32">
        <v>1</v>
      </c>
      <c r="AK99" s="32">
        <v>1</v>
      </c>
      <c r="AL99" s="32">
        <v>1</v>
      </c>
      <c r="AM99" s="32">
        <v>1</v>
      </c>
      <c r="AN99" s="24">
        <v>0.5</v>
      </c>
      <c r="AO99" s="32">
        <v>1</v>
      </c>
      <c r="AP99" s="32">
        <v>1</v>
      </c>
      <c r="AQ99" s="23">
        <v>1</v>
      </c>
      <c r="AR99" s="24"/>
      <c r="AS99" s="32">
        <v>1</v>
      </c>
      <c r="AT99" s="32">
        <v>1</v>
      </c>
      <c r="AU99" s="24">
        <v>0.5</v>
      </c>
      <c r="AV99" s="24">
        <v>0.5</v>
      </c>
      <c r="AW99" s="32"/>
      <c r="AX99" s="32">
        <v>0.5</v>
      </c>
      <c r="AY99" s="24">
        <v>1</v>
      </c>
      <c r="AZ99" s="32">
        <v>1</v>
      </c>
      <c r="BA99" s="32">
        <v>0.5</v>
      </c>
      <c r="BB99" s="32">
        <v>0.5</v>
      </c>
      <c r="BC99" s="32"/>
      <c r="BD99" s="32">
        <v>1</v>
      </c>
      <c r="BE99" s="32">
        <v>0.5</v>
      </c>
      <c r="BF99" s="32">
        <v>1</v>
      </c>
      <c r="BG99" s="32">
        <v>0.5</v>
      </c>
      <c r="BH99" s="32">
        <v>1</v>
      </c>
      <c r="BI99" s="32">
        <v>1</v>
      </c>
      <c r="BJ99" s="24">
        <v>0.5</v>
      </c>
      <c r="BK99" s="32">
        <v>0</v>
      </c>
      <c r="BL99" s="32">
        <v>1</v>
      </c>
      <c r="BM99" s="23">
        <v>1</v>
      </c>
      <c r="BN99" s="24">
        <v>1</v>
      </c>
      <c r="BO99" s="32">
        <v>1</v>
      </c>
      <c r="BP99" s="32">
        <v>1</v>
      </c>
      <c r="BQ99" s="24">
        <v>1</v>
      </c>
      <c r="BR99" s="24">
        <v>1</v>
      </c>
      <c r="BT99">
        <f t="shared" si="80"/>
        <v>61</v>
      </c>
      <c r="BU99">
        <f t="shared" si="81"/>
        <v>47</v>
      </c>
      <c r="BV99" s="25">
        <f t="shared" si="82"/>
        <v>0.77049180327868849</v>
      </c>
    </row>
    <row r="100" spans="2:81" ht="26.25" thickBot="1" x14ac:dyDescent="0.3">
      <c r="B100" s="26" t="s">
        <v>62</v>
      </c>
      <c r="D100" s="22">
        <v>10</v>
      </c>
      <c r="E100" s="32">
        <v>0.5</v>
      </c>
      <c r="F100" s="32">
        <v>0.5</v>
      </c>
      <c r="G100" s="24">
        <v>1</v>
      </c>
      <c r="H100" s="32">
        <v>1</v>
      </c>
      <c r="I100" s="32">
        <v>0.5</v>
      </c>
      <c r="J100" s="32">
        <v>1</v>
      </c>
      <c r="K100" s="32">
        <v>0.5</v>
      </c>
      <c r="L100" s="32">
        <v>0.5</v>
      </c>
      <c r="M100" s="32">
        <v>0.5</v>
      </c>
      <c r="N100" s="32">
        <v>1</v>
      </c>
      <c r="O100" s="32">
        <v>1</v>
      </c>
      <c r="P100" s="32">
        <v>0.5</v>
      </c>
      <c r="Q100" s="32">
        <v>1</v>
      </c>
      <c r="R100" s="24">
        <v>0.5</v>
      </c>
      <c r="S100" s="32">
        <v>0.5</v>
      </c>
      <c r="T100" s="32">
        <v>1</v>
      </c>
      <c r="U100" s="23">
        <v>1</v>
      </c>
      <c r="V100" s="29">
        <v>0.5</v>
      </c>
      <c r="W100" s="32">
        <v>1</v>
      </c>
      <c r="X100" s="32">
        <v>0</v>
      </c>
      <c r="Y100" s="29">
        <v>1</v>
      </c>
      <c r="Z100" s="29">
        <v>1</v>
      </c>
      <c r="AA100" s="32">
        <v>1</v>
      </c>
      <c r="AB100" s="32">
        <v>0.5</v>
      </c>
      <c r="AC100" s="24">
        <v>1</v>
      </c>
      <c r="AD100" s="32">
        <v>1</v>
      </c>
      <c r="AE100" s="32">
        <v>0.5</v>
      </c>
      <c r="AF100" s="32">
        <v>1</v>
      </c>
      <c r="AG100" s="32">
        <v>0.5</v>
      </c>
      <c r="AH100" s="32">
        <v>0.5</v>
      </c>
      <c r="AI100" s="32">
        <v>1</v>
      </c>
      <c r="AJ100" s="32">
        <v>1</v>
      </c>
      <c r="AK100" s="32">
        <v>0.5</v>
      </c>
      <c r="AL100" s="32">
        <v>0.5</v>
      </c>
      <c r="AM100" s="32">
        <v>0.5</v>
      </c>
      <c r="AN100" s="24">
        <v>0.5</v>
      </c>
      <c r="AO100" s="32">
        <v>1</v>
      </c>
      <c r="AP100" s="32">
        <v>1</v>
      </c>
      <c r="AQ100" s="23">
        <v>1</v>
      </c>
      <c r="AR100" s="29">
        <v>1</v>
      </c>
      <c r="AS100" s="32">
        <v>1</v>
      </c>
      <c r="AT100" s="32">
        <v>1</v>
      </c>
      <c r="AU100" s="29">
        <v>0.5</v>
      </c>
      <c r="AV100" s="29">
        <v>0.5</v>
      </c>
      <c r="AW100" s="32">
        <v>0.5</v>
      </c>
      <c r="AX100" s="32">
        <v>0.5</v>
      </c>
      <c r="AY100" s="24">
        <v>1</v>
      </c>
      <c r="AZ100" s="32">
        <v>1</v>
      </c>
      <c r="BA100" s="32">
        <v>0.5</v>
      </c>
      <c r="BB100" s="32">
        <v>0.5</v>
      </c>
      <c r="BC100" s="32">
        <v>0.5</v>
      </c>
      <c r="BD100" s="32">
        <v>0.5</v>
      </c>
      <c r="BE100" s="32">
        <v>1</v>
      </c>
      <c r="BF100" s="32">
        <v>0.5</v>
      </c>
      <c r="BG100" s="32">
        <v>0.5</v>
      </c>
      <c r="BH100" s="32">
        <v>0.5</v>
      </c>
      <c r="BI100" s="32">
        <v>1</v>
      </c>
      <c r="BJ100" s="24">
        <v>0.5</v>
      </c>
      <c r="BK100" s="32">
        <v>1</v>
      </c>
      <c r="BL100" s="32">
        <v>1</v>
      </c>
      <c r="BM100" s="23">
        <v>1</v>
      </c>
      <c r="BN100" s="29">
        <v>1</v>
      </c>
      <c r="BO100" s="32">
        <v>1</v>
      </c>
      <c r="BP100" s="32">
        <v>1</v>
      </c>
      <c r="BQ100" s="29">
        <v>1</v>
      </c>
      <c r="BR100" s="29">
        <v>1</v>
      </c>
      <c r="BT100">
        <f t="shared" si="80"/>
        <v>66</v>
      </c>
      <c r="BU100">
        <f t="shared" si="81"/>
        <v>50</v>
      </c>
      <c r="BV100" s="25">
        <f t="shared" si="82"/>
        <v>0.75757575757575757</v>
      </c>
    </row>
    <row r="101" spans="2:81" ht="26.25" thickBot="1" x14ac:dyDescent="0.3">
      <c r="B101" s="30" t="s">
        <v>63</v>
      </c>
      <c r="D101" s="22">
        <v>11</v>
      </c>
      <c r="E101" s="32">
        <v>1</v>
      </c>
      <c r="F101" s="32">
        <v>0.5</v>
      </c>
      <c r="G101" s="24">
        <v>1</v>
      </c>
      <c r="H101" s="32">
        <v>1</v>
      </c>
      <c r="I101" s="32">
        <v>0.5</v>
      </c>
      <c r="J101" s="32">
        <v>1</v>
      </c>
      <c r="K101" s="32">
        <v>0.5</v>
      </c>
      <c r="L101" s="32">
        <v>1</v>
      </c>
      <c r="M101" s="32">
        <v>0.5</v>
      </c>
      <c r="N101" s="32">
        <v>1</v>
      </c>
      <c r="O101" s="32">
        <v>1</v>
      </c>
      <c r="P101" s="32">
        <v>1</v>
      </c>
      <c r="Q101" s="32">
        <v>1</v>
      </c>
      <c r="R101" s="24">
        <v>0.5</v>
      </c>
      <c r="S101" s="32">
        <v>1</v>
      </c>
      <c r="T101" s="32">
        <v>1</v>
      </c>
      <c r="U101" s="23">
        <v>1</v>
      </c>
      <c r="V101" s="29">
        <v>1</v>
      </c>
      <c r="W101" s="32">
        <v>1</v>
      </c>
      <c r="X101" s="32">
        <v>0.5</v>
      </c>
      <c r="Y101" s="29">
        <v>1</v>
      </c>
      <c r="Z101" s="29">
        <v>1</v>
      </c>
      <c r="AA101" s="32">
        <v>0.5</v>
      </c>
      <c r="AB101" s="32">
        <v>0.5</v>
      </c>
      <c r="AC101" s="24">
        <v>1</v>
      </c>
      <c r="AD101" s="32">
        <v>0.5</v>
      </c>
      <c r="AE101" s="32">
        <v>0.5</v>
      </c>
      <c r="AF101" s="32">
        <v>0.5</v>
      </c>
      <c r="AG101" s="32">
        <v>0.5</v>
      </c>
      <c r="AH101" s="32">
        <v>1</v>
      </c>
      <c r="AI101" s="32">
        <v>0.5</v>
      </c>
      <c r="AJ101" s="32">
        <v>1</v>
      </c>
      <c r="AK101" s="32">
        <v>0.5</v>
      </c>
      <c r="AL101" s="32">
        <v>1</v>
      </c>
      <c r="AM101" s="32">
        <v>0.5</v>
      </c>
      <c r="AN101" s="24">
        <v>0.5</v>
      </c>
      <c r="AO101" s="32">
        <v>1</v>
      </c>
      <c r="AP101" s="32">
        <v>0</v>
      </c>
      <c r="AQ101" s="23">
        <v>1</v>
      </c>
      <c r="AR101" s="29">
        <v>0.5</v>
      </c>
      <c r="AS101" s="32">
        <v>1</v>
      </c>
      <c r="AT101" s="32">
        <v>1</v>
      </c>
      <c r="AU101" s="29">
        <v>0.5</v>
      </c>
      <c r="AV101" s="29">
        <v>0.5</v>
      </c>
      <c r="AW101" s="32">
        <v>0.5</v>
      </c>
      <c r="AX101" s="32">
        <v>0</v>
      </c>
      <c r="AY101" s="24">
        <v>1</v>
      </c>
      <c r="AZ101" s="32">
        <v>0.5</v>
      </c>
      <c r="BA101" s="32">
        <v>0.5</v>
      </c>
      <c r="BB101" s="32">
        <v>0.5</v>
      </c>
      <c r="BC101" s="32">
        <v>0.5</v>
      </c>
      <c r="BD101" s="32">
        <v>1</v>
      </c>
      <c r="BE101" s="32">
        <v>0.5</v>
      </c>
      <c r="BF101" s="32">
        <v>0.5</v>
      </c>
      <c r="BG101" s="32">
        <v>0.5</v>
      </c>
      <c r="BH101" s="32">
        <v>1</v>
      </c>
      <c r="BI101" s="32">
        <v>0.5</v>
      </c>
      <c r="BJ101" s="24">
        <v>0.5</v>
      </c>
      <c r="BK101" s="32">
        <v>1</v>
      </c>
      <c r="BL101" s="32">
        <v>0</v>
      </c>
      <c r="BM101" s="23">
        <v>1</v>
      </c>
      <c r="BN101" s="29">
        <v>1</v>
      </c>
      <c r="BO101" s="32">
        <v>0.5</v>
      </c>
      <c r="BP101" s="32">
        <v>0.5</v>
      </c>
      <c r="BQ101" s="29">
        <v>1</v>
      </c>
      <c r="BR101" s="29">
        <v>1</v>
      </c>
      <c r="BT101">
        <f t="shared" si="80"/>
        <v>66</v>
      </c>
      <c r="BU101">
        <f t="shared" si="81"/>
        <v>47.5</v>
      </c>
      <c r="BV101" s="25">
        <f t="shared" si="82"/>
        <v>0.71969696969696972</v>
      </c>
      <c r="BZ101" s="12"/>
      <c r="CA101" s="12"/>
      <c r="CB101" s="12"/>
      <c r="CC101" s="12"/>
    </row>
    <row r="102" spans="2:81" ht="39" thickBot="1" x14ac:dyDescent="0.3">
      <c r="B102" s="26" t="s">
        <v>64</v>
      </c>
      <c r="D102" s="22">
        <v>12</v>
      </c>
      <c r="E102" s="32">
        <v>0.5</v>
      </c>
      <c r="F102" s="32">
        <v>0.5</v>
      </c>
      <c r="G102" s="24">
        <v>1</v>
      </c>
      <c r="H102" s="32">
        <v>1</v>
      </c>
      <c r="I102" s="32">
        <v>1</v>
      </c>
      <c r="J102" s="32">
        <v>0.5</v>
      </c>
      <c r="K102" s="32">
        <v>1</v>
      </c>
      <c r="L102" s="32">
        <v>0.5</v>
      </c>
      <c r="M102" s="32">
        <v>0.5</v>
      </c>
      <c r="N102" s="32">
        <v>1</v>
      </c>
      <c r="O102" s="32">
        <v>0.5</v>
      </c>
      <c r="P102" s="32">
        <v>1</v>
      </c>
      <c r="Q102" s="32">
        <v>1</v>
      </c>
      <c r="R102" s="24">
        <v>0.5</v>
      </c>
      <c r="S102" s="32">
        <v>1</v>
      </c>
      <c r="T102" s="32">
        <v>1</v>
      </c>
      <c r="U102" s="23">
        <v>1</v>
      </c>
      <c r="V102" s="29">
        <v>0.5</v>
      </c>
      <c r="W102" s="32">
        <v>1</v>
      </c>
      <c r="X102" s="32">
        <v>1</v>
      </c>
      <c r="Y102" s="29">
        <v>1</v>
      </c>
      <c r="Z102" s="29">
        <v>1</v>
      </c>
      <c r="AA102" s="32">
        <v>1</v>
      </c>
      <c r="AB102" s="32">
        <v>0.5</v>
      </c>
      <c r="AC102" s="24">
        <v>1</v>
      </c>
      <c r="AD102" s="32">
        <v>1</v>
      </c>
      <c r="AE102" s="32">
        <v>1</v>
      </c>
      <c r="AF102" s="32">
        <v>0.5</v>
      </c>
      <c r="AG102" s="32">
        <v>1</v>
      </c>
      <c r="AH102" s="32">
        <v>0.5</v>
      </c>
      <c r="AI102" s="32">
        <v>1</v>
      </c>
      <c r="AJ102" s="32">
        <v>1</v>
      </c>
      <c r="AK102" s="32">
        <v>0.5</v>
      </c>
      <c r="AL102" s="32">
        <v>1</v>
      </c>
      <c r="AM102" s="32">
        <v>1</v>
      </c>
      <c r="AN102" s="24">
        <v>0.5</v>
      </c>
      <c r="AO102" s="32">
        <v>1</v>
      </c>
      <c r="AP102" s="32">
        <v>1</v>
      </c>
      <c r="AQ102" s="23">
        <v>1</v>
      </c>
      <c r="AR102" s="29">
        <v>0.5</v>
      </c>
      <c r="AS102" s="32">
        <v>0.5</v>
      </c>
      <c r="AT102" s="32">
        <v>1</v>
      </c>
      <c r="AU102" s="29">
        <v>1</v>
      </c>
      <c r="AV102" s="29">
        <v>1</v>
      </c>
      <c r="AW102" s="32">
        <v>1</v>
      </c>
      <c r="AX102" s="32">
        <v>0.5</v>
      </c>
      <c r="AY102" s="24">
        <v>1</v>
      </c>
      <c r="AZ102" s="32">
        <v>1</v>
      </c>
      <c r="BA102" s="32">
        <v>1</v>
      </c>
      <c r="BB102" s="32">
        <v>0.5</v>
      </c>
      <c r="BC102" s="32">
        <v>0.5</v>
      </c>
      <c r="BD102" s="32">
        <v>0.5</v>
      </c>
      <c r="BE102" s="32">
        <v>1</v>
      </c>
      <c r="BF102" s="32">
        <v>0.5</v>
      </c>
      <c r="BG102" s="32">
        <v>0.5</v>
      </c>
      <c r="BH102" s="32">
        <v>0.5</v>
      </c>
      <c r="BI102" s="32">
        <v>1</v>
      </c>
      <c r="BJ102" s="24">
        <v>0.5</v>
      </c>
      <c r="BK102" s="32">
        <v>1</v>
      </c>
      <c r="BL102" s="32">
        <v>1</v>
      </c>
      <c r="BM102" s="23">
        <v>1</v>
      </c>
      <c r="BN102" s="29">
        <v>0.5</v>
      </c>
      <c r="BO102" s="32">
        <v>0.5</v>
      </c>
      <c r="BP102" s="32">
        <v>1</v>
      </c>
      <c r="BQ102" s="29">
        <v>1</v>
      </c>
      <c r="BR102" s="29">
        <v>1</v>
      </c>
      <c r="BT102">
        <f t="shared" si="80"/>
        <v>66</v>
      </c>
      <c r="BU102">
        <f t="shared" si="81"/>
        <v>53.5</v>
      </c>
      <c r="BV102" s="25">
        <f t="shared" si="82"/>
        <v>0.81060606060606055</v>
      </c>
    </row>
    <row r="103" spans="2:81" ht="39" thickBot="1" x14ac:dyDescent="0.3">
      <c r="B103" s="30" t="s">
        <v>65</v>
      </c>
      <c r="D103" s="22">
        <v>13</v>
      </c>
      <c r="E103" s="32">
        <v>0.5</v>
      </c>
      <c r="F103" s="32">
        <v>1</v>
      </c>
      <c r="G103" s="24">
        <v>0.5</v>
      </c>
      <c r="H103" s="32">
        <v>1</v>
      </c>
      <c r="I103" s="32">
        <v>1</v>
      </c>
      <c r="J103" s="32">
        <v>0.5</v>
      </c>
      <c r="K103" s="32">
        <v>1</v>
      </c>
      <c r="L103" s="32">
        <v>0.5</v>
      </c>
      <c r="M103" s="24">
        <v>0.5</v>
      </c>
      <c r="N103" s="32">
        <v>1</v>
      </c>
      <c r="O103" s="32">
        <v>1</v>
      </c>
      <c r="P103" s="32">
        <v>0.5</v>
      </c>
      <c r="Q103" s="32">
        <v>1</v>
      </c>
      <c r="R103" s="24">
        <v>0.5</v>
      </c>
      <c r="S103" s="32">
        <v>1</v>
      </c>
      <c r="T103" s="32">
        <v>1</v>
      </c>
      <c r="U103" s="23">
        <v>1</v>
      </c>
      <c r="V103" s="29">
        <v>0.5</v>
      </c>
      <c r="W103" s="32">
        <v>0.5</v>
      </c>
      <c r="X103" s="32">
        <v>0.5</v>
      </c>
      <c r="Y103" s="29">
        <v>1</v>
      </c>
      <c r="Z103" s="29">
        <v>1</v>
      </c>
      <c r="AA103" s="32">
        <v>1</v>
      </c>
      <c r="AB103" s="32">
        <v>1</v>
      </c>
      <c r="AC103" s="24">
        <v>1</v>
      </c>
      <c r="AD103" s="32">
        <v>1</v>
      </c>
      <c r="AE103" s="32">
        <v>1</v>
      </c>
      <c r="AF103" s="32">
        <v>0.5</v>
      </c>
      <c r="AG103" s="32">
        <v>1</v>
      </c>
      <c r="AH103" s="32">
        <v>0.5</v>
      </c>
      <c r="AI103" s="24">
        <v>0.5</v>
      </c>
      <c r="AJ103" s="32">
        <v>1</v>
      </c>
      <c r="AK103" s="32">
        <v>0.5</v>
      </c>
      <c r="AL103" s="32">
        <v>0.5</v>
      </c>
      <c r="AM103" s="32">
        <v>1</v>
      </c>
      <c r="AN103" s="24">
        <v>0.5</v>
      </c>
      <c r="AO103" s="32">
        <v>1</v>
      </c>
      <c r="AP103" s="32">
        <v>1</v>
      </c>
      <c r="AQ103" s="23">
        <v>1</v>
      </c>
      <c r="AR103" s="29">
        <v>0.5</v>
      </c>
      <c r="AS103" s="32">
        <v>0.5</v>
      </c>
      <c r="AT103" s="32">
        <v>0.5</v>
      </c>
      <c r="AU103" s="29">
        <v>0.5</v>
      </c>
      <c r="AV103" s="29">
        <v>0.5</v>
      </c>
      <c r="AW103" s="32">
        <v>0.5</v>
      </c>
      <c r="AX103" s="32">
        <v>1</v>
      </c>
      <c r="AY103" s="24">
        <v>1</v>
      </c>
      <c r="AZ103" s="32">
        <v>1</v>
      </c>
      <c r="BA103" s="32">
        <v>1</v>
      </c>
      <c r="BB103" s="32">
        <v>0.5</v>
      </c>
      <c r="BC103" s="32">
        <v>1</v>
      </c>
      <c r="BD103" s="32">
        <v>0.5</v>
      </c>
      <c r="BE103" s="24">
        <v>0.5</v>
      </c>
      <c r="BF103" s="32">
        <v>1</v>
      </c>
      <c r="BG103" s="32">
        <v>1</v>
      </c>
      <c r="BH103" s="32">
        <v>0.5</v>
      </c>
      <c r="BI103" s="32">
        <v>1</v>
      </c>
      <c r="BJ103" s="24">
        <v>0.5</v>
      </c>
      <c r="BK103" s="32">
        <v>1</v>
      </c>
      <c r="BL103" s="32">
        <v>1</v>
      </c>
      <c r="BM103" s="23">
        <v>1</v>
      </c>
      <c r="BN103" s="29">
        <v>0.5</v>
      </c>
      <c r="BO103" s="32">
        <v>0.5</v>
      </c>
      <c r="BP103" s="32">
        <v>1</v>
      </c>
      <c r="BQ103" s="29">
        <v>1</v>
      </c>
      <c r="BR103" s="29">
        <v>1</v>
      </c>
      <c r="BT103">
        <f t="shared" si="80"/>
        <v>66</v>
      </c>
      <c r="BU103">
        <f t="shared" si="81"/>
        <v>51.5</v>
      </c>
      <c r="BV103" s="25">
        <f t="shared" si="82"/>
        <v>0.78030303030303028</v>
      </c>
    </row>
    <row r="104" spans="2:81" ht="26.25" thickBot="1" x14ac:dyDescent="0.3">
      <c r="B104" s="26" t="s">
        <v>66</v>
      </c>
      <c r="D104" s="22">
        <v>14</v>
      </c>
      <c r="E104" s="32">
        <v>0.5</v>
      </c>
      <c r="F104" s="32">
        <v>1</v>
      </c>
      <c r="G104" s="24">
        <v>0.5</v>
      </c>
      <c r="H104" s="32">
        <v>1</v>
      </c>
      <c r="I104" s="32">
        <v>1</v>
      </c>
      <c r="J104" s="32">
        <v>0.5</v>
      </c>
      <c r="K104" s="32">
        <v>0.5</v>
      </c>
      <c r="L104" s="32"/>
      <c r="M104" s="24">
        <v>0.5</v>
      </c>
      <c r="N104" s="32">
        <v>0</v>
      </c>
      <c r="O104" s="32">
        <v>1</v>
      </c>
      <c r="P104" s="32">
        <v>1</v>
      </c>
      <c r="Q104" s="32">
        <v>1</v>
      </c>
      <c r="R104" s="24">
        <v>0.5</v>
      </c>
      <c r="S104" s="32">
        <v>1</v>
      </c>
      <c r="T104" s="32">
        <v>1</v>
      </c>
      <c r="U104" s="23">
        <v>1</v>
      </c>
      <c r="V104" s="29">
        <v>0.5</v>
      </c>
      <c r="W104" s="32">
        <v>1</v>
      </c>
      <c r="X104" s="32">
        <v>0.5</v>
      </c>
      <c r="Y104" s="29">
        <v>1</v>
      </c>
      <c r="Z104" s="29">
        <v>1</v>
      </c>
      <c r="AA104" s="32">
        <v>1</v>
      </c>
      <c r="AB104" s="32">
        <v>1</v>
      </c>
      <c r="AC104" s="24">
        <v>1</v>
      </c>
      <c r="AD104" s="32">
        <v>1</v>
      </c>
      <c r="AE104" s="32">
        <v>1</v>
      </c>
      <c r="AF104" s="32">
        <v>0.5</v>
      </c>
      <c r="AG104" s="32">
        <v>0.5</v>
      </c>
      <c r="AH104" s="32"/>
      <c r="AI104" s="24">
        <v>0.5</v>
      </c>
      <c r="AJ104" s="32">
        <v>0</v>
      </c>
      <c r="AK104" s="32">
        <v>0.5</v>
      </c>
      <c r="AL104" s="32">
        <v>1</v>
      </c>
      <c r="AM104" s="32">
        <v>1</v>
      </c>
      <c r="AN104" s="24">
        <v>0.5</v>
      </c>
      <c r="AO104" s="32">
        <v>1</v>
      </c>
      <c r="AP104" s="32">
        <v>1</v>
      </c>
      <c r="AQ104" s="23">
        <v>1</v>
      </c>
      <c r="AR104" s="29">
        <v>0.5</v>
      </c>
      <c r="AS104" s="32">
        <v>1</v>
      </c>
      <c r="AT104" s="32">
        <v>1</v>
      </c>
      <c r="AU104" s="29">
        <v>1</v>
      </c>
      <c r="AV104" s="29">
        <v>1</v>
      </c>
      <c r="AW104" s="32">
        <v>1</v>
      </c>
      <c r="AX104" s="32">
        <v>0.5</v>
      </c>
      <c r="AY104" s="24">
        <v>1</v>
      </c>
      <c r="AZ104" s="32">
        <v>1</v>
      </c>
      <c r="BA104" s="32">
        <v>1</v>
      </c>
      <c r="BB104" s="32">
        <v>0.5</v>
      </c>
      <c r="BC104" s="32">
        <v>0.5</v>
      </c>
      <c r="BD104" s="32"/>
      <c r="BE104" s="24">
        <v>0.5</v>
      </c>
      <c r="BF104" s="32">
        <v>0</v>
      </c>
      <c r="BG104" s="32">
        <v>0.5</v>
      </c>
      <c r="BH104" s="32">
        <v>1</v>
      </c>
      <c r="BI104" s="32">
        <v>1</v>
      </c>
      <c r="BJ104" s="24">
        <v>0.5</v>
      </c>
      <c r="BK104" s="32">
        <v>1</v>
      </c>
      <c r="BL104" s="32">
        <v>1</v>
      </c>
      <c r="BM104" s="23">
        <v>1</v>
      </c>
      <c r="BN104" s="29">
        <v>0.5</v>
      </c>
      <c r="BO104" s="32">
        <v>1</v>
      </c>
      <c r="BP104" s="32">
        <v>0</v>
      </c>
      <c r="BQ104" s="29">
        <v>1</v>
      </c>
      <c r="BR104" s="29">
        <v>1</v>
      </c>
      <c r="BT104">
        <f t="shared" si="80"/>
        <v>63</v>
      </c>
      <c r="BU104">
        <f t="shared" si="81"/>
        <v>48.5</v>
      </c>
      <c r="BV104" s="25">
        <f t="shared" si="82"/>
        <v>0.76984126984126988</v>
      </c>
    </row>
    <row r="105" spans="2:81" ht="51.75" thickBot="1" x14ac:dyDescent="0.3">
      <c r="B105" s="26" t="s">
        <v>67</v>
      </c>
      <c r="D105" s="22">
        <v>15</v>
      </c>
      <c r="E105" s="32">
        <v>0.5</v>
      </c>
      <c r="F105" s="32">
        <v>1</v>
      </c>
      <c r="G105" s="24">
        <v>0.5</v>
      </c>
      <c r="H105" s="32">
        <v>1</v>
      </c>
      <c r="I105" s="32">
        <v>1</v>
      </c>
      <c r="J105" s="32">
        <v>0.5</v>
      </c>
      <c r="K105" s="32">
        <v>1</v>
      </c>
      <c r="L105" s="32">
        <v>1</v>
      </c>
      <c r="M105" s="32">
        <v>0.5</v>
      </c>
      <c r="N105" s="32">
        <v>1</v>
      </c>
      <c r="O105" s="32">
        <v>1</v>
      </c>
      <c r="P105" s="32">
        <v>1</v>
      </c>
      <c r="Q105" s="32">
        <v>1</v>
      </c>
      <c r="R105" s="24">
        <v>0.5</v>
      </c>
      <c r="S105" s="32">
        <v>1</v>
      </c>
      <c r="T105" s="32">
        <v>1</v>
      </c>
      <c r="U105" s="23">
        <v>1</v>
      </c>
      <c r="V105" s="29">
        <v>1</v>
      </c>
      <c r="W105" s="32">
        <v>0.5</v>
      </c>
      <c r="X105" s="32">
        <v>0</v>
      </c>
      <c r="Y105" s="29">
        <v>1</v>
      </c>
      <c r="Z105" s="29">
        <v>1</v>
      </c>
      <c r="AA105" s="32">
        <v>0.5</v>
      </c>
      <c r="AB105" s="32">
        <v>1</v>
      </c>
      <c r="AC105" s="24">
        <v>1</v>
      </c>
      <c r="AD105" s="32">
        <v>1</v>
      </c>
      <c r="AE105" s="32">
        <v>1</v>
      </c>
      <c r="AF105" s="32">
        <v>0.5</v>
      </c>
      <c r="AG105" s="32">
        <v>1</v>
      </c>
      <c r="AH105" s="32">
        <v>0.5</v>
      </c>
      <c r="AI105" s="32">
        <v>0.5</v>
      </c>
      <c r="AJ105" s="32">
        <v>1</v>
      </c>
      <c r="AK105" s="32">
        <v>1</v>
      </c>
      <c r="AL105" s="32">
        <v>0.5</v>
      </c>
      <c r="AM105" s="32">
        <v>1</v>
      </c>
      <c r="AN105" s="24">
        <v>0.5</v>
      </c>
      <c r="AO105" s="32">
        <v>1</v>
      </c>
      <c r="AP105" s="32">
        <v>1</v>
      </c>
      <c r="AQ105" s="23">
        <v>1</v>
      </c>
      <c r="AR105" s="29">
        <v>0.5</v>
      </c>
      <c r="AS105" s="32">
        <v>1</v>
      </c>
      <c r="AT105" s="32">
        <v>1</v>
      </c>
      <c r="AU105" s="29">
        <v>0.5</v>
      </c>
      <c r="AV105" s="29">
        <v>0.5</v>
      </c>
      <c r="AW105" s="32">
        <v>0.5</v>
      </c>
      <c r="AX105" s="32">
        <v>0.5</v>
      </c>
      <c r="AY105" s="24">
        <v>1</v>
      </c>
      <c r="AZ105" s="32">
        <v>1</v>
      </c>
      <c r="BA105" s="32">
        <v>1</v>
      </c>
      <c r="BB105" s="32">
        <v>0.5</v>
      </c>
      <c r="BC105" s="32">
        <v>1</v>
      </c>
      <c r="BD105" s="32">
        <v>0.5</v>
      </c>
      <c r="BE105" s="32">
        <v>0.5</v>
      </c>
      <c r="BF105" s="32">
        <v>1</v>
      </c>
      <c r="BG105" s="32">
        <v>1</v>
      </c>
      <c r="BH105" s="32">
        <v>0.5</v>
      </c>
      <c r="BI105" s="32">
        <v>1</v>
      </c>
      <c r="BJ105" s="24">
        <v>0.5</v>
      </c>
      <c r="BK105" s="32">
        <v>0.5</v>
      </c>
      <c r="BL105" s="32">
        <v>1</v>
      </c>
      <c r="BM105" s="23">
        <v>1</v>
      </c>
      <c r="BN105" s="29">
        <v>1</v>
      </c>
      <c r="BO105" s="32">
        <v>0.5</v>
      </c>
      <c r="BP105" s="32">
        <v>0</v>
      </c>
      <c r="BQ105" s="29">
        <v>1</v>
      </c>
      <c r="BR105" s="29">
        <v>1</v>
      </c>
      <c r="BT105">
        <f t="shared" si="80"/>
        <v>66</v>
      </c>
      <c r="BU105">
        <f t="shared" si="81"/>
        <v>52</v>
      </c>
      <c r="BV105" s="25">
        <f t="shared" si="82"/>
        <v>0.78787878787878785</v>
      </c>
    </row>
    <row r="106" spans="2:81" ht="51.75" thickBot="1" x14ac:dyDescent="0.3">
      <c r="B106" s="26" t="s">
        <v>68</v>
      </c>
      <c r="D106" s="22">
        <v>16</v>
      </c>
      <c r="E106" s="32">
        <v>0.5</v>
      </c>
      <c r="F106" s="32">
        <v>1</v>
      </c>
      <c r="G106" s="24">
        <v>1</v>
      </c>
      <c r="H106" s="32">
        <v>1</v>
      </c>
      <c r="I106" s="32">
        <v>0.5</v>
      </c>
      <c r="J106" s="32">
        <v>1</v>
      </c>
      <c r="K106" s="32">
        <v>0.5</v>
      </c>
      <c r="L106" s="32">
        <v>1</v>
      </c>
      <c r="M106" s="32">
        <v>0.5</v>
      </c>
      <c r="N106" s="32">
        <v>1</v>
      </c>
      <c r="O106" s="32">
        <v>1</v>
      </c>
      <c r="P106" s="32">
        <v>1</v>
      </c>
      <c r="Q106" s="32">
        <v>1</v>
      </c>
      <c r="R106" s="24">
        <v>0.5</v>
      </c>
      <c r="S106" s="32">
        <v>1</v>
      </c>
      <c r="T106" s="32">
        <v>1</v>
      </c>
      <c r="U106" s="23">
        <v>1</v>
      </c>
      <c r="V106" s="29">
        <v>1</v>
      </c>
      <c r="W106" s="32">
        <v>0</v>
      </c>
      <c r="X106" s="32">
        <v>1</v>
      </c>
      <c r="Y106" s="29">
        <v>1</v>
      </c>
      <c r="Z106" s="29">
        <v>1</v>
      </c>
      <c r="AA106" s="32">
        <v>0.5</v>
      </c>
      <c r="AB106" s="32">
        <v>1</v>
      </c>
      <c r="AC106" s="24">
        <v>1</v>
      </c>
      <c r="AD106" s="32">
        <v>1</v>
      </c>
      <c r="AE106" s="32">
        <v>0.5</v>
      </c>
      <c r="AF106" s="32">
        <v>0.5</v>
      </c>
      <c r="AG106" s="32">
        <v>0.5</v>
      </c>
      <c r="AH106" s="32">
        <v>1</v>
      </c>
      <c r="AI106" s="32">
        <v>0.5</v>
      </c>
      <c r="AJ106" s="32">
        <v>1</v>
      </c>
      <c r="AK106" s="32">
        <v>0.5</v>
      </c>
      <c r="AL106" s="32">
        <v>0.5</v>
      </c>
      <c r="AM106" s="32">
        <v>1</v>
      </c>
      <c r="AN106" s="24">
        <v>0.5</v>
      </c>
      <c r="AO106" s="32">
        <v>1</v>
      </c>
      <c r="AP106" s="32">
        <v>1</v>
      </c>
      <c r="AQ106" s="23">
        <v>1</v>
      </c>
      <c r="AR106" s="29">
        <v>1</v>
      </c>
      <c r="AS106" s="32">
        <v>0.5</v>
      </c>
      <c r="AT106" s="32">
        <v>1</v>
      </c>
      <c r="AU106" s="29">
        <v>0.5</v>
      </c>
      <c r="AV106" s="29">
        <v>0.5</v>
      </c>
      <c r="AW106" s="32">
        <v>1</v>
      </c>
      <c r="AX106" s="32">
        <v>1</v>
      </c>
      <c r="AY106" s="24">
        <v>1</v>
      </c>
      <c r="AZ106" s="32">
        <v>1</v>
      </c>
      <c r="BA106" s="32">
        <v>0.5</v>
      </c>
      <c r="BB106" s="32">
        <v>0.5</v>
      </c>
      <c r="BC106" s="32">
        <v>0.5</v>
      </c>
      <c r="BD106" s="32">
        <v>1</v>
      </c>
      <c r="BE106" s="32">
        <v>0.5</v>
      </c>
      <c r="BF106" s="32">
        <v>1</v>
      </c>
      <c r="BG106" s="32">
        <v>0.5</v>
      </c>
      <c r="BH106" s="32">
        <v>1</v>
      </c>
      <c r="BI106" s="32">
        <v>1</v>
      </c>
      <c r="BJ106" s="24">
        <v>0.5</v>
      </c>
      <c r="BK106" s="32">
        <v>1</v>
      </c>
      <c r="BL106" s="32">
        <v>0</v>
      </c>
      <c r="BM106" s="23">
        <v>1</v>
      </c>
      <c r="BN106" s="29">
        <v>1</v>
      </c>
      <c r="BO106" s="32">
        <v>0.5</v>
      </c>
      <c r="BP106" s="32">
        <v>1</v>
      </c>
      <c r="BQ106" s="29">
        <v>1</v>
      </c>
      <c r="BR106" s="29">
        <v>1</v>
      </c>
      <c r="BT106">
        <f t="shared" si="80"/>
        <v>66</v>
      </c>
      <c r="BU106">
        <f t="shared" si="81"/>
        <v>52.5</v>
      </c>
      <c r="BV106" s="25">
        <f t="shared" si="82"/>
        <v>0.79545454545454541</v>
      </c>
    </row>
    <row r="107" spans="2:81" ht="39" thickBot="1" x14ac:dyDescent="0.3">
      <c r="B107" s="26" t="s">
        <v>69</v>
      </c>
      <c r="D107" s="22">
        <v>17</v>
      </c>
      <c r="E107" s="32">
        <v>1</v>
      </c>
      <c r="F107" s="32">
        <v>0.5</v>
      </c>
      <c r="G107" s="24">
        <v>1</v>
      </c>
      <c r="H107" s="32">
        <v>1</v>
      </c>
      <c r="I107" s="32">
        <v>0.5</v>
      </c>
      <c r="J107" s="32">
        <v>1</v>
      </c>
      <c r="K107" s="32"/>
      <c r="L107" s="32">
        <v>1</v>
      </c>
      <c r="M107" s="32">
        <v>0.5</v>
      </c>
      <c r="N107" s="32">
        <v>0.5</v>
      </c>
      <c r="O107" s="32">
        <v>1</v>
      </c>
      <c r="P107" s="32">
        <v>1</v>
      </c>
      <c r="Q107" s="32">
        <v>1</v>
      </c>
      <c r="R107" s="24">
        <v>0.5</v>
      </c>
      <c r="S107" s="32">
        <v>1</v>
      </c>
      <c r="T107" s="32">
        <v>1</v>
      </c>
      <c r="U107" s="23">
        <v>1</v>
      </c>
      <c r="V107" s="29">
        <v>1</v>
      </c>
      <c r="W107" s="32">
        <v>0.5</v>
      </c>
      <c r="X107" s="32">
        <v>1</v>
      </c>
      <c r="Y107" s="29">
        <v>1</v>
      </c>
      <c r="Z107" s="29">
        <v>1</v>
      </c>
      <c r="AA107" s="32">
        <v>1</v>
      </c>
      <c r="AB107" s="32">
        <v>0.5</v>
      </c>
      <c r="AC107" s="24">
        <v>1</v>
      </c>
      <c r="AD107" s="32">
        <v>1</v>
      </c>
      <c r="AE107" s="32">
        <v>0.5</v>
      </c>
      <c r="AF107" s="32">
        <v>0.5</v>
      </c>
      <c r="AG107" s="32"/>
      <c r="AH107" s="32">
        <v>1</v>
      </c>
      <c r="AI107" s="32">
        <v>0.5</v>
      </c>
      <c r="AJ107" s="32">
        <v>0</v>
      </c>
      <c r="AK107" s="32">
        <v>0.5</v>
      </c>
      <c r="AL107" s="32">
        <v>1</v>
      </c>
      <c r="AM107" s="32">
        <v>1</v>
      </c>
      <c r="AN107" s="24">
        <v>0.5</v>
      </c>
      <c r="AO107" s="32">
        <v>1</v>
      </c>
      <c r="AP107" s="32">
        <v>1</v>
      </c>
      <c r="AQ107" s="23">
        <v>1</v>
      </c>
      <c r="AR107" s="29">
        <v>0.5</v>
      </c>
      <c r="AS107" s="32">
        <v>0.5</v>
      </c>
      <c r="AT107" s="32">
        <v>1</v>
      </c>
      <c r="AU107" s="29">
        <v>0.5</v>
      </c>
      <c r="AV107" s="29">
        <v>0.5</v>
      </c>
      <c r="AW107" s="32">
        <v>0.5</v>
      </c>
      <c r="AX107" s="32">
        <v>0.5</v>
      </c>
      <c r="AY107" s="24">
        <v>1</v>
      </c>
      <c r="AZ107" s="32">
        <v>1</v>
      </c>
      <c r="BA107" s="32">
        <v>0.5</v>
      </c>
      <c r="BB107" s="32">
        <v>0.5</v>
      </c>
      <c r="BC107" s="32"/>
      <c r="BD107" s="32">
        <v>1</v>
      </c>
      <c r="BE107" s="32">
        <v>0.5</v>
      </c>
      <c r="BF107" s="32">
        <v>0</v>
      </c>
      <c r="BG107" s="32">
        <v>0.5</v>
      </c>
      <c r="BH107" s="32">
        <v>1</v>
      </c>
      <c r="BI107" s="32">
        <v>0.5</v>
      </c>
      <c r="BJ107" s="24">
        <v>0.5</v>
      </c>
      <c r="BK107" s="32">
        <v>1</v>
      </c>
      <c r="BL107" s="32">
        <v>0</v>
      </c>
      <c r="BM107" s="23">
        <v>1</v>
      </c>
      <c r="BN107" s="29">
        <v>0.5</v>
      </c>
      <c r="BO107" s="32">
        <v>1</v>
      </c>
      <c r="BP107" s="32">
        <v>1</v>
      </c>
      <c r="BQ107" s="29">
        <v>1</v>
      </c>
      <c r="BR107" s="29">
        <v>1</v>
      </c>
      <c r="BT107">
        <f t="shared" si="80"/>
        <v>63</v>
      </c>
      <c r="BU107">
        <f t="shared" si="81"/>
        <v>47.5</v>
      </c>
      <c r="BV107" s="25">
        <f t="shared" si="82"/>
        <v>0.75396825396825395</v>
      </c>
    </row>
    <row r="108" spans="2:81" ht="39" thickBot="1" x14ac:dyDescent="0.3">
      <c r="B108" s="33" t="s">
        <v>70</v>
      </c>
      <c r="D108" s="22">
        <v>18</v>
      </c>
      <c r="E108" s="32">
        <v>1</v>
      </c>
      <c r="F108" s="32">
        <v>0.5</v>
      </c>
      <c r="G108" s="24">
        <v>0.5</v>
      </c>
      <c r="H108" s="32">
        <v>1</v>
      </c>
      <c r="I108" s="32">
        <v>0</v>
      </c>
      <c r="J108" s="32">
        <v>0.5</v>
      </c>
      <c r="K108" s="32">
        <v>0</v>
      </c>
      <c r="L108" s="32">
        <v>1</v>
      </c>
      <c r="M108" s="24">
        <v>0.5</v>
      </c>
      <c r="N108" s="32">
        <v>1</v>
      </c>
      <c r="O108" s="32">
        <v>1</v>
      </c>
      <c r="P108" s="32">
        <v>1</v>
      </c>
      <c r="Q108" s="32">
        <v>0.5</v>
      </c>
      <c r="R108" s="24">
        <v>0.5</v>
      </c>
      <c r="S108" s="32">
        <v>1</v>
      </c>
      <c r="T108" s="32">
        <v>1</v>
      </c>
      <c r="U108" s="23">
        <v>1</v>
      </c>
      <c r="V108" s="29">
        <v>1</v>
      </c>
      <c r="W108" s="32">
        <v>1</v>
      </c>
      <c r="X108" s="32">
        <v>1</v>
      </c>
      <c r="Y108" s="29">
        <v>1</v>
      </c>
      <c r="Z108" s="29">
        <v>1</v>
      </c>
      <c r="AA108" s="32">
        <v>1</v>
      </c>
      <c r="AB108" s="32">
        <v>0.5</v>
      </c>
      <c r="AC108" s="24">
        <v>1</v>
      </c>
      <c r="AD108" s="32">
        <v>1</v>
      </c>
      <c r="AE108" s="32">
        <v>0</v>
      </c>
      <c r="AF108" s="32">
        <v>0.5</v>
      </c>
      <c r="AG108" s="32">
        <v>0</v>
      </c>
      <c r="AH108" s="32">
        <v>1</v>
      </c>
      <c r="AI108" s="24">
        <v>0.5</v>
      </c>
      <c r="AJ108" s="32">
        <v>1</v>
      </c>
      <c r="AK108" s="32">
        <v>1</v>
      </c>
      <c r="AL108" s="32">
        <v>1</v>
      </c>
      <c r="AM108" s="32">
        <v>0.5</v>
      </c>
      <c r="AN108" s="24">
        <v>0.5</v>
      </c>
      <c r="AO108" s="32">
        <v>1</v>
      </c>
      <c r="AP108" s="32">
        <v>0</v>
      </c>
      <c r="AQ108" s="23">
        <v>1</v>
      </c>
      <c r="AR108" s="29">
        <v>1</v>
      </c>
      <c r="AS108" s="32">
        <v>0.5</v>
      </c>
      <c r="AT108" s="32">
        <v>1</v>
      </c>
      <c r="AU108" s="29">
        <v>0.5</v>
      </c>
      <c r="AV108" s="29">
        <v>0.5</v>
      </c>
      <c r="AW108" s="32">
        <v>1</v>
      </c>
      <c r="AX108" s="32">
        <v>0.5</v>
      </c>
      <c r="AY108" s="24">
        <v>1</v>
      </c>
      <c r="AZ108" s="32">
        <v>0.5</v>
      </c>
      <c r="BA108" s="32">
        <v>0</v>
      </c>
      <c r="BB108" s="32">
        <v>0.5</v>
      </c>
      <c r="BC108" s="32"/>
      <c r="BD108" s="32">
        <v>1</v>
      </c>
      <c r="BE108" s="24">
        <v>0.5</v>
      </c>
      <c r="BF108" s="32">
        <v>1</v>
      </c>
      <c r="BG108" s="32">
        <v>1</v>
      </c>
      <c r="BH108" s="32">
        <v>1</v>
      </c>
      <c r="BI108" s="32">
        <v>0.5</v>
      </c>
      <c r="BJ108" s="24">
        <v>0.5</v>
      </c>
      <c r="BK108" s="32">
        <v>1</v>
      </c>
      <c r="BL108" s="32">
        <v>0</v>
      </c>
      <c r="BM108" s="23">
        <v>1</v>
      </c>
      <c r="BN108" s="29">
        <v>0.5</v>
      </c>
      <c r="BO108" s="32">
        <v>0.5</v>
      </c>
      <c r="BP108" s="32">
        <v>1</v>
      </c>
      <c r="BQ108" s="29">
        <v>1</v>
      </c>
      <c r="BR108" s="29">
        <v>1</v>
      </c>
      <c r="BT108">
        <f t="shared" si="80"/>
        <v>65</v>
      </c>
      <c r="BU108">
        <f t="shared" si="81"/>
        <v>47</v>
      </c>
      <c r="BV108" s="25">
        <f t="shared" si="82"/>
        <v>0.72307692307692306</v>
      </c>
    </row>
    <row r="109" spans="2:81" ht="52.5" thickTop="1" thickBot="1" x14ac:dyDescent="0.3">
      <c r="B109" s="34" t="s">
        <v>71</v>
      </c>
      <c r="D109" s="22">
        <v>19</v>
      </c>
      <c r="E109" s="32">
        <v>0.5</v>
      </c>
      <c r="F109" s="32">
        <v>1</v>
      </c>
      <c r="G109" s="24">
        <v>1</v>
      </c>
      <c r="H109" s="32">
        <v>1</v>
      </c>
      <c r="I109" s="32">
        <v>0.5</v>
      </c>
      <c r="J109" s="32">
        <v>0.5</v>
      </c>
      <c r="K109" s="32">
        <v>1</v>
      </c>
      <c r="L109" s="32">
        <v>1</v>
      </c>
      <c r="M109" s="24">
        <v>0.5</v>
      </c>
      <c r="N109" s="32"/>
      <c r="O109" s="32">
        <v>1</v>
      </c>
      <c r="P109" s="32">
        <v>0</v>
      </c>
      <c r="Q109" s="32">
        <v>1</v>
      </c>
      <c r="R109" s="24">
        <v>0.5</v>
      </c>
      <c r="S109" s="32">
        <v>1</v>
      </c>
      <c r="T109" s="32">
        <v>1</v>
      </c>
      <c r="U109" s="23">
        <v>1</v>
      </c>
      <c r="V109" s="29">
        <v>0.5</v>
      </c>
      <c r="W109" s="32">
        <v>1</v>
      </c>
      <c r="X109" s="32">
        <v>1</v>
      </c>
      <c r="Y109" s="29">
        <v>1</v>
      </c>
      <c r="Z109" s="29">
        <v>1</v>
      </c>
      <c r="AA109" s="32">
        <v>1</v>
      </c>
      <c r="AB109" s="32">
        <v>0.5</v>
      </c>
      <c r="AC109" s="24">
        <v>1</v>
      </c>
      <c r="AD109" s="32">
        <v>1</v>
      </c>
      <c r="AE109" s="32">
        <v>0.5</v>
      </c>
      <c r="AF109" s="32">
        <v>0.5</v>
      </c>
      <c r="AG109" s="32">
        <v>1</v>
      </c>
      <c r="AH109" s="32">
        <v>0.5</v>
      </c>
      <c r="AI109" s="24">
        <v>0.5</v>
      </c>
      <c r="AJ109" s="32"/>
      <c r="AK109" s="32">
        <v>0.5</v>
      </c>
      <c r="AL109" s="32">
        <v>0</v>
      </c>
      <c r="AM109" s="32">
        <v>0.5</v>
      </c>
      <c r="AN109" s="24">
        <v>0.5</v>
      </c>
      <c r="AO109" s="32">
        <v>1</v>
      </c>
      <c r="AP109" s="32">
        <v>1</v>
      </c>
      <c r="AQ109" s="23">
        <v>1</v>
      </c>
      <c r="AR109" s="29">
        <v>0.5</v>
      </c>
      <c r="AS109" s="32">
        <v>1</v>
      </c>
      <c r="AT109" s="32">
        <v>1</v>
      </c>
      <c r="AU109" s="29">
        <v>0.5</v>
      </c>
      <c r="AV109" s="29">
        <v>0.5</v>
      </c>
      <c r="AW109" s="32">
        <v>1</v>
      </c>
      <c r="AX109" s="32">
        <v>0.5</v>
      </c>
      <c r="AY109" s="24">
        <v>1</v>
      </c>
      <c r="AZ109" s="32">
        <v>1</v>
      </c>
      <c r="BA109" s="32">
        <v>0.5</v>
      </c>
      <c r="BB109" s="32">
        <v>0.5</v>
      </c>
      <c r="BC109" s="32">
        <v>1</v>
      </c>
      <c r="BD109" s="32">
        <v>0.5</v>
      </c>
      <c r="BE109" s="24">
        <v>0.5</v>
      </c>
      <c r="BF109" s="32"/>
      <c r="BG109" s="32">
        <v>0.5</v>
      </c>
      <c r="BH109" s="32">
        <v>0</v>
      </c>
      <c r="BI109" s="32">
        <v>0.5</v>
      </c>
      <c r="BJ109" s="24">
        <v>0.5</v>
      </c>
      <c r="BK109" s="32">
        <v>1</v>
      </c>
      <c r="BL109" s="32">
        <v>1</v>
      </c>
      <c r="BM109" s="23">
        <v>1</v>
      </c>
      <c r="BN109" s="29">
        <v>1</v>
      </c>
      <c r="BO109" s="32">
        <v>1</v>
      </c>
      <c r="BP109" s="32">
        <v>1</v>
      </c>
      <c r="BQ109" s="29">
        <v>1</v>
      </c>
      <c r="BR109" s="29">
        <v>1</v>
      </c>
      <c r="BT109">
        <f t="shared" si="80"/>
        <v>63</v>
      </c>
      <c r="BU109">
        <f t="shared" si="81"/>
        <v>47.5</v>
      </c>
      <c r="BV109" s="25">
        <f t="shared" si="82"/>
        <v>0.75396825396825395</v>
      </c>
    </row>
    <row r="110" spans="2:81" ht="39" thickBot="1" x14ac:dyDescent="0.3">
      <c r="B110" s="33" t="s">
        <v>72</v>
      </c>
      <c r="D110" s="22">
        <v>20</v>
      </c>
      <c r="E110" s="32">
        <v>1</v>
      </c>
      <c r="F110" s="32">
        <v>0.5</v>
      </c>
      <c r="G110" s="24">
        <v>1</v>
      </c>
      <c r="H110" s="32">
        <v>1</v>
      </c>
      <c r="I110" s="32">
        <v>0.5</v>
      </c>
      <c r="J110" s="32">
        <v>0.5</v>
      </c>
      <c r="K110" s="32">
        <v>0.5</v>
      </c>
      <c r="L110" s="32">
        <v>1</v>
      </c>
      <c r="M110" s="24">
        <v>0.5</v>
      </c>
      <c r="N110" s="32">
        <v>1</v>
      </c>
      <c r="O110" s="32">
        <v>1</v>
      </c>
      <c r="P110" s="32">
        <v>1</v>
      </c>
      <c r="Q110" s="32">
        <v>1</v>
      </c>
      <c r="R110" s="24">
        <v>0.5</v>
      </c>
      <c r="S110" s="32">
        <v>1</v>
      </c>
      <c r="T110" s="32">
        <v>1</v>
      </c>
      <c r="U110" s="23">
        <v>1</v>
      </c>
      <c r="V110" s="29">
        <v>0.5</v>
      </c>
      <c r="W110" s="32">
        <v>1</v>
      </c>
      <c r="X110" s="32">
        <v>1</v>
      </c>
      <c r="Y110" s="29">
        <v>1</v>
      </c>
      <c r="Z110" s="29">
        <v>1</v>
      </c>
      <c r="AA110" s="32">
        <v>1</v>
      </c>
      <c r="AB110" s="32">
        <v>1</v>
      </c>
      <c r="AC110" s="24">
        <v>1</v>
      </c>
      <c r="AD110" s="32">
        <v>1</v>
      </c>
      <c r="AE110" s="32">
        <v>0.5</v>
      </c>
      <c r="AF110" s="32">
        <v>0.5</v>
      </c>
      <c r="AG110" s="32">
        <v>1</v>
      </c>
      <c r="AH110" s="32">
        <v>1</v>
      </c>
      <c r="AI110" s="24">
        <v>0.5</v>
      </c>
      <c r="AJ110" s="32">
        <v>1</v>
      </c>
      <c r="AK110" s="32">
        <v>1</v>
      </c>
      <c r="AL110" s="32">
        <v>0.5</v>
      </c>
      <c r="AM110" s="32">
        <v>0.5</v>
      </c>
      <c r="AN110" s="24">
        <v>0.5</v>
      </c>
      <c r="AO110" s="32">
        <v>1</v>
      </c>
      <c r="AP110" s="32">
        <v>1</v>
      </c>
      <c r="AQ110" s="23">
        <v>1</v>
      </c>
      <c r="AR110" s="29">
        <v>1</v>
      </c>
      <c r="AS110" s="32">
        <v>1</v>
      </c>
      <c r="AT110" s="32">
        <v>1</v>
      </c>
      <c r="AU110" s="29">
        <v>0.5</v>
      </c>
      <c r="AV110" s="29">
        <v>0.5</v>
      </c>
      <c r="AW110" s="32">
        <v>1</v>
      </c>
      <c r="AX110" s="32">
        <v>0.5</v>
      </c>
      <c r="AY110" s="24">
        <v>1</v>
      </c>
      <c r="AZ110" s="32">
        <v>1</v>
      </c>
      <c r="BA110" s="32">
        <v>0.5</v>
      </c>
      <c r="BB110" s="32">
        <v>0.5</v>
      </c>
      <c r="BC110" s="32">
        <v>0.5</v>
      </c>
      <c r="BD110" s="32">
        <v>1</v>
      </c>
      <c r="BE110" s="24">
        <v>0.5</v>
      </c>
      <c r="BF110" s="32">
        <v>1</v>
      </c>
      <c r="BG110" s="32">
        <v>0.5</v>
      </c>
      <c r="BH110" s="32">
        <v>0.5</v>
      </c>
      <c r="BI110" s="32">
        <v>1</v>
      </c>
      <c r="BJ110" s="24">
        <v>0.5</v>
      </c>
      <c r="BK110" s="32">
        <v>1</v>
      </c>
      <c r="BL110" s="32">
        <v>1</v>
      </c>
      <c r="BM110" s="23">
        <v>1</v>
      </c>
      <c r="BN110" s="29">
        <v>1</v>
      </c>
      <c r="BO110" s="32">
        <v>1</v>
      </c>
      <c r="BP110" s="32">
        <v>1</v>
      </c>
      <c r="BQ110" s="29">
        <v>1</v>
      </c>
      <c r="BR110" s="29">
        <v>1</v>
      </c>
      <c r="BT110">
        <f t="shared" si="80"/>
        <v>66</v>
      </c>
      <c r="BU110">
        <f t="shared" si="81"/>
        <v>54.5</v>
      </c>
      <c r="BV110" s="25">
        <f t="shared" si="82"/>
        <v>0.8257575757575758</v>
      </c>
    </row>
    <row r="111" spans="2:81" ht="51.75" thickBot="1" x14ac:dyDescent="0.3">
      <c r="B111" s="33" t="s">
        <v>73</v>
      </c>
      <c r="D111" s="22">
        <v>21</v>
      </c>
      <c r="E111" s="32">
        <v>0.5</v>
      </c>
      <c r="F111" s="32">
        <v>0.5</v>
      </c>
      <c r="G111" s="24">
        <v>1</v>
      </c>
      <c r="H111" s="32">
        <v>1</v>
      </c>
      <c r="I111" s="32">
        <v>1</v>
      </c>
      <c r="J111" s="32">
        <v>1</v>
      </c>
      <c r="K111" s="32">
        <v>0.5</v>
      </c>
      <c r="L111" s="32">
        <v>1</v>
      </c>
      <c r="M111" s="24">
        <v>0.5</v>
      </c>
      <c r="N111" s="32">
        <v>1</v>
      </c>
      <c r="O111" s="32">
        <v>1</v>
      </c>
      <c r="P111" s="32">
        <v>0.5</v>
      </c>
      <c r="Q111" s="32">
        <v>1</v>
      </c>
      <c r="R111" s="24">
        <v>0.5</v>
      </c>
      <c r="S111" s="32">
        <v>0</v>
      </c>
      <c r="T111" s="32">
        <v>1</v>
      </c>
      <c r="U111" s="23">
        <v>1</v>
      </c>
      <c r="V111" s="29">
        <v>1</v>
      </c>
      <c r="W111" s="32">
        <v>1</v>
      </c>
      <c r="X111" s="32">
        <v>1</v>
      </c>
      <c r="Y111" s="29">
        <v>1</v>
      </c>
      <c r="Z111" s="29">
        <v>1</v>
      </c>
      <c r="AA111" s="32">
        <v>1</v>
      </c>
      <c r="AB111" s="32">
        <v>0.5</v>
      </c>
      <c r="AC111" s="24">
        <v>1</v>
      </c>
      <c r="AD111" s="32">
        <v>1</v>
      </c>
      <c r="AE111" s="32">
        <v>1</v>
      </c>
      <c r="AF111" s="32">
        <v>1</v>
      </c>
      <c r="AG111" s="32">
        <v>0.5</v>
      </c>
      <c r="AH111" s="32">
        <v>1</v>
      </c>
      <c r="AI111" s="24">
        <v>0.5</v>
      </c>
      <c r="AJ111" s="32">
        <v>1</v>
      </c>
      <c r="AK111" s="32">
        <v>1</v>
      </c>
      <c r="AL111" s="32">
        <v>0.5</v>
      </c>
      <c r="AM111" s="32">
        <v>1</v>
      </c>
      <c r="AN111" s="24">
        <v>0.5</v>
      </c>
      <c r="AO111" s="32">
        <v>0.5</v>
      </c>
      <c r="AP111" s="32">
        <v>1</v>
      </c>
      <c r="AQ111" s="23">
        <v>1</v>
      </c>
      <c r="AR111" s="29">
        <v>1</v>
      </c>
      <c r="AS111" s="32">
        <v>1</v>
      </c>
      <c r="AT111" s="32">
        <v>1</v>
      </c>
      <c r="AU111" s="29">
        <v>0.5</v>
      </c>
      <c r="AV111" s="29">
        <v>0.5</v>
      </c>
      <c r="AW111" s="32">
        <v>1</v>
      </c>
      <c r="AX111" s="32">
        <v>0.5</v>
      </c>
      <c r="AY111" s="24">
        <v>1</v>
      </c>
      <c r="AZ111" s="32">
        <v>1</v>
      </c>
      <c r="BA111" s="32">
        <v>1</v>
      </c>
      <c r="BB111" s="32">
        <v>1</v>
      </c>
      <c r="BC111" s="32">
        <v>0.5</v>
      </c>
      <c r="BD111" s="32">
        <v>1</v>
      </c>
      <c r="BE111" s="24">
        <v>0.5</v>
      </c>
      <c r="BF111" s="32">
        <v>1</v>
      </c>
      <c r="BG111" s="32">
        <v>1</v>
      </c>
      <c r="BH111" s="32">
        <v>0.5</v>
      </c>
      <c r="BI111" s="32">
        <v>1</v>
      </c>
      <c r="BJ111" s="24">
        <v>0.5</v>
      </c>
      <c r="BK111" s="32">
        <v>0.5</v>
      </c>
      <c r="BL111" s="32">
        <v>1</v>
      </c>
      <c r="BM111" s="23">
        <v>1</v>
      </c>
      <c r="BN111" s="29">
        <v>1</v>
      </c>
      <c r="BO111" s="32">
        <v>1</v>
      </c>
      <c r="BP111" s="32">
        <v>1</v>
      </c>
      <c r="BQ111" s="29">
        <v>0.5</v>
      </c>
      <c r="BR111" s="29">
        <v>0.5</v>
      </c>
      <c r="BT111">
        <f t="shared" si="80"/>
        <v>66</v>
      </c>
      <c r="BU111">
        <f t="shared" si="81"/>
        <v>54</v>
      </c>
      <c r="BV111" s="25">
        <f t="shared" si="82"/>
        <v>0.81818181818181823</v>
      </c>
    </row>
    <row r="112" spans="2:81" ht="26.25" thickBot="1" x14ac:dyDescent="0.3">
      <c r="B112" s="27" t="s">
        <v>74</v>
      </c>
      <c r="D112" s="22">
        <v>22</v>
      </c>
      <c r="E112" s="32">
        <v>0.5</v>
      </c>
      <c r="F112" s="32"/>
      <c r="G112" s="24">
        <v>1</v>
      </c>
      <c r="H112" s="32">
        <v>1</v>
      </c>
      <c r="I112" s="32">
        <v>1</v>
      </c>
      <c r="J112" s="32">
        <v>0.5</v>
      </c>
      <c r="K112" s="32">
        <v>0.5</v>
      </c>
      <c r="L112" s="32">
        <v>0</v>
      </c>
      <c r="M112" s="24">
        <v>0.5</v>
      </c>
      <c r="N112" s="32">
        <v>1</v>
      </c>
      <c r="O112" s="32">
        <v>0.5</v>
      </c>
      <c r="P112" s="32">
        <v>1</v>
      </c>
      <c r="Q112" s="32">
        <v>1</v>
      </c>
      <c r="R112" s="24">
        <v>0.5</v>
      </c>
      <c r="S112" s="32">
        <v>1</v>
      </c>
      <c r="T112" s="32">
        <v>1</v>
      </c>
      <c r="U112" s="23">
        <v>1</v>
      </c>
      <c r="V112" s="29">
        <v>1</v>
      </c>
      <c r="W112" s="32">
        <v>0.5</v>
      </c>
      <c r="X112" s="32">
        <v>1</v>
      </c>
      <c r="Y112" s="29">
        <v>1</v>
      </c>
      <c r="Z112" s="29">
        <v>1</v>
      </c>
      <c r="AA112" s="32">
        <v>1</v>
      </c>
      <c r="AB112" s="32"/>
      <c r="AC112" s="24">
        <v>1</v>
      </c>
      <c r="AD112" s="32">
        <v>1</v>
      </c>
      <c r="AE112" s="32">
        <v>1</v>
      </c>
      <c r="AF112" s="32">
        <v>0.5</v>
      </c>
      <c r="AG112" s="32">
        <v>0.5</v>
      </c>
      <c r="AH112" s="32">
        <v>0</v>
      </c>
      <c r="AI112" s="24">
        <v>0.5</v>
      </c>
      <c r="AJ112" s="32">
        <v>1</v>
      </c>
      <c r="AK112" s="32">
        <v>0.5</v>
      </c>
      <c r="AL112" s="32">
        <v>0.5</v>
      </c>
      <c r="AM112" s="32">
        <v>0.5</v>
      </c>
      <c r="AN112" s="24">
        <v>0.5</v>
      </c>
      <c r="AO112" s="32">
        <v>1</v>
      </c>
      <c r="AP112" s="32">
        <v>1</v>
      </c>
      <c r="AQ112" s="23">
        <v>1</v>
      </c>
      <c r="AR112" s="29">
        <v>1</v>
      </c>
      <c r="AS112" s="32">
        <v>0.5</v>
      </c>
      <c r="AT112" s="32">
        <v>1</v>
      </c>
      <c r="AU112" s="29">
        <v>0.5</v>
      </c>
      <c r="AV112" s="29">
        <v>0.5</v>
      </c>
      <c r="AW112" s="32">
        <v>1</v>
      </c>
      <c r="AX112" s="32"/>
      <c r="AY112" s="24">
        <v>1</v>
      </c>
      <c r="AZ112" s="32">
        <v>1</v>
      </c>
      <c r="BA112" s="32">
        <v>1</v>
      </c>
      <c r="BB112" s="32">
        <v>0.5</v>
      </c>
      <c r="BC112" s="32">
        <v>0.5</v>
      </c>
      <c r="BD112" s="32">
        <v>0</v>
      </c>
      <c r="BE112" s="24">
        <v>0.5</v>
      </c>
      <c r="BF112" s="32">
        <v>1</v>
      </c>
      <c r="BG112" s="32">
        <v>0.5</v>
      </c>
      <c r="BH112" s="32">
        <v>0.5</v>
      </c>
      <c r="BI112" s="32">
        <v>0.5</v>
      </c>
      <c r="BJ112" s="24">
        <v>0.5</v>
      </c>
      <c r="BK112" s="32">
        <v>1</v>
      </c>
      <c r="BL112" s="32">
        <v>1</v>
      </c>
      <c r="BM112" s="23">
        <v>1</v>
      </c>
      <c r="BN112" s="29">
        <v>0.5</v>
      </c>
      <c r="BO112" s="32">
        <v>0.5</v>
      </c>
      <c r="BP112" s="32">
        <v>1</v>
      </c>
      <c r="BQ112" s="29">
        <v>0.5</v>
      </c>
      <c r="BR112" s="29">
        <v>0.5</v>
      </c>
      <c r="BT112">
        <f t="shared" si="80"/>
        <v>63</v>
      </c>
      <c r="BU112">
        <f t="shared" si="81"/>
        <v>46</v>
      </c>
      <c r="BV112" s="25">
        <f t="shared" si="82"/>
        <v>0.73015873015873012</v>
      </c>
    </row>
    <row r="113" spans="2:74" ht="26.25" thickBot="1" x14ac:dyDescent="0.3">
      <c r="B113" s="21" t="s">
        <v>75</v>
      </c>
      <c r="D113" s="22">
        <v>23</v>
      </c>
      <c r="E113" s="32">
        <v>0.5</v>
      </c>
      <c r="F113" s="32"/>
      <c r="G113" s="24">
        <v>1</v>
      </c>
      <c r="H113" s="32">
        <v>1</v>
      </c>
      <c r="I113" s="32">
        <v>1</v>
      </c>
      <c r="J113" s="32">
        <v>0.5</v>
      </c>
      <c r="K113" s="32">
        <v>1</v>
      </c>
      <c r="L113" s="32">
        <v>1</v>
      </c>
      <c r="M113" s="24">
        <v>0.5</v>
      </c>
      <c r="N113" s="32">
        <v>1</v>
      </c>
      <c r="O113" s="32">
        <v>1</v>
      </c>
      <c r="P113" s="32">
        <v>1</v>
      </c>
      <c r="Q113" s="32">
        <v>0.5</v>
      </c>
      <c r="R113" s="24">
        <v>0.5</v>
      </c>
      <c r="S113" s="32">
        <v>1</v>
      </c>
      <c r="T113" s="32">
        <v>1</v>
      </c>
      <c r="U113" s="23">
        <v>1</v>
      </c>
      <c r="V113" s="29">
        <v>1</v>
      </c>
      <c r="W113" s="32">
        <v>0.5</v>
      </c>
      <c r="X113" s="32">
        <v>1</v>
      </c>
      <c r="Y113" s="29">
        <v>1</v>
      </c>
      <c r="Z113" s="29">
        <v>1</v>
      </c>
      <c r="AA113" s="32">
        <v>1</v>
      </c>
      <c r="AB113" s="32"/>
      <c r="AC113" s="24">
        <v>1</v>
      </c>
      <c r="AD113" s="32">
        <v>1</v>
      </c>
      <c r="AE113" s="32">
        <v>1</v>
      </c>
      <c r="AF113" s="32">
        <v>0.5</v>
      </c>
      <c r="AG113" s="32">
        <v>1</v>
      </c>
      <c r="AH113" s="32">
        <v>1</v>
      </c>
      <c r="AI113" s="24">
        <v>0.5</v>
      </c>
      <c r="AJ113" s="32">
        <v>1</v>
      </c>
      <c r="AK113" s="32">
        <v>1</v>
      </c>
      <c r="AL113" s="32">
        <v>0.5</v>
      </c>
      <c r="AM113" s="32">
        <v>1</v>
      </c>
      <c r="AN113" s="24">
        <v>0.5</v>
      </c>
      <c r="AO113" s="32">
        <v>1</v>
      </c>
      <c r="AP113" s="32">
        <v>1</v>
      </c>
      <c r="AQ113" s="23">
        <v>1</v>
      </c>
      <c r="AR113" s="29">
        <v>1</v>
      </c>
      <c r="AS113" s="32">
        <v>0.5</v>
      </c>
      <c r="AT113" s="32">
        <v>1</v>
      </c>
      <c r="AU113" s="29">
        <v>0.5</v>
      </c>
      <c r="AV113" s="29">
        <v>0.5</v>
      </c>
      <c r="AW113" s="32">
        <v>1</v>
      </c>
      <c r="AX113" s="32"/>
      <c r="AY113" s="24">
        <v>1</v>
      </c>
      <c r="AZ113" s="32">
        <v>1</v>
      </c>
      <c r="BA113" s="32">
        <v>1</v>
      </c>
      <c r="BB113" s="32">
        <v>0.5</v>
      </c>
      <c r="BC113" s="32">
        <v>0.5</v>
      </c>
      <c r="BD113" s="32">
        <v>1</v>
      </c>
      <c r="BE113" s="24">
        <v>0.5</v>
      </c>
      <c r="BF113" s="32">
        <v>1</v>
      </c>
      <c r="BG113" s="32">
        <v>1</v>
      </c>
      <c r="BH113" s="32">
        <v>0.5</v>
      </c>
      <c r="BI113" s="32">
        <v>1</v>
      </c>
      <c r="BJ113" s="24">
        <v>0.5</v>
      </c>
      <c r="BK113" s="32">
        <v>1</v>
      </c>
      <c r="BL113" s="32">
        <v>1</v>
      </c>
      <c r="BM113" s="23">
        <v>1</v>
      </c>
      <c r="BN113" s="29">
        <v>0.5</v>
      </c>
      <c r="BO113" s="32">
        <v>0.5</v>
      </c>
      <c r="BP113" s="32">
        <v>1</v>
      </c>
      <c r="BQ113" s="29">
        <v>0.5</v>
      </c>
      <c r="BR113" s="29">
        <v>0.5</v>
      </c>
      <c r="BT113">
        <f t="shared" si="80"/>
        <v>63</v>
      </c>
      <c r="BU113">
        <f t="shared" si="81"/>
        <v>52</v>
      </c>
      <c r="BV113" s="25">
        <f t="shared" si="82"/>
        <v>0.82539682539682535</v>
      </c>
    </row>
    <row r="114" spans="2:74" ht="26.25" thickBot="1" x14ac:dyDescent="0.3">
      <c r="B114" s="21" t="s">
        <v>76</v>
      </c>
      <c r="D114" s="22">
        <v>24</v>
      </c>
      <c r="E114" s="32">
        <v>0.5</v>
      </c>
      <c r="F114" s="32"/>
      <c r="G114" s="24">
        <v>1</v>
      </c>
      <c r="H114" s="32">
        <v>1</v>
      </c>
      <c r="I114" s="32">
        <v>1</v>
      </c>
      <c r="J114" s="32">
        <v>0.5</v>
      </c>
      <c r="K114" s="32">
        <v>1</v>
      </c>
      <c r="L114" s="32">
        <v>0</v>
      </c>
      <c r="M114" s="24">
        <v>0.5</v>
      </c>
      <c r="N114" s="32"/>
      <c r="O114" s="32">
        <v>0.5</v>
      </c>
      <c r="P114" s="32">
        <v>1</v>
      </c>
      <c r="Q114" s="32">
        <v>0.5</v>
      </c>
      <c r="R114" s="24">
        <v>0.5</v>
      </c>
      <c r="S114" s="32">
        <v>0</v>
      </c>
      <c r="T114" s="32">
        <v>1</v>
      </c>
      <c r="U114" s="23">
        <v>1</v>
      </c>
      <c r="V114" s="29">
        <v>0.5</v>
      </c>
      <c r="W114" s="32">
        <v>0.5</v>
      </c>
      <c r="X114" s="32">
        <v>1</v>
      </c>
      <c r="Y114" s="29">
        <v>1</v>
      </c>
      <c r="Z114" s="29">
        <v>1</v>
      </c>
      <c r="AA114" s="32">
        <v>0.5</v>
      </c>
      <c r="AB114" s="32"/>
      <c r="AC114" s="24">
        <v>1</v>
      </c>
      <c r="AD114" s="32">
        <v>1</v>
      </c>
      <c r="AE114" s="32">
        <v>1</v>
      </c>
      <c r="AF114" s="32">
        <v>0.5</v>
      </c>
      <c r="AG114" s="32">
        <v>1</v>
      </c>
      <c r="AH114" s="32">
        <v>0</v>
      </c>
      <c r="AI114" s="24">
        <v>0.5</v>
      </c>
      <c r="AJ114" s="32"/>
      <c r="AK114" s="32">
        <v>0.5</v>
      </c>
      <c r="AL114" s="32">
        <v>0.5</v>
      </c>
      <c r="AM114" s="32">
        <v>0.5</v>
      </c>
      <c r="AN114" s="24">
        <v>0.5</v>
      </c>
      <c r="AO114" s="32">
        <v>0.5</v>
      </c>
      <c r="AP114" s="32">
        <v>1</v>
      </c>
      <c r="AQ114" s="23">
        <v>1</v>
      </c>
      <c r="AR114" s="29">
        <v>0.5</v>
      </c>
      <c r="AS114" s="32">
        <v>0.5</v>
      </c>
      <c r="AT114" s="32">
        <v>1</v>
      </c>
      <c r="AU114" s="29">
        <v>0.5</v>
      </c>
      <c r="AV114" s="29">
        <v>0.5</v>
      </c>
      <c r="AW114" s="32">
        <v>0.5</v>
      </c>
      <c r="AX114" s="32"/>
      <c r="AY114" s="24">
        <v>1</v>
      </c>
      <c r="AZ114" s="32">
        <v>1</v>
      </c>
      <c r="BA114" s="32">
        <v>1</v>
      </c>
      <c r="BB114" s="32">
        <v>0.5</v>
      </c>
      <c r="BC114" s="32">
        <v>0.5</v>
      </c>
      <c r="BD114" s="32">
        <v>0</v>
      </c>
      <c r="BE114" s="24">
        <v>0.5</v>
      </c>
      <c r="BF114" s="32"/>
      <c r="BG114" s="32">
        <v>0.5</v>
      </c>
      <c r="BH114" s="32">
        <v>0.5</v>
      </c>
      <c r="BI114" s="32">
        <v>0</v>
      </c>
      <c r="BJ114" s="24">
        <v>0.5</v>
      </c>
      <c r="BK114" s="32">
        <v>0.5</v>
      </c>
      <c r="BL114" s="32">
        <v>1</v>
      </c>
      <c r="BM114" s="23">
        <v>1</v>
      </c>
      <c r="BN114" s="29">
        <v>0.5</v>
      </c>
      <c r="BO114" s="32">
        <v>0.5</v>
      </c>
      <c r="BP114" s="32">
        <v>1</v>
      </c>
      <c r="BQ114" s="29">
        <v>0.5</v>
      </c>
      <c r="BR114" s="29">
        <v>0.5</v>
      </c>
      <c r="BT114">
        <f t="shared" si="80"/>
        <v>60</v>
      </c>
      <c r="BU114">
        <f t="shared" si="81"/>
        <v>39</v>
      </c>
      <c r="BV114" s="25">
        <f t="shared" si="82"/>
        <v>0.65</v>
      </c>
    </row>
    <row r="115" spans="2:74" ht="51.75" thickBot="1" x14ac:dyDescent="0.3">
      <c r="B115" s="21" t="s">
        <v>77</v>
      </c>
      <c r="D115" s="22">
        <v>25</v>
      </c>
      <c r="E115" s="32">
        <v>0</v>
      </c>
      <c r="F115" s="32">
        <v>0.5</v>
      </c>
      <c r="G115" s="24">
        <v>1</v>
      </c>
      <c r="H115" s="32">
        <v>1</v>
      </c>
      <c r="I115" s="32">
        <v>0.5</v>
      </c>
      <c r="J115" s="32">
        <v>0.5</v>
      </c>
      <c r="K115" s="32">
        <v>0.5</v>
      </c>
      <c r="L115" s="32">
        <v>1</v>
      </c>
      <c r="M115" s="24">
        <v>0.5</v>
      </c>
      <c r="N115" s="32"/>
      <c r="O115" s="32">
        <v>0</v>
      </c>
      <c r="P115" s="32">
        <v>0.5</v>
      </c>
      <c r="Q115" s="32">
        <v>0.5</v>
      </c>
      <c r="R115" s="24">
        <v>0.5</v>
      </c>
      <c r="S115" s="32">
        <v>1</v>
      </c>
      <c r="T115" s="32">
        <v>1</v>
      </c>
      <c r="U115" s="23">
        <v>1</v>
      </c>
      <c r="V115" s="29">
        <v>1</v>
      </c>
      <c r="W115" s="32">
        <v>1</v>
      </c>
      <c r="X115" s="32">
        <v>1</v>
      </c>
      <c r="Y115" s="29">
        <v>1</v>
      </c>
      <c r="Z115" s="29">
        <v>1</v>
      </c>
      <c r="AA115" s="32">
        <v>0.5</v>
      </c>
      <c r="AB115" s="32">
        <v>0.5</v>
      </c>
      <c r="AC115" s="24">
        <v>1</v>
      </c>
      <c r="AD115" s="32">
        <v>0.5</v>
      </c>
      <c r="AE115" s="32">
        <v>0.5</v>
      </c>
      <c r="AF115" s="32">
        <v>0.5</v>
      </c>
      <c r="AG115" s="32">
        <v>0.5</v>
      </c>
      <c r="AH115" s="32">
        <v>1</v>
      </c>
      <c r="AI115" s="24">
        <v>0.5</v>
      </c>
      <c r="AJ115" s="32"/>
      <c r="AK115" s="32">
        <v>0.5</v>
      </c>
      <c r="AL115" s="32">
        <v>0.5</v>
      </c>
      <c r="AM115" s="32">
        <v>1</v>
      </c>
      <c r="AN115" s="24">
        <v>0.5</v>
      </c>
      <c r="AO115" s="32">
        <v>1</v>
      </c>
      <c r="AP115" s="32">
        <v>1</v>
      </c>
      <c r="AQ115" s="23">
        <v>1</v>
      </c>
      <c r="AR115" s="29">
        <v>1</v>
      </c>
      <c r="AS115" s="32">
        <v>1</v>
      </c>
      <c r="AT115" s="32">
        <v>1</v>
      </c>
      <c r="AU115" s="29">
        <v>0.5</v>
      </c>
      <c r="AV115" s="29">
        <v>0.5</v>
      </c>
      <c r="AW115" s="32">
        <v>0.5</v>
      </c>
      <c r="AX115" s="32">
        <v>0</v>
      </c>
      <c r="AY115" s="24">
        <v>1</v>
      </c>
      <c r="AZ115" s="32">
        <v>0.5</v>
      </c>
      <c r="BA115" s="32">
        <v>0.5</v>
      </c>
      <c r="BB115" s="32">
        <v>0.5</v>
      </c>
      <c r="BC115" s="32">
        <v>0.5</v>
      </c>
      <c r="BD115" s="32">
        <v>1</v>
      </c>
      <c r="BE115" s="24">
        <v>0.5</v>
      </c>
      <c r="BF115" s="32"/>
      <c r="BG115" s="32">
        <v>0.5</v>
      </c>
      <c r="BH115" s="32">
        <v>0.5</v>
      </c>
      <c r="BI115" s="32">
        <v>1</v>
      </c>
      <c r="BJ115" s="24">
        <v>0.5</v>
      </c>
      <c r="BK115" s="32">
        <v>0.5</v>
      </c>
      <c r="BL115" s="32">
        <v>1</v>
      </c>
      <c r="BM115" s="23">
        <v>1</v>
      </c>
      <c r="BN115" s="29">
        <v>1</v>
      </c>
      <c r="BO115" s="32">
        <v>1</v>
      </c>
      <c r="BP115" s="32">
        <v>1</v>
      </c>
      <c r="BQ115" s="29">
        <v>0.5</v>
      </c>
      <c r="BR115" s="29">
        <v>0.5</v>
      </c>
      <c r="BT115">
        <f t="shared" si="80"/>
        <v>63</v>
      </c>
      <c r="BU115">
        <f t="shared" si="81"/>
        <v>44</v>
      </c>
      <c r="BV115" s="25">
        <f t="shared" si="82"/>
        <v>0.69841269841269837</v>
      </c>
    </row>
    <row r="116" spans="2:74" ht="26.25" thickBot="1" x14ac:dyDescent="0.3">
      <c r="B116" s="21" t="s">
        <v>78</v>
      </c>
      <c r="D116" s="22">
        <v>26</v>
      </c>
      <c r="E116" s="32"/>
      <c r="F116" s="32">
        <v>0.5</v>
      </c>
      <c r="G116" s="24">
        <v>0.5</v>
      </c>
      <c r="H116" s="32">
        <v>1</v>
      </c>
      <c r="I116" s="32">
        <v>0.5</v>
      </c>
      <c r="J116" s="32">
        <v>0.5</v>
      </c>
      <c r="K116" s="32"/>
      <c r="L116" s="32">
        <v>0.5</v>
      </c>
      <c r="M116" s="24">
        <v>0.5</v>
      </c>
      <c r="N116" s="32">
        <v>0</v>
      </c>
      <c r="O116" s="32">
        <v>0.5</v>
      </c>
      <c r="P116" s="32">
        <v>0.5</v>
      </c>
      <c r="Q116" s="32">
        <v>1</v>
      </c>
      <c r="R116" s="24">
        <v>0.5</v>
      </c>
      <c r="S116" s="32">
        <v>0</v>
      </c>
      <c r="T116" s="32">
        <v>1</v>
      </c>
      <c r="U116" s="23">
        <v>1</v>
      </c>
      <c r="V116" s="29">
        <v>0.5</v>
      </c>
      <c r="W116" s="32">
        <v>0.5</v>
      </c>
      <c r="X116" s="32">
        <v>0</v>
      </c>
      <c r="Y116" s="29">
        <v>1</v>
      </c>
      <c r="Z116" s="29">
        <v>1</v>
      </c>
      <c r="AA116" s="32"/>
      <c r="AB116" s="32">
        <v>0.5</v>
      </c>
      <c r="AC116" s="24">
        <v>1</v>
      </c>
      <c r="AD116" s="32">
        <v>1</v>
      </c>
      <c r="AE116" s="32">
        <v>0.5</v>
      </c>
      <c r="AF116" s="32">
        <v>0.5</v>
      </c>
      <c r="AG116" s="32"/>
      <c r="AH116" s="32">
        <v>0.5</v>
      </c>
      <c r="AI116" s="24">
        <v>0.5</v>
      </c>
      <c r="AJ116" s="32">
        <v>0</v>
      </c>
      <c r="AK116" s="32">
        <v>0.5</v>
      </c>
      <c r="AL116" s="32">
        <v>0.5</v>
      </c>
      <c r="AM116" s="32">
        <v>1</v>
      </c>
      <c r="AN116" s="24">
        <v>0.5</v>
      </c>
      <c r="AO116" s="32">
        <v>0.5</v>
      </c>
      <c r="AP116" s="32">
        <v>1</v>
      </c>
      <c r="AQ116" s="23">
        <v>1</v>
      </c>
      <c r="AR116" s="29">
        <v>0.5</v>
      </c>
      <c r="AS116" s="32">
        <v>1</v>
      </c>
      <c r="AT116" s="32">
        <v>0</v>
      </c>
      <c r="AU116" s="29">
        <v>0.5</v>
      </c>
      <c r="AV116" s="29">
        <v>0.5</v>
      </c>
      <c r="AW116" s="32"/>
      <c r="AX116" s="32">
        <v>0.5</v>
      </c>
      <c r="AY116" s="24">
        <v>1</v>
      </c>
      <c r="AZ116" s="32">
        <v>0.5</v>
      </c>
      <c r="BA116" s="32">
        <v>0.5</v>
      </c>
      <c r="BB116" s="32">
        <v>0.5</v>
      </c>
      <c r="BC116" s="32"/>
      <c r="BD116" s="32">
        <v>0.5</v>
      </c>
      <c r="BE116" s="24">
        <v>0.5</v>
      </c>
      <c r="BF116" s="32">
        <v>0</v>
      </c>
      <c r="BG116" s="32">
        <v>0.5</v>
      </c>
      <c r="BH116" s="32">
        <v>0.5</v>
      </c>
      <c r="BI116" s="32">
        <v>1</v>
      </c>
      <c r="BJ116" s="24">
        <v>0.5</v>
      </c>
      <c r="BK116" s="32">
        <v>0.5</v>
      </c>
      <c r="BL116" s="32">
        <v>1</v>
      </c>
      <c r="BM116" s="23">
        <v>1</v>
      </c>
      <c r="BN116" s="29">
        <v>0.5</v>
      </c>
      <c r="BO116" s="32">
        <v>0.5</v>
      </c>
      <c r="BP116" s="32">
        <v>0</v>
      </c>
      <c r="BQ116" s="29">
        <v>0.5</v>
      </c>
      <c r="BR116" s="29">
        <v>0.5</v>
      </c>
      <c r="BT116">
        <f t="shared" si="80"/>
        <v>60</v>
      </c>
      <c r="BU116">
        <f t="shared" si="81"/>
        <v>34.5</v>
      </c>
      <c r="BV116" s="25">
        <f t="shared" si="82"/>
        <v>0.57499999999999996</v>
      </c>
    </row>
    <row r="117" spans="2:74" ht="26.25" thickBot="1" x14ac:dyDescent="0.3">
      <c r="B117" s="21" t="s">
        <v>79</v>
      </c>
      <c r="D117" s="22">
        <v>27</v>
      </c>
      <c r="E117" s="32">
        <v>1</v>
      </c>
      <c r="F117" s="32">
        <v>0.5</v>
      </c>
      <c r="G117" s="24">
        <v>1</v>
      </c>
      <c r="H117" s="32">
        <v>1</v>
      </c>
      <c r="I117" s="32">
        <v>0.5</v>
      </c>
      <c r="J117" s="32">
        <v>1</v>
      </c>
      <c r="K117" s="32">
        <v>1</v>
      </c>
      <c r="L117" s="32">
        <v>1</v>
      </c>
      <c r="M117" s="24">
        <v>0.5</v>
      </c>
      <c r="N117" s="32">
        <v>0</v>
      </c>
      <c r="O117" s="32">
        <v>1</v>
      </c>
      <c r="P117" s="32">
        <v>1</v>
      </c>
      <c r="Q117" s="32">
        <v>1</v>
      </c>
      <c r="R117" s="24">
        <v>0.5</v>
      </c>
      <c r="S117" s="32">
        <v>1</v>
      </c>
      <c r="T117" s="32">
        <v>1</v>
      </c>
      <c r="U117" s="23">
        <v>1</v>
      </c>
      <c r="V117" s="29">
        <v>0.5</v>
      </c>
      <c r="W117" s="32">
        <v>0.5</v>
      </c>
      <c r="X117" s="32">
        <v>1</v>
      </c>
      <c r="Y117" s="29">
        <v>1</v>
      </c>
      <c r="Z117" s="29">
        <v>1</v>
      </c>
      <c r="AA117" s="32">
        <v>1</v>
      </c>
      <c r="AB117" s="32"/>
      <c r="AC117" s="24">
        <v>1</v>
      </c>
      <c r="AD117" s="32">
        <v>1</v>
      </c>
      <c r="AE117" s="32">
        <v>0.5</v>
      </c>
      <c r="AF117" s="32">
        <v>1</v>
      </c>
      <c r="AG117" s="32">
        <v>1</v>
      </c>
      <c r="AH117" s="32">
        <v>1</v>
      </c>
      <c r="AI117" s="24">
        <v>0.5</v>
      </c>
      <c r="AJ117" s="32">
        <v>0</v>
      </c>
      <c r="AK117" s="32">
        <v>1</v>
      </c>
      <c r="AL117" s="32">
        <v>1</v>
      </c>
      <c r="AM117" s="32">
        <v>1</v>
      </c>
      <c r="AN117" s="24">
        <v>0.5</v>
      </c>
      <c r="AO117" s="32">
        <v>1</v>
      </c>
      <c r="AP117" s="32">
        <v>1</v>
      </c>
      <c r="AQ117" s="23">
        <v>1</v>
      </c>
      <c r="AR117" s="29">
        <v>0.5</v>
      </c>
      <c r="AS117" s="32">
        <v>0.5</v>
      </c>
      <c r="AT117" s="32">
        <v>1</v>
      </c>
      <c r="AU117" s="29">
        <v>0.5</v>
      </c>
      <c r="AV117" s="29">
        <v>0.5</v>
      </c>
      <c r="AW117" s="32">
        <v>1</v>
      </c>
      <c r="AX117" s="32"/>
      <c r="AY117" s="24">
        <v>1</v>
      </c>
      <c r="AZ117" s="32">
        <v>1</v>
      </c>
      <c r="BA117" s="32">
        <v>0.5</v>
      </c>
      <c r="BB117" s="32">
        <v>1</v>
      </c>
      <c r="BC117" s="32">
        <v>1</v>
      </c>
      <c r="BD117" s="32">
        <v>1</v>
      </c>
      <c r="BE117" s="24">
        <v>0.5</v>
      </c>
      <c r="BF117" s="32">
        <v>0</v>
      </c>
      <c r="BG117" s="32">
        <v>1</v>
      </c>
      <c r="BH117" s="32">
        <v>1</v>
      </c>
      <c r="BI117" s="32">
        <v>1</v>
      </c>
      <c r="BJ117" s="24">
        <v>0.5</v>
      </c>
      <c r="BK117" s="32">
        <v>1</v>
      </c>
      <c r="BL117" s="32">
        <v>1</v>
      </c>
      <c r="BM117" s="23">
        <v>1</v>
      </c>
      <c r="BN117" s="29">
        <v>0.5</v>
      </c>
      <c r="BO117" s="32">
        <v>0.5</v>
      </c>
      <c r="BP117" s="32">
        <v>1</v>
      </c>
      <c r="BQ117" s="29">
        <v>0.5</v>
      </c>
      <c r="BR117" s="29">
        <v>0.5</v>
      </c>
      <c r="BT117">
        <f t="shared" si="80"/>
        <v>64</v>
      </c>
      <c r="BU117">
        <f t="shared" si="81"/>
        <v>51</v>
      </c>
      <c r="BV117" s="25">
        <f t="shared" si="82"/>
        <v>0.796875</v>
      </c>
    </row>
    <row r="118" spans="2:74" ht="39" thickBot="1" x14ac:dyDescent="0.3">
      <c r="B118" s="21" t="s">
        <v>80</v>
      </c>
      <c r="D118" s="22">
        <v>28</v>
      </c>
      <c r="E118" s="32">
        <v>1</v>
      </c>
      <c r="F118" s="32">
        <v>0.5</v>
      </c>
      <c r="G118" s="24">
        <v>1</v>
      </c>
      <c r="H118" s="32">
        <v>1</v>
      </c>
      <c r="I118" s="32">
        <v>0.5</v>
      </c>
      <c r="J118" s="32">
        <v>1</v>
      </c>
      <c r="K118" s="32"/>
      <c r="L118" s="32">
        <v>0.5</v>
      </c>
      <c r="M118" s="24">
        <v>0.5</v>
      </c>
      <c r="N118" s="32">
        <v>0</v>
      </c>
      <c r="O118" s="32">
        <v>1</v>
      </c>
      <c r="P118" s="32">
        <v>1</v>
      </c>
      <c r="Q118" s="32">
        <v>1</v>
      </c>
      <c r="R118" s="24">
        <v>0.5</v>
      </c>
      <c r="S118" s="32">
        <v>1</v>
      </c>
      <c r="T118" s="32">
        <v>1</v>
      </c>
      <c r="U118" s="23">
        <v>1</v>
      </c>
      <c r="V118" s="29">
        <v>0.5</v>
      </c>
      <c r="W118" s="32">
        <v>0.5</v>
      </c>
      <c r="X118" s="32">
        <v>1</v>
      </c>
      <c r="Y118" s="29">
        <v>1</v>
      </c>
      <c r="Z118" s="29">
        <v>1</v>
      </c>
      <c r="AA118" s="32">
        <v>1</v>
      </c>
      <c r="AB118" s="32"/>
      <c r="AC118" s="24">
        <v>1</v>
      </c>
      <c r="AD118" s="32">
        <v>1</v>
      </c>
      <c r="AE118" s="32">
        <v>0.5</v>
      </c>
      <c r="AF118" s="32">
        <v>1</v>
      </c>
      <c r="AG118" s="32"/>
      <c r="AH118" s="32">
        <v>0.5</v>
      </c>
      <c r="AI118" s="24">
        <v>0.5</v>
      </c>
      <c r="AJ118" s="32">
        <v>0</v>
      </c>
      <c r="AK118" s="32">
        <v>1</v>
      </c>
      <c r="AL118" s="32">
        <v>1</v>
      </c>
      <c r="AM118" s="32">
        <v>1</v>
      </c>
      <c r="AN118" s="24">
        <v>0.5</v>
      </c>
      <c r="AO118" s="32">
        <v>1</v>
      </c>
      <c r="AP118" s="32">
        <v>1</v>
      </c>
      <c r="AQ118" s="23">
        <v>1</v>
      </c>
      <c r="AR118" s="29">
        <v>0.5</v>
      </c>
      <c r="AS118" s="32">
        <v>0.5</v>
      </c>
      <c r="AT118" s="32">
        <v>1</v>
      </c>
      <c r="AU118" s="29">
        <v>0.5</v>
      </c>
      <c r="AV118" s="29">
        <v>0.5</v>
      </c>
      <c r="AW118" s="32">
        <v>1</v>
      </c>
      <c r="AX118" s="32"/>
      <c r="AY118" s="24">
        <v>1</v>
      </c>
      <c r="AZ118" s="32">
        <v>0.5</v>
      </c>
      <c r="BA118" s="32">
        <v>0.5</v>
      </c>
      <c r="BB118" s="32">
        <v>1</v>
      </c>
      <c r="BC118" s="32"/>
      <c r="BD118" s="32">
        <v>0.5</v>
      </c>
      <c r="BE118" s="24">
        <v>0.5</v>
      </c>
      <c r="BF118" s="32">
        <v>0</v>
      </c>
      <c r="BG118" s="32">
        <v>1</v>
      </c>
      <c r="BH118" s="32">
        <v>0.5</v>
      </c>
      <c r="BI118" s="32">
        <v>1</v>
      </c>
      <c r="BJ118" s="24">
        <v>0.5</v>
      </c>
      <c r="BK118" s="32">
        <v>1</v>
      </c>
      <c r="BL118" s="32">
        <v>1</v>
      </c>
      <c r="BM118" s="23">
        <v>1</v>
      </c>
      <c r="BN118" s="29">
        <v>0.5</v>
      </c>
      <c r="BO118" s="32">
        <v>0.5</v>
      </c>
      <c r="BP118" s="32">
        <v>1</v>
      </c>
      <c r="BQ118" s="29">
        <v>0.5</v>
      </c>
      <c r="BR118" s="29">
        <v>0.5</v>
      </c>
      <c r="BT118">
        <f t="shared" si="80"/>
        <v>61</v>
      </c>
      <c r="BU118">
        <f t="shared" si="81"/>
        <v>45.5</v>
      </c>
      <c r="BV118" s="25">
        <f t="shared" si="82"/>
        <v>0.74590163934426235</v>
      </c>
    </row>
    <row r="119" spans="2:74" ht="64.5" thickBot="1" x14ac:dyDescent="0.3">
      <c r="B119" s="21" t="s">
        <v>81</v>
      </c>
      <c r="D119" s="22">
        <v>29</v>
      </c>
      <c r="E119" s="32"/>
      <c r="F119" s="32"/>
      <c r="G119" s="24">
        <v>1</v>
      </c>
      <c r="H119" s="32">
        <v>1</v>
      </c>
      <c r="I119" s="32">
        <v>0.5</v>
      </c>
      <c r="J119" s="32">
        <v>0.5</v>
      </c>
      <c r="K119" s="32">
        <v>0</v>
      </c>
      <c r="L119" s="32">
        <v>0.5</v>
      </c>
      <c r="M119" s="24">
        <v>0.5</v>
      </c>
      <c r="N119" s="32">
        <v>1</v>
      </c>
      <c r="O119" s="32">
        <v>0</v>
      </c>
      <c r="P119" s="32">
        <v>0.5</v>
      </c>
      <c r="Q119" s="32">
        <v>0.5</v>
      </c>
      <c r="R119" s="24">
        <v>0.5</v>
      </c>
      <c r="S119" s="32">
        <v>1</v>
      </c>
      <c r="T119" s="32">
        <v>0</v>
      </c>
      <c r="U119" s="23">
        <v>1</v>
      </c>
      <c r="V119" s="32">
        <v>1</v>
      </c>
      <c r="W119" s="32">
        <v>0.5</v>
      </c>
      <c r="X119" s="32">
        <v>1</v>
      </c>
      <c r="Y119" s="32">
        <v>0.5</v>
      </c>
      <c r="Z119" s="32">
        <v>0.5</v>
      </c>
      <c r="AA119" s="32"/>
      <c r="AB119" s="32"/>
      <c r="AC119" s="24">
        <v>1</v>
      </c>
      <c r="AD119" s="32">
        <v>1</v>
      </c>
      <c r="AE119" s="32">
        <v>0.5</v>
      </c>
      <c r="AF119" s="32">
        <v>0.5</v>
      </c>
      <c r="AG119" s="32">
        <v>0</v>
      </c>
      <c r="AH119" s="32">
        <v>0.5</v>
      </c>
      <c r="AI119" s="24">
        <v>0.5</v>
      </c>
      <c r="AJ119" s="32">
        <v>1</v>
      </c>
      <c r="AK119" s="32">
        <v>0</v>
      </c>
      <c r="AL119" s="32">
        <v>0.5</v>
      </c>
      <c r="AM119" s="32">
        <v>0.5</v>
      </c>
      <c r="AN119" s="24">
        <v>0.5</v>
      </c>
      <c r="AO119" s="32">
        <v>0.5</v>
      </c>
      <c r="AP119" s="32">
        <v>1</v>
      </c>
      <c r="AQ119" s="23">
        <v>1</v>
      </c>
      <c r="AR119" s="32">
        <v>0.5</v>
      </c>
      <c r="AS119" s="32">
        <v>1</v>
      </c>
      <c r="AT119" s="32">
        <v>1</v>
      </c>
      <c r="AU119" s="32">
        <v>0.5</v>
      </c>
      <c r="AV119" s="32">
        <v>0.5</v>
      </c>
      <c r="AW119" s="32"/>
      <c r="AX119" s="32"/>
      <c r="AY119" s="24">
        <v>1</v>
      </c>
      <c r="AZ119" s="32">
        <v>0.5</v>
      </c>
      <c r="BA119" s="32">
        <v>0.5</v>
      </c>
      <c r="BB119" s="32">
        <v>0.5</v>
      </c>
      <c r="BC119" s="32">
        <v>0</v>
      </c>
      <c r="BD119" s="32">
        <v>0.5</v>
      </c>
      <c r="BE119" s="24">
        <v>0.5</v>
      </c>
      <c r="BF119" s="32">
        <v>1</v>
      </c>
      <c r="BG119" s="32">
        <v>0</v>
      </c>
      <c r="BH119" s="32">
        <v>0.5</v>
      </c>
      <c r="BI119" s="32">
        <v>0.5</v>
      </c>
      <c r="BJ119" s="24">
        <v>0.5</v>
      </c>
      <c r="BK119" s="32">
        <v>0.5</v>
      </c>
      <c r="BL119" s="32">
        <v>0</v>
      </c>
      <c r="BM119" s="23">
        <v>1</v>
      </c>
      <c r="BN119" s="32">
        <v>0.5</v>
      </c>
      <c r="BO119" s="32">
        <v>1</v>
      </c>
      <c r="BP119" s="32">
        <v>1</v>
      </c>
      <c r="BQ119" s="32">
        <v>0.5</v>
      </c>
      <c r="BR119" s="32">
        <v>0.5</v>
      </c>
      <c r="BT119">
        <f t="shared" si="80"/>
        <v>60</v>
      </c>
      <c r="BU119">
        <f t="shared" si="81"/>
        <v>35.5</v>
      </c>
      <c r="BV119" s="25">
        <f t="shared" si="82"/>
        <v>0.59166666666666667</v>
      </c>
    </row>
    <row r="120" spans="2:74" ht="26.25" thickBot="1" x14ac:dyDescent="0.3">
      <c r="B120" s="21" t="s">
        <v>82</v>
      </c>
      <c r="D120" s="22">
        <v>30</v>
      </c>
      <c r="E120" s="32"/>
      <c r="F120" s="32"/>
      <c r="G120" s="24">
        <v>1</v>
      </c>
      <c r="H120" s="32">
        <v>1</v>
      </c>
      <c r="I120" s="32">
        <v>0.5</v>
      </c>
      <c r="J120" s="32">
        <v>0.5</v>
      </c>
      <c r="K120" s="32">
        <v>0</v>
      </c>
      <c r="L120" s="32">
        <v>1</v>
      </c>
      <c r="M120" s="24">
        <v>0.5</v>
      </c>
      <c r="N120" s="32">
        <v>0.5</v>
      </c>
      <c r="O120" s="32">
        <v>0.5</v>
      </c>
      <c r="P120" s="32">
        <v>0</v>
      </c>
      <c r="Q120" s="32">
        <v>1</v>
      </c>
      <c r="R120" s="24">
        <v>0.5</v>
      </c>
      <c r="S120" s="32">
        <v>0</v>
      </c>
      <c r="T120" s="32">
        <v>1</v>
      </c>
      <c r="U120" s="23">
        <v>1</v>
      </c>
      <c r="V120" s="32">
        <v>0</v>
      </c>
      <c r="W120" s="32">
        <v>0</v>
      </c>
      <c r="X120" s="32">
        <v>1</v>
      </c>
      <c r="Y120" s="32">
        <v>0.5</v>
      </c>
      <c r="Z120" s="32">
        <v>0.5</v>
      </c>
      <c r="AA120" s="32"/>
      <c r="AB120" s="32"/>
      <c r="AC120" s="24">
        <v>1</v>
      </c>
      <c r="AD120" s="32">
        <v>1</v>
      </c>
      <c r="AE120" s="32">
        <v>0.5</v>
      </c>
      <c r="AF120" s="32">
        <v>1</v>
      </c>
      <c r="AG120" s="32">
        <v>0</v>
      </c>
      <c r="AH120" s="32">
        <v>1</v>
      </c>
      <c r="AI120" s="24">
        <v>0.5</v>
      </c>
      <c r="AJ120" s="32">
        <v>0.5</v>
      </c>
      <c r="AK120" s="32">
        <v>0.5</v>
      </c>
      <c r="AL120" s="32">
        <v>0</v>
      </c>
      <c r="AM120" s="32">
        <v>1</v>
      </c>
      <c r="AN120" s="24">
        <v>0.5</v>
      </c>
      <c r="AO120" s="32">
        <v>1</v>
      </c>
      <c r="AP120" s="32">
        <v>1</v>
      </c>
      <c r="AQ120" s="23">
        <v>1</v>
      </c>
      <c r="AR120" s="32">
        <v>1</v>
      </c>
      <c r="AS120" s="32">
        <v>0</v>
      </c>
      <c r="AT120" s="32">
        <v>1</v>
      </c>
      <c r="AU120" s="32">
        <v>0.5</v>
      </c>
      <c r="AV120" s="32">
        <v>0.5</v>
      </c>
      <c r="AW120" s="32"/>
      <c r="AX120" s="32"/>
      <c r="AY120" s="24">
        <v>1</v>
      </c>
      <c r="AZ120" s="32">
        <v>1</v>
      </c>
      <c r="BA120" s="32">
        <v>0.5</v>
      </c>
      <c r="BB120" s="32">
        <v>0.5</v>
      </c>
      <c r="BC120" s="32">
        <v>0</v>
      </c>
      <c r="BD120" s="32">
        <v>1</v>
      </c>
      <c r="BE120" s="24">
        <v>0.5</v>
      </c>
      <c r="BF120" s="32">
        <v>0.5</v>
      </c>
      <c r="BG120" s="32">
        <v>0.5</v>
      </c>
      <c r="BH120" s="32">
        <v>0</v>
      </c>
      <c r="BI120" s="32">
        <v>1</v>
      </c>
      <c r="BJ120" s="24">
        <v>0.5</v>
      </c>
      <c r="BK120" s="32">
        <v>0.5</v>
      </c>
      <c r="BL120" s="32">
        <v>0.5</v>
      </c>
      <c r="BM120" s="23">
        <v>1</v>
      </c>
      <c r="BN120" s="32">
        <v>0.5</v>
      </c>
      <c r="BO120" s="32">
        <v>0</v>
      </c>
      <c r="BP120" s="32">
        <v>1</v>
      </c>
      <c r="BQ120" s="32">
        <v>0.5</v>
      </c>
      <c r="BR120" s="32">
        <v>0.5</v>
      </c>
      <c r="BT120">
        <f t="shared" si="80"/>
        <v>60</v>
      </c>
      <c r="BU120">
        <f t="shared" si="81"/>
        <v>36</v>
      </c>
      <c r="BV120" s="25">
        <f t="shared" si="82"/>
        <v>0.6</v>
      </c>
    </row>
    <row r="121" spans="2:74" ht="39" thickBot="1" x14ac:dyDescent="0.3">
      <c r="B121" s="33" t="s">
        <v>83</v>
      </c>
      <c r="D121" s="22">
        <v>31</v>
      </c>
      <c r="E121" s="32"/>
      <c r="F121" s="32"/>
      <c r="G121" s="24">
        <v>1</v>
      </c>
      <c r="H121" s="32">
        <v>1</v>
      </c>
      <c r="I121" s="32">
        <v>0</v>
      </c>
      <c r="J121" s="32">
        <v>0.5</v>
      </c>
      <c r="K121" s="32">
        <v>0</v>
      </c>
      <c r="L121" s="32">
        <v>1</v>
      </c>
      <c r="M121" s="24">
        <v>0.5</v>
      </c>
      <c r="N121" s="32"/>
      <c r="O121" s="32">
        <v>1</v>
      </c>
      <c r="P121" s="32">
        <v>1</v>
      </c>
      <c r="Q121" s="32">
        <v>1</v>
      </c>
      <c r="R121" s="24">
        <v>0.5</v>
      </c>
      <c r="S121" s="32">
        <v>1</v>
      </c>
      <c r="T121" s="32">
        <v>1</v>
      </c>
      <c r="U121" s="23">
        <v>1</v>
      </c>
      <c r="V121" s="32">
        <v>0</v>
      </c>
      <c r="W121" s="32">
        <v>0.5</v>
      </c>
      <c r="X121" s="32">
        <v>1</v>
      </c>
      <c r="Y121" s="32">
        <v>1</v>
      </c>
      <c r="Z121" s="32">
        <v>0.5</v>
      </c>
      <c r="AA121" s="32"/>
      <c r="AB121" s="32"/>
      <c r="AC121" s="24">
        <v>1</v>
      </c>
      <c r="AD121" s="32">
        <v>1</v>
      </c>
      <c r="AE121" s="32">
        <v>0</v>
      </c>
      <c r="AF121" s="32">
        <v>0.5</v>
      </c>
      <c r="AG121" s="32">
        <v>0</v>
      </c>
      <c r="AH121" s="32">
        <v>1</v>
      </c>
      <c r="AI121" s="24">
        <v>0.5</v>
      </c>
      <c r="AJ121" s="32"/>
      <c r="AK121" s="32">
        <v>1</v>
      </c>
      <c r="AL121" s="32">
        <v>0.5</v>
      </c>
      <c r="AM121" s="32">
        <v>0</v>
      </c>
      <c r="AN121" s="24">
        <v>0.5</v>
      </c>
      <c r="AO121" s="32">
        <v>1</v>
      </c>
      <c r="AP121" s="32">
        <v>1</v>
      </c>
      <c r="AQ121" s="23">
        <v>1</v>
      </c>
      <c r="AR121" s="32">
        <v>0.5</v>
      </c>
      <c r="AS121" s="32">
        <v>0</v>
      </c>
      <c r="AT121" s="32">
        <v>1</v>
      </c>
      <c r="AU121" s="32">
        <v>0.5</v>
      </c>
      <c r="AV121" s="32">
        <v>0.5</v>
      </c>
      <c r="AW121" s="32"/>
      <c r="AX121" s="32"/>
      <c r="AY121" s="24">
        <v>1</v>
      </c>
      <c r="AZ121" s="32">
        <v>1</v>
      </c>
      <c r="BA121" s="32">
        <v>0</v>
      </c>
      <c r="BB121" s="32">
        <v>0.5</v>
      </c>
      <c r="BC121" s="32">
        <v>0</v>
      </c>
      <c r="BD121" s="32">
        <v>1</v>
      </c>
      <c r="BE121" s="24">
        <v>0.5</v>
      </c>
      <c r="BF121" s="32"/>
      <c r="BG121" s="32">
        <v>1</v>
      </c>
      <c r="BH121" s="32">
        <v>0.5</v>
      </c>
      <c r="BI121" s="32">
        <v>0</v>
      </c>
      <c r="BJ121" s="24">
        <v>0.5</v>
      </c>
      <c r="BK121" s="32">
        <v>0.5</v>
      </c>
      <c r="BL121" s="32">
        <v>1</v>
      </c>
      <c r="BM121" s="23">
        <v>1</v>
      </c>
      <c r="BN121" s="32">
        <v>0.5</v>
      </c>
      <c r="BO121" s="32">
        <v>0.5</v>
      </c>
      <c r="BP121" s="32">
        <v>1</v>
      </c>
      <c r="BQ121" s="32">
        <v>0.5</v>
      </c>
      <c r="BR121" s="32">
        <v>0.5</v>
      </c>
      <c r="BT121">
        <f t="shared" si="80"/>
        <v>57</v>
      </c>
      <c r="BU121">
        <f t="shared" si="81"/>
        <v>36.5</v>
      </c>
      <c r="BV121" s="25">
        <f t="shared" si="82"/>
        <v>0.64035087719298245</v>
      </c>
    </row>
    <row r="122" spans="2:74" ht="26.25" thickBot="1" x14ac:dyDescent="0.3">
      <c r="B122" s="33" t="s">
        <v>84</v>
      </c>
      <c r="D122" s="22">
        <v>32</v>
      </c>
      <c r="E122" s="32"/>
      <c r="F122" s="32"/>
      <c r="G122" s="24">
        <v>1</v>
      </c>
      <c r="H122" s="32">
        <v>1</v>
      </c>
      <c r="I122" s="32">
        <v>1</v>
      </c>
      <c r="J122" s="32">
        <v>1</v>
      </c>
      <c r="K122" s="32">
        <v>1</v>
      </c>
      <c r="L122" s="32">
        <v>1</v>
      </c>
      <c r="M122" s="24">
        <v>0</v>
      </c>
      <c r="N122" s="32">
        <v>1</v>
      </c>
      <c r="O122" s="32">
        <v>1</v>
      </c>
      <c r="P122" s="32">
        <v>1</v>
      </c>
      <c r="Q122" s="32">
        <v>1</v>
      </c>
      <c r="R122" s="24">
        <v>0.5</v>
      </c>
      <c r="S122" s="32">
        <v>1</v>
      </c>
      <c r="T122" s="32">
        <v>1</v>
      </c>
      <c r="U122" s="23">
        <v>1</v>
      </c>
      <c r="V122" s="29">
        <v>0</v>
      </c>
      <c r="W122" s="32">
        <v>0</v>
      </c>
      <c r="X122" s="32">
        <v>1</v>
      </c>
      <c r="Y122" s="29">
        <v>1</v>
      </c>
      <c r="Z122" s="29">
        <v>1</v>
      </c>
      <c r="AA122" s="32"/>
      <c r="AB122" s="32"/>
      <c r="AC122" s="24">
        <v>1</v>
      </c>
      <c r="AD122" s="32">
        <v>0.5</v>
      </c>
      <c r="AE122" s="32">
        <v>1</v>
      </c>
      <c r="AF122" s="32">
        <v>1</v>
      </c>
      <c r="AG122" s="32">
        <v>1</v>
      </c>
      <c r="AH122" s="32">
        <v>1</v>
      </c>
      <c r="AI122" s="24">
        <v>0.5</v>
      </c>
      <c r="AJ122" s="32">
        <v>1</v>
      </c>
      <c r="AK122" s="32">
        <v>0.5</v>
      </c>
      <c r="AL122" s="32">
        <v>0.5</v>
      </c>
      <c r="AM122" s="32">
        <v>1</v>
      </c>
      <c r="AN122" s="24">
        <v>0.5</v>
      </c>
      <c r="AO122" s="32">
        <v>1</v>
      </c>
      <c r="AP122" s="32">
        <v>1</v>
      </c>
      <c r="AQ122" s="23">
        <v>1</v>
      </c>
      <c r="AR122" s="29">
        <v>0</v>
      </c>
      <c r="AS122" s="32">
        <v>0</v>
      </c>
      <c r="AT122" s="32">
        <v>1</v>
      </c>
      <c r="AU122" s="29">
        <v>0.5</v>
      </c>
      <c r="AV122" s="29">
        <v>0.5</v>
      </c>
      <c r="AW122" s="32"/>
      <c r="AX122" s="32"/>
      <c r="AY122" s="24">
        <v>1</v>
      </c>
      <c r="AZ122" s="32">
        <v>0.5</v>
      </c>
      <c r="BA122" s="32">
        <v>1</v>
      </c>
      <c r="BB122" s="32">
        <v>1</v>
      </c>
      <c r="BC122" s="32">
        <v>1</v>
      </c>
      <c r="BD122" s="32">
        <v>1</v>
      </c>
      <c r="BE122" s="24">
        <v>0.5</v>
      </c>
      <c r="BF122" s="32">
        <v>1</v>
      </c>
      <c r="BG122" s="32">
        <v>1</v>
      </c>
      <c r="BH122" s="32">
        <v>0.5</v>
      </c>
      <c r="BI122" s="32">
        <v>1</v>
      </c>
      <c r="BJ122" s="24">
        <v>0.5</v>
      </c>
      <c r="BK122" s="32">
        <v>1</v>
      </c>
      <c r="BL122" s="32">
        <v>1</v>
      </c>
      <c r="BM122" s="23">
        <v>1</v>
      </c>
      <c r="BN122" s="29">
        <v>1</v>
      </c>
      <c r="BO122" s="32">
        <v>0</v>
      </c>
      <c r="BP122" s="32">
        <v>1</v>
      </c>
      <c r="BQ122" s="29">
        <v>0.5</v>
      </c>
      <c r="BR122" s="29">
        <v>0.5</v>
      </c>
      <c r="BT122">
        <f t="shared" si="80"/>
        <v>60</v>
      </c>
      <c r="BU122">
        <f t="shared" si="81"/>
        <v>47</v>
      </c>
      <c r="BV122" s="25">
        <f t="shared" si="82"/>
        <v>0.78333333333333333</v>
      </c>
    </row>
    <row r="123" spans="2:74" ht="26.25" thickBot="1" x14ac:dyDescent="0.3">
      <c r="B123" s="33" t="s">
        <v>85</v>
      </c>
      <c r="D123" s="22">
        <v>33</v>
      </c>
      <c r="E123" s="32">
        <v>1</v>
      </c>
      <c r="F123" s="32"/>
      <c r="G123" s="24">
        <v>1</v>
      </c>
      <c r="H123" s="32">
        <v>1</v>
      </c>
      <c r="I123" s="32">
        <v>1</v>
      </c>
      <c r="J123" s="32">
        <v>1</v>
      </c>
      <c r="K123" s="32">
        <v>1</v>
      </c>
      <c r="L123" s="32">
        <v>1</v>
      </c>
      <c r="M123" s="24">
        <v>0.5</v>
      </c>
      <c r="N123" s="32">
        <v>1</v>
      </c>
      <c r="O123" s="32">
        <v>1</v>
      </c>
      <c r="P123" s="32">
        <v>1</v>
      </c>
      <c r="Q123" s="32">
        <v>1</v>
      </c>
      <c r="R123" s="24">
        <v>0.5</v>
      </c>
      <c r="S123" s="32">
        <v>1</v>
      </c>
      <c r="T123" s="32">
        <v>1</v>
      </c>
      <c r="U123" s="23">
        <v>1</v>
      </c>
      <c r="V123" s="29">
        <v>1</v>
      </c>
      <c r="W123" s="32">
        <v>1</v>
      </c>
      <c r="X123" s="32">
        <v>1</v>
      </c>
      <c r="Y123" s="29">
        <v>1</v>
      </c>
      <c r="Z123" s="29">
        <v>1</v>
      </c>
      <c r="AA123" s="32">
        <v>0.5</v>
      </c>
      <c r="AB123" s="32"/>
      <c r="AC123" s="24">
        <v>1</v>
      </c>
      <c r="AD123" s="32">
        <v>1</v>
      </c>
      <c r="AE123" s="32">
        <v>1</v>
      </c>
      <c r="AF123" s="32">
        <v>1</v>
      </c>
      <c r="AG123" s="32">
        <v>1</v>
      </c>
      <c r="AH123" s="32">
        <v>1</v>
      </c>
      <c r="AI123" s="24">
        <v>0.5</v>
      </c>
      <c r="AJ123" s="32">
        <v>1</v>
      </c>
      <c r="AK123" s="32">
        <v>0.5</v>
      </c>
      <c r="AL123" s="32">
        <v>0.5</v>
      </c>
      <c r="AM123" s="32">
        <v>1</v>
      </c>
      <c r="AN123" s="24">
        <v>0.5</v>
      </c>
      <c r="AO123" s="32">
        <v>1</v>
      </c>
      <c r="AP123" s="32">
        <v>1</v>
      </c>
      <c r="AQ123" s="23">
        <v>1</v>
      </c>
      <c r="AR123" s="29">
        <v>1</v>
      </c>
      <c r="AS123" s="32">
        <v>1</v>
      </c>
      <c r="AT123" s="32">
        <v>1</v>
      </c>
      <c r="AU123" s="29">
        <v>1</v>
      </c>
      <c r="AV123" s="29">
        <v>1</v>
      </c>
      <c r="AW123" s="32">
        <v>1</v>
      </c>
      <c r="AX123" s="32"/>
      <c r="AY123" s="24">
        <v>1</v>
      </c>
      <c r="AZ123" s="32">
        <v>0.5</v>
      </c>
      <c r="BA123" s="32">
        <v>1</v>
      </c>
      <c r="BB123" s="32">
        <v>1</v>
      </c>
      <c r="BC123" s="32">
        <v>1</v>
      </c>
      <c r="BD123" s="32">
        <v>1</v>
      </c>
      <c r="BE123" s="24">
        <v>0.5</v>
      </c>
      <c r="BF123" s="32">
        <v>1</v>
      </c>
      <c r="BG123" s="32">
        <v>1</v>
      </c>
      <c r="BH123" s="32">
        <v>0.5</v>
      </c>
      <c r="BI123" s="32">
        <v>1</v>
      </c>
      <c r="BJ123" s="24">
        <v>0.5</v>
      </c>
      <c r="BK123" s="32">
        <v>1</v>
      </c>
      <c r="BL123" s="32">
        <v>1</v>
      </c>
      <c r="BM123" s="23">
        <v>1</v>
      </c>
      <c r="BN123" s="29">
        <v>0.5</v>
      </c>
      <c r="BO123" s="32">
        <v>1</v>
      </c>
      <c r="BP123" s="32">
        <v>1</v>
      </c>
      <c r="BQ123" s="29">
        <v>1</v>
      </c>
      <c r="BR123" s="29">
        <v>1</v>
      </c>
      <c r="BT123">
        <f t="shared" si="80"/>
        <v>63</v>
      </c>
      <c r="BU123">
        <f t="shared" si="81"/>
        <v>57</v>
      </c>
      <c r="BV123" s="25">
        <f t="shared" si="82"/>
        <v>0.90476190476190477</v>
      </c>
    </row>
    <row r="124" spans="2:74" ht="26.25" thickBot="1" x14ac:dyDescent="0.3">
      <c r="B124" s="33" t="s">
        <v>86</v>
      </c>
      <c r="D124" s="22">
        <v>34</v>
      </c>
      <c r="E124" s="32"/>
      <c r="F124" s="32">
        <v>1</v>
      </c>
      <c r="G124" s="24">
        <v>1</v>
      </c>
      <c r="H124" s="32">
        <v>1</v>
      </c>
      <c r="I124" s="32">
        <v>1</v>
      </c>
      <c r="J124" s="32">
        <v>0.5</v>
      </c>
      <c r="K124" s="32">
        <v>0.5</v>
      </c>
      <c r="L124" s="32">
        <v>1</v>
      </c>
      <c r="M124" s="24">
        <v>0.5</v>
      </c>
      <c r="N124" s="32">
        <v>0.5</v>
      </c>
      <c r="O124" s="32">
        <v>1</v>
      </c>
      <c r="P124" s="32">
        <v>1</v>
      </c>
      <c r="Q124" s="32">
        <v>0.5</v>
      </c>
      <c r="R124" s="24">
        <v>0.5</v>
      </c>
      <c r="S124" s="32">
        <v>1</v>
      </c>
      <c r="T124" s="32">
        <v>1</v>
      </c>
      <c r="U124" s="23">
        <v>1</v>
      </c>
      <c r="V124" s="29">
        <v>0.5</v>
      </c>
      <c r="W124" s="32">
        <v>1</v>
      </c>
      <c r="X124" s="32">
        <v>1</v>
      </c>
      <c r="Y124" s="29">
        <v>1</v>
      </c>
      <c r="Z124" s="29">
        <v>1</v>
      </c>
      <c r="AA124" s="32"/>
      <c r="AB124" s="32">
        <v>1</v>
      </c>
      <c r="AC124" s="24">
        <v>1</v>
      </c>
      <c r="AD124" s="32">
        <v>0.5</v>
      </c>
      <c r="AE124" s="32">
        <v>1</v>
      </c>
      <c r="AF124" s="32">
        <v>0.5</v>
      </c>
      <c r="AG124" s="32">
        <v>0.5</v>
      </c>
      <c r="AH124" s="32">
        <v>1</v>
      </c>
      <c r="AI124" s="24">
        <v>0.5</v>
      </c>
      <c r="AJ124" s="32">
        <v>0.5</v>
      </c>
      <c r="AK124" s="32">
        <v>0.5</v>
      </c>
      <c r="AL124" s="32">
        <v>0.5</v>
      </c>
      <c r="AM124" s="32">
        <v>0.5</v>
      </c>
      <c r="AN124" s="24">
        <v>0.5</v>
      </c>
      <c r="AO124" s="32">
        <v>1</v>
      </c>
      <c r="AP124" s="32">
        <v>1</v>
      </c>
      <c r="AQ124" s="23">
        <v>1</v>
      </c>
      <c r="AR124" s="29">
        <v>0.5</v>
      </c>
      <c r="AS124" s="32">
        <v>0.5</v>
      </c>
      <c r="AT124" s="32">
        <v>1</v>
      </c>
      <c r="AU124" s="29">
        <v>1</v>
      </c>
      <c r="AV124" s="29">
        <v>1</v>
      </c>
      <c r="AW124" s="32"/>
      <c r="AX124" s="32">
        <v>1</v>
      </c>
      <c r="AY124" s="24">
        <v>1</v>
      </c>
      <c r="AZ124" s="32">
        <v>1</v>
      </c>
      <c r="BA124" s="32">
        <v>1</v>
      </c>
      <c r="BB124" s="32">
        <v>0.5</v>
      </c>
      <c r="BC124" s="32"/>
      <c r="BD124" s="32">
        <v>1</v>
      </c>
      <c r="BE124" s="24">
        <v>0.5</v>
      </c>
      <c r="BF124" s="32">
        <v>0.5</v>
      </c>
      <c r="BG124" s="32">
        <v>1</v>
      </c>
      <c r="BH124" s="32">
        <v>0.5</v>
      </c>
      <c r="BI124" s="32">
        <v>0.5</v>
      </c>
      <c r="BJ124" s="24">
        <v>0.5</v>
      </c>
      <c r="BK124" s="32">
        <v>1</v>
      </c>
      <c r="BL124" s="32">
        <v>1</v>
      </c>
      <c r="BM124" s="23">
        <v>1</v>
      </c>
      <c r="BN124" s="29">
        <v>1</v>
      </c>
      <c r="BO124" s="32">
        <v>0.5</v>
      </c>
      <c r="BP124" s="32">
        <v>1</v>
      </c>
      <c r="BQ124" s="29">
        <v>1</v>
      </c>
      <c r="BR124" s="29">
        <v>1</v>
      </c>
      <c r="BT124">
        <f t="shared" si="80"/>
        <v>62</v>
      </c>
      <c r="BU124">
        <f t="shared" si="81"/>
        <v>49.5</v>
      </c>
      <c r="BV124" s="25">
        <f t="shared" si="82"/>
        <v>0.79838709677419351</v>
      </c>
    </row>
    <row r="125" spans="2:74" ht="26.25" thickBot="1" x14ac:dyDescent="0.3">
      <c r="B125" s="27" t="s">
        <v>87</v>
      </c>
      <c r="D125" s="22">
        <v>35</v>
      </c>
      <c r="E125" s="32">
        <v>0.5</v>
      </c>
      <c r="F125" s="32"/>
      <c r="G125" s="24">
        <v>1</v>
      </c>
      <c r="H125" s="32">
        <v>1</v>
      </c>
      <c r="I125" s="32">
        <v>1</v>
      </c>
      <c r="J125" s="32">
        <v>1</v>
      </c>
      <c r="K125" s="32">
        <v>0.5</v>
      </c>
      <c r="L125" s="32">
        <v>1</v>
      </c>
      <c r="M125" s="24">
        <v>0.5</v>
      </c>
      <c r="N125" s="32">
        <v>1</v>
      </c>
      <c r="O125" s="32">
        <v>1</v>
      </c>
      <c r="P125" s="32">
        <v>1</v>
      </c>
      <c r="Q125" s="32">
        <v>0.5</v>
      </c>
      <c r="R125" s="24">
        <v>0.5</v>
      </c>
      <c r="S125" s="32">
        <v>0</v>
      </c>
      <c r="T125" s="32">
        <v>1</v>
      </c>
      <c r="U125" s="23">
        <v>1</v>
      </c>
      <c r="V125" s="29">
        <v>0.5</v>
      </c>
      <c r="W125" s="32">
        <v>0</v>
      </c>
      <c r="X125" s="32">
        <v>1</v>
      </c>
      <c r="Y125" s="29">
        <v>1</v>
      </c>
      <c r="Z125" s="29">
        <v>1</v>
      </c>
      <c r="AA125" s="32">
        <v>1</v>
      </c>
      <c r="AB125" s="32"/>
      <c r="AC125" s="24">
        <v>1</v>
      </c>
      <c r="AD125" s="32">
        <v>1</v>
      </c>
      <c r="AE125" s="32">
        <v>1</v>
      </c>
      <c r="AF125" s="32">
        <v>1</v>
      </c>
      <c r="AG125" s="32">
        <v>0.5</v>
      </c>
      <c r="AH125" s="32">
        <v>1</v>
      </c>
      <c r="AI125" s="24">
        <v>0.5</v>
      </c>
      <c r="AJ125" s="32">
        <v>1</v>
      </c>
      <c r="AK125" s="32">
        <v>0.5</v>
      </c>
      <c r="AL125" s="32">
        <v>1</v>
      </c>
      <c r="AM125" s="32">
        <v>0.5</v>
      </c>
      <c r="AN125" s="24">
        <v>0.5</v>
      </c>
      <c r="AO125" s="32">
        <v>1</v>
      </c>
      <c r="AP125" s="32">
        <v>1</v>
      </c>
      <c r="AQ125" s="23">
        <v>1</v>
      </c>
      <c r="AR125" s="29">
        <v>0.5</v>
      </c>
      <c r="AS125" s="32">
        <v>0</v>
      </c>
      <c r="AT125" s="32">
        <v>1</v>
      </c>
      <c r="AU125" s="29">
        <v>0.5</v>
      </c>
      <c r="AV125" s="29">
        <v>0.5</v>
      </c>
      <c r="AW125" s="32">
        <v>1</v>
      </c>
      <c r="AX125" s="32"/>
      <c r="AY125" s="24">
        <v>1</v>
      </c>
      <c r="AZ125" s="32">
        <v>1</v>
      </c>
      <c r="BA125" s="32">
        <v>1</v>
      </c>
      <c r="BB125" s="32">
        <v>1</v>
      </c>
      <c r="BC125" s="32">
        <v>0.5</v>
      </c>
      <c r="BD125" s="32">
        <v>1</v>
      </c>
      <c r="BE125" s="24">
        <v>0.5</v>
      </c>
      <c r="BF125" s="32">
        <v>1</v>
      </c>
      <c r="BG125" s="32">
        <v>1</v>
      </c>
      <c r="BH125" s="32">
        <v>0.5</v>
      </c>
      <c r="BI125" s="32">
        <v>0.5</v>
      </c>
      <c r="BJ125" s="24">
        <v>0.5</v>
      </c>
      <c r="BK125" s="32">
        <v>0.5</v>
      </c>
      <c r="BL125" s="32">
        <v>1</v>
      </c>
      <c r="BM125" s="23">
        <v>1</v>
      </c>
      <c r="BN125" s="29">
        <v>1</v>
      </c>
      <c r="BO125" s="32">
        <v>0</v>
      </c>
      <c r="BP125" s="32">
        <v>1</v>
      </c>
      <c r="BQ125" s="29">
        <v>0.5</v>
      </c>
      <c r="BR125" s="29">
        <v>0.5</v>
      </c>
      <c r="BT125">
        <f t="shared" si="80"/>
        <v>63</v>
      </c>
      <c r="BU125">
        <f t="shared" si="81"/>
        <v>48</v>
      </c>
      <c r="BV125" s="25">
        <f t="shared" si="82"/>
        <v>0.76190476190476186</v>
      </c>
    </row>
    <row r="126" spans="2:74" ht="26.25" thickBot="1" x14ac:dyDescent="0.3">
      <c r="B126" s="21" t="s">
        <v>88</v>
      </c>
      <c r="D126" s="22">
        <v>36</v>
      </c>
      <c r="E126" s="32"/>
      <c r="F126" s="32">
        <v>0</v>
      </c>
      <c r="G126" s="24">
        <v>1</v>
      </c>
      <c r="H126" s="32">
        <v>1</v>
      </c>
      <c r="I126" s="32">
        <v>0.5</v>
      </c>
      <c r="J126" s="32">
        <v>1</v>
      </c>
      <c r="K126" s="32">
        <v>0.5</v>
      </c>
      <c r="L126" s="32">
        <v>1</v>
      </c>
      <c r="M126" s="24">
        <v>1</v>
      </c>
      <c r="N126" s="32">
        <v>1</v>
      </c>
      <c r="O126" s="32">
        <v>1</v>
      </c>
      <c r="P126" s="32">
        <v>1</v>
      </c>
      <c r="Q126" s="32">
        <v>1</v>
      </c>
      <c r="R126" s="24">
        <v>0.5</v>
      </c>
      <c r="S126" s="32">
        <v>0</v>
      </c>
      <c r="T126" s="32">
        <v>1</v>
      </c>
      <c r="U126" s="23">
        <v>1</v>
      </c>
      <c r="V126" s="29">
        <v>0.5</v>
      </c>
      <c r="W126" s="32">
        <v>0</v>
      </c>
      <c r="X126" s="32">
        <v>1</v>
      </c>
      <c r="Y126" s="29">
        <v>1</v>
      </c>
      <c r="Z126" s="29">
        <v>1</v>
      </c>
      <c r="AA126" s="32"/>
      <c r="AB126" s="32">
        <v>0</v>
      </c>
      <c r="AC126" s="24">
        <v>1</v>
      </c>
      <c r="AD126" s="32">
        <v>1</v>
      </c>
      <c r="AE126" s="32">
        <v>0.5</v>
      </c>
      <c r="AF126" s="32">
        <v>1</v>
      </c>
      <c r="AG126" s="32">
        <v>0.5</v>
      </c>
      <c r="AH126" s="32">
        <v>1</v>
      </c>
      <c r="AI126" s="24">
        <v>1</v>
      </c>
      <c r="AJ126" s="32">
        <v>1</v>
      </c>
      <c r="AK126" s="32">
        <v>0.5</v>
      </c>
      <c r="AL126" s="32">
        <v>0.5</v>
      </c>
      <c r="AM126" s="32">
        <v>1</v>
      </c>
      <c r="AN126" s="24">
        <v>0.5</v>
      </c>
      <c r="AO126" s="32">
        <v>1</v>
      </c>
      <c r="AP126" s="32">
        <v>1</v>
      </c>
      <c r="AQ126" s="23">
        <v>1</v>
      </c>
      <c r="AR126" s="29">
        <v>0.5</v>
      </c>
      <c r="AS126" s="32">
        <v>0.5</v>
      </c>
      <c r="AT126" s="32">
        <v>1</v>
      </c>
      <c r="AU126" s="29">
        <v>0.5</v>
      </c>
      <c r="AV126" s="29">
        <v>0.5</v>
      </c>
      <c r="AW126" s="32"/>
      <c r="AX126" s="32">
        <v>0</v>
      </c>
      <c r="AY126" s="24">
        <v>1</v>
      </c>
      <c r="AZ126" s="32">
        <v>0.5</v>
      </c>
      <c r="BA126" s="32">
        <v>0.5</v>
      </c>
      <c r="BB126" s="32">
        <v>1</v>
      </c>
      <c r="BC126" s="32">
        <v>0.5</v>
      </c>
      <c r="BD126" s="32">
        <v>1</v>
      </c>
      <c r="BE126" s="24">
        <v>1</v>
      </c>
      <c r="BF126" s="32">
        <v>1</v>
      </c>
      <c r="BG126" s="32">
        <v>1</v>
      </c>
      <c r="BH126" s="32">
        <v>0.5</v>
      </c>
      <c r="BI126" s="32">
        <v>1</v>
      </c>
      <c r="BJ126" s="24">
        <v>0.5</v>
      </c>
      <c r="BK126" s="32">
        <v>0.5</v>
      </c>
      <c r="BL126" s="32">
        <v>1</v>
      </c>
      <c r="BM126" s="23">
        <v>1</v>
      </c>
      <c r="BN126" s="29">
        <v>0.5</v>
      </c>
      <c r="BO126" s="32">
        <v>0.5</v>
      </c>
      <c r="BP126" s="32">
        <v>1</v>
      </c>
      <c r="BQ126" s="29">
        <v>0.5</v>
      </c>
      <c r="BR126" s="29">
        <v>0.5</v>
      </c>
      <c r="BT126">
        <f t="shared" si="80"/>
        <v>63</v>
      </c>
      <c r="BU126">
        <f t="shared" si="81"/>
        <v>46.5</v>
      </c>
      <c r="BV126" s="25">
        <f t="shared" si="82"/>
        <v>0.73809523809523814</v>
      </c>
    </row>
    <row r="127" spans="2:74" ht="26.25" thickBot="1" x14ac:dyDescent="0.3">
      <c r="B127" s="33" t="s">
        <v>89</v>
      </c>
      <c r="D127" s="22">
        <v>37</v>
      </c>
      <c r="E127" s="32"/>
      <c r="F127" s="32">
        <v>1</v>
      </c>
      <c r="G127" s="24">
        <v>1</v>
      </c>
      <c r="H127" s="32">
        <v>1</v>
      </c>
      <c r="I127" s="32">
        <v>1</v>
      </c>
      <c r="J127" s="32">
        <v>0.5</v>
      </c>
      <c r="K127" s="32">
        <v>0.5</v>
      </c>
      <c r="L127" s="32">
        <v>1</v>
      </c>
      <c r="M127" s="24">
        <v>0.5</v>
      </c>
      <c r="N127" s="32">
        <v>0</v>
      </c>
      <c r="O127" s="44">
        <v>1</v>
      </c>
      <c r="P127" s="32">
        <v>1</v>
      </c>
      <c r="Q127" s="32">
        <v>0</v>
      </c>
      <c r="R127" s="24">
        <v>0.5</v>
      </c>
      <c r="S127" s="32">
        <v>0</v>
      </c>
      <c r="T127" s="32">
        <v>1</v>
      </c>
      <c r="U127" s="23">
        <v>1</v>
      </c>
      <c r="V127" s="29">
        <v>0.5</v>
      </c>
      <c r="W127" s="32">
        <v>0</v>
      </c>
      <c r="X127" s="32">
        <v>1</v>
      </c>
      <c r="Y127" s="29">
        <v>1</v>
      </c>
      <c r="Z127" s="29">
        <v>1</v>
      </c>
      <c r="AA127" s="32"/>
      <c r="AB127" s="32">
        <v>1</v>
      </c>
      <c r="AC127" s="24">
        <v>1</v>
      </c>
      <c r="AD127" s="32">
        <v>0.5</v>
      </c>
      <c r="AE127" s="32">
        <v>1</v>
      </c>
      <c r="AF127" s="32">
        <v>0.5</v>
      </c>
      <c r="AG127" s="32">
        <v>0.5</v>
      </c>
      <c r="AH127" s="32">
        <v>1</v>
      </c>
      <c r="AI127" s="24">
        <v>0.5</v>
      </c>
      <c r="AJ127" s="32">
        <v>0</v>
      </c>
      <c r="AK127" s="32">
        <v>0.5</v>
      </c>
      <c r="AL127" s="32">
        <v>0.5</v>
      </c>
      <c r="AM127" s="32">
        <v>0.5</v>
      </c>
      <c r="AN127" s="24">
        <v>0.5</v>
      </c>
      <c r="AO127" s="32">
        <v>1</v>
      </c>
      <c r="AP127" s="32">
        <v>1</v>
      </c>
      <c r="AQ127" s="23">
        <v>1</v>
      </c>
      <c r="AR127" s="29">
        <v>1</v>
      </c>
      <c r="AS127" s="32">
        <v>0</v>
      </c>
      <c r="AT127" s="32">
        <v>1</v>
      </c>
      <c r="AU127" s="29">
        <v>0.5</v>
      </c>
      <c r="AV127" s="29">
        <v>0.5</v>
      </c>
      <c r="AW127" s="32"/>
      <c r="AX127" s="32">
        <v>0.5</v>
      </c>
      <c r="AY127" s="24">
        <v>1</v>
      </c>
      <c r="AZ127" s="32">
        <v>0.5</v>
      </c>
      <c r="BA127" s="32">
        <v>1</v>
      </c>
      <c r="BB127" s="32">
        <v>0.5</v>
      </c>
      <c r="BC127" s="32">
        <v>0.5</v>
      </c>
      <c r="BD127" s="32">
        <v>1</v>
      </c>
      <c r="BE127" s="24">
        <v>0.5</v>
      </c>
      <c r="BF127" s="32">
        <v>0</v>
      </c>
      <c r="BG127" s="32">
        <v>1</v>
      </c>
      <c r="BH127" s="32">
        <v>0.5</v>
      </c>
      <c r="BI127" s="32">
        <v>0.5</v>
      </c>
      <c r="BJ127" s="24">
        <v>0.5</v>
      </c>
      <c r="BK127" s="32">
        <v>0.5</v>
      </c>
      <c r="BL127" s="32">
        <v>1</v>
      </c>
      <c r="BM127" s="23">
        <v>1</v>
      </c>
      <c r="BN127" s="29">
        <v>1</v>
      </c>
      <c r="BO127" s="32">
        <v>0</v>
      </c>
      <c r="BP127" s="32">
        <v>1</v>
      </c>
      <c r="BQ127" s="29">
        <v>0.5</v>
      </c>
      <c r="BR127" s="29">
        <v>0.5</v>
      </c>
      <c r="BT127">
        <f t="shared" si="80"/>
        <v>63</v>
      </c>
      <c r="BU127">
        <f t="shared" si="81"/>
        <v>42</v>
      </c>
      <c r="BV127" s="25">
        <f t="shared" si="82"/>
        <v>0.66666666666666663</v>
      </c>
    </row>
    <row r="128" spans="2:74" x14ac:dyDescent="0.25">
      <c r="E128" s="35"/>
      <c r="F128" s="35"/>
      <c r="G128" s="35"/>
      <c r="H128" s="35"/>
      <c r="I128" s="35"/>
      <c r="J128" s="35"/>
      <c r="K128" s="35"/>
      <c r="L128" s="35"/>
      <c r="M128" s="35"/>
      <c r="N128" s="35"/>
      <c r="O128" s="45"/>
      <c r="P128" s="35"/>
      <c r="Q128" s="35"/>
      <c r="R128" s="35"/>
      <c r="S128" s="35"/>
      <c r="U128" s="35"/>
      <c r="V128" s="35"/>
      <c r="W128" s="35"/>
      <c r="X128" s="35"/>
      <c r="Y128" s="35"/>
      <c r="Z128" s="35"/>
      <c r="AA128" s="35"/>
      <c r="AB128" s="35"/>
      <c r="AC128" s="35"/>
      <c r="AD128" s="35"/>
      <c r="AE128" s="35"/>
      <c r="AF128" s="35"/>
      <c r="AG128" s="35"/>
      <c r="AH128" s="35"/>
      <c r="AI128" s="35"/>
      <c r="AJ128" s="35"/>
      <c r="AK128" s="35"/>
      <c r="AL128" s="35"/>
      <c r="AM128" s="35"/>
      <c r="AN128" s="35"/>
      <c r="AO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M128" s="35"/>
      <c r="BN128" s="35"/>
      <c r="BO128" s="35"/>
      <c r="BP128" s="35"/>
      <c r="BQ128" s="35"/>
      <c r="BR128" s="35"/>
    </row>
    <row r="129" spans="2:77" x14ac:dyDescent="0.2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row>
    <row r="130" spans="2:77" x14ac:dyDescent="0.2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row>
    <row r="131" spans="2:77" ht="15.75" thickBot="1" x14ac:dyDescent="0.3">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row>
    <row r="132" spans="2:77" ht="16.5" thickTop="1" thickBot="1" x14ac:dyDescent="0.3">
      <c r="B132" s="5" t="s">
        <v>94</v>
      </c>
      <c r="E132" s="36" t="s">
        <v>11</v>
      </c>
      <c r="F132" s="36"/>
      <c r="G132" s="36"/>
      <c r="H132" s="36"/>
      <c r="I132" s="36"/>
      <c r="J132" s="36"/>
      <c r="K132" s="36"/>
      <c r="L132" s="36"/>
      <c r="M132" s="36"/>
      <c r="N132" s="36"/>
      <c r="O132" s="36"/>
      <c r="P132" s="36"/>
      <c r="Q132" s="36"/>
      <c r="R132" s="36"/>
      <c r="S132" s="36"/>
      <c r="T132" s="36"/>
      <c r="U132" s="36"/>
      <c r="V132" s="36"/>
      <c r="W132" s="36"/>
      <c r="X132" s="36"/>
      <c r="Y132" s="36"/>
      <c r="Z132" s="36"/>
      <c r="AA132" s="37" t="s">
        <v>12</v>
      </c>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8" t="s">
        <v>13</v>
      </c>
      <c r="AX132" s="38"/>
      <c r="AY132" s="38"/>
      <c r="AZ132" s="38"/>
      <c r="BA132" s="38"/>
      <c r="BB132" s="38"/>
      <c r="BC132" s="38"/>
      <c r="BD132" s="38"/>
      <c r="BE132" s="38"/>
      <c r="BF132" s="38"/>
      <c r="BG132" s="38"/>
      <c r="BH132" s="38"/>
      <c r="BI132" s="38"/>
      <c r="BJ132" s="38"/>
      <c r="BK132" s="38"/>
      <c r="BL132" s="38"/>
      <c r="BM132" s="38"/>
      <c r="BN132" s="38"/>
      <c r="BO132" s="38"/>
      <c r="BP132" s="38"/>
      <c r="BQ132" s="38"/>
      <c r="BR132" s="38"/>
    </row>
    <row r="133" spans="2:77" ht="16.5" thickTop="1" thickBot="1" x14ac:dyDescent="0.3">
      <c r="D133" s="6"/>
      <c r="E133" s="36" t="s">
        <v>22</v>
      </c>
      <c r="F133" s="36" t="s">
        <v>23</v>
      </c>
      <c r="G133" s="36" t="s">
        <v>24</v>
      </c>
      <c r="H133" s="36" t="s">
        <v>25</v>
      </c>
      <c r="I133" s="36" t="s">
        <v>26</v>
      </c>
      <c r="J133" s="36" t="s">
        <v>27</v>
      </c>
      <c r="K133" s="36" t="s">
        <v>28</v>
      </c>
      <c r="L133" s="36" t="s">
        <v>29</v>
      </c>
      <c r="M133" s="36" t="s">
        <v>30</v>
      </c>
      <c r="N133" s="36" t="s">
        <v>31</v>
      </c>
      <c r="O133" s="36" t="s">
        <v>103</v>
      </c>
      <c r="P133" s="36" t="s">
        <v>32</v>
      </c>
      <c r="Q133" s="36" t="s">
        <v>33</v>
      </c>
      <c r="R133" s="36" t="s">
        <v>104</v>
      </c>
      <c r="S133" s="36" t="s">
        <v>34</v>
      </c>
      <c r="T133" s="36" t="s">
        <v>35</v>
      </c>
      <c r="U133" s="36" t="s">
        <v>35</v>
      </c>
      <c r="V133" s="36" t="s">
        <v>36</v>
      </c>
      <c r="W133" s="36" t="s">
        <v>37</v>
      </c>
      <c r="X133" s="36" t="s">
        <v>38</v>
      </c>
      <c r="Y133" s="36" t="s">
        <v>39</v>
      </c>
      <c r="Z133" s="36" t="s">
        <v>40</v>
      </c>
      <c r="AA133" s="36" t="s">
        <v>22</v>
      </c>
      <c r="AB133" s="36" t="s">
        <v>23</v>
      </c>
      <c r="AC133" s="36" t="s">
        <v>24</v>
      </c>
      <c r="AD133" s="36" t="s">
        <v>25</v>
      </c>
      <c r="AE133" s="36" t="s">
        <v>26</v>
      </c>
      <c r="AF133" s="36" t="s">
        <v>27</v>
      </c>
      <c r="AG133" s="36" t="s">
        <v>28</v>
      </c>
      <c r="AH133" s="36" t="s">
        <v>29</v>
      </c>
      <c r="AI133" s="36" t="s">
        <v>30</v>
      </c>
      <c r="AJ133" s="36" t="s">
        <v>31</v>
      </c>
      <c r="AK133" s="36" t="s">
        <v>103</v>
      </c>
      <c r="AL133" s="36" t="s">
        <v>32</v>
      </c>
      <c r="AM133" s="36" t="s">
        <v>33</v>
      </c>
      <c r="AN133" s="36" t="s">
        <v>104</v>
      </c>
      <c r="AO133" s="36" t="s">
        <v>34</v>
      </c>
      <c r="AP133" s="36" t="s">
        <v>35</v>
      </c>
      <c r="AQ133" s="36" t="s">
        <v>35</v>
      </c>
      <c r="AR133" s="36" t="s">
        <v>36</v>
      </c>
      <c r="AS133" s="36" t="s">
        <v>37</v>
      </c>
      <c r="AT133" s="36" t="s">
        <v>38</v>
      </c>
      <c r="AU133" s="36" t="s">
        <v>39</v>
      </c>
      <c r="AV133" s="36" t="s">
        <v>40</v>
      </c>
      <c r="AW133" s="36" t="s">
        <v>22</v>
      </c>
      <c r="AX133" s="36" t="s">
        <v>23</v>
      </c>
      <c r="AY133" s="36" t="s">
        <v>24</v>
      </c>
      <c r="AZ133" s="36" t="s">
        <v>25</v>
      </c>
      <c r="BA133" s="36" t="s">
        <v>26</v>
      </c>
      <c r="BB133" s="36" t="s">
        <v>27</v>
      </c>
      <c r="BC133" s="36" t="s">
        <v>28</v>
      </c>
      <c r="BD133" s="36" t="s">
        <v>29</v>
      </c>
      <c r="BE133" s="36" t="s">
        <v>30</v>
      </c>
      <c r="BF133" s="36" t="s">
        <v>31</v>
      </c>
      <c r="BG133" s="36" t="s">
        <v>103</v>
      </c>
      <c r="BH133" s="36" t="s">
        <v>32</v>
      </c>
      <c r="BI133" s="36" t="s">
        <v>33</v>
      </c>
      <c r="BJ133" s="36" t="s">
        <v>104</v>
      </c>
      <c r="BK133" s="36" t="s">
        <v>34</v>
      </c>
      <c r="BL133" s="36" t="s">
        <v>35</v>
      </c>
      <c r="BM133" s="36" t="s">
        <v>35</v>
      </c>
      <c r="BN133" s="36" t="s">
        <v>36</v>
      </c>
      <c r="BO133" s="36" t="s">
        <v>37</v>
      </c>
      <c r="BP133" s="36" t="s">
        <v>38</v>
      </c>
      <c r="BQ133" s="36" t="s">
        <v>39</v>
      </c>
      <c r="BR133" s="36" t="s">
        <v>40</v>
      </c>
      <c r="BS133" s="12"/>
      <c r="BT133" s="13" t="s">
        <v>41</v>
      </c>
      <c r="BU133" s="14" t="s">
        <v>42</v>
      </c>
      <c r="BV133" s="15" t="s">
        <v>43</v>
      </c>
      <c r="BW133" s="12"/>
      <c r="BX133" s="16" t="s">
        <v>44</v>
      </c>
      <c r="BY133" s="16"/>
    </row>
    <row r="134" spans="2:77" ht="26.25" thickBot="1" x14ac:dyDescent="0.3">
      <c r="B134" s="21" t="s">
        <v>49</v>
      </c>
      <c r="D134" s="22">
        <v>1</v>
      </c>
      <c r="E134" s="24">
        <v>1</v>
      </c>
      <c r="F134" s="24">
        <v>1</v>
      </c>
      <c r="G134" s="24">
        <v>1</v>
      </c>
      <c r="H134" s="24">
        <v>1</v>
      </c>
      <c r="I134" s="24">
        <v>1</v>
      </c>
      <c r="J134" s="24">
        <v>1</v>
      </c>
      <c r="K134" s="24">
        <v>1</v>
      </c>
      <c r="L134" s="24">
        <v>1</v>
      </c>
      <c r="M134" s="24">
        <v>0.5</v>
      </c>
      <c r="N134" s="24">
        <v>1</v>
      </c>
      <c r="O134" s="24">
        <v>1</v>
      </c>
      <c r="P134" s="24">
        <v>1</v>
      </c>
      <c r="Q134" s="24">
        <v>1</v>
      </c>
      <c r="R134" s="24">
        <v>0.5</v>
      </c>
      <c r="S134" s="24">
        <v>1</v>
      </c>
      <c r="T134" s="24">
        <v>1</v>
      </c>
      <c r="U134" s="23">
        <v>1</v>
      </c>
      <c r="V134" s="24">
        <v>1</v>
      </c>
      <c r="W134" s="24">
        <v>0</v>
      </c>
      <c r="X134" s="24">
        <v>1</v>
      </c>
      <c r="Y134" s="24">
        <v>0.5</v>
      </c>
      <c r="Z134" s="24">
        <v>0.5</v>
      </c>
      <c r="AA134" s="24">
        <v>1</v>
      </c>
      <c r="AB134" s="24">
        <v>0.5</v>
      </c>
      <c r="AC134" s="24">
        <v>1</v>
      </c>
      <c r="AD134" s="24">
        <v>0.5</v>
      </c>
      <c r="AE134" s="24">
        <v>1</v>
      </c>
      <c r="AF134" s="24">
        <v>1</v>
      </c>
      <c r="AG134" s="24">
        <v>1</v>
      </c>
      <c r="AH134" s="24">
        <v>0.5</v>
      </c>
      <c r="AI134" s="24">
        <v>0.5</v>
      </c>
      <c r="AJ134" s="24">
        <v>1</v>
      </c>
      <c r="AK134" s="24">
        <v>0.5</v>
      </c>
      <c r="AL134" s="24">
        <v>0.5</v>
      </c>
      <c r="AM134" s="24">
        <v>0.5</v>
      </c>
      <c r="AN134" s="24">
        <v>0.5</v>
      </c>
      <c r="AO134" s="24">
        <v>1</v>
      </c>
      <c r="AP134" s="24">
        <v>1</v>
      </c>
      <c r="AQ134" s="23">
        <v>1</v>
      </c>
      <c r="AR134" s="24">
        <v>1</v>
      </c>
      <c r="AS134" s="24">
        <v>0.5</v>
      </c>
      <c r="AT134" s="24">
        <v>1</v>
      </c>
      <c r="AU134" s="24">
        <v>1</v>
      </c>
      <c r="AV134" s="24">
        <v>1</v>
      </c>
      <c r="AW134" s="24">
        <v>1</v>
      </c>
      <c r="AX134" s="24">
        <v>1</v>
      </c>
      <c r="AY134" s="24">
        <v>1</v>
      </c>
      <c r="AZ134" s="24">
        <v>1</v>
      </c>
      <c r="BA134" s="24">
        <v>1</v>
      </c>
      <c r="BB134" s="24">
        <v>1</v>
      </c>
      <c r="BC134" s="24">
        <v>1</v>
      </c>
      <c r="BD134" s="24">
        <v>0.5</v>
      </c>
      <c r="BE134" s="24">
        <v>0.5</v>
      </c>
      <c r="BF134" s="24">
        <v>1</v>
      </c>
      <c r="BG134" s="24">
        <v>0.5</v>
      </c>
      <c r="BH134" s="24">
        <v>0.5</v>
      </c>
      <c r="BI134" s="24">
        <v>1</v>
      </c>
      <c r="BJ134" s="24">
        <v>0.5</v>
      </c>
      <c r="BK134" s="24">
        <v>1</v>
      </c>
      <c r="BL134" s="24">
        <v>1</v>
      </c>
      <c r="BM134" s="23">
        <v>1</v>
      </c>
      <c r="BN134" s="24">
        <v>1</v>
      </c>
      <c r="BO134" s="24">
        <v>0</v>
      </c>
      <c r="BP134" s="24">
        <v>1</v>
      </c>
      <c r="BQ134" s="24">
        <v>1</v>
      </c>
      <c r="BR134" s="24">
        <v>1</v>
      </c>
      <c r="BT134">
        <f t="shared" ref="BT134:BT170" si="83">COUNT(E134:BS134)</f>
        <v>66</v>
      </c>
      <c r="BU134">
        <f t="shared" ref="BU134:BU170" si="84">SUM(E134:BR134)</f>
        <v>55</v>
      </c>
      <c r="BV134" s="25">
        <f>BU134/BT134</f>
        <v>0.83333333333333337</v>
      </c>
      <c r="BX134" s="25">
        <f>AVERAGE(BV134:BV170)</f>
        <v>0.70528557234020661</v>
      </c>
      <c r="BY134" t="s">
        <v>50</v>
      </c>
    </row>
    <row r="135" spans="2:77" ht="26.25" thickBot="1" x14ac:dyDescent="0.3">
      <c r="B135" s="26" t="s">
        <v>51</v>
      </c>
      <c r="D135" s="22">
        <v>2</v>
      </c>
      <c r="E135" s="24">
        <v>1</v>
      </c>
      <c r="F135" s="24">
        <v>1</v>
      </c>
      <c r="G135" s="24">
        <v>1</v>
      </c>
      <c r="H135" s="24">
        <v>1</v>
      </c>
      <c r="I135" s="24">
        <v>1</v>
      </c>
      <c r="J135" s="24">
        <v>1</v>
      </c>
      <c r="K135" s="24">
        <v>1</v>
      </c>
      <c r="L135" s="24">
        <v>1</v>
      </c>
      <c r="M135" s="24">
        <v>0.5</v>
      </c>
      <c r="N135" s="24">
        <v>1</v>
      </c>
      <c r="O135" s="24">
        <v>0</v>
      </c>
      <c r="P135" s="24">
        <v>1</v>
      </c>
      <c r="Q135" s="24">
        <v>1</v>
      </c>
      <c r="R135" s="24">
        <v>0.5</v>
      </c>
      <c r="S135" s="24">
        <v>1</v>
      </c>
      <c r="T135" s="24">
        <v>1</v>
      </c>
      <c r="U135" s="23">
        <v>1</v>
      </c>
      <c r="V135" s="24">
        <v>1</v>
      </c>
      <c r="W135" s="24">
        <v>0</v>
      </c>
      <c r="X135" s="24">
        <v>1</v>
      </c>
      <c r="Y135" s="24">
        <v>0.5</v>
      </c>
      <c r="Z135" s="24">
        <v>0.5</v>
      </c>
      <c r="AA135" s="24">
        <v>1</v>
      </c>
      <c r="AB135" s="24">
        <v>0.5</v>
      </c>
      <c r="AC135" s="24">
        <v>1</v>
      </c>
      <c r="AD135" s="24">
        <v>0.5</v>
      </c>
      <c r="AE135" s="24">
        <v>1</v>
      </c>
      <c r="AF135" s="24">
        <v>1</v>
      </c>
      <c r="AG135" s="24">
        <v>1</v>
      </c>
      <c r="AH135" s="24">
        <v>0.5</v>
      </c>
      <c r="AI135" s="24">
        <v>0.5</v>
      </c>
      <c r="AJ135" s="24">
        <v>1</v>
      </c>
      <c r="AK135" s="24">
        <v>0.5</v>
      </c>
      <c r="AL135" s="24">
        <v>0.5</v>
      </c>
      <c r="AM135" s="24">
        <v>0.5</v>
      </c>
      <c r="AN135" s="24">
        <v>0.5</v>
      </c>
      <c r="AO135" s="24">
        <v>1</v>
      </c>
      <c r="AP135" s="24">
        <v>1</v>
      </c>
      <c r="AQ135" s="23">
        <v>1</v>
      </c>
      <c r="AR135" s="24">
        <v>1</v>
      </c>
      <c r="AS135" s="24">
        <v>0</v>
      </c>
      <c r="AT135" s="24">
        <v>1</v>
      </c>
      <c r="AU135" s="24">
        <v>1</v>
      </c>
      <c r="AV135" s="24">
        <v>1</v>
      </c>
      <c r="AW135" s="24">
        <v>1</v>
      </c>
      <c r="AX135" s="24">
        <v>1</v>
      </c>
      <c r="AY135" s="24">
        <v>1</v>
      </c>
      <c r="AZ135" s="24">
        <v>1</v>
      </c>
      <c r="BA135" s="24">
        <v>1</v>
      </c>
      <c r="BB135" s="24">
        <v>1</v>
      </c>
      <c r="BC135" s="24">
        <v>1</v>
      </c>
      <c r="BD135" s="24">
        <v>0.5</v>
      </c>
      <c r="BE135" s="24">
        <v>0.5</v>
      </c>
      <c r="BF135" s="24">
        <v>1</v>
      </c>
      <c r="BG135" s="24">
        <v>0.5</v>
      </c>
      <c r="BH135" s="24">
        <v>0.5</v>
      </c>
      <c r="BI135" s="24">
        <v>1</v>
      </c>
      <c r="BJ135" s="24">
        <v>0.5</v>
      </c>
      <c r="BK135" s="24">
        <v>1</v>
      </c>
      <c r="BL135" s="24">
        <v>1</v>
      </c>
      <c r="BM135" s="23">
        <v>1</v>
      </c>
      <c r="BN135" s="24">
        <v>1</v>
      </c>
      <c r="BO135" s="24">
        <v>0</v>
      </c>
      <c r="BP135" s="24">
        <v>1</v>
      </c>
      <c r="BQ135" s="24">
        <v>1</v>
      </c>
      <c r="BR135" s="24">
        <v>1</v>
      </c>
      <c r="BT135">
        <f t="shared" si="83"/>
        <v>66</v>
      </c>
      <c r="BU135">
        <f t="shared" si="84"/>
        <v>53.5</v>
      </c>
      <c r="BV135" s="25">
        <f t="shared" ref="BV135:BV170" si="85">BU135/BT135</f>
        <v>0.81060606060606055</v>
      </c>
      <c r="BX135">
        <f>STDEV(BV134:BV170)</f>
        <v>8.6614025079720686E-2</v>
      </c>
      <c r="BY135" t="s">
        <v>52</v>
      </c>
    </row>
    <row r="136" spans="2:77" ht="39" thickBot="1" x14ac:dyDescent="0.3">
      <c r="B136" s="27" t="s">
        <v>53</v>
      </c>
      <c r="D136" s="22">
        <v>3</v>
      </c>
      <c r="E136" s="29">
        <v>1</v>
      </c>
      <c r="F136" s="29">
        <v>1</v>
      </c>
      <c r="G136" s="24">
        <v>1</v>
      </c>
      <c r="H136" s="29">
        <v>1</v>
      </c>
      <c r="I136" s="29">
        <v>1</v>
      </c>
      <c r="J136" s="29">
        <v>1</v>
      </c>
      <c r="K136" s="29">
        <v>1</v>
      </c>
      <c r="L136" s="29">
        <v>1</v>
      </c>
      <c r="M136" s="24">
        <v>0.5</v>
      </c>
      <c r="N136" s="29">
        <v>1</v>
      </c>
      <c r="O136" s="29">
        <v>0</v>
      </c>
      <c r="P136" s="29">
        <v>1</v>
      </c>
      <c r="Q136" s="29">
        <v>0.5</v>
      </c>
      <c r="R136" s="29">
        <v>0.5</v>
      </c>
      <c r="S136" s="29">
        <v>1</v>
      </c>
      <c r="T136" s="29">
        <v>1</v>
      </c>
      <c r="U136" s="23">
        <v>1</v>
      </c>
      <c r="V136" s="24">
        <v>1</v>
      </c>
      <c r="W136" s="29">
        <v>0</v>
      </c>
      <c r="X136" s="29">
        <v>1</v>
      </c>
      <c r="Y136" s="24">
        <v>0.5</v>
      </c>
      <c r="Z136" s="24">
        <v>0.5</v>
      </c>
      <c r="AA136" s="29">
        <v>1</v>
      </c>
      <c r="AB136" s="29">
        <v>0.5</v>
      </c>
      <c r="AC136" s="24">
        <v>1</v>
      </c>
      <c r="AD136" s="29">
        <v>0.5</v>
      </c>
      <c r="AE136" s="29">
        <v>1</v>
      </c>
      <c r="AF136" s="29">
        <v>1</v>
      </c>
      <c r="AG136" s="29">
        <v>1</v>
      </c>
      <c r="AH136" s="29">
        <v>0</v>
      </c>
      <c r="AI136" s="24">
        <v>0.5</v>
      </c>
      <c r="AJ136" s="29">
        <v>1</v>
      </c>
      <c r="AK136" s="29">
        <v>0.5</v>
      </c>
      <c r="AL136" s="29">
        <v>0</v>
      </c>
      <c r="AM136" s="29">
        <v>0</v>
      </c>
      <c r="AN136" s="29">
        <v>0.5</v>
      </c>
      <c r="AO136" s="29">
        <v>1</v>
      </c>
      <c r="AP136" s="29">
        <v>1</v>
      </c>
      <c r="AQ136" s="23">
        <v>1</v>
      </c>
      <c r="AR136" s="24">
        <v>1</v>
      </c>
      <c r="AS136" s="29">
        <v>0</v>
      </c>
      <c r="AT136" s="29">
        <v>0</v>
      </c>
      <c r="AU136" s="24">
        <v>1</v>
      </c>
      <c r="AV136" s="24">
        <v>1</v>
      </c>
      <c r="AW136" s="29"/>
      <c r="AX136" s="29">
        <v>1</v>
      </c>
      <c r="AY136" s="24">
        <v>1</v>
      </c>
      <c r="AZ136" s="29">
        <v>1</v>
      </c>
      <c r="BA136" s="29">
        <v>1</v>
      </c>
      <c r="BB136" s="29">
        <v>1</v>
      </c>
      <c r="BC136" s="29">
        <v>1</v>
      </c>
      <c r="BD136" s="29">
        <v>1</v>
      </c>
      <c r="BE136" s="24">
        <v>0.5</v>
      </c>
      <c r="BF136" s="29">
        <v>1</v>
      </c>
      <c r="BG136" s="29">
        <v>0.5</v>
      </c>
      <c r="BH136" s="29">
        <v>1</v>
      </c>
      <c r="BI136" s="29">
        <v>0.5</v>
      </c>
      <c r="BJ136" s="29">
        <v>0.5</v>
      </c>
      <c r="BK136" s="29">
        <v>1</v>
      </c>
      <c r="BL136" s="29">
        <v>1</v>
      </c>
      <c r="BM136" s="23">
        <v>1</v>
      </c>
      <c r="BN136" s="24">
        <v>1</v>
      </c>
      <c r="BO136" s="29">
        <v>0</v>
      </c>
      <c r="BP136" s="29">
        <v>0</v>
      </c>
      <c r="BQ136" s="24">
        <v>1</v>
      </c>
      <c r="BR136" s="24">
        <v>1</v>
      </c>
      <c r="BT136">
        <f t="shared" si="83"/>
        <v>65</v>
      </c>
      <c r="BU136">
        <f t="shared" si="84"/>
        <v>49</v>
      </c>
      <c r="BV136" s="25">
        <f t="shared" si="85"/>
        <v>0.75384615384615383</v>
      </c>
      <c r="BX136" s="25">
        <f>MIN(BV134:BV170)</f>
        <v>0.52586206896551724</v>
      </c>
      <c r="BY136" t="s">
        <v>54</v>
      </c>
    </row>
    <row r="137" spans="2:77" ht="39" thickBot="1" x14ac:dyDescent="0.3">
      <c r="B137" s="21" t="s">
        <v>55</v>
      </c>
      <c r="D137" s="22">
        <v>4</v>
      </c>
      <c r="E137" s="29">
        <v>0.5</v>
      </c>
      <c r="F137" s="29">
        <v>0.5</v>
      </c>
      <c r="G137" s="24">
        <v>1</v>
      </c>
      <c r="H137" s="29">
        <v>1</v>
      </c>
      <c r="I137" s="29">
        <v>0.5</v>
      </c>
      <c r="J137" s="29">
        <v>1</v>
      </c>
      <c r="K137" s="29"/>
      <c r="L137" s="29">
        <v>1</v>
      </c>
      <c r="M137" s="24">
        <v>0.5</v>
      </c>
      <c r="N137" s="29">
        <v>1</v>
      </c>
      <c r="O137" s="29">
        <v>0</v>
      </c>
      <c r="P137" s="29">
        <v>1</v>
      </c>
      <c r="Q137" s="29">
        <v>0</v>
      </c>
      <c r="R137" s="29">
        <v>0.5</v>
      </c>
      <c r="S137" s="29">
        <v>1</v>
      </c>
      <c r="T137" s="29">
        <v>0</v>
      </c>
      <c r="U137" s="23">
        <v>1</v>
      </c>
      <c r="V137" s="29">
        <v>0.5</v>
      </c>
      <c r="W137" s="29">
        <v>0.5</v>
      </c>
      <c r="X137" s="29">
        <v>1</v>
      </c>
      <c r="Y137" s="29">
        <v>0.5</v>
      </c>
      <c r="Z137" s="29">
        <v>0.5</v>
      </c>
      <c r="AA137" s="29">
        <v>0.5</v>
      </c>
      <c r="AB137" s="29">
        <v>0.5</v>
      </c>
      <c r="AC137" s="24">
        <v>1</v>
      </c>
      <c r="AD137" s="29">
        <v>0.5</v>
      </c>
      <c r="AE137" s="29">
        <v>0.5</v>
      </c>
      <c r="AF137" s="29">
        <v>1</v>
      </c>
      <c r="AG137" s="29"/>
      <c r="AH137" s="29">
        <v>0.5</v>
      </c>
      <c r="AI137" s="24">
        <v>0.5</v>
      </c>
      <c r="AJ137" s="29">
        <v>1</v>
      </c>
      <c r="AK137" s="29">
        <v>0.5</v>
      </c>
      <c r="AL137" s="29">
        <v>0</v>
      </c>
      <c r="AM137" s="29">
        <v>0</v>
      </c>
      <c r="AN137" s="29">
        <v>0.5</v>
      </c>
      <c r="AO137" s="29">
        <v>1</v>
      </c>
      <c r="AP137" s="29">
        <v>0</v>
      </c>
      <c r="AQ137" s="23">
        <v>1</v>
      </c>
      <c r="AR137" s="29">
        <v>0.5</v>
      </c>
      <c r="AS137" s="29">
        <v>0.5</v>
      </c>
      <c r="AT137" s="29">
        <v>1</v>
      </c>
      <c r="AU137" s="29">
        <v>0.5</v>
      </c>
      <c r="AV137" s="29">
        <v>0.5</v>
      </c>
      <c r="AW137" s="29"/>
      <c r="AX137" s="29">
        <v>0.5</v>
      </c>
      <c r="AY137" s="24">
        <v>1</v>
      </c>
      <c r="AZ137" s="29">
        <v>1</v>
      </c>
      <c r="BA137" s="29">
        <v>0.5</v>
      </c>
      <c r="BB137" s="29">
        <v>1</v>
      </c>
      <c r="BC137" s="29"/>
      <c r="BD137" s="29">
        <v>1</v>
      </c>
      <c r="BE137" s="24">
        <v>0.5</v>
      </c>
      <c r="BF137" s="29">
        <v>1</v>
      </c>
      <c r="BG137" s="29">
        <v>0.5</v>
      </c>
      <c r="BH137" s="29">
        <v>1</v>
      </c>
      <c r="BI137" s="29">
        <v>0</v>
      </c>
      <c r="BJ137" s="29">
        <v>0.5</v>
      </c>
      <c r="BK137" s="29">
        <v>1</v>
      </c>
      <c r="BL137" s="29">
        <v>0</v>
      </c>
      <c r="BM137" s="23">
        <v>1</v>
      </c>
      <c r="BN137" s="29">
        <v>0.5</v>
      </c>
      <c r="BO137" s="29">
        <v>0</v>
      </c>
      <c r="BP137" s="29">
        <v>1</v>
      </c>
      <c r="BQ137" s="29">
        <v>0.5</v>
      </c>
      <c r="BR137" s="29">
        <v>0.5</v>
      </c>
      <c r="BT137">
        <f t="shared" si="83"/>
        <v>62</v>
      </c>
      <c r="BU137">
        <f t="shared" si="84"/>
        <v>38.5</v>
      </c>
      <c r="BV137" s="25">
        <f t="shared" si="85"/>
        <v>0.62096774193548387</v>
      </c>
      <c r="BX137" s="25">
        <f>MAX(BV134:BV170)</f>
        <v>0.84920634920634919</v>
      </c>
      <c r="BY137" t="s">
        <v>56</v>
      </c>
    </row>
    <row r="138" spans="2:77" ht="51.75" thickBot="1" x14ac:dyDescent="0.3">
      <c r="B138" s="30" t="s">
        <v>57</v>
      </c>
      <c r="D138" s="22">
        <v>5</v>
      </c>
      <c r="E138" s="32">
        <v>0.5</v>
      </c>
      <c r="F138" s="32">
        <v>1</v>
      </c>
      <c r="G138" s="24">
        <v>1</v>
      </c>
      <c r="H138" s="32">
        <v>1</v>
      </c>
      <c r="I138" s="32">
        <v>0.5</v>
      </c>
      <c r="J138" s="32">
        <v>1</v>
      </c>
      <c r="K138" s="32">
        <v>1</v>
      </c>
      <c r="L138" s="32">
        <v>0.5</v>
      </c>
      <c r="M138" s="24">
        <v>0.5</v>
      </c>
      <c r="N138" s="32">
        <v>1</v>
      </c>
      <c r="O138" s="32">
        <v>0</v>
      </c>
      <c r="P138" s="32">
        <v>0.5</v>
      </c>
      <c r="Q138" s="32">
        <v>0.5</v>
      </c>
      <c r="R138" s="32">
        <v>0.5</v>
      </c>
      <c r="S138" s="32">
        <v>1</v>
      </c>
      <c r="T138" s="32">
        <v>1</v>
      </c>
      <c r="U138" s="23">
        <v>1</v>
      </c>
      <c r="V138" s="29">
        <v>0.5</v>
      </c>
      <c r="W138" s="32">
        <v>0.5</v>
      </c>
      <c r="X138" s="32">
        <v>1</v>
      </c>
      <c r="Y138" s="29">
        <v>1</v>
      </c>
      <c r="Z138" s="29">
        <v>1</v>
      </c>
      <c r="AA138" s="32">
        <v>0.5</v>
      </c>
      <c r="AB138" s="32">
        <v>1</v>
      </c>
      <c r="AC138" s="24">
        <v>1</v>
      </c>
      <c r="AD138" s="32">
        <v>0.5</v>
      </c>
      <c r="AE138" s="32">
        <v>0.5</v>
      </c>
      <c r="AF138" s="32">
        <v>1</v>
      </c>
      <c r="AG138" s="32">
        <v>1</v>
      </c>
      <c r="AH138" s="32">
        <v>0.5</v>
      </c>
      <c r="AI138" s="24">
        <v>0.5</v>
      </c>
      <c r="AJ138" s="32">
        <v>1</v>
      </c>
      <c r="AK138" s="32">
        <v>0.5</v>
      </c>
      <c r="AL138" s="32">
        <v>0.5</v>
      </c>
      <c r="AM138" s="32">
        <v>0</v>
      </c>
      <c r="AN138" s="32">
        <v>0.5</v>
      </c>
      <c r="AO138" s="32">
        <v>1</v>
      </c>
      <c r="AP138" s="32">
        <v>1</v>
      </c>
      <c r="AQ138" s="23">
        <v>1</v>
      </c>
      <c r="AR138" s="29">
        <v>0.5</v>
      </c>
      <c r="AS138" s="32">
        <v>0</v>
      </c>
      <c r="AT138" s="32">
        <v>0</v>
      </c>
      <c r="AU138" s="29">
        <v>0.5</v>
      </c>
      <c r="AV138" s="29">
        <v>0.5</v>
      </c>
      <c r="AW138" s="32"/>
      <c r="AX138" s="32">
        <v>1</v>
      </c>
      <c r="AY138" s="24">
        <v>1</v>
      </c>
      <c r="AZ138" s="32">
        <v>1</v>
      </c>
      <c r="BA138" s="32">
        <v>0.5</v>
      </c>
      <c r="BB138" s="32">
        <v>1</v>
      </c>
      <c r="BC138" s="32">
        <v>1</v>
      </c>
      <c r="BD138" s="32">
        <v>1</v>
      </c>
      <c r="BE138" s="24">
        <v>0.5</v>
      </c>
      <c r="BF138" s="32">
        <v>1</v>
      </c>
      <c r="BG138" s="32">
        <v>0.5</v>
      </c>
      <c r="BH138" s="32">
        <v>0.5</v>
      </c>
      <c r="BI138" s="32">
        <v>0.5</v>
      </c>
      <c r="BJ138" s="32">
        <v>0.5</v>
      </c>
      <c r="BK138" s="32">
        <v>1</v>
      </c>
      <c r="BL138" s="32">
        <v>1</v>
      </c>
      <c r="BM138" s="23">
        <v>1</v>
      </c>
      <c r="BN138" s="29">
        <v>0.5</v>
      </c>
      <c r="BO138" s="32">
        <v>0</v>
      </c>
      <c r="BP138" s="32">
        <v>0</v>
      </c>
      <c r="BQ138" s="29">
        <v>1</v>
      </c>
      <c r="BR138" s="29">
        <v>1</v>
      </c>
      <c r="BT138">
        <f t="shared" si="83"/>
        <v>65</v>
      </c>
      <c r="BU138">
        <f t="shared" si="84"/>
        <v>45.5</v>
      </c>
      <c r="BV138" s="25">
        <f t="shared" si="85"/>
        <v>0.7</v>
      </c>
    </row>
    <row r="139" spans="2:77" ht="39" thickBot="1" x14ac:dyDescent="0.3">
      <c r="B139" s="26" t="s">
        <v>58</v>
      </c>
      <c r="D139" s="22">
        <v>6</v>
      </c>
      <c r="E139" s="32">
        <v>0.5</v>
      </c>
      <c r="F139" s="32">
        <v>0.5</v>
      </c>
      <c r="G139" s="24">
        <v>1</v>
      </c>
      <c r="H139" s="32">
        <v>1</v>
      </c>
      <c r="I139" s="32">
        <v>0.5</v>
      </c>
      <c r="J139" s="32">
        <v>1</v>
      </c>
      <c r="K139" s="32">
        <v>1</v>
      </c>
      <c r="L139" s="32">
        <v>0.5</v>
      </c>
      <c r="M139" s="24">
        <v>0.5</v>
      </c>
      <c r="N139" s="32">
        <v>1</v>
      </c>
      <c r="O139" s="32">
        <v>0</v>
      </c>
      <c r="P139" s="32">
        <v>0.5</v>
      </c>
      <c r="Q139" s="32">
        <v>1</v>
      </c>
      <c r="R139" s="32">
        <v>0.5</v>
      </c>
      <c r="S139" s="32">
        <v>1</v>
      </c>
      <c r="T139" s="32">
        <v>1</v>
      </c>
      <c r="U139" s="23">
        <v>1</v>
      </c>
      <c r="V139" s="29">
        <v>0.5</v>
      </c>
      <c r="W139" s="32">
        <v>0</v>
      </c>
      <c r="X139" s="32">
        <v>1</v>
      </c>
      <c r="Y139" s="29">
        <v>1</v>
      </c>
      <c r="Z139" s="29">
        <v>1</v>
      </c>
      <c r="AA139" s="32">
        <v>0.5</v>
      </c>
      <c r="AB139" s="32">
        <v>0.5</v>
      </c>
      <c r="AC139" s="24">
        <v>1</v>
      </c>
      <c r="AD139" s="32">
        <v>1</v>
      </c>
      <c r="AE139" s="32">
        <v>0.5</v>
      </c>
      <c r="AF139" s="32">
        <v>1</v>
      </c>
      <c r="AG139" s="32">
        <v>1</v>
      </c>
      <c r="AH139" s="32">
        <v>0.5</v>
      </c>
      <c r="AI139" s="24">
        <v>0.5</v>
      </c>
      <c r="AJ139" s="32">
        <v>0.5</v>
      </c>
      <c r="AK139" s="32">
        <v>0.5</v>
      </c>
      <c r="AL139" s="32">
        <v>0.5</v>
      </c>
      <c r="AM139" s="32">
        <v>0.5</v>
      </c>
      <c r="AN139" s="32">
        <v>0.5</v>
      </c>
      <c r="AO139" s="32">
        <v>1</v>
      </c>
      <c r="AP139" s="32">
        <v>1</v>
      </c>
      <c r="AQ139" s="23">
        <v>1</v>
      </c>
      <c r="AR139" s="29">
        <v>0.5</v>
      </c>
      <c r="AS139" s="32">
        <v>0</v>
      </c>
      <c r="AT139" s="32">
        <v>0</v>
      </c>
      <c r="AU139" s="29">
        <v>0.5</v>
      </c>
      <c r="AV139" s="29">
        <v>0.5</v>
      </c>
      <c r="AW139" s="32"/>
      <c r="AX139" s="32">
        <v>0.5</v>
      </c>
      <c r="AY139" s="24">
        <v>1</v>
      </c>
      <c r="AZ139" s="32">
        <v>1</v>
      </c>
      <c r="BA139" s="32">
        <v>0.5</v>
      </c>
      <c r="BB139" s="32">
        <v>1</v>
      </c>
      <c r="BC139" s="32">
        <v>1</v>
      </c>
      <c r="BD139" s="32">
        <v>0.5</v>
      </c>
      <c r="BE139" s="24">
        <v>0.5</v>
      </c>
      <c r="BF139" s="32">
        <v>0</v>
      </c>
      <c r="BG139" s="32">
        <v>0.5</v>
      </c>
      <c r="BH139" s="32">
        <v>0.5</v>
      </c>
      <c r="BI139" s="32">
        <v>1</v>
      </c>
      <c r="BJ139" s="32">
        <v>0.5</v>
      </c>
      <c r="BK139" s="32">
        <v>1</v>
      </c>
      <c r="BL139" s="32">
        <v>1</v>
      </c>
      <c r="BM139" s="23">
        <v>1</v>
      </c>
      <c r="BN139" s="29">
        <v>0.5</v>
      </c>
      <c r="BO139" s="32">
        <v>0</v>
      </c>
      <c r="BP139" s="32">
        <v>0</v>
      </c>
      <c r="BQ139" s="29">
        <v>1</v>
      </c>
      <c r="BR139" s="29">
        <v>1</v>
      </c>
      <c r="BT139">
        <f t="shared" si="83"/>
        <v>65</v>
      </c>
      <c r="BU139">
        <f t="shared" si="84"/>
        <v>43.5</v>
      </c>
      <c r="BV139" s="25">
        <f t="shared" si="85"/>
        <v>0.66923076923076918</v>
      </c>
    </row>
    <row r="140" spans="2:77" ht="39" thickBot="1" x14ac:dyDescent="0.3">
      <c r="B140" s="30" t="s">
        <v>59</v>
      </c>
      <c r="D140" s="22">
        <v>7</v>
      </c>
      <c r="E140" s="32">
        <v>1</v>
      </c>
      <c r="F140" s="32">
        <v>1</v>
      </c>
      <c r="G140" s="24">
        <v>1</v>
      </c>
      <c r="H140" s="32">
        <v>1</v>
      </c>
      <c r="I140" s="32">
        <v>0.5</v>
      </c>
      <c r="J140" s="32">
        <v>1</v>
      </c>
      <c r="K140" s="32">
        <v>0.5</v>
      </c>
      <c r="L140" s="32">
        <v>0.5</v>
      </c>
      <c r="M140" s="24">
        <v>0.5</v>
      </c>
      <c r="N140" s="32">
        <v>0.5</v>
      </c>
      <c r="O140" s="32">
        <v>0</v>
      </c>
      <c r="P140" s="32">
        <v>0.5</v>
      </c>
      <c r="Q140" s="32">
        <v>1</v>
      </c>
      <c r="R140" s="32">
        <v>0.5</v>
      </c>
      <c r="S140" s="32">
        <v>1</v>
      </c>
      <c r="T140" s="32">
        <v>1</v>
      </c>
      <c r="U140" s="23">
        <v>1</v>
      </c>
      <c r="V140" s="29">
        <v>0.5</v>
      </c>
      <c r="W140" s="32">
        <v>0</v>
      </c>
      <c r="X140" s="32">
        <v>1</v>
      </c>
      <c r="Y140" s="29">
        <v>0.5</v>
      </c>
      <c r="Z140" s="29">
        <v>0.5</v>
      </c>
      <c r="AA140" s="32">
        <v>1</v>
      </c>
      <c r="AB140" s="32">
        <v>1</v>
      </c>
      <c r="AC140" s="24">
        <v>1</v>
      </c>
      <c r="AD140" s="32">
        <v>0.5</v>
      </c>
      <c r="AE140" s="32">
        <v>0.5</v>
      </c>
      <c r="AF140" s="32">
        <v>1</v>
      </c>
      <c r="AG140" s="32">
        <v>0.5</v>
      </c>
      <c r="AH140" s="32">
        <v>0.5</v>
      </c>
      <c r="AI140" s="24">
        <v>0.5</v>
      </c>
      <c r="AJ140" s="32">
        <v>0.5</v>
      </c>
      <c r="AK140" s="32">
        <v>0.5</v>
      </c>
      <c r="AL140" s="32">
        <v>0.5</v>
      </c>
      <c r="AM140" s="32">
        <v>0.5</v>
      </c>
      <c r="AN140" s="32">
        <v>0.5</v>
      </c>
      <c r="AO140" s="32">
        <v>1</v>
      </c>
      <c r="AP140" s="32">
        <v>1</v>
      </c>
      <c r="AQ140" s="23">
        <v>1</v>
      </c>
      <c r="AR140" s="29">
        <v>0</v>
      </c>
      <c r="AS140" s="32">
        <v>0</v>
      </c>
      <c r="AT140" s="32">
        <v>1</v>
      </c>
      <c r="AU140" s="29">
        <v>0.5</v>
      </c>
      <c r="AV140" s="29">
        <v>0.5</v>
      </c>
      <c r="AW140" s="32"/>
      <c r="AX140" s="32">
        <v>1</v>
      </c>
      <c r="AY140" s="24">
        <v>1</v>
      </c>
      <c r="AZ140" s="32">
        <v>1</v>
      </c>
      <c r="BA140" s="32">
        <v>0.5</v>
      </c>
      <c r="BB140" s="32">
        <v>1</v>
      </c>
      <c r="BC140" s="32">
        <v>0.5</v>
      </c>
      <c r="BD140" s="32">
        <v>0.5</v>
      </c>
      <c r="BE140" s="24">
        <v>0.5</v>
      </c>
      <c r="BF140" s="32">
        <v>0.5</v>
      </c>
      <c r="BG140" s="32">
        <v>0.5</v>
      </c>
      <c r="BH140" s="32">
        <v>0.5</v>
      </c>
      <c r="BI140" s="32">
        <v>1</v>
      </c>
      <c r="BJ140" s="32">
        <v>0.5</v>
      </c>
      <c r="BK140" s="32">
        <v>1</v>
      </c>
      <c r="BL140" s="32">
        <v>1</v>
      </c>
      <c r="BM140" s="23">
        <v>1</v>
      </c>
      <c r="BN140" s="29">
        <v>0</v>
      </c>
      <c r="BO140" s="32">
        <v>0</v>
      </c>
      <c r="BP140" s="32">
        <v>1</v>
      </c>
      <c r="BQ140" s="29">
        <v>1</v>
      </c>
      <c r="BR140" s="29">
        <v>1</v>
      </c>
      <c r="BT140">
        <f t="shared" si="83"/>
        <v>65</v>
      </c>
      <c r="BU140">
        <f t="shared" si="84"/>
        <v>44</v>
      </c>
      <c r="BV140" s="25">
        <f t="shared" si="85"/>
        <v>0.67692307692307696</v>
      </c>
    </row>
    <row r="141" spans="2:77" ht="39" thickBot="1" x14ac:dyDescent="0.3">
      <c r="B141" s="30" t="s">
        <v>60</v>
      </c>
      <c r="D141" s="22">
        <v>8</v>
      </c>
      <c r="E141" s="32">
        <v>1</v>
      </c>
      <c r="F141" s="32">
        <v>1</v>
      </c>
      <c r="G141" s="24">
        <v>1</v>
      </c>
      <c r="H141" s="32">
        <v>1</v>
      </c>
      <c r="I141" s="32">
        <v>1</v>
      </c>
      <c r="J141" s="32">
        <v>0.5</v>
      </c>
      <c r="K141" s="32"/>
      <c r="L141" s="32">
        <v>1</v>
      </c>
      <c r="M141" s="24">
        <v>0.5</v>
      </c>
      <c r="N141" s="32">
        <v>1</v>
      </c>
      <c r="O141" s="24">
        <v>0</v>
      </c>
      <c r="P141" s="32">
        <v>1</v>
      </c>
      <c r="Q141" s="32">
        <v>0.5</v>
      </c>
      <c r="R141" s="32">
        <v>0.5</v>
      </c>
      <c r="S141" s="32">
        <v>1</v>
      </c>
      <c r="T141" s="32">
        <v>1</v>
      </c>
      <c r="U141" s="23">
        <v>1</v>
      </c>
      <c r="V141" s="29">
        <v>1</v>
      </c>
      <c r="W141" s="32">
        <v>0</v>
      </c>
      <c r="X141" s="32">
        <v>1</v>
      </c>
      <c r="Y141" s="29">
        <v>1</v>
      </c>
      <c r="Z141" s="29">
        <v>1</v>
      </c>
      <c r="AA141" s="32">
        <v>1</v>
      </c>
      <c r="AB141" s="32">
        <v>1</v>
      </c>
      <c r="AC141" s="24">
        <v>1</v>
      </c>
      <c r="AD141" s="32">
        <v>0.5</v>
      </c>
      <c r="AE141" s="32">
        <v>1</v>
      </c>
      <c r="AF141" s="32">
        <v>0.5</v>
      </c>
      <c r="AG141" s="32"/>
      <c r="AH141" s="32">
        <v>1</v>
      </c>
      <c r="AI141" s="24">
        <v>0.5</v>
      </c>
      <c r="AJ141" s="32">
        <v>1</v>
      </c>
      <c r="AK141" s="24">
        <v>0.5</v>
      </c>
      <c r="AL141" s="32">
        <v>0.5</v>
      </c>
      <c r="AM141" s="32">
        <v>0.5</v>
      </c>
      <c r="AN141" s="32">
        <v>0.5</v>
      </c>
      <c r="AO141" s="32">
        <v>1</v>
      </c>
      <c r="AP141" s="32">
        <v>1</v>
      </c>
      <c r="AQ141" s="23">
        <v>1</v>
      </c>
      <c r="AR141" s="29">
        <v>1</v>
      </c>
      <c r="AS141" s="32">
        <v>0</v>
      </c>
      <c r="AT141" s="32">
        <v>0</v>
      </c>
      <c r="AU141" s="29">
        <v>0.5</v>
      </c>
      <c r="AV141" s="29">
        <v>0.5</v>
      </c>
      <c r="AW141" s="32">
        <v>1</v>
      </c>
      <c r="AX141" s="32">
        <v>1</v>
      </c>
      <c r="AY141" s="24">
        <v>1</v>
      </c>
      <c r="AZ141" s="32">
        <v>0.5</v>
      </c>
      <c r="BA141" s="32">
        <v>1</v>
      </c>
      <c r="BB141" s="32">
        <v>0.5</v>
      </c>
      <c r="BC141" s="32"/>
      <c r="BD141" s="32">
        <v>1</v>
      </c>
      <c r="BE141" s="24">
        <v>0.5</v>
      </c>
      <c r="BF141" s="32">
        <v>1</v>
      </c>
      <c r="BG141" s="24">
        <v>0.5</v>
      </c>
      <c r="BH141" s="32">
        <v>1</v>
      </c>
      <c r="BI141" s="32">
        <v>0.5</v>
      </c>
      <c r="BJ141" s="32">
        <v>0.5</v>
      </c>
      <c r="BK141" s="32">
        <v>1</v>
      </c>
      <c r="BL141" s="32">
        <v>1</v>
      </c>
      <c r="BM141" s="23">
        <v>1</v>
      </c>
      <c r="BN141" s="29">
        <v>1</v>
      </c>
      <c r="BO141" s="32">
        <v>0</v>
      </c>
      <c r="BP141" s="32">
        <v>1</v>
      </c>
      <c r="BQ141" s="29">
        <v>1</v>
      </c>
      <c r="BR141" s="29">
        <v>1</v>
      </c>
      <c r="BT141">
        <f t="shared" si="83"/>
        <v>63</v>
      </c>
      <c r="BU141">
        <f t="shared" si="84"/>
        <v>48.5</v>
      </c>
      <c r="BV141" s="25">
        <f t="shared" si="85"/>
        <v>0.76984126984126988</v>
      </c>
    </row>
    <row r="142" spans="2:77" ht="26.25" thickBot="1" x14ac:dyDescent="0.3">
      <c r="B142" s="26" t="s">
        <v>61</v>
      </c>
      <c r="D142" s="22">
        <v>9</v>
      </c>
      <c r="E142" s="32">
        <v>0.5</v>
      </c>
      <c r="F142" s="32">
        <v>0.5</v>
      </c>
      <c r="G142" s="24">
        <v>0.5</v>
      </c>
      <c r="H142" s="32">
        <v>1</v>
      </c>
      <c r="I142" s="32">
        <v>1</v>
      </c>
      <c r="J142" s="32">
        <v>0.5</v>
      </c>
      <c r="K142" s="32"/>
      <c r="L142" s="32">
        <v>1</v>
      </c>
      <c r="M142" s="24">
        <v>0.5</v>
      </c>
      <c r="N142" s="32">
        <v>1</v>
      </c>
      <c r="O142" s="32">
        <v>0.5</v>
      </c>
      <c r="P142" s="32">
        <v>1</v>
      </c>
      <c r="Q142" s="32">
        <v>1</v>
      </c>
      <c r="R142" s="32">
        <v>0.5</v>
      </c>
      <c r="S142" s="32">
        <v>0</v>
      </c>
      <c r="T142" s="32">
        <v>1</v>
      </c>
      <c r="U142" s="23">
        <v>1</v>
      </c>
      <c r="V142" s="24">
        <v>0.5</v>
      </c>
      <c r="W142" s="32">
        <v>0</v>
      </c>
      <c r="X142" s="32">
        <v>1</v>
      </c>
      <c r="Y142" s="24">
        <v>0.5</v>
      </c>
      <c r="Z142" s="24">
        <v>0.5</v>
      </c>
      <c r="AA142" s="32">
        <v>0.5</v>
      </c>
      <c r="AB142" s="32">
        <v>0.5</v>
      </c>
      <c r="AC142" s="24">
        <v>0.5</v>
      </c>
      <c r="AD142" s="32">
        <v>1</v>
      </c>
      <c r="AE142" s="32">
        <v>1</v>
      </c>
      <c r="AF142" s="32">
        <v>0.5</v>
      </c>
      <c r="AG142" s="32"/>
      <c r="AH142" s="32">
        <v>1</v>
      </c>
      <c r="AI142" s="24">
        <v>0.5</v>
      </c>
      <c r="AJ142" s="32">
        <v>1</v>
      </c>
      <c r="AK142" s="32">
        <v>0.5</v>
      </c>
      <c r="AL142" s="32">
        <v>1</v>
      </c>
      <c r="AM142" s="32">
        <v>0.5</v>
      </c>
      <c r="AN142" s="32">
        <v>0.5</v>
      </c>
      <c r="AO142" s="32">
        <v>0</v>
      </c>
      <c r="AP142" s="32">
        <v>1</v>
      </c>
      <c r="AQ142" s="23">
        <v>1</v>
      </c>
      <c r="AR142" s="24">
        <v>0</v>
      </c>
      <c r="AS142" s="32">
        <v>0</v>
      </c>
      <c r="AT142" s="32">
        <v>1</v>
      </c>
      <c r="AU142" s="24">
        <v>1</v>
      </c>
      <c r="AV142" s="24">
        <v>1</v>
      </c>
      <c r="AW142" s="32"/>
      <c r="AX142" s="32">
        <v>0.5</v>
      </c>
      <c r="AY142" s="24">
        <v>0.5</v>
      </c>
      <c r="AZ142" s="32">
        <v>1</v>
      </c>
      <c r="BA142" s="32">
        <v>1</v>
      </c>
      <c r="BB142" s="32">
        <v>0.5</v>
      </c>
      <c r="BC142" s="32"/>
      <c r="BD142" s="32">
        <v>1</v>
      </c>
      <c r="BE142" s="24">
        <v>0.5</v>
      </c>
      <c r="BF142" s="32">
        <v>1</v>
      </c>
      <c r="BG142" s="32">
        <v>0.5</v>
      </c>
      <c r="BH142" s="32">
        <v>1</v>
      </c>
      <c r="BI142" s="32">
        <v>1</v>
      </c>
      <c r="BJ142" s="32">
        <v>0.5</v>
      </c>
      <c r="BK142" s="32">
        <v>0</v>
      </c>
      <c r="BL142" s="32">
        <v>1</v>
      </c>
      <c r="BM142" s="23">
        <v>1</v>
      </c>
      <c r="BN142" s="24">
        <v>0.5</v>
      </c>
      <c r="BO142" s="32">
        <v>0</v>
      </c>
      <c r="BP142" s="32">
        <v>1</v>
      </c>
      <c r="BQ142" s="24">
        <v>1</v>
      </c>
      <c r="BR142" s="24">
        <v>1</v>
      </c>
      <c r="BT142">
        <f t="shared" si="83"/>
        <v>62</v>
      </c>
      <c r="BU142">
        <f t="shared" si="84"/>
        <v>42.5</v>
      </c>
      <c r="BV142" s="25">
        <f t="shared" si="85"/>
        <v>0.68548387096774188</v>
      </c>
    </row>
    <row r="143" spans="2:77" ht="26.25" thickBot="1" x14ac:dyDescent="0.3">
      <c r="B143" s="26" t="s">
        <v>62</v>
      </c>
      <c r="D143" s="22">
        <v>10</v>
      </c>
      <c r="E143" s="32">
        <v>1</v>
      </c>
      <c r="F143" s="32">
        <v>1</v>
      </c>
      <c r="G143" s="24">
        <v>1</v>
      </c>
      <c r="H143" s="32">
        <v>0.5</v>
      </c>
      <c r="I143" s="32">
        <v>1</v>
      </c>
      <c r="J143" s="32">
        <v>1</v>
      </c>
      <c r="K143" s="32">
        <v>1</v>
      </c>
      <c r="L143" s="32">
        <v>1</v>
      </c>
      <c r="M143" s="32">
        <v>1</v>
      </c>
      <c r="N143" s="32">
        <v>1</v>
      </c>
      <c r="O143" s="32">
        <v>0.5</v>
      </c>
      <c r="P143" s="32">
        <v>1</v>
      </c>
      <c r="Q143" s="32">
        <v>1</v>
      </c>
      <c r="R143" s="32">
        <v>0.5</v>
      </c>
      <c r="S143" s="32">
        <v>1</v>
      </c>
      <c r="T143" s="32">
        <v>1</v>
      </c>
      <c r="U143" s="23">
        <v>1</v>
      </c>
      <c r="V143" s="29">
        <v>1</v>
      </c>
      <c r="W143" s="32">
        <v>0</v>
      </c>
      <c r="X143" s="32">
        <v>0.5</v>
      </c>
      <c r="Y143" s="29">
        <v>0.5</v>
      </c>
      <c r="Z143" s="29">
        <v>0.5</v>
      </c>
      <c r="AA143" s="32">
        <v>1</v>
      </c>
      <c r="AB143" s="32">
        <v>1</v>
      </c>
      <c r="AC143" s="24">
        <v>1</v>
      </c>
      <c r="AD143" s="32">
        <v>0.5</v>
      </c>
      <c r="AE143" s="32">
        <v>1</v>
      </c>
      <c r="AF143" s="32">
        <v>0</v>
      </c>
      <c r="AG143" s="32">
        <v>1</v>
      </c>
      <c r="AH143" s="32">
        <v>1</v>
      </c>
      <c r="AI143" s="32">
        <v>1</v>
      </c>
      <c r="AJ143" s="32">
        <v>1</v>
      </c>
      <c r="AK143" s="32">
        <v>0</v>
      </c>
      <c r="AL143" s="32">
        <v>1</v>
      </c>
      <c r="AM143" s="32">
        <v>0.5</v>
      </c>
      <c r="AN143" s="32">
        <v>0.5</v>
      </c>
      <c r="AO143" s="32">
        <v>1</v>
      </c>
      <c r="AP143" s="32">
        <v>1</v>
      </c>
      <c r="AQ143" s="23">
        <v>1</v>
      </c>
      <c r="AR143" s="29">
        <v>1</v>
      </c>
      <c r="AS143" s="32">
        <v>0</v>
      </c>
      <c r="AT143" s="32">
        <v>0</v>
      </c>
      <c r="AU143" s="29">
        <v>0.5</v>
      </c>
      <c r="AV143" s="29">
        <v>0.5</v>
      </c>
      <c r="AW143" s="32"/>
      <c r="AX143" s="32">
        <v>1</v>
      </c>
      <c r="AY143" s="24">
        <v>1</v>
      </c>
      <c r="AZ143" s="32">
        <v>1</v>
      </c>
      <c r="BA143" s="32">
        <v>1</v>
      </c>
      <c r="BB143" s="32">
        <v>0.5</v>
      </c>
      <c r="BC143" s="32">
        <v>1</v>
      </c>
      <c r="BD143" s="32">
        <v>1</v>
      </c>
      <c r="BE143" s="32">
        <v>1</v>
      </c>
      <c r="BF143" s="32">
        <v>1</v>
      </c>
      <c r="BG143" s="32">
        <v>0</v>
      </c>
      <c r="BH143" s="32">
        <v>1</v>
      </c>
      <c r="BI143" s="32">
        <v>1</v>
      </c>
      <c r="BJ143" s="32">
        <v>0.5</v>
      </c>
      <c r="BK143" s="32">
        <v>1</v>
      </c>
      <c r="BL143" s="32">
        <v>1</v>
      </c>
      <c r="BM143" s="23">
        <v>1</v>
      </c>
      <c r="BN143" s="29">
        <v>1</v>
      </c>
      <c r="BO143" s="32">
        <v>0</v>
      </c>
      <c r="BP143" s="32">
        <v>0</v>
      </c>
      <c r="BQ143" s="29">
        <v>1</v>
      </c>
      <c r="BR143" s="29">
        <v>1</v>
      </c>
      <c r="BT143">
        <f t="shared" si="83"/>
        <v>65</v>
      </c>
      <c r="BU143">
        <f t="shared" si="84"/>
        <v>50.5</v>
      </c>
      <c r="BV143" s="25">
        <f t="shared" si="85"/>
        <v>0.77692307692307694</v>
      </c>
    </row>
    <row r="144" spans="2:77" ht="26.25" thickBot="1" x14ac:dyDescent="0.3">
      <c r="B144" s="30" t="s">
        <v>63</v>
      </c>
      <c r="D144" s="22">
        <v>11</v>
      </c>
      <c r="E144" s="32">
        <v>1</v>
      </c>
      <c r="F144" s="32">
        <v>1</v>
      </c>
      <c r="G144" s="24">
        <v>1</v>
      </c>
      <c r="H144" s="32">
        <v>0.5</v>
      </c>
      <c r="I144" s="32">
        <v>1</v>
      </c>
      <c r="J144" s="32">
        <v>1</v>
      </c>
      <c r="K144" s="32">
        <v>1</v>
      </c>
      <c r="L144" s="32">
        <v>0.5</v>
      </c>
      <c r="M144" s="32">
        <v>0.5</v>
      </c>
      <c r="N144" s="32">
        <v>1</v>
      </c>
      <c r="O144" s="32">
        <v>0.5</v>
      </c>
      <c r="P144" s="32">
        <v>1</v>
      </c>
      <c r="Q144" s="32">
        <v>1</v>
      </c>
      <c r="R144" s="32">
        <v>0.5</v>
      </c>
      <c r="S144" s="32">
        <v>1</v>
      </c>
      <c r="T144" s="32">
        <v>1</v>
      </c>
      <c r="U144" s="23">
        <v>1</v>
      </c>
      <c r="V144" s="29">
        <v>1</v>
      </c>
      <c r="W144" s="32">
        <v>0</v>
      </c>
      <c r="X144" s="32">
        <v>0.5</v>
      </c>
      <c r="Y144" s="29">
        <v>0.5</v>
      </c>
      <c r="Z144" s="29">
        <v>0.5</v>
      </c>
      <c r="AA144" s="32">
        <v>1</v>
      </c>
      <c r="AB144" s="32">
        <v>1</v>
      </c>
      <c r="AC144" s="24">
        <v>1</v>
      </c>
      <c r="AD144" s="32">
        <v>0.5</v>
      </c>
      <c r="AE144" s="32">
        <v>1</v>
      </c>
      <c r="AF144" s="32">
        <v>0</v>
      </c>
      <c r="AG144" s="32">
        <v>1</v>
      </c>
      <c r="AH144" s="32">
        <v>0.5</v>
      </c>
      <c r="AI144" s="32">
        <v>0.5</v>
      </c>
      <c r="AJ144" s="32">
        <v>1</v>
      </c>
      <c r="AK144" s="32">
        <v>0.5</v>
      </c>
      <c r="AL144" s="32">
        <v>0.5</v>
      </c>
      <c r="AM144" s="32">
        <v>0.5</v>
      </c>
      <c r="AN144" s="32">
        <v>0.5</v>
      </c>
      <c r="AO144" s="32">
        <v>1</v>
      </c>
      <c r="AP144" s="32">
        <v>1</v>
      </c>
      <c r="AQ144" s="23">
        <v>1</v>
      </c>
      <c r="AR144" s="29">
        <v>1</v>
      </c>
      <c r="AS144" s="32">
        <v>0</v>
      </c>
      <c r="AT144" s="32">
        <v>0</v>
      </c>
      <c r="AU144" s="29">
        <v>0.5</v>
      </c>
      <c r="AV144" s="29">
        <v>0.5</v>
      </c>
      <c r="AW144" s="32"/>
      <c r="AX144" s="32">
        <v>1</v>
      </c>
      <c r="AY144" s="24">
        <v>1</v>
      </c>
      <c r="AZ144" s="32">
        <v>0.5</v>
      </c>
      <c r="BA144" s="32">
        <v>1</v>
      </c>
      <c r="BB144" s="32">
        <v>0.5</v>
      </c>
      <c r="BC144" s="32">
        <v>1</v>
      </c>
      <c r="BD144" s="32">
        <v>0.5</v>
      </c>
      <c r="BE144" s="32">
        <v>0.5</v>
      </c>
      <c r="BF144" s="32">
        <v>1</v>
      </c>
      <c r="BG144" s="32">
        <v>0.5</v>
      </c>
      <c r="BH144" s="32">
        <v>1</v>
      </c>
      <c r="BI144" s="32">
        <v>1</v>
      </c>
      <c r="BJ144" s="32">
        <v>0.5</v>
      </c>
      <c r="BK144" s="32">
        <v>1</v>
      </c>
      <c r="BL144" s="32">
        <v>1</v>
      </c>
      <c r="BM144" s="23">
        <v>1</v>
      </c>
      <c r="BN144" s="29">
        <v>1</v>
      </c>
      <c r="BO144" s="32">
        <v>0</v>
      </c>
      <c r="BP144" s="32">
        <v>0</v>
      </c>
      <c r="BQ144" s="29">
        <v>1</v>
      </c>
      <c r="BR144" s="29">
        <v>1</v>
      </c>
      <c r="BT144">
        <f t="shared" si="83"/>
        <v>65</v>
      </c>
      <c r="BU144">
        <f t="shared" si="84"/>
        <v>47.5</v>
      </c>
      <c r="BV144" s="25">
        <f t="shared" si="85"/>
        <v>0.73076923076923073</v>
      </c>
    </row>
    <row r="145" spans="2:74" ht="39" thickBot="1" x14ac:dyDescent="0.3">
      <c r="B145" s="26" t="s">
        <v>64</v>
      </c>
      <c r="D145" s="22">
        <v>12</v>
      </c>
      <c r="E145" s="32">
        <v>1</v>
      </c>
      <c r="F145" s="32">
        <v>1</v>
      </c>
      <c r="G145" s="24">
        <v>1</v>
      </c>
      <c r="H145" s="32">
        <v>1</v>
      </c>
      <c r="I145" s="32">
        <v>1</v>
      </c>
      <c r="J145" s="32">
        <v>1</v>
      </c>
      <c r="K145" s="32">
        <v>0</v>
      </c>
      <c r="L145" s="32">
        <v>0.5</v>
      </c>
      <c r="M145" s="32">
        <v>1</v>
      </c>
      <c r="N145" s="32">
        <v>1</v>
      </c>
      <c r="O145" s="32">
        <v>1</v>
      </c>
      <c r="P145" s="32">
        <v>0.5</v>
      </c>
      <c r="Q145" s="32">
        <v>1</v>
      </c>
      <c r="R145" s="32">
        <v>0.5</v>
      </c>
      <c r="S145" s="32">
        <v>1</v>
      </c>
      <c r="T145" s="32">
        <v>1</v>
      </c>
      <c r="U145" s="23">
        <v>1</v>
      </c>
      <c r="V145" s="29">
        <v>0.5</v>
      </c>
      <c r="W145" s="32">
        <v>0</v>
      </c>
      <c r="X145" s="32">
        <v>1</v>
      </c>
      <c r="Y145" s="29">
        <v>1</v>
      </c>
      <c r="Z145" s="29">
        <v>1</v>
      </c>
      <c r="AA145" s="32">
        <v>0</v>
      </c>
      <c r="AB145" s="32">
        <v>1</v>
      </c>
      <c r="AC145" s="24">
        <v>1</v>
      </c>
      <c r="AD145" s="32">
        <v>1</v>
      </c>
      <c r="AE145" s="32">
        <v>1</v>
      </c>
      <c r="AF145" s="32">
        <v>1</v>
      </c>
      <c r="AG145" s="32">
        <v>0</v>
      </c>
      <c r="AH145" s="32">
        <v>0.5</v>
      </c>
      <c r="AI145" s="32">
        <v>1</v>
      </c>
      <c r="AJ145" s="32">
        <v>1</v>
      </c>
      <c r="AK145" s="32">
        <v>0.5</v>
      </c>
      <c r="AL145" s="32">
        <v>0.5</v>
      </c>
      <c r="AM145" s="32">
        <v>0.5</v>
      </c>
      <c r="AN145" s="32">
        <v>0.5</v>
      </c>
      <c r="AO145" s="32">
        <v>1</v>
      </c>
      <c r="AP145" s="32">
        <v>1</v>
      </c>
      <c r="AQ145" s="23">
        <v>1</v>
      </c>
      <c r="AR145" s="29">
        <v>1</v>
      </c>
      <c r="AS145" s="32">
        <v>0</v>
      </c>
      <c r="AT145" s="32">
        <v>0.5</v>
      </c>
      <c r="AU145" s="29">
        <v>0.5</v>
      </c>
      <c r="AV145" s="29">
        <v>0.5</v>
      </c>
      <c r="AW145" s="32">
        <v>1</v>
      </c>
      <c r="AX145" s="32">
        <v>1</v>
      </c>
      <c r="AY145" s="24">
        <v>1</v>
      </c>
      <c r="AZ145" s="32">
        <v>1</v>
      </c>
      <c r="BA145" s="32">
        <v>1</v>
      </c>
      <c r="BB145" s="32">
        <v>0</v>
      </c>
      <c r="BC145" s="32">
        <v>0</v>
      </c>
      <c r="BD145" s="32">
        <v>0.5</v>
      </c>
      <c r="BE145" s="32">
        <v>1</v>
      </c>
      <c r="BF145" s="32">
        <v>1</v>
      </c>
      <c r="BG145" s="32">
        <v>0.5</v>
      </c>
      <c r="BH145" s="32">
        <v>0.5</v>
      </c>
      <c r="BI145" s="32">
        <v>0.5</v>
      </c>
      <c r="BJ145" s="32">
        <v>0.5</v>
      </c>
      <c r="BK145" s="32">
        <v>1</v>
      </c>
      <c r="BL145" s="32">
        <v>1</v>
      </c>
      <c r="BM145" s="23">
        <v>1</v>
      </c>
      <c r="BN145" s="29">
        <v>0.5</v>
      </c>
      <c r="BO145" s="32">
        <v>0</v>
      </c>
      <c r="BP145" s="32">
        <v>0.5</v>
      </c>
      <c r="BQ145" s="29">
        <v>1</v>
      </c>
      <c r="BR145" s="29">
        <v>1</v>
      </c>
      <c r="BT145">
        <f t="shared" si="83"/>
        <v>66</v>
      </c>
      <c r="BU145">
        <f t="shared" si="84"/>
        <v>48.5</v>
      </c>
      <c r="BV145" s="25">
        <f t="shared" si="85"/>
        <v>0.73484848484848486</v>
      </c>
    </row>
    <row r="146" spans="2:74" ht="39" thickBot="1" x14ac:dyDescent="0.3">
      <c r="B146" s="30" t="s">
        <v>65</v>
      </c>
      <c r="D146" s="22">
        <v>13</v>
      </c>
      <c r="E146" s="32">
        <v>1</v>
      </c>
      <c r="F146" s="32">
        <v>1</v>
      </c>
      <c r="G146" s="24">
        <v>1</v>
      </c>
      <c r="H146" s="32">
        <v>1</v>
      </c>
      <c r="I146" s="32">
        <v>1</v>
      </c>
      <c r="J146" s="32">
        <v>0</v>
      </c>
      <c r="K146" s="32">
        <v>1</v>
      </c>
      <c r="L146" s="32">
        <v>0</v>
      </c>
      <c r="M146" s="24">
        <v>1</v>
      </c>
      <c r="N146" s="32">
        <v>1</v>
      </c>
      <c r="O146" s="32">
        <v>1</v>
      </c>
      <c r="P146" s="32">
        <v>0</v>
      </c>
      <c r="Q146" s="32">
        <v>1</v>
      </c>
      <c r="R146" s="32">
        <v>0.5</v>
      </c>
      <c r="S146" s="32">
        <v>1</v>
      </c>
      <c r="T146" s="32">
        <v>1</v>
      </c>
      <c r="U146" s="23">
        <v>1</v>
      </c>
      <c r="V146" s="29">
        <v>1</v>
      </c>
      <c r="W146" s="32">
        <v>1</v>
      </c>
      <c r="X146" s="32">
        <v>0.5</v>
      </c>
      <c r="Y146" s="29">
        <v>0.5</v>
      </c>
      <c r="Z146" s="29">
        <v>0.5</v>
      </c>
      <c r="AA146" s="32">
        <v>1</v>
      </c>
      <c r="AB146" s="32">
        <v>1</v>
      </c>
      <c r="AC146" s="24">
        <v>1</v>
      </c>
      <c r="AD146" s="32">
        <v>1</v>
      </c>
      <c r="AE146" s="32">
        <v>1</v>
      </c>
      <c r="AF146" s="32">
        <v>0</v>
      </c>
      <c r="AG146" s="32">
        <v>1</v>
      </c>
      <c r="AH146" s="32">
        <v>0</v>
      </c>
      <c r="AI146" s="24">
        <v>1</v>
      </c>
      <c r="AJ146" s="32">
        <v>1</v>
      </c>
      <c r="AK146" s="32">
        <v>0.5</v>
      </c>
      <c r="AL146" s="32">
        <v>0</v>
      </c>
      <c r="AM146" s="32">
        <v>0.5</v>
      </c>
      <c r="AN146" s="32">
        <v>0.5</v>
      </c>
      <c r="AO146" s="32">
        <v>1</v>
      </c>
      <c r="AP146" s="32">
        <v>1</v>
      </c>
      <c r="AQ146" s="23">
        <v>1</v>
      </c>
      <c r="AR146" s="29">
        <v>1</v>
      </c>
      <c r="AS146" s="32">
        <v>0.5</v>
      </c>
      <c r="AT146" s="32">
        <v>0</v>
      </c>
      <c r="AU146" s="29">
        <v>0.5</v>
      </c>
      <c r="AV146" s="29">
        <v>0.5</v>
      </c>
      <c r="AW146" s="32"/>
      <c r="AX146" s="32">
        <v>1</v>
      </c>
      <c r="AY146" s="24">
        <v>1</v>
      </c>
      <c r="AZ146" s="32">
        <v>1</v>
      </c>
      <c r="BA146" s="32">
        <v>1</v>
      </c>
      <c r="BB146" s="32">
        <v>0</v>
      </c>
      <c r="BC146" s="32">
        <v>1</v>
      </c>
      <c r="BD146" s="32">
        <v>0</v>
      </c>
      <c r="BE146" s="24">
        <v>1</v>
      </c>
      <c r="BF146" s="32">
        <v>1</v>
      </c>
      <c r="BG146" s="32">
        <v>0.5</v>
      </c>
      <c r="BH146" s="32">
        <v>0</v>
      </c>
      <c r="BI146" s="32">
        <v>0.5</v>
      </c>
      <c r="BJ146" s="32">
        <v>0.5</v>
      </c>
      <c r="BK146" s="32">
        <v>1</v>
      </c>
      <c r="BL146" s="32">
        <v>1</v>
      </c>
      <c r="BM146" s="23">
        <v>1</v>
      </c>
      <c r="BN146" s="29">
        <v>1</v>
      </c>
      <c r="BO146" s="32">
        <v>0</v>
      </c>
      <c r="BP146" s="32">
        <v>0</v>
      </c>
      <c r="BQ146" s="29">
        <v>1</v>
      </c>
      <c r="BR146" s="29">
        <v>1</v>
      </c>
      <c r="BT146">
        <f t="shared" si="83"/>
        <v>65</v>
      </c>
      <c r="BU146">
        <f t="shared" si="84"/>
        <v>46.5</v>
      </c>
      <c r="BV146" s="25">
        <f t="shared" si="85"/>
        <v>0.7153846153846154</v>
      </c>
    </row>
    <row r="147" spans="2:74" ht="26.25" thickBot="1" x14ac:dyDescent="0.3">
      <c r="B147" s="26" t="s">
        <v>66</v>
      </c>
      <c r="D147" s="22">
        <v>14</v>
      </c>
      <c r="E147" s="32">
        <v>0.5</v>
      </c>
      <c r="F147" s="32">
        <v>0</v>
      </c>
      <c r="G147" s="24">
        <v>1</v>
      </c>
      <c r="H147" s="32">
        <v>1</v>
      </c>
      <c r="I147" s="32">
        <v>1</v>
      </c>
      <c r="J147" s="32">
        <v>1</v>
      </c>
      <c r="K147" s="32">
        <v>1</v>
      </c>
      <c r="L147" s="32"/>
      <c r="M147" s="24">
        <v>1</v>
      </c>
      <c r="N147" s="32">
        <v>0</v>
      </c>
      <c r="O147" s="32">
        <v>0.5</v>
      </c>
      <c r="P147" s="32">
        <v>0.5</v>
      </c>
      <c r="Q147" s="32">
        <v>1</v>
      </c>
      <c r="R147" s="32">
        <v>0.5</v>
      </c>
      <c r="S147" s="32">
        <v>1</v>
      </c>
      <c r="T147" s="32">
        <v>1</v>
      </c>
      <c r="U147" s="23">
        <v>1</v>
      </c>
      <c r="V147" s="29">
        <v>0.5</v>
      </c>
      <c r="W147" s="32">
        <v>0</v>
      </c>
      <c r="X147" s="32">
        <v>0</v>
      </c>
      <c r="Y147" s="29">
        <v>0.5</v>
      </c>
      <c r="Z147" s="29">
        <v>0.5</v>
      </c>
      <c r="AA147" s="32">
        <v>0.5</v>
      </c>
      <c r="AB147" s="32">
        <v>0</v>
      </c>
      <c r="AC147" s="24">
        <v>1</v>
      </c>
      <c r="AD147" s="32">
        <v>1</v>
      </c>
      <c r="AE147" s="32">
        <v>1</v>
      </c>
      <c r="AF147" s="32">
        <v>1</v>
      </c>
      <c r="AG147" s="32">
        <v>0</v>
      </c>
      <c r="AH147" s="32"/>
      <c r="AI147" s="24">
        <v>1</v>
      </c>
      <c r="AJ147" s="32">
        <v>0</v>
      </c>
      <c r="AK147" s="32">
        <v>0.5</v>
      </c>
      <c r="AL147" s="32">
        <v>0</v>
      </c>
      <c r="AM147" s="32">
        <v>0</v>
      </c>
      <c r="AN147" s="32">
        <v>0.5</v>
      </c>
      <c r="AO147" s="32">
        <v>0</v>
      </c>
      <c r="AP147" s="32">
        <v>1</v>
      </c>
      <c r="AQ147" s="23">
        <v>1</v>
      </c>
      <c r="AR147" s="29">
        <v>0.5</v>
      </c>
      <c r="AS147" s="32">
        <v>0</v>
      </c>
      <c r="AT147" s="32">
        <v>0</v>
      </c>
      <c r="AU147" s="29">
        <v>0.5</v>
      </c>
      <c r="AV147" s="29">
        <v>0.5</v>
      </c>
      <c r="AW147" s="32"/>
      <c r="AX147" s="32">
        <v>0</v>
      </c>
      <c r="AY147" s="24">
        <v>1</v>
      </c>
      <c r="AZ147" s="32">
        <v>1</v>
      </c>
      <c r="BA147" s="32">
        <v>1</v>
      </c>
      <c r="BB147" s="32">
        <v>0</v>
      </c>
      <c r="BC147" s="32">
        <v>0</v>
      </c>
      <c r="BD147" s="32"/>
      <c r="BE147" s="24">
        <v>1</v>
      </c>
      <c r="BF147" s="32">
        <v>0</v>
      </c>
      <c r="BG147" s="32">
        <v>0.5</v>
      </c>
      <c r="BH147" s="32">
        <v>0</v>
      </c>
      <c r="BI147" s="32">
        <v>0</v>
      </c>
      <c r="BJ147" s="32">
        <v>0.5</v>
      </c>
      <c r="BK147" s="32">
        <v>0</v>
      </c>
      <c r="BL147" s="32">
        <v>1</v>
      </c>
      <c r="BM147" s="23">
        <v>1</v>
      </c>
      <c r="BN147" s="29">
        <v>0.5</v>
      </c>
      <c r="BO147" s="32">
        <v>0</v>
      </c>
      <c r="BP147" s="32">
        <v>0</v>
      </c>
      <c r="BQ147" s="29">
        <v>1</v>
      </c>
      <c r="BR147" s="29">
        <v>1</v>
      </c>
      <c r="BT147">
        <f t="shared" si="83"/>
        <v>62</v>
      </c>
      <c r="BU147">
        <f t="shared" si="84"/>
        <v>33</v>
      </c>
      <c r="BV147" s="25">
        <f t="shared" si="85"/>
        <v>0.532258064516129</v>
      </c>
    </row>
    <row r="148" spans="2:74" ht="51.75" thickBot="1" x14ac:dyDescent="0.3">
      <c r="B148" s="26" t="s">
        <v>67</v>
      </c>
      <c r="D148" s="22">
        <v>15</v>
      </c>
      <c r="E148" s="32">
        <v>1</v>
      </c>
      <c r="F148" s="32">
        <v>0.5</v>
      </c>
      <c r="G148" s="24">
        <v>1</v>
      </c>
      <c r="H148" s="32">
        <v>1</v>
      </c>
      <c r="I148" s="32">
        <v>1</v>
      </c>
      <c r="J148" s="32">
        <v>0.5</v>
      </c>
      <c r="K148" s="32">
        <v>1</v>
      </c>
      <c r="L148" s="32">
        <v>0.5</v>
      </c>
      <c r="M148" s="32">
        <v>1</v>
      </c>
      <c r="N148" s="32">
        <v>1</v>
      </c>
      <c r="O148" s="32">
        <v>1</v>
      </c>
      <c r="P148" s="32">
        <v>0.5</v>
      </c>
      <c r="Q148" s="32">
        <v>1</v>
      </c>
      <c r="R148" s="32">
        <v>0.5</v>
      </c>
      <c r="S148" s="32">
        <v>1</v>
      </c>
      <c r="T148" s="32">
        <v>1</v>
      </c>
      <c r="U148" s="23">
        <v>1</v>
      </c>
      <c r="V148" s="29">
        <v>1</v>
      </c>
      <c r="W148" s="32">
        <v>0</v>
      </c>
      <c r="X148" s="32">
        <v>0</v>
      </c>
      <c r="Y148" s="29">
        <v>0.5</v>
      </c>
      <c r="Z148" s="29">
        <v>0.5</v>
      </c>
      <c r="AA148" s="32"/>
      <c r="AB148" s="32"/>
      <c r="AC148" s="24">
        <v>1</v>
      </c>
      <c r="AD148" s="32">
        <v>0.5</v>
      </c>
      <c r="AE148" s="32">
        <v>1</v>
      </c>
      <c r="AF148" s="32">
        <v>0</v>
      </c>
      <c r="AG148" s="32">
        <v>1</v>
      </c>
      <c r="AH148" s="32">
        <v>0.5</v>
      </c>
      <c r="AI148" s="32">
        <v>0</v>
      </c>
      <c r="AJ148" s="32">
        <v>1</v>
      </c>
      <c r="AK148" s="32">
        <v>0</v>
      </c>
      <c r="AL148" s="32">
        <v>0.5</v>
      </c>
      <c r="AM148" s="32">
        <v>0</v>
      </c>
      <c r="AN148" s="32">
        <v>0.5</v>
      </c>
      <c r="AO148" s="32">
        <v>0</v>
      </c>
      <c r="AP148" s="32">
        <v>1</v>
      </c>
      <c r="AQ148" s="23">
        <v>1</v>
      </c>
      <c r="AR148" s="29">
        <v>0.5</v>
      </c>
      <c r="AS148" s="32">
        <v>0</v>
      </c>
      <c r="AT148" s="32">
        <v>0</v>
      </c>
      <c r="AU148" s="29">
        <v>0.5</v>
      </c>
      <c r="AV148" s="29">
        <v>0.5</v>
      </c>
      <c r="AW148" s="32"/>
      <c r="AX148" s="32">
        <v>0.5</v>
      </c>
      <c r="AY148" s="24">
        <v>1</v>
      </c>
      <c r="AZ148" s="32">
        <v>0.5</v>
      </c>
      <c r="BA148" s="32">
        <v>1</v>
      </c>
      <c r="BB148" s="32">
        <v>0</v>
      </c>
      <c r="BC148" s="32">
        <v>1</v>
      </c>
      <c r="BD148" s="32">
        <v>0.5</v>
      </c>
      <c r="BE148" s="32">
        <v>0</v>
      </c>
      <c r="BF148" s="32">
        <v>1</v>
      </c>
      <c r="BG148" s="32">
        <v>0.5</v>
      </c>
      <c r="BH148" s="32">
        <v>0.5</v>
      </c>
      <c r="BI148" s="32">
        <v>0</v>
      </c>
      <c r="BJ148" s="32">
        <v>0.5</v>
      </c>
      <c r="BK148" s="32">
        <v>0</v>
      </c>
      <c r="BL148" s="32">
        <v>0</v>
      </c>
      <c r="BM148" s="23">
        <v>1</v>
      </c>
      <c r="BN148" s="29">
        <v>0.5</v>
      </c>
      <c r="BO148" s="32">
        <v>0</v>
      </c>
      <c r="BP148" s="32">
        <v>0</v>
      </c>
      <c r="BQ148" s="29">
        <v>1</v>
      </c>
      <c r="BR148" s="29">
        <v>1</v>
      </c>
      <c r="BT148">
        <f t="shared" si="83"/>
        <v>63</v>
      </c>
      <c r="BU148">
        <f t="shared" si="84"/>
        <v>36.5</v>
      </c>
      <c r="BV148" s="25">
        <f t="shared" si="85"/>
        <v>0.57936507936507942</v>
      </c>
    </row>
    <row r="149" spans="2:74" ht="51.75" thickBot="1" x14ac:dyDescent="0.3">
      <c r="B149" s="26" t="s">
        <v>68</v>
      </c>
      <c r="D149" s="22">
        <v>16</v>
      </c>
      <c r="E149" s="32">
        <v>1</v>
      </c>
      <c r="F149" s="32">
        <v>1</v>
      </c>
      <c r="G149" s="24">
        <v>1</v>
      </c>
      <c r="H149" s="32">
        <v>1</v>
      </c>
      <c r="I149" s="32">
        <v>1</v>
      </c>
      <c r="J149" s="32">
        <v>1</v>
      </c>
      <c r="K149" s="32">
        <v>1</v>
      </c>
      <c r="L149" s="32">
        <v>1</v>
      </c>
      <c r="M149" s="32">
        <v>0.5</v>
      </c>
      <c r="N149" s="32">
        <v>1</v>
      </c>
      <c r="O149" s="32">
        <v>1</v>
      </c>
      <c r="P149" s="32">
        <v>1</v>
      </c>
      <c r="Q149" s="32">
        <v>0.5</v>
      </c>
      <c r="R149" s="32">
        <v>0.5</v>
      </c>
      <c r="S149" s="32">
        <v>1</v>
      </c>
      <c r="T149" s="32">
        <v>1</v>
      </c>
      <c r="U149" s="23">
        <v>1</v>
      </c>
      <c r="V149" s="29">
        <v>1</v>
      </c>
      <c r="W149" s="32">
        <v>0</v>
      </c>
      <c r="X149" s="32">
        <v>1</v>
      </c>
      <c r="Y149" s="29">
        <v>0.5</v>
      </c>
      <c r="Z149" s="29">
        <v>0.5</v>
      </c>
      <c r="AA149" s="32">
        <v>1</v>
      </c>
      <c r="AB149" s="32">
        <v>1</v>
      </c>
      <c r="AC149" s="24">
        <v>1</v>
      </c>
      <c r="AD149" s="32">
        <v>0.5</v>
      </c>
      <c r="AE149" s="32">
        <v>1</v>
      </c>
      <c r="AF149" s="32">
        <v>1</v>
      </c>
      <c r="AG149" s="32">
        <v>1</v>
      </c>
      <c r="AH149" s="32">
        <v>1</v>
      </c>
      <c r="AI149" s="32">
        <v>0.5</v>
      </c>
      <c r="AJ149" s="32">
        <v>1</v>
      </c>
      <c r="AK149" s="32">
        <v>1</v>
      </c>
      <c r="AL149" s="32">
        <v>1</v>
      </c>
      <c r="AM149" s="32">
        <v>0.5</v>
      </c>
      <c r="AN149" s="32">
        <v>0.5</v>
      </c>
      <c r="AO149" s="32">
        <v>1</v>
      </c>
      <c r="AP149" s="32">
        <v>0</v>
      </c>
      <c r="AQ149" s="23">
        <v>1</v>
      </c>
      <c r="AR149" s="29">
        <v>1</v>
      </c>
      <c r="AS149" s="32">
        <v>0</v>
      </c>
      <c r="AT149" s="32">
        <v>0.5</v>
      </c>
      <c r="AU149" s="29">
        <v>0.5</v>
      </c>
      <c r="AV149" s="29">
        <v>0.5</v>
      </c>
      <c r="AW149" s="32">
        <v>1</v>
      </c>
      <c r="AX149" s="32">
        <v>1</v>
      </c>
      <c r="AY149" s="24">
        <v>1</v>
      </c>
      <c r="AZ149" s="32">
        <v>1</v>
      </c>
      <c r="BA149" s="32">
        <v>1</v>
      </c>
      <c r="BB149" s="32">
        <v>1</v>
      </c>
      <c r="BC149" s="32">
        <v>1</v>
      </c>
      <c r="BD149" s="32">
        <v>1</v>
      </c>
      <c r="BE149" s="32">
        <v>0.5</v>
      </c>
      <c r="BF149" s="32">
        <v>1</v>
      </c>
      <c r="BG149" s="32">
        <v>1</v>
      </c>
      <c r="BH149" s="32">
        <v>1</v>
      </c>
      <c r="BI149" s="32">
        <v>1</v>
      </c>
      <c r="BJ149" s="32">
        <v>0.5</v>
      </c>
      <c r="BK149" s="32">
        <v>1</v>
      </c>
      <c r="BL149" s="32">
        <v>0.5</v>
      </c>
      <c r="BM149" s="23">
        <v>1</v>
      </c>
      <c r="BN149" s="29">
        <v>1</v>
      </c>
      <c r="BO149" s="32">
        <v>0</v>
      </c>
      <c r="BP149" s="32">
        <v>0.5</v>
      </c>
      <c r="BQ149" s="29">
        <v>1</v>
      </c>
      <c r="BR149" s="29">
        <v>1</v>
      </c>
      <c r="BT149">
        <f t="shared" si="83"/>
        <v>66</v>
      </c>
      <c r="BU149">
        <f t="shared" si="84"/>
        <v>54</v>
      </c>
      <c r="BV149" s="25">
        <f t="shared" si="85"/>
        <v>0.81818181818181823</v>
      </c>
    </row>
    <row r="150" spans="2:74" ht="39" thickBot="1" x14ac:dyDescent="0.3">
      <c r="B150" s="26" t="s">
        <v>69</v>
      </c>
      <c r="D150" s="22">
        <v>17</v>
      </c>
      <c r="E150" s="32">
        <v>1</v>
      </c>
      <c r="F150" s="32">
        <v>1</v>
      </c>
      <c r="G150" s="24">
        <v>1</v>
      </c>
      <c r="H150" s="32">
        <v>1</v>
      </c>
      <c r="I150" s="32">
        <v>1</v>
      </c>
      <c r="J150" s="32">
        <v>1</v>
      </c>
      <c r="K150" s="32">
        <v>1</v>
      </c>
      <c r="L150" s="32">
        <v>1</v>
      </c>
      <c r="M150" s="32">
        <v>0.5</v>
      </c>
      <c r="N150" s="32">
        <v>0</v>
      </c>
      <c r="O150" s="32">
        <v>1</v>
      </c>
      <c r="P150" s="32">
        <v>1</v>
      </c>
      <c r="Q150" s="32">
        <v>1</v>
      </c>
      <c r="R150" s="32">
        <v>0.5</v>
      </c>
      <c r="S150" s="32">
        <v>1</v>
      </c>
      <c r="T150" s="32">
        <v>1</v>
      </c>
      <c r="U150" s="23">
        <v>1</v>
      </c>
      <c r="V150" s="29">
        <v>1</v>
      </c>
      <c r="W150" s="32">
        <v>1</v>
      </c>
      <c r="X150" s="32">
        <v>1</v>
      </c>
      <c r="Y150" s="29">
        <v>0.5</v>
      </c>
      <c r="Z150" s="29">
        <v>0.5</v>
      </c>
      <c r="AA150" s="32">
        <v>1</v>
      </c>
      <c r="AB150" s="32">
        <v>1</v>
      </c>
      <c r="AC150" s="24">
        <v>1</v>
      </c>
      <c r="AD150" s="32">
        <v>0.5</v>
      </c>
      <c r="AE150" s="32">
        <v>1</v>
      </c>
      <c r="AF150" s="32">
        <v>1</v>
      </c>
      <c r="AG150" s="32">
        <v>0</v>
      </c>
      <c r="AH150" s="32">
        <v>1</v>
      </c>
      <c r="AI150" s="32">
        <v>0.5</v>
      </c>
      <c r="AJ150" s="32">
        <v>0</v>
      </c>
      <c r="AK150" s="32">
        <v>1</v>
      </c>
      <c r="AL150" s="32">
        <v>1</v>
      </c>
      <c r="AM150" s="32">
        <v>0.5</v>
      </c>
      <c r="AN150" s="32">
        <v>0.5</v>
      </c>
      <c r="AO150" s="32">
        <v>1</v>
      </c>
      <c r="AP150" s="32">
        <v>0</v>
      </c>
      <c r="AQ150" s="23">
        <v>1</v>
      </c>
      <c r="AR150" s="29">
        <v>0</v>
      </c>
      <c r="AS150" s="32">
        <v>0</v>
      </c>
      <c r="AT150" s="32">
        <v>0</v>
      </c>
      <c r="AU150" s="29">
        <v>0.5</v>
      </c>
      <c r="AV150" s="29">
        <v>0.5</v>
      </c>
      <c r="AW150" s="32">
        <v>1</v>
      </c>
      <c r="AX150" s="32">
        <v>1</v>
      </c>
      <c r="AY150" s="24">
        <v>1</v>
      </c>
      <c r="AZ150" s="32">
        <v>1</v>
      </c>
      <c r="BA150" s="32">
        <v>1</v>
      </c>
      <c r="BB150" s="32">
        <v>1</v>
      </c>
      <c r="BC150" s="32">
        <v>0</v>
      </c>
      <c r="BD150" s="32">
        <v>1</v>
      </c>
      <c r="BE150" s="32">
        <v>0.5</v>
      </c>
      <c r="BF150" s="32">
        <v>0</v>
      </c>
      <c r="BG150" s="32">
        <v>0.5</v>
      </c>
      <c r="BH150" s="32">
        <v>1</v>
      </c>
      <c r="BI150" s="32">
        <v>0</v>
      </c>
      <c r="BJ150" s="32">
        <v>0.5</v>
      </c>
      <c r="BK150" s="32">
        <v>0</v>
      </c>
      <c r="BL150" s="32">
        <v>0.5</v>
      </c>
      <c r="BM150" s="23">
        <v>1</v>
      </c>
      <c r="BN150" s="29">
        <v>0.5</v>
      </c>
      <c r="BO150" s="32">
        <v>0</v>
      </c>
      <c r="BP150" s="32">
        <v>1</v>
      </c>
      <c r="BQ150" s="29">
        <v>1</v>
      </c>
      <c r="BR150" s="29">
        <v>1</v>
      </c>
      <c r="BT150">
        <f t="shared" si="83"/>
        <v>66</v>
      </c>
      <c r="BU150">
        <f t="shared" si="84"/>
        <v>46.5</v>
      </c>
      <c r="BV150" s="25">
        <f t="shared" si="85"/>
        <v>0.70454545454545459</v>
      </c>
    </row>
    <row r="151" spans="2:74" ht="39" thickBot="1" x14ac:dyDescent="0.3">
      <c r="B151" s="33" t="s">
        <v>70</v>
      </c>
      <c r="D151" s="22">
        <v>18</v>
      </c>
      <c r="E151" s="32">
        <v>1</v>
      </c>
      <c r="F151" s="32">
        <v>0.5</v>
      </c>
      <c r="G151" s="24">
        <v>1</v>
      </c>
      <c r="H151" s="32">
        <v>0.5</v>
      </c>
      <c r="I151" s="32">
        <v>1</v>
      </c>
      <c r="J151" s="32">
        <v>1</v>
      </c>
      <c r="K151" s="32"/>
      <c r="L151" s="32">
        <v>1</v>
      </c>
      <c r="M151" s="24">
        <v>0.5</v>
      </c>
      <c r="N151" s="32">
        <v>1</v>
      </c>
      <c r="O151" s="32">
        <v>1</v>
      </c>
      <c r="P151" s="32">
        <v>1</v>
      </c>
      <c r="Q151" s="32">
        <v>1</v>
      </c>
      <c r="R151" s="32">
        <v>0.5</v>
      </c>
      <c r="S151" s="32">
        <v>1</v>
      </c>
      <c r="T151" s="32">
        <v>0</v>
      </c>
      <c r="U151" s="23">
        <v>1</v>
      </c>
      <c r="V151" s="29">
        <v>1</v>
      </c>
      <c r="W151" s="32">
        <v>0</v>
      </c>
      <c r="X151" s="32">
        <v>1</v>
      </c>
      <c r="Y151" s="29">
        <v>0.5</v>
      </c>
      <c r="Z151" s="29">
        <v>0.5</v>
      </c>
      <c r="AA151" s="32">
        <v>1</v>
      </c>
      <c r="AB151" s="32">
        <v>0.5</v>
      </c>
      <c r="AC151" s="24">
        <v>1</v>
      </c>
      <c r="AD151" s="32">
        <v>0.5</v>
      </c>
      <c r="AE151" s="32">
        <v>1</v>
      </c>
      <c r="AF151" s="32">
        <v>1</v>
      </c>
      <c r="AG151" s="32"/>
      <c r="AH151" s="32">
        <v>1</v>
      </c>
      <c r="AI151" s="24">
        <v>0.5</v>
      </c>
      <c r="AJ151" s="32">
        <v>1</v>
      </c>
      <c r="AK151" s="32">
        <v>1</v>
      </c>
      <c r="AL151" s="32">
        <v>1</v>
      </c>
      <c r="AM151" s="32">
        <v>0.5</v>
      </c>
      <c r="AN151" s="32">
        <v>0.5</v>
      </c>
      <c r="AO151" s="32">
        <v>1</v>
      </c>
      <c r="AP151" s="32">
        <v>0</v>
      </c>
      <c r="AQ151" s="23">
        <v>1</v>
      </c>
      <c r="AR151" s="29">
        <v>1</v>
      </c>
      <c r="AS151" s="32">
        <v>0</v>
      </c>
      <c r="AT151" s="32">
        <v>1</v>
      </c>
      <c r="AU151" s="29">
        <v>0.5</v>
      </c>
      <c r="AV151" s="29">
        <v>0.5</v>
      </c>
      <c r="AW151" s="32">
        <v>1</v>
      </c>
      <c r="AX151" s="32">
        <v>0.5</v>
      </c>
      <c r="AY151" s="24">
        <v>1</v>
      </c>
      <c r="AZ151" s="32">
        <v>0.5</v>
      </c>
      <c r="BA151" s="32">
        <v>1</v>
      </c>
      <c r="BB151" s="32">
        <v>1</v>
      </c>
      <c r="BC151" s="32"/>
      <c r="BD151" s="32">
        <v>1</v>
      </c>
      <c r="BE151" s="24">
        <v>0.5</v>
      </c>
      <c r="BF151" s="32">
        <v>1</v>
      </c>
      <c r="BG151" s="32">
        <v>1</v>
      </c>
      <c r="BH151" s="32">
        <v>1</v>
      </c>
      <c r="BI151" s="32">
        <v>1</v>
      </c>
      <c r="BJ151" s="32">
        <v>0.5</v>
      </c>
      <c r="BK151" s="32">
        <v>1</v>
      </c>
      <c r="BL151" s="32">
        <v>0</v>
      </c>
      <c r="BM151" s="23">
        <v>1</v>
      </c>
      <c r="BN151" s="29">
        <v>1</v>
      </c>
      <c r="BO151" s="32">
        <v>0</v>
      </c>
      <c r="BP151" s="32">
        <v>1</v>
      </c>
      <c r="BQ151" s="29">
        <v>1</v>
      </c>
      <c r="BR151" s="29">
        <v>1</v>
      </c>
      <c r="BT151">
        <f t="shared" si="83"/>
        <v>63</v>
      </c>
      <c r="BU151">
        <f t="shared" si="84"/>
        <v>48.5</v>
      </c>
      <c r="BV151" s="25">
        <f t="shared" si="85"/>
        <v>0.76984126984126988</v>
      </c>
    </row>
    <row r="152" spans="2:74" ht="52.5" thickTop="1" thickBot="1" x14ac:dyDescent="0.3">
      <c r="B152" s="34" t="s">
        <v>71</v>
      </c>
      <c r="D152" s="22">
        <v>19</v>
      </c>
      <c r="E152" s="32">
        <v>1</v>
      </c>
      <c r="F152" s="32">
        <v>1</v>
      </c>
      <c r="G152" s="24">
        <v>1</v>
      </c>
      <c r="H152" s="32">
        <v>0.5</v>
      </c>
      <c r="I152" s="32">
        <v>1</v>
      </c>
      <c r="J152" s="32">
        <v>1</v>
      </c>
      <c r="K152" s="32">
        <v>1</v>
      </c>
      <c r="L152" s="32">
        <v>1</v>
      </c>
      <c r="M152" s="24">
        <v>1</v>
      </c>
      <c r="N152" s="32"/>
      <c r="O152" s="32">
        <v>0</v>
      </c>
      <c r="P152" s="32">
        <v>0.5</v>
      </c>
      <c r="Q152" s="32">
        <v>1</v>
      </c>
      <c r="R152" s="32">
        <v>0.5</v>
      </c>
      <c r="S152" s="32">
        <v>1</v>
      </c>
      <c r="T152" s="32">
        <v>1</v>
      </c>
      <c r="U152" s="23">
        <v>1</v>
      </c>
      <c r="V152" s="29">
        <v>1</v>
      </c>
      <c r="W152" s="32">
        <v>1</v>
      </c>
      <c r="X152" s="32">
        <v>1</v>
      </c>
      <c r="Y152" s="29">
        <v>0.5</v>
      </c>
      <c r="Z152" s="29">
        <v>0.5</v>
      </c>
      <c r="AA152" s="32">
        <v>1</v>
      </c>
      <c r="AB152" s="32">
        <v>1</v>
      </c>
      <c r="AC152" s="24">
        <v>1</v>
      </c>
      <c r="AD152" s="32">
        <v>1</v>
      </c>
      <c r="AE152" s="32">
        <v>1</v>
      </c>
      <c r="AF152" s="32">
        <v>1</v>
      </c>
      <c r="AG152" s="32">
        <v>1</v>
      </c>
      <c r="AH152" s="32">
        <v>1</v>
      </c>
      <c r="AI152" s="24">
        <v>1</v>
      </c>
      <c r="AJ152" s="32"/>
      <c r="AK152" s="32">
        <v>1</v>
      </c>
      <c r="AL152" s="32">
        <v>0.5</v>
      </c>
      <c r="AM152" s="32">
        <v>1</v>
      </c>
      <c r="AN152" s="32">
        <v>0.5</v>
      </c>
      <c r="AO152" s="32">
        <v>1</v>
      </c>
      <c r="AP152" s="32">
        <v>0</v>
      </c>
      <c r="AQ152" s="23">
        <v>1</v>
      </c>
      <c r="AR152" s="29">
        <v>1</v>
      </c>
      <c r="AS152" s="32">
        <v>0</v>
      </c>
      <c r="AT152" s="32">
        <v>1</v>
      </c>
      <c r="AU152" s="29">
        <v>0.5</v>
      </c>
      <c r="AV152" s="29">
        <v>0.5</v>
      </c>
      <c r="AW152" s="32">
        <v>1</v>
      </c>
      <c r="AX152" s="32">
        <v>1</v>
      </c>
      <c r="AY152" s="24">
        <v>1</v>
      </c>
      <c r="AZ152" s="32">
        <v>1</v>
      </c>
      <c r="BA152" s="32">
        <v>1</v>
      </c>
      <c r="BB152" s="32">
        <v>1</v>
      </c>
      <c r="BC152" s="32">
        <v>1</v>
      </c>
      <c r="BD152" s="32">
        <v>1</v>
      </c>
      <c r="BE152" s="24">
        <v>1</v>
      </c>
      <c r="BF152" s="32"/>
      <c r="BG152" s="32">
        <v>1</v>
      </c>
      <c r="BH152" s="32">
        <v>0.5</v>
      </c>
      <c r="BI152" s="32">
        <v>1</v>
      </c>
      <c r="BJ152" s="32">
        <v>0.5</v>
      </c>
      <c r="BK152" s="32">
        <v>1</v>
      </c>
      <c r="BL152" s="32">
        <v>1</v>
      </c>
      <c r="BM152" s="23">
        <v>1</v>
      </c>
      <c r="BN152" s="29">
        <v>1</v>
      </c>
      <c r="BO152" s="32">
        <v>0</v>
      </c>
      <c r="BP152" s="32">
        <v>1</v>
      </c>
      <c r="BQ152" s="29">
        <v>1</v>
      </c>
      <c r="BR152" s="29">
        <v>1</v>
      </c>
      <c r="BT152">
        <f t="shared" si="83"/>
        <v>63</v>
      </c>
      <c r="BU152">
        <f t="shared" si="84"/>
        <v>53.5</v>
      </c>
      <c r="BV152" s="25">
        <f t="shared" si="85"/>
        <v>0.84920634920634919</v>
      </c>
    </row>
    <row r="153" spans="2:74" ht="39" thickBot="1" x14ac:dyDescent="0.3">
      <c r="B153" s="33" t="s">
        <v>72</v>
      </c>
      <c r="D153" s="22">
        <v>20</v>
      </c>
      <c r="E153" s="32">
        <v>1</v>
      </c>
      <c r="F153" s="32">
        <v>1</v>
      </c>
      <c r="G153" s="24">
        <v>1</v>
      </c>
      <c r="H153" s="32">
        <v>1</v>
      </c>
      <c r="I153" s="32">
        <v>1</v>
      </c>
      <c r="J153" s="32">
        <v>0</v>
      </c>
      <c r="K153" s="32">
        <v>1</v>
      </c>
      <c r="L153" s="32">
        <v>1</v>
      </c>
      <c r="M153" s="24">
        <v>1</v>
      </c>
      <c r="N153" s="32">
        <v>1</v>
      </c>
      <c r="O153" s="32">
        <v>0</v>
      </c>
      <c r="P153" s="32">
        <v>1</v>
      </c>
      <c r="Q153" s="32">
        <v>0</v>
      </c>
      <c r="R153" s="32">
        <v>0.5</v>
      </c>
      <c r="S153" s="32">
        <v>1</v>
      </c>
      <c r="T153" s="32">
        <v>0</v>
      </c>
      <c r="U153" s="23">
        <v>1</v>
      </c>
      <c r="V153" s="29">
        <v>1</v>
      </c>
      <c r="W153" s="32">
        <v>0</v>
      </c>
      <c r="X153" s="32">
        <v>1</v>
      </c>
      <c r="Y153" s="29">
        <v>0.5</v>
      </c>
      <c r="Z153" s="29">
        <v>0.5</v>
      </c>
      <c r="AA153" s="32">
        <v>1</v>
      </c>
      <c r="AB153" s="32">
        <v>1</v>
      </c>
      <c r="AC153" s="24">
        <v>1</v>
      </c>
      <c r="AD153" s="32">
        <v>0.5</v>
      </c>
      <c r="AE153" s="32">
        <v>1</v>
      </c>
      <c r="AF153" s="32">
        <v>1</v>
      </c>
      <c r="AG153" s="32">
        <v>1</v>
      </c>
      <c r="AH153" s="32">
        <v>1</v>
      </c>
      <c r="AI153" s="24">
        <v>1</v>
      </c>
      <c r="AJ153" s="32">
        <v>1</v>
      </c>
      <c r="AK153" s="32">
        <v>0</v>
      </c>
      <c r="AL153" s="32">
        <v>1</v>
      </c>
      <c r="AM153" s="32">
        <v>0</v>
      </c>
      <c r="AN153" s="32">
        <v>0.5</v>
      </c>
      <c r="AO153" s="32">
        <v>1</v>
      </c>
      <c r="AP153" s="32">
        <v>0</v>
      </c>
      <c r="AQ153" s="23">
        <v>1</v>
      </c>
      <c r="AR153" s="29">
        <v>1</v>
      </c>
      <c r="AS153" s="32">
        <v>0</v>
      </c>
      <c r="AT153" s="32">
        <v>1</v>
      </c>
      <c r="AU153" s="29">
        <v>0.5</v>
      </c>
      <c r="AV153" s="29">
        <v>0.5</v>
      </c>
      <c r="AW153" s="32">
        <v>1</v>
      </c>
      <c r="AX153" s="32">
        <v>1</v>
      </c>
      <c r="AY153" s="24">
        <v>1</v>
      </c>
      <c r="AZ153" s="32">
        <v>0.5</v>
      </c>
      <c r="BA153" s="32">
        <v>1</v>
      </c>
      <c r="BB153" s="32">
        <v>1</v>
      </c>
      <c r="BC153" s="32">
        <v>0</v>
      </c>
      <c r="BD153" s="32">
        <v>1</v>
      </c>
      <c r="BE153" s="24">
        <v>1</v>
      </c>
      <c r="BF153" s="32">
        <v>1</v>
      </c>
      <c r="BG153" s="32">
        <v>0</v>
      </c>
      <c r="BH153" s="32">
        <v>1</v>
      </c>
      <c r="BI153" s="32">
        <v>1</v>
      </c>
      <c r="BJ153" s="32">
        <v>0.5</v>
      </c>
      <c r="BK153" s="32">
        <v>1</v>
      </c>
      <c r="BL153" s="32">
        <v>1</v>
      </c>
      <c r="BM153" s="23">
        <v>1</v>
      </c>
      <c r="BN153" s="29">
        <v>1</v>
      </c>
      <c r="BO153" s="32">
        <v>1</v>
      </c>
      <c r="BP153" s="32">
        <v>1</v>
      </c>
      <c r="BQ153" s="29">
        <v>1</v>
      </c>
      <c r="BR153" s="29">
        <v>1</v>
      </c>
      <c r="BT153">
        <f t="shared" si="83"/>
        <v>66</v>
      </c>
      <c r="BU153">
        <f t="shared" si="84"/>
        <v>50.5</v>
      </c>
      <c r="BV153" s="25">
        <f t="shared" si="85"/>
        <v>0.76515151515151514</v>
      </c>
    </row>
    <row r="154" spans="2:74" ht="51.75" thickBot="1" x14ac:dyDescent="0.3">
      <c r="B154" s="33" t="s">
        <v>73</v>
      </c>
      <c r="D154" s="22">
        <v>21</v>
      </c>
      <c r="E154" s="32">
        <v>0.5</v>
      </c>
      <c r="F154" s="32">
        <v>1</v>
      </c>
      <c r="G154" s="24">
        <v>1</v>
      </c>
      <c r="H154" s="32">
        <v>1</v>
      </c>
      <c r="I154" s="32">
        <v>1</v>
      </c>
      <c r="J154" s="32">
        <v>1</v>
      </c>
      <c r="K154" s="32"/>
      <c r="L154" s="32">
        <v>1</v>
      </c>
      <c r="M154" s="24">
        <v>1</v>
      </c>
      <c r="N154" s="32">
        <v>1</v>
      </c>
      <c r="O154" s="32">
        <v>1</v>
      </c>
      <c r="P154" s="32">
        <v>0.5</v>
      </c>
      <c r="Q154" s="32">
        <v>1</v>
      </c>
      <c r="R154" s="32">
        <v>0.5</v>
      </c>
      <c r="S154" s="32">
        <v>0</v>
      </c>
      <c r="T154" s="32">
        <v>1</v>
      </c>
      <c r="U154" s="23">
        <v>1</v>
      </c>
      <c r="V154" s="29">
        <v>1</v>
      </c>
      <c r="W154" s="32">
        <v>1</v>
      </c>
      <c r="X154" s="32">
        <v>1</v>
      </c>
      <c r="Y154" s="29">
        <v>0.5</v>
      </c>
      <c r="Z154" s="29">
        <v>0.5</v>
      </c>
      <c r="AA154" s="32">
        <v>0.5</v>
      </c>
      <c r="AB154" s="32">
        <v>1</v>
      </c>
      <c r="AC154" s="24">
        <v>1</v>
      </c>
      <c r="AD154" s="32">
        <v>1</v>
      </c>
      <c r="AE154" s="32">
        <v>1</v>
      </c>
      <c r="AF154" s="32">
        <v>1</v>
      </c>
      <c r="AG154" s="32"/>
      <c r="AH154" s="32">
        <v>1</v>
      </c>
      <c r="AI154" s="24">
        <v>0.5</v>
      </c>
      <c r="AJ154" s="32">
        <v>1</v>
      </c>
      <c r="AK154" s="32">
        <v>1</v>
      </c>
      <c r="AL154" s="32">
        <v>0.5</v>
      </c>
      <c r="AM154" s="32">
        <v>1</v>
      </c>
      <c r="AN154" s="32">
        <v>0.5</v>
      </c>
      <c r="AO154" s="32">
        <v>0</v>
      </c>
      <c r="AP154" s="32">
        <v>1</v>
      </c>
      <c r="AQ154" s="23">
        <v>1</v>
      </c>
      <c r="AR154" s="29">
        <v>1</v>
      </c>
      <c r="AS154" s="32">
        <v>0.5</v>
      </c>
      <c r="AT154" s="32">
        <v>1</v>
      </c>
      <c r="AU154" s="29">
        <v>0.5</v>
      </c>
      <c r="AV154" s="29">
        <v>0.5</v>
      </c>
      <c r="AW154" s="32">
        <v>0.5</v>
      </c>
      <c r="AX154" s="32">
        <v>1</v>
      </c>
      <c r="AY154" s="24">
        <v>1</v>
      </c>
      <c r="AZ154" s="32">
        <v>1</v>
      </c>
      <c r="BA154" s="32">
        <v>1</v>
      </c>
      <c r="BB154" s="32">
        <v>1</v>
      </c>
      <c r="BC154" s="32"/>
      <c r="BD154" s="32">
        <v>1</v>
      </c>
      <c r="BE154" s="24">
        <v>0.5</v>
      </c>
      <c r="BF154" s="32">
        <v>1</v>
      </c>
      <c r="BG154" s="32">
        <v>1</v>
      </c>
      <c r="BH154" s="32">
        <v>0.5</v>
      </c>
      <c r="BI154" s="32">
        <v>0.5</v>
      </c>
      <c r="BJ154" s="32">
        <v>0.5</v>
      </c>
      <c r="BK154" s="32">
        <v>0</v>
      </c>
      <c r="BL154" s="32">
        <v>0</v>
      </c>
      <c r="BM154" s="23">
        <v>1</v>
      </c>
      <c r="BN154" s="29">
        <v>1</v>
      </c>
      <c r="BO154" s="32">
        <v>0.5</v>
      </c>
      <c r="BP154" s="32">
        <v>1</v>
      </c>
      <c r="BQ154" s="29">
        <v>1</v>
      </c>
      <c r="BR154" s="29">
        <v>1</v>
      </c>
      <c r="BT154">
        <f t="shared" si="83"/>
        <v>63</v>
      </c>
      <c r="BU154">
        <f t="shared" si="84"/>
        <v>50</v>
      </c>
      <c r="BV154" s="25">
        <f t="shared" si="85"/>
        <v>0.79365079365079361</v>
      </c>
    </row>
    <row r="155" spans="2:74" ht="26.25" thickBot="1" x14ac:dyDescent="0.3">
      <c r="B155" s="27" t="s">
        <v>74</v>
      </c>
      <c r="D155" s="22">
        <v>22</v>
      </c>
      <c r="E155" s="32">
        <v>1</v>
      </c>
      <c r="F155" s="32">
        <v>1</v>
      </c>
      <c r="G155" s="24">
        <v>1</v>
      </c>
      <c r="H155" s="32">
        <v>1</v>
      </c>
      <c r="I155" s="32">
        <v>1</v>
      </c>
      <c r="J155" s="32">
        <v>1</v>
      </c>
      <c r="K155" s="32">
        <v>0</v>
      </c>
      <c r="L155" s="32">
        <v>1</v>
      </c>
      <c r="M155" s="24">
        <v>0.5</v>
      </c>
      <c r="N155" s="32">
        <v>1</v>
      </c>
      <c r="O155" s="32">
        <v>1</v>
      </c>
      <c r="P155" s="32">
        <v>0.5</v>
      </c>
      <c r="Q155" s="32">
        <v>1</v>
      </c>
      <c r="R155" s="32">
        <v>0.5</v>
      </c>
      <c r="S155" s="32">
        <v>1</v>
      </c>
      <c r="T155" s="32">
        <v>1</v>
      </c>
      <c r="U155" s="23">
        <v>1</v>
      </c>
      <c r="V155" s="29">
        <v>1</v>
      </c>
      <c r="W155" s="32">
        <v>0</v>
      </c>
      <c r="X155" s="32">
        <v>1</v>
      </c>
      <c r="Y155" s="29">
        <v>1</v>
      </c>
      <c r="Z155" s="29">
        <v>1</v>
      </c>
      <c r="AA155" s="32">
        <v>1</v>
      </c>
      <c r="AB155" s="32">
        <v>1</v>
      </c>
      <c r="AC155" s="24">
        <v>1</v>
      </c>
      <c r="AD155" s="32">
        <v>1</v>
      </c>
      <c r="AE155" s="32">
        <v>1</v>
      </c>
      <c r="AF155" s="32">
        <v>1</v>
      </c>
      <c r="AG155" s="32">
        <v>0</v>
      </c>
      <c r="AH155" s="32">
        <v>1</v>
      </c>
      <c r="AI155" s="24">
        <v>0.5</v>
      </c>
      <c r="AJ155" s="32">
        <v>1</v>
      </c>
      <c r="AK155" s="32">
        <v>1</v>
      </c>
      <c r="AL155" s="32">
        <v>0.5</v>
      </c>
      <c r="AM155" s="32">
        <v>0.5</v>
      </c>
      <c r="AN155" s="32">
        <v>0.5</v>
      </c>
      <c r="AO155" s="32">
        <v>0</v>
      </c>
      <c r="AP155" s="32">
        <v>1</v>
      </c>
      <c r="AQ155" s="23">
        <v>1</v>
      </c>
      <c r="AR155" s="29">
        <v>1</v>
      </c>
      <c r="AS155" s="32">
        <v>0</v>
      </c>
      <c r="AT155" s="32">
        <v>1</v>
      </c>
      <c r="AU155" s="29">
        <v>1</v>
      </c>
      <c r="AV155" s="29">
        <v>1</v>
      </c>
      <c r="AW155" s="32">
        <v>0.5</v>
      </c>
      <c r="AX155" s="32">
        <v>1</v>
      </c>
      <c r="AY155" s="24">
        <v>1</v>
      </c>
      <c r="AZ155" s="32">
        <v>1</v>
      </c>
      <c r="BA155" s="32">
        <v>1</v>
      </c>
      <c r="BB155" s="32">
        <v>1</v>
      </c>
      <c r="BC155" s="32">
        <v>0</v>
      </c>
      <c r="BD155" s="32">
        <v>1</v>
      </c>
      <c r="BE155" s="24">
        <v>0.5</v>
      </c>
      <c r="BF155" s="32">
        <v>1</v>
      </c>
      <c r="BG155" s="32">
        <v>1</v>
      </c>
      <c r="BH155" s="32">
        <v>0.5</v>
      </c>
      <c r="BI155" s="32">
        <v>0.5</v>
      </c>
      <c r="BJ155" s="32">
        <v>0.5</v>
      </c>
      <c r="BK155" s="32">
        <v>0</v>
      </c>
      <c r="BL155" s="32">
        <v>1</v>
      </c>
      <c r="BM155" s="23">
        <v>1</v>
      </c>
      <c r="BN155" s="29">
        <v>1</v>
      </c>
      <c r="BO155" s="32">
        <v>0</v>
      </c>
      <c r="BP155" s="32">
        <v>1</v>
      </c>
      <c r="BQ155" s="29">
        <v>1</v>
      </c>
      <c r="BR155" s="29">
        <v>1</v>
      </c>
      <c r="BT155">
        <f t="shared" si="83"/>
        <v>66</v>
      </c>
      <c r="BU155">
        <f t="shared" si="84"/>
        <v>52</v>
      </c>
      <c r="BV155" s="25">
        <f t="shared" si="85"/>
        <v>0.78787878787878785</v>
      </c>
    </row>
    <row r="156" spans="2:74" ht="26.25" thickBot="1" x14ac:dyDescent="0.3">
      <c r="B156" s="21" t="s">
        <v>75</v>
      </c>
      <c r="D156" s="22">
        <v>23</v>
      </c>
      <c r="E156" s="32">
        <v>1</v>
      </c>
      <c r="F156" s="32">
        <v>1</v>
      </c>
      <c r="G156" s="24">
        <v>1</v>
      </c>
      <c r="H156" s="32">
        <v>1</v>
      </c>
      <c r="I156" s="32">
        <v>1</v>
      </c>
      <c r="J156" s="32">
        <v>1</v>
      </c>
      <c r="K156" s="32">
        <v>0.5</v>
      </c>
      <c r="L156" s="32">
        <v>1</v>
      </c>
      <c r="M156" s="24">
        <v>1</v>
      </c>
      <c r="N156" s="32">
        <v>1</v>
      </c>
      <c r="O156" s="32">
        <v>1</v>
      </c>
      <c r="P156" s="32">
        <v>0.5</v>
      </c>
      <c r="Q156" s="32">
        <v>1</v>
      </c>
      <c r="R156" s="32">
        <v>0.5</v>
      </c>
      <c r="S156" s="32">
        <v>1</v>
      </c>
      <c r="T156" s="32">
        <v>1</v>
      </c>
      <c r="U156" s="23">
        <v>1</v>
      </c>
      <c r="V156" s="29">
        <v>1</v>
      </c>
      <c r="W156" s="32">
        <v>0</v>
      </c>
      <c r="X156" s="32">
        <v>1</v>
      </c>
      <c r="Y156" s="29">
        <v>1</v>
      </c>
      <c r="Z156" s="29">
        <v>1</v>
      </c>
      <c r="AA156" s="32">
        <v>0</v>
      </c>
      <c r="AB156" s="32">
        <v>1</v>
      </c>
      <c r="AC156" s="24">
        <v>1</v>
      </c>
      <c r="AD156" s="32">
        <v>1</v>
      </c>
      <c r="AE156" s="32">
        <v>1</v>
      </c>
      <c r="AF156" s="32">
        <v>1</v>
      </c>
      <c r="AG156" s="32">
        <v>0</v>
      </c>
      <c r="AH156" s="32">
        <v>1</v>
      </c>
      <c r="AI156" s="24">
        <v>1</v>
      </c>
      <c r="AJ156" s="32">
        <v>1</v>
      </c>
      <c r="AK156" s="32">
        <v>1</v>
      </c>
      <c r="AL156" s="32">
        <v>0.5</v>
      </c>
      <c r="AM156" s="32">
        <v>1</v>
      </c>
      <c r="AN156" s="32">
        <v>0.5</v>
      </c>
      <c r="AO156" s="32">
        <v>1</v>
      </c>
      <c r="AP156" s="32">
        <v>1</v>
      </c>
      <c r="AQ156" s="23">
        <v>1</v>
      </c>
      <c r="AR156" s="29">
        <v>1</v>
      </c>
      <c r="AS156" s="32">
        <v>0</v>
      </c>
      <c r="AT156" s="32">
        <v>1</v>
      </c>
      <c r="AU156" s="29">
        <v>0.5</v>
      </c>
      <c r="AV156" s="29">
        <v>0.5</v>
      </c>
      <c r="AW156" s="32">
        <v>0</v>
      </c>
      <c r="AX156" s="32">
        <v>1</v>
      </c>
      <c r="AY156" s="24">
        <v>1</v>
      </c>
      <c r="AZ156" s="32">
        <v>1</v>
      </c>
      <c r="BA156" s="32">
        <v>1</v>
      </c>
      <c r="BB156" s="32">
        <v>1</v>
      </c>
      <c r="BC156" s="32">
        <v>0</v>
      </c>
      <c r="BD156" s="32">
        <v>1</v>
      </c>
      <c r="BE156" s="24">
        <v>1</v>
      </c>
      <c r="BF156" s="32">
        <v>1</v>
      </c>
      <c r="BG156" s="32">
        <v>1</v>
      </c>
      <c r="BH156" s="32">
        <v>0.5</v>
      </c>
      <c r="BI156" s="32">
        <v>0.5</v>
      </c>
      <c r="BJ156" s="32">
        <v>0.5</v>
      </c>
      <c r="BK156" s="32">
        <v>1</v>
      </c>
      <c r="BL156" s="32">
        <v>0</v>
      </c>
      <c r="BM156" s="23">
        <v>1</v>
      </c>
      <c r="BN156" s="29">
        <v>1</v>
      </c>
      <c r="BO156" s="32">
        <v>0</v>
      </c>
      <c r="BP156" s="32">
        <v>1</v>
      </c>
      <c r="BQ156" s="29">
        <v>1</v>
      </c>
      <c r="BR156" s="29">
        <v>1</v>
      </c>
      <c r="BT156">
        <f t="shared" si="83"/>
        <v>66</v>
      </c>
      <c r="BU156">
        <f t="shared" si="84"/>
        <v>53</v>
      </c>
      <c r="BV156" s="25">
        <f t="shared" si="85"/>
        <v>0.80303030303030298</v>
      </c>
    </row>
    <row r="157" spans="2:74" ht="26.25" thickBot="1" x14ac:dyDescent="0.3">
      <c r="B157" s="21" t="s">
        <v>76</v>
      </c>
      <c r="D157" s="22">
        <v>24</v>
      </c>
      <c r="E157" s="32">
        <v>1</v>
      </c>
      <c r="F157" s="32"/>
      <c r="G157" s="24">
        <v>1</v>
      </c>
      <c r="H157" s="32">
        <v>1</v>
      </c>
      <c r="I157" s="32">
        <v>1</v>
      </c>
      <c r="J157" s="32">
        <v>1</v>
      </c>
      <c r="K157" s="32">
        <v>0.5</v>
      </c>
      <c r="L157" s="32">
        <v>1</v>
      </c>
      <c r="M157" s="24">
        <v>1</v>
      </c>
      <c r="N157" s="32"/>
      <c r="O157" s="32">
        <v>1</v>
      </c>
      <c r="P157" s="32">
        <v>0.5</v>
      </c>
      <c r="Q157" s="32">
        <v>0.5</v>
      </c>
      <c r="R157" s="32">
        <v>0.5</v>
      </c>
      <c r="S157" s="32">
        <v>0</v>
      </c>
      <c r="T157" s="32">
        <v>1</v>
      </c>
      <c r="U157" s="23">
        <v>1</v>
      </c>
      <c r="V157" s="29">
        <v>1</v>
      </c>
      <c r="W157" s="32">
        <v>0</v>
      </c>
      <c r="X157" s="32">
        <v>1</v>
      </c>
      <c r="Y157" s="29">
        <v>0.5</v>
      </c>
      <c r="Z157" s="29">
        <v>0.5</v>
      </c>
      <c r="AA157" s="32"/>
      <c r="AB157" s="32"/>
      <c r="AC157" s="24">
        <v>1</v>
      </c>
      <c r="AD157" s="32">
        <v>0.5</v>
      </c>
      <c r="AE157" s="32">
        <v>1</v>
      </c>
      <c r="AF157" s="32">
        <v>0.5</v>
      </c>
      <c r="AG157" s="32">
        <v>0</v>
      </c>
      <c r="AH157" s="32">
        <v>1</v>
      </c>
      <c r="AI157" s="24">
        <v>0.5</v>
      </c>
      <c r="AJ157" s="32"/>
      <c r="AK157" s="32">
        <v>1</v>
      </c>
      <c r="AL157" s="32">
        <v>0.5</v>
      </c>
      <c r="AM157" s="32">
        <v>0.5</v>
      </c>
      <c r="AN157" s="32">
        <v>0.5</v>
      </c>
      <c r="AO157" s="32">
        <v>0</v>
      </c>
      <c r="AP157" s="32">
        <v>1</v>
      </c>
      <c r="AQ157" s="23">
        <v>1</v>
      </c>
      <c r="AR157" s="29">
        <v>0.5</v>
      </c>
      <c r="AS157" s="32">
        <v>0</v>
      </c>
      <c r="AT157" s="32">
        <v>1</v>
      </c>
      <c r="AU157" s="29">
        <v>0.5</v>
      </c>
      <c r="AV157" s="29">
        <v>0.5</v>
      </c>
      <c r="AW157" s="32"/>
      <c r="AX157" s="32"/>
      <c r="AY157" s="24">
        <v>1</v>
      </c>
      <c r="AZ157" s="32">
        <v>0.5</v>
      </c>
      <c r="BA157" s="32">
        <v>1</v>
      </c>
      <c r="BB157" s="32">
        <v>0</v>
      </c>
      <c r="BC157" s="32">
        <v>0</v>
      </c>
      <c r="BD157" s="32">
        <v>1</v>
      </c>
      <c r="BE157" s="24">
        <v>0.5</v>
      </c>
      <c r="BF157" s="32"/>
      <c r="BG157" s="32">
        <v>1</v>
      </c>
      <c r="BH157" s="32">
        <v>0.5</v>
      </c>
      <c r="BI157" s="32">
        <v>0.5</v>
      </c>
      <c r="BJ157" s="32">
        <v>0.5</v>
      </c>
      <c r="BK157" s="32">
        <v>0</v>
      </c>
      <c r="BL157" s="32">
        <v>0</v>
      </c>
      <c r="BM157" s="23">
        <v>1</v>
      </c>
      <c r="BN157" s="29">
        <v>0.5</v>
      </c>
      <c r="BO157" s="32">
        <v>0</v>
      </c>
      <c r="BP157" s="32">
        <v>1</v>
      </c>
      <c r="BQ157" s="29">
        <v>1</v>
      </c>
      <c r="BR157" s="29">
        <v>1</v>
      </c>
      <c r="BT157">
        <f t="shared" si="83"/>
        <v>58</v>
      </c>
      <c r="BU157">
        <f t="shared" si="84"/>
        <v>37.5</v>
      </c>
      <c r="BV157" s="25">
        <f t="shared" si="85"/>
        <v>0.64655172413793105</v>
      </c>
    </row>
    <row r="158" spans="2:74" ht="51.75" thickBot="1" x14ac:dyDescent="0.3">
      <c r="B158" s="21" t="s">
        <v>77</v>
      </c>
      <c r="D158" s="22">
        <v>25</v>
      </c>
      <c r="E158" s="32">
        <v>1</v>
      </c>
      <c r="F158" s="32">
        <v>0.5</v>
      </c>
      <c r="G158" s="24">
        <v>1</v>
      </c>
      <c r="H158" s="32">
        <v>0.5</v>
      </c>
      <c r="I158" s="32">
        <v>1</v>
      </c>
      <c r="J158" s="32">
        <v>0</v>
      </c>
      <c r="K158" s="32"/>
      <c r="L158" s="32">
        <v>1</v>
      </c>
      <c r="M158" s="24">
        <v>1</v>
      </c>
      <c r="N158" s="32"/>
      <c r="O158" s="32">
        <v>1</v>
      </c>
      <c r="P158" s="32">
        <v>0.5</v>
      </c>
      <c r="Q158" s="32">
        <v>0</v>
      </c>
      <c r="R158" s="32">
        <v>0.5</v>
      </c>
      <c r="S158" s="32">
        <v>1</v>
      </c>
      <c r="T158" s="32">
        <v>1</v>
      </c>
      <c r="U158" s="23">
        <v>1</v>
      </c>
      <c r="V158" s="29">
        <v>1</v>
      </c>
      <c r="W158" s="32">
        <v>0</v>
      </c>
      <c r="X158" s="32">
        <v>1</v>
      </c>
      <c r="Y158" s="29">
        <v>0.5</v>
      </c>
      <c r="Z158" s="29">
        <v>0.5</v>
      </c>
      <c r="AA158" s="32"/>
      <c r="AB158" s="32">
        <v>0</v>
      </c>
      <c r="AC158" s="24">
        <v>1</v>
      </c>
      <c r="AD158" s="32">
        <v>0.5</v>
      </c>
      <c r="AE158" s="32">
        <v>1</v>
      </c>
      <c r="AF158" s="32">
        <v>0</v>
      </c>
      <c r="AG158" s="32"/>
      <c r="AH158" s="32">
        <v>0.5</v>
      </c>
      <c r="AI158" s="24">
        <v>0.5</v>
      </c>
      <c r="AJ158" s="32"/>
      <c r="AK158" s="32">
        <v>1</v>
      </c>
      <c r="AL158" s="32">
        <v>0.5</v>
      </c>
      <c r="AM158" s="32">
        <v>0</v>
      </c>
      <c r="AN158" s="32">
        <v>0.5</v>
      </c>
      <c r="AO158" s="32">
        <v>0</v>
      </c>
      <c r="AP158" s="32">
        <v>1</v>
      </c>
      <c r="AQ158" s="23">
        <v>1</v>
      </c>
      <c r="AR158" s="29">
        <v>0.5</v>
      </c>
      <c r="AS158" s="32">
        <v>0</v>
      </c>
      <c r="AT158" s="32">
        <v>1</v>
      </c>
      <c r="AU158" s="29">
        <v>0.5</v>
      </c>
      <c r="AV158" s="29">
        <v>0.5</v>
      </c>
      <c r="AW158" s="32"/>
      <c r="AX158" s="32">
        <v>0.5</v>
      </c>
      <c r="AY158" s="24">
        <v>1</v>
      </c>
      <c r="AZ158" s="32">
        <v>0.5</v>
      </c>
      <c r="BA158" s="32">
        <v>1</v>
      </c>
      <c r="BB158" s="32">
        <v>0</v>
      </c>
      <c r="BC158" s="32"/>
      <c r="BD158" s="32">
        <v>1</v>
      </c>
      <c r="BE158" s="24">
        <v>0.5</v>
      </c>
      <c r="BF158" s="32"/>
      <c r="BG158" s="32">
        <v>1</v>
      </c>
      <c r="BH158" s="32">
        <v>0.5</v>
      </c>
      <c r="BI158" s="32">
        <v>0</v>
      </c>
      <c r="BJ158" s="32">
        <v>0.5</v>
      </c>
      <c r="BK158" s="32">
        <v>0</v>
      </c>
      <c r="BL158" s="32">
        <v>1</v>
      </c>
      <c r="BM158" s="23">
        <v>1</v>
      </c>
      <c r="BN158" s="29">
        <v>1</v>
      </c>
      <c r="BO158" s="32">
        <v>0</v>
      </c>
      <c r="BP158" s="32">
        <v>1</v>
      </c>
      <c r="BQ158" s="29">
        <v>1</v>
      </c>
      <c r="BR158" s="29">
        <v>1</v>
      </c>
      <c r="BT158">
        <f t="shared" si="83"/>
        <v>58</v>
      </c>
      <c r="BU158">
        <f t="shared" si="84"/>
        <v>36.5</v>
      </c>
      <c r="BV158" s="25">
        <f t="shared" si="85"/>
        <v>0.62931034482758619</v>
      </c>
    </row>
    <row r="159" spans="2:74" ht="26.25" thickBot="1" x14ac:dyDescent="0.3">
      <c r="B159" s="21" t="s">
        <v>78</v>
      </c>
      <c r="D159" s="22">
        <v>26</v>
      </c>
      <c r="E159" s="32">
        <v>1</v>
      </c>
      <c r="F159" s="32">
        <v>1</v>
      </c>
      <c r="G159" s="24">
        <v>1</v>
      </c>
      <c r="H159" s="32">
        <v>1</v>
      </c>
      <c r="I159" s="32">
        <v>1</v>
      </c>
      <c r="J159" s="32">
        <v>1</v>
      </c>
      <c r="K159" s="32"/>
      <c r="L159" s="32">
        <v>0.5</v>
      </c>
      <c r="M159" s="24">
        <v>1</v>
      </c>
      <c r="N159" s="32">
        <v>0</v>
      </c>
      <c r="O159" s="32">
        <v>1</v>
      </c>
      <c r="P159" s="32">
        <v>0.5</v>
      </c>
      <c r="Q159" s="32">
        <v>0</v>
      </c>
      <c r="R159" s="32">
        <v>0.5</v>
      </c>
      <c r="S159" s="32">
        <v>0.5</v>
      </c>
      <c r="T159" s="32">
        <v>1</v>
      </c>
      <c r="U159" s="23">
        <v>1</v>
      </c>
      <c r="V159" s="29">
        <v>1</v>
      </c>
      <c r="W159" s="32">
        <v>0</v>
      </c>
      <c r="X159" s="32">
        <v>0</v>
      </c>
      <c r="Y159" s="29">
        <v>0</v>
      </c>
      <c r="Z159" s="29">
        <v>0</v>
      </c>
      <c r="AA159" s="32"/>
      <c r="AB159" s="32">
        <v>1</v>
      </c>
      <c r="AC159" s="24">
        <v>1</v>
      </c>
      <c r="AD159" s="32">
        <v>1</v>
      </c>
      <c r="AE159" s="32">
        <v>1</v>
      </c>
      <c r="AF159" s="32">
        <v>0.5</v>
      </c>
      <c r="AG159" s="32"/>
      <c r="AH159" s="32">
        <v>0.5</v>
      </c>
      <c r="AI159" s="24">
        <v>0.5</v>
      </c>
      <c r="AJ159" s="32">
        <v>0</v>
      </c>
      <c r="AK159" s="32">
        <v>1</v>
      </c>
      <c r="AL159" s="32">
        <v>0.5</v>
      </c>
      <c r="AM159" s="32">
        <v>0.5</v>
      </c>
      <c r="AN159" s="32">
        <v>0.5</v>
      </c>
      <c r="AO159" s="32">
        <v>0</v>
      </c>
      <c r="AP159" s="32">
        <v>1</v>
      </c>
      <c r="AQ159" s="23">
        <v>1</v>
      </c>
      <c r="AR159" s="29">
        <v>1</v>
      </c>
      <c r="AS159" s="32">
        <v>0</v>
      </c>
      <c r="AT159" s="32">
        <v>0</v>
      </c>
      <c r="AU159" s="29">
        <v>0</v>
      </c>
      <c r="AV159" s="29">
        <v>0</v>
      </c>
      <c r="AW159" s="32"/>
      <c r="AX159" s="32">
        <v>1</v>
      </c>
      <c r="AY159" s="24">
        <v>1</v>
      </c>
      <c r="AZ159" s="32">
        <v>0.5</v>
      </c>
      <c r="BA159" s="32">
        <v>1</v>
      </c>
      <c r="BB159" s="32">
        <v>0.5</v>
      </c>
      <c r="BC159" s="32"/>
      <c r="BD159" s="32">
        <v>0.5</v>
      </c>
      <c r="BE159" s="24">
        <v>0.5</v>
      </c>
      <c r="BF159" s="32">
        <v>0</v>
      </c>
      <c r="BG159" s="32">
        <v>0</v>
      </c>
      <c r="BH159" s="32">
        <v>0.5</v>
      </c>
      <c r="BI159" s="32">
        <v>0.5</v>
      </c>
      <c r="BJ159" s="32">
        <v>0.5</v>
      </c>
      <c r="BK159" s="32">
        <v>0</v>
      </c>
      <c r="BL159" s="32">
        <v>1</v>
      </c>
      <c r="BM159" s="23">
        <v>1</v>
      </c>
      <c r="BN159" s="29">
        <v>1</v>
      </c>
      <c r="BO159" s="32">
        <v>0</v>
      </c>
      <c r="BP159" s="32">
        <v>0</v>
      </c>
      <c r="BQ159" s="29">
        <v>0</v>
      </c>
      <c r="BR159" s="29">
        <v>0</v>
      </c>
      <c r="BT159">
        <f t="shared" si="83"/>
        <v>61</v>
      </c>
      <c r="BU159">
        <f t="shared" si="84"/>
        <v>33.5</v>
      </c>
      <c r="BV159" s="25">
        <f t="shared" si="85"/>
        <v>0.54918032786885251</v>
      </c>
    </row>
    <row r="160" spans="2:74" ht="26.25" thickBot="1" x14ac:dyDescent="0.3">
      <c r="B160" s="21" t="s">
        <v>79</v>
      </c>
      <c r="D160" s="22">
        <v>27</v>
      </c>
      <c r="E160" s="32">
        <v>1</v>
      </c>
      <c r="F160" s="32">
        <v>1</v>
      </c>
      <c r="G160" s="24">
        <v>1</v>
      </c>
      <c r="H160" s="32">
        <v>1</v>
      </c>
      <c r="I160" s="32">
        <v>1</v>
      </c>
      <c r="J160" s="32">
        <v>1</v>
      </c>
      <c r="K160" s="32">
        <v>1</v>
      </c>
      <c r="L160" s="32">
        <v>1</v>
      </c>
      <c r="M160" s="24">
        <v>1</v>
      </c>
      <c r="N160" s="32">
        <v>0</v>
      </c>
      <c r="O160" s="32">
        <v>0</v>
      </c>
      <c r="P160" s="32">
        <v>0.5</v>
      </c>
      <c r="Q160" s="32">
        <v>0</v>
      </c>
      <c r="R160" s="32">
        <v>0.5</v>
      </c>
      <c r="S160" s="32">
        <v>0.5</v>
      </c>
      <c r="T160" s="32">
        <v>0</v>
      </c>
      <c r="U160" s="23">
        <v>1</v>
      </c>
      <c r="V160" s="29">
        <v>1</v>
      </c>
      <c r="W160" s="32">
        <v>0</v>
      </c>
      <c r="X160" s="32">
        <v>1</v>
      </c>
      <c r="Y160" s="29">
        <v>1</v>
      </c>
      <c r="Z160" s="29">
        <v>1</v>
      </c>
      <c r="AA160" s="32">
        <v>1</v>
      </c>
      <c r="AB160" s="32">
        <v>1</v>
      </c>
      <c r="AC160" s="24">
        <v>1</v>
      </c>
      <c r="AD160" s="32">
        <v>1</v>
      </c>
      <c r="AE160" s="32">
        <v>1</v>
      </c>
      <c r="AF160" s="32">
        <v>1</v>
      </c>
      <c r="AG160" s="32">
        <v>1</v>
      </c>
      <c r="AH160" s="32">
        <v>1</v>
      </c>
      <c r="AI160" s="24">
        <v>0.5</v>
      </c>
      <c r="AJ160" s="32">
        <v>0</v>
      </c>
      <c r="AK160" s="32">
        <v>1</v>
      </c>
      <c r="AL160" s="32">
        <v>0.5</v>
      </c>
      <c r="AM160" s="32">
        <v>0.5</v>
      </c>
      <c r="AN160" s="32">
        <v>0.5</v>
      </c>
      <c r="AO160" s="32">
        <v>1</v>
      </c>
      <c r="AP160" s="32">
        <v>0.5</v>
      </c>
      <c r="AQ160" s="23">
        <v>1</v>
      </c>
      <c r="AR160" s="29">
        <v>1</v>
      </c>
      <c r="AS160" s="32">
        <v>0</v>
      </c>
      <c r="AT160" s="32">
        <v>1</v>
      </c>
      <c r="AU160" s="29">
        <v>1</v>
      </c>
      <c r="AV160" s="29">
        <v>1</v>
      </c>
      <c r="AW160" s="32">
        <v>1</v>
      </c>
      <c r="AX160" s="32">
        <v>1</v>
      </c>
      <c r="AY160" s="24">
        <v>1</v>
      </c>
      <c r="AZ160" s="32">
        <v>1</v>
      </c>
      <c r="BA160" s="32">
        <v>1</v>
      </c>
      <c r="BB160" s="32">
        <v>1</v>
      </c>
      <c r="BC160" s="32">
        <v>1</v>
      </c>
      <c r="BD160" s="32">
        <v>1</v>
      </c>
      <c r="BE160" s="24">
        <v>0.5</v>
      </c>
      <c r="BF160" s="32">
        <v>0</v>
      </c>
      <c r="BG160" s="32">
        <v>1</v>
      </c>
      <c r="BH160" s="32">
        <v>0.5</v>
      </c>
      <c r="BI160" s="32">
        <v>1</v>
      </c>
      <c r="BJ160" s="32">
        <v>0.5</v>
      </c>
      <c r="BK160" s="32">
        <v>1</v>
      </c>
      <c r="BL160" s="32">
        <v>0.5</v>
      </c>
      <c r="BM160" s="23">
        <v>1</v>
      </c>
      <c r="BN160" s="29">
        <v>1</v>
      </c>
      <c r="BO160" s="32">
        <v>1</v>
      </c>
      <c r="BP160" s="32">
        <v>1</v>
      </c>
      <c r="BQ160" s="29">
        <v>0.5</v>
      </c>
      <c r="BR160" s="29">
        <v>0.5</v>
      </c>
      <c r="BT160">
        <f t="shared" si="83"/>
        <v>66</v>
      </c>
      <c r="BU160">
        <f t="shared" si="84"/>
        <v>51</v>
      </c>
      <c r="BV160" s="25">
        <f t="shared" si="85"/>
        <v>0.77272727272727271</v>
      </c>
    </row>
    <row r="161" spans="2:77" ht="39" thickBot="1" x14ac:dyDescent="0.3">
      <c r="B161" s="21" t="s">
        <v>80</v>
      </c>
      <c r="D161" s="22">
        <v>28</v>
      </c>
      <c r="E161" s="32">
        <v>1</v>
      </c>
      <c r="F161" s="32">
        <v>1</v>
      </c>
      <c r="G161" s="24">
        <v>1</v>
      </c>
      <c r="H161" s="32">
        <v>1</v>
      </c>
      <c r="I161" s="32">
        <v>1</v>
      </c>
      <c r="J161" s="32">
        <v>0</v>
      </c>
      <c r="K161" s="32">
        <v>0</v>
      </c>
      <c r="L161" s="32">
        <v>1</v>
      </c>
      <c r="M161" s="24">
        <v>1</v>
      </c>
      <c r="N161" s="32">
        <v>0</v>
      </c>
      <c r="O161" s="32">
        <v>0</v>
      </c>
      <c r="P161" s="32">
        <v>0.5</v>
      </c>
      <c r="Q161" s="32">
        <v>0</v>
      </c>
      <c r="R161" s="32">
        <v>0.5</v>
      </c>
      <c r="S161" s="32">
        <v>0.5</v>
      </c>
      <c r="T161" s="32">
        <v>0.5</v>
      </c>
      <c r="U161" s="23">
        <v>1</v>
      </c>
      <c r="V161" s="29">
        <v>0.5</v>
      </c>
      <c r="W161" s="32">
        <v>0</v>
      </c>
      <c r="X161" s="32">
        <v>1</v>
      </c>
      <c r="Y161" s="29">
        <v>1</v>
      </c>
      <c r="Z161" s="29">
        <v>1</v>
      </c>
      <c r="AA161" s="32"/>
      <c r="AB161" s="32">
        <v>1</v>
      </c>
      <c r="AC161" s="24">
        <v>1</v>
      </c>
      <c r="AD161" s="32">
        <v>0.5</v>
      </c>
      <c r="AE161" s="32">
        <v>1</v>
      </c>
      <c r="AF161" s="32">
        <v>1</v>
      </c>
      <c r="AG161" s="32">
        <v>0</v>
      </c>
      <c r="AH161" s="32">
        <v>1</v>
      </c>
      <c r="AI161" s="24">
        <v>1</v>
      </c>
      <c r="AJ161" s="32">
        <v>0</v>
      </c>
      <c r="AK161" s="32">
        <v>1</v>
      </c>
      <c r="AL161" s="32">
        <v>0.5</v>
      </c>
      <c r="AM161" s="32">
        <v>0.5</v>
      </c>
      <c r="AN161" s="32">
        <v>0.5</v>
      </c>
      <c r="AO161" s="32">
        <v>1</v>
      </c>
      <c r="AP161" s="32">
        <v>0.5</v>
      </c>
      <c r="AQ161" s="23">
        <v>1</v>
      </c>
      <c r="AR161" s="29">
        <v>1</v>
      </c>
      <c r="AS161" s="32">
        <v>0</v>
      </c>
      <c r="AT161" s="32">
        <v>1</v>
      </c>
      <c r="AU161" s="29">
        <v>1</v>
      </c>
      <c r="AV161" s="29">
        <v>1</v>
      </c>
      <c r="AW161" s="32">
        <v>1</v>
      </c>
      <c r="AX161" s="32">
        <v>1</v>
      </c>
      <c r="AY161" s="24">
        <v>1</v>
      </c>
      <c r="AZ161" s="32">
        <v>0.5</v>
      </c>
      <c r="BA161" s="32">
        <v>1</v>
      </c>
      <c r="BB161" s="32">
        <v>1</v>
      </c>
      <c r="BC161" s="32">
        <v>0</v>
      </c>
      <c r="BD161" s="32">
        <v>1</v>
      </c>
      <c r="BE161" s="24">
        <v>1</v>
      </c>
      <c r="BF161" s="32">
        <v>0</v>
      </c>
      <c r="BG161" s="32">
        <v>1</v>
      </c>
      <c r="BH161" s="32">
        <v>0.5</v>
      </c>
      <c r="BI161" s="32">
        <v>1</v>
      </c>
      <c r="BJ161" s="32">
        <v>0.5</v>
      </c>
      <c r="BK161" s="32">
        <v>1</v>
      </c>
      <c r="BL161" s="32">
        <v>0.5</v>
      </c>
      <c r="BM161" s="23">
        <v>1</v>
      </c>
      <c r="BN161" s="29">
        <v>1</v>
      </c>
      <c r="BO161" s="32">
        <v>0.5</v>
      </c>
      <c r="BP161" s="32">
        <v>1</v>
      </c>
      <c r="BQ161" s="29">
        <v>0.5</v>
      </c>
      <c r="BR161" s="29">
        <v>0.5</v>
      </c>
      <c r="BT161">
        <f t="shared" si="83"/>
        <v>65</v>
      </c>
      <c r="BU161">
        <f t="shared" si="84"/>
        <v>45.5</v>
      </c>
      <c r="BV161" s="25">
        <f t="shared" si="85"/>
        <v>0.7</v>
      </c>
    </row>
    <row r="162" spans="2:77" ht="64.5" thickBot="1" x14ac:dyDescent="0.3">
      <c r="B162" s="21" t="s">
        <v>81</v>
      </c>
      <c r="D162" s="22">
        <v>29</v>
      </c>
      <c r="E162" s="32">
        <v>0</v>
      </c>
      <c r="F162" s="32"/>
      <c r="G162" s="24">
        <v>1</v>
      </c>
      <c r="H162" s="32">
        <v>0.5</v>
      </c>
      <c r="I162" s="32">
        <v>1</v>
      </c>
      <c r="J162" s="32">
        <v>1</v>
      </c>
      <c r="K162" s="32">
        <v>0</v>
      </c>
      <c r="L162" s="32">
        <v>0.5</v>
      </c>
      <c r="M162" s="24">
        <v>0.5</v>
      </c>
      <c r="N162" s="32">
        <v>1</v>
      </c>
      <c r="O162" s="32">
        <v>0</v>
      </c>
      <c r="P162" s="32">
        <v>0.5</v>
      </c>
      <c r="Q162" s="32">
        <v>0</v>
      </c>
      <c r="R162" s="32">
        <v>0.5</v>
      </c>
      <c r="S162" s="32">
        <v>0.5</v>
      </c>
      <c r="T162" s="32">
        <v>0</v>
      </c>
      <c r="U162" s="23">
        <v>1</v>
      </c>
      <c r="V162" s="32">
        <v>0.5</v>
      </c>
      <c r="W162" s="32">
        <v>0</v>
      </c>
      <c r="X162" s="32">
        <v>1</v>
      </c>
      <c r="Y162" s="32">
        <v>0.5</v>
      </c>
      <c r="Z162" s="32">
        <v>0.5</v>
      </c>
      <c r="AA162" s="32"/>
      <c r="AB162" s="32"/>
      <c r="AC162" s="24">
        <v>1</v>
      </c>
      <c r="AD162" s="32">
        <v>1</v>
      </c>
      <c r="AE162" s="32">
        <v>1</v>
      </c>
      <c r="AF162" s="32">
        <v>1</v>
      </c>
      <c r="AG162" s="32">
        <v>0</v>
      </c>
      <c r="AH162" s="32">
        <v>0.5</v>
      </c>
      <c r="AI162" s="24">
        <v>0.5</v>
      </c>
      <c r="AJ162" s="32">
        <v>1</v>
      </c>
      <c r="AK162" s="32">
        <v>0.5</v>
      </c>
      <c r="AL162" s="32">
        <v>0.5</v>
      </c>
      <c r="AM162" s="32">
        <v>0.5</v>
      </c>
      <c r="AN162" s="32">
        <v>0.5</v>
      </c>
      <c r="AO162" s="32">
        <v>0</v>
      </c>
      <c r="AP162" s="32">
        <v>0</v>
      </c>
      <c r="AQ162" s="23">
        <v>1</v>
      </c>
      <c r="AR162" s="32">
        <v>1</v>
      </c>
      <c r="AS162" s="32">
        <v>0.5</v>
      </c>
      <c r="AT162" s="32">
        <v>1</v>
      </c>
      <c r="AU162" s="32">
        <v>0.5</v>
      </c>
      <c r="AV162" s="32">
        <v>0.5</v>
      </c>
      <c r="AW162" s="32"/>
      <c r="AX162" s="32"/>
      <c r="AY162" s="24">
        <v>1</v>
      </c>
      <c r="AZ162" s="32">
        <v>1</v>
      </c>
      <c r="BA162" s="32">
        <v>1</v>
      </c>
      <c r="BB162" s="32">
        <v>1</v>
      </c>
      <c r="BC162" s="32">
        <v>0</v>
      </c>
      <c r="BD162" s="32">
        <v>0.5</v>
      </c>
      <c r="BE162" s="24">
        <v>0.5</v>
      </c>
      <c r="BF162" s="32">
        <v>1</v>
      </c>
      <c r="BG162" s="32">
        <v>0.5</v>
      </c>
      <c r="BH162" s="32">
        <v>0.5</v>
      </c>
      <c r="BI162" s="32">
        <v>0.5</v>
      </c>
      <c r="BJ162" s="32">
        <v>0.5</v>
      </c>
      <c r="BK162" s="32">
        <v>1</v>
      </c>
      <c r="BL162" s="32">
        <v>0</v>
      </c>
      <c r="BM162" s="23">
        <v>1</v>
      </c>
      <c r="BN162" s="32">
        <v>1</v>
      </c>
      <c r="BO162" s="32">
        <v>0</v>
      </c>
      <c r="BP162" s="32">
        <v>1</v>
      </c>
      <c r="BQ162" s="32">
        <v>1</v>
      </c>
      <c r="BR162" s="32">
        <v>1</v>
      </c>
      <c r="BT162">
        <f t="shared" si="83"/>
        <v>61</v>
      </c>
      <c r="BU162">
        <f t="shared" si="84"/>
        <v>37</v>
      </c>
      <c r="BV162" s="25">
        <f t="shared" si="85"/>
        <v>0.60655737704918034</v>
      </c>
    </row>
    <row r="163" spans="2:77" ht="26.25" thickBot="1" x14ac:dyDescent="0.3">
      <c r="B163" s="21" t="s">
        <v>82</v>
      </c>
      <c r="D163" s="22">
        <v>30</v>
      </c>
      <c r="E163" s="32">
        <v>0</v>
      </c>
      <c r="F163" s="32"/>
      <c r="G163" s="24">
        <v>1</v>
      </c>
      <c r="H163" s="32">
        <v>1</v>
      </c>
      <c r="I163" s="32">
        <v>1</v>
      </c>
      <c r="J163" s="32">
        <v>0</v>
      </c>
      <c r="K163" s="32">
        <v>0</v>
      </c>
      <c r="L163" s="32">
        <v>1</v>
      </c>
      <c r="M163" s="24">
        <v>1</v>
      </c>
      <c r="N163" s="32">
        <v>1</v>
      </c>
      <c r="O163" s="32">
        <v>0</v>
      </c>
      <c r="P163" s="32">
        <v>1</v>
      </c>
      <c r="Q163" s="32">
        <v>0</v>
      </c>
      <c r="R163" s="32">
        <v>0.5</v>
      </c>
      <c r="S163" s="32">
        <v>0</v>
      </c>
      <c r="T163" s="32">
        <v>0</v>
      </c>
      <c r="U163" s="23">
        <v>1</v>
      </c>
      <c r="V163" s="32">
        <v>0</v>
      </c>
      <c r="W163" s="32">
        <v>0</v>
      </c>
      <c r="X163" s="32">
        <v>1</v>
      </c>
      <c r="Y163" s="32">
        <v>0</v>
      </c>
      <c r="Z163" s="32">
        <v>0</v>
      </c>
      <c r="AA163" s="32"/>
      <c r="AB163" s="32"/>
      <c r="AC163" s="24">
        <v>1</v>
      </c>
      <c r="AD163" s="32">
        <v>0.5</v>
      </c>
      <c r="AE163" s="32">
        <v>1</v>
      </c>
      <c r="AF163" s="32">
        <v>1</v>
      </c>
      <c r="AG163" s="32">
        <v>0</v>
      </c>
      <c r="AH163" s="32">
        <v>1</v>
      </c>
      <c r="AI163" s="24">
        <v>0.5</v>
      </c>
      <c r="AJ163" s="32">
        <v>1</v>
      </c>
      <c r="AK163" s="32">
        <v>0.5</v>
      </c>
      <c r="AL163" s="32">
        <v>1</v>
      </c>
      <c r="AM163" s="32">
        <v>0.5</v>
      </c>
      <c r="AN163" s="32">
        <v>0.5</v>
      </c>
      <c r="AO163" s="32">
        <v>0</v>
      </c>
      <c r="AP163" s="32">
        <v>0</v>
      </c>
      <c r="AQ163" s="23">
        <v>1</v>
      </c>
      <c r="AR163" s="32">
        <v>1</v>
      </c>
      <c r="AS163" s="32">
        <v>0</v>
      </c>
      <c r="AT163" s="32">
        <v>1</v>
      </c>
      <c r="AU163" s="32">
        <v>0.5</v>
      </c>
      <c r="AV163" s="32">
        <v>0.5</v>
      </c>
      <c r="AW163" s="32"/>
      <c r="AX163" s="32"/>
      <c r="AY163" s="24">
        <v>1</v>
      </c>
      <c r="AZ163" s="32">
        <v>1</v>
      </c>
      <c r="BA163" s="32">
        <v>1</v>
      </c>
      <c r="BB163" s="32">
        <v>1</v>
      </c>
      <c r="BC163" s="32">
        <v>0</v>
      </c>
      <c r="BD163" s="32">
        <v>1</v>
      </c>
      <c r="BE163" s="24">
        <v>0.5</v>
      </c>
      <c r="BF163" s="32">
        <v>1</v>
      </c>
      <c r="BG163" s="32">
        <v>0.5</v>
      </c>
      <c r="BH163" s="32">
        <v>1</v>
      </c>
      <c r="BI163" s="32">
        <v>0.5</v>
      </c>
      <c r="BJ163" s="32">
        <v>0.5</v>
      </c>
      <c r="BK163" s="32">
        <v>0</v>
      </c>
      <c r="BL163" s="32">
        <v>0</v>
      </c>
      <c r="BM163" s="23">
        <v>1</v>
      </c>
      <c r="BN163" s="32">
        <v>1</v>
      </c>
      <c r="BO163" s="32">
        <v>0</v>
      </c>
      <c r="BP163" s="32">
        <v>1</v>
      </c>
      <c r="BQ163" s="32">
        <v>1</v>
      </c>
      <c r="BR163" s="32">
        <v>1</v>
      </c>
      <c r="BT163">
        <f t="shared" si="83"/>
        <v>61</v>
      </c>
      <c r="BU163">
        <f t="shared" si="84"/>
        <v>36</v>
      </c>
      <c r="BV163" s="25">
        <f t="shared" si="85"/>
        <v>0.5901639344262295</v>
      </c>
    </row>
    <row r="164" spans="2:77" ht="39" thickBot="1" x14ac:dyDescent="0.3">
      <c r="B164" s="33" t="s">
        <v>83</v>
      </c>
      <c r="D164" s="22">
        <v>31</v>
      </c>
      <c r="E164" s="32">
        <v>0</v>
      </c>
      <c r="F164" s="32"/>
      <c r="G164" s="24">
        <v>1</v>
      </c>
      <c r="H164" s="32">
        <v>1</v>
      </c>
      <c r="I164" s="32">
        <v>0</v>
      </c>
      <c r="J164" s="32">
        <v>0</v>
      </c>
      <c r="K164" s="32">
        <v>0</v>
      </c>
      <c r="L164" s="32">
        <v>1</v>
      </c>
      <c r="M164" s="24">
        <v>0.5</v>
      </c>
      <c r="N164" s="32"/>
      <c r="O164" s="32">
        <v>0</v>
      </c>
      <c r="P164" s="32">
        <v>0.5</v>
      </c>
      <c r="Q164" s="32">
        <v>0</v>
      </c>
      <c r="R164" s="32">
        <v>0.5</v>
      </c>
      <c r="S164" s="32">
        <v>0.5</v>
      </c>
      <c r="T164" s="32">
        <v>1</v>
      </c>
      <c r="U164" s="23">
        <v>1</v>
      </c>
      <c r="V164" s="32">
        <v>0.5</v>
      </c>
      <c r="W164" s="32">
        <v>0</v>
      </c>
      <c r="X164" s="32">
        <v>1</v>
      </c>
      <c r="Y164" s="32">
        <v>0</v>
      </c>
      <c r="Z164" s="32">
        <v>0</v>
      </c>
      <c r="AA164" s="32"/>
      <c r="AB164" s="32"/>
      <c r="AC164" s="24">
        <v>1</v>
      </c>
      <c r="AD164" s="32">
        <v>1</v>
      </c>
      <c r="AE164" s="32">
        <v>0</v>
      </c>
      <c r="AF164" s="32">
        <v>0</v>
      </c>
      <c r="AG164" s="32">
        <v>0</v>
      </c>
      <c r="AH164" s="32">
        <v>1</v>
      </c>
      <c r="AI164" s="24">
        <v>0.5</v>
      </c>
      <c r="AJ164" s="32"/>
      <c r="AK164" s="32">
        <v>0.5</v>
      </c>
      <c r="AL164" s="32">
        <v>0.5</v>
      </c>
      <c r="AM164" s="32">
        <v>0.5</v>
      </c>
      <c r="AN164" s="32">
        <v>0.5</v>
      </c>
      <c r="AO164" s="32">
        <v>1</v>
      </c>
      <c r="AP164" s="32">
        <v>1</v>
      </c>
      <c r="AQ164" s="23">
        <v>1</v>
      </c>
      <c r="AR164" s="32">
        <v>0.5</v>
      </c>
      <c r="AS164" s="32">
        <v>0</v>
      </c>
      <c r="AT164" s="32">
        <v>0.5</v>
      </c>
      <c r="AU164" s="32">
        <v>0.5</v>
      </c>
      <c r="AV164" s="32">
        <v>0.5</v>
      </c>
      <c r="AW164" s="32"/>
      <c r="AX164" s="32"/>
      <c r="AY164" s="24">
        <v>1</v>
      </c>
      <c r="AZ164" s="32">
        <v>1</v>
      </c>
      <c r="BA164" s="32">
        <v>0</v>
      </c>
      <c r="BB164" s="32">
        <v>0</v>
      </c>
      <c r="BC164" s="32">
        <v>0</v>
      </c>
      <c r="BD164" s="32">
        <v>1</v>
      </c>
      <c r="BE164" s="24">
        <v>0.5</v>
      </c>
      <c r="BF164" s="32"/>
      <c r="BG164" s="32">
        <v>0.5</v>
      </c>
      <c r="BH164" s="32">
        <v>0.5</v>
      </c>
      <c r="BI164" s="32">
        <v>0.5</v>
      </c>
      <c r="BJ164" s="32">
        <v>0.5</v>
      </c>
      <c r="BK164" s="32">
        <v>1</v>
      </c>
      <c r="BL164" s="32">
        <v>1</v>
      </c>
      <c r="BM164" s="23">
        <v>1</v>
      </c>
      <c r="BN164" s="32">
        <v>0.5</v>
      </c>
      <c r="BO164" s="32">
        <v>0</v>
      </c>
      <c r="BP164" s="32">
        <v>0.5</v>
      </c>
      <c r="BQ164" s="32">
        <v>1</v>
      </c>
      <c r="BR164" s="32">
        <v>1</v>
      </c>
      <c r="BT164">
        <f t="shared" si="83"/>
        <v>58</v>
      </c>
      <c r="BU164">
        <f t="shared" si="84"/>
        <v>30.5</v>
      </c>
      <c r="BV164" s="25">
        <f t="shared" si="85"/>
        <v>0.52586206896551724</v>
      </c>
    </row>
    <row r="165" spans="2:77" ht="26.25" thickBot="1" x14ac:dyDescent="0.3">
      <c r="B165" s="33" t="s">
        <v>84</v>
      </c>
      <c r="D165" s="22">
        <v>32</v>
      </c>
      <c r="E165" s="32">
        <v>1</v>
      </c>
      <c r="F165" s="32"/>
      <c r="G165" s="24">
        <v>1</v>
      </c>
      <c r="H165" s="32">
        <v>1</v>
      </c>
      <c r="I165" s="32">
        <v>1</v>
      </c>
      <c r="J165" s="32">
        <v>0</v>
      </c>
      <c r="K165" s="32">
        <v>1</v>
      </c>
      <c r="L165" s="32">
        <v>1</v>
      </c>
      <c r="M165" s="24">
        <v>0.5</v>
      </c>
      <c r="N165" s="32">
        <v>1</v>
      </c>
      <c r="O165" s="32">
        <v>0</v>
      </c>
      <c r="P165" s="32">
        <v>0.5</v>
      </c>
      <c r="Q165" s="32">
        <v>0</v>
      </c>
      <c r="R165" s="32">
        <v>0.5</v>
      </c>
      <c r="S165" s="32">
        <v>1</v>
      </c>
      <c r="T165" s="32">
        <v>0</v>
      </c>
      <c r="U165" s="23">
        <v>1</v>
      </c>
      <c r="V165" s="29">
        <v>0.5</v>
      </c>
      <c r="W165" s="32">
        <v>0</v>
      </c>
      <c r="X165" s="32">
        <v>0.5</v>
      </c>
      <c r="Y165" s="29">
        <v>1</v>
      </c>
      <c r="Z165" s="29">
        <v>1</v>
      </c>
      <c r="AA165" s="32">
        <v>0.5</v>
      </c>
      <c r="AB165" s="32"/>
      <c r="AC165" s="24">
        <v>1</v>
      </c>
      <c r="AD165" s="32">
        <v>0.5</v>
      </c>
      <c r="AE165" s="32">
        <v>1</v>
      </c>
      <c r="AF165" s="32">
        <v>1</v>
      </c>
      <c r="AG165" s="32">
        <v>1</v>
      </c>
      <c r="AH165" s="32">
        <v>1</v>
      </c>
      <c r="AI165" s="24">
        <v>0.5</v>
      </c>
      <c r="AJ165" s="32">
        <v>1</v>
      </c>
      <c r="AK165" s="32">
        <v>1</v>
      </c>
      <c r="AL165" s="32">
        <v>0.5</v>
      </c>
      <c r="AM165" s="32">
        <v>0.5</v>
      </c>
      <c r="AN165" s="32">
        <v>0.5</v>
      </c>
      <c r="AO165" s="32">
        <v>0.5</v>
      </c>
      <c r="AP165" s="32">
        <v>0</v>
      </c>
      <c r="AQ165" s="23">
        <v>1</v>
      </c>
      <c r="AR165" s="29">
        <v>1</v>
      </c>
      <c r="AS165" s="32">
        <v>0</v>
      </c>
      <c r="AT165" s="32">
        <v>0.5</v>
      </c>
      <c r="AU165" s="29">
        <v>1</v>
      </c>
      <c r="AV165" s="29">
        <v>1</v>
      </c>
      <c r="AW165" s="32"/>
      <c r="AX165" s="32"/>
      <c r="AY165" s="24">
        <v>1</v>
      </c>
      <c r="AZ165" s="32">
        <v>0.5</v>
      </c>
      <c r="BA165" s="32">
        <v>1</v>
      </c>
      <c r="BB165" s="32">
        <v>1</v>
      </c>
      <c r="BC165" s="32">
        <v>1</v>
      </c>
      <c r="BD165" s="32">
        <v>1</v>
      </c>
      <c r="BE165" s="24">
        <v>0.5</v>
      </c>
      <c r="BF165" s="32">
        <v>1</v>
      </c>
      <c r="BG165" s="32">
        <v>1</v>
      </c>
      <c r="BH165" s="32">
        <v>0.5</v>
      </c>
      <c r="BI165" s="32">
        <v>0.5</v>
      </c>
      <c r="BJ165" s="32">
        <v>0.5</v>
      </c>
      <c r="BK165" s="32">
        <v>1</v>
      </c>
      <c r="BL165" s="32">
        <v>1</v>
      </c>
      <c r="BM165" s="23">
        <v>1</v>
      </c>
      <c r="BN165" s="29">
        <v>1</v>
      </c>
      <c r="BO165" s="32">
        <v>0.5</v>
      </c>
      <c r="BP165" s="32">
        <v>0.5</v>
      </c>
      <c r="BQ165" s="29">
        <v>0.5</v>
      </c>
      <c r="BR165" s="29">
        <v>0.5</v>
      </c>
      <c r="BT165">
        <f t="shared" si="83"/>
        <v>62</v>
      </c>
      <c r="BU165">
        <f t="shared" si="84"/>
        <v>44</v>
      </c>
      <c r="BV165" s="25">
        <f t="shared" si="85"/>
        <v>0.70967741935483875</v>
      </c>
    </row>
    <row r="166" spans="2:77" ht="26.25" thickBot="1" x14ac:dyDescent="0.3">
      <c r="B166" s="33" t="s">
        <v>85</v>
      </c>
      <c r="D166" s="22">
        <v>33</v>
      </c>
      <c r="E166" s="32">
        <v>1</v>
      </c>
      <c r="F166" s="32"/>
      <c r="G166" s="24">
        <v>1</v>
      </c>
      <c r="H166" s="32">
        <v>1</v>
      </c>
      <c r="I166" s="32">
        <v>1</v>
      </c>
      <c r="J166" s="32">
        <v>1</v>
      </c>
      <c r="K166" s="32">
        <v>1</v>
      </c>
      <c r="L166" s="32">
        <v>1</v>
      </c>
      <c r="M166" s="24">
        <v>0</v>
      </c>
      <c r="N166" s="32">
        <v>1</v>
      </c>
      <c r="O166" s="32">
        <v>0</v>
      </c>
      <c r="P166" s="32">
        <v>0.5</v>
      </c>
      <c r="Q166" s="32">
        <v>0</v>
      </c>
      <c r="R166" s="32">
        <v>0.5</v>
      </c>
      <c r="S166" s="32">
        <v>0.5</v>
      </c>
      <c r="T166" s="32">
        <v>0</v>
      </c>
      <c r="U166" s="23">
        <v>1</v>
      </c>
      <c r="V166" s="29">
        <v>1</v>
      </c>
      <c r="W166" s="32">
        <v>0</v>
      </c>
      <c r="X166" s="32">
        <v>1</v>
      </c>
      <c r="Y166" s="29">
        <v>1</v>
      </c>
      <c r="Z166" s="29">
        <v>1</v>
      </c>
      <c r="AA166" s="32">
        <v>1</v>
      </c>
      <c r="AB166" s="32"/>
      <c r="AC166" s="24">
        <v>1</v>
      </c>
      <c r="AD166" s="32">
        <v>1</v>
      </c>
      <c r="AE166" s="32">
        <v>1</v>
      </c>
      <c r="AF166" s="32">
        <v>1</v>
      </c>
      <c r="AG166" s="32">
        <v>1</v>
      </c>
      <c r="AH166" s="32">
        <v>1</v>
      </c>
      <c r="AI166" s="24">
        <v>0.5</v>
      </c>
      <c r="AJ166" s="32">
        <v>1</v>
      </c>
      <c r="AK166" s="32">
        <v>1</v>
      </c>
      <c r="AL166" s="32">
        <v>0.5</v>
      </c>
      <c r="AM166" s="32">
        <v>0.5</v>
      </c>
      <c r="AN166" s="32">
        <v>0.5</v>
      </c>
      <c r="AO166" s="32">
        <v>0.5</v>
      </c>
      <c r="AP166" s="32">
        <v>0.5</v>
      </c>
      <c r="AQ166" s="23">
        <v>1</v>
      </c>
      <c r="AR166" s="29">
        <v>1</v>
      </c>
      <c r="AS166" s="32">
        <v>0</v>
      </c>
      <c r="AT166" s="32">
        <v>0.5</v>
      </c>
      <c r="AU166" s="29">
        <v>1</v>
      </c>
      <c r="AV166" s="29">
        <v>1</v>
      </c>
      <c r="AW166" s="32">
        <v>1</v>
      </c>
      <c r="AX166" s="32"/>
      <c r="AY166" s="24">
        <v>1</v>
      </c>
      <c r="AZ166" s="32">
        <v>1</v>
      </c>
      <c r="BA166" s="32">
        <v>1</v>
      </c>
      <c r="BB166" s="32">
        <v>1</v>
      </c>
      <c r="BC166" s="32">
        <v>1</v>
      </c>
      <c r="BD166" s="32">
        <v>1</v>
      </c>
      <c r="BE166" s="24">
        <v>0.5</v>
      </c>
      <c r="BF166" s="32">
        <v>1</v>
      </c>
      <c r="BG166" s="32">
        <v>1</v>
      </c>
      <c r="BH166" s="32">
        <v>0.5</v>
      </c>
      <c r="BI166" s="32">
        <v>0.5</v>
      </c>
      <c r="BJ166" s="32">
        <v>0.5</v>
      </c>
      <c r="BK166" s="32">
        <v>1</v>
      </c>
      <c r="BL166" s="32">
        <v>0.5</v>
      </c>
      <c r="BM166" s="23">
        <v>1</v>
      </c>
      <c r="BN166" s="29">
        <v>1</v>
      </c>
      <c r="BO166" s="32">
        <v>0</v>
      </c>
      <c r="BP166" s="32">
        <v>0.5</v>
      </c>
      <c r="BQ166" s="29">
        <v>1</v>
      </c>
      <c r="BR166" s="29">
        <v>1</v>
      </c>
      <c r="BT166">
        <f t="shared" si="83"/>
        <v>63</v>
      </c>
      <c r="BU166">
        <f t="shared" si="84"/>
        <v>48</v>
      </c>
      <c r="BV166" s="25">
        <f t="shared" si="85"/>
        <v>0.76190476190476186</v>
      </c>
    </row>
    <row r="167" spans="2:77" ht="26.25" thickBot="1" x14ac:dyDescent="0.3">
      <c r="B167" s="33" t="s">
        <v>86</v>
      </c>
      <c r="D167" s="22">
        <v>34</v>
      </c>
      <c r="E167" s="32"/>
      <c r="F167" s="32">
        <v>1</v>
      </c>
      <c r="G167" s="24">
        <v>1</v>
      </c>
      <c r="H167" s="32">
        <v>1</v>
      </c>
      <c r="I167" s="32">
        <v>1</v>
      </c>
      <c r="J167" s="32">
        <v>0</v>
      </c>
      <c r="K167" s="32"/>
      <c r="L167" s="32">
        <v>1</v>
      </c>
      <c r="M167" s="24">
        <v>0</v>
      </c>
      <c r="N167" s="32">
        <v>0.5</v>
      </c>
      <c r="O167" s="32">
        <v>0</v>
      </c>
      <c r="P167" s="32">
        <v>0.5</v>
      </c>
      <c r="Q167" s="32">
        <v>0</v>
      </c>
      <c r="R167" s="32">
        <v>0.5</v>
      </c>
      <c r="S167" s="32">
        <v>1</v>
      </c>
      <c r="T167" s="32">
        <v>0</v>
      </c>
      <c r="U167" s="23">
        <v>1</v>
      </c>
      <c r="V167" s="29"/>
      <c r="W167" s="32">
        <v>0</v>
      </c>
      <c r="X167" s="32">
        <v>0</v>
      </c>
      <c r="Y167" s="29">
        <v>1</v>
      </c>
      <c r="Z167" s="29">
        <v>1</v>
      </c>
      <c r="AA167" s="32"/>
      <c r="AB167" s="32"/>
      <c r="AC167" s="24">
        <v>1</v>
      </c>
      <c r="AD167" s="32">
        <v>0.5</v>
      </c>
      <c r="AE167" s="32">
        <v>1</v>
      </c>
      <c r="AF167" s="32">
        <v>1</v>
      </c>
      <c r="AG167" s="32"/>
      <c r="AH167" s="32">
        <v>1</v>
      </c>
      <c r="AI167" s="24">
        <v>0.5</v>
      </c>
      <c r="AJ167" s="32">
        <v>0.5</v>
      </c>
      <c r="AK167" s="32">
        <v>1</v>
      </c>
      <c r="AL167" s="32">
        <v>0.5</v>
      </c>
      <c r="AM167" s="32">
        <v>0.5</v>
      </c>
      <c r="AN167" s="32">
        <v>0.5</v>
      </c>
      <c r="AO167" s="32">
        <v>0.5</v>
      </c>
      <c r="AP167" s="32">
        <v>0.5</v>
      </c>
      <c r="AQ167" s="23">
        <v>1</v>
      </c>
      <c r="AR167" s="29"/>
      <c r="AS167" s="32">
        <v>0</v>
      </c>
      <c r="AT167" s="32">
        <v>0</v>
      </c>
      <c r="AU167" s="29">
        <v>1</v>
      </c>
      <c r="AV167" s="29">
        <v>1</v>
      </c>
      <c r="AW167" s="32"/>
      <c r="AX167" s="32">
        <v>1</v>
      </c>
      <c r="AY167" s="24">
        <v>1</v>
      </c>
      <c r="AZ167" s="32">
        <v>1</v>
      </c>
      <c r="BA167" s="32">
        <v>1</v>
      </c>
      <c r="BB167" s="32">
        <v>1</v>
      </c>
      <c r="BC167" s="32"/>
      <c r="BD167" s="32">
        <v>1</v>
      </c>
      <c r="BE167" s="24">
        <v>0.5</v>
      </c>
      <c r="BF167" s="32">
        <v>0.5</v>
      </c>
      <c r="BG167" s="32">
        <v>1</v>
      </c>
      <c r="BH167" s="32">
        <v>0.5</v>
      </c>
      <c r="BI167" s="32">
        <v>1</v>
      </c>
      <c r="BJ167" s="32">
        <v>0.5</v>
      </c>
      <c r="BK167" s="32">
        <v>1</v>
      </c>
      <c r="BL167" s="32">
        <v>1</v>
      </c>
      <c r="BM167" s="23">
        <v>1</v>
      </c>
      <c r="BN167" s="29"/>
      <c r="BO167" s="32">
        <v>0</v>
      </c>
      <c r="BP167" s="32">
        <v>0</v>
      </c>
      <c r="BQ167" s="29">
        <v>1</v>
      </c>
      <c r="BR167" s="29">
        <v>1</v>
      </c>
      <c r="BT167">
        <f t="shared" si="83"/>
        <v>56</v>
      </c>
      <c r="BU167">
        <f t="shared" si="84"/>
        <v>37.5</v>
      </c>
      <c r="BV167" s="25">
        <f t="shared" si="85"/>
        <v>0.6696428571428571</v>
      </c>
    </row>
    <row r="168" spans="2:77" ht="26.25" thickBot="1" x14ac:dyDescent="0.3">
      <c r="B168" s="27" t="s">
        <v>87</v>
      </c>
      <c r="D168" s="22">
        <v>35</v>
      </c>
      <c r="E168" s="32">
        <v>1</v>
      </c>
      <c r="F168" s="32">
        <v>1</v>
      </c>
      <c r="G168" s="24">
        <v>1</v>
      </c>
      <c r="H168" s="32">
        <v>1</v>
      </c>
      <c r="I168" s="32">
        <v>1</v>
      </c>
      <c r="J168" s="32">
        <v>0</v>
      </c>
      <c r="K168" s="32"/>
      <c r="L168" s="32">
        <v>1</v>
      </c>
      <c r="M168" s="24">
        <v>0</v>
      </c>
      <c r="N168" s="32">
        <v>1</v>
      </c>
      <c r="O168" s="32">
        <v>0</v>
      </c>
      <c r="P168" s="32">
        <v>0.5</v>
      </c>
      <c r="Q168" s="32">
        <v>0</v>
      </c>
      <c r="R168" s="32">
        <v>0.5</v>
      </c>
      <c r="S168" s="32">
        <v>0</v>
      </c>
      <c r="T168" s="32">
        <v>0.5</v>
      </c>
      <c r="U168" s="23">
        <v>1</v>
      </c>
      <c r="V168" s="29">
        <v>1</v>
      </c>
      <c r="W168" s="32">
        <v>0</v>
      </c>
      <c r="X168" s="32">
        <v>0.5</v>
      </c>
      <c r="Y168" s="29">
        <v>1</v>
      </c>
      <c r="Z168" s="29">
        <v>1</v>
      </c>
      <c r="AA168" s="32">
        <v>0.5</v>
      </c>
      <c r="AB168" s="32">
        <v>1</v>
      </c>
      <c r="AC168" s="24">
        <v>1</v>
      </c>
      <c r="AD168" s="32">
        <v>0.5</v>
      </c>
      <c r="AE168" s="32">
        <v>1</v>
      </c>
      <c r="AF168" s="32">
        <v>1</v>
      </c>
      <c r="AG168" s="32"/>
      <c r="AH168" s="32">
        <v>1</v>
      </c>
      <c r="AI168" s="24">
        <v>0.5</v>
      </c>
      <c r="AJ168" s="32">
        <v>1</v>
      </c>
      <c r="AK168" s="32">
        <v>1</v>
      </c>
      <c r="AL168" s="32">
        <v>0.5</v>
      </c>
      <c r="AM168" s="32">
        <v>0.5</v>
      </c>
      <c r="AN168" s="32">
        <v>0.5</v>
      </c>
      <c r="AO168" s="32">
        <v>0.5</v>
      </c>
      <c r="AP168" s="32">
        <v>0</v>
      </c>
      <c r="AQ168" s="23">
        <v>1</v>
      </c>
      <c r="AR168" s="29">
        <v>1</v>
      </c>
      <c r="AS168" s="32">
        <v>0</v>
      </c>
      <c r="AT168" s="32"/>
      <c r="AU168" s="29">
        <v>1</v>
      </c>
      <c r="AV168" s="29">
        <v>1</v>
      </c>
      <c r="AW168" s="32"/>
      <c r="AX168" s="32">
        <v>1</v>
      </c>
      <c r="AY168" s="24">
        <v>1</v>
      </c>
      <c r="AZ168" s="32">
        <v>0.5</v>
      </c>
      <c r="BA168" s="32">
        <v>1</v>
      </c>
      <c r="BB168" s="32">
        <v>1</v>
      </c>
      <c r="BC168" s="32"/>
      <c r="BD168" s="32">
        <v>1</v>
      </c>
      <c r="BE168" s="24">
        <v>0.5</v>
      </c>
      <c r="BF168" s="32">
        <v>1</v>
      </c>
      <c r="BG168" s="32">
        <v>1</v>
      </c>
      <c r="BH168" s="32">
        <v>0.5</v>
      </c>
      <c r="BI168" s="32">
        <v>0.5</v>
      </c>
      <c r="BJ168" s="32">
        <v>0.5</v>
      </c>
      <c r="BK168" s="32">
        <v>0.5</v>
      </c>
      <c r="BL168" s="32">
        <v>1</v>
      </c>
      <c r="BM168" s="23">
        <v>1</v>
      </c>
      <c r="BN168" s="29">
        <v>1</v>
      </c>
      <c r="BO168" s="32">
        <v>0</v>
      </c>
      <c r="BP168" s="32">
        <v>0.5</v>
      </c>
      <c r="BQ168" s="29">
        <v>0.5</v>
      </c>
      <c r="BR168" s="29">
        <v>0.5</v>
      </c>
      <c r="BT168">
        <f t="shared" si="83"/>
        <v>61</v>
      </c>
      <c r="BU168">
        <f t="shared" si="84"/>
        <v>42</v>
      </c>
      <c r="BV168" s="25">
        <f t="shared" si="85"/>
        <v>0.68852459016393441</v>
      </c>
    </row>
    <row r="169" spans="2:77" ht="26.25" thickBot="1" x14ac:dyDescent="0.3">
      <c r="B169" s="21" t="s">
        <v>88</v>
      </c>
      <c r="D169" s="22">
        <v>36</v>
      </c>
      <c r="E169" s="32">
        <v>1</v>
      </c>
      <c r="F169" s="32">
        <v>1</v>
      </c>
      <c r="G169" s="24">
        <v>1</v>
      </c>
      <c r="H169" s="32">
        <v>1</v>
      </c>
      <c r="I169" s="32">
        <v>1</v>
      </c>
      <c r="J169" s="32">
        <v>1</v>
      </c>
      <c r="K169" s="32"/>
      <c r="L169" s="32">
        <v>1</v>
      </c>
      <c r="M169" s="24">
        <v>0</v>
      </c>
      <c r="N169" s="32">
        <v>1</v>
      </c>
      <c r="O169" s="32">
        <v>0</v>
      </c>
      <c r="P169" s="32">
        <v>0.5</v>
      </c>
      <c r="Q169" s="32" t="s">
        <v>95</v>
      </c>
      <c r="R169" s="32">
        <v>0.5</v>
      </c>
      <c r="S169" s="32">
        <v>0</v>
      </c>
      <c r="T169" s="32">
        <v>0</v>
      </c>
      <c r="U169" s="23">
        <v>1</v>
      </c>
      <c r="V169" s="29">
        <v>1</v>
      </c>
      <c r="W169" s="32">
        <v>0</v>
      </c>
      <c r="X169" s="32">
        <v>1</v>
      </c>
      <c r="Y169" s="29">
        <v>1</v>
      </c>
      <c r="Z169" s="29">
        <v>1</v>
      </c>
      <c r="AA169" s="32">
        <v>1</v>
      </c>
      <c r="AB169" s="32">
        <v>1</v>
      </c>
      <c r="AC169" s="24">
        <v>1</v>
      </c>
      <c r="AD169" s="32">
        <v>1</v>
      </c>
      <c r="AE169" s="32">
        <v>1</v>
      </c>
      <c r="AF169" s="32">
        <v>1</v>
      </c>
      <c r="AG169" s="32"/>
      <c r="AH169" s="32">
        <v>1</v>
      </c>
      <c r="AI169" s="24">
        <v>0.5</v>
      </c>
      <c r="AJ169" s="32">
        <v>1</v>
      </c>
      <c r="AK169" s="32">
        <v>1</v>
      </c>
      <c r="AL169" s="32">
        <v>0.5</v>
      </c>
      <c r="AM169" s="32">
        <v>0.5</v>
      </c>
      <c r="AN169" s="32">
        <v>0.5</v>
      </c>
      <c r="AO169" s="32">
        <v>0.5</v>
      </c>
      <c r="AP169" s="32">
        <v>0.5</v>
      </c>
      <c r="AQ169" s="23">
        <v>1</v>
      </c>
      <c r="AR169" s="29">
        <v>1</v>
      </c>
      <c r="AS169" s="32">
        <v>0</v>
      </c>
      <c r="AT169" s="32">
        <v>0.5</v>
      </c>
      <c r="AU169" s="29">
        <v>1</v>
      </c>
      <c r="AV169" s="29">
        <v>1</v>
      </c>
      <c r="AW169" s="32">
        <v>1</v>
      </c>
      <c r="AX169" s="32">
        <v>1</v>
      </c>
      <c r="AY169" s="24">
        <v>1</v>
      </c>
      <c r="AZ169" s="32">
        <v>1</v>
      </c>
      <c r="BA169" s="32">
        <v>1</v>
      </c>
      <c r="BB169" s="32">
        <v>1</v>
      </c>
      <c r="BC169" s="32"/>
      <c r="BD169" s="32">
        <v>1</v>
      </c>
      <c r="BE169" s="24">
        <v>0.5</v>
      </c>
      <c r="BF169" s="32">
        <v>1</v>
      </c>
      <c r="BG169" s="32">
        <v>1</v>
      </c>
      <c r="BH169" s="32">
        <v>0.5</v>
      </c>
      <c r="BI169" s="32">
        <v>0.5</v>
      </c>
      <c r="BJ169" s="32">
        <v>0.5</v>
      </c>
      <c r="BK169" s="32">
        <v>0.5</v>
      </c>
      <c r="BL169" s="32">
        <v>1</v>
      </c>
      <c r="BM169" s="23">
        <v>1</v>
      </c>
      <c r="BN169" s="29">
        <v>1</v>
      </c>
      <c r="BO169" s="32">
        <v>0</v>
      </c>
      <c r="BP169" s="32">
        <v>0.51</v>
      </c>
      <c r="BQ169" s="29">
        <v>0.5</v>
      </c>
      <c r="BR169" s="29">
        <v>0.5</v>
      </c>
      <c r="BT169">
        <f t="shared" si="83"/>
        <v>62</v>
      </c>
      <c r="BU169">
        <f t="shared" si="84"/>
        <v>46.51</v>
      </c>
      <c r="BV169" s="25">
        <f t="shared" si="85"/>
        <v>0.75016129032258061</v>
      </c>
    </row>
    <row r="170" spans="2:77" ht="26.25" thickBot="1" x14ac:dyDescent="0.3">
      <c r="B170" s="33" t="s">
        <v>89</v>
      </c>
      <c r="D170" s="22">
        <v>37</v>
      </c>
      <c r="E170" s="32"/>
      <c r="F170" s="32">
        <v>1</v>
      </c>
      <c r="G170" s="24">
        <v>1</v>
      </c>
      <c r="H170" s="32">
        <v>1</v>
      </c>
      <c r="I170" s="32">
        <v>1</v>
      </c>
      <c r="J170" s="32">
        <v>0</v>
      </c>
      <c r="K170" s="32"/>
      <c r="L170" s="32">
        <v>1</v>
      </c>
      <c r="M170" s="24">
        <v>0</v>
      </c>
      <c r="N170" s="32">
        <v>0</v>
      </c>
      <c r="O170" s="32">
        <v>0</v>
      </c>
      <c r="P170" s="32">
        <v>0.5</v>
      </c>
      <c r="Q170" s="32">
        <v>0</v>
      </c>
      <c r="R170" s="32">
        <v>0.5</v>
      </c>
      <c r="S170" s="32">
        <v>0</v>
      </c>
      <c r="T170" s="32">
        <v>0</v>
      </c>
      <c r="U170" s="23">
        <v>1</v>
      </c>
      <c r="V170" s="29">
        <v>0.5</v>
      </c>
      <c r="W170" s="32">
        <v>0</v>
      </c>
      <c r="X170" s="32">
        <v>0</v>
      </c>
      <c r="Y170" s="29">
        <v>1</v>
      </c>
      <c r="Z170" s="29">
        <v>1</v>
      </c>
      <c r="AA170" s="32"/>
      <c r="AB170" s="32"/>
      <c r="AC170" s="24">
        <v>1</v>
      </c>
      <c r="AD170" s="32">
        <v>0.5</v>
      </c>
      <c r="AE170" s="32">
        <v>1</v>
      </c>
      <c r="AF170" s="32">
        <v>1</v>
      </c>
      <c r="AG170" s="32"/>
      <c r="AH170" s="32">
        <v>1</v>
      </c>
      <c r="AI170" s="24">
        <v>0.5</v>
      </c>
      <c r="AJ170" s="32">
        <v>0</v>
      </c>
      <c r="AK170" s="32">
        <v>1</v>
      </c>
      <c r="AL170" s="32">
        <v>0.5</v>
      </c>
      <c r="AM170" s="32">
        <v>0.5</v>
      </c>
      <c r="AN170" s="32">
        <v>0.5</v>
      </c>
      <c r="AO170" s="32">
        <v>0.5</v>
      </c>
      <c r="AP170" s="32">
        <v>0.5</v>
      </c>
      <c r="AQ170" s="23">
        <v>1</v>
      </c>
      <c r="AR170" s="29"/>
      <c r="AS170" s="32">
        <v>0</v>
      </c>
      <c r="AT170" s="32">
        <v>0</v>
      </c>
      <c r="AU170" s="29">
        <v>1</v>
      </c>
      <c r="AV170" s="29">
        <v>1</v>
      </c>
      <c r="AW170" s="32"/>
      <c r="AX170" s="32">
        <v>1</v>
      </c>
      <c r="AY170" s="24">
        <v>1</v>
      </c>
      <c r="AZ170" s="32">
        <v>1</v>
      </c>
      <c r="BA170" s="32">
        <v>1</v>
      </c>
      <c r="BB170" s="32">
        <v>1</v>
      </c>
      <c r="BC170" s="32"/>
      <c r="BD170" s="32">
        <v>1</v>
      </c>
      <c r="BE170" s="24">
        <v>0.5</v>
      </c>
      <c r="BF170" s="32">
        <v>0</v>
      </c>
      <c r="BG170" s="32">
        <v>1</v>
      </c>
      <c r="BH170" s="32">
        <v>0.5</v>
      </c>
      <c r="BI170" s="32">
        <v>1</v>
      </c>
      <c r="BJ170" s="32">
        <v>0.5</v>
      </c>
      <c r="BK170" s="32">
        <v>0.5</v>
      </c>
      <c r="BL170" s="32">
        <v>1</v>
      </c>
      <c r="BM170" s="23">
        <v>1</v>
      </c>
      <c r="BN170" s="29"/>
      <c r="BO170" s="32">
        <v>0</v>
      </c>
      <c r="BP170" s="32">
        <v>0</v>
      </c>
      <c r="BQ170" s="29">
        <v>1</v>
      </c>
      <c r="BR170" s="29">
        <v>1</v>
      </c>
      <c r="BT170">
        <f t="shared" si="83"/>
        <v>57</v>
      </c>
      <c r="BU170">
        <f t="shared" si="84"/>
        <v>35</v>
      </c>
      <c r="BV170" s="25">
        <f t="shared" si="85"/>
        <v>0.61403508771929827</v>
      </c>
    </row>
    <row r="171" spans="2:77" x14ac:dyDescent="0.25">
      <c r="E171" s="35"/>
      <c r="F171" s="35"/>
      <c r="G171" s="35"/>
      <c r="H171" s="35"/>
      <c r="I171" s="35"/>
      <c r="J171" s="35"/>
      <c r="K171" s="35"/>
      <c r="L171" s="35"/>
      <c r="M171" s="35"/>
      <c r="N171" s="35"/>
      <c r="O171" s="35"/>
      <c r="P171" s="35"/>
      <c r="Q171" s="35"/>
      <c r="R171" s="35"/>
      <c r="S171" s="35"/>
      <c r="U171" s="35"/>
      <c r="V171" s="35"/>
      <c r="W171" s="35"/>
      <c r="X171" s="35"/>
      <c r="Y171" s="35"/>
      <c r="Z171" s="35"/>
      <c r="AA171" s="35"/>
      <c r="AB171" s="35"/>
      <c r="AC171" s="35"/>
      <c r="AD171" s="35"/>
      <c r="AE171" s="35"/>
      <c r="AF171" s="35"/>
      <c r="AG171" s="35"/>
      <c r="AH171" s="35"/>
      <c r="AI171" s="35"/>
      <c r="AJ171" s="35"/>
      <c r="AK171" s="35"/>
      <c r="AL171" s="35"/>
      <c r="AM171" s="35"/>
      <c r="AN171" s="35"/>
      <c r="AO171" s="46"/>
      <c r="AQ171" s="35"/>
      <c r="AR171" s="35"/>
      <c r="AS171" s="35"/>
      <c r="AT171" s="35"/>
      <c r="AU171" s="35"/>
      <c r="AV171" s="35"/>
      <c r="AW171" s="35"/>
      <c r="AX171" s="35"/>
      <c r="AY171" s="35"/>
      <c r="AZ171" s="35"/>
      <c r="BA171" s="35"/>
      <c r="BB171" s="35"/>
      <c r="BC171" s="35"/>
      <c r="BD171" s="35"/>
      <c r="BE171" s="35"/>
      <c r="BF171" s="35"/>
      <c r="BG171" s="35"/>
      <c r="BH171" s="35"/>
      <c r="BI171" s="35"/>
      <c r="BJ171" s="35"/>
      <c r="BK171" s="35"/>
      <c r="BM171" s="35"/>
      <c r="BN171" s="35"/>
      <c r="BO171" s="35"/>
      <c r="BP171" s="35"/>
      <c r="BQ171" s="35"/>
      <c r="BR171" s="35"/>
    </row>
    <row r="172" spans="2:77" x14ac:dyDescent="0.2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row>
    <row r="173" spans="2:77" x14ac:dyDescent="0.2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row>
    <row r="174" spans="2:77" ht="15.75" thickBot="1" x14ac:dyDescent="0.3">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row>
    <row r="175" spans="2:77" ht="16.5" thickTop="1" thickBot="1" x14ac:dyDescent="0.3">
      <c r="B175" s="5" t="s">
        <v>96</v>
      </c>
      <c r="E175" s="36" t="s">
        <v>14</v>
      </c>
      <c r="F175" s="36"/>
      <c r="G175" s="36"/>
      <c r="H175" s="36"/>
      <c r="I175" s="36"/>
      <c r="J175" s="36"/>
      <c r="K175" s="36"/>
      <c r="L175" s="36"/>
      <c r="M175" s="36"/>
      <c r="N175" s="36"/>
      <c r="O175" s="36"/>
      <c r="P175" s="36"/>
      <c r="Q175" s="36"/>
      <c r="R175" s="36"/>
      <c r="S175" s="36"/>
      <c r="T175" s="36"/>
      <c r="U175" s="36"/>
      <c r="V175" s="36"/>
      <c r="W175" s="36"/>
      <c r="X175" s="36"/>
      <c r="Y175" s="36"/>
      <c r="Z175" s="36"/>
      <c r="AA175" s="37" t="s">
        <v>15</v>
      </c>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8" t="s">
        <v>16</v>
      </c>
      <c r="AX175" s="38"/>
      <c r="AY175" s="38"/>
      <c r="AZ175" s="38"/>
      <c r="BA175" s="38"/>
      <c r="BB175" s="38"/>
      <c r="BC175" s="38"/>
      <c r="BD175" s="38"/>
      <c r="BE175" s="38"/>
      <c r="BF175" s="38"/>
      <c r="BG175" s="38"/>
      <c r="BH175" s="38"/>
      <c r="BI175" s="38"/>
      <c r="BJ175" s="38"/>
      <c r="BK175" s="38"/>
      <c r="BL175" s="38"/>
      <c r="BM175" s="38"/>
      <c r="BN175" s="38"/>
      <c r="BO175" s="38"/>
      <c r="BP175" s="38"/>
      <c r="BQ175" s="38"/>
      <c r="BR175" s="38"/>
    </row>
    <row r="176" spans="2:77" ht="16.5" thickTop="1" thickBot="1" x14ac:dyDescent="0.3">
      <c r="D176" s="6"/>
      <c r="E176" s="36" t="s">
        <v>22</v>
      </c>
      <c r="F176" s="36" t="s">
        <v>23</v>
      </c>
      <c r="G176" s="36" t="s">
        <v>24</v>
      </c>
      <c r="H176" s="36" t="s">
        <v>25</v>
      </c>
      <c r="I176" s="36" t="s">
        <v>26</v>
      </c>
      <c r="J176" s="36" t="s">
        <v>27</v>
      </c>
      <c r="K176" s="36" t="s">
        <v>28</v>
      </c>
      <c r="L176" s="36" t="s">
        <v>29</v>
      </c>
      <c r="M176" s="36" t="s">
        <v>30</v>
      </c>
      <c r="N176" s="36" t="s">
        <v>31</v>
      </c>
      <c r="O176" s="36" t="s">
        <v>103</v>
      </c>
      <c r="P176" s="36" t="s">
        <v>32</v>
      </c>
      <c r="Q176" s="36" t="s">
        <v>33</v>
      </c>
      <c r="R176" s="36" t="s">
        <v>104</v>
      </c>
      <c r="S176" s="36" t="s">
        <v>34</v>
      </c>
      <c r="T176" s="36" t="s">
        <v>35</v>
      </c>
      <c r="U176" s="36" t="s">
        <v>35</v>
      </c>
      <c r="V176" s="36" t="s">
        <v>36</v>
      </c>
      <c r="W176" s="36" t="s">
        <v>37</v>
      </c>
      <c r="X176" s="36" t="s">
        <v>38</v>
      </c>
      <c r="Y176" s="36" t="s">
        <v>39</v>
      </c>
      <c r="Z176" s="36" t="s">
        <v>40</v>
      </c>
      <c r="AA176" s="36" t="s">
        <v>22</v>
      </c>
      <c r="AB176" s="36" t="s">
        <v>23</v>
      </c>
      <c r="AC176" s="36" t="s">
        <v>24</v>
      </c>
      <c r="AD176" s="36" t="s">
        <v>25</v>
      </c>
      <c r="AE176" s="36" t="s">
        <v>26</v>
      </c>
      <c r="AF176" s="36" t="s">
        <v>27</v>
      </c>
      <c r="AG176" s="36" t="s">
        <v>28</v>
      </c>
      <c r="AH176" s="36" t="s">
        <v>29</v>
      </c>
      <c r="AI176" s="36" t="s">
        <v>30</v>
      </c>
      <c r="AJ176" s="36" t="s">
        <v>31</v>
      </c>
      <c r="AK176" s="36" t="s">
        <v>103</v>
      </c>
      <c r="AL176" s="36" t="s">
        <v>32</v>
      </c>
      <c r="AM176" s="36" t="s">
        <v>33</v>
      </c>
      <c r="AN176" s="36" t="s">
        <v>104</v>
      </c>
      <c r="AO176" s="36" t="s">
        <v>34</v>
      </c>
      <c r="AP176" s="36" t="s">
        <v>35</v>
      </c>
      <c r="AQ176" s="36" t="s">
        <v>35</v>
      </c>
      <c r="AR176" s="36" t="s">
        <v>36</v>
      </c>
      <c r="AS176" s="36" t="s">
        <v>37</v>
      </c>
      <c r="AT176" s="36" t="s">
        <v>38</v>
      </c>
      <c r="AU176" s="36" t="s">
        <v>39</v>
      </c>
      <c r="AV176" s="36" t="s">
        <v>40</v>
      </c>
      <c r="AW176" s="36" t="s">
        <v>22</v>
      </c>
      <c r="AX176" s="36" t="s">
        <v>23</v>
      </c>
      <c r="AY176" s="36" t="s">
        <v>24</v>
      </c>
      <c r="AZ176" s="36" t="s">
        <v>25</v>
      </c>
      <c r="BA176" s="36" t="s">
        <v>26</v>
      </c>
      <c r="BB176" s="36" t="s">
        <v>27</v>
      </c>
      <c r="BC176" s="36" t="s">
        <v>28</v>
      </c>
      <c r="BD176" s="36" t="s">
        <v>29</v>
      </c>
      <c r="BE176" s="36" t="s">
        <v>30</v>
      </c>
      <c r="BF176" s="36" t="s">
        <v>31</v>
      </c>
      <c r="BG176" s="36" t="s">
        <v>103</v>
      </c>
      <c r="BH176" s="36" t="s">
        <v>32</v>
      </c>
      <c r="BI176" s="36" t="s">
        <v>33</v>
      </c>
      <c r="BJ176" s="36" t="s">
        <v>104</v>
      </c>
      <c r="BK176" s="36" t="s">
        <v>34</v>
      </c>
      <c r="BL176" s="36" t="s">
        <v>35</v>
      </c>
      <c r="BM176" s="36" t="s">
        <v>35</v>
      </c>
      <c r="BN176" s="36" t="s">
        <v>36</v>
      </c>
      <c r="BO176" s="36" t="s">
        <v>37</v>
      </c>
      <c r="BP176" s="36" t="s">
        <v>38</v>
      </c>
      <c r="BQ176" s="36" t="s">
        <v>39</v>
      </c>
      <c r="BR176" s="36" t="s">
        <v>40</v>
      </c>
      <c r="BS176" s="12"/>
      <c r="BT176" s="13" t="s">
        <v>41</v>
      </c>
      <c r="BU176" s="14" t="s">
        <v>42</v>
      </c>
      <c r="BV176" s="15" t="s">
        <v>43</v>
      </c>
      <c r="BW176" s="12"/>
      <c r="BX176" s="16" t="s">
        <v>44</v>
      </c>
      <c r="BY176" s="16"/>
    </row>
    <row r="177" spans="2:77" ht="26.25" thickBot="1" x14ac:dyDescent="0.3">
      <c r="B177" s="21" t="s">
        <v>49</v>
      </c>
      <c r="D177" s="22">
        <v>1</v>
      </c>
      <c r="E177" s="47">
        <v>1</v>
      </c>
      <c r="F177" s="24">
        <v>0</v>
      </c>
      <c r="G177" s="24">
        <v>1</v>
      </c>
      <c r="H177" s="24">
        <v>1</v>
      </c>
      <c r="I177" s="24">
        <v>1</v>
      </c>
      <c r="J177" s="24">
        <v>1</v>
      </c>
      <c r="K177" s="24">
        <v>1</v>
      </c>
      <c r="L177" s="24">
        <v>1</v>
      </c>
      <c r="M177" s="24">
        <v>0.5</v>
      </c>
      <c r="N177" s="24">
        <v>1</v>
      </c>
      <c r="O177" s="24">
        <v>1</v>
      </c>
      <c r="P177" s="24">
        <v>1</v>
      </c>
      <c r="Q177" s="24">
        <v>1</v>
      </c>
      <c r="R177" s="24">
        <v>0.5</v>
      </c>
      <c r="S177" s="24">
        <v>1</v>
      </c>
      <c r="T177" s="24">
        <v>1</v>
      </c>
      <c r="U177" s="23">
        <v>1</v>
      </c>
      <c r="V177" s="24">
        <v>1</v>
      </c>
      <c r="W177" s="24">
        <v>0</v>
      </c>
      <c r="X177" s="24">
        <v>1</v>
      </c>
      <c r="Y177" s="24">
        <v>0.5</v>
      </c>
      <c r="Z177" s="24">
        <v>0.5</v>
      </c>
      <c r="AA177" s="47">
        <v>0.5</v>
      </c>
      <c r="AB177" s="24">
        <v>0.5</v>
      </c>
      <c r="AC177" s="24">
        <v>1</v>
      </c>
      <c r="AD177" s="24">
        <v>0.5</v>
      </c>
      <c r="AE177" s="24">
        <v>1</v>
      </c>
      <c r="AF177" s="24">
        <v>1</v>
      </c>
      <c r="AG177" s="24">
        <v>1</v>
      </c>
      <c r="AH177" s="24">
        <v>0.5</v>
      </c>
      <c r="AI177" s="24">
        <v>0.5</v>
      </c>
      <c r="AJ177" s="24">
        <v>1</v>
      </c>
      <c r="AK177" s="24">
        <v>1</v>
      </c>
      <c r="AL177" s="24">
        <v>0.5</v>
      </c>
      <c r="AM177" s="24">
        <v>0.5</v>
      </c>
      <c r="AN177" s="24">
        <v>0.5</v>
      </c>
      <c r="AO177" s="24">
        <v>1</v>
      </c>
      <c r="AP177" s="24">
        <v>1</v>
      </c>
      <c r="AQ177" s="23">
        <v>1</v>
      </c>
      <c r="AR177" s="24">
        <v>1</v>
      </c>
      <c r="AS177" s="24">
        <v>0</v>
      </c>
      <c r="AT177" s="24">
        <v>1</v>
      </c>
      <c r="AU177" s="24">
        <v>1</v>
      </c>
      <c r="AV177" s="24">
        <v>1</v>
      </c>
      <c r="AW177" s="24">
        <v>0.5</v>
      </c>
      <c r="AX177" s="24">
        <v>0.5</v>
      </c>
      <c r="AY177" s="24">
        <v>1</v>
      </c>
      <c r="AZ177" s="24">
        <v>1</v>
      </c>
      <c r="BA177" s="24">
        <v>1</v>
      </c>
      <c r="BB177" s="24">
        <v>1</v>
      </c>
      <c r="BC177" s="24">
        <v>0.5</v>
      </c>
      <c r="BD177" s="24">
        <v>1</v>
      </c>
      <c r="BE177" s="24">
        <v>1</v>
      </c>
      <c r="BF177" s="24">
        <v>1</v>
      </c>
      <c r="BG177" s="24">
        <v>0.5</v>
      </c>
      <c r="BH177" s="24">
        <v>1</v>
      </c>
      <c r="BI177" s="24">
        <v>1</v>
      </c>
      <c r="BJ177" s="24">
        <v>0.5</v>
      </c>
      <c r="BK177" s="24">
        <v>1</v>
      </c>
      <c r="BL177" s="24">
        <v>1</v>
      </c>
      <c r="BM177" s="23">
        <v>1</v>
      </c>
      <c r="BN177" s="24">
        <v>1</v>
      </c>
      <c r="BO177" s="24">
        <v>0.5</v>
      </c>
      <c r="BP177" s="24">
        <v>1</v>
      </c>
      <c r="BQ177" s="24">
        <v>1</v>
      </c>
      <c r="BR177" s="24">
        <v>1</v>
      </c>
      <c r="BT177">
        <f t="shared" ref="BT177:BT213" si="86">COUNT(E177:BS177)</f>
        <v>66</v>
      </c>
      <c r="BU177">
        <f t="shared" ref="BU177:BU213" si="87">SUM(E177:BR177)</f>
        <v>54</v>
      </c>
      <c r="BV177" s="25">
        <f>BU177/BT177</f>
        <v>0.81818181818181823</v>
      </c>
      <c r="BX177" s="25">
        <f>AVERAGE(BV177:BV213)</f>
        <v>0.76044329359532159</v>
      </c>
      <c r="BY177" t="s">
        <v>50</v>
      </c>
    </row>
    <row r="178" spans="2:77" ht="26.25" thickBot="1" x14ac:dyDescent="0.3">
      <c r="B178" s="26" t="s">
        <v>51</v>
      </c>
      <c r="D178" s="22">
        <v>2</v>
      </c>
      <c r="E178" s="47">
        <v>1</v>
      </c>
      <c r="F178" s="24">
        <v>0</v>
      </c>
      <c r="G178" s="24">
        <v>1</v>
      </c>
      <c r="H178" s="24">
        <v>1</v>
      </c>
      <c r="I178" s="24">
        <v>1</v>
      </c>
      <c r="J178" s="24">
        <v>1</v>
      </c>
      <c r="K178" s="24">
        <v>1</v>
      </c>
      <c r="L178" s="24">
        <v>0</v>
      </c>
      <c r="M178" s="24">
        <v>0.5</v>
      </c>
      <c r="N178" s="24">
        <v>1</v>
      </c>
      <c r="O178" s="24">
        <v>0</v>
      </c>
      <c r="P178" s="24">
        <v>0.5</v>
      </c>
      <c r="Q178" s="24">
        <v>1</v>
      </c>
      <c r="R178" s="24">
        <v>0.5</v>
      </c>
      <c r="S178" s="24">
        <v>0.5</v>
      </c>
      <c r="T178" s="24">
        <v>1</v>
      </c>
      <c r="U178" s="23">
        <v>1</v>
      </c>
      <c r="V178" s="24">
        <v>1</v>
      </c>
      <c r="W178" s="24">
        <v>0.5</v>
      </c>
      <c r="X178" s="24">
        <v>1</v>
      </c>
      <c r="Y178" s="24">
        <v>0.5</v>
      </c>
      <c r="Z178" s="24">
        <v>0.5</v>
      </c>
      <c r="AA178" s="47">
        <v>0.5</v>
      </c>
      <c r="AB178" s="24">
        <v>0.5</v>
      </c>
      <c r="AC178" s="24">
        <v>1</v>
      </c>
      <c r="AD178" s="24">
        <v>0.5</v>
      </c>
      <c r="AE178" s="24">
        <v>1</v>
      </c>
      <c r="AF178" s="24">
        <v>1</v>
      </c>
      <c r="AG178" s="24">
        <v>1</v>
      </c>
      <c r="AH178" s="24">
        <v>0</v>
      </c>
      <c r="AI178" s="24">
        <v>0.5</v>
      </c>
      <c r="AJ178" s="24">
        <v>1</v>
      </c>
      <c r="AK178" s="24">
        <v>0.5</v>
      </c>
      <c r="AL178" s="24">
        <v>0.5</v>
      </c>
      <c r="AM178" s="24">
        <v>0.5</v>
      </c>
      <c r="AN178" s="24">
        <v>0.5</v>
      </c>
      <c r="AO178" s="24">
        <v>0.5</v>
      </c>
      <c r="AP178" s="24">
        <v>1</v>
      </c>
      <c r="AQ178" s="23">
        <v>1</v>
      </c>
      <c r="AR178" s="24">
        <v>0.5</v>
      </c>
      <c r="AS178" s="24">
        <v>0</v>
      </c>
      <c r="AT178" s="24">
        <v>1</v>
      </c>
      <c r="AU178" s="24">
        <v>1</v>
      </c>
      <c r="AV178" s="24">
        <v>1</v>
      </c>
      <c r="AW178" s="24">
        <v>0.5</v>
      </c>
      <c r="AX178" s="24">
        <v>0.5</v>
      </c>
      <c r="AY178" s="24">
        <v>1</v>
      </c>
      <c r="AZ178" s="24">
        <v>1</v>
      </c>
      <c r="BA178" s="24">
        <v>1</v>
      </c>
      <c r="BB178" s="24">
        <v>1</v>
      </c>
      <c r="BC178" s="24">
        <v>1</v>
      </c>
      <c r="BD178" s="24">
        <v>0.5</v>
      </c>
      <c r="BE178" s="24">
        <v>1</v>
      </c>
      <c r="BF178" s="24">
        <v>1</v>
      </c>
      <c r="BG178" s="24">
        <v>0.5</v>
      </c>
      <c r="BH178" s="24">
        <v>0.5</v>
      </c>
      <c r="BI178" s="24">
        <v>1</v>
      </c>
      <c r="BJ178" s="24">
        <v>0.5</v>
      </c>
      <c r="BK178" s="24">
        <v>0.5</v>
      </c>
      <c r="BL178" s="24">
        <v>1</v>
      </c>
      <c r="BM178" s="23">
        <v>1</v>
      </c>
      <c r="BN178" s="24">
        <v>0.5</v>
      </c>
      <c r="BO178" s="24">
        <v>0</v>
      </c>
      <c r="BP178" s="24">
        <v>1</v>
      </c>
      <c r="BQ178" s="24">
        <v>1</v>
      </c>
      <c r="BR178" s="24">
        <v>1</v>
      </c>
      <c r="BT178">
        <f t="shared" si="86"/>
        <v>66</v>
      </c>
      <c r="BU178">
        <f t="shared" si="87"/>
        <v>47.5</v>
      </c>
      <c r="BV178" s="25">
        <f t="shared" ref="BV178:BV213" si="88">BU178/BT178</f>
        <v>0.71969696969696972</v>
      </c>
      <c r="BX178">
        <f>STDEV(BV177:BV213)</f>
        <v>7.9356047427445814E-2</v>
      </c>
      <c r="BY178" t="s">
        <v>52</v>
      </c>
    </row>
    <row r="179" spans="2:77" ht="39" thickBot="1" x14ac:dyDescent="0.3">
      <c r="B179" s="27" t="s">
        <v>53</v>
      </c>
      <c r="D179" s="22">
        <v>3</v>
      </c>
      <c r="E179" s="48">
        <v>1</v>
      </c>
      <c r="F179" s="29">
        <v>0</v>
      </c>
      <c r="G179" s="24">
        <v>1</v>
      </c>
      <c r="H179" s="29">
        <v>1</v>
      </c>
      <c r="I179" s="29">
        <v>1</v>
      </c>
      <c r="J179" s="29">
        <v>1</v>
      </c>
      <c r="K179" s="29">
        <v>1</v>
      </c>
      <c r="L179" s="29">
        <v>0.5</v>
      </c>
      <c r="M179" s="24">
        <v>0.5</v>
      </c>
      <c r="N179" s="29">
        <v>1</v>
      </c>
      <c r="O179" s="29">
        <v>0.5</v>
      </c>
      <c r="P179" s="29">
        <v>0.5</v>
      </c>
      <c r="Q179" s="29">
        <v>0.5</v>
      </c>
      <c r="R179" s="29">
        <v>0.5</v>
      </c>
      <c r="S179" s="29">
        <v>1</v>
      </c>
      <c r="T179" s="29">
        <v>1</v>
      </c>
      <c r="U179" s="23">
        <v>1</v>
      </c>
      <c r="V179" s="24">
        <v>1</v>
      </c>
      <c r="W179" s="29">
        <v>0.5</v>
      </c>
      <c r="X179" s="29">
        <v>1</v>
      </c>
      <c r="Y179" s="24">
        <v>0.5</v>
      </c>
      <c r="Z179" s="24">
        <v>0.5</v>
      </c>
      <c r="AA179" s="48">
        <v>0.5</v>
      </c>
      <c r="AB179" s="29">
        <v>0.5</v>
      </c>
      <c r="AC179" s="24">
        <v>1</v>
      </c>
      <c r="AD179" s="29">
        <v>1</v>
      </c>
      <c r="AE179" s="29">
        <v>1</v>
      </c>
      <c r="AF179" s="29">
        <v>1</v>
      </c>
      <c r="AG179" s="29">
        <v>1</v>
      </c>
      <c r="AH179" s="29">
        <v>1</v>
      </c>
      <c r="AI179" s="24">
        <v>0.5</v>
      </c>
      <c r="AJ179" s="29">
        <v>1</v>
      </c>
      <c r="AK179" s="29">
        <v>0.5</v>
      </c>
      <c r="AL179" s="29">
        <v>0.5</v>
      </c>
      <c r="AM179" s="29">
        <v>0.5</v>
      </c>
      <c r="AN179" s="29">
        <v>0.5</v>
      </c>
      <c r="AO179" s="29">
        <v>1</v>
      </c>
      <c r="AP179" s="29">
        <v>1</v>
      </c>
      <c r="AQ179" s="23">
        <v>1</v>
      </c>
      <c r="AR179" s="24">
        <v>1</v>
      </c>
      <c r="AS179" s="29">
        <v>0</v>
      </c>
      <c r="AT179" s="29">
        <v>0</v>
      </c>
      <c r="AU179" s="24">
        <v>1</v>
      </c>
      <c r="AV179" s="24">
        <v>1</v>
      </c>
      <c r="AW179" s="29">
        <v>0.5</v>
      </c>
      <c r="AX179" s="29">
        <v>0.5</v>
      </c>
      <c r="AY179" s="24">
        <v>1</v>
      </c>
      <c r="AZ179" s="29">
        <v>1</v>
      </c>
      <c r="BA179" s="29">
        <v>1</v>
      </c>
      <c r="BB179" s="29">
        <v>1</v>
      </c>
      <c r="BC179" s="29">
        <v>1</v>
      </c>
      <c r="BD179" s="29">
        <v>0.5</v>
      </c>
      <c r="BE179" s="24">
        <v>1</v>
      </c>
      <c r="BF179" s="29">
        <v>1</v>
      </c>
      <c r="BG179" s="29">
        <v>0.5</v>
      </c>
      <c r="BH179" s="29">
        <v>0.5</v>
      </c>
      <c r="BI179" s="29">
        <v>1</v>
      </c>
      <c r="BJ179" s="29">
        <v>0.5</v>
      </c>
      <c r="BK179" s="29">
        <v>1</v>
      </c>
      <c r="BL179" s="29">
        <v>1</v>
      </c>
      <c r="BM179" s="23">
        <v>1</v>
      </c>
      <c r="BN179" s="24">
        <v>1</v>
      </c>
      <c r="BO179" s="29">
        <v>0</v>
      </c>
      <c r="BP179" s="29">
        <v>0</v>
      </c>
      <c r="BQ179" s="24">
        <v>1</v>
      </c>
      <c r="BR179" s="24">
        <v>1</v>
      </c>
      <c r="BT179">
        <f t="shared" si="86"/>
        <v>66</v>
      </c>
      <c r="BU179">
        <f t="shared" si="87"/>
        <v>50</v>
      </c>
      <c r="BV179" s="25">
        <f t="shared" si="88"/>
        <v>0.75757575757575757</v>
      </c>
      <c r="BX179" s="25">
        <f>MIN(BV177:BV213)</f>
        <v>0.53448275862068961</v>
      </c>
      <c r="BY179" t="s">
        <v>54</v>
      </c>
    </row>
    <row r="180" spans="2:77" ht="39" thickBot="1" x14ac:dyDescent="0.3">
      <c r="B180" s="21" t="s">
        <v>55</v>
      </c>
      <c r="D180" s="22">
        <v>4</v>
      </c>
      <c r="E180" s="48">
        <v>0.5</v>
      </c>
      <c r="F180" s="29">
        <v>0</v>
      </c>
      <c r="G180" s="24">
        <v>1</v>
      </c>
      <c r="H180" s="29">
        <v>1</v>
      </c>
      <c r="I180" s="29">
        <v>0.5</v>
      </c>
      <c r="J180" s="29">
        <v>1</v>
      </c>
      <c r="K180" s="29"/>
      <c r="L180" s="29">
        <v>1</v>
      </c>
      <c r="M180" s="24">
        <v>0.5</v>
      </c>
      <c r="N180" s="29">
        <v>1</v>
      </c>
      <c r="O180" s="29">
        <v>0</v>
      </c>
      <c r="P180" s="29">
        <v>1</v>
      </c>
      <c r="Q180" s="29">
        <v>0.5</v>
      </c>
      <c r="R180" s="29">
        <v>0.5</v>
      </c>
      <c r="S180" s="29">
        <v>0.5</v>
      </c>
      <c r="T180" s="29">
        <v>0</v>
      </c>
      <c r="U180" s="23">
        <v>1</v>
      </c>
      <c r="V180" s="29">
        <v>0.5</v>
      </c>
      <c r="W180" s="29">
        <v>0</v>
      </c>
      <c r="X180" s="29">
        <v>1</v>
      </c>
      <c r="Y180" s="29">
        <v>1</v>
      </c>
      <c r="Z180" s="29">
        <v>1</v>
      </c>
      <c r="AA180" s="48"/>
      <c r="AB180" s="29">
        <v>0.5</v>
      </c>
      <c r="AC180" s="24">
        <v>1</v>
      </c>
      <c r="AD180" s="29">
        <v>1</v>
      </c>
      <c r="AE180" s="29">
        <v>0.5</v>
      </c>
      <c r="AF180" s="29">
        <v>1</v>
      </c>
      <c r="AG180" s="29"/>
      <c r="AH180" s="29">
        <v>0.5</v>
      </c>
      <c r="AI180" s="24">
        <v>0.5</v>
      </c>
      <c r="AJ180" s="29">
        <v>1</v>
      </c>
      <c r="AK180" s="29">
        <v>0.5</v>
      </c>
      <c r="AL180" s="29">
        <v>0.5</v>
      </c>
      <c r="AM180" s="29">
        <v>0.5</v>
      </c>
      <c r="AN180" s="29">
        <v>0.5</v>
      </c>
      <c r="AO180" s="29">
        <v>0.5</v>
      </c>
      <c r="AP180" s="29">
        <v>0</v>
      </c>
      <c r="AQ180" s="23">
        <v>1</v>
      </c>
      <c r="AR180" s="29">
        <v>0.5</v>
      </c>
      <c r="AS180" s="29">
        <v>0</v>
      </c>
      <c r="AT180" s="29">
        <v>1</v>
      </c>
      <c r="AU180" s="29">
        <v>0.5</v>
      </c>
      <c r="AV180" s="29">
        <v>0.5</v>
      </c>
      <c r="AW180" s="29"/>
      <c r="AX180" s="29">
        <v>0.5</v>
      </c>
      <c r="AY180" s="24">
        <v>1</v>
      </c>
      <c r="AZ180" s="29">
        <v>1</v>
      </c>
      <c r="BA180" s="29">
        <v>0.5</v>
      </c>
      <c r="BB180" s="29">
        <v>1</v>
      </c>
      <c r="BC180" s="29"/>
      <c r="BD180" s="29">
        <v>1</v>
      </c>
      <c r="BE180" s="24">
        <v>1</v>
      </c>
      <c r="BF180" s="29">
        <v>1</v>
      </c>
      <c r="BG180" s="29">
        <v>0.5</v>
      </c>
      <c r="BH180" s="29">
        <v>1</v>
      </c>
      <c r="BI180" s="29">
        <v>0.5</v>
      </c>
      <c r="BJ180" s="29">
        <v>0.5</v>
      </c>
      <c r="BK180" s="29">
        <v>0.5</v>
      </c>
      <c r="BL180" s="29">
        <v>0</v>
      </c>
      <c r="BM180" s="23">
        <v>1</v>
      </c>
      <c r="BN180" s="29">
        <v>0.5</v>
      </c>
      <c r="BO180" s="29">
        <v>0</v>
      </c>
      <c r="BP180" s="29">
        <v>0</v>
      </c>
      <c r="BQ180" s="29">
        <v>1</v>
      </c>
      <c r="BR180" s="29">
        <v>1</v>
      </c>
      <c r="BT180">
        <f t="shared" si="86"/>
        <v>61</v>
      </c>
      <c r="BU180">
        <f t="shared" si="87"/>
        <v>39</v>
      </c>
      <c r="BV180" s="25">
        <f t="shared" si="88"/>
        <v>0.63934426229508201</v>
      </c>
      <c r="BX180" s="25">
        <f>MAX(BV177:BV213)</f>
        <v>0.90151515151515149</v>
      </c>
      <c r="BY180" t="s">
        <v>56</v>
      </c>
    </row>
    <row r="181" spans="2:77" ht="51.75" thickBot="1" x14ac:dyDescent="0.3">
      <c r="B181" s="30" t="s">
        <v>57</v>
      </c>
      <c r="D181" s="22">
        <v>5</v>
      </c>
      <c r="E181" s="49">
        <v>0.5</v>
      </c>
      <c r="F181" s="32">
        <v>1</v>
      </c>
      <c r="G181" s="24">
        <v>1</v>
      </c>
      <c r="H181" s="32">
        <v>1</v>
      </c>
      <c r="I181" s="32">
        <v>0.5</v>
      </c>
      <c r="J181" s="32">
        <v>1</v>
      </c>
      <c r="K181" s="32">
        <v>1</v>
      </c>
      <c r="L181" s="32">
        <v>1</v>
      </c>
      <c r="M181" s="24">
        <v>0.5</v>
      </c>
      <c r="N181" s="32">
        <v>1</v>
      </c>
      <c r="O181" s="32">
        <v>0</v>
      </c>
      <c r="P181" s="32">
        <v>1</v>
      </c>
      <c r="Q181" s="32">
        <v>0.5</v>
      </c>
      <c r="R181" s="32">
        <v>0.5</v>
      </c>
      <c r="S181" s="32">
        <v>1</v>
      </c>
      <c r="T181" s="32">
        <v>1</v>
      </c>
      <c r="U181" s="23">
        <v>1</v>
      </c>
      <c r="V181" s="29">
        <v>1</v>
      </c>
      <c r="W181" s="32">
        <v>0.5</v>
      </c>
      <c r="X181" s="32">
        <v>1</v>
      </c>
      <c r="Y181" s="29">
        <v>1</v>
      </c>
      <c r="Z181" s="29">
        <v>1</v>
      </c>
      <c r="AA181" s="49"/>
      <c r="AB181" s="32">
        <v>1</v>
      </c>
      <c r="AC181" s="24">
        <v>1</v>
      </c>
      <c r="AD181" s="32">
        <v>1</v>
      </c>
      <c r="AE181" s="32">
        <v>0.5</v>
      </c>
      <c r="AF181" s="32">
        <v>1</v>
      </c>
      <c r="AG181" s="32">
        <v>1</v>
      </c>
      <c r="AH181" s="32">
        <v>1</v>
      </c>
      <c r="AI181" s="24">
        <v>0.5</v>
      </c>
      <c r="AJ181" s="32">
        <v>1</v>
      </c>
      <c r="AK181" s="32">
        <v>0.5</v>
      </c>
      <c r="AL181" s="32">
        <v>1</v>
      </c>
      <c r="AM181" s="32">
        <v>0.5</v>
      </c>
      <c r="AN181" s="32">
        <v>0.5</v>
      </c>
      <c r="AO181" s="32">
        <v>1</v>
      </c>
      <c r="AP181" s="32">
        <v>1</v>
      </c>
      <c r="AQ181" s="23">
        <v>1</v>
      </c>
      <c r="AR181" s="29">
        <v>0.5</v>
      </c>
      <c r="AS181" s="32">
        <v>0.5</v>
      </c>
      <c r="AT181" s="32">
        <v>1</v>
      </c>
      <c r="AU181" s="29">
        <v>1</v>
      </c>
      <c r="AV181" s="29">
        <v>1</v>
      </c>
      <c r="AW181" s="32"/>
      <c r="AX181" s="32">
        <v>1</v>
      </c>
      <c r="AY181" s="24">
        <v>1</v>
      </c>
      <c r="AZ181" s="32">
        <v>1</v>
      </c>
      <c r="BA181" s="32">
        <v>0.5</v>
      </c>
      <c r="BB181" s="32">
        <v>1</v>
      </c>
      <c r="BC181" s="32">
        <v>1</v>
      </c>
      <c r="BD181" s="32">
        <v>1</v>
      </c>
      <c r="BE181" s="24">
        <v>1</v>
      </c>
      <c r="BF181" s="32">
        <v>1</v>
      </c>
      <c r="BG181" s="32">
        <v>0.5</v>
      </c>
      <c r="BH181" s="32">
        <v>1</v>
      </c>
      <c r="BI181" s="32">
        <v>0.5</v>
      </c>
      <c r="BJ181" s="32">
        <v>0.5</v>
      </c>
      <c r="BK181" s="32">
        <v>0.5</v>
      </c>
      <c r="BL181" s="32">
        <v>1</v>
      </c>
      <c r="BM181" s="23">
        <v>1</v>
      </c>
      <c r="BN181" s="29">
        <v>0.5</v>
      </c>
      <c r="BO181" s="32">
        <v>0.5</v>
      </c>
      <c r="BP181" s="32">
        <v>0</v>
      </c>
      <c r="BQ181" s="29">
        <v>1</v>
      </c>
      <c r="BR181" s="29">
        <v>1</v>
      </c>
      <c r="BT181">
        <f t="shared" si="86"/>
        <v>64</v>
      </c>
      <c r="BU181">
        <f t="shared" si="87"/>
        <v>52</v>
      </c>
      <c r="BV181" s="25">
        <f t="shared" si="88"/>
        <v>0.8125</v>
      </c>
    </row>
    <row r="182" spans="2:77" ht="39" thickBot="1" x14ac:dyDescent="0.3">
      <c r="B182" s="26" t="s">
        <v>58</v>
      </c>
      <c r="D182" s="22">
        <v>6</v>
      </c>
      <c r="E182" s="49">
        <v>0.5</v>
      </c>
      <c r="F182" s="32">
        <v>0.5</v>
      </c>
      <c r="G182" s="24">
        <v>1</v>
      </c>
      <c r="H182" s="32">
        <v>1</v>
      </c>
      <c r="I182" s="32">
        <v>0.5</v>
      </c>
      <c r="J182" s="32">
        <v>1</v>
      </c>
      <c r="K182" s="32">
        <v>1</v>
      </c>
      <c r="L182" s="32">
        <v>1</v>
      </c>
      <c r="M182" s="24">
        <v>0.5</v>
      </c>
      <c r="N182" s="32">
        <v>1</v>
      </c>
      <c r="O182" s="32">
        <v>0</v>
      </c>
      <c r="P182" s="32">
        <v>1</v>
      </c>
      <c r="Q182" s="32">
        <v>1</v>
      </c>
      <c r="R182" s="32">
        <v>0.5</v>
      </c>
      <c r="S182" s="32">
        <v>1</v>
      </c>
      <c r="T182" s="32">
        <v>1</v>
      </c>
      <c r="U182" s="23">
        <v>1</v>
      </c>
      <c r="V182" s="29">
        <v>0.5</v>
      </c>
      <c r="W182" s="32">
        <v>0.5</v>
      </c>
      <c r="X182" s="32">
        <v>1</v>
      </c>
      <c r="Y182" s="29">
        <v>1</v>
      </c>
      <c r="Z182" s="29">
        <v>1</v>
      </c>
      <c r="AA182" s="49"/>
      <c r="AB182" s="32">
        <v>0.5</v>
      </c>
      <c r="AC182" s="24">
        <v>1</v>
      </c>
      <c r="AD182" s="32">
        <v>1</v>
      </c>
      <c r="AE182" s="32">
        <v>0.5</v>
      </c>
      <c r="AF182" s="32">
        <v>1</v>
      </c>
      <c r="AG182" s="32">
        <v>1</v>
      </c>
      <c r="AH182" s="32">
        <v>1</v>
      </c>
      <c r="AI182" s="24">
        <v>0.5</v>
      </c>
      <c r="AJ182" s="32">
        <v>1</v>
      </c>
      <c r="AK182" s="32">
        <v>0.5</v>
      </c>
      <c r="AL182" s="32">
        <v>1</v>
      </c>
      <c r="AM182" s="32">
        <v>0.5</v>
      </c>
      <c r="AN182" s="32">
        <v>0.5</v>
      </c>
      <c r="AO182" s="32">
        <v>1</v>
      </c>
      <c r="AP182" s="32">
        <v>1</v>
      </c>
      <c r="AQ182" s="23">
        <v>1</v>
      </c>
      <c r="AR182" s="29">
        <v>0.5</v>
      </c>
      <c r="AS182" s="32">
        <v>0</v>
      </c>
      <c r="AT182" s="32">
        <v>1</v>
      </c>
      <c r="AU182" s="29">
        <v>1</v>
      </c>
      <c r="AV182" s="29">
        <v>1</v>
      </c>
      <c r="AW182" s="32"/>
      <c r="AX182" s="32">
        <v>0.5</v>
      </c>
      <c r="AY182" s="24">
        <v>1</v>
      </c>
      <c r="AZ182" s="32">
        <v>1</v>
      </c>
      <c r="BA182" s="32">
        <v>0.5</v>
      </c>
      <c r="BB182" s="32">
        <v>1</v>
      </c>
      <c r="BC182" s="32">
        <v>1</v>
      </c>
      <c r="BD182" s="32">
        <v>1</v>
      </c>
      <c r="BE182" s="24">
        <v>1</v>
      </c>
      <c r="BF182" s="32">
        <v>1</v>
      </c>
      <c r="BG182" s="32">
        <v>0.5</v>
      </c>
      <c r="BH182" s="32">
        <v>1</v>
      </c>
      <c r="BI182" s="32">
        <v>1</v>
      </c>
      <c r="BJ182" s="32">
        <v>0.5</v>
      </c>
      <c r="BK182" s="32">
        <v>0.5</v>
      </c>
      <c r="BL182" s="32">
        <v>1</v>
      </c>
      <c r="BM182" s="23">
        <v>1</v>
      </c>
      <c r="BN182" s="29">
        <v>1</v>
      </c>
      <c r="BO182" s="32">
        <v>0.5</v>
      </c>
      <c r="BP182" s="32">
        <v>0</v>
      </c>
      <c r="BQ182" s="29">
        <v>1</v>
      </c>
      <c r="BR182" s="29">
        <v>1</v>
      </c>
      <c r="BT182">
        <f t="shared" si="86"/>
        <v>64</v>
      </c>
      <c r="BU182">
        <f t="shared" si="87"/>
        <v>51</v>
      </c>
      <c r="BV182" s="25">
        <f t="shared" si="88"/>
        <v>0.796875</v>
      </c>
    </row>
    <row r="183" spans="2:77" ht="39" thickBot="1" x14ac:dyDescent="0.3">
      <c r="B183" s="30" t="s">
        <v>59</v>
      </c>
      <c r="D183" s="22">
        <v>7</v>
      </c>
      <c r="E183" s="49">
        <v>0.5</v>
      </c>
      <c r="F183" s="32">
        <v>1</v>
      </c>
      <c r="G183" s="24">
        <v>1</v>
      </c>
      <c r="H183" s="32">
        <v>1</v>
      </c>
      <c r="I183" s="32">
        <v>0</v>
      </c>
      <c r="J183" s="32">
        <v>1</v>
      </c>
      <c r="K183" s="32">
        <v>0.5</v>
      </c>
      <c r="L183" s="32">
        <v>1</v>
      </c>
      <c r="M183" s="24">
        <v>0.5</v>
      </c>
      <c r="N183" s="32">
        <v>0.5</v>
      </c>
      <c r="O183" s="32">
        <v>0</v>
      </c>
      <c r="P183" s="32">
        <v>1</v>
      </c>
      <c r="Q183" s="32">
        <v>1</v>
      </c>
      <c r="R183" s="32">
        <v>0.5</v>
      </c>
      <c r="S183" s="32">
        <v>1</v>
      </c>
      <c r="T183" s="32">
        <v>1</v>
      </c>
      <c r="U183" s="23">
        <v>1</v>
      </c>
      <c r="V183" s="29">
        <v>0.5</v>
      </c>
      <c r="W183" s="32">
        <v>0</v>
      </c>
      <c r="X183" s="32">
        <v>1</v>
      </c>
      <c r="Y183" s="29">
        <v>1</v>
      </c>
      <c r="Z183" s="29">
        <v>1</v>
      </c>
      <c r="AA183" s="49">
        <v>0.5</v>
      </c>
      <c r="AB183" s="32">
        <v>1</v>
      </c>
      <c r="AC183" s="24">
        <v>1</v>
      </c>
      <c r="AD183" s="32">
        <v>1</v>
      </c>
      <c r="AE183" s="32">
        <v>0</v>
      </c>
      <c r="AF183" s="32">
        <v>1</v>
      </c>
      <c r="AG183" s="32">
        <v>0.5</v>
      </c>
      <c r="AH183" s="32">
        <v>1</v>
      </c>
      <c r="AI183" s="24">
        <v>0.5</v>
      </c>
      <c r="AJ183" s="32">
        <v>0.5</v>
      </c>
      <c r="AK183" s="32">
        <v>0.5</v>
      </c>
      <c r="AL183" s="32">
        <v>1</v>
      </c>
      <c r="AM183" s="32">
        <v>0.5</v>
      </c>
      <c r="AN183" s="32">
        <v>0.5</v>
      </c>
      <c r="AO183" s="32">
        <v>1</v>
      </c>
      <c r="AP183" s="32">
        <v>1</v>
      </c>
      <c r="AQ183" s="23">
        <v>1</v>
      </c>
      <c r="AR183" s="29">
        <v>0</v>
      </c>
      <c r="AS183" s="32">
        <v>0</v>
      </c>
      <c r="AT183" s="32">
        <v>1</v>
      </c>
      <c r="AU183" s="29">
        <v>0.5</v>
      </c>
      <c r="AV183" s="29">
        <v>0.5</v>
      </c>
      <c r="AW183" s="32">
        <v>0.5</v>
      </c>
      <c r="AX183" s="32">
        <v>1</v>
      </c>
      <c r="AY183" s="24">
        <v>1</v>
      </c>
      <c r="AZ183" s="32">
        <v>1</v>
      </c>
      <c r="BA183" s="32">
        <v>0</v>
      </c>
      <c r="BB183" s="32">
        <v>1</v>
      </c>
      <c r="BC183" s="32">
        <v>0.5</v>
      </c>
      <c r="BD183" s="32">
        <v>1</v>
      </c>
      <c r="BE183" s="24">
        <v>1</v>
      </c>
      <c r="BF183" s="32">
        <v>0.5</v>
      </c>
      <c r="BG183" s="32">
        <v>1</v>
      </c>
      <c r="BH183" s="32">
        <v>1</v>
      </c>
      <c r="BI183" s="32">
        <v>1</v>
      </c>
      <c r="BJ183" s="32">
        <v>0.5</v>
      </c>
      <c r="BK183" s="32">
        <v>0.5</v>
      </c>
      <c r="BL183" s="32">
        <v>1</v>
      </c>
      <c r="BM183" s="23">
        <v>1</v>
      </c>
      <c r="BN183" s="29">
        <v>0.5</v>
      </c>
      <c r="BO183" s="32">
        <v>0</v>
      </c>
      <c r="BP183" s="32">
        <v>1</v>
      </c>
      <c r="BQ183" s="29">
        <v>1</v>
      </c>
      <c r="BR183" s="29">
        <v>1</v>
      </c>
      <c r="BT183">
        <f t="shared" si="86"/>
        <v>66</v>
      </c>
      <c r="BU183">
        <f t="shared" si="87"/>
        <v>47.5</v>
      </c>
      <c r="BV183" s="25">
        <f t="shared" si="88"/>
        <v>0.71969696969696972</v>
      </c>
    </row>
    <row r="184" spans="2:77" ht="39" thickBot="1" x14ac:dyDescent="0.3">
      <c r="B184" s="30" t="s">
        <v>60</v>
      </c>
      <c r="D184" s="22">
        <v>8</v>
      </c>
      <c r="E184" s="49">
        <v>1</v>
      </c>
      <c r="F184" s="32">
        <v>1</v>
      </c>
      <c r="G184" s="24">
        <v>1</v>
      </c>
      <c r="H184" s="32">
        <v>1</v>
      </c>
      <c r="I184" s="32">
        <v>0.51</v>
      </c>
      <c r="J184" s="32">
        <v>0.5</v>
      </c>
      <c r="K184" s="32"/>
      <c r="L184" s="32">
        <v>1</v>
      </c>
      <c r="M184" s="24">
        <v>0.5</v>
      </c>
      <c r="N184" s="32">
        <v>1</v>
      </c>
      <c r="O184" s="24">
        <v>0</v>
      </c>
      <c r="P184" s="32">
        <v>1</v>
      </c>
      <c r="Q184" s="32">
        <v>1</v>
      </c>
      <c r="R184" s="32">
        <v>0.5</v>
      </c>
      <c r="S184" s="32">
        <v>1</v>
      </c>
      <c r="T184" s="32">
        <v>1</v>
      </c>
      <c r="U184" s="23">
        <v>1</v>
      </c>
      <c r="V184" s="29">
        <v>1</v>
      </c>
      <c r="W184" s="32">
        <v>1</v>
      </c>
      <c r="X184" s="32">
        <v>1</v>
      </c>
      <c r="Y184" s="29">
        <v>1</v>
      </c>
      <c r="Z184" s="29">
        <v>1</v>
      </c>
      <c r="AA184" s="49">
        <v>1</v>
      </c>
      <c r="AB184" s="32">
        <v>1</v>
      </c>
      <c r="AC184" s="24">
        <v>1</v>
      </c>
      <c r="AD184" s="32">
        <v>1</v>
      </c>
      <c r="AE184" s="32">
        <v>0.5</v>
      </c>
      <c r="AF184" s="32">
        <v>0.5</v>
      </c>
      <c r="AG184" s="32"/>
      <c r="AH184" s="32">
        <v>1</v>
      </c>
      <c r="AI184" s="24">
        <v>0.5</v>
      </c>
      <c r="AJ184" s="32">
        <v>1</v>
      </c>
      <c r="AK184" s="24">
        <v>0.5</v>
      </c>
      <c r="AL184" s="32">
        <v>1</v>
      </c>
      <c r="AM184" s="32">
        <v>0.5</v>
      </c>
      <c r="AN184" s="32">
        <v>0.5</v>
      </c>
      <c r="AO184" s="32">
        <v>1</v>
      </c>
      <c r="AP184" s="32">
        <v>1</v>
      </c>
      <c r="AQ184" s="23">
        <v>1</v>
      </c>
      <c r="AR184" s="29">
        <v>1</v>
      </c>
      <c r="AS184" s="32">
        <v>0</v>
      </c>
      <c r="AT184" s="32">
        <v>1</v>
      </c>
      <c r="AU184" s="29">
        <v>1</v>
      </c>
      <c r="AV184" s="29">
        <v>1</v>
      </c>
      <c r="AW184" s="32">
        <v>1</v>
      </c>
      <c r="AX184" s="32">
        <v>1</v>
      </c>
      <c r="AY184" s="24">
        <v>1</v>
      </c>
      <c r="AZ184" s="32">
        <v>1</v>
      </c>
      <c r="BA184" s="32">
        <v>0.5</v>
      </c>
      <c r="BB184" s="32">
        <v>0.5</v>
      </c>
      <c r="BC184" s="32"/>
      <c r="BD184" s="32">
        <v>1</v>
      </c>
      <c r="BE184" s="24">
        <v>1</v>
      </c>
      <c r="BF184" s="32">
        <v>1</v>
      </c>
      <c r="BG184" s="24">
        <v>0.5</v>
      </c>
      <c r="BH184" s="32">
        <v>1</v>
      </c>
      <c r="BI184" s="32">
        <v>1</v>
      </c>
      <c r="BJ184" s="32">
        <v>0.5</v>
      </c>
      <c r="BK184" s="32">
        <v>0.5</v>
      </c>
      <c r="BL184" s="32">
        <v>1</v>
      </c>
      <c r="BM184" s="23">
        <v>1</v>
      </c>
      <c r="BN184" s="29">
        <v>1</v>
      </c>
      <c r="BO184" s="32">
        <v>0</v>
      </c>
      <c r="BP184" s="32">
        <v>1</v>
      </c>
      <c r="BQ184" s="29">
        <v>1</v>
      </c>
      <c r="BR184" s="29">
        <v>1</v>
      </c>
      <c r="BT184">
        <f t="shared" si="86"/>
        <v>63</v>
      </c>
      <c r="BU184">
        <f t="shared" si="87"/>
        <v>52.51</v>
      </c>
      <c r="BV184" s="25">
        <f t="shared" si="88"/>
        <v>0.83349206349206351</v>
      </c>
    </row>
    <row r="185" spans="2:77" ht="26.25" thickBot="1" x14ac:dyDescent="0.3">
      <c r="B185" s="26" t="s">
        <v>61</v>
      </c>
      <c r="D185" s="22">
        <v>9</v>
      </c>
      <c r="E185" s="49"/>
      <c r="F185" s="32">
        <v>0.5</v>
      </c>
      <c r="G185" s="24">
        <v>1</v>
      </c>
      <c r="H185" s="32">
        <v>0.5</v>
      </c>
      <c r="I185" s="32">
        <v>1</v>
      </c>
      <c r="J185" s="32">
        <v>0.5</v>
      </c>
      <c r="K185" s="32"/>
      <c r="L185" s="32">
        <v>1</v>
      </c>
      <c r="M185" s="24">
        <v>0.5</v>
      </c>
      <c r="N185" s="32">
        <v>1</v>
      </c>
      <c r="O185" s="32">
        <v>0.5</v>
      </c>
      <c r="P185" s="32">
        <v>1</v>
      </c>
      <c r="Q185" s="32">
        <v>1</v>
      </c>
      <c r="R185" s="32">
        <v>0.5</v>
      </c>
      <c r="S185" s="32">
        <v>0</v>
      </c>
      <c r="T185" s="32">
        <v>1</v>
      </c>
      <c r="U185" s="23">
        <v>1</v>
      </c>
      <c r="V185" s="24">
        <v>1</v>
      </c>
      <c r="W185" s="32">
        <v>0</v>
      </c>
      <c r="X185" s="32">
        <v>1</v>
      </c>
      <c r="Y185" s="24">
        <v>0.5</v>
      </c>
      <c r="Z185" s="24">
        <v>0.5</v>
      </c>
      <c r="AA185" s="49"/>
      <c r="AB185" s="32">
        <v>0.5</v>
      </c>
      <c r="AC185" s="24">
        <v>1</v>
      </c>
      <c r="AD185" s="32">
        <v>1</v>
      </c>
      <c r="AE185" s="32">
        <v>1</v>
      </c>
      <c r="AF185" s="32">
        <v>0.5</v>
      </c>
      <c r="AG185" s="32"/>
      <c r="AH185" s="32">
        <v>1</v>
      </c>
      <c r="AI185" s="24">
        <v>0.5</v>
      </c>
      <c r="AJ185" s="32">
        <v>1</v>
      </c>
      <c r="AK185" s="32">
        <v>0.5</v>
      </c>
      <c r="AL185" s="32">
        <v>1</v>
      </c>
      <c r="AM185" s="32">
        <v>0.5</v>
      </c>
      <c r="AN185" s="32">
        <v>0.5</v>
      </c>
      <c r="AO185" s="32">
        <v>0</v>
      </c>
      <c r="AP185" s="32">
        <v>1</v>
      </c>
      <c r="AQ185" s="23">
        <v>1</v>
      </c>
      <c r="AR185" s="24">
        <v>0.5</v>
      </c>
      <c r="AS185" s="32">
        <v>0</v>
      </c>
      <c r="AT185" s="32">
        <v>1</v>
      </c>
      <c r="AU185" s="24">
        <v>1</v>
      </c>
      <c r="AV185" s="24">
        <v>1</v>
      </c>
      <c r="AW185" s="32"/>
      <c r="AX185" s="32">
        <v>0.5</v>
      </c>
      <c r="AY185" s="24">
        <v>1</v>
      </c>
      <c r="AZ185" s="32">
        <v>0.5</v>
      </c>
      <c r="BA185" s="32">
        <v>1</v>
      </c>
      <c r="BB185" s="32">
        <v>0.5</v>
      </c>
      <c r="BC185" s="32"/>
      <c r="BD185" s="32">
        <v>1</v>
      </c>
      <c r="BE185" s="32">
        <v>1</v>
      </c>
      <c r="BF185" s="32">
        <v>1</v>
      </c>
      <c r="BG185" s="32">
        <v>0.5</v>
      </c>
      <c r="BH185" s="32">
        <v>1</v>
      </c>
      <c r="BI185" s="32">
        <v>1</v>
      </c>
      <c r="BJ185" s="32">
        <v>0.5</v>
      </c>
      <c r="BK185" s="32">
        <v>0</v>
      </c>
      <c r="BL185" s="32">
        <v>1</v>
      </c>
      <c r="BM185" s="23">
        <v>1</v>
      </c>
      <c r="BN185" s="24">
        <v>0.5</v>
      </c>
      <c r="BO185" s="32">
        <v>0</v>
      </c>
      <c r="BP185" s="32">
        <v>1</v>
      </c>
      <c r="BQ185" s="24">
        <v>1</v>
      </c>
      <c r="BR185" s="24">
        <v>1</v>
      </c>
      <c r="BT185">
        <f t="shared" si="86"/>
        <v>60</v>
      </c>
      <c r="BU185">
        <f t="shared" si="87"/>
        <v>43.5</v>
      </c>
      <c r="BV185" s="25">
        <f t="shared" si="88"/>
        <v>0.72499999999999998</v>
      </c>
    </row>
    <row r="186" spans="2:77" ht="26.25" thickBot="1" x14ac:dyDescent="0.3">
      <c r="B186" s="26" t="s">
        <v>62</v>
      </c>
      <c r="D186" s="22">
        <v>10</v>
      </c>
      <c r="E186" s="49">
        <v>1</v>
      </c>
      <c r="F186" s="32">
        <v>1</v>
      </c>
      <c r="G186" s="24">
        <v>1</v>
      </c>
      <c r="H186" s="32">
        <v>1</v>
      </c>
      <c r="I186" s="32">
        <v>1</v>
      </c>
      <c r="J186" s="32">
        <v>1</v>
      </c>
      <c r="K186" s="32">
        <v>1</v>
      </c>
      <c r="L186" s="32">
        <v>1</v>
      </c>
      <c r="M186" s="32">
        <v>1</v>
      </c>
      <c r="N186" s="32">
        <v>1</v>
      </c>
      <c r="O186" s="32">
        <v>0.5</v>
      </c>
      <c r="P186" s="32">
        <v>1</v>
      </c>
      <c r="Q186" s="32">
        <v>1</v>
      </c>
      <c r="R186" s="32">
        <v>0.5</v>
      </c>
      <c r="S186" s="32">
        <v>1</v>
      </c>
      <c r="T186" s="32">
        <v>1</v>
      </c>
      <c r="U186" s="23">
        <v>1</v>
      </c>
      <c r="V186" s="29">
        <v>1</v>
      </c>
      <c r="W186" s="32">
        <v>0</v>
      </c>
      <c r="X186" s="32">
        <v>0.5</v>
      </c>
      <c r="Y186" s="29">
        <v>1</v>
      </c>
      <c r="Z186" s="29">
        <v>1</v>
      </c>
      <c r="AA186" s="49">
        <v>1</v>
      </c>
      <c r="AB186" s="32">
        <v>1</v>
      </c>
      <c r="AC186" s="24">
        <v>1</v>
      </c>
      <c r="AD186" s="32">
        <v>1</v>
      </c>
      <c r="AE186" s="32">
        <v>1</v>
      </c>
      <c r="AF186" s="32">
        <v>1</v>
      </c>
      <c r="AG186" s="32">
        <v>1</v>
      </c>
      <c r="AH186" s="32">
        <v>1</v>
      </c>
      <c r="AI186" s="32">
        <v>1</v>
      </c>
      <c r="AJ186" s="32">
        <v>1</v>
      </c>
      <c r="AK186" s="32">
        <v>0</v>
      </c>
      <c r="AL186" s="32">
        <v>1</v>
      </c>
      <c r="AM186" s="32">
        <v>0.5</v>
      </c>
      <c r="AN186" s="32">
        <v>0.5</v>
      </c>
      <c r="AO186" s="32">
        <v>1</v>
      </c>
      <c r="AP186" s="32">
        <v>1</v>
      </c>
      <c r="AQ186" s="23">
        <v>1</v>
      </c>
      <c r="AR186" s="29">
        <v>1</v>
      </c>
      <c r="AS186" s="32">
        <v>0</v>
      </c>
      <c r="AT186" s="32">
        <v>0</v>
      </c>
      <c r="AU186" s="29">
        <v>0.5</v>
      </c>
      <c r="AV186" s="29">
        <v>0.5</v>
      </c>
      <c r="AW186" s="32">
        <v>1</v>
      </c>
      <c r="AX186" s="32">
        <v>1</v>
      </c>
      <c r="AY186" s="24">
        <v>1</v>
      </c>
      <c r="AZ186" s="32">
        <v>1</v>
      </c>
      <c r="BA186" s="32">
        <v>1</v>
      </c>
      <c r="BB186" s="32">
        <v>1</v>
      </c>
      <c r="BC186" s="32">
        <v>1</v>
      </c>
      <c r="BD186" s="32">
        <v>1</v>
      </c>
      <c r="BE186" s="32">
        <v>1</v>
      </c>
      <c r="BF186" s="32">
        <v>1</v>
      </c>
      <c r="BG186" s="32">
        <v>0</v>
      </c>
      <c r="BH186" s="32">
        <v>1</v>
      </c>
      <c r="BI186" s="32">
        <v>1</v>
      </c>
      <c r="BJ186" s="32">
        <v>0.5</v>
      </c>
      <c r="BK186" s="32">
        <v>1</v>
      </c>
      <c r="BL186" s="32">
        <v>0</v>
      </c>
      <c r="BM186" s="23">
        <v>1</v>
      </c>
      <c r="BN186" s="29">
        <v>1</v>
      </c>
      <c r="BO186" s="32">
        <v>1</v>
      </c>
      <c r="BP186" s="32">
        <v>0</v>
      </c>
      <c r="BQ186" s="29">
        <v>1</v>
      </c>
      <c r="BR186" s="29">
        <v>1</v>
      </c>
      <c r="BT186">
        <f t="shared" si="86"/>
        <v>66</v>
      </c>
      <c r="BU186">
        <f t="shared" si="87"/>
        <v>55</v>
      </c>
      <c r="BV186" s="25">
        <f t="shared" si="88"/>
        <v>0.83333333333333337</v>
      </c>
    </row>
    <row r="187" spans="2:77" ht="26.25" thickBot="1" x14ac:dyDescent="0.3">
      <c r="B187" s="30" t="s">
        <v>63</v>
      </c>
      <c r="D187" s="22">
        <v>11</v>
      </c>
      <c r="E187" s="49">
        <v>1</v>
      </c>
      <c r="F187" s="32">
        <v>0.5</v>
      </c>
      <c r="G187" s="24">
        <v>1</v>
      </c>
      <c r="H187" s="32">
        <v>0.5</v>
      </c>
      <c r="I187" s="32">
        <v>1</v>
      </c>
      <c r="J187" s="32">
        <v>1</v>
      </c>
      <c r="K187" s="32">
        <v>1</v>
      </c>
      <c r="L187" s="32">
        <v>1</v>
      </c>
      <c r="M187" s="24">
        <v>0.5</v>
      </c>
      <c r="N187" s="32">
        <v>1</v>
      </c>
      <c r="O187" s="32">
        <v>0.5</v>
      </c>
      <c r="P187" s="32">
        <v>1</v>
      </c>
      <c r="Q187" s="32">
        <v>1</v>
      </c>
      <c r="R187" s="32">
        <v>0.5</v>
      </c>
      <c r="S187" s="32">
        <v>1</v>
      </c>
      <c r="T187" s="32">
        <v>1</v>
      </c>
      <c r="U187" s="23">
        <v>1</v>
      </c>
      <c r="V187" s="29">
        <v>1</v>
      </c>
      <c r="W187" s="32">
        <v>0</v>
      </c>
      <c r="X187" s="32">
        <v>0.5</v>
      </c>
      <c r="Y187" s="29">
        <v>1</v>
      </c>
      <c r="Z187" s="29">
        <v>1</v>
      </c>
      <c r="AA187" s="49">
        <v>1</v>
      </c>
      <c r="AB187" s="32">
        <v>0.5</v>
      </c>
      <c r="AC187" s="24">
        <v>1</v>
      </c>
      <c r="AD187" s="32">
        <v>0.5</v>
      </c>
      <c r="AE187" s="32">
        <v>1</v>
      </c>
      <c r="AF187" s="32">
        <v>1</v>
      </c>
      <c r="AG187" s="32">
        <v>1</v>
      </c>
      <c r="AH187" s="32">
        <v>1</v>
      </c>
      <c r="AI187" s="24">
        <v>0.5</v>
      </c>
      <c r="AJ187" s="32">
        <v>1</v>
      </c>
      <c r="AK187" s="32">
        <v>0.5</v>
      </c>
      <c r="AL187" s="32">
        <v>1</v>
      </c>
      <c r="AM187" s="32">
        <v>0.5</v>
      </c>
      <c r="AN187" s="32">
        <v>0.5</v>
      </c>
      <c r="AO187" s="32">
        <v>1</v>
      </c>
      <c r="AP187" s="32">
        <v>1</v>
      </c>
      <c r="AQ187" s="23">
        <v>1</v>
      </c>
      <c r="AR187" s="29">
        <v>1</v>
      </c>
      <c r="AS187" s="32">
        <v>0</v>
      </c>
      <c r="AT187" s="32">
        <v>0</v>
      </c>
      <c r="AU187" s="29">
        <v>0.5</v>
      </c>
      <c r="AV187" s="29">
        <v>0.5</v>
      </c>
      <c r="AW187" s="32">
        <v>1</v>
      </c>
      <c r="AX187" s="32">
        <v>0.5</v>
      </c>
      <c r="AY187" s="24">
        <v>1</v>
      </c>
      <c r="AZ187" s="32">
        <v>0.5</v>
      </c>
      <c r="BA187" s="32">
        <v>1</v>
      </c>
      <c r="BB187" s="32">
        <v>1</v>
      </c>
      <c r="BC187" s="32">
        <v>1</v>
      </c>
      <c r="BD187" s="32">
        <v>1</v>
      </c>
      <c r="BE187" s="32">
        <v>1</v>
      </c>
      <c r="BF187" s="32">
        <v>1</v>
      </c>
      <c r="BG187" s="32">
        <v>0</v>
      </c>
      <c r="BH187" s="32">
        <v>1</v>
      </c>
      <c r="BI187" s="32">
        <v>1</v>
      </c>
      <c r="BJ187" s="32">
        <v>0.5</v>
      </c>
      <c r="BK187" s="32">
        <v>1</v>
      </c>
      <c r="BL187" s="32">
        <v>1</v>
      </c>
      <c r="BM187" s="23">
        <v>1</v>
      </c>
      <c r="BN187" s="29">
        <v>1</v>
      </c>
      <c r="BO187" s="32">
        <v>0</v>
      </c>
      <c r="BP187" s="32">
        <v>0</v>
      </c>
      <c r="BQ187" s="29">
        <v>1</v>
      </c>
      <c r="BR187" s="29">
        <v>1</v>
      </c>
      <c r="BT187">
        <f t="shared" si="86"/>
        <v>66</v>
      </c>
      <c r="BU187">
        <f t="shared" si="87"/>
        <v>51.5</v>
      </c>
      <c r="BV187" s="25">
        <f t="shared" si="88"/>
        <v>0.78030303030303028</v>
      </c>
    </row>
    <row r="188" spans="2:77" ht="39" thickBot="1" x14ac:dyDescent="0.3">
      <c r="B188" s="26" t="s">
        <v>64</v>
      </c>
      <c r="D188" s="22">
        <v>12</v>
      </c>
      <c r="E188" s="49">
        <v>0.5</v>
      </c>
      <c r="F188" s="32">
        <v>0.5</v>
      </c>
      <c r="G188" s="24">
        <v>1</v>
      </c>
      <c r="H188" s="32">
        <v>1</v>
      </c>
      <c r="I188" s="32">
        <v>0.5</v>
      </c>
      <c r="J188" s="32">
        <v>1</v>
      </c>
      <c r="K188" s="32">
        <v>1</v>
      </c>
      <c r="L188" s="32">
        <v>1</v>
      </c>
      <c r="M188" s="32">
        <v>1</v>
      </c>
      <c r="N188" s="32">
        <v>1</v>
      </c>
      <c r="O188" s="32">
        <v>1</v>
      </c>
      <c r="P188" s="32">
        <v>1</v>
      </c>
      <c r="Q188" s="32">
        <v>1</v>
      </c>
      <c r="R188" s="32">
        <v>0.5</v>
      </c>
      <c r="S188" s="32">
        <v>0.5</v>
      </c>
      <c r="T188" s="32">
        <v>1</v>
      </c>
      <c r="U188" s="23">
        <v>1</v>
      </c>
      <c r="V188" s="29">
        <v>1</v>
      </c>
      <c r="W188" s="32">
        <v>0</v>
      </c>
      <c r="X188" s="32">
        <v>1</v>
      </c>
      <c r="Y188" s="29">
        <v>1</v>
      </c>
      <c r="Z188" s="29">
        <v>1</v>
      </c>
      <c r="AA188" s="49"/>
      <c r="AB188" s="32">
        <v>1</v>
      </c>
      <c r="AC188" s="24">
        <v>1</v>
      </c>
      <c r="AD188" s="32">
        <v>1</v>
      </c>
      <c r="AE188" s="32">
        <v>0.5</v>
      </c>
      <c r="AF188" s="32">
        <v>0</v>
      </c>
      <c r="AG188" s="32">
        <v>0</v>
      </c>
      <c r="AH188" s="32">
        <v>0</v>
      </c>
      <c r="AI188" s="32">
        <v>1</v>
      </c>
      <c r="AJ188" s="32">
        <v>1</v>
      </c>
      <c r="AK188" s="32">
        <v>0</v>
      </c>
      <c r="AL188" s="32">
        <v>0</v>
      </c>
      <c r="AM188" s="32">
        <v>1</v>
      </c>
      <c r="AN188" s="32">
        <v>0.5</v>
      </c>
      <c r="AO188" s="32">
        <v>0.5</v>
      </c>
      <c r="AP188" s="32">
        <v>1</v>
      </c>
      <c r="AQ188" s="23">
        <v>1</v>
      </c>
      <c r="AR188" s="29">
        <v>0.5</v>
      </c>
      <c r="AS188" s="32">
        <v>0</v>
      </c>
      <c r="AT188" s="32">
        <v>0</v>
      </c>
      <c r="AU188" s="29">
        <v>1</v>
      </c>
      <c r="AV188" s="29">
        <v>1</v>
      </c>
      <c r="AW188" s="32"/>
      <c r="AX188" s="32">
        <v>1</v>
      </c>
      <c r="AY188" s="24">
        <v>1</v>
      </c>
      <c r="AZ188" s="32">
        <v>1</v>
      </c>
      <c r="BA188" s="32">
        <v>0.5</v>
      </c>
      <c r="BB188" s="32">
        <v>1</v>
      </c>
      <c r="BC188" s="32">
        <v>1</v>
      </c>
      <c r="BD188" s="32">
        <v>1</v>
      </c>
      <c r="BE188" s="32">
        <v>1</v>
      </c>
      <c r="BF188" s="32">
        <v>1</v>
      </c>
      <c r="BG188" s="32">
        <v>1</v>
      </c>
      <c r="BH188" s="32">
        <v>1</v>
      </c>
      <c r="BI188" s="32">
        <v>1</v>
      </c>
      <c r="BJ188" s="32">
        <v>0.5</v>
      </c>
      <c r="BK188" s="32">
        <v>0.5</v>
      </c>
      <c r="BL188" s="32">
        <v>1</v>
      </c>
      <c r="BM188" s="23">
        <v>1</v>
      </c>
      <c r="BN188" s="29">
        <v>0.5</v>
      </c>
      <c r="BO188" s="32">
        <v>0</v>
      </c>
      <c r="BP188" s="32">
        <v>0</v>
      </c>
      <c r="BQ188" s="29">
        <v>1</v>
      </c>
      <c r="BR188" s="29">
        <v>1</v>
      </c>
      <c r="BT188">
        <f t="shared" si="86"/>
        <v>64</v>
      </c>
      <c r="BU188">
        <f t="shared" si="87"/>
        <v>47.5</v>
      </c>
      <c r="BV188" s="25">
        <f t="shared" si="88"/>
        <v>0.7421875</v>
      </c>
    </row>
    <row r="189" spans="2:77" ht="39" thickBot="1" x14ac:dyDescent="0.3">
      <c r="B189" s="30" t="s">
        <v>65</v>
      </c>
      <c r="D189" s="22">
        <v>13</v>
      </c>
      <c r="E189" s="49">
        <v>1</v>
      </c>
      <c r="F189" s="32">
        <v>1</v>
      </c>
      <c r="G189" s="24">
        <v>1</v>
      </c>
      <c r="H189" s="32">
        <v>1</v>
      </c>
      <c r="I189" s="32">
        <v>1</v>
      </c>
      <c r="J189" s="32">
        <v>1</v>
      </c>
      <c r="K189" s="32">
        <v>1</v>
      </c>
      <c r="L189" s="32">
        <v>1</v>
      </c>
      <c r="M189" s="24">
        <v>1</v>
      </c>
      <c r="N189" s="32">
        <v>1</v>
      </c>
      <c r="O189" s="32">
        <v>1</v>
      </c>
      <c r="P189" s="32">
        <v>1</v>
      </c>
      <c r="Q189" s="32">
        <v>1</v>
      </c>
      <c r="R189" s="32">
        <v>0.5</v>
      </c>
      <c r="S189" s="32">
        <v>0.5</v>
      </c>
      <c r="T189" s="32">
        <v>1</v>
      </c>
      <c r="U189" s="23">
        <v>1</v>
      </c>
      <c r="V189" s="29">
        <v>1</v>
      </c>
      <c r="W189" s="32">
        <v>1</v>
      </c>
      <c r="X189" s="32">
        <v>0.5</v>
      </c>
      <c r="Y189" s="29">
        <v>1</v>
      </c>
      <c r="Z189" s="29">
        <v>1</v>
      </c>
      <c r="AA189" s="49"/>
      <c r="AB189" s="32">
        <v>1</v>
      </c>
      <c r="AC189" s="24">
        <v>1</v>
      </c>
      <c r="AD189" s="32">
        <v>1</v>
      </c>
      <c r="AE189" s="32">
        <v>1</v>
      </c>
      <c r="AF189" s="32">
        <v>0.5</v>
      </c>
      <c r="AG189" s="32">
        <v>1</v>
      </c>
      <c r="AH189" s="32">
        <v>1</v>
      </c>
      <c r="AI189" s="24">
        <v>1</v>
      </c>
      <c r="AJ189" s="32">
        <v>1</v>
      </c>
      <c r="AK189" s="32">
        <v>1</v>
      </c>
      <c r="AL189" s="32">
        <v>1</v>
      </c>
      <c r="AM189" s="32">
        <v>0</v>
      </c>
      <c r="AN189" s="32">
        <v>0.5</v>
      </c>
      <c r="AO189" s="32">
        <v>0.5</v>
      </c>
      <c r="AP189" s="32">
        <v>1</v>
      </c>
      <c r="AQ189" s="23">
        <v>1</v>
      </c>
      <c r="AR189" s="29">
        <v>1</v>
      </c>
      <c r="AS189" s="32">
        <v>0.5</v>
      </c>
      <c r="AT189" s="32">
        <v>0</v>
      </c>
      <c r="AU189" s="29">
        <v>0.5</v>
      </c>
      <c r="AV189" s="29">
        <v>0.5</v>
      </c>
      <c r="AW189" s="32">
        <v>1</v>
      </c>
      <c r="AX189" s="32">
        <v>1</v>
      </c>
      <c r="AY189" s="24">
        <v>1</v>
      </c>
      <c r="AZ189" s="32">
        <v>1</v>
      </c>
      <c r="BA189" s="32">
        <v>1</v>
      </c>
      <c r="BB189" s="32">
        <v>1</v>
      </c>
      <c r="BC189" s="32">
        <v>1</v>
      </c>
      <c r="BD189" s="32">
        <v>1</v>
      </c>
      <c r="BE189" s="24">
        <v>1</v>
      </c>
      <c r="BF189" s="32">
        <v>1</v>
      </c>
      <c r="BG189" s="32">
        <v>1</v>
      </c>
      <c r="BH189" s="32">
        <v>1</v>
      </c>
      <c r="BI189" s="32">
        <v>1</v>
      </c>
      <c r="BJ189" s="32">
        <v>0.5</v>
      </c>
      <c r="BK189" s="32">
        <v>0</v>
      </c>
      <c r="BL189" s="32">
        <v>1</v>
      </c>
      <c r="BM189" s="23">
        <v>1</v>
      </c>
      <c r="BN189" s="29">
        <v>1</v>
      </c>
      <c r="BO189" s="32">
        <v>1</v>
      </c>
      <c r="BP189" s="32">
        <v>0</v>
      </c>
      <c r="BQ189" s="29">
        <v>1</v>
      </c>
      <c r="BR189" s="29">
        <v>1</v>
      </c>
      <c r="BT189">
        <f t="shared" si="86"/>
        <v>65</v>
      </c>
      <c r="BU189">
        <f t="shared" si="87"/>
        <v>56</v>
      </c>
      <c r="BV189" s="25">
        <f t="shared" si="88"/>
        <v>0.86153846153846159</v>
      </c>
    </row>
    <row r="190" spans="2:77" ht="26.25" thickBot="1" x14ac:dyDescent="0.3">
      <c r="B190" s="26" t="s">
        <v>66</v>
      </c>
      <c r="D190" s="22">
        <v>14</v>
      </c>
      <c r="E190" s="49">
        <v>1</v>
      </c>
      <c r="F190" s="32">
        <v>0</v>
      </c>
      <c r="G190" s="24">
        <v>1</v>
      </c>
      <c r="H190" s="32">
        <v>1</v>
      </c>
      <c r="I190" s="32">
        <v>1</v>
      </c>
      <c r="J190" s="32">
        <v>1</v>
      </c>
      <c r="K190" s="32">
        <v>1</v>
      </c>
      <c r="L190" s="32"/>
      <c r="M190" s="24">
        <v>1</v>
      </c>
      <c r="N190" s="32">
        <v>0</v>
      </c>
      <c r="O190" s="32">
        <v>1</v>
      </c>
      <c r="P190" s="32">
        <v>1</v>
      </c>
      <c r="Q190" s="32">
        <v>0.5</v>
      </c>
      <c r="R190" s="32">
        <v>0.5</v>
      </c>
      <c r="S190" s="32">
        <v>0</v>
      </c>
      <c r="T190" s="32">
        <v>1</v>
      </c>
      <c r="U190" s="23">
        <v>1</v>
      </c>
      <c r="V190" s="29">
        <v>1</v>
      </c>
      <c r="W190" s="32">
        <v>0</v>
      </c>
      <c r="X190" s="32">
        <v>0</v>
      </c>
      <c r="Y190" s="29">
        <v>1</v>
      </c>
      <c r="Z190" s="29">
        <v>1</v>
      </c>
      <c r="AA190" s="49"/>
      <c r="AB190" s="32">
        <v>0</v>
      </c>
      <c r="AC190" s="24">
        <v>1</v>
      </c>
      <c r="AD190" s="32">
        <v>1</v>
      </c>
      <c r="AE190" s="32">
        <v>1</v>
      </c>
      <c r="AF190" s="32">
        <v>0</v>
      </c>
      <c r="AG190" s="32">
        <v>0</v>
      </c>
      <c r="AH190" s="32"/>
      <c r="AI190" s="24">
        <v>1</v>
      </c>
      <c r="AJ190" s="32">
        <v>0</v>
      </c>
      <c r="AK190" s="32">
        <v>1</v>
      </c>
      <c r="AL190" s="32">
        <v>0</v>
      </c>
      <c r="AM190" s="32">
        <v>0</v>
      </c>
      <c r="AN190" s="32">
        <v>0.5</v>
      </c>
      <c r="AO190" s="32">
        <v>0</v>
      </c>
      <c r="AP190" s="32">
        <v>1</v>
      </c>
      <c r="AQ190" s="23">
        <v>1</v>
      </c>
      <c r="AR190" s="29">
        <v>0.5</v>
      </c>
      <c r="AS190" s="32">
        <v>0</v>
      </c>
      <c r="AT190" s="32">
        <v>0</v>
      </c>
      <c r="AU190" s="29">
        <v>0.5</v>
      </c>
      <c r="AV190" s="29">
        <v>0.5</v>
      </c>
      <c r="AW190" s="32"/>
      <c r="AX190" s="32">
        <v>0</v>
      </c>
      <c r="AY190" s="24">
        <v>1</v>
      </c>
      <c r="AZ190" s="32">
        <v>1</v>
      </c>
      <c r="BA190" s="32">
        <v>1</v>
      </c>
      <c r="BB190" s="32">
        <v>1</v>
      </c>
      <c r="BC190" s="32">
        <v>0</v>
      </c>
      <c r="BD190" s="32"/>
      <c r="BE190" s="24">
        <v>1</v>
      </c>
      <c r="BF190" s="32">
        <v>0</v>
      </c>
      <c r="BG190" s="32">
        <v>1</v>
      </c>
      <c r="BH190" s="32">
        <v>1</v>
      </c>
      <c r="BI190" s="32">
        <v>1</v>
      </c>
      <c r="BJ190" s="32">
        <v>0.5</v>
      </c>
      <c r="BK190" s="32">
        <v>0</v>
      </c>
      <c r="BL190" s="32">
        <v>1</v>
      </c>
      <c r="BM190" s="23">
        <v>1</v>
      </c>
      <c r="BN190" s="29">
        <v>0.5</v>
      </c>
      <c r="BO190" s="32">
        <v>1</v>
      </c>
      <c r="BP190" s="32">
        <v>0</v>
      </c>
      <c r="BQ190" s="29">
        <v>1</v>
      </c>
      <c r="BR190" s="29">
        <v>1</v>
      </c>
      <c r="BT190">
        <f t="shared" si="86"/>
        <v>61</v>
      </c>
      <c r="BU190">
        <f t="shared" si="87"/>
        <v>38</v>
      </c>
      <c r="BV190" s="25">
        <f t="shared" si="88"/>
        <v>0.62295081967213117</v>
      </c>
    </row>
    <row r="191" spans="2:77" ht="51.75" thickBot="1" x14ac:dyDescent="0.3">
      <c r="B191" s="26" t="s">
        <v>67</v>
      </c>
      <c r="D191" s="22">
        <v>15</v>
      </c>
      <c r="E191" s="49">
        <v>1</v>
      </c>
      <c r="F191" s="32">
        <v>1</v>
      </c>
      <c r="G191" s="24">
        <v>1</v>
      </c>
      <c r="H191" s="32">
        <v>1</v>
      </c>
      <c r="I191" s="32">
        <v>1</v>
      </c>
      <c r="J191" s="32">
        <v>1</v>
      </c>
      <c r="K191" s="32">
        <v>1</v>
      </c>
      <c r="L191" s="32">
        <v>1</v>
      </c>
      <c r="M191" s="24">
        <v>0.5</v>
      </c>
      <c r="N191" s="32">
        <v>1</v>
      </c>
      <c r="O191" s="32">
        <v>1</v>
      </c>
      <c r="P191" s="32">
        <v>1</v>
      </c>
      <c r="Q191" s="32">
        <v>1</v>
      </c>
      <c r="R191" s="32">
        <v>0.5</v>
      </c>
      <c r="S191" s="32">
        <v>1</v>
      </c>
      <c r="T191" s="32">
        <v>1</v>
      </c>
      <c r="U191" s="23">
        <v>1</v>
      </c>
      <c r="V191" s="29">
        <v>1</v>
      </c>
      <c r="W191" s="32">
        <v>1</v>
      </c>
      <c r="X191" s="32">
        <v>0</v>
      </c>
      <c r="Y191" s="29">
        <v>1</v>
      </c>
      <c r="Z191" s="29">
        <v>1</v>
      </c>
      <c r="AA191" s="49"/>
      <c r="AB191" s="32">
        <v>1</v>
      </c>
      <c r="AC191" s="24">
        <v>1</v>
      </c>
      <c r="AD191" s="32">
        <v>1</v>
      </c>
      <c r="AE191" s="32">
        <v>1</v>
      </c>
      <c r="AF191" s="32">
        <v>0</v>
      </c>
      <c r="AG191" s="32">
        <v>1</v>
      </c>
      <c r="AH191" s="32">
        <v>1</v>
      </c>
      <c r="AI191" s="24">
        <v>0.5</v>
      </c>
      <c r="AJ191" s="32">
        <v>1</v>
      </c>
      <c r="AK191" s="32">
        <v>1</v>
      </c>
      <c r="AL191" s="32">
        <v>0</v>
      </c>
      <c r="AM191" s="32">
        <v>0</v>
      </c>
      <c r="AN191" s="32">
        <v>0.5</v>
      </c>
      <c r="AO191" s="32">
        <v>0</v>
      </c>
      <c r="AP191" s="32">
        <v>0</v>
      </c>
      <c r="AQ191" s="23">
        <v>1</v>
      </c>
      <c r="AR191" s="29">
        <v>0.5</v>
      </c>
      <c r="AS191" s="32">
        <v>0</v>
      </c>
      <c r="AT191" s="32">
        <v>0</v>
      </c>
      <c r="AU191" s="29">
        <v>0.5</v>
      </c>
      <c r="AV191" s="29">
        <v>0.5</v>
      </c>
      <c r="AW191" s="32"/>
      <c r="AX191" s="32">
        <v>0.5</v>
      </c>
      <c r="AY191" s="24">
        <v>1</v>
      </c>
      <c r="AZ191" s="32">
        <v>1</v>
      </c>
      <c r="BA191" s="32">
        <v>1</v>
      </c>
      <c r="BB191" s="32">
        <v>1</v>
      </c>
      <c r="BC191" s="32">
        <v>1</v>
      </c>
      <c r="BD191" s="32">
        <v>1</v>
      </c>
      <c r="BE191" s="32">
        <v>1</v>
      </c>
      <c r="BF191" s="32">
        <v>1</v>
      </c>
      <c r="BG191" s="32">
        <v>1</v>
      </c>
      <c r="BH191" s="32">
        <v>1</v>
      </c>
      <c r="BI191" s="32">
        <v>0.5</v>
      </c>
      <c r="BJ191" s="32">
        <v>0.5</v>
      </c>
      <c r="BK191" s="32">
        <v>0</v>
      </c>
      <c r="BL191" s="32">
        <v>1</v>
      </c>
      <c r="BM191" s="23">
        <v>1</v>
      </c>
      <c r="BN191" s="29">
        <v>1</v>
      </c>
      <c r="BO191" s="32">
        <v>0</v>
      </c>
      <c r="BP191" s="32">
        <v>0</v>
      </c>
      <c r="BQ191" s="29">
        <v>1</v>
      </c>
      <c r="BR191" s="29">
        <v>1</v>
      </c>
      <c r="BT191">
        <f t="shared" si="86"/>
        <v>64</v>
      </c>
      <c r="BU191">
        <f t="shared" si="87"/>
        <v>48</v>
      </c>
      <c r="BV191" s="25">
        <f t="shared" si="88"/>
        <v>0.75</v>
      </c>
    </row>
    <row r="192" spans="2:77" ht="51.75" thickBot="1" x14ac:dyDescent="0.3">
      <c r="B192" s="26" t="s">
        <v>68</v>
      </c>
      <c r="D192" s="22">
        <v>16</v>
      </c>
      <c r="E192" s="49">
        <v>1</v>
      </c>
      <c r="F192" s="32">
        <v>1</v>
      </c>
      <c r="G192" s="24">
        <v>1</v>
      </c>
      <c r="H192" s="32">
        <v>1</v>
      </c>
      <c r="I192" s="32">
        <v>1</v>
      </c>
      <c r="J192" s="32">
        <v>1</v>
      </c>
      <c r="K192" s="32">
        <v>1</v>
      </c>
      <c r="L192" s="32">
        <v>1</v>
      </c>
      <c r="M192" s="24">
        <v>0.5</v>
      </c>
      <c r="N192" s="32">
        <v>1</v>
      </c>
      <c r="O192" s="32">
        <v>1</v>
      </c>
      <c r="P192" s="32">
        <v>1</v>
      </c>
      <c r="Q192" s="32">
        <v>1</v>
      </c>
      <c r="R192" s="32">
        <v>0.5</v>
      </c>
      <c r="S192" s="32">
        <v>1</v>
      </c>
      <c r="T192" s="32">
        <v>1</v>
      </c>
      <c r="U192" s="23">
        <v>1</v>
      </c>
      <c r="V192" s="29">
        <v>1</v>
      </c>
      <c r="W192" s="32">
        <v>0</v>
      </c>
      <c r="X192" s="32">
        <v>1</v>
      </c>
      <c r="Y192" s="29">
        <v>1</v>
      </c>
      <c r="Z192" s="29">
        <v>1</v>
      </c>
      <c r="AA192" s="49">
        <v>1</v>
      </c>
      <c r="AB192" s="32">
        <v>1</v>
      </c>
      <c r="AC192" s="24">
        <v>1</v>
      </c>
      <c r="AD192" s="32">
        <v>1</v>
      </c>
      <c r="AE192" s="32">
        <v>1</v>
      </c>
      <c r="AF192" s="32">
        <v>1</v>
      </c>
      <c r="AG192" s="32">
        <v>1</v>
      </c>
      <c r="AH192" s="32">
        <v>1</v>
      </c>
      <c r="AI192" s="24">
        <v>1</v>
      </c>
      <c r="AJ192" s="32">
        <v>1</v>
      </c>
      <c r="AK192" s="32">
        <v>1</v>
      </c>
      <c r="AL192" s="32">
        <v>1</v>
      </c>
      <c r="AM192" s="32">
        <v>1</v>
      </c>
      <c r="AN192" s="32">
        <v>0.5</v>
      </c>
      <c r="AO192" s="32">
        <v>1</v>
      </c>
      <c r="AP192" s="32">
        <v>1</v>
      </c>
      <c r="AQ192" s="23">
        <v>1</v>
      </c>
      <c r="AR192" s="29">
        <v>1</v>
      </c>
      <c r="AS192" s="32">
        <v>0</v>
      </c>
      <c r="AT192" s="32">
        <v>1</v>
      </c>
      <c r="AU192" s="29">
        <v>0.5</v>
      </c>
      <c r="AV192" s="29">
        <v>0.5</v>
      </c>
      <c r="AW192" s="32">
        <v>1</v>
      </c>
      <c r="AX192" s="32">
        <v>1</v>
      </c>
      <c r="AY192" s="24">
        <v>1</v>
      </c>
      <c r="AZ192" s="32">
        <v>1</v>
      </c>
      <c r="BA192" s="32">
        <v>1</v>
      </c>
      <c r="BB192" s="32">
        <v>1</v>
      </c>
      <c r="BC192" s="32">
        <v>1</v>
      </c>
      <c r="BD192" s="32">
        <v>1</v>
      </c>
      <c r="BE192" s="32">
        <v>1</v>
      </c>
      <c r="BF192" s="32">
        <v>1</v>
      </c>
      <c r="BG192" s="32">
        <v>1</v>
      </c>
      <c r="BH192" s="32">
        <v>1</v>
      </c>
      <c r="BI192" s="32">
        <v>0.5</v>
      </c>
      <c r="BJ192" s="32">
        <v>0.5</v>
      </c>
      <c r="BK192" s="32">
        <v>1</v>
      </c>
      <c r="BL192" s="32">
        <v>1</v>
      </c>
      <c r="BM192" s="23">
        <v>1</v>
      </c>
      <c r="BN192" s="29">
        <v>1</v>
      </c>
      <c r="BO192" s="32">
        <v>0</v>
      </c>
      <c r="BP192" s="32">
        <v>1</v>
      </c>
      <c r="BQ192" s="29">
        <v>1</v>
      </c>
      <c r="BR192" s="29">
        <v>1</v>
      </c>
      <c r="BT192">
        <f t="shared" si="86"/>
        <v>66</v>
      </c>
      <c r="BU192">
        <f t="shared" si="87"/>
        <v>59.5</v>
      </c>
      <c r="BV192" s="25">
        <f t="shared" si="88"/>
        <v>0.90151515151515149</v>
      </c>
    </row>
    <row r="193" spans="2:74" ht="39" thickBot="1" x14ac:dyDescent="0.3">
      <c r="B193" s="26" t="s">
        <v>69</v>
      </c>
      <c r="D193" s="22">
        <v>17</v>
      </c>
      <c r="E193" s="49">
        <v>0.5</v>
      </c>
      <c r="F193" s="32">
        <v>1</v>
      </c>
      <c r="G193" s="24">
        <v>1</v>
      </c>
      <c r="H193" s="32">
        <v>1</v>
      </c>
      <c r="I193" s="32">
        <v>1</v>
      </c>
      <c r="J193" s="32">
        <v>1</v>
      </c>
      <c r="K193" s="32">
        <v>1</v>
      </c>
      <c r="L193" s="32">
        <v>1</v>
      </c>
      <c r="M193" s="24">
        <v>0.5</v>
      </c>
      <c r="N193" s="32">
        <v>1</v>
      </c>
      <c r="O193" s="32">
        <v>0.5</v>
      </c>
      <c r="P193" s="32">
        <v>1</v>
      </c>
      <c r="Q193" s="32">
        <v>1</v>
      </c>
      <c r="R193" s="32">
        <v>0.5</v>
      </c>
      <c r="S193" s="32">
        <v>0</v>
      </c>
      <c r="T193" s="32">
        <v>1</v>
      </c>
      <c r="U193" s="23">
        <v>1</v>
      </c>
      <c r="V193" s="29">
        <v>0.5</v>
      </c>
      <c r="W193" s="32">
        <v>1</v>
      </c>
      <c r="X193" s="32">
        <v>1</v>
      </c>
      <c r="Y193" s="29">
        <v>1</v>
      </c>
      <c r="Z193" s="29">
        <v>1</v>
      </c>
      <c r="AA193" s="49">
        <v>0</v>
      </c>
      <c r="AB193" s="32">
        <v>1</v>
      </c>
      <c r="AC193" s="24">
        <v>1</v>
      </c>
      <c r="AD193" s="32">
        <v>1</v>
      </c>
      <c r="AE193" s="32">
        <v>1</v>
      </c>
      <c r="AF193" s="32">
        <v>1</v>
      </c>
      <c r="AG193" s="32"/>
      <c r="AH193" s="32">
        <v>1</v>
      </c>
      <c r="AI193" s="24">
        <v>0.5</v>
      </c>
      <c r="AJ193" s="32">
        <v>1</v>
      </c>
      <c r="AK193" s="32">
        <v>0.5</v>
      </c>
      <c r="AL193" s="32">
        <v>1</v>
      </c>
      <c r="AM193" s="32">
        <v>0</v>
      </c>
      <c r="AN193" s="32">
        <v>0.5</v>
      </c>
      <c r="AO193" s="32">
        <v>0</v>
      </c>
      <c r="AP193" s="32">
        <v>1</v>
      </c>
      <c r="AQ193" s="23">
        <v>1</v>
      </c>
      <c r="AR193" s="29">
        <v>0.5</v>
      </c>
      <c r="AS193" s="32">
        <v>0</v>
      </c>
      <c r="AT193" s="32">
        <v>0.5</v>
      </c>
      <c r="AU193" s="29">
        <v>0.5</v>
      </c>
      <c r="AV193" s="29">
        <v>0.5</v>
      </c>
      <c r="AW193" s="32">
        <v>0.5</v>
      </c>
      <c r="AX193" s="32">
        <v>1</v>
      </c>
      <c r="AY193" s="24">
        <v>1</v>
      </c>
      <c r="AZ193" s="32">
        <v>1</v>
      </c>
      <c r="BA193" s="32">
        <v>1</v>
      </c>
      <c r="BB193" s="32">
        <v>1</v>
      </c>
      <c r="BC193" s="32"/>
      <c r="BD193" s="32">
        <v>1</v>
      </c>
      <c r="BE193" s="32">
        <v>1</v>
      </c>
      <c r="BF193" s="32">
        <v>1</v>
      </c>
      <c r="BG193" s="32">
        <v>1</v>
      </c>
      <c r="BH193" s="32">
        <v>1</v>
      </c>
      <c r="BI193" s="32">
        <v>1</v>
      </c>
      <c r="BJ193" s="32">
        <v>0.5</v>
      </c>
      <c r="BK193" s="32">
        <v>0</v>
      </c>
      <c r="BL193" s="32">
        <v>1</v>
      </c>
      <c r="BM193" s="23">
        <v>1</v>
      </c>
      <c r="BN193" s="29">
        <v>0.5</v>
      </c>
      <c r="BO193" s="32">
        <v>0</v>
      </c>
      <c r="BP193" s="32">
        <v>0.5</v>
      </c>
      <c r="BQ193" s="29">
        <v>1</v>
      </c>
      <c r="BR193" s="29">
        <v>1</v>
      </c>
      <c r="BT193">
        <f t="shared" si="86"/>
        <v>64</v>
      </c>
      <c r="BU193">
        <f t="shared" si="87"/>
        <v>49</v>
      </c>
      <c r="BV193" s="25">
        <f t="shared" si="88"/>
        <v>0.765625</v>
      </c>
    </row>
    <row r="194" spans="2:74" ht="39" thickBot="1" x14ac:dyDescent="0.3">
      <c r="B194" s="33" t="s">
        <v>70</v>
      </c>
      <c r="D194" s="22">
        <v>18</v>
      </c>
      <c r="E194" s="49">
        <v>1</v>
      </c>
      <c r="F194" s="32">
        <v>0.5</v>
      </c>
      <c r="G194" s="24">
        <v>1</v>
      </c>
      <c r="H194" s="32">
        <v>0.5</v>
      </c>
      <c r="I194" s="32">
        <v>1</v>
      </c>
      <c r="J194" s="32">
        <v>1</v>
      </c>
      <c r="K194" s="32"/>
      <c r="L194" s="32">
        <v>1</v>
      </c>
      <c r="M194" s="24">
        <v>0.5</v>
      </c>
      <c r="N194" s="32">
        <v>1</v>
      </c>
      <c r="O194" s="32">
        <v>0.5</v>
      </c>
      <c r="P194" s="32">
        <v>1</v>
      </c>
      <c r="Q194" s="32">
        <v>1</v>
      </c>
      <c r="R194" s="32">
        <v>0.5</v>
      </c>
      <c r="S194" s="32">
        <v>0.5</v>
      </c>
      <c r="T194" s="32">
        <v>0</v>
      </c>
      <c r="U194" s="23">
        <v>1</v>
      </c>
      <c r="V194" s="29">
        <v>1</v>
      </c>
      <c r="W194" s="32">
        <v>0</v>
      </c>
      <c r="X194" s="32">
        <v>1</v>
      </c>
      <c r="Y194" s="29">
        <v>1</v>
      </c>
      <c r="Z194" s="29">
        <v>1</v>
      </c>
      <c r="AA194" s="49">
        <v>1</v>
      </c>
      <c r="AB194" s="32">
        <v>0.5</v>
      </c>
      <c r="AC194" s="24">
        <v>1</v>
      </c>
      <c r="AD194" s="32">
        <v>0.5</v>
      </c>
      <c r="AE194" s="32">
        <v>1</v>
      </c>
      <c r="AF194" s="32">
        <v>1</v>
      </c>
      <c r="AG194" s="32"/>
      <c r="AH194" s="32">
        <v>1</v>
      </c>
      <c r="AI194" s="24">
        <v>0.5</v>
      </c>
      <c r="AJ194" s="32">
        <v>1</v>
      </c>
      <c r="AK194" s="32">
        <v>0.5</v>
      </c>
      <c r="AL194" s="32">
        <v>1</v>
      </c>
      <c r="AM194" s="32">
        <v>1</v>
      </c>
      <c r="AN194" s="32">
        <v>0.5</v>
      </c>
      <c r="AO194" s="32">
        <v>0.5</v>
      </c>
      <c r="AP194" s="32">
        <v>1</v>
      </c>
      <c r="AQ194" s="23">
        <v>1</v>
      </c>
      <c r="AR194" s="29">
        <v>1</v>
      </c>
      <c r="AS194" s="32">
        <v>0</v>
      </c>
      <c r="AT194" s="32">
        <v>1</v>
      </c>
      <c r="AU194" s="29">
        <v>0.5</v>
      </c>
      <c r="AV194" s="29">
        <v>0.5</v>
      </c>
      <c r="AW194" s="32">
        <v>1</v>
      </c>
      <c r="AX194" s="32">
        <v>0.5</v>
      </c>
      <c r="AY194" s="24">
        <v>1</v>
      </c>
      <c r="AZ194" s="32">
        <v>1</v>
      </c>
      <c r="BA194" s="32">
        <v>1</v>
      </c>
      <c r="BB194" s="32">
        <v>1</v>
      </c>
      <c r="BC194" s="32"/>
      <c r="BD194" s="32">
        <v>1</v>
      </c>
      <c r="BE194" s="24">
        <v>1</v>
      </c>
      <c r="BF194" s="32">
        <v>1</v>
      </c>
      <c r="BG194" s="32">
        <v>0.5</v>
      </c>
      <c r="BH194" s="32">
        <v>1</v>
      </c>
      <c r="BI194" s="32">
        <v>1</v>
      </c>
      <c r="BJ194" s="32">
        <v>0.5</v>
      </c>
      <c r="BK194" s="32">
        <v>0.5</v>
      </c>
      <c r="BL194" s="32">
        <v>1</v>
      </c>
      <c r="BM194" s="23">
        <v>1</v>
      </c>
      <c r="BN194" s="29">
        <v>1</v>
      </c>
      <c r="BO194" s="32">
        <v>0</v>
      </c>
      <c r="BP194" s="32">
        <v>1</v>
      </c>
      <c r="BQ194" s="29">
        <v>1</v>
      </c>
      <c r="BR194" s="29">
        <v>1</v>
      </c>
      <c r="BT194">
        <f t="shared" si="86"/>
        <v>63</v>
      </c>
      <c r="BU194">
        <f t="shared" si="87"/>
        <v>50</v>
      </c>
      <c r="BV194" s="25">
        <f t="shared" si="88"/>
        <v>0.79365079365079361</v>
      </c>
    </row>
    <row r="195" spans="2:74" ht="52.5" thickTop="1" thickBot="1" x14ac:dyDescent="0.3">
      <c r="B195" s="34" t="s">
        <v>71</v>
      </c>
      <c r="D195" s="22">
        <v>19</v>
      </c>
      <c r="E195" s="49">
        <v>1</v>
      </c>
      <c r="F195" s="32">
        <v>1</v>
      </c>
      <c r="G195" s="24">
        <v>1</v>
      </c>
      <c r="H195" s="32">
        <v>1</v>
      </c>
      <c r="I195" s="32">
        <v>1</v>
      </c>
      <c r="J195" s="32">
        <v>1</v>
      </c>
      <c r="K195" s="32">
        <v>1</v>
      </c>
      <c r="L195" s="32">
        <v>1</v>
      </c>
      <c r="M195" s="24">
        <v>1</v>
      </c>
      <c r="N195" s="32"/>
      <c r="O195" s="32">
        <v>1</v>
      </c>
      <c r="P195" s="32">
        <v>1</v>
      </c>
      <c r="Q195" s="32">
        <v>0.5</v>
      </c>
      <c r="R195" s="32">
        <v>0.5</v>
      </c>
      <c r="S195" s="32">
        <v>1</v>
      </c>
      <c r="T195" s="32">
        <v>1</v>
      </c>
      <c r="U195" s="23">
        <v>1</v>
      </c>
      <c r="V195" s="29">
        <v>1</v>
      </c>
      <c r="W195" s="32">
        <v>1</v>
      </c>
      <c r="X195" s="32">
        <v>1</v>
      </c>
      <c r="Y195" s="29">
        <v>1</v>
      </c>
      <c r="Z195" s="29">
        <v>1</v>
      </c>
      <c r="AA195" s="49">
        <v>1</v>
      </c>
      <c r="AB195" s="32">
        <v>1</v>
      </c>
      <c r="AC195" s="24">
        <v>1</v>
      </c>
      <c r="AD195" s="32">
        <v>1</v>
      </c>
      <c r="AE195" s="32">
        <v>1</v>
      </c>
      <c r="AF195" s="32">
        <v>1</v>
      </c>
      <c r="AG195" s="32">
        <v>1</v>
      </c>
      <c r="AH195" s="32">
        <v>1</v>
      </c>
      <c r="AI195" s="24">
        <v>1</v>
      </c>
      <c r="AJ195" s="32"/>
      <c r="AK195" s="32">
        <v>1</v>
      </c>
      <c r="AL195" s="32">
        <v>1</v>
      </c>
      <c r="AM195" s="32">
        <v>0</v>
      </c>
      <c r="AN195" s="32">
        <v>0.5</v>
      </c>
      <c r="AO195" s="32">
        <v>1</v>
      </c>
      <c r="AP195" s="32">
        <v>1</v>
      </c>
      <c r="AQ195" s="23">
        <v>1</v>
      </c>
      <c r="AR195" s="29">
        <v>1</v>
      </c>
      <c r="AS195" s="32">
        <v>0</v>
      </c>
      <c r="AT195" s="32">
        <v>1</v>
      </c>
      <c r="AU195" s="29">
        <v>0.5</v>
      </c>
      <c r="AV195" s="29">
        <v>0.5</v>
      </c>
      <c r="AW195" s="32">
        <v>1</v>
      </c>
      <c r="AX195" s="32">
        <v>1</v>
      </c>
      <c r="AY195" s="24">
        <v>1</v>
      </c>
      <c r="AZ195" s="32">
        <v>1</v>
      </c>
      <c r="BA195" s="32">
        <v>1</v>
      </c>
      <c r="BB195" s="32">
        <v>1</v>
      </c>
      <c r="BC195" s="32">
        <v>1</v>
      </c>
      <c r="BD195" s="32">
        <v>1</v>
      </c>
      <c r="BE195" s="24">
        <v>1</v>
      </c>
      <c r="BF195" s="32"/>
      <c r="BG195" s="32">
        <v>0.5</v>
      </c>
      <c r="BH195" s="32">
        <v>1</v>
      </c>
      <c r="BI195" s="32">
        <v>0.5</v>
      </c>
      <c r="BJ195" s="32">
        <v>0.5</v>
      </c>
      <c r="BK195" s="32">
        <v>1</v>
      </c>
      <c r="BL195" s="32">
        <v>1</v>
      </c>
      <c r="BM195" s="23">
        <v>1</v>
      </c>
      <c r="BN195" s="29">
        <v>1</v>
      </c>
      <c r="BO195" s="32">
        <v>0</v>
      </c>
      <c r="BP195" s="32">
        <v>0.5</v>
      </c>
      <c r="BQ195" s="29">
        <v>1</v>
      </c>
      <c r="BR195" s="29">
        <v>1</v>
      </c>
      <c r="BT195">
        <f t="shared" si="86"/>
        <v>63</v>
      </c>
      <c r="BU195">
        <f t="shared" si="87"/>
        <v>55.5</v>
      </c>
      <c r="BV195" s="25">
        <f t="shared" si="88"/>
        <v>0.88095238095238093</v>
      </c>
    </row>
    <row r="196" spans="2:74" ht="39" thickBot="1" x14ac:dyDescent="0.3">
      <c r="B196" s="33" t="s">
        <v>72</v>
      </c>
      <c r="D196" s="22">
        <v>20</v>
      </c>
      <c r="E196" s="49"/>
      <c r="F196" s="32">
        <v>1</v>
      </c>
      <c r="G196" s="24">
        <v>1</v>
      </c>
      <c r="H196" s="32">
        <v>1</v>
      </c>
      <c r="I196" s="32">
        <v>1</v>
      </c>
      <c r="J196" s="32">
        <v>0</v>
      </c>
      <c r="K196" s="32">
        <v>1</v>
      </c>
      <c r="L196" s="32">
        <v>1</v>
      </c>
      <c r="M196" s="24">
        <v>1</v>
      </c>
      <c r="N196" s="32">
        <v>1</v>
      </c>
      <c r="O196" s="32">
        <v>0.5</v>
      </c>
      <c r="P196" s="32">
        <v>1</v>
      </c>
      <c r="Q196" s="32">
        <v>0</v>
      </c>
      <c r="R196" s="32">
        <v>0.5</v>
      </c>
      <c r="S196" s="32">
        <v>1</v>
      </c>
      <c r="T196" s="32">
        <v>0</v>
      </c>
      <c r="U196" s="23">
        <v>1</v>
      </c>
      <c r="V196" s="29">
        <v>1</v>
      </c>
      <c r="W196" s="32">
        <v>0</v>
      </c>
      <c r="X196" s="32">
        <v>1</v>
      </c>
      <c r="Y196" s="29">
        <v>1</v>
      </c>
      <c r="Z196" s="29">
        <v>1</v>
      </c>
      <c r="AA196" s="49"/>
      <c r="AB196" s="32">
        <v>1</v>
      </c>
      <c r="AC196" s="24">
        <v>1</v>
      </c>
      <c r="AD196" s="32">
        <v>1</v>
      </c>
      <c r="AE196" s="32">
        <v>1</v>
      </c>
      <c r="AF196" s="32">
        <v>0</v>
      </c>
      <c r="AG196" s="32">
        <v>0</v>
      </c>
      <c r="AH196" s="32">
        <v>1</v>
      </c>
      <c r="AI196" s="24">
        <v>1</v>
      </c>
      <c r="AJ196" s="32">
        <v>1</v>
      </c>
      <c r="AK196" s="32">
        <v>0.5</v>
      </c>
      <c r="AL196" s="32">
        <v>1</v>
      </c>
      <c r="AM196" s="32">
        <v>0</v>
      </c>
      <c r="AN196" s="32">
        <v>0.5</v>
      </c>
      <c r="AO196" s="32">
        <v>1</v>
      </c>
      <c r="AP196" s="32">
        <v>1</v>
      </c>
      <c r="AQ196" s="23">
        <v>1</v>
      </c>
      <c r="AR196" s="29">
        <v>1</v>
      </c>
      <c r="AS196" s="32">
        <v>0</v>
      </c>
      <c r="AT196" s="32">
        <v>1</v>
      </c>
      <c r="AU196" s="29">
        <v>0.5</v>
      </c>
      <c r="AV196" s="29">
        <v>0.5</v>
      </c>
      <c r="AW196" s="32"/>
      <c r="AX196" s="32">
        <v>1</v>
      </c>
      <c r="AY196" s="24">
        <v>1</v>
      </c>
      <c r="AZ196" s="32">
        <v>1</v>
      </c>
      <c r="BA196" s="32">
        <v>1</v>
      </c>
      <c r="BB196" s="32">
        <v>0</v>
      </c>
      <c r="BC196" s="32">
        <v>0</v>
      </c>
      <c r="BD196" s="32">
        <v>1</v>
      </c>
      <c r="BE196" s="24">
        <v>1</v>
      </c>
      <c r="BF196" s="32">
        <v>1</v>
      </c>
      <c r="BG196" s="32">
        <v>1</v>
      </c>
      <c r="BH196" s="32">
        <v>1</v>
      </c>
      <c r="BI196" s="32">
        <v>0</v>
      </c>
      <c r="BJ196" s="32">
        <v>0.5</v>
      </c>
      <c r="BK196" s="32">
        <v>1</v>
      </c>
      <c r="BL196" s="32">
        <v>1</v>
      </c>
      <c r="BM196" s="23">
        <v>1</v>
      </c>
      <c r="BN196" s="29">
        <v>0.5</v>
      </c>
      <c r="BO196" s="32">
        <v>0</v>
      </c>
      <c r="BP196" s="32">
        <v>1</v>
      </c>
      <c r="BQ196" s="29">
        <v>1</v>
      </c>
      <c r="BR196" s="29">
        <v>1</v>
      </c>
      <c r="BT196">
        <f t="shared" si="86"/>
        <v>63</v>
      </c>
      <c r="BU196">
        <f t="shared" si="87"/>
        <v>47</v>
      </c>
      <c r="BV196" s="25">
        <f t="shared" si="88"/>
        <v>0.74603174603174605</v>
      </c>
    </row>
    <row r="197" spans="2:74" ht="51.75" thickBot="1" x14ac:dyDescent="0.3">
      <c r="B197" s="33" t="s">
        <v>73</v>
      </c>
      <c r="D197" s="22">
        <v>21</v>
      </c>
      <c r="E197" s="49">
        <v>0.5</v>
      </c>
      <c r="F197" s="32">
        <v>1</v>
      </c>
      <c r="G197" s="24">
        <v>1</v>
      </c>
      <c r="H197" s="32">
        <v>1</v>
      </c>
      <c r="I197" s="32">
        <v>1</v>
      </c>
      <c r="J197" s="32">
        <v>1</v>
      </c>
      <c r="K197" s="32"/>
      <c r="L197" s="32">
        <v>1</v>
      </c>
      <c r="M197" s="24">
        <v>1</v>
      </c>
      <c r="N197" s="32">
        <v>1</v>
      </c>
      <c r="O197" s="32">
        <v>1</v>
      </c>
      <c r="P197" s="32">
        <v>1</v>
      </c>
      <c r="Q197" s="32">
        <v>1</v>
      </c>
      <c r="R197" s="32">
        <v>0.5</v>
      </c>
      <c r="S197" s="32">
        <v>0</v>
      </c>
      <c r="T197" s="32">
        <v>1</v>
      </c>
      <c r="U197" s="23">
        <v>1</v>
      </c>
      <c r="V197" s="29">
        <v>1</v>
      </c>
      <c r="W197" s="32">
        <v>1</v>
      </c>
      <c r="X197" s="32">
        <v>1</v>
      </c>
      <c r="Y197" s="29">
        <v>1</v>
      </c>
      <c r="Z197" s="29">
        <v>1</v>
      </c>
      <c r="AA197" s="49">
        <v>0</v>
      </c>
      <c r="AB197" s="32">
        <v>1</v>
      </c>
      <c r="AC197" s="24">
        <v>1</v>
      </c>
      <c r="AD197" s="32">
        <v>1</v>
      </c>
      <c r="AE197" s="32">
        <v>1</v>
      </c>
      <c r="AF197" s="32">
        <v>0.5</v>
      </c>
      <c r="AG197" s="32"/>
      <c r="AH197" s="32">
        <v>1</v>
      </c>
      <c r="AI197" s="24">
        <v>0.5</v>
      </c>
      <c r="AJ197" s="32">
        <v>1</v>
      </c>
      <c r="AK197" s="32">
        <v>0.5</v>
      </c>
      <c r="AL197" s="32">
        <v>1</v>
      </c>
      <c r="AM197" s="32">
        <v>0.5</v>
      </c>
      <c r="AN197" s="32">
        <v>0.5</v>
      </c>
      <c r="AO197" s="32">
        <v>0</v>
      </c>
      <c r="AP197" s="32">
        <v>1</v>
      </c>
      <c r="AQ197" s="23">
        <v>1</v>
      </c>
      <c r="AR197" s="29">
        <v>1</v>
      </c>
      <c r="AS197" s="32">
        <v>1</v>
      </c>
      <c r="AT197" s="32">
        <v>1</v>
      </c>
      <c r="AU197" s="29">
        <v>0.5</v>
      </c>
      <c r="AV197" s="29">
        <v>0.5</v>
      </c>
      <c r="AW197" s="32"/>
      <c r="AX197" s="32">
        <v>1</v>
      </c>
      <c r="AY197" s="24">
        <v>1</v>
      </c>
      <c r="AZ197" s="32">
        <v>1</v>
      </c>
      <c r="BA197" s="32">
        <v>1</v>
      </c>
      <c r="BB197" s="32">
        <v>1</v>
      </c>
      <c r="BC197" s="32"/>
      <c r="BD197" s="32">
        <v>1</v>
      </c>
      <c r="BE197" s="24">
        <v>1</v>
      </c>
      <c r="BF197" s="32">
        <v>1</v>
      </c>
      <c r="BG197" s="32">
        <v>0</v>
      </c>
      <c r="BH197" s="32">
        <v>1</v>
      </c>
      <c r="BI197" s="32">
        <v>0.5</v>
      </c>
      <c r="BJ197" s="32">
        <v>0.5</v>
      </c>
      <c r="BK197" s="32">
        <v>0</v>
      </c>
      <c r="BL197" s="32">
        <v>0</v>
      </c>
      <c r="BM197" s="23">
        <v>1</v>
      </c>
      <c r="BN197" s="29">
        <v>0.5</v>
      </c>
      <c r="BO197" s="32">
        <v>0.5</v>
      </c>
      <c r="BP197" s="32">
        <v>1</v>
      </c>
      <c r="BQ197" s="29">
        <v>1</v>
      </c>
      <c r="BR197" s="29">
        <v>1</v>
      </c>
      <c r="BT197">
        <f t="shared" si="86"/>
        <v>62</v>
      </c>
      <c r="BU197">
        <f t="shared" si="87"/>
        <v>49.5</v>
      </c>
      <c r="BV197" s="25">
        <f t="shared" si="88"/>
        <v>0.79838709677419351</v>
      </c>
    </row>
    <row r="198" spans="2:74" ht="26.25" thickBot="1" x14ac:dyDescent="0.3">
      <c r="B198" s="27" t="s">
        <v>74</v>
      </c>
      <c r="D198" s="22">
        <v>22</v>
      </c>
      <c r="E198" s="49">
        <v>1</v>
      </c>
      <c r="F198" s="32">
        <v>1</v>
      </c>
      <c r="G198" s="24">
        <v>1</v>
      </c>
      <c r="H198" s="32">
        <v>1</v>
      </c>
      <c r="I198" s="32">
        <v>1</v>
      </c>
      <c r="J198" s="32">
        <v>1</v>
      </c>
      <c r="K198" s="32">
        <v>0</v>
      </c>
      <c r="L198" s="32">
        <v>1</v>
      </c>
      <c r="M198" s="24">
        <v>1</v>
      </c>
      <c r="N198" s="32">
        <v>1</v>
      </c>
      <c r="O198" s="32">
        <v>1</v>
      </c>
      <c r="P198" s="32">
        <v>1</v>
      </c>
      <c r="Q198" s="32">
        <v>1</v>
      </c>
      <c r="R198" s="32">
        <v>0.5</v>
      </c>
      <c r="S198" s="32">
        <v>1</v>
      </c>
      <c r="T198" s="32">
        <v>1</v>
      </c>
      <c r="U198" s="23">
        <v>1</v>
      </c>
      <c r="V198" s="29">
        <v>1</v>
      </c>
      <c r="W198" s="32">
        <v>0</v>
      </c>
      <c r="X198" s="32">
        <v>1</v>
      </c>
      <c r="Y198" s="29">
        <v>1</v>
      </c>
      <c r="Z198" s="29">
        <v>1</v>
      </c>
      <c r="AA198" s="49"/>
      <c r="AB198" s="32">
        <v>1</v>
      </c>
      <c r="AC198" s="24">
        <v>1</v>
      </c>
      <c r="AD198" s="32">
        <v>1</v>
      </c>
      <c r="AE198" s="32">
        <v>1</v>
      </c>
      <c r="AF198" s="32">
        <v>0</v>
      </c>
      <c r="AG198" s="32">
        <v>0</v>
      </c>
      <c r="AH198" s="32">
        <v>1</v>
      </c>
      <c r="AI198" s="24">
        <v>0.5</v>
      </c>
      <c r="AJ198" s="32">
        <v>1</v>
      </c>
      <c r="AK198" s="32">
        <v>0.5</v>
      </c>
      <c r="AL198" s="32">
        <v>1</v>
      </c>
      <c r="AM198" s="32">
        <v>0</v>
      </c>
      <c r="AN198" s="32">
        <v>0.5</v>
      </c>
      <c r="AO198" s="32">
        <v>0</v>
      </c>
      <c r="AP198" s="32">
        <v>1</v>
      </c>
      <c r="AQ198" s="23">
        <v>1</v>
      </c>
      <c r="AR198" s="29">
        <v>1</v>
      </c>
      <c r="AS198" s="32">
        <v>0</v>
      </c>
      <c r="AT198" s="32">
        <v>1</v>
      </c>
      <c r="AU198" s="29">
        <v>0.5</v>
      </c>
      <c r="AV198" s="29">
        <v>0.5</v>
      </c>
      <c r="AW198" s="32"/>
      <c r="AX198" s="32">
        <v>1</v>
      </c>
      <c r="AY198" s="24">
        <v>1</v>
      </c>
      <c r="AZ198" s="32">
        <v>1</v>
      </c>
      <c r="BA198" s="32">
        <v>1</v>
      </c>
      <c r="BB198" s="32">
        <v>1</v>
      </c>
      <c r="BC198" s="32">
        <v>0</v>
      </c>
      <c r="BD198" s="32">
        <v>1</v>
      </c>
      <c r="BE198" s="24">
        <v>1</v>
      </c>
      <c r="BF198" s="32">
        <v>1</v>
      </c>
      <c r="BG198" s="32">
        <v>0</v>
      </c>
      <c r="BH198" s="32">
        <v>1</v>
      </c>
      <c r="BI198" s="32">
        <v>0</v>
      </c>
      <c r="BJ198" s="32">
        <v>0.5</v>
      </c>
      <c r="BK198" s="32">
        <v>0.5</v>
      </c>
      <c r="BL198" s="32">
        <v>1</v>
      </c>
      <c r="BM198" s="23">
        <v>1</v>
      </c>
      <c r="BN198" s="29">
        <v>1</v>
      </c>
      <c r="BO198" s="32">
        <v>0</v>
      </c>
      <c r="BP198" s="32">
        <v>0</v>
      </c>
      <c r="BQ198" s="29">
        <v>1</v>
      </c>
      <c r="BR198" s="29">
        <v>1</v>
      </c>
      <c r="BT198">
        <f t="shared" si="86"/>
        <v>64</v>
      </c>
      <c r="BU198">
        <f t="shared" si="87"/>
        <v>48</v>
      </c>
      <c r="BV198" s="25">
        <f t="shared" si="88"/>
        <v>0.75</v>
      </c>
    </row>
    <row r="199" spans="2:74" ht="26.25" thickBot="1" x14ac:dyDescent="0.3">
      <c r="B199" s="21" t="s">
        <v>75</v>
      </c>
      <c r="D199" s="22">
        <v>23</v>
      </c>
      <c r="E199" s="49">
        <v>1</v>
      </c>
      <c r="F199" s="32">
        <v>1</v>
      </c>
      <c r="G199" s="24">
        <v>1</v>
      </c>
      <c r="H199" s="32">
        <v>1</v>
      </c>
      <c r="I199" s="32">
        <v>1</v>
      </c>
      <c r="J199" s="32">
        <v>1</v>
      </c>
      <c r="K199" s="32">
        <v>1</v>
      </c>
      <c r="L199" s="32">
        <v>1</v>
      </c>
      <c r="M199" s="24">
        <v>1</v>
      </c>
      <c r="N199" s="32">
        <v>1</v>
      </c>
      <c r="O199" s="32">
        <v>1</v>
      </c>
      <c r="P199" s="32">
        <v>1</v>
      </c>
      <c r="Q199" s="32">
        <v>1</v>
      </c>
      <c r="R199" s="32">
        <v>0.5</v>
      </c>
      <c r="S199" s="32">
        <v>1</v>
      </c>
      <c r="T199" s="32">
        <v>1</v>
      </c>
      <c r="U199" s="23">
        <v>1</v>
      </c>
      <c r="V199" s="29">
        <v>1</v>
      </c>
      <c r="W199" s="32">
        <v>0.5</v>
      </c>
      <c r="X199" s="32">
        <v>1</v>
      </c>
      <c r="Y199" s="29">
        <v>1</v>
      </c>
      <c r="Z199" s="29">
        <v>1</v>
      </c>
      <c r="AA199" s="49"/>
      <c r="AB199" s="32">
        <v>1</v>
      </c>
      <c r="AC199" s="24">
        <v>1</v>
      </c>
      <c r="AD199" s="32">
        <v>1</v>
      </c>
      <c r="AE199" s="32">
        <v>1</v>
      </c>
      <c r="AF199" s="32">
        <v>1</v>
      </c>
      <c r="AG199" s="32">
        <v>0</v>
      </c>
      <c r="AH199" s="32">
        <v>1</v>
      </c>
      <c r="AI199" s="24">
        <v>0.5</v>
      </c>
      <c r="AJ199" s="32">
        <v>1</v>
      </c>
      <c r="AK199" s="32">
        <v>0.5</v>
      </c>
      <c r="AL199" s="32">
        <v>1</v>
      </c>
      <c r="AM199" s="32">
        <v>0</v>
      </c>
      <c r="AN199" s="32">
        <v>0.5</v>
      </c>
      <c r="AO199" s="32">
        <v>1</v>
      </c>
      <c r="AP199" s="32">
        <v>0.5</v>
      </c>
      <c r="AQ199" s="23">
        <v>1</v>
      </c>
      <c r="AR199" s="29">
        <v>1</v>
      </c>
      <c r="AS199" s="32">
        <v>0</v>
      </c>
      <c r="AT199" s="32">
        <v>1</v>
      </c>
      <c r="AU199" s="29">
        <v>0.5</v>
      </c>
      <c r="AV199" s="29">
        <v>0.5</v>
      </c>
      <c r="AW199" s="32"/>
      <c r="AX199" s="32">
        <v>1</v>
      </c>
      <c r="AY199" s="24">
        <v>1</v>
      </c>
      <c r="AZ199" s="32">
        <v>1</v>
      </c>
      <c r="BA199" s="32">
        <v>1</v>
      </c>
      <c r="BB199" s="32">
        <v>1</v>
      </c>
      <c r="BC199" s="32">
        <v>0</v>
      </c>
      <c r="BD199" s="32">
        <v>1</v>
      </c>
      <c r="BE199" s="24">
        <v>1</v>
      </c>
      <c r="BF199" s="32">
        <v>1</v>
      </c>
      <c r="BG199" s="32">
        <v>0</v>
      </c>
      <c r="BH199" s="32">
        <v>1</v>
      </c>
      <c r="BI199" s="32">
        <v>0</v>
      </c>
      <c r="BJ199" s="32">
        <v>0.5</v>
      </c>
      <c r="BK199" s="32">
        <v>1</v>
      </c>
      <c r="BL199" s="32">
        <v>0</v>
      </c>
      <c r="BM199" s="23">
        <v>1</v>
      </c>
      <c r="BN199" s="29">
        <v>1</v>
      </c>
      <c r="BO199" s="32">
        <v>0</v>
      </c>
      <c r="BP199" s="32">
        <v>0</v>
      </c>
      <c r="BQ199" s="29">
        <v>1</v>
      </c>
      <c r="BR199" s="29">
        <v>1</v>
      </c>
      <c r="BT199">
        <f t="shared" si="86"/>
        <v>64</v>
      </c>
      <c r="BU199">
        <f t="shared" si="87"/>
        <v>50.5</v>
      </c>
      <c r="BV199" s="25">
        <f t="shared" si="88"/>
        <v>0.7890625</v>
      </c>
    </row>
    <row r="200" spans="2:74" ht="26.25" thickBot="1" x14ac:dyDescent="0.3">
      <c r="B200" s="21" t="s">
        <v>76</v>
      </c>
      <c r="D200" s="22">
        <v>24</v>
      </c>
      <c r="E200" s="49">
        <v>1</v>
      </c>
      <c r="F200" s="32"/>
      <c r="G200" s="24">
        <v>1</v>
      </c>
      <c r="H200" s="32">
        <v>1</v>
      </c>
      <c r="I200" s="32">
        <v>1</v>
      </c>
      <c r="J200" s="32">
        <v>1</v>
      </c>
      <c r="K200" s="32">
        <v>1</v>
      </c>
      <c r="L200" s="32">
        <v>1</v>
      </c>
      <c r="M200" s="24">
        <v>1</v>
      </c>
      <c r="N200" s="32"/>
      <c r="O200" s="32">
        <v>1</v>
      </c>
      <c r="P200" s="32">
        <v>1</v>
      </c>
      <c r="Q200" s="32">
        <v>1</v>
      </c>
      <c r="R200" s="32">
        <v>0.5</v>
      </c>
      <c r="S200" s="32">
        <v>0</v>
      </c>
      <c r="T200" s="32">
        <v>1</v>
      </c>
      <c r="U200" s="23">
        <v>1</v>
      </c>
      <c r="V200" s="29">
        <v>1</v>
      </c>
      <c r="W200" s="32">
        <v>1</v>
      </c>
      <c r="X200" s="32">
        <v>1</v>
      </c>
      <c r="Y200" s="29">
        <v>1</v>
      </c>
      <c r="Z200" s="29">
        <v>1</v>
      </c>
      <c r="AA200" s="49"/>
      <c r="AB200" s="32"/>
      <c r="AC200" s="24">
        <v>1</v>
      </c>
      <c r="AD200" s="32">
        <v>0.5</v>
      </c>
      <c r="AE200" s="32">
        <v>1</v>
      </c>
      <c r="AF200" s="32">
        <v>0</v>
      </c>
      <c r="AG200" s="32">
        <v>0</v>
      </c>
      <c r="AH200" s="32">
        <v>1</v>
      </c>
      <c r="AI200" s="24">
        <v>0.5</v>
      </c>
      <c r="AJ200" s="32"/>
      <c r="AK200" s="32">
        <v>0.5</v>
      </c>
      <c r="AL200" s="32">
        <v>1</v>
      </c>
      <c r="AM200" s="32">
        <v>0</v>
      </c>
      <c r="AN200" s="32">
        <v>0.5</v>
      </c>
      <c r="AO200" s="32">
        <v>0</v>
      </c>
      <c r="AP200" s="32">
        <v>0.5</v>
      </c>
      <c r="AQ200" s="23">
        <v>1</v>
      </c>
      <c r="AR200" s="29">
        <v>0.5</v>
      </c>
      <c r="AS200" s="32">
        <v>0</v>
      </c>
      <c r="AT200" s="32">
        <v>1</v>
      </c>
      <c r="AU200" s="29">
        <v>0.5</v>
      </c>
      <c r="AV200" s="29">
        <v>0.5</v>
      </c>
      <c r="AW200" s="32"/>
      <c r="AX200" s="32"/>
      <c r="AY200" s="24">
        <v>1</v>
      </c>
      <c r="AZ200" s="32">
        <v>1</v>
      </c>
      <c r="BA200" s="32">
        <v>1</v>
      </c>
      <c r="BB200" s="32">
        <v>1</v>
      </c>
      <c r="BC200" s="32">
        <v>0</v>
      </c>
      <c r="BD200" s="32">
        <v>1</v>
      </c>
      <c r="BE200" s="24">
        <v>1</v>
      </c>
      <c r="BF200" s="32"/>
      <c r="BG200" s="32">
        <v>0</v>
      </c>
      <c r="BH200" s="32">
        <v>1</v>
      </c>
      <c r="BI200" s="32">
        <v>0.5</v>
      </c>
      <c r="BJ200" s="32">
        <v>0.5</v>
      </c>
      <c r="BK200" s="32">
        <v>0</v>
      </c>
      <c r="BL200" s="32">
        <v>0</v>
      </c>
      <c r="BM200" s="23">
        <v>1</v>
      </c>
      <c r="BN200" s="29">
        <v>0.5</v>
      </c>
      <c r="BO200" s="32">
        <v>0</v>
      </c>
      <c r="BP200" s="32">
        <v>0</v>
      </c>
      <c r="BQ200" s="29">
        <v>1</v>
      </c>
      <c r="BR200" s="29">
        <v>1</v>
      </c>
      <c r="BT200">
        <f t="shared" si="86"/>
        <v>58</v>
      </c>
      <c r="BU200">
        <f t="shared" si="87"/>
        <v>40</v>
      </c>
      <c r="BV200" s="25">
        <f t="shared" si="88"/>
        <v>0.68965517241379315</v>
      </c>
    </row>
    <row r="201" spans="2:74" ht="51.75" thickBot="1" x14ac:dyDescent="0.3">
      <c r="B201" s="21" t="s">
        <v>77</v>
      </c>
      <c r="D201" s="22">
        <v>25</v>
      </c>
      <c r="E201" s="49">
        <v>1</v>
      </c>
      <c r="F201" s="32">
        <v>1</v>
      </c>
      <c r="G201" s="24">
        <v>1</v>
      </c>
      <c r="H201" s="32">
        <v>1</v>
      </c>
      <c r="I201" s="32">
        <v>1</v>
      </c>
      <c r="J201" s="32">
        <v>1</v>
      </c>
      <c r="K201" s="32">
        <v>1</v>
      </c>
      <c r="L201" s="32">
        <v>1</v>
      </c>
      <c r="M201" s="24">
        <v>1</v>
      </c>
      <c r="N201" s="32"/>
      <c r="O201" s="32">
        <v>1</v>
      </c>
      <c r="P201" s="32">
        <v>1</v>
      </c>
      <c r="Q201" s="32">
        <v>1</v>
      </c>
      <c r="R201" s="32">
        <v>0.5</v>
      </c>
      <c r="S201" s="32">
        <v>1</v>
      </c>
      <c r="T201" s="32">
        <v>1</v>
      </c>
      <c r="U201" s="23">
        <v>1</v>
      </c>
      <c r="V201" s="29">
        <v>1</v>
      </c>
      <c r="W201" s="32">
        <v>1</v>
      </c>
      <c r="X201" s="32">
        <v>1</v>
      </c>
      <c r="Y201" s="29">
        <v>1</v>
      </c>
      <c r="Z201" s="29">
        <v>1</v>
      </c>
      <c r="AA201" s="49">
        <v>0.5</v>
      </c>
      <c r="AB201" s="32">
        <v>1</v>
      </c>
      <c r="AC201" s="24">
        <v>1</v>
      </c>
      <c r="AD201" s="32">
        <v>1</v>
      </c>
      <c r="AE201" s="32">
        <v>1</v>
      </c>
      <c r="AF201" s="32">
        <v>1</v>
      </c>
      <c r="AG201" s="32"/>
      <c r="AH201" s="32">
        <v>1</v>
      </c>
      <c r="AI201" s="24">
        <v>0.5</v>
      </c>
      <c r="AJ201" s="32"/>
      <c r="AK201" s="32">
        <v>0.5</v>
      </c>
      <c r="AL201" s="32">
        <v>1</v>
      </c>
      <c r="AM201" s="32">
        <v>0.5</v>
      </c>
      <c r="AN201" s="32">
        <v>0.5</v>
      </c>
      <c r="AO201" s="32">
        <v>0</v>
      </c>
      <c r="AP201" s="32">
        <v>1</v>
      </c>
      <c r="AQ201" s="23">
        <v>1</v>
      </c>
      <c r="AR201" s="29">
        <v>1</v>
      </c>
      <c r="AS201" s="32">
        <v>0</v>
      </c>
      <c r="AT201" s="32">
        <v>1</v>
      </c>
      <c r="AU201" s="29">
        <v>0.5</v>
      </c>
      <c r="AV201" s="29">
        <v>0.5</v>
      </c>
      <c r="AW201" s="32">
        <v>0.5</v>
      </c>
      <c r="AX201" s="32">
        <v>1</v>
      </c>
      <c r="AY201" s="24">
        <v>1</v>
      </c>
      <c r="AZ201" s="32">
        <v>1</v>
      </c>
      <c r="BA201" s="32">
        <v>1</v>
      </c>
      <c r="BB201" s="32">
        <v>1</v>
      </c>
      <c r="BC201" s="32">
        <v>1</v>
      </c>
      <c r="BD201" s="32">
        <v>1</v>
      </c>
      <c r="BE201" s="24">
        <v>1</v>
      </c>
      <c r="BF201" s="32"/>
      <c r="BG201" s="32">
        <v>1</v>
      </c>
      <c r="BH201" s="32">
        <v>1</v>
      </c>
      <c r="BI201" s="32">
        <v>1</v>
      </c>
      <c r="BJ201" s="32">
        <v>0.5</v>
      </c>
      <c r="BK201" s="32">
        <v>1</v>
      </c>
      <c r="BL201" s="32">
        <v>1</v>
      </c>
      <c r="BM201" s="23">
        <v>1</v>
      </c>
      <c r="BN201" s="29">
        <v>1</v>
      </c>
      <c r="BO201" s="32">
        <v>1</v>
      </c>
      <c r="BP201" s="32">
        <v>1</v>
      </c>
      <c r="BQ201" s="29">
        <v>1</v>
      </c>
      <c r="BR201" s="29">
        <v>1</v>
      </c>
      <c r="BT201">
        <f t="shared" si="86"/>
        <v>62</v>
      </c>
      <c r="BU201">
        <f t="shared" si="87"/>
        <v>55</v>
      </c>
      <c r="BV201" s="25">
        <f t="shared" si="88"/>
        <v>0.88709677419354838</v>
      </c>
    </row>
    <row r="202" spans="2:74" ht="26.25" thickBot="1" x14ac:dyDescent="0.3">
      <c r="B202" s="21" t="s">
        <v>78</v>
      </c>
      <c r="D202" s="22">
        <v>26</v>
      </c>
      <c r="E202" s="49">
        <v>1</v>
      </c>
      <c r="F202" s="32">
        <v>1</v>
      </c>
      <c r="G202" s="24">
        <v>1</v>
      </c>
      <c r="H202" s="32">
        <v>1</v>
      </c>
      <c r="I202" s="32">
        <v>1</v>
      </c>
      <c r="J202" s="32">
        <v>1</v>
      </c>
      <c r="K202" s="32">
        <v>1</v>
      </c>
      <c r="L202" s="32">
        <v>0.5</v>
      </c>
      <c r="M202" s="24">
        <v>0.5</v>
      </c>
      <c r="N202" s="32">
        <v>0</v>
      </c>
      <c r="O202" s="32">
        <v>1</v>
      </c>
      <c r="P202" s="32">
        <v>1</v>
      </c>
      <c r="Q202" s="32">
        <v>1</v>
      </c>
      <c r="R202" s="32">
        <v>0.5</v>
      </c>
      <c r="S202" s="32">
        <v>0</v>
      </c>
      <c r="T202" s="32">
        <v>1</v>
      </c>
      <c r="U202" s="23">
        <v>1</v>
      </c>
      <c r="V202" s="29">
        <v>1</v>
      </c>
      <c r="W202" s="32">
        <v>0</v>
      </c>
      <c r="X202" s="32">
        <v>0</v>
      </c>
      <c r="Y202" s="29">
        <v>1</v>
      </c>
      <c r="Z202" s="29">
        <v>1</v>
      </c>
      <c r="AA202" s="49"/>
      <c r="AB202" s="32">
        <v>1</v>
      </c>
      <c r="AC202" s="24">
        <v>1</v>
      </c>
      <c r="AD202" s="32">
        <v>0.5</v>
      </c>
      <c r="AE202" s="32">
        <v>1</v>
      </c>
      <c r="AF202" s="32">
        <v>1</v>
      </c>
      <c r="AG202" s="32"/>
      <c r="AH202" s="32">
        <v>0.5</v>
      </c>
      <c r="AI202" s="24">
        <v>0.5</v>
      </c>
      <c r="AJ202" s="32">
        <v>0</v>
      </c>
      <c r="AK202" s="32">
        <v>0.5</v>
      </c>
      <c r="AL202" s="32">
        <v>1</v>
      </c>
      <c r="AM202" s="32">
        <v>0.5</v>
      </c>
      <c r="AN202" s="32">
        <v>0.5</v>
      </c>
      <c r="AO202" s="32">
        <v>0</v>
      </c>
      <c r="AP202" s="32">
        <v>0</v>
      </c>
      <c r="AQ202" s="23">
        <v>1</v>
      </c>
      <c r="AR202" s="29">
        <v>1</v>
      </c>
      <c r="AS202" s="32">
        <v>0</v>
      </c>
      <c r="AT202" s="32">
        <v>0</v>
      </c>
      <c r="AU202" s="29">
        <v>0.5</v>
      </c>
      <c r="AV202" s="29">
        <v>0.5</v>
      </c>
      <c r="AW202" s="32"/>
      <c r="AX202" s="32">
        <v>1</v>
      </c>
      <c r="AY202" s="24">
        <v>1</v>
      </c>
      <c r="AZ202" s="32">
        <v>1</v>
      </c>
      <c r="BA202" s="32">
        <v>1</v>
      </c>
      <c r="BB202" s="32">
        <v>1</v>
      </c>
      <c r="BC202" s="32">
        <v>1</v>
      </c>
      <c r="BD202" s="32">
        <v>0.5</v>
      </c>
      <c r="BE202" s="24">
        <v>1</v>
      </c>
      <c r="BF202" s="32">
        <v>0</v>
      </c>
      <c r="BG202" s="32">
        <v>1</v>
      </c>
      <c r="BH202" s="32">
        <v>1</v>
      </c>
      <c r="BI202" s="32">
        <v>1</v>
      </c>
      <c r="BJ202" s="32">
        <v>0.5</v>
      </c>
      <c r="BK202" s="32">
        <v>0</v>
      </c>
      <c r="BL202" s="32">
        <v>0</v>
      </c>
      <c r="BM202" s="23">
        <v>1</v>
      </c>
      <c r="BN202" s="29">
        <v>0.5</v>
      </c>
      <c r="BO202" s="32">
        <v>0.5</v>
      </c>
      <c r="BP202" s="32">
        <v>0</v>
      </c>
      <c r="BQ202" s="29">
        <v>1</v>
      </c>
      <c r="BR202" s="29">
        <v>1</v>
      </c>
      <c r="BT202">
        <f t="shared" si="86"/>
        <v>63</v>
      </c>
      <c r="BU202">
        <f t="shared" si="87"/>
        <v>42.5</v>
      </c>
      <c r="BV202" s="25">
        <f t="shared" si="88"/>
        <v>0.67460317460317465</v>
      </c>
    </row>
    <row r="203" spans="2:74" ht="26.25" thickBot="1" x14ac:dyDescent="0.3">
      <c r="B203" s="21" t="s">
        <v>79</v>
      </c>
      <c r="D203" s="22">
        <v>27</v>
      </c>
      <c r="E203" s="49">
        <v>1</v>
      </c>
      <c r="F203" s="32">
        <v>1</v>
      </c>
      <c r="G203" s="24">
        <v>1</v>
      </c>
      <c r="H203" s="32">
        <v>1</v>
      </c>
      <c r="I203" s="32">
        <v>1</v>
      </c>
      <c r="J203" s="32">
        <v>1</v>
      </c>
      <c r="K203" s="32">
        <v>1</v>
      </c>
      <c r="L203" s="32">
        <v>1</v>
      </c>
      <c r="M203" s="24">
        <v>0.5</v>
      </c>
      <c r="N203" s="32">
        <v>0</v>
      </c>
      <c r="O203" s="32">
        <v>1</v>
      </c>
      <c r="P203" s="32">
        <v>1</v>
      </c>
      <c r="Q203" s="32">
        <v>1</v>
      </c>
      <c r="R203" s="32">
        <v>0.5</v>
      </c>
      <c r="S203" s="32">
        <v>0</v>
      </c>
      <c r="T203" s="32">
        <v>1</v>
      </c>
      <c r="U203" s="23">
        <v>1</v>
      </c>
      <c r="V203" s="29">
        <v>1</v>
      </c>
      <c r="W203" s="32">
        <v>0</v>
      </c>
      <c r="X203" s="32">
        <v>1</v>
      </c>
      <c r="Y203" s="29">
        <v>1</v>
      </c>
      <c r="Z203" s="29">
        <v>1</v>
      </c>
      <c r="AA203" s="49"/>
      <c r="AB203" s="32">
        <v>1</v>
      </c>
      <c r="AC203" s="24">
        <v>1</v>
      </c>
      <c r="AD203" s="32">
        <v>0.5</v>
      </c>
      <c r="AE203" s="32">
        <v>1</v>
      </c>
      <c r="AF203" s="32">
        <v>1</v>
      </c>
      <c r="AG203" s="32">
        <v>1</v>
      </c>
      <c r="AH203" s="32">
        <v>1</v>
      </c>
      <c r="AI203" s="24">
        <v>0.5</v>
      </c>
      <c r="AJ203" s="32">
        <v>0</v>
      </c>
      <c r="AK203" s="32">
        <v>0.5</v>
      </c>
      <c r="AL203" s="32">
        <v>1</v>
      </c>
      <c r="AM203" s="32">
        <v>0</v>
      </c>
      <c r="AN203" s="32">
        <v>0.5</v>
      </c>
      <c r="AO203" s="32">
        <v>0</v>
      </c>
      <c r="AP203" s="32">
        <v>1</v>
      </c>
      <c r="AQ203" s="23">
        <v>1</v>
      </c>
      <c r="AR203" s="29">
        <v>1</v>
      </c>
      <c r="AS203" s="32">
        <v>0</v>
      </c>
      <c r="AT203" s="32">
        <v>1</v>
      </c>
      <c r="AU203" s="29">
        <v>0.5</v>
      </c>
      <c r="AV203" s="29">
        <v>0.5</v>
      </c>
      <c r="AW203" s="32"/>
      <c r="AX203" s="32">
        <v>1</v>
      </c>
      <c r="AY203" s="24">
        <v>1</v>
      </c>
      <c r="AZ203" s="32">
        <v>0.5</v>
      </c>
      <c r="BA203" s="32">
        <v>1</v>
      </c>
      <c r="BB203" s="32">
        <v>1</v>
      </c>
      <c r="BC203" s="32">
        <v>0</v>
      </c>
      <c r="BD203" s="32">
        <v>1</v>
      </c>
      <c r="BE203" s="24">
        <v>1</v>
      </c>
      <c r="BF203" s="32">
        <v>0</v>
      </c>
      <c r="BG203" s="32">
        <v>1</v>
      </c>
      <c r="BH203" s="32">
        <v>1</v>
      </c>
      <c r="BI203" s="32">
        <v>0</v>
      </c>
      <c r="BJ203" s="32">
        <v>0.5</v>
      </c>
      <c r="BK203" s="32">
        <v>0</v>
      </c>
      <c r="BL203" s="32">
        <v>1</v>
      </c>
      <c r="BM203" s="23">
        <v>1</v>
      </c>
      <c r="BN203" s="29">
        <v>0.5</v>
      </c>
      <c r="BO203" s="32">
        <v>0</v>
      </c>
      <c r="BP203" s="32">
        <v>1</v>
      </c>
      <c r="BQ203" s="29">
        <v>1</v>
      </c>
      <c r="BR203" s="29">
        <v>1</v>
      </c>
      <c r="BT203">
        <f t="shared" si="86"/>
        <v>64</v>
      </c>
      <c r="BU203">
        <f t="shared" si="87"/>
        <v>46.5</v>
      </c>
      <c r="BV203" s="25">
        <f t="shared" si="88"/>
        <v>0.7265625</v>
      </c>
    </row>
    <row r="204" spans="2:74" ht="39" thickBot="1" x14ac:dyDescent="0.3">
      <c r="B204" s="21" t="s">
        <v>80</v>
      </c>
      <c r="D204" s="22">
        <v>28</v>
      </c>
      <c r="E204" s="49">
        <v>1</v>
      </c>
      <c r="F204" s="32">
        <v>1</v>
      </c>
      <c r="G204" s="24">
        <v>1</v>
      </c>
      <c r="H204" s="32">
        <v>0.5</v>
      </c>
      <c r="I204" s="32">
        <v>1</v>
      </c>
      <c r="J204" s="32">
        <v>1</v>
      </c>
      <c r="K204" s="32">
        <v>1</v>
      </c>
      <c r="L204" s="32">
        <v>1</v>
      </c>
      <c r="M204" s="24">
        <v>0.5</v>
      </c>
      <c r="N204" s="32">
        <v>0</v>
      </c>
      <c r="O204" s="32">
        <v>1</v>
      </c>
      <c r="P204" s="32">
        <v>1</v>
      </c>
      <c r="Q204" s="32">
        <v>1</v>
      </c>
      <c r="R204" s="32">
        <v>0.5</v>
      </c>
      <c r="S204" s="32">
        <v>0</v>
      </c>
      <c r="T204" s="32">
        <v>1</v>
      </c>
      <c r="U204" s="23">
        <v>1</v>
      </c>
      <c r="V204" s="29">
        <v>1</v>
      </c>
      <c r="W204" s="32">
        <v>0</v>
      </c>
      <c r="X204" s="32">
        <v>1</v>
      </c>
      <c r="Y204" s="29">
        <v>1</v>
      </c>
      <c r="Z204" s="29">
        <v>1</v>
      </c>
      <c r="AA204" s="49"/>
      <c r="AB204" s="32">
        <v>1</v>
      </c>
      <c r="AC204" s="24">
        <v>1</v>
      </c>
      <c r="AD204" s="32">
        <v>0.5</v>
      </c>
      <c r="AE204" s="32">
        <v>1</v>
      </c>
      <c r="AF204" s="32">
        <v>1</v>
      </c>
      <c r="AG204" s="32">
        <v>1</v>
      </c>
      <c r="AH204" s="32">
        <v>1</v>
      </c>
      <c r="AI204" s="24">
        <v>1</v>
      </c>
      <c r="AJ204" s="32">
        <v>0</v>
      </c>
      <c r="AK204" s="32">
        <v>0.5</v>
      </c>
      <c r="AL204" s="32">
        <v>1</v>
      </c>
      <c r="AM204" s="32">
        <v>1</v>
      </c>
      <c r="AN204" s="32">
        <v>0.5</v>
      </c>
      <c r="AO204" s="32">
        <v>1</v>
      </c>
      <c r="AP204" s="32">
        <v>1</v>
      </c>
      <c r="AQ204" s="23">
        <v>1</v>
      </c>
      <c r="AR204" s="29">
        <v>1</v>
      </c>
      <c r="AS204" s="32">
        <v>1</v>
      </c>
      <c r="AT204" s="32">
        <v>1</v>
      </c>
      <c r="AU204" s="29">
        <v>0.5</v>
      </c>
      <c r="AV204" s="29">
        <v>0.5</v>
      </c>
      <c r="AW204" s="32"/>
      <c r="AX204" s="32">
        <v>1</v>
      </c>
      <c r="AY204" s="24">
        <v>1</v>
      </c>
      <c r="AZ204" s="32">
        <v>0.5</v>
      </c>
      <c r="BA204" s="32">
        <v>1</v>
      </c>
      <c r="BB204" s="32">
        <v>1</v>
      </c>
      <c r="BC204" s="32">
        <v>1</v>
      </c>
      <c r="BD204" s="32">
        <v>1</v>
      </c>
      <c r="BE204" s="24">
        <v>1</v>
      </c>
      <c r="BF204" s="32">
        <v>0</v>
      </c>
      <c r="BG204" s="32">
        <v>1</v>
      </c>
      <c r="BH204" s="32">
        <v>1</v>
      </c>
      <c r="BI204" s="32">
        <v>0.5</v>
      </c>
      <c r="BJ204" s="32">
        <v>0.5</v>
      </c>
      <c r="BK204" s="32">
        <v>1</v>
      </c>
      <c r="BL204" s="32">
        <v>1</v>
      </c>
      <c r="BM204" s="23">
        <v>1</v>
      </c>
      <c r="BN204" s="29">
        <v>1</v>
      </c>
      <c r="BO204" s="32"/>
      <c r="BP204" s="32">
        <v>1</v>
      </c>
      <c r="BQ204" s="29">
        <v>1</v>
      </c>
      <c r="BR204" s="29">
        <v>1</v>
      </c>
      <c r="BT204">
        <f t="shared" si="86"/>
        <v>63</v>
      </c>
      <c r="BU204">
        <f t="shared" si="87"/>
        <v>52.5</v>
      </c>
      <c r="BV204" s="25">
        <f t="shared" si="88"/>
        <v>0.83333333333333337</v>
      </c>
    </row>
    <row r="205" spans="2:74" ht="64.5" thickBot="1" x14ac:dyDescent="0.3">
      <c r="B205" s="21" t="s">
        <v>81</v>
      </c>
      <c r="D205" s="22">
        <v>29</v>
      </c>
      <c r="E205" s="49">
        <v>0</v>
      </c>
      <c r="F205" s="32"/>
      <c r="G205" s="24">
        <v>1</v>
      </c>
      <c r="H205" s="32">
        <v>1</v>
      </c>
      <c r="I205" s="32">
        <v>1</v>
      </c>
      <c r="J205" s="32">
        <v>1</v>
      </c>
      <c r="K205" s="32">
        <v>0</v>
      </c>
      <c r="L205" s="32">
        <v>1</v>
      </c>
      <c r="M205" s="24">
        <v>0</v>
      </c>
      <c r="N205" s="32">
        <v>1</v>
      </c>
      <c r="O205" s="32">
        <v>0</v>
      </c>
      <c r="P205" s="32">
        <v>1</v>
      </c>
      <c r="Q205" s="32">
        <v>0.5</v>
      </c>
      <c r="R205" s="32">
        <v>0.5</v>
      </c>
      <c r="S205" s="32">
        <v>0</v>
      </c>
      <c r="T205" s="32">
        <v>1</v>
      </c>
      <c r="U205" s="23">
        <v>1</v>
      </c>
      <c r="V205" s="32">
        <v>0.5</v>
      </c>
      <c r="W205" s="32">
        <v>0</v>
      </c>
      <c r="X205" s="32">
        <v>1</v>
      </c>
      <c r="Y205" s="32">
        <v>0.5</v>
      </c>
      <c r="Z205" s="32">
        <v>0</v>
      </c>
      <c r="AA205" s="49">
        <v>1</v>
      </c>
      <c r="AB205" s="32"/>
      <c r="AC205" s="24">
        <v>1</v>
      </c>
      <c r="AD205" s="32">
        <v>1</v>
      </c>
      <c r="AE205" s="32">
        <v>1</v>
      </c>
      <c r="AF205" s="32">
        <v>0</v>
      </c>
      <c r="AG205" s="32">
        <v>0</v>
      </c>
      <c r="AH205" s="32">
        <v>1</v>
      </c>
      <c r="AI205" s="24">
        <v>1</v>
      </c>
      <c r="AJ205" s="32">
        <v>1</v>
      </c>
      <c r="AK205" s="32">
        <v>0.5</v>
      </c>
      <c r="AL205" s="32">
        <v>1</v>
      </c>
      <c r="AM205" s="32">
        <v>0.5</v>
      </c>
      <c r="AN205" s="32">
        <v>0.5</v>
      </c>
      <c r="AO205" s="32">
        <v>1</v>
      </c>
      <c r="AP205" s="32">
        <v>1</v>
      </c>
      <c r="AQ205" s="23">
        <v>1</v>
      </c>
      <c r="AR205" s="32">
        <v>1</v>
      </c>
      <c r="AS205" s="32">
        <v>0</v>
      </c>
      <c r="AT205" s="32">
        <v>1</v>
      </c>
      <c r="AU205" s="32">
        <v>1</v>
      </c>
      <c r="AV205" s="32">
        <v>1</v>
      </c>
      <c r="AW205" s="32"/>
      <c r="AX205" s="32"/>
      <c r="AY205" s="24">
        <v>1</v>
      </c>
      <c r="AZ205" s="32">
        <v>1</v>
      </c>
      <c r="BA205" s="32">
        <v>1</v>
      </c>
      <c r="BB205" s="32">
        <v>1</v>
      </c>
      <c r="BC205" s="32">
        <v>0</v>
      </c>
      <c r="BD205" s="32">
        <v>1</v>
      </c>
      <c r="BE205" s="24">
        <v>1</v>
      </c>
      <c r="BF205" s="32">
        <v>1</v>
      </c>
      <c r="BG205" s="32">
        <v>0</v>
      </c>
      <c r="BH205" s="32">
        <v>1</v>
      </c>
      <c r="BI205" s="32">
        <v>0</v>
      </c>
      <c r="BJ205" s="32">
        <v>0.5</v>
      </c>
      <c r="BK205" s="32">
        <v>1</v>
      </c>
      <c r="BL205" s="32">
        <v>0</v>
      </c>
      <c r="BM205" s="23">
        <v>1</v>
      </c>
      <c r="BN205" s="32">
        <v>1</v>
      </c>
      <c r="BO205" s="32">
        <v>0</v>
      </c>
      <c r="BP205" s="32">
        <v>1</v>
      </c>
      <c r="BQ205" s="32">
        <v>1</v>
      </c>
      <c r="BR205" s="32">
        <v>1</v>
      </c>
      <c r="BT205">
        <f t="shared" si="86"/>
        <v>62</v>
      </c>
      <c r="BU205">
        <f t="shared" si="87"/>
        <v>43</v>
      </c>
      <c r="BV205" s="25">
        <f t="shared" si="88"/>
        <v>0.69354838709677424</v>
      </c>
    </row>
    <row r="206" spans="2:74" ht="26.25" thickBot="1" x14ac:dyDescent="0.3">
      <c r="B206" s="21" t="s">
        <v>82</v>
      </c>
      <c r="D206" s="22">
        <v>30</v>
      </c>
      <c r="E206" s="49">
        <v>0</v>
      </c>
      <c r="F206" s="32"/>
      <c r="G206" s="24">
        <v>1</v>
      </c>
      <c r="H206" s="32">
        <v>1</v>
      </c>
      <c r="I206" s="32">
        <v>1</v>
      </c>
      <c r="J206" s="32">
        <v>0</v>
      </c>
      <c r="K206" s="32">
        <v>0</v>
      </c>
      <c r="L206" s="32">
        <v>1</v>
      </c>
      <c r="M206" s="24">
        <v>0.5</v>
      </c>
      <c r="N206" s="32">
        <v>1</v>
      </c>
      <c r="O206" s="32">
        <v>0</v>
      </c>
      <c r="P206" s="32">
        <v>1</v>
      </c>
      <c r="Q206" s="32">
        <v>0</v>
      </c>
      <c r="R206" s="32">
        <v>0.5</v>
      </c>
      <c r="S206" s="32">
        <v>0</v>
      </c>
      <c r="T206" s="32">
        <v>0</v>
      </c>
      <c r="U206" s="23">
        <v>1</v>
      </c>
      <c r="V206" s="32">
        <v>0</v>
      </c>
      <c r="W206" s="32">
        <v>0</v>
      </c>
      <c r="X206" s="32">
        <v>1</v>
      </c>
      <c r="Y206" s="32">
        <v>0</v>
      </c>
      <c r="Z206" s="32">
        <v>0</v>
      </c>
      <c r="AA206" s="49">
        <v>1</v>
      </c>
      <c r="AB206" s="32"/>
      <c r="AC206" s="24">
        <v>1</v>
      </c>
      <c r="AD206" s="32">
        <v>1</v>
      </c>
      <c r="AE206" s="32">
        <v>1</v>
      </c>
      <c r="AF206" s="32">
        <v>1</v>
      </c>
      <c r="AG206" s="32">
        <v>0</v>
      </c>
      <c r="AH206" s="32">
        <v>1</v>
      </c>
      <c r="AI206" s="24">
        <v>0.5</v>
      </c>
      <c r="AJ206" s="32">
        <v>1</v>
      </c>
      <c r="AK206" s="32">
        <v>0.5</v>
      </c>
      <c r="AL206" s="32">
        <v>1</v>
      </c>
      <c r="AM206" s="32">
        <v>1</v>
      </c>
      <c r="AN206" s="32">
        <v>0.5</v>
      </c>
      <c r="AO206" s="32">
        <v>0</v>
      </c>
      <c r="AP206" s="32">
        <v>1</v>
      </c>
      <c r="AQ206" s="23">
        <v>1</v>
      </c>
      <c r="AR206" s="32">
        <v>1</v>
      </c>
      <c r="AS206" s="32">
        <v>0</v>
      </c>
      <c r="AT206" s="32">
        <v>1</v>
      </c>
      <c r="AU206" s="32">
        <v>1</v>
      </c>
      <c r="AV206" s="32">
        <v>1</v>
      </c>
      <c r="AW206" s="32"/>
      <c r="AX206" s="32"/>
      <c r="AY206" s="24">
        <v>1</v>
      </c>
      <c r="AZ206" s="32">
        <v>1</v>
      </c>
      <c r="BA206" s="32">
        <v>1</v>
      </c>
      <c r="BB206" s="32">
        <v>1</v>
      </c>
      <c r="BC206" s="32">
        <v>0</v>
      </c>
      <c r="BD206" s="32">
        <v>1</v>
      </c>
      <c r="BE206" s="24">
        <v>1</v>
      </c>
      <c r="BF206" s="32">
        <v>1</v>
      </c>
      <c r="BG206" s="32">
        <v>0</v>
      </c>
      <c r="BH206" s="32">
        <v>1</v>
      </c>
      <c r="BI206" s="32">
        <v>0</v>
      </c>
      <c r="BJ206" s="32">
        <v>0.5</v>
      </c>
      <c r="BK206" s="32">
        <v>0</v>
      </c>
      <c r="BL206" s="32">
        <v>0</v>
      </c>
      <c r="BM206" s="23">
        <v>1</v>
      </c>
      <c r="BN206" s="32">
        <v>0.5</v>
      </c>
      <c r="BO206" s="32">
        <v>0</v>
      </c>
      <c r="BP206" s="32">
        <v>1</v>
      </c>
      <c r="BQ206" s="32">
        <v>1</v>
      </c>
      <c r="BR206" s="32">
        <v>1</v>
      </c>
      <c r="BT206">
        <f t="shared" si="86"/>
        <v>62</v>
      </c>
      <c r="BU206">
        <f t="shared" si="87"/>
        <v>38.5</v>
      </c>
      <c r="BV206" s="25">
        <f t="shared" si="88"/>
        <v>0.62096774193548387</v>
      </c>
    </row>
    <row r="207" spans="2:74" ht="39" thickBot="1" x14ac:dyDescent="0.3">
      <c r="B207" s="33" t="s">
        <v>83</v>
      </c>
      <c r="D207" s="22">
        <v>31</v>
      </c>
      <c r="E207" s="49">
        <v>0</v>
      </c>
      <c r="F207" s="32"/>
      <c r="G207" s="24">
        <v>1</v>
      </c>
      <c r="H207" s="32">
        <v>1</v>
      </c>
      <c r="I207" s="32">
        <v>0</v>
      </c>
      <c r="J207" s="32">
        <v>0</v>
      </c>
      <c r="K207" s="32">
        <v>0</v>
      </c>
      <c r="L207" s="32">
        <v>1</v>
      </c>
      <c r="M207" s="24">
        <v>0.5</v>
      </c>
      <c r="N207" s="32"/>
      <c r="O207" s="32">
        <v>0</v>
      </c>
      <c r="P207" s="32">
        <v>1</v>
      </c>
      <c r="Q207" s="32">
        <v>0</v>
      </c>
      <c r="R207" s="32">
        <v>0.5</v>
      </c>
      <c r="S207" s="32">
        <v>0</v>
      </c>
      <c r="T207" s="32">
        <v>1</v>
      </c>
      <c r="U207" s="23">
        <v>1</v>
      </c>
      <c r="V207" s="32">
        <v>0.5</v>
      </c>
      <c r="W207" s="32">
        <v>0</v>
      </c>
      <c r="X207" s="32">
        <v>1</v>
      </c>
      <c r="Y207" s="32">
        <v>0</v>
      </c>
      <c r="Z207" s="32">
        <v>0</v>
      </c>
      <c r="AA207" s="49"/>
      <c r="AB207" s="32"/>
      <c r="AC207" s="24">
        <v>1</v>
      </c>
      <c r="AD207" s="32">
        <v>1</v>
      </c>
      <c r="AE207" s="32">
        <v>0</v>
      </c>
      <c r="AF207" s="32">
        <v>0</v>
      </c>
      <c r="AG207" s="32">
        <v>0</v>
      </c>
      <c r="AH207" s="32">
        <v>1</v>
      </c>
      <c r="AI207" s="24">
        <v>0.5</v>
      </c>
      <c r="AJ207" s="32"/>
      <c r="AK207" s="32">
        <v>0</v>
      </c>
      <c r="AL207" s="32">
        <v>1</v>
      </c>
      <c r="AM207" s="32">
        <v>0</v>
      </c>
      <c r="AN207" s="32">
        <v>0.5</v>
      </c>
      <c r="AO207" s="32">
        <v>1</v>
      </c>
      <c r="AP207" s="32">
        <v>1</v>
      </c>
      <c r="AQ207" s="23">
        <v>1</v>
      </c>
      <c r="AR207" s="32">
        <v>0.5</v>
      </c>
      <c r="AS207" s="32">
        <v>0</v>
      </c>
      <c r="AT207" s="32">
        <v>1</v>
      </c>
      <c r="AU207" s="32">
        <v>1</v>
      </c>
      <c r="AV207" s="32">
        <v>1</v>
      </c>
      <c r="AW207" s="32"/>
      <c r="AX207" s="32"/>
      <c r="AY207" s="24">
        <v>1</v>
      </c>
      <c r="AZ207" s="32">
        <v>1</v>
      </c>
      <c r="BA207" s="32">
        <v>0</v>
      </c>
      <c r="BB207" s="32">
        <v>0</v>
      </c>
      <c r="BC207" s="32">
        <v>0</v>
      </c>
      <c r="BD207" s="32">
        <v>1</v>
      </c>
      <c r="BE207" s="24">
        <v>1</v>
      </c>
      <c r="BF207" s="32"/>
      <c r="BG207" s="32">
        <v>0</v>
      </c>
      <c r="BH207" s="32">
        <v>1</v>
      </c>
      <c r="BI207" s="32">
        <v>0</v>
      </c>
      <c r="BJ207" s="32">
        <v>0.5</v>
      </c>
      <c r="BK207" s="32">
        <v>1</v>
      </c>
      <c r="BL207" s="32">
        <v>1</v>
      </c>
      <c r="BM207" s="23">
        <v>1</v>
      </c>
      <c r="BN207" s="32">
        <v>0.5</v>
      </c>
      <c r="BO207" s="32">
        <v>0</v>
      </c>
      <c r="BP207" s="32">
        <v>0</v>
      </c>
      <c r="BQ207" s="32">
        <v>1</v>
      </c>
      <c r="BR207" s="32">
        <v>1</v>
      </c>
      <c r="BT207">
        <f t="shared" si="86"/>
        <v>58</v>
      </c>
      <c r="BU207">
        <f t="shared" si="87"/>
        <v>31</v>
      </c>
      <c r="BV207" s="25">
        <f t="shared" si="88"/>
        <v>0.53448275862068961</v>
      </c>
    </row>
    <row r="208" spans="2:74" ht="26.25" thickBot="1" x14ac:dyDescent="0.3">
      <c r="B208" s="33" t="s">
        <v>84</v>
      </c>
      <c r="D208" s="22">
        <v>32</v>
      </c>
      <c r="E208" s="49">
        <v>1</v>
      </c>
      <c r="F208" s="32"/>
      <c r="G208" s="24">
        <v>1</v>
      </c>
      <c r="H208" s="32">
        <v>1</v>
      </c>
      <c r="I208" s="32">
        <v>0.5</v>
      </c>
      <c r="J208" s="32">
        <v>1</v>
      </c>
      <c r="K208" s="32">
        <v>1</v>
      </c>
      <c r="L208" s="32">
        <v>1</v>
      </c>
      <c r="M208" s="24">
        <v>0.5</v>
      </c>
      <c r="N208" s="32">
        <v>1</v>
      </c>
      <c r="O208" s="32">
        <v>1</v>
      </c>
      <c r="P208" s="32">
        <v>1</v>
      </c>
      <c r="Q208" s="32">
        <v>1</v>
      </c>
      <c r="R208" s="32">
        <v>0.5</v>
      </c>
      <c r="S208" s="32">
        <v>0</v>
      </c>
      <c r="T208" s="32">
        <v>1</v>
      </c>
      <c r="U208" s="23">
        <v>1</v>
      </c>
      <c r="V208" s="29">
        <v>1</v>
      </c>
      <c r="W208" s="32">
        <v>0</v>
      </c>
      <c r="X208" s="32">
        <v>0.5</v>
      </c>
      <c r="Y208" s="29">
        <v>1</v>
      </c>
      <c r="Z208" s="29">
        <v>1</v>
      </c>
      <c r="AA208" s="49"/>
      <c r="AB208" s="32"/>
      <c r="AC208" s="24">
        <v>1</v>
      </c>
      <c r="AD208" s="32">
        <v>1</v>
      </c>
      <c r="AE208" s="32">
        <v>0.5</v>
      </c>
      <c r="AF208" s="32">
        <v>1</v>
      </c>
      <c r="AG208" s="32">
        <v>1</v>
      </c>
      <c r="AH208" s="32">
        <v>1</v>
      </c>
      <c r="AI208" s="24">
        <v>0.5</v>
      </c>
      <c r="AJ208" s="32">
        <v>1</v>
      </c>
      <c r="AK208" s="32">
        <v>1</v>
      </c>
      <c r="AL208" s="32">
        <v>1</v>
      </c>
      <c r="AM208" s="32">
        <v>0</v>
      </c>
      <c r="AN208" s="32">
        <v>0.5</v>
      </c>
      <c r="AO208" s="32">
        <v>1</v>
      </c>
      <c r="AP208" s="32">
        <v>1</v>
      </c>
      <c r="AQ208" s="23">
        <v>1</v>
      </c>
      <c r="AR208" s="29">
        <v>0.5</v>
      </c>
      <c r="AS208" s="32">
        <v>1</v>
      </c>
      <c r="AT208" s="32">
        <v>0.5</v>
      </c>
      <c r="AU208" s="29">
        <v>0.5</v>
      </c>
      <c r="AV208" s="29">
        <v>0.5</v>
      </c>
      <c r="AW208" s="32"/>
      <c r="AX208" s="32"/>
      <c r="AY208" s="24">
        <v>1</v>
      </c>
      <c r="AZ208" s="32">
        <v>1</v>
      </c>
      <c r="BA208" s="32">
        <v>0.5</v>
      </c>
      <c r="BB208" s="32">
        <v>1</v>
      </c>
      <c r="BC208" s="32">
        <v>1</v>
      </c>
      <c r="BD208" s="32">
        <v>1</v>
      </c>
      <c r="BE208" s="24">
        <v>0.5</v>
      </c>
      <c r="BF208" s="32">
        <v>1</v>
      </c>
      <c r="BG208" s="32">
        <v>1</v>
      </c>
      <c r="BH208" s="32">
        <v>1</v>
      </c>
      <c r="BI208" s="32">
        <v>0</v>
      </c>
      <c r="BJ208" s="32">
        <v>0.5</v>
      </c>
      <c r="BK208" s="32">
        <v>1</v>
      </c>
      <c r="BL208" s="32">
        <v>1</v>
      </c>
      <c r="BM208" s="23">
        <v>1</v>
      </c>
      <c r="BN208" s="29">
        <v>0</v>
      </c>
      <c r="BO208" s="32">
        <v>0</v>
      </c>
      <c r="BP208" s="32">
        <v>0.5</v>
      </c>
      <c r="BQ208" s="29">
        <v>1</v>
      </c>
      <c r="BR208" s="29">
        <v>1</v>
      </c>
      <c r="BT208">
        <f t="shared" si="86"/>
        <v>61</v>
      </c>
      <c r="BU208">
        <f t="shared" si="87"/>
        <v>47.5</v>
      </c>
      <c r="BV208" s="25">
        <f t="shared" si="88"/>
        <v>0.77868852459016391</v>
      </c>
    </row>
    <row r="209" spans="2:77" ht="26.25" thickBot="1" x14ac:dyDescent="0.3">
      <c r="B209" s="33" t="s">
        <v>85</v>
      </c>
      <c r="D209" s="22">
        <v>33</v>
      </c>
      <c r="E209" s="49">
        <v>1</v>
      </c>
      <c r="F209" s="32"/>
      <c r="G209" s="24">
        <v>1</v>
      </c>
      <c r="H209" s="32">
        <v>0.5</v>
      </c>
      <c r="I209" s="32">
        <v>1</v>
      </c>
      <c r="J209" s="32">
        <v>1</v>
      </c>
      <c r="K209" s="32">
        <v>1</v>
      </c>
      <c r="L209" s="32">
        <v>1</v>
      </c>
      <c r="M209" s="24">
        <v>1</v>
      </c>
      <c r="N209" s="32">
        <v>1</v>
      </c>
      <c r="O209" s="32">
        <v>1</v>
      </c>
      <c r="P209" s="32">
        <v>1</v>
      </c>
      <c r="Q209" s="32">
        <v>1</v>
      </c>
      <c r="R209" s="32">
        <v>0.5</v>
      </c>
      <c r="S209" s="32">
        <v>0</v>
      </c>
      <c r="T209" s="32">
        <v>1</v>
      </c>
      <c r="U209" s="23">
        <v>1</v>
      </c>
      <c r="V209" s="29">
        <v>1</v>
      </c>
      <c r="W209" s="32">
        <v>0</v>
      </c>
      <c r="X209" s="32">
        <v>1</v>
      </c>
      <c r="Y209" s="29">
        <v>1</v>
      </c>
      <c r="Z209" s="29">
        <v>1</v>
      </c>
      <c r="AA209" s="49"/>
      <c r="AB209" s="32"/>
      <c r="AC209" s="24">
        <v>1</v>
      </c>
      <c r="AD209" s="32">
        <v>0.5</v>
      </c>
      <c r="AE209" s="32">
        <v>1</v>
      </c>
      <c r="AF209" s="32">
        <v>1</v>
      </c>
      <c r="AG209" s="32">
        <v>1</v>
      </c>
      <c r="AH209" s="32">
        <v>1</v>
      </c>
      <c r="AI209" s="24">
        <v>0.5</v>
      </c>
      <c r="AJ209" s="32">
        <v>1</v>
      </c>
      <c r="AK209" s="32">
        <v>1</v>
      </c>
      <c r="AL209" s="32">
        <v>1</v>
      </c>
      <c r="AM209" s="32">
        <v>1</v>
      </c>
      <c r="AN209" s="32">
        <v>0.5</v>
      </c>
      <c r="AO209" s="32">
        <v>1</v>
      </c>
      <c r="AP209" s="32">
        <v>1</v>
      </c>
      <c r="AQ209" s="23">
        <v>1</v>
      </c>
      <c r="AR209" s="29">
        <v>0.5</v>
      </c>
      <c r="AS209" s="32">
        <v>0</v>
      </c>
      <c r="AT209" s="32">
        <v>1</v>
      </c>
      <c r="AU209" s="29">
        <v>0.5</v>
      </c>
      <c r="AV209" s="29">
        <v>0.5</v>
      </c>
      <c r="AW209" s="32"/>
      <c r="AX209" s="32"/>
      <c r="AY209" s="24">
        <v>1</v>
      </c>
      <c r="AZ209" s="32">
        <v>0.5</v>
      </c>
      <c r="BA209" s="32">
        <v>1</v>
      </c>
      <c r="BB209" s="32">
        <v>1</v>
      </c>
      <c r="BC209" s="32">
        <v>1</v>
      </c>
      <c r="BD209" s="32">
        <v>1</v>
      </c>
      <c r="BE209" s="24">
        <v>1</v>
      </c>
      <c r="BF209" s="32">
        <v>1</v>
      </c>
      <c r="BG209" s="32">
        <v>1</v>
      </c>
      <c r="BH209" s="32">
        <v>1</v>
      </c>
      <c r="BI209" s="32">
        <v>0</v>
      </c>
      <c r="BJ209" s="32">
        <v>0.5</v>
      </c>
      <c r="BK209" s="32">
        <v>1</v>
      </c>
      <c r="BL209" s="32">
        <v>0.5</v>
      </c>
      <c r="BM209" s="23">
        <v>1</v>
      </c>
      <c r="BN209" s="29">
        <v>0.5</v>
      </c>
      <c r="BO209" s="32">
        <v>0</v>
      </c>
      <c r="BP209" s="32">
        <v>1</v>
      </c>
      <c r="BQ209" s="29">
        <v>1</v>
      </c>
      <c r="BR209" s="29">
        <v>1</v>
      </c>
      <c r="BT209">
        <f t="shared" si="86"/>
        <v>61</v>
      </c>
      <c r="BU209">
        <f t="shared" si="87"/>
        <v>50</v>
      </c>
      <c r="BV209" s="25">
        <f t="shared" si="88"/>
        <v>0.81967213114754101</v>
      </c>
    </row>
    <row r="210" spans="2:77" ht="26.25" thickBot="1" x14ac:dyDescent="0.3">
      <c r="B210" s="33" t="s">
        <v>86</v>
      </c>
      <c r="D210" s="22">
        <v>34</v>
      </c>
      <c r="E210" s="49"/>
      <c r="F210" s="32">
        <v>0</v>
      </c>
      <c r="G210" s="24">
        <v>1</v>
      </c>
      <c r="H210" s="32">
        <v>1</v>
      </c>
      <c r="I210" s="32">
        <v>1</v>
      </c>
      <c r="J210" s="32">
        <v>1</v>
      </c>
      <c r="K210" s="32"/>
      <c r="L210" s="32">
        <v>1</v>
      </c>
      <c r="M210" s="24">
        <v>0.5</v>
      </c>
      <c r="N210" s="32">
        <v>0.5</v>
      </c>
      <c r="O210" s="32">
        <v>1</v>
      </c>
      <c r="P210" s="32">
        <v>1</v>
      </c>
      <c r="Q210" s="32">
        <v>0</v>
      </c>
      <c r="R210" s="32">
        <v>0.5</v>
      </c>
      <c r="S210" s="32">
        <v>0</v>
      </c>
      <c r="T210" s="32">
        <v>0.5</v>
      </c>
      <c r="U210" s="23">
        <v>1</v>
      </c>
      <c r="V210" s="29">
        <v>0</v>
      </c>
      <c r="W210" s="32">
        <v>0</v>
      </c>
      <c r="X210" s="32">
        <v>1</v>
      </c>
      <c r="Y210" s="29">
        <v>1</v>
      </c>
      <c r="Z210" s="29">
        <v>1</v>
      </c>
      <c r="AA210" s="49"/>
      <c r="AB210" s="32">
        <v>1</v>
      </c>
      <c r="AC210" s="24">
        <v>1</v>
      </c>
      <c r="AD210" s="32">
        <v>1</v>
      </c>
      <c r="AE210" s="32">
        <v>1</v>
      </c>
      <c r="AF210" s="32">
        <v>1</v>
      </c>
      <c r="AG210" s="32"/>
      <c r="AH210" s="32">
        <v>1</v>
      </c>
      <c r="AI210" s="24">
        <v>0.5</v>
      </c>
      <c r="AJ210" s="32">
        <v>0.5</v>
      </c>
      <c r="AK210" s="32">
        <v>1</v>
      </c>
      <c r="AL210" s="32">
        <v>1</v>
      </c>
      <c r="AM210" s="32">
        <v>1</v>
      </c>
      <c r="AN210" s="32">
        <v>0.5</v>
      </c>
      <c r="AO210" s="32">
        <v>1</v>
      </c>
      <c r="AP210" s="32">
        <v>1</v>
      </c>
      <c r="AQ210" s="23">
        <v>1</v>
      </c>
      <c r="AR210" s="29">
        <v>0</v>
      </c>
      <c r="AS210" s="32">
        <v>0</v>
      </c>
      <c r="AT210" s="32">
        <v>0</v>
      </c>
      <c r="AU210" s="29">
        <v>0.5</v>
      </c>
      <c r="AV210" s="29">
        <v>0.5</v>
      </c>
      <c r="AW210" s="32"/>
      <c r="AX210" s="32">
        <v>1</v>
      </c>
      <c r="AY210" s="24">
        <v>1</v>
      </c>
      <c r="AZ210" s="32">
        <v>1</v>
      </c>
      <c r="BA210" s="32">
        <v>1</v>
      </c>
      <c r="BB210" s="32">
        <v>1</v>
      </c>
      <c r="BC210" s="32"/>
      <c r="BD210" s="32">
        <v>1</v>
      </c>
      <c r="BE210" s="24">
        <v>1</v>
      </c>
      <c r="BF210" s="32">
        <v>0.5</v>
      </c>
      <c r="BG210" s="32">
        <v>1</v>
      </c>
      <c r="BH210" s="32">
        <v>1</v>
      </c>
      <c r="BI210" s="32">
        <v>1</v>
      </c>
      <c r="BJ210" s="32">
        <v>0.5</v>
      </c>
      <c r="BK210" s="32">
        <v>1</v>
      </c>
      <c r="BL210" s="32">
        <v>0.5</v>
      </c>
      <c r="BM210" s="23">
        <v>1</v>
      </c>
      <c r="BN210" s="29">
        <v>0</v>
      </c>
      <c r="BO210" s="32">
        <v>0</v>
      </c>
      <c r="BP210" s="32">
        <v>0</v>
      </c>
      <c r="BQ210" s="29">
        <v>1</v>
      </c>
      <c r="BR210" s="29">
        <v>1</v>
      </c>
      <c r="BT210">
        <f t="shared" si="86"/>
        <v>60</v>
      </c>
      <c r="BU210">
        <f t="shared" si="87"/>
        <v>43</v>
      </c>
      <c r="BV210" s="25">
        <f t="shared" si="88"/>
        <v>0.71666666666666667</v>
      </c>
    </row>
    <row r="211" spans="2:77" ht="26.25" thickBot="1" x14ac:dyDescent="0.3">
      <c r="B211" s="27" t="s">
        <v>87</v>
      </c>
      <c r="D211" s="22">
        <v>35</v>
      </c>
      <c r="E211" s="49">
        <v>1</v>
      </c>
      <c r="F211" s="32">
        <v>1</v>
      </c>
      <c r="G211" s="24">
        <v>1</v>
      </c>
      <c r="H211" s="32">
        <v>1</v>
      </c>
      <c r="I211" s="32">
        <v>1</v>
      </c>
      <c r="J211" s="32">
        <v>1</v>
      </c>
      <c r="K211" s="32"/>
      <c r="L211" s="32">
        <v>1</v>
      </c>
      <c r="M211" s="24">
        <v>0.5</v>
      </c>
      <c r="N211" s="32">
        <v>1</v>
      </c>
      <c r="O211" s="32">
        <v>1</v>
      </c>
      <c r="P211" s="32">
        <v>1</v>
      </c>
      <c r="Q211" s="32">
        <v>1</v>
      </c>
      <c r="R211" s="32">
        <v>0.5</v>
      </c>
      <c r="S211" s="32">
        <v>0</v>
      </c>
      <c r="T211" s="32">
        <v>1</v>
      </c>
      <c r="U211" s="23">
        <v>1</v>
      </c>
      <c r="V211" s="29">
        <v>1</v>
      </c>
      <c r="W211" s="32">
        <v>0</v>
      </c>
      <c r="X211" s="32">
        <v>0.5</v>
      </c>
      <c r="Y211" s="29">
        <v>1</v>
      </c>
      <c r="Z211" s="29">
        <v>1</v>
      </c>
      <c r="AA211" s="49"/>
      <c r="AB211" s="32">
        <v>1</v>
      </c>
      <c r="AC211" s="24">
        <v>1</v>
      </c>
      <c r="AD211" s="32">
        <v>1</v>
      </c>
      <c r="AE211" s="32">
        <v>1</v>
      </c>
      <c r="AF211" s="32">
        <v>1</v>
      </c>
      <c r="AG211" s="32"/>
      <c r="AH211" s="32">
        <v>1</v>
      </c>
      <c r="AI211" s="24">
        <v>0.5</v>
      </c>
      <c r="AJ211" s="32">
        <v>1</v>
      </c>
      <c r="AK211" s="32">
        <v>1</v>
      </c>
      <c r="AL211" s="32">
        <v>1</v>
      </c>
      <c r="AM211" s="32">
        <v>0.5</v>
      </c>
      <c r="AN211" s="32">
        <v>0.5</v>
      </c>
      <c r="AO211" s="32">
        <v>0</v>
      </c>
      <c r="AP211" s="32">
        <v>1</v>
      </c>
      <c r="AQ211" s="23">
        <v>1</v>
      </c>
      <c r="AR211" s="29">
        <v>1</v>
      </c>
      <c r="AS211" s="32">
        <v>1</v>
      </c>
      <c r="AT211" s="32">
        <v>0.5</v>
      </c>
      <c r="AU211" s="29">
        <v>0.5</v>
      </c>
      <c r="AV211" s="29">
        <v>0.5</v>
      </c>
      <c r="AW211" s="32"/>
      <c r="AX211" s="32">
        <v>1</v>
      </c>
      <c r="AY211" s="24">
        <v>1</v>
      </c>
      <c r="AZ211" s="32">
        <v>1</v>
      </c>
      <c r="BA211" s="32">
        <v>1</v>
      </c>
      <c r="BB211" s="32">
        <v>1</v>
      </c>
      <c r="BC211" s="32"/>
      <c r="BD211" s="32">
        <v>1</v>
      </c>
      <c r="BE211" s="24">
        <v>1</v>
      </c>
      <c r="BF211" s="32">
        <v>1</v>
      </c>
      <c r="BG211" s="32">
        <v>1</v>
      </c>
      <c r="BH211" s="32">
        <v>1</v>
      </c>
      <c r="BI211" s="32">
        <v>0.5</v>
      </c>
      <c r="BJ211" s="32">
        <v>0.5</v>
      </c>
      <c r="BK211" s="32">
        <v>0</v>
      </c>
      <c r="BL211" s="32">
        <v>1</v>
      </c>
      <c r="BM211" s="23">
        <v>1</v>
      </c>
      <c r="BN211" s="29">
        <v>0.5</v>
      </c>
      <c r="BO211" s="32">
        <v>0</v>
      </c>
      <c r="BP211" s="32">
        <v>0.5</v>
      </c>
      <c r="BQ211" s="29">
        <v>1</v>
      </c>
      <c r="BR211" s="29">
        <v>1</v>
      </c>
      <c r="BT211">
        <f t="shared" si="86"/>
        <v>61</v>
      </c>
      <c r="BU211">
        <f t="shared" si="87"/>
        <v>49.5</v>
      </c>
      <c r="BV211" s="25">
        <f t="shared" si="88"/>
        <v>0.81147540983606559</v>
      </c>
    </row>
    <row r="212" spans="2:77" ht="26.25" thickBot="1" x14ac:dyDescent="0.3">
      <c r="B212" s="21" t="s">
        <v>88</v>
      </c>
      <c r="D212" s="22">
        <v>36</v>
      </c>
      <c r="E212" s="49">
        <v>1</v>
      </c>
      <c r="F212" s="32">
        <v>1</v>
      </c>
      <c r="G212" s="24">
        <v>1</v>
      </c>
      <c r="H212" s="32">
        <v>1</v>
      </c>
      <c r="I212" s="32">
        <v>1</v>
      </c>
      <c r="J212" s="32">
        <v>1</v>
      </c>
      <c r="K212" s="32"/>
      <c r="L212" s="32">
        <v>1</v>
      </c>
      <c r="M212" s="24">
        <v>0.5</v>
      </c>
      <c r="N212" s="32">
        <v>1</v>
      </c>
      <c r="O212" s="32">
        <v>1</v>
      </c>
      <c r="P212" s="32">
        <v>1</v>
      </c>
      <c r="Q212" s="32">
        <v>1</v>
      </c>
      <c r="R212" s="32">
        <v>0.5</v>
      </c>
      <c r="S212" s="32">
        <v>0</v>
      </c>
      <c r="T212" s="32">
        <v>1</v>
      </c>
      <c r="U212" s="23">
        <v>1</v>
      </c>
      <c r="V212" s="29">
        <v>1</v>
      </c>
      <c r="W212" s="32">
        <v>0</v>
      </c>
      <c r="X212" s="32">
        <v>1</v>
      </c>
      <c r="Y212" s="29">
        <v>1</v>
      </c>
      <c r="Z212" s="29">
        <v>1</v>
      </c>
      <c r="AA212" s="49"/>
      <c r="AB212" s="32">
        <v>1</v>
      </c>
      <c r="AC212" s="24">
        <v>1</v>
      </c>
      <c r="AD212" s="32">
        <v>0.5</v>
      </c>
      <c r="AE212" s="32">
        <v>1</v>
      </c>
      <c r="AF212" s="32">
        <v>1</v>
      </c>
      <c r="AG212" s="32"/>
      <c r="AH212" s="32">
        <v>1</v>
      </c>
      <c r="AI212" s="24">
        <v>0.5</v>
      </c>
      <c r="AJ212" s="32">
        <v>1</v>
      </c>
      <c r="AK212" s="32">
        <v>1</v>
      </c>
      <c r="AL212" s="32">
        <v>1</v>
      </c>
      <c r="AM212" s="32">
        <v>0.5</v>
      </c>
      <c r="AN212" s="32">
        <v>0.5</v>
      </c>
      <c r="AO212" s="32">
        <v>0</v>
      </c>
      <c r="AP212" s="32">
        <v>1</v>
      </c>
      <c r="AQ212" s="23">
        <v>1</v>
      </c>
      <c r="AR212" s="29">
        <v>1</v>
      </c>
      <c r="AS212" s="32">
        <v>0</v>
      </c>
      <c r="AT212" s="32">
        <v>1</v>
      </c>
      <c r="AU212" s="29">
        <v>0.5</v>
      </c>
      <c r="AV212" s="29">
        <v>0.5</v>
      </c>
      <c r="AW212" s="32"/>
      <c r="AX212" s="32">
        <v>1</v>
      </c>
      <c r="AY212" s="24">
        <v>1</v>
      </c>
      <c r="AZ212" s="32">
        <v>0.5</v>
      </c>
      <c r="BA212" s="32">
        <v>1</v>
      </c>
      <c r="BB212" s="32">
        <v>1</v>
      </c>
      <c r="BC212" s="32"/>
      <c r="BD212" s="32">
        <v>1</v>
      </c>
      <c r="BE212" s="24">
        <v>1</v>
      </c>
      <c r="BF212" s="32">
        <v>1</v>
      </c>
      <c r="BG212" s="32">
        <v>1</v>
      </c>
      <c r="BH212" s="32">
        <v>1</v>
      </c>
      <c r="BI212" s="32">
        <v>0</v>
      </c>
      <c r="BJ212" s="32">
        <v>0.5</v>
      </c>
      <c r="BK212" s="32">
        <v>0</v>
      </c>
      <c r="BL212" s="32">
        <v>1</v>
      </c>
      <c r="BM212" s="23">
        <v>1</v>
      </c>
      <c r="BN212" s="29">
        <v>0.5</v>
      </c>
      <c r="BO212" s="32">
        <v>0</v>
      </c>
      <c r="BP212" s="32">
        <v>1</v>
      </c>
      <c r="BQ212" s="29">
        <v>1</v>
      </c>
      <c r="BR212" s="29">
        <v>1</v>
      </c>
      <c r="BT212">
        <f t="shared" si="86"/>
        <v>61</v>
      </c>
      <c r="BU212">
        <f t="shared" si="87"/>
        <v>48.5</v>
      </c>
      <c r="BV212" s="25">
        <f t="shared" si="88"/>
        <v>0.79508196721311475</v>
      </c>
    </row>
    <row r="213" spans="2:77" ht="26.25" thickBot="1" x14ac:dyDescent="0.3">
      <c r="B213" s="33" t="s">
        <v>89</v>
      </c>
      <c r="D213" s="22">
        <v>37</v>
      </c>
      <c r="E213" s="49"/>
      <c r="F213" s="32">
        <v>0</v>
      </c>
      <c r="G213" s="24">
        <v>1</v>
      </c>
      <c r="H213" s="32">
        <v>1</v>
      </c>
      <c r="I213" s="32">
        <v>1</v>
      </c>
      <c r="J213" s="32">
        <v>1</v>
      </c>
      <c r="K213" s="32"/>
      <c r="L213" s="32">
        <v>1</v>
      </c>
      <c r="M213" s="24">
        <v>0.5</v>
      </c>
      <c r="N213" s="32">
        <v>0</v>
      </c>
      <c r="O213" s="32">
        <v>1</v>
      </c>
      <c r="P213" s="32">
        <v>1</v>
      </c>
      <c r="Q213" s="32">
        <v>0</v>
      </c>
      <c r="R213" s="32">
        <v>0.5</v>
      </c>
      <c r="S213" s="32">
        <v>0</v>
      </c>
      <c r="T213" s="32">
        <v>1</v>
      </c>
      <c r="U213" s="23">
        <v>1</v>
      </c>
      <c r="V213" s="29">
        <v>0.5</v>
      </c>
      <c r="W213" s="32">
        <v>0</v>
      </c>
      <c r="X213" s="32">
        <v>1</v>
      </c>
      <c r="Y213" s="29">
        <v>0.5</v>
      </c>
      <c r="Z213" s="29">
        <v>1</v>
      </c>
      <c r="AA213" s="49"/>
      <c r="AB213" s="32">
        <v>1</v>
      </c>
      <c r="AC213" s="24">
        <v>1</v>
      </c>
      <c r="AD213" s="32">
        <v>1</v>
      </c>
      <c r="AE213" s="32">
        <v>1</v>
      </c>
      <c r="AF213" s="32">
        <v>1</v>
      </c>
      <c r="AG213" s="32"/>
      <c r="AH213" s="32">
        <v>1</v>
      </c>
      <c r="AI213" s="24">
        <v>0.5</v>
      </c>
      <c r="AJ213" s="32">
        <v>0</v>
      </c>
      <c r="AK213" s="32">
        <v>1</v>
      </c>
      <c r="AL213" s="32">
        <v>1</v>
      </c>
      <c r="AM213" s="32">
        <v>1</v>
      </c>
      <c r="AN213" s="32">
        <v>0.5</v>
      </c>
      <c r="AO213" s="32">
        <v>0</v>
      </c>
      <c r="AP213" s="32">
        <v>1</v>
      </c>
      <c r="AQ213" s="23">
        <v>1</v>
      </c>
      <c r="AR213" s="29">
        <v>1</v>
      </c>
      <c r="AS213" s="32">
        <v>0</v>
      </c>
      <c r="AT213" s="32">
        <v>0</v>
      </c>
      <c r="AU213" s="29">
        <v>0.5</v>
      </c>
      <c r="AV213" s="29">
        <v>0.5</v>
      </c>
      <c r="AW213" s="32"/>
      <c r="AX213" s="32">
        <v>1</v>
      </c>
      <c r="AY213" s="24">
        <v>1</v>
      </c>
      <c r="AZ213" s="32">
        <v>1</v>
      </c>
      <c r="BA213" s="32">
        <v>1</v>
      </c>
      <c r="BB213" s="32">
        <v>1</v>
      </c>
      <c r="BC213" s="32"/>
      <c r="BD213" s="32">
        <v>1</v>
      </c>
      <c r="BE213" s="24">
        <v>1</v>
      </c>
      <c r="BF213" s="32">
        <v>0</v>
      </c>
      <c r="BG213" s="32">
        <v>1</v>
      </c>
      <c r="BH213" s="32">
        <v>1</v>
      </c>
      <c r="BI213" s="32">
        <v>1</v>
      </c>
      <c r="BJ213" s="32">
        <v>0.5</v>
      </c>
      <c r="BK213" s="32">
        <v>1</v>
      </c>
      <c r="BL213" s="32">
        <v>1</v>
      </c>
      <c r="BM213" s="23">
        <v>1</v>
      </c>
      <c r="BN213" s="29">
        <v>0.5</v>
      </c>
      <c r="BO213" s="32">
        <v>0</v>
      </c>
      <c r="BP213" s="32">
        <v>0</v>
      </c>
      <c r="BQ213" s="29">
        <v>1</v>
      </c>
      <c r="BR213" s="29">
        <v>1</v>
      </c>
      <c r="BT213">
        <f t="shared" si="86"/>
        <v>60</v>
      </c>
      <c r="BU213">
        <f t="shared" si="87"/>
        <v>43</v>
      </c>
      <c r="BV213" s="25">
        <f t="shared" si="88"/>
        <v>0.71666666666666667</v>
      </c>
    </row>
    <row r="214" spans="2:77" x14ac:dyDescent="0.25">
      <c r="E214" s="35"/>
      <c r="F214" s="35"/>
      <c r="G214" s="35"/>
      <c r="H214" s="35"/>
      <c r="I214" s="35"/>
      <c r="J214" s="35"/>
      <c r="K214" s="35"/>
      <c r="L214" s="35"/>
      <c r="M214" s="35"/>
      <c r="N214" s="35"/>
      <c r="O214" s="35"/>
      <c r="P214" s="35"/>
      <c r="Q214" s="35"/>
      <c r="R214" s="35"/>
      <c r="S214" s="35"/>
      <c r="U214" s="35"/>
      <c r="V214" s="35"/>
      <c r="W214" s="35"/>
      <c r="X214" s="35"/>
      <c r="Y214" s="35"/>
      <c r="Z214" s="35"/>
      <c r="AA214" s="35"/>
      <c r="AB214" s="35"/>
      <c r="AC214" s="35"/>
      <c r="AD214" s="35"/>
      <c r="AE214" s="35"/>
      <c r="AF214" s="35"/>
      <c r="AG214" s="35"/>
      <c r="AH214" s="35"/>
      <c r="AI214" s="35"/>
      <c r="AJ214" s="35"/>
      <c r="AK214" s="35"/>
      <c r="AL214" s="35"/>
      <c r="AM214" s="35"/>
      <c r="AN214" s="35"/>
      <c r="AO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M214" s="35"/>
      <c r="BN214" s="35"/>
      <c r="BO214" s="35"/>
      <c r="BP214" s="35"/>
      <c r="BQ214" s="35"/>
      <c r="BR214" s="35"/>
    </row>
    <row r="215" spans="2:77" x14ac:dyDescent="0.2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row>
    <row r="216" spans="2:77" x14ac:dyDescent="0.2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row>
    <row r="217" spans="2:77" ht="15.75" thickBot="1" x14ac:dyDescent="0.3">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row>
    <row r="218" spans="2:77" ht="16.5" thickTop="1" thickBot="1" x14ac:dyDescent="0.3">
      <c r="B218" s="5" t="s">
        <v>97</v>
      </c>
      <c r="E218" s="36" t="s">
        <v>17</v>
      </c>
      <c r="F218" s="36"/>
      <c r="G218" s="36"/>
      <c r="H218" s="36"/>
      <c r="I218" s="36"/>
      <c r="J218" s="36"/>
      <c r="K218" s="36"/>
      <c r="L218" s="36"/>
      <c r="M218" s="36"/>
      <c r="N218" s="36"/>
      <c r="O218" s="36"/>
      <c r="P218" s="36"/>
      <c r="Q218" s="36"/>
      <c r="R218" s="36"/>
      <c r="S218" s="36"/>
      <c r="T218" s="36"/>
      <c r="U218" s="36"/>
      <c r="V218" s="36"/>
      <c r="W218" s="36"/>
      <c r="X218" s="36"/>
      <c r="Y218" s="36"/>
      <c r="Z218" s="36"/>
      <c r="AA218" s="37" t="s">
        <v>18</v>
      </c>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8" t="s">
        <v>19</v>
      </c>
      <c r="AX218" s="38"/>
      <c r="AY218" s="38"/>
      <c r="AZ218" s="38"/>
      <c r="BA218" s="38"/>
      <c r="BB218" s="38"/>
      <c r="BC218" s="38"/>
      <c r="BD218" s="38"/>
      <c r="BE218" s="38"/>
      <c r="BF218" s="38"/>
      <c r="BG218" s="38"/>
      <c r="BH218" s="38"/>
      <c r="BI218" s="38"/>
      <c r="BJ218" s="38"/>
      <c r="BK218" s="38"/>
      <c r="BL218" s="38"/>
      <c r="BM218" s="38"/>
      <c r="BN218" s="38"/>
      <c r="BO218" s="38"/>
      <c r="BP218" s="38"/>
      <c r="BQ218" s="38"/>
      <c r="BR218" s="38"/>
    </row>
    <row r="219" spans="2:77" ht="16.5" thickTop="1" thickBot="1" x14ac:dyDescent="0.3">
      <c r="D219" s="6"/>
      <c r="E219" s="36" t="s">
        <v>22</v>
      </c>
      <c r="F219" s="36" t="s">
        <v>23</v>
      </c>
      <c r="G219" s="36" t="s">
        <v>24</v>
      </c>
      <c r="H219" s="36" t="s">
        <v>25</v>
      </c>
      <c r="I219" s="36" t="s">
        <v>26</v>
      </c>
      <c r="J219" s="36" t="s">
        <v>27</v>
      </c>
      <c r="K219" s="36" t="s">
        <v>28</v>
      </c>
      <c r="L219" s="36" t="s">
        <v>29</v>
      </c>
      <c r="M219" s="36" t="s">
        <v>30</v>
      </c>
      <c r="N219" s="36" t="s">
        <v>31</v>
      </c>
      <c r="O219" s="36" t="s">
        <v>103</v>
      </c>
      <c r="P219" s="36" t="s">
        <v>32</v>
      </c>
      <c r="Q219" s="36" t="s">
        <v>33</v>
      </c>
      <c r="R219" s="36" t="s">
        <v>104</v>
      </c>
      <c r="S219" s="36" t="s">
        <v>34</v>
      </c>
      <c r="T219" s="36" t="s">
        <v>35</v>
      </c>
      <c r="U219" s="36" t="s">
        <v>35</v>
      </c>
      <c r="V219" s="36" t="s">
        <v>36</v>
      </c>
      <c r="W219" s="36" t="s">
        <v>37</v>
      </c>
      <c r="X219" s="36" t="s">
        <v>38</v>
      </c>
      <c r="Y219" s="36" t="s">
        <v>39</v>
      </c>
      <c r="Z219" s="36" t="s">
        <v>40</v>
      </c>
      <c r="AA219" s="36" t="s">
        <v>22</v>
      </c>
      <c r="AB219" s="36" t="s">
        <v>23</v>
      </c>
      <c r="AC219" s="36" t="s">
        <v>24</v>
      </c>
      <c r="AD219" s="36" t="s">
        <v>25</v>
      </c>
      <c r="AE219" s="36" t="s">
        <v>26</v>
      </c>
      <c r="AF219" s="36" t="s">
        <v>27</v>
      </c>
      <c r="AG219" s="36" t="s">
        <v>28</v>
      </c>
      <c r="AH219" s="36" t="s">
        <v>29</v>
      </c>
      <c r="AI219" s="36" t="s">
        <v>30</v>
      </c>
      <c r="AJ219" s="36" t="s">
        <v>31</v>
      </c>
      <c r="AK219" s="36" t="s">
        <v>103</v>
      </c>
      <c r="AL219" s="36" t="s">
        <v>32</v>
      </c>
      <c r="AM219" s="36" t="s">
        <v>33</v>
      </c>
      <c r="AN219" s="36" t="s">
        <v>104</v>
      </c>
      <c r="AO219" s="36" t="s">
        <v>34</v>
      </c>
      <c r="AP219" s="36" t="s">
        <v>35</v>
      </c>
      <c r="AQ219" s="36" t="s">
        <v>35</v>
      </c>
      <c r="AR219" s="36" t="s">
        <v>36</v>
      </c>
      <c r="AS219" s="36" t="s">
        <v>37</v>
      </c>
      <c r="AT219" s="36" t="s">
        <v>38</v>
      </c>
      <c r="AU219" s="36" t="s">
        <v>39</v>
      </c>
      <c r="AV219" s="36" t="s">
        <v>40</v>
      </c>
      <c r="AW219" s="36" t="s">
        <v>22</v>
      </c>
      <c r="AX219" s="36" t="s">
        <v>23</v>
      </c>
      <c r="AY219" s="36" t="s">
        <v>24</v>
      </c>
      <c r="AZ219" s="36" t="s">
        <v>25</v>
      </c>
      <c r="BA219" s="36" t="s">
        <v>26</v>
      </c>
      <c r="BB219" s="36" t="s">
        <v>27</v>
      </c>
      <c r="BC219" s="36" t="s">
        <v>28</v>
      </c>
      <c r="BD219" s="36" t="s">
        <v>29</v>
      </c>
      <c r="BE219" s="36" t="s">
        <v>30</v>
      </c>
      <c r="BF219" s="36" t="s">
        <v>31</v>
      </c>
      <c r="BG219" s="36" t="s">
        <v>103</v>
      </c>
      <c r="BH219" s="36" t="s">
        <v>32</v>
      </c>
      <c r="BI219" s="36" t="s">
        <v>33</v>
      </c>
      <c r="BJ219" s="36" t="s">
        <v>104</v>
      </c>
      <c r="BK219" s="36" t="s">
        <v>34</v>
      </c>
      <c r="BL219" s="36" t="s">
        <v>35</v>
      </c>
      <c r="BM219" s="36" t="s">
        <v>35</v>
      </c>
      <c r="BN219" s="36" t="s">
        <v>36</v>
      </c>
      <c r="BO219" s="36" t="s">
        <v>37</v>
      </c>
      <c r="BP219" s="36" t="s">
        <v>38</v>
      </c>
      <c r="BQ219" s="36" t="s">
        <v>39</v>
      </c>
      <c r="BR219" s="36" t="s">
        <v>40</v>
      </c>
      <c r="BS219" s="12"/>
      <c r="BT219" s="13" t="s">
        <v>41</v>
      </c>
      <c r="BU219" s="14" t="s">
        <v>42</v>
      </c>
      <c r="BV219" s="15" t="s">
        <v>43</v>
      </c>
      <c r="BW219" s="12"/>
      <c r="BX219" s="16" t="s">
        <v>44</v>
      </c>
      <c r="BY219" s="16"/>
    </row>
    <row r="220" spans="2:77" ht="26.25" thickBot="1" x14ac:dyDescent="0.3">
      <c r="B220" s="21" t="s">
        <v>49</v>
      </c>
      <c r="D220" s="22">
        <v>1</v>
      </c>
      <c r="E220" s="24">
        <v>1</v>
      </c>
      <c r="F220" s="24">
        <v>1</v>
      </c>
      <c r="G220" s="24">
        <v>0</v>
      </c>
      <c r="H220" s="24">
        <v>0</v>
      </c>
      <c r="I220" s="24">
        <v>1</v>
      </c>
      <c r="J220" s="24">
        <v>1</v>
      </c>
      <c r="K220" s="24">
        <v>1</v>
      </c>
      <c r="L220" s="24">
        <v>0.5</v>
      </c>
      <c r="M220" s="24">
        <v>1</v>
      </c>
      <c r="N220" s="24">
        <v>1</v>
      </c>
      <c r="O220" s="24">
        <v>1</v>
      </c>
      <c r="P220" s="24"/>
      <c r="Q220" s="24">
        <v>1</v>
      </c>
      <c r="R220" s="24">
        <v>1</v>
      </c>
      <c r="S220" s="24">
        <v>1</v>
      </c>
      <c r="T220" s="24">
        <v>1</v>
      </c>
      <c r="U220" s="23">
        <v>1</v>
      </c>
      <c r="V220" s="24">
        <v>0</v>
      </c>
      <c r="W220" s="24">
        <v>0.5</v>
      </c>
      <c r="X220" s="24">
        <v>0.5</v>
      </c>
      <c r="Y220" s="24">
        <v>0.5</v>
      </c>
      <c r="Z220" s="24">
        <v>0.5</v>
      </c>
      <c r="AA220" s="24">
        <v>1</v>
      </c>
      <c r="AB220" s="24">
        <v>1</v>
      </c>
      <c r="AC220" s="24">
        <v>0.5</v>
      </c>
      <c r="AD220" s="24">
        <v>1</v>
      </c>
      <c r="AE220" s="24">
        <v>1</v>
      </c>
      <c r="AF220" s="24">
        <v>1</v>
      </c>
      <c r="AG220" s="24">
        <v>1</v>
      </c>
      <c r="AH220" s="24">
        <v>0.5</v>
      </c>
      <c r="AI220" s="24">
        <v>1</v>
      </c>
      <c r="AJ220" s="24">
        <v>0.5</v>
      </c>
      <c r="AK220" s="24">
        <v>1</v>
      </c>
      <c r="AL220" s="24"/>
      <c r="AM220" s="24">
        <v>1</v>
      </c>
      <c r="AN220" s="24"/>
      <c r="AO220" s="24">
        <v>1</v>
      </c>
      <c r="AP220" s="24">
        <v>1</v>
      </c>
      <c r="AQ220" s="23">
        <v>1</v>
      </c>
      <c r="AR220" s="24">
        <v>1</v>
      </c>
      <c r="AS220" s="24">
        <v>0.5</v>
      </c>
      <c r="AT220" s="24">
        <v>1</v>
      </c>
      <c r="AU220" s="24">
        <v>1</v>
      </c>
      <c r="AV220" s="24">
        <v>1</v>
      </c>
      <c r="AW220" s="24">
        <v>0.5</v>
      </c>
      <c r="AX220" s="24">
        <v>1</v>
      </c>
      <c r="AY220" s="24">
        <v>1</v>
      </c>
      <c r="AZ220" s="24">
        <v>0</v>
      </c>
      <c r="BA220" s="24">
        <v>0.5</v>
      </c>
      <c r="BB220" s="24">
        <v>1</v>
      </c>
      <c r="BC220" s="24">
        <v>1</v>
      </c>
      <c r="BD220" s="24">
        <v>1</v>
      </c>
      <c r="BE220" s="24">
        <v>1</v>
      </c>
      <c r="BF220" s="24">
        <v>1</v>
      </c>
      <c r="BG220" s="24">
        <v>0.5</v>
      </c>
      <c r="BH220" s="24">
        <v>1</v>
      </c>
      <c r="BI220" s="24">
        <v>1</v>
      </c>
      <c r="BJ220" s="24">
        <v>0</v>
      </c>
      <c r="BK220" s="24">
        <v>1</v>
      </c>
      <c r="BL220" s="24">
        <v>1</v>
      </c>
      <c r="BM220" s="23">
        <v>1</v>
      </c>
      <c r="BN220" s="24">
        <v>0.5</v>
      </c>
      <c r="BO220" s="24">
        <v>0</v>
      </c>
      <c r="BP220" s="24">
        <v>1</v>
      </c>
      <c r="BQ220" s="24">
        <v>0.5</v>
      </c>
      <c r="BR220" s="24">
        <v>0.5</v>
      </c>
      <c r="BT220">
        <f t="shared" ref="BT220:BT256" si="89">COUNT(E220:BS220)</f>
        <v>63</v>
      </c>
      <c r="BU220">
        <f t="shared" ref="BU220:BU256" si="90">SUM(E220:BR220)</f>
        <v>49.5</v>
      </c>
      <c r="BV220" s="25">
        <f>BU220/BT220</f>
        <v>0.7857142857142857</v>
      </c>
      <c r="BX220" s="25">
        <f>AVERAGE(BV220:BV256)</f>
        <v>0.75208209660024794</v>
      </c>
      <c r="BY220" t="s">
        <v>50</v>
      </c>
    </row>
    <row r="221" spans="2:77" ht="26.25" thickBot="1" x14ac:dyDescent="0.3">
      <c r="B221" s="26" t="s">
        <v>51</v>
      </c>
      <c r="D221" s="22">
        <v>2</v>
      </c>
      <c r="E221" s="24">
        <v>1</v>
      </c>
      <c r="F221" s="24">
        <v>1</v>
      </c>
      <c r="G221" s="24">
        <v>0</v>
      </c>
      <c r="H221" s="24">
        <v>0</v>
      </c>
      <c r="I221" s="24">
        <v>1</v>
      </c>
      <c r="J221" s="24">
        <v>1</v>
      </c>
      <c r="K221" s="24">
        <v>1</v>
      </c>
      <c r="L221" s="24">
        <v>0</v>
      </c>
      <c r="M221" s="24">
        <v>1</v>
      </c>
      <c r="N221" s="24">
        <v>1</v>
      </c>
      <c r="O221" s="24">
        <v>1</v>
      </c>
      <c r="P221" s="24"/>
      <c r="Q221" s="24">
        <v>1</v>
      </c>
      <c r="R221" s="24">
        <v>1</v>
      </c>
      <c r="S221" s="24">
        <v>1</v>
      </c>
      <c r="T221" s="24">
        <v>1</v>
      </c>
      <c r="U221" s="23">
        <v>1</v>
      </c>
      <c r="V221" s="24">
        <v>0</v>
      </c>
      <c r="W221" s="24">
        <v>0.5</v>
      </c>
      <c r="X221" s="24">
        <v>1</v>
      </c>
      <c r="Y221" s="24">
        <v>0.5</v>
      </c>
      <c r="Z221" s="24">
        <v>0.5</v>
      </c>
      <c r="AA221" s="24">
        <v>1</v>
      </c>
      <c r="AB221" s="24">
        <v>1</v>
      </c>
      <c r="AC221" s="24">
        <v>0.5</v>
      </c>
      <c r="AD221" s="24">
        <v>1</v>
      </c>
      <c r="AE221" s="24">
        <v>1</v>
      </c>
      <c r="AF221" s="24">
        <v>1</v>
      </c>
      <c r="AG221" s="24">
        <v>1</v>
      </c>
      <c r="AH221" s="24">
        <v>0</v>
      </c>
      <c r="AI221" s="24">
        <v>1</v>
      </c>
      <c r="AJ221" s="24">
        <v>1</v>
      </c>
      <c r="AK221" s="24">
        <v>1</v>
      </c>
      <c r="AL221" s="24"/>
      <c r="AM221" s="24">
        <v>1</v>
      </c>
      <c r="AN221" s="24"/>
      <c r="AO221" s="24">
        <v>1</v>
      </c>
      <c r="AP221" s="24">
        <v>1</v>
      </c>
      <c r="AQ221" s="23">
        <v>1</v>
      </c>
      <c r="AR221" s="24">
        <v>1</v>
      </c>
      <c r="AS221" s="24">
        <v>0.5</v>
      </c>
      <c r="AT221" s="24">
        <v>1</v>
      </c>
      <c r="AU221" s="24">
        <v>1</v>
      </c>
      <c r="AV221" s="24">
        <v>1</v>
      </c>
      <c r="AW221" s="24">
        <v>0.5</v>
      </c>
      <c r="AX221" s="24">
        <v>1</v>
      </c>
      <c r="AY221" s="24">
        <v>1</v>
      </c>
      <c r="AZ221" s="24">
        <v>0</v>
      </c>
      <c r="BA221" s="24">
        <v>1</v>
      </c>
      <c r="BB221" s="24">
        <v>1</v>
      </c>
      <c r="BC221" s="24">
        <v>1</v>
      </c>
      <c r="BD221" s="24">
        <v>1</v>
      </c>
      <c r="BE221" s="24">
        <v>1</v>
      </c>
      <c r="BF221" s="24">
        <v>0</v>
      </c>
      <c r="BG221" s="24">
        <v>1</v>
      </c>
      <c r="BH221" s="24">
        <v>1</v>
      </c>
      <c r="BI221" s="24">
        <v>1</v>
      </c>
      <c r="BJ221" s="24">
        <v>0</v>
      </c>
      <c r="BK221" s="24">
        <v>1</v>
      </c>
      <c r="BL221" s="24">
        <v>1</v>
      </c>
      <c r="BM221" s="23">
        <v>1</v>
      </c>
      <c r="BN221" s="24">
        <v>0.5</v>
      </c>
      <c r="BO221" s="24">
        <v>0</v>
      </c>
      <c r="BP221" s="24">
        <v>1</v>
      </c>
      <c r="BQ221" s="24">
        <v>0.5</v>
      </c>
      <c r="BR221" s="24">
        <v>0.5</v>
      </c>
      <c r="BT221">
        <f t="shared" si="89"/>
        <v>63</v>
      </c>
      <c r="BU221">
        <f t="shared" si="90"/>
        <v>49.5</v>
      </c>
      <c r="BV221" s="25">
        <f t="shared" ref="BV221:BV256" si="91">BU221/BT221</f>
        <v>0.7857142857142857</v>
      </c>
      <c r="BX221">
        <f>STDEV(BV220:BV256)</f>
        <v>0.10702964263512747</v>
      </c>
      <c r="BY221" t="s">
        <v>52</v>
      </c>
    </row>
    <row r="222" spans="2:77" ht="39" thickBot="1" x14ac:dyDescent="0.3">
      <c r="B222" s="27" t="s">
        <v>53</v>
      </c>
      <c r="D222" s="22">
        <v>3</v>
      </c>
      <c r="E222" s="29">
        <v>1</v>
      </c>
      <c r="F222" s="29">
        <v>1</v>
      </c>
      <c r="G222" s="24">
        <v>0</v>
      </c>
      <c r="H222" s="29">
        <v>0</v>
      </c>
      <c r="I222" s="29">
        <v>1</v>
      </c>
      <c r="J222" s="29">
        <v>1</v>
      </c>
      <c r="K222" s="29">
        <v>1</v>
      </c>
      <c r="L222" s="29">
        <v>1</v>
      </c>
      <c r="M222" s="24">
        <v>1</v>
      </c>
      <c r="N222" s="29">
        <v>1</v>
      </c>
      <c r="O222" s="29">
        <v>1</v>
      </c>
      <c r="P222" s="29"/>
      <c r="Q222" s="29">
        <v>1</v>
      </c>
      <c r="R222" s="29">
        <v>1</v>
      </c>
      <c r="S222" s="29">
        <v>1</v>
      </c>
      <c r="T222" s="29">
        <v>1</v>
      </c>
      <c r="U222" s="23">
        <v>1</v>
      </c>
      <c r="V222" s="24">
        <v>0</v>
      </c>
      <c r="W222" s="29">
        <v>0.5</v>
      </c>
      <c r="X222" s="29">
        <v>1</v>
      </c>
      <c r="Y222" s="24">
        <v>0.5</v>
      </c>
      <c r="Z222" s="24">
        <v>0.5</v>
      </c>
      <c r="AA222" s="29">
        <v>1</v>
      </c>
      <c r="AB222" s="29">
        <v>1</v>
      </c>
      <c r="AC222" s="24">
        <v>0.5</v>
      </c>
      <c r="AD222" s="29">
        <v>1</v>
      </c>
      <c r="AE222" s="29">
        <v>1</v>
      </c>
      <c r="AF222" s="29">
        <v>1</v>
      </c>
      <c r="AG222" s="29">
        <v>1</v>
      </c>
      <c r="AH222" s="29">
        <v>0.5</v>
      </c>
      <c r="AI222" s="24">
        <v>1</v>
      </c>
      <c r="AJ222" s="29">
        <v>1</v>
      </c>
      <c r="AK222" s="29">
        <v>1</v>
      </c>
      <c r="AL222" s="29"/>
      <c r="AM222" s="29">
        <v>1</v>
      </c>
      <c r="AN222" s="29"/>
      <c r="AO222" s="29">
        <v>1</v>
      </c>
      <c r="AP222" s="29">
        <v>1</v>
      </c>
      <c r="AQ222" s="23">
        <v>1</v>
      </c>
      <c r="AR222" s="24">
        <v>1</v>
      </c>
      <c r="AS222" s="29">
        <v>0.5</v>
      </c>
      <c r="AT222" s="29">
        <v>1</v>
      </c>
      <c r="AU222" s="24">
        <v>1</v>
      </c>
      <c r="AV222" s="24">
        <v>1</v>
      </c>
      <c r="AW222" s="29">
        <v>0.5</v>
      </c>
      <c r="AX222" s="29">
        <v>1</v>
      </c>
      <c r="AY222" s="24">
        <v>1</v>
      </c>
      <c r="AZ222" s="29">
        <v>0</v>
      </c>
      <c r="BA222" s="29">
        <v>1</v>
      </c>
      <c r="BB222" s="29">
        <v>1</v>
      </c>
      <c r="BC222" s="29">
        <v>1</v>
      </c>
      <c r="BD222" s="29">
        <v>0.5</v>
      </c>
      <c r="BE222" s="24">
        <v>1</v>
      </c>
      <c r="BF222" s="29">
        <v>1</v>
      </c>
      <c r="BG222" s="29">
        <v>1</v>
      </c>
      <c r="BH222" s="29">
        <v>1</v>
      </c>
      <c r="BI222" s="29">
        <v>1</v>
      </c>
      <c r="BJ222" s="24">
        <v>0</v>
      </c>
      <c r="BK222" s="29">
        <v>1</v>
      </c>
      <c r="BL222" s="29">
        <v>1</v>
      </c>
      <c r="BM222" s="23">
        <v>1</v>
      </c>
      <c r="BN222" s="24">
        <v>0.5</v>
      </c>
      <c r="BO222" s="29">
        <v>1</v>
      </c>
      <c r="BP222" s="29">
        <v>1</v>
      </c>
      <c r="BQ222" s="24">
        <v>0.5</v>
      </c>
      <c r="BR222" s="24">
        <v>0.5</v>
      </c>
      <c r="BT222">
        <f t="shared" si="89"/>
        <v>63</v>
      </c>
      <c r="BU222">
        <f t="shared" si="90"/>
        <v>52.5</v>
      </c>
      <c r="BV222" s="25">
        <f t="shared" si="91"/>
        <v>0.83333333333333337</v>
      </c>
      <c r="BX222" s="25">
        <f>MIN(BV220:BV256)</f>
        <v>0.49074074074074076</v>
      </c>
      <c r="BY222" t="s">
        <v>54</v>
      </c>
    </row>
    <row r="223" spans="2:77" ht="39" thickBot="1" x14ac:dyDescent="0.3">
      <c r="B223" s="21" t="s">
        <v>55</v>
      </c>
      <c r="D223" s="22">
        <v>4</v>
      </c>
      <c r="E223" s="29">
        <v>0</v>
      </c>
      <c r="F223" s="29">
        <v>1</v>
      </c>
      <c r="G223" s="24">
        <v>0</v>
      </c>
      <c r="H223" s="29">
        <v>0</v>
      </c>
      <c r="I223" s="29">
        <v>0</v>
      </c>
      <c r="J223" s="29">
        <v>1</v>
      </c>
      <c r="K223" s="29">
        <v>1</v>
      </c>
      <c r="L223" s="29">
        <v>1</v>
      </c>
      <c r="M223" s="24">
        <v>1</v>
      </c>
      <c r="N223" s="29"/>
      <c r="O223" s="29">
        <v>1</v>
      </c>
      <c r="P223" s="29"/>
      <c r="Q223" s="29">
        <v>1</v>
      </c>
      <c r="R223" s="29">
        <v>1</v>
      </c>
      <c r="S223" s="29">
        <v>1</v>
      </c>
      <c r="T223" s="29">
        <v>1</v>
      </c>
      <c r="U223" s="23">
        <v>1</v>
      </c>
      <c r="V223" s="29">
        <v>0</v>
      </c>
      <c r="W223" s="29">
        <v>1</v>
      </c>
      <c r="X223" s="29">
        <v>1</v>
      </c>
      <c r="Y223" s="29">
        <v>1</v>
      </c>
      <c r="Z223" s="29">
        <v>1</v>
      </c>
      <c r="AA223" s="29"/>
      <c r="AB223" s="29">
        <v>1</v>
      </c>
      <c r="AC223" s="24">
        <v>0.5</v>
      </c>
      <c r="AD223" s="29">
        <v>1</v>
      </c>
      <c r="AE223" s="29">
        <v>0</v>
      </c>
      <c r="AF223" s="29">
        <v>1</v>
      </c>
      <c r="AG223" s="29">
        <v>0</v>
      </c>
      <c r="AH223" s="29">
        <v>1</v>
      </c>
      <c r="AI223" s="24">
        <v>1</v>
      </c>
      <c r="AJ223" s="29">
        <v>1</v>
      </c>
      <c r="AK223" s="29">
        <v>1</v>
      </c>
      <c r="AL223" s="29"/>
      <c r="AM223" s="29">
        <v>1</v>
      </c>
      <c r="AN223" s="29"/>
      <c r="AO223" s="29">
        <v>1</v>
      </c>
      <c r="AP223" s="29">
        <v>1</v>
      </c>
      <c r="AQ223" s="23">
        <v>1</v>
      </c>
      <c r="AR223" s="29">
        <v>1</v>
      </c>
      <c r="AS223" s="29">
        <v>1</v>
      </c>
      <c r="AT223" s="29">
        <v>0.5</v>
      </c>
      <c r="AU223" s="29">
        <v>0.5</v>
      </c>
      <c r="AV223" s="29">
        <v>0.5</v>
      </c>
      <c r="AW223" s="29"/>
      <c r="AX223" s="29">
        <v>1</v>
      </c>
      <c r="AY223" s="24">
        <v>1</v>
      </c>
      <c r="AZ223" s="29">
        <v>0</v>
      </c>
      <c r="BA223" s="29">
        <v>0</v>
      </c>
      <c r="BB223" s="29">
        <v>0.5</v>
      </c>
      <c r="BC223" s="29">
        <v>0</v>
      </c>
      <c r="BD223" s="29">
        <v>1</v>
      </c>
      <c r="BE223" s="24">
        <v>1</v>
      </c>
      <c r="BF223" s="29"/>
      <c r="BG223" s="29">
        <v>0</v>
      </c>
      <c r="BH223" s="29">
        <v>1</v>
      </c>
      <c r="BI223" s="29">
        <v>1</v>
      </c>
      <c r="BJ223" s="24">
        <v>0</v>
      </c>
      <c r="BK223" s="29">
        <v>1</v>
      </c>
      <c r="BL223" s="29">
        <v>0</v>
      </c>
      <c r="BM223" s="23">
        <v>1</v>
      </c>
      <c r="BN223" s="29">
        <v>0.5</v>
      </c>
      <c r="BO223" s="29">
        <v>0</v>
      </c>
      <c r="BP223" s="29">
        <v>1</v>
      </c>
      <c r="BQ223" s="29">
        <v>1</v>
      </c>
      <c r="BR223" s="29">
        <v>1</v>
      </c>
      <c r="BT223">
        <f t="shared" si="89"/>
        <v>59</v>
      </c>
      <c r="BU223">
        <f t="shared" si="90"/>
        <v>42</v>
      </c>
      <c r="BV223" s="25">
        <f t="shared" si="91"/>
        <v>0.71186440677966101</v>
      </c>
      <c r="BX223" s="25">
        <f>MAX(BV220:BV256)</f>
        <v>0.95081967213114749</v>
      </c>
      <c r="BY223" t="s">
        <v>56</v>
      </c>
    </row>
    <row r="224" spans="2:77" ht="51.75" thickBot="1" x14ac:dyDescent="0.3">
      <c r="B224" s="30" t="s">
        <v>57</v>
      </c>
      <c r="D224" s="22">
        <v>5</v>
      </c>
      <c r="E224" s="32">
        <v>0.5</v>
      </c>
      <c r="F224" s="32">
        <v>1</v>
      </c>
      <c r="G224" s="24">
        <v>0</v>
      </c>
      <c r="H224" s="32">
        <v>0</v>
      </c>
      <c r="I224" s="32">
        <v>0</v>
      </c>
      <c r="J224" s="32">
        <v>0.5</v>
      </c>
      <c r="K224" s="32">
        <v>1</v>
      </c>
      <c r="L224" s="32">
        <v>1</v>
      </c>
      <c r="M224" s="24">
        <v>1</v>
      </c>
      <c r="N224" s="32">
        <v>1</v>
      </c>
      <c r="O224" s="32">
        <v>0</v>
      </c>
      <c r="P224" s="32"/>
      <c r="Q224" s="32">
        <v>1</v>
      </c>
      <c r="R224" s="32">
        <v>1</v>
      </c>
      <c r="S224" s="32">
        <v>1</v>
      </c>
      <c r="T224" s="32">
        <v>1</v>
      </c>
      <c r="U224" s="23">
        <v>1</v>
      </c>
      <c r="V224" s="29">
        <v>0</v>
      </c>
      <c r="W224" s="32">
        <v>0.5</v>
      </c>
      <c r="X224" s="32"/>
      <c r="Y224" s="29">
        <v>1</v>
      </c>
      <c r="Z224" s="29">
        <v>1</v>
      </c>
      <c r="AA224" s="32"/>
      <c r="AB224" s="32">
        <v>1</v>
      </c>
      <c r="AC224" s="24">
        <v>0.5</v>
      </c>
      <c r="AD224" s="32">
        <v>1</v>
      </c>
      <c r="AE224" s="32">
        <v>0</v>
      </c>
      <c r="AF224" s="32">
        <v>0.5</v>
      </c>
      <c r="AG224" s="32">
        <v>1</v>
      </c>
      <c r="AH224" s="32">
        <v>1</v>
      </c>
      <c r="AI224" s="24">
        <v>1</v>
      </c>
      <c r="AJ224" s="32">
        <v>1</v>
      </c>
      <c r="AK224" s="32">
        <v>1</v>
      </c>
      <c r="AL224" s="32"/>
      <c r="AM224" s="32">
        <v>1</v>
      </c>
      <c r="AN224" s="32"/>
      <c r="AO224" s="32">
        <v>1</v>
      </c>
      <c r="AP224" s="32">
        <v>1</v>
      </c>
      <c r="AQ224" s="23">
        <v>1</v>
      </c>
      <c r="AR224" s="29">
        <v>0.5</v>
      </c>
      <c r="AS224" s="32">
        <v>0</v>
      </c>
      <c r="AT224" s="32"/>
      <c r="AU224" s="29">
        <v>1</v>
      </c>
      <c r="AV224" s="29">
        <v>1</v>
      </c>
      <c r="AW224" s="32">
        <v>0.5</v>
      </c>
      <c r="AX224" s="32">
        <v>1</v>
      </c>
      <c r="AY224" s="24">
        <v>1</v>
      </c>
      <c r="AZ224" s="32">
        <v>0</v>
      </c>
      <c r="BA224" s="32">
        <v>0</v>
      </c>
      <c r="BB224" s="32">
        <v>0.5</v>
      </c>
      <c r="BC224" s="32">
        <v>1</v>
      </c>
      <c r="BD224" s="32">
        <v>1</v>
      </c>
      <c r="BE224" s="24">
        <v>1</v>
      </c>
      <c r="BF224" s="32">
        <v>0.5</v>
      </c>
      <c r="BG224" s="32">
        <v>0</v>
      </c>
      <c r="BH224" s="32">
        <v>1</v>
      </c>
      <c r="BI224" s="32">
        <v>1</v>
      </c>
      <c r="BJ224" s="24">
        <v>0</v>
      </c>
      <c r="BK224" s="32">
        <v>1</v>
      </c>
      <c r="BL224" s="32">
        <v>1</v>
      </c>
      <c r="BM224" s="23">
        <v>1</v>
      </c>
      <c r="BN224" s="29">
        <v>1</v>
      </c>
      <c r="BO224" s="32">
        <v>0</v>
      </c>
      <c r="BP224" s="32">
        <v>0</v>
      </c>
      <c r="BQ224" s="29">
        <v>1</v>
      </c>
      <c r="BR224" s="29">
        <v>1</v>
      </c>
      <c r="BT224">
        <f t="shared" si="89"/>
        <v>60</v>
      </c>
      <c r="BU224">
        <f t="shared" si="90"/>
        <v>42.5</v>
      </c>
      <c r="BV224" s="25">
        <f t="shared" si="91"/>
        <v>0.70833333333333337</v>
      </c>
    </row>
    <row r="225" spans="2:74" ht="39" thickBot="1" x14ac:dyDescent="0.3">
      <c r="B225" s="26" t="s">
        <v>58</v>
      </c>
      <c r="D225" s="22">
        <v>6</v>
      </c>
      <c r="E225" s="32">
        <v>0.5</v>
      </c>
      <c r="F225" s="32">
        <v>0.5</v>
      </c>
      <c r="G225" s="24">
        <v>0</v>
      </c>
      <c r="H225" s="32">
        <v>0</v>
      </c>
      <c r="I225" s="32">
        <v>0</v>
      </c>
      <c r="J225" s="32">
        <v>0.5</v>
      </c>
      <c r="K225" s="32">
        <v>1</v>
      </c>
      <c r="L225" s="32">
        <v>1</v>
      </c>
      <c r="M225" s="24">
        <v>1</v>
      </c>
      <c r="N225" s="32">
        <v>1</v>
      </c>
      <c r="O225" s="32">
        <v>0</v>
      </c>
      <c r="P225" s="32"/>
      <c r="Q225" s="32">
        <v>0</v>
      </c>
      <c r="R225" s="32">
        <v>1</v>
      </c>
      <c r="S225" s="32">
        <v>1</v>
      </c>
      <c r="T225" s="32">
        <v>1</v>
      </c>
      <c r="U225" s="23">
        <v>1</v>
      </c>
      <c r="V225" s="29">
        <v>0</v>
      </c>
      <c r="W225" s="32">
        <v>0.5</v>
      </c>
      <c r="X225" s="32">
        <v>1</v>
      </c>
      <c r="Y225" s="29">
        <v>1</v>
      </c>
      <c r="Z225" s="29">
        <v>1</v>
      </c>
      <c r="AA225" s="32"/>
      <c r="AB225" s="32">
        <v>0.5</v>
      </c>
      <c r="AC225" s="24">
        <v>0.5</v>
      </c>
      <c r="AD225" s="32">
        <v>1</v>
      </c>
      <c r="AE225" s="32">
        <v>0</v>
      </c>
      <c r="AF225" s="32">
        <v>0.5</v>
      </c>
      <c r="AG225" s="32">
        <v>1</v>
      </c>
      <c r="AH225" s="32">
        <v>1</v>
      </c>
      <c r="AI225" s="24">
        <v>1</v>
      </c>
      <c r="AJ225" s="32">
        <v>1</v>
      </c>
      <c r="AK225" s="32">
        <v>1</v>
      </c>
      <c r="AL225" s="32"/>
      <c r="AM225" s="32">
        <v>1</v>
      </c>
      <c r="AN225" s="32"/>
      <c r="AO225" s="32">
        <v>1</v>
      </c>
      <c r="AP225" s="32">
        <v>1</v>
      </c>
      <c r="AQ225" s="23">
        <v>1</v>
      </c>
      <c r="AR225" s="29">
        <v>0.5</v>
      </c>
      <c r="AS225" s="32">
        <v>0</v>
      </c>
      <c r="AT225" s="32">
        <v>1</v>
      </c>
      <c r="AU225" s="29">
        <v>1</v>
      </c>
      <c r="AV225" s="29">
        <v>1</v>
      </c>
      <c r="AW225" s="32">
        <v>0.5</v>
      </c>
      <c r="AX225" s="32">
        <v>0.5</v>
      </c>
      <c r="AY225" s="24">
        <v>1</v>
      </c>
      <c r="AZ225" s="32">
        <v>0</v>
      </c>
      <c r="BA225" s="32">
        <v>0</v>
      </c>
      <c r="BB225" s="32">
        <v>0.5</v>
      </c>
      <c r="BC225" s="32">
        <v>1</v>
      </c>
      <c r="BD225" s="32">
        <v>1</v>
      </c>
      <c r="BE225" s="24">
        <v>1</v>
      </c>
      <c r="BF225" s="32">
        <v>0.5</v>
      </c>
      <c r="BG225" s="32">
        <v>0</v>
      </c>
      <c r="BH225" s="32">
        <v>1</v>
      </c>
      <c r="BI225" s="32">
        <v>1</v>
      </c>
      <c r="BJ225" s="24">
        <v>0</v>
      </c>
      <c r="BK225" s="32">
        <v>1</v>
      </c>
      <c r="BL225" s="32">
        <v>1</v>
      </c>
      <c r="BM225" s="23">
        <v>1</v>
      </c>
      <c r="BN225" s="29">
        <v>1</v>
      </c>
      <c r="BO225" s="32">
        <v>0</v>
      </c>
      <c r="BP225" s="32">
        <v>1</v>
      </c>
      <c r="BQ225" s="29">
        <v>1</v>
      </c>
      <c r="BR225" s="29">
        <v>1</v>
      </c>
      <c r="BT225">
        <f t="shared" si="89"/>
        <v>62</v>
      </c>
      <c r="BU225">
        <f t="shared" si="90"/>
        <v>43</v>
      </c>
      <c r="BV225" s="25">
        <f t="shared" si="91"/>
        <v>0.69354838709677424</v>
      </c>
    </row>
    <row r="226" spans="2:74" ht="39" thickBot="1" x14ac:dyDescent="0.3">
      <c r="B226" s="30" t="s">
        <v>59</v>
      </c>
      <c r="D226" s="22">
        <v>7</v>
      </c>
      <c r="E226" s="32">
        <v>1</v>
      </c>
      <c r="F226" s="32">
        <v>1</v>
      </c>
      <c r="G226" s="24">
        <v>0</v>
      </c>
      <c r="H226" s="32">
        <v>0</v>
      </c>
      <c r="I226" s="32">
        <v>1</v>
      </c>
      <c r="J226" s="32">
        <v>0.5</v>
      </c>
      <c r="K226" s="32">
        <v>1</v>
      </c>
      <c r="L226" s="32">
        <v>1</v>
      </c>
      <c r="M226" s="24">
        <v>1</v>
      </c>
      <c r="N226" s="32">
        <v>0</v>
      </c>
      <c r="O226" s="32">
        <v>1</v>
      </c>
      <c r="P226" s="32"/>
      <c r="Q226" s="32">
        <v>1</v>
      </c>
      <c r="R226" s="32">
        <v>1</v>
      </c>
      <c r="S226" s="32">
        <v>1</v>
      </c>
      <c r="T226" s="32">
        <v>1</v>
      </c>
      <c r="U226" s="23">
        <v>1</v>
      </c>
      <c r="V226" s="29">
        <v>0</v>
      </c>
      <c r="W226" s="32">
        <v>0</v>
      </c>
      <c r="X226" s="32">
        <v>0.5</v>
      </c>
      <c r="Y226" s="29">
        <v>1</v>
      </c>
      <c r="Z226" s="29">
        <v>1</v>
      </c>
      <c r="AA226" s="32">
        <v>1</v>
      </c>
      <c r="AB226" s="32">
        <v>1</v>
      </c>
      <c r="AC226" s="24">
        <v>0.5</v>
      </c>
      <c r="AD226" s="32">
        <v>1</v>
      </c>
      <c r="AE226" s="32">
        <v>1</v>
      </c>
      <c r="AF226" s="32">
        <v>0.5</v>
      </c>
      <c r="AG226" s="32">
        <v>0</v>
      </c>
      <c r="AH226" s="32">
        <v>1</v>
      </c>
      <c r="AI226" s="24">
        <v>1</v>
      </c>
      <c r="AJ226" s="32">
        <v>0</v>
      </c>
      <c r="AK226" s="32">
        <v>1</v>
      </c>
      <c r="AL226" s="32"/>
      <c r="AM226" s="32">
        <v>1</v>
      </c>
      <c r="AN226" s="32"/>
      <c r="AO226" s="32">
        <v>1</v>
      </c>
      <c r="AP226" s="32">
        <v>1</v>
      </c>
      <c r="AQ226" s="23">
        <v>1</v>
      </c>
      <c r="AR226" s="29">
        <v>0.5</v>
      </c>
      <c r="AS226" s="32">
        <v>1</v>
      </c>
      <c r="AT226" s="32">
        <v>1</v>
      </c>
      <c r="AU226" s="29">
        <v>1</v>
      </c>
      <c r="AV226" s="29">
        <v>1</v>
      </c>
      <c r="AW226" s="32">
        <v>1</v>
      </c>
      <c r="AX226" s="32">
        <v>1</v>
      </c>
      <c r="AY226" s="24">
        <v>1</v>
      </c>
      <c r="AZ226" s="32">
        <v>0</v>
      </c>
      <c r="BA226" s="32">
        <v>1</v>
      </c>
      <c r="BB226" s="32">
        <v>0.5</v>
      </c>
      <c r="BC226" s="32"/>
      <c r="BD226" s="32">
        <v>1</v>
      </c>
      <c r="BE226" s="24">
        <v>1</v>
      </c>
      <c r="BF226" s="32">
        <v>0</v>
      </c>
      <c r="BG226" s="32">
        <v>0</v>
      </c>
      <c r="BH226" s="32">
        <v>1</v>
      </c>
      <c r="BI226" s="32">
        <v>1</v>
      </c>
      <c r="BJ226" s="24">
        <v>0</v>
      </c>
      <c r="BK226" s="32">
        <v>1</v>
      </c>
      <c r="BL226" s="32">
        <v>1</v>
      </c>
      <c r="BM226" s="23">
        <v>1</v>
      </c>
      <c r="BN226" s="29">
        <v>0.5</v>
      </c>
      <c r="BO226" s="32">
        <v>1</v>
      </c>
      <c r="BP226" s="32">
        <v>1</v>
      </c>
      <c r="BQ226" s="29">
        <v>1</v>
      </c>
      <c r="BR226" s="29">
        <v>1</v>
      </c>
      <c r="BT226">
        <f t="shared" si="89"/>
        <v>62</v>
      </c>
      <c r="BU226">
        <f t="shared" si="90"/>
        <v>47.5</v>
      </c>
      <c r="BV226" s="25">
        <f t="shared" si="91"/>
        <v>0.7661290322580645</v>
      </c>
    </row>
    <row r="227" spans="2:74" ht="39" thickBot="1" x14ac:dyDescent="0.3">
      <c r="B227" s="30" t="s">
        <v>60</v>
      </c>
      <c r="D227" s="22">
        <v>8</v>
      </c>
      <c r="E227" s="32">
        <v>1</v>
      </c>
      <c r="F227" s="32">
        <v>1</v>
      </c>
      <c r="G227" s="24">
        <v>0</v>
      </c>
      <c r="H227" s="32">
        <v>0</v>
      </c>
      <c r="I227" s="32">
        <v>0</v>
      </c>
      <c r="J227" s="32">
        <v>0.5</v>
      </c>
      <c r="K227" s="32">
        <v>1</v>
      </c>
      <c r="L227" s="32">
        <v>1</v>
      </c>
      <c r="M227" s="24">
        <v>1</v>
      </c>
      <c r="N227" s="32">
        <v>1</v>
      </c>
      <c r="O227" s="24">
        <v>1</v>
      </c>
      <c r="P227" s="32"/>
      <c r="Q227" s="32">
        <v>1</v>
      </c>
      <c r="R227" s="32">
        <v>1</v>
      </c>
      <c r="S227" s="32">
        <v>1</v>
      </c>
      <c r="T227" s="32">
        <v>1</v>
      </c>
      <c r="U227" s="23">
        <v>1</v>
      </c>
      <c r="V227" s="29">
        <v>0.5</v>
      </c>
      <c r="W227" s="32">
        <v>0</v>
      </c>
      <c r="X227" s="32">
        <v>1</v>
      </c>
      <c r="Y227" s="29">
        <v>1</v>
      </c>
      <c r="Z227" s="29">
        <v>1</v>
      </c>
      <c r="AA227" s="32">
        <v>1</v>
      </c>
      <c r="AB227" s="32">
        <v>1</v>
      </c>
      <c r="AC227" s="24">
        <v>0.5</v>
      </c>
      <c r="AD227" s="32">
        <v>1</v>
      </c>
      <c r="AE227" s="32">
        <v>0</v>
      </c>
      <c r="AF227" s="32">
        <v>0.5</v>
      </c>
      <c r="AG227" s="32">
        <v>1</v>
      </c>
      <c r="AH227" s="32">
        <v>1</v>
      </c>
      <c r="AI227" s="24">
        <v>1</v>
      </c>
      <c r="AJ227" s="32">
        <v>1</v>
      </c>
      <c r="AK227" s="24">
        <v>1</v>
      </c>
      <c r="AL227" s="32"/>
      <c r="AM227" s="32">
        <v>1</v>
      </c>
      <c r="AN227" s="32"/>
      <c r="AO227" s="32">
        <v>1</v>
      </c>
      <c r="AP227" s="32">
        <v>0</v>
      </c>
      <c r="AQ227" s="23">
        <v>1</v>
      </c>
      <c r="AR227" s="29">
        <v>0.5</v>
      </c>
      <c r="AS227" s="32">
        <v>1</v>
      </c>
      <c r="AT227" s="32">
        <v>1</v>
      </c>
      <c r="AU227" s="29">
        <v>1</v>
      </c>
      <c r="AV227" s="29">
        <v>1</v>
      </c>
      <c r="AW227" s="32">
        <v>1</v>
      </c>
      <c r="AX227" s="32">
        <v>1</v>
      </c>
      <c r="AY227" s="24">
        <v>1</v>
      </c>
      <c r="AZ227" s="32">
        <v>0</v>
      </c>
      <c r="BA227" s="32">
        <v>0</v>
      </c>
      <c r="BB227" s="32">
        <v>0.5</v>
      </c>
      <c r="BC227" s="32">
        <v>1</v>
      </c>
      <c r="BD227" s="32">
        <v>1</v>
      </c>
      <c r="BE227" s="24">
        <v>1</v>
      </c>
      <c r="BF227" s="32">
        <v>1</v>
      </c>
      <c r="BG227" s="24">
        <v>1</v>
      </c>
      <c r="BH227" s="32">
        <v>1</v>
      </c>
      <c r="BI227" s="32">
        <v>1</v>
      </c>
      <c r="BJ227" s="24">
        <v>0</v>
      </c>
      <c r="BK227" s="32">
        <v>1</v>
      </c>
      <c r="BL227" s="32">
        <v>0.5</v>
      </c>
      <c r="BM227" s="23">
        <v>1</v>
      </c>
      <c r="BN227" s="29">
        <v>1</v>
      </c>
      <c r="BO227" s="32">
        <v>0</v>
      </c>
      <c r="BP227" s="32">
        <v>1</v>
      </c>
      <c r="BQ227" s="29">
        <v>1</v>
      </c>
      <c r="BR227" s="29">
        <v>1</v>
      </c>
      <c r="BT227">
        <f t="shared" si="89"/>
        <v>63</v>
      </c>
      <c r="BU227">
        <f t="shared" si="90"/>
        <v>49.5</v>
      </c>
      <c r="BV227" s="25">
        <f t="shared" si="91"/>
        <v>0.7857142857142857</v>
      </c>
    </row>
    <row r="228" spans="2:74" ht="26.25" thickBot="1" x14ac:dyDescent="0.3">
      <c r="B228" s="26" t="s">
        <v>61</v>
      </c>
      <c r="D228" s="22">
        <v>9</v>
      </c>
      <c r="E228" s="32"/>
      <c r="F228" s="32">
        <v>1</v>
      </c>
      <c r="G228" s="24">
        <v>0</v>
      </c>
      <c r="H228" s="32">
        <v>0</v>
      </c>
      <c r="I228" s="32">
        <v>0.5</v>
      </c>
      <c r="J228" s="32">
        <v>0.5</v>
      </c>
      <c r="K228" s="32">
        <v>1</v>
      </c>
      <c r="L228" s="32">
        <v>1</v>
      </c>
      <c r="M228" s="32">
        <v>1</v>
      </c>
      <c r="N228" s="32">
        <v>1</v>
      </c>
      <c r="O228" s="32">
        <v>1</v>
      </c>
      <c r="P228" s="32"/>
      <c r="Q228" s="32">
        <v>1</v>
      </c>
      <c r="R228" s="32">
        <v>1</v>
      </c>
      <c r="S228" s="32">
        <v>1</v>
      </c>
      <c r="T228" s="32">
        <v>1</v>
      </c>
      <c r="U228" s="23">
        <v>1</v>
      </c>
      <c r="V228" s="24">
        <v>0</v>
      </c>
      <c r="W228" s="32">
        <v>0</v>
      </c>
      <c r="X228" s="32">
        <v>1</v>
      </c>
      <c r="Y228" s="24">
        <v>0.5</v>
      </c>
      <c r="Z228" s="24">
        <v>0.5</v>
      </c>
      <c r="AA228" s="32"/>
      <c r="AB228" s="32">
        <v>1</v>
      </c>
      <c r="AC228" s="24">
        <v>0.5</v>
      </c>
      <c r="AD228" s="32">
        <v>1</v>
      </c>
      <c r="AE228" s="32">
        <v>0.5</v>
      </c>
      <c r="AF228" s="32">
        <v>0.5</v>
      </c>
      <c r="AG228" s="32">
        <v>1</v>
      </c>
      <c r="AH228" s="32">
        <v>1</v>
      </c>
      <c r="AI228" s="32">
        <v>1</v>
      </c>
      <c r="AJ228" s="32">
        <v>1</v>
      </c>
      <c r="AK228" s="32">
        <v>1</v>
      </c>
      <c r="AL228" s="32"/>
      <c r="AM228" s="32">
        <v>1</v>
      </c>
      <c r="AN228" s="32"/>
      <c r="AO228" s="32">
        <v>1</v>
      </c>
      <c r="AP228" s="32">
        <v>1</v>
      </c>
      <c r="AQ228" s="23">
        <v>1</v>
      </c>
      <c r="AR228" s="24">
        <v>0.5</v>
      </c>
      <c r="AS228" s="32">
        <v>0</v>
      </c>
      <c r="AT228" s="32">
        <v>1</v>
      </c>
      <c r="AU228" s="24">
        <v>1</v>
      </c>
      <c r="AV228" s="24">
        <v>1</v>
      </c>
      <c r="AW228" s="32"/>
      <c r="AX228" s="32">
        <v>1</v>
      </c>
      <c r="AY228" s="24">
        <v>1</v>
      </c>
      <c r="AZ228" s="32">
        <v>0</v>
      </c>
      <c r="BA228" s="32">
        <v>0.5</v>
      </c>
      <c r="BB228" s="32">
        <v>0.5</v>
      </c>
      <c r="BC228" s="32">
        <v>1</v>
      </c>
      <c r="BD228" s="32">
        <v>1</v>
      </c>
      <c r="BE228" s="32">
        <v>1</v>
      </c>
      <c r="BF228" s="32">
        <v>1</v>
      </c>
      <c r="BG228" s="32">
        <v>0.5</v>
      </c>
      <c r="BH228" s="32">
        <v>1</v>
      </c>
      <c r="BI228" s="32">
        <v>1</v>
      </c>
      <c r="BJ228" s="24">
        <v>0</v>
      </c>
      <c r="BK228" s="32">
        <v>1</v>
      </c>
      <c r="BL228" s="32">
        <v>1</v>
      </c>
      <c r="BM228" s="23">
        <v>1</v>
      </c>
      <c r="BN228" s="24">
        <v>0.5</v>
      </c>
      <c r="BO228" s="32">
        <v>0</v>
      </c>
      <c r="BP228" s="32">
        <v>1</v>
      </c>
      <c r="BQ228" s="24">
        <v>0.5</v>
      </c>
      <c r="BR228" s="24">
        <v>0.5</v>
      </c>
      <c r="BT228">
        <f t="shared" si="89"/>
        <v>60</v>
      </c>
      <c r="BU228">
        <f t="shared" si="90"/>
        <v>45</v>
      </c>
      <c r="BV228" s="25">
        <f t="shared" si="91"/>
        <v>0.75</v>
      </c>
    </row>
    <row r="229" spans="2:74" ht="26.25" thickBot="1" x14ac:dyDescent="0.3">
      <c r="B229" s="26" t="s">
        <v>62</v>
      </c>
      <c r="D229" s="22">
        <v>10</v>
      </c>
      <c r="E229" s="32">
        <v>1</v>
      </c>
      <c r="F229" s="32">
        <v>1</v>
      </c>
      <c r="G229" s="24">
        <v>0</v>
      </c>
      <c r="H229" s="32">
        <v>0</v>
      </c>
      <c r="I229" s="32">
        <v>1</v>
      </c>
      <c r="J229" s="32">
        <v>1</v>
      </c>
      <c r="K229" s="32">
        <v>1</v>
      </c>
      <c r="L229" s="32">
        <v>1</v>
      </c>
      <c r="M229" s="32">
        <v>1</v>
      </c>
      <c r="N229" s="32">
        <v>1</v>
      </c>
      <c r="O229" s="32">
        <v>0</v>
      </c>
      <c r="P229" s="32"/>
      <c r="Q229" s="32">
        <v>1</v>
      </c>
      <c r="R229" s="32">
        <v>1</v>
      </c>
      <c r="S229" s="32">
        <v>1</v>
      </c>
      <c r="T229" s="32">
        <v>1</v>
      </c>
      <c r="U229" s="23">
        <v>1</v>
      </c>
      <c r="V229" s="29">
        <v>0.5</v>
      </c>
      <c r="W229" s="32">
        <v>0</v>
      </c>
      <c r="X229" s="32">
        <v>1</v>
      </c>
      <c r="Y229" s="29">
        <v>1</v>
      </c>
      <c r="Z229" s="29">
        <v>1</v>
      </c>
      <c r="AA229" s="32">
        <v>1</v>
      </c>
      <c r="AB229" s="32">
        <v>1</v>
      </c>
      <c r="AC229" s="24">
        <v>0.5</v>
      </c>
      <c r="AD229" s="32">
        <v>1</v>
      </c>
      <c r="AE229" s="32">
        <v>1</v>
      </c>
      <c r="AF229" s="32">
        <v>1</v>
      </c>
      <c r="AG229" s="32">
        <v>1</v>
      </c>
      <c r="AH229" s="32">
        <v>1</v>
      </c>
      <c r="AI229" s="32">
        <v>1</v>
      </c>
      <c r="AJ229" s="32">
        <v>1</v>
      </c>
      <c r="AK229" s="32">
        <v>1</v>
      </c>
      <c r="AL229" s="32"/>
      <c r="AM229" s="32">
        <v>1</v>
      </c>
      <c r="AN229" s="32"/>
      <c r="AO229" s="32">
        <v>1</v>
      </c>
      <c r="AP229" s="32">
        <v>1</v>
      </c>
      <c r="AQ229" s="23">
        <v>1</v>
      </c>
      <c r="AR229" s="29">
        <v>1</v>
      </c>
      <c r="AS229" s="32">
        <v>0</v>
      </c>
      <c r="AT229" s="32">
        <v>0.5</v>
      </c>
      <c r="AU229" s="29">
        <v>1</v>
      </c>
      <c r="AV229" s="29">
        <v>1</v>
      </c>
      <c r="AW229" s="32">
        <v>1</v>
      </c>
      <c r="AX229" s="32">
        <v>1</v>
      </c>
      <c r="AY229" s="24">
        <v>1</v>
      </c>
      <c r="AZ229" s="32">
        <v>0</v>
      </c>
      <c r="BA229" s="32">
        <v>1</v>
      </c>
      <c r="BB229" s="32">
        <v>1</v>
      </c>
      <c r="BC229" s="32">
        <v>1</v>
      </c>
      <c r="BD229" s="32">
        <v>1</v>
      </c>
      <c r="BE229" s="32">
        <v>1</v>
      </c>
      <c r="BF229" s="32">
        <v>1</v>
      </c>
      <c r="BG229" s="32">
        <v>0</v>
      </c>
      <c r="BH229" s="32">
        <v>1</v>
      </c>
      <c r="BI229" s="32">
        <v>1</v>
      </c>
      <c r="BJ229" s="24">
        <v>0</v>
      </c>
      <c r="BK229" s="32">
        <v>1</v>
      </c>
      <c r="BL229" s="32">
        <v>1</v>
      </c>
      <c r="BM229" s="23">
        <v>1</v>
      </c>
      <c r="BN229" s="29">
        <v>1</v>
      </c>
      <c r="BO229" s="32">
        <v>0</v>
      </c>
      <c r="BP229" s="32">
        <v>1</v>
      </c>
      <c r="BQ229" s="29">
        <v>1</v>
      </c>
      <c r="BR229" s="29">
        <v>1</v>
      </c>
      <c r="BT229">
        <f t="shared" si="89"/>
        <v>63</v>
      </c>
      <c r="BU229">
        <f t="shared" si="90"/>
        <v>52.5</v>
      </c>
      <c r="BV229" s="25">
        <f t="shared" si="91"/>
        <v>0.83333333333333337</v>
      </c>
    </row>
    <row r="230" spans="2:74" ht="26.25" thickBot="1" x14ac:dyDescent="0.3">
      <c r="B230" s="30" t="s">
        <v>63</v>
      </c>
      <c r="D230" s="22">
        <v>11</v>
      </c>
      <c r="E230" s="32">
        <v>1</v>
      </c>
      <c r="F230" s="32">
        <v>1</v>
      </c>
      <c r="G230" s="24">
        <v>0</v>
      </c>
      <c r="H230" s="32">
        <v>0</v>
      </c>
      <c r="I230" s="32">
        <v>1</v>
      </c>
      <c r="J230" s="32">
        <v>1</v>
      </c>
      <c r="K230" s="32">
        <v>1</v>
      </c>
      <c r="L230" s="32">
        <v>1</v>
      </c>
      <c r="M230" s="32">
        <v>1</v>
      </c>
      <c r="N230" s="32">
        <v>1</v>
      </c>
      <c r="O230" s="32">
        <v>0</v>
      </c>
      <c r="P230" s="32"/>
      <c r="Q230" s="32">
        <v>1</v>
      </c>
      <c r="R230" s="32">
        <v>1</v>
      </c>
      <c r="S230" s="32">
        <v>1</v>
      </c>
      <c r="T230" s="32">
        <v>1</v>
      </c>
      <c r="U230" s="23">
        <v>1</v>
      </c>
      <c r="V230" s="29">
        <v>1</v>
      </c>
      <c r="W230" s="32">
        <v>0</v>
      </c>
      <c r="X230" s="32">
        <v>1</v>
      </c>
      <c r="Y230" s="29">
        <v>1</v>
      </c>
      <c r="Z230" s="29">
        <v>1</v>
      </c>
      <c r="AA230" s="32">
        <v>1</v>
      </c>
      <c r="AB230" s="32">
        <v>1</v>
      </c>
      <c r="AC230" s="24">
        <v>0.5</v>
      </c>
      <c r="AD230" s="32">
        <v>1</v>
      </c>
      <c r="AE230" s="32">
        <v>1</v>
      </c>
      <c r="AF230" s="32">
        <v>1</v>
      </c>
      <c r="AG230" s="32">
        <v>1</v>
      </c>
      <c r="AH230" s="32">
        <v>1</v>
      </c>
      <c r="AI230" s="32">
        <v>1</v>
      </c>
      <c r="AJ230" s="32">
        <v>1</v>
      </c>
      <c r="AK230" s="32">
        <v>1</v>
      </c>
      <c r="AL230" s="32"/>
      <c r="AM230" s="32">
        <v>1</v>
      </c>
      <c r="AN230" s="32"/>
      <c r="AO230" s="32">
        <v>1</v>
      </c>
      <c r="AP230" s="32">
        <v>1</v>
      </c>
      <c r="AQ230" s="23">
        <v>1</v>
      </c>
      <c r="AR230" s="29">
        <v>1</v>
      </c>
      <c r="AS230" s="32">
        <v>0</v>
      </c>
      <c r="AT230" s="32">
        <v>0.5</v>
      </c>
      <c r="AU230" s="29">
        <v>1</v>
      </c>
      <c r="AV230" s="29">
        <v>1</v>
      </c>
      <c r="AW230" s="32">
        <v>1</v>
      </c>
      <c r="AX230" s="32">
        <v>1</v>
      </c>
      <c r="AY230" s="24">
        <v>1</v>
      </c>
      <c r="AZ230" s="32">
        <v>0</v>
      </c>
      <c r="BA230" s="32">
        <v>1</v>
      </c>
      <c r="BB230" s="32">
        <v>1</v>
      </c>
      <c r="BC230" s="32">
        <v>1</v>
      </c>
      <c r="BD230" s="32">
        <v>1</v>
      </c>
      <c r="BE230" s="32">
        <v>1</v>
      </c>
      <c r="BF230" s="32">
        <v>1</v>
      </c>
      <c r="BG230" s="32">
        <v>1</v>
      </c>
      <c r="BH230" s="32">
        <v>1</v>
      </c>
      <c r="BI230" s="32">
        <v>1</v>
      </c>
      <c r="BJ230" s="24">
        <v>0</v>
      </c>
      <c r="BK230" s="32">
        <v>1</v>
      </c>
      <c r="BL230" s="32">
        <v>1</v>
      </c>
      <c r="BM230" s="23">
        <v>1</v>
      </c>
      <c r="BN230" s="29">
        <v>1</v>
      </c>
      <c r="BO230" s="32">
        <v>0</v>
      </c>
      <c r="BP230" s="32">
        <v>0.5</v>
      </c>
      <c r="BQ230" s="29">
        <v>1</v>
      </c>
      <c r="BR230" s="29">
        <v>1</v>
      </c>
      <c r="BT230">
        <f t="shared" si="89"/>
        <v>63</v>
      </c>
      <c r="BU230">
        <f t="shared" si="90"/>
        <v>53.5</v>
      </c>
      <c r="BV230" s="25">
        <f t="shared" si="91"/>
        <v>0.84920634920634919</v>
      </c>
    </row>
    <row r="231" spans="2:74" ht="39" thickBot="1" x14ac:dyDescent="0.3">
      <c r="B231" s="26" t="s">
        <v>64</v>
      </c>
      <c r="D231" s="22">
        <v>12</v>
      </c>
      <c r="E231" s="32">
        <v>0</v>
      </c>
      <c r="F231" s="32">
        <v>1</v>
      </c>
      <c r="G231" s="24">
        <v>0</v>
      </c>
      <c r="H231" s="32">
        <v>0</v>
      </c>
      <c r="I231" s="32">
        <v>0.5</v>
      </c>
      <c r="J231" s="32">
        <v>1</v>
      </c>
      <c r="K231" s="32">
        <v>1</v>
      </c>
      <c r="L231" s="32">
        <v>1</v>
      </c>
      <c r="M231" s="32">
        <v>1</v>
      </c>
      <c r="N231" s="32">
        <v>1</v>
      </c>
      <c r="O231" s="32">
        <v>0</v>
      </c>
      <c r="P231" s="32"/>
      <c r="Q231" s="32">
        <v>1</v>
      </c>
      <c r="R231" s="32">
        <v>1</v>
      </c>
      <c r="S231" s="32">
        <v>1</v>
      </c>
      <c r="T231" s="32">
        <v>1</v>
      </c>
      <c r="U231" s="23">
        <v>1</v>
      </c>
      <c r="V231" s="29">
        <v>0</v>
      </c>
      <c r="W231" s="32">
        <v>0</v>
      </c>
      <c r="X231" s="32">
        <v>1</v>
      </c>
      <c r="Y231" s="29">
        <v>1</v>
      </c>
      <c r="Z231" s="29">
        <v>1</v>
      </c>
      <c r="AA231" s="32"/>
      <c r="AB231" s="32">
        <v>1</v>
      </c>
      <c r="AC231" s="24">
        <v>0.5</v>
      </c>
      <c r="AD231" s="32">
        <v>1</v>
      </c>
      <c r="AE231" s="32">
        <v>0.5</v>
      </c>
      <c r="AF231" s="32">
        <v>1</v>
      </c>
      <c r="AG231" s="32">
        <v>1</v>
      </c>
      <c r="AH231" s="32">
        <v>1</v>
      </c>
      <c r="AI231" s="32">
        <v>1</v>
      </c>
      <c r="AJ231" s="32">
        <v>1</v>
      </c>
      <c r="AK231" s="32">
        <v>1</v>
      </c>
      <c r="AL231" s="32"/>
      <c r="AM231" s="32">
        <v>1</v>
      </c>
      <c r="AN231" s="32"/>
      <c r="AO231" s="32">
        <v>1</v>
      </c>
      <c r="AP231" s="32">
        <v>1</v>
      </c>
      <c r="AQ231" s="23">
        <v>1</v>
      </c>
      <c r="AR231" s="29">
        <v>0.5</v>
      </c>
      <c r="AS231" s="32">
        <v>0</v>
      </c>
      <c r="AT231" s="32">
        <v>1</v>
      </c>
      <c r="AU231" s="29">
        <v>1</v>
      </c>
      <c r="AV231" s="29">
        <v>1</v>
      </c>
      <c r="AW231" s="32">
        <v>0</v>
      </c>
      <c r="AX231" s="32">
        <v>1</v>
      </c>
      <c r="AY231" s="24">
        <v>1</v>
      </c>
      <c r="AZ231" s="32">
        <v>1</v>
      </c>
      <c r="BA231" s="32">
        <v>0.5</v>
      </c>
      <c r="BB231" s="32">
        <v>1</v>
      </c>
      <c r="BC231" s="32">
        <v>1</v>
      </c>
      <c r="BD231" s="32">
        <v>1</v>
      </c>
      <c r="BE231" s="32">
        <v>1</v>
      </c>
      <c r="BF231" s="32">
        <v>1</v>
      </c>
      <c r="BG231" s="32">
        <v>1</v>
      </c>
      <c r="BH231" s="32">
        <v>1</v>
      </c>
      <c r="BI231" s="32">
        <v>1</v>
      </c>
      <c r="BJ231" s="24">
        <v>0</v>
      </c>
      <c r="BK231" s="32">
        <v>1</v>
      </c>
      <c r="BL231" s="32">
        <v>1</v>
      </c>
      <c r="BM231" s="23">
        <v>1</v>
      </c>
      <c r="BN231" s="29">
        <v>0</v>
      </c>
      <c r="BO231" s="32">
        <v>0</v>
      </c>
      <c r="BP231" s="32">
        <v>1</v>
      </c>
      <c r="BQ231" s="29">
        <v>1</v>
      </c>
      <c r="BR231" s="29">
        <v>1</v>
      </c>
      <c r="BT231">
        <f t="shared" si="89"/>
        <v>62</v>
      </c>
      <c r="BU231">
        <f t="shared" si="90"/>
        <v>48.5</v>
      </c>
      <c r="BV231" s="25">
        <f t="shared" si="91"/>
        <v>0.782258064516129</v>
      </c>
    </row>
    <row r="232" spans="2:74" ht="39" thickBot="1" x14ac:dyDescent="0.3">
      <c r="B232" s="30" t="s">
        <v>65</v>
      </c>
      <c r="D232" s="22">
        <v>13</v>
      </c>
      <c r="E232" s="32">
        <v>1</v>
      </c>
      <c r="F232" s="32">
        <v>1</v>
      </c>
      <c r="G232" s="24">
        <v>0.5</v>
      </c>
      <c r="H232" s="32">
        <v>0</v>
      </c>
      <c r="I232" s="32">
        <v>1</v>
      </c>
      <c r="J232" s="32">
        <v>1</v>
      </c>
      <c r="K232" s="32">
        <v>1</v>
      </c>
      <c r="L232" s="32"/>
      <c r="M232" s="24">
        <v>1</v>
      </c>
      <c r="N232" s="32">
        <v>1</v>
      </c>
      <c r="O232" s="32">
        <v>1</v>
      </c>
      <c r="P232" s="32"/>
      <c r="Q232" s="32">
        <v>1</v>
      </c>
      <c r="R232" s="32">
        <v>1</v>
      </c>
      <c r="S232" s="32">
        <v>1</v>
      </c>
      <c r="T232" s="32">
        <v>1</v>
      </c>
      <c r="U232" s="23">
        <v>1</v>
      </c>
      <c r="V232" s="29">
        <v>0.5</v>
      </c>
      <c r="W232" s="32">
        <v>1</v>
      </c>
      <c r="X232" s="32">
        <v>0</v>
      </c>
      <c r="Y232" s="29">
        <v>1</v>
      </c>
      <c r="Z232" s="29">
        <v>1</v>
      </c>
      <c r="AA232" s="32">
        <v>1</v>
      </c>
      <c r="AB232" s="32">
        <v>1</v>
      </c>
      <c r="AC232" s="24">
        <v>0.5</v>
      </c>
      <c r="AD232" s="32">
        <v>1</v>
      </c>
      <c r="AE232" s="32">
        <v>1</v>
      </c>
      <c r="AF232" s="32">
        <v>1</v>
      </c>
      <c r="AG232" s="32">
        <v>1</v>
      </c>
      <c r="AH232" s="32"/>
      <c r="AI232" s="24">
        <v>1</v>
      </c>
      <c r="AJ232" s="32">
        <v>1</v>
      </c>
      <c r="AK232" s="32">
        <v>1</v>
      </c>
      <c r="AL232" s="32"/>
      <c r="AM232" s="32">
        <v>1</v>
      </c>
      <c r="AN232" s="32"/>
      <c r="AO232" s="32">
        <v>1</v>
      </c>
      <c r="AP232" s="32">
        <v>1</v>
      </c>
      <c r="AQ232" s="23">
        <v>1</v>
      </c>
      <c r="AR232" s="29">
        <v>1</v>
      </c>
      <c r="AS232" s="32">
        <v>0.5</v>
      </c>
      <c r="AT232" s="32">
        <v>0.5</v>
      </c>
      <c r="AU232" s="29">
        <v>1</v>
      </c>
      <c r="AV232" s="29">
        <v>1</v>
      </c>
      <c r="AW232" s="32">
        <v>1</v>
      </c>
      <c r="AX232" s="32">
        <v>1</v>
      </c>
      <c r="AY232" s="24">
        <v>1</v>
      </c>
      <c r="AZ232" s="32">
        <v>1</v>
      </c>
      <c r="BA232" s="32">
        <v>1</v>
      </c>
      <c r="BB232" s="32">
        <v>0.5</v>
      </c>
      <c r="BC232" s="32">
        <v>1</v>
      </c>
      <c r="BD232" s="32"/>
      <c r="BE232" s="24">
        <v>1</v>
      </c>
      <c r="BF232" s="32">
        <v>1</v>
      </c>
      <c r="BG232" s="32">
        <v>1</v>
      </c>
      <c r="BH232" s="32">
        <v>1</v>
      </c>
      <c r="BI232" s="32">
        <v>1</v>
      </c>
      <c r="BJ232" s="24">
        <v>0</v>
      </c>
      <c r="BK232" s="32">
        <v>1</v>
      </c>
      <c r="BL232" s="32">
        <v>1</v>
      </c>
      <c r="BM232" s="23">
        <v>1</v>
      </c>
      <c r="BN232" s="29">
        <v>1</v>
      </c>
      <c r="BO232" s="32">
        <v>1</v>
      </c>
      <c r="BP232" s="32">
        <v>0</v>
      </c>
      <c r="BQ232" s="29">
        <v>1</v>
      </c>
      <c r="BR232" s="29">
        <v>1</v>
      </c>
      <c r="BT232">
        <f t="shared" si="89"/>
        <v>60</v>
      </c>
      <c r="BU232">
        <f t="shared" si="90"/>
        <v>53</v>
      </c>
      <c r="BV232" s="25">
        <f t="shared" si="91"/>
        <v>0.8833333333333333</v>
      </c>
    </row>
    <row r="233" spans="2:74" ht="26.25" thickBot="1" x14ac:dyDescent="0.3">
      <c r="B233" s="26" t="s">
        <v>66</v>
      </c>
      <c r="D233" s="22">
        <v>14</v>
      </c>
      <c r="E233" s="32">
        <v>1</v>
      </c>
      <c r="F233" s="32">
        <v>1</v>
      </c>
      <c r="G233" s="24">
        <v>0.5</v>
      </c>
      <c r="H233" s="32">
        <v>0</v>
      </c>
      <c r="I233" s="32">
        <v>1</v>
      </c>
      <c r="J233" s="32">
        <v>1</v>
      </c>
      <c r="K233" s="32">
        <v>1</v>
      </c>
      <c r="L233" s="32"/>
      <c r="M233" s="24">
        <v>1</v>
      </c>
      <c r="N233" s="32">
        <v>1</v>
      </c>
      <c r="O233" s="32">
        <v>0</v>
      </c>
      <c r="P233" s="32"/>
      <c r="Q233" s="32">
        <v>0</v>
      </c>
      <c r="R233" s="32">
        <v>1</v>
      </c>
      <c r="S233" s="32">
        <v>0.5</v>
      </c>
      <c r="T233" s="32">
        <v>1</v>
      </c>
      <c r="U233" s="23">
        <v>1</v>
      </c>
      <c r="V233" s="29">
        <v>0</v>
      </c>
      <c r="W233" s="32">
        <v>1</v>
      </c>
      <c r="X233" s="32">
        <v>1</v>
      </c>
      <c r="Y233" s="29">
        <v>1</v>
      </c>
      <c r="Z233" s="29">
        <v>1</v>
      </c>
      <c r="AA233" s="32">
        <v>1</v>
      </c>
      <c r="AB233" s="32">
        <v>1</v>
      </c>
      <c r="AC233" s="24">
        <v>0.5</v>
      </c>
      <c r="AD233" s="32">
        <v>1</v>
      </c>
      <c r="AE233" s="32">
        <v>1</v>
      </c>
      <c r="AF233" s="32">
        <v>1</v>
      </c>
      <c r="AG233" s="32">
        <v>1</v>
      </c>
      <c r="AH233" s="32"/>
      <c r="AI233" s="24">
        <v>1</v>
      </c>
      <c r="AJ233" s="32">
        <v>1</v>
      </c>
      <c r="AK233" s="32">
        <v>1</v>
      </c>
      <c r="AL233" s="32"/>
      <c r="AM233" s="32">
        <v>1</v>
      </c>
      <c r="AN233" s="32"/>
      <c r="AO233" s="32">
        <v>1</v>
      </c>
      <c r="AP233" s="32">
        <v>1</v>
      </c>
      <c r="AQ233" s="23">
        <v>1</v>
      </c>
      <c r="AR233" s="29">
        <v>0.5</v>
      </c>
      <c r="AS233" s="32">
        <v>0</v>
      </c>
      <c r="AT233" s="32"/>
      <c r="AU233" s="29">
        <v>1</v>
      </c>
      <c r="AV233" s="29">
        <v>1</v>
      </c>
      <c r="AW233" s="32">
        <v>0.5</v>
      </c>
      <c r="AX233" s="32">
        <v>1</v>
      </c>
      <c r="AY233" s="24">
        <v>1</v>
      </c>
      <c r="AZ233" s="32">
        <v>1</v>
      </c>
      <c r="BA233" s="32">
        <v>1</v>
      </c>
      <c r="BB233" s="32">
        <v>1</v>
      </c>
      <c r="BC233" s="32">
        <v>1</v>
      </c>
      <c r="BD233" s="32"/>
      <c r="BE233" s="24">
        <v>1</v>
      </c>
      <c r="BF233" s="32">
        <v>0</v>
      </c>
      <c r="BG233" s="32">
        <v>1</v>
      </c>
      <c r="BH233" s="32">
        <v>1</v>
      </c>
      <c r="BI233" s="32">
        <v>0</v>
      </c>
      <c r="BJ233" s="24">
        <v>0</v>
      </c>
      <c r="BK233" s="32">
        <v>1</v>
      </c>
      <c r="BL233" s="32">
        <v>1</v>
      </c>
      <c r="BM233" s="23">
        <v>1</v>
      </c>
      <c r="BN233" s="29">
        <v>0.5</v>
      </c>
      <c r="BO233" s="32">
        <v>0</v>
      </c>
      <c r="BP233" s="32">
        <v>1</v>
      </c>
      <c r="BQ233" s="29">
        <v>0.5</v>
      </c>
      <c r="BR233" s="29">
        <v>0.5</v>
      </c>
      <c r="BT233">
        <f t="shared" si="89"/>
        <v>59</v>
      </c>
      <c r="BU233">
        <f t="shared" si="90"/>
        <v>46</v>
      </c>
      <c r="BV233" s="25">
        <f t="shared" si="91"/>
        <v>0.77966101694915257</v>
      </c>
    </row>
    <row r="234" spans="2:74" ht="51.75" thickBot="1" x14ac:dyDescent="0.3">
      <c r="B234" s="26" t="s">
        <v>67</v>
      </c>
      <c r="D234" s="22">
        <v>15</v>
      </c>
      <c r="E234" s="32">
        <v>1</v>
      </c>
      <c r="F234" s="32">
        <v>1</v>
      </c>
      <c r="G234" s="24">
        <v>0.5</v>
      </c>
      <c r="H234" s="32">
        <v>0</v>
      </c>
      <c r="I234" s="32">
        <v>1</v>
      </c>
      <c r="J234" s="32">
        <v>1</v>
      </c>
      <c r="K234" s="32">
        <v>1</v>
      </c>
      <c r="L234" s="32">
        <v>1</v>
      </c>
      <c r="M234" s="32">
        <v>1</v>
      </c>
      <c r="N234" s="32">
        <v>1</v>
      </c>
      <c r="O234" s="32">
        <v>0</v>
      </c>
      <c r="P234" s="32"/>
      <c r="Q234" s="32">
        <v>1</v>
      </c>
      <c r="R234" s="32">
        <v>1</v>
      </c>
      <c r="S234" s="32">
        <v>1</v>
      </c>
      <c r="T234" s="32">
        <v>1</v>
      </c>
      <c r="U234" s="23">
        <v>1</v>
      </c>
      <c r="V234" s="29">
        <v>0.5</v>
      </c>
      <c r="W234" s="32">
        <v>1</v>
      </c>
      <c r="X234" s="32">
        <v>1</v>
      </c>
      <c r="Y234" s="29">
        <v>1</v>
      </c>
      <c r="Z234" s="29">
        <v>1</v>
      </c>
      <c r="AA234" s="32">
        <v>1</v>
      </c>
      <c r="AB234" s="32">
        <v>1</v>
      </c>
      <c r="AC234" s="24">
        <v>0.5</v>
      </c>
      <c r="AD234" s="32">
        <v>1</v>
      </c>
      <c r="AE234" s="32">
        <v>1</v>
      </c>
      <c r="AF234" s="32">
        <v>1</v>
      </c>
      <c r="AG234" s="32">
        <v>1</v>
      </c>
      <c r="AH234" s="32">
        <v>1</v>
      </c>
      <c r="AI234" s="32">
        <v>1</v>
      </c>
      <c r="AJ234" s="32">
        <v>1</v>
      </c>
      <c r="AK234" s="32">
        <v>1</v>
      </c>
      <c r="AL234" s="32"/>
      <c r="AM234" s="32">
        <v>1</v>
      </c>
      <c r="AN234" s="32"/>
      <c r="AO234" s="32">
        <v>1</v>
      </c>
      <c r="AP234" s="32">
        <v>1</v>
      </c>
      <c r="AQ234" s="23">
        <v>1</v>
      </c>
      <c r="AR234" s="29">
        <v>1</v>
      </c>
      <c r="AS234" s="32">
        <v>0</v>
      </c>
      <c r="AT234" s="32">
        <v>1</v>
      </c>
      <c r="AU234" s="29">
        <v>1</v>
      </c>
      <c r="AV234" s="29">
        <v>1</v>
      </c>
      <c r="AW234" s="32">
        <v>1</v>
      </c>
      <c r="AX234" s="32">
        <v>1</v>
      </c>
      <c r="AY234" s="24">
        <v>1</v>
      </c>
      <c r="AZ234" s="32">
        <v>1</v>
      </c>
      <c r="BA234" s="32">
        <v>1</v>
      </c>
      <c r="BB234" s="32">
        <v>0</v>
      </c>
      <c r="BC234" s="32">
        <v>1</v>
      </c>
      <c r="BD234" s="32">
        <v>1</v>
      </c>
      <c r="BE234" s="32">
        <v>1</v>
      </c>
      <c r="BF234" s="32">
        <v>1</v>
      </c>
      <c r="BG234" s="32">
        <v>1</v>
      </c>
      <c r="BH234" s="32">
        <v>1</v>
      </c>
      <c r="BI234" s="32">
        <v>0.5</v>
      </c>
      <c r="BJ234" s="24">
        <v>0</v>
      </c>
      <c r="BK234" s="32">
        <v>1</v>
      </c>
      <c r="BL234" s="32">
        <v>1</v>
      </c>
      <c r="BM234" s="23">
        <v>1</v>
      </c>
      <c r="BN234" s="29">
        <v>1</v>
      </c>
      <c r="BO234" s="32">
        <v>1</v>
      </c>
      <c r="BP234" s="32">
        <v>1</v>
      </c>
      <c r="BQ234" s="29">
        <v>1</v>
      </c>
      <c r="BR234" s="29">
        <v>1</v>
      </c>
      <c r="BT234">
        <f t="shared" si="89"/>
        <v>63</v>
      </c>
      <c r="BU234">
        <f t="shared" si="90"/>
        <v>56</v>
      </c>
      <c r="BV234" s="25">
        <f t="shared" si="91"/>
        <v>0.88888888888888884</v>
      </c>
    </row>
    <row r="235" spans="2:74" ht="51.75" thickBot="1" x14ac:dyDescent="0.3">
      <c r="B235" s="26" t="s">
        <v>68</v>
      </c>
      <c r="D235" s="22">
        <v>16</v>
      </c>
      <c r="E235" s="32">
        <v>1</v>
      </c>
      <c r="F235" s="32">
        <v>1</v>
      </c>
      <c r="G235" s="24">
        <v>1</v>
      </c>
      <c r="H235" s="32">
        <v>0</v>
      </c>
      <c r="I235" s="32">
        <v>1</v>
      </c>
      <c r="J235" s="32">
        <v>1</v>
      </c>
      <c r="K235" s="32">
        <v>1</v>
      </c>
      <c r="L235" s="32">
        <v>1</v>
      </c>
      <c r="M235" s="32">
        <v>1</v>
      </c>
      <c r="N235" s="32">
        <v>1</v>
      </c>
      <c r="O235" s="32">
        <v>1</v>
      </c>
      <c r="P235" s="32"/>
      <c r="Q235" s="32">
        <v>1</v>
      </c>
      <c r="R235" s="32">
        <v>1</v>
      </c>
      <c r="S235" s="32">
        <v>1</v>
      </c>
      <c r="T235" s="32">
        <v>0</v>
      </c>
      <c r="U235" s="23">
        <v>1</v>
      </c>
      <c r="V235" s="29">
        <v>1</v>
      </c>
      <c r="W235" s="32">
        <v>1</v>
      </c>
      <c r="X235" s="32">
        <v>1</v>
      </c>
      <c r="Y235" s="29">
        <v>0.5</v>
      </c>
      <c r="Z235" s="29">
        <v>0.5</v>
      </c>
      <c r="AA235" s="32">
        <v>1</v>
      </c>
      <c r="AB235" s="32">
        <v>1</v>
      </c>
      <c r="AC235" s="24">
        <v>0.5</v>
      </c>
      <c r="AD235" s="32">
        <v>1</v>
      </c>
      <c r="AE235" s="32">
        <v>1</v>
      </c>
      <c r="AF235" s="32">
        <v>1</v>
      </c>
      <c r="AG235" s="32">
        <v>1</v>
      </c>
      <c r="AH235" s="32">
        <v>1</v>
      </c>
      <c r="AI235" s="32">
        <v>1</v>
      </c>
      <c r="AJ235" s="32">
        <v>1</v>
      </c>
      <c r="AK235" s="32">
        <v>1</v>
      </c>
      <c r="AL235" s="32"/>
      <c r="AM235" s="32">
        <v>1</v>
      </c>
      <c r="AN235" s="32"/>
      <c r="AO235" s="32">
        <v>1</v>
      </c>
      <c r="AP235" s="32">
        <v>1</v>
      </c>
      <c r="AQ235" s="23">
        <v>1</v>
      </c>
      <c r="AR235" s="29">
        <v>1</v>
      </c>
      <c r="AS235" s="32">
        <v>1</v>
      </c>
      <c r="AT235" s="32">
        <v>1</v>
      </c>
      <c r="AU235" s="29">
        <v>0.5</v>
      </c>
      <c r="AV235" s="29">
        <v>0.5</v>
      </c>
      <c r="AW235" s="32">
        <v>1</v>
      </c>
      <c r="AX235" s="32">
        <v>1</v>
      </c>
      <c r="AY235" s="24">
        <v>1</v>
      </c>
      <c r="AZ235" s="32">
        <v>0</v>
      </c>
      <c r="BA235" s="32">
        <v>1</v>
      </c>
      <c r="BB235" s="32">
        <v>1</v>
      </c>
      <c r="BC235" s="32">
        <v>1</v>
      </c>
      <c r="BD235" s="32">
        <v>1</v>
      </c>
      <c r="BE235" s="32">
        <v>1</v>
      </c>
      <c r="BF235" s="32">
        <v>1</v>
      </c>
      <c r="BG235" s="32">
        <v>1</v>
      </c>
      <c r="BH235" s="32">
        <v>1</v>
      </c>
      <c r="BI235" s="32">
        <v>1</v>
      </c>
      <c r="BJ235" s="24">
        <v>0</v>
      </c>
      <c r="BK235" s="32">
        <v>1</v>
      </c>
      <c r="BL235" s="32">
        <v>1</v>
      </c>
      <c r="BM235" s="23">
        <v>1</v>
      </c>
      <c r="BN235" s="29">
        <v>1</v>
      </c>
      <c r="BO235" s="32">
        <v>1</v>
      </c>
      <c r="BP235" s="32">
        <v>1</v>
      </c>
      <c r="BQ235" s="29">
        <v>0</v>
      </c>
      <c r="BR235" s="29">
        <v>0</v>
      </c>
      <c r="BT235">
        <f t="shared" si="89"/>
        <v>63</v>
      </c>
      <c r="BU235">
        <f t="shared" si="90"/>
        <v>54.5</v>
      </c>
      <c r="BV235" s="25">
        <f t="shared" si="91"/>
        <v>0.86507936507936511</v>
      </c>
    </row>
    <row r="236" spans="2:74" ht="39" thickBot="1" x14ac:dyDescent="0.3">
      <c r="B236" s="26" t="s">
        <v>69</v>
      </c>
      <c r="D236" s="22">
        <v>17</v>
      </c>
      <c r="E236" s="32">
        <v>1</v>
      </c>
      <c r="F236" s="32">
        <v>1</v>
      </c>
      <c r="G236" s="24">
        <v>1</v>
      </c>
      <c r="H236" s="32">
        <v>0</v>
      </c>
      <c r="I236" s="32">
        <v>1</v>
      </c>
      <c r="J236" s="32">
        <v>1</v>
      </c>
      <c r="K236" s="32">
        <v>1</v>
      </c>
      <c r="L236" s="32">
        <v>1</v>
      </c>
      <c r="M236" s="32">
        <v>1</v>
      </c>
      <c r="N236" s="32">
        <v>1</v>
      </c>
      <c r="O236" s="32">
        <v>1</v>
      </c>
      <c r="P236" s="32"/>
      <c r="Q236" s="32">
        <v>1</v>
      </c>
      <c r="R236" s="32">
        <v>1</v>
      </c>
      <c r="S236" s="32">
        <v>1</v>
      </c>
      <c r="T236" s="32">
        <v>1</v>
      </c>
      <c r="U236" s="23">
        <v>1</v>
      </c>
      <c r="V236" s="29">
        <v>1</v>
      </c>
      <c r="W236" s="32">
        <v>0</v>
      </c>
      <c r="X236" s="32">
        <v>1</v>
      </c>
      <c r="Y236" s="29">
        <v>1</v>
      </c>
      <c r="Z236" s="29">
        <v>1</v>
      </c>
      <c r="AA236" s="32">
        <v>1</v>
      </c>
      <c r="AB236" s="32">
        <v>1</v>
      </c>
      <c r="AC236" s="24">
        <v>0.5</v>
      </c>
      <c r="AD236" s="32">
        <v>1</v>
      </c>
      <c r="AE236" s="32">
        <v>1</v>
      </c>
      <c r="AF236" s="32">
        <v>1</v>
      </c>
      <c r="AG236" s="32">
        <v>1</v>
      </c>
      <c r="AH236" s="32">
        <v>1</v>
      </c>
      <c r="AI236" s="32">
        <v>1</v>
      </c>
      <c r="AJ236" s="32">
        <v>0</v>
      </c>
      <c r="AK236" s="32">
        <v>1</v>
      </c>
      <c r="AL236" s="32"/>
      <c r="AM236" s="32">
        <v>1</v>
      </c>
      <c r="AN236" s="32"/>
      <c r="AO236" s="32">
        <v>1</v>
      </c>
      <c r="AP236" s="32">
        <v>1</v>
      </c>
      <c r="AQ236" s="23">
        <v>1</v>
      </c>
      <c r="AR236" s="29">
        <v>1</v>
      </c>
      <c r="AS236" s="32">
        <v>0</v>
      </c>
      <c r="AT236" s="32">
        <v>1</v>
      </c>
      <c r="AU236" s="29">
        <v>1</v>
      </c>
      <c r="AV236" s="29">
        <v>1</v>
      </c>
      <c r="AW236" s="32">
        <v>1</v>
      </c>
      <c r="AX236" s="32">
        <v>1</v>
      </c>
      <c r="AY236" s="24">
        <v>1</v>
      </c>
      <c r="AZ236" s="32">
        <v>1</v>
      </c>
      <c r="BA236" s="32">
        <v>1</v>
      </c>
      <c r="BB236" s="32">
        <v>1</v>
      </c>
      <c r="BC236" s="32">
        <v>1</v>
      </c>
      <c r="BD236" s="32">
        <v>1</v>
      </c>
      <c r="BE236" s="32">
        <v>1</v>
      </c>
      <c r="BF236" s="32">
        <v>0</v>
      </c>
      <c r="BG236" s="32">
        <v>1</v>
      </c>
      <c r="BH236" s="32">
        <v>1</v>
      </c>
      <c r="BI236" s="32">
        <v>1</v>
      </c>
      <c r="BJ236" s="24">
        <v>0</v>
      </c>
      <c r="BK236" s="32">
        <v>1</v>
      </c>
      <c r="BL236" s="32">
        <v>1</v>
      </c>
      <c r="BM236" s="23">
        <v>1</v>
      </c>
      <c r="BN236" s="29">
        <v>0.5</v>
      </c>
      <c r="BO236" s="32">
        <v>0</v>
      </c>
      <c r="BP236" s="32">
        <v>1</v>
      </c>
      <c r="BQ236" s="29">
        <v>1</v>
      </c>
      <c r="BR236" s="29">
        <v>1</v>
      </c>
      <c r="BT236">
        <f t="shared" si="89"/>
        <v>63</v>
      </c>
      <c r="BU236">
        <f t="shared" si="90"/>
        <v>55</v>
      </c>
      <c r="BV236" s="25">
        <f t="shared" si="91"/>
        <v>0.87301587301587302</v>
      </c>
    </row>
    <row r="237" spans="2:74" ht="39" thickBot="1" x14ac:dyDescent="0.3">
      <c r="B237" s="33" t="s">
        <v>70</v>
      </c>
      <c r="D237" s="22">
        <v>18</v>
      </c>
      <c r="E237" s="32">
        <v>1</v>
      </c>
      <c r="F237" s="32">
        <v>1</v>
      </c>
      <c r="G237" s="24">
        <v>0.5</v>
      </c>
      <c r="H237" s="32">
        <v>0</v>
      </c>
      <c r="I237" s="32">
        <v>1</v>
      </c>
      <c r="J237" s="32">
        <v>1</v>
      </c>
      <c r="K237" s="32">
        <v>1</v>
      </c>
      <c r="L237" s="32">
        <v>1</v>
      </c>
      <c r="M237" s="24">
        <v>1</v>
      </c>
      <c r="N237" s="32">
        <v>0</v>
      </c>
      <c r="O237" s="32">
        <v>0</v>
      </c>
      <c r="P237" s="32"/>
      <c r="Q237" s="32">
        <v>1</v>
      </c>
      <c r="R237" s="32">
        <v>1</v>
      </c>
      <c r="S237" s="32">
        <v>0.5</v>
      </c>
      <c r="T237" s="32">
        <v>1</v>
      </c>
      <c r="U237" s="23">
        <v>1</v>
      </c>
      <c r="V237" s="29">
        <v>1</v>
      </c>
      <c r="W237" s="32">
        <v>1</v>
      </c>
      <c r="X237" s="32">
        <v>1</v>
      </c>
      <c r="Y237" s="29">
        <v>0.5</v>
      </c>
      <c r="Z237" s="29">
        <v>0.5</v>
      </c>
      <c r="AA237" s="32">
        <v>1</v>
      </c>
      <c r="AB237" s="32">
        <v>1</v>
      </c>
      <c r="AC237" s="24">
        <v>0.5</v>
      </c>
      <c r="AD237" s="32">
        <v>1</v>
      </c>
      <c r="AE237" s="32">
        <v>1</v>
      </c>
      <c r="AF237" s="32">
        <v>1</v>
      </c>
      <c r="AG237" s="32">
        <v>1</v>
      </c>
      <c r="AH237" s="32">
        <v>1</v>
      </c>
      <c r="AI237" s="24">
        <v>1</v>
      </c>
      <c r="AJ237" s="32">
        <v>0</v>
      </c>
      <c r="AK237" s="32">
        <v>1</v>
      </c>
      <c r="AL237" s="32"/>
      <c r="AM237" s="32">
        <v>1</v>
      </c>
      <c r="AN237" s="32"/>
      <c r="AO237" s="32">
        <v>1</v>
      </c>
      <c r="AP237" s="32">
        <v>1</v>
      </c>
      <c r="AQ237" s="23">
        <v>1</v>
      </c>
      <c r="AR237" s="29">
        <v>1</v>
      </c>
      <c r="AS237" s="32">
        <v>1</v>
      </c>
      <c r="AT237" s="32">
        <v>1</v>
      </c>
      <c r="AU237" s="29">
        <v>0.5</v>
      </c>
      <c r="AV237" s="29">
        <v>0.5</v>
      </c>
      <c r="AW237" s="32">
        <v>0.5</v>
      </c>
      <c r="AX237" s="32">
        <v>1</v>
      </c>
      <c r="AY237" s="24">
        <v>1</v>
      </c>
      <c r="AZ237" s="32">
        <v>0</v>
      </c>
      <c r="BA237" s="32">
        <v>1</v>
      </c>
      <c r="BB237" s="32">
        <v>1</v>
      </c>
      <c r="BC237" s="32">
        <v>1</v>
      </c>
      <c r="BD237" s="32">
        <v>1</v>
      </c>
      <c r="BE237" s="24">
        <v>1</v>
      </c>
      <c r="BF237" s="32">
        <v>0</v>
      </c>
      <c r="BG237" s="32">
        <v>0.5</v>
      </c>
      <c r="BH237" s="32">
        <v>1</v>
      </c>
      <c r="BI237" s="32">
        <v>1</v>
      </c>
      <c r="BJ237" s="24">
        <v>0</v>
      </c>
      <c r="BK237" s="32">
        <v>0.5</v>
      </c>
      <c r="BL237" s="32">
        <v>1</v>
      </c>
      <c r="BM237" s="23">
        <v>1</v>
      </c>
      <c r="BN237" s="29">
        <v>1</v>
      </c>
      <c r="BO237" s="32">
        <v>0</v>
      </c>
      <c r="BP237" s="32">
        <v>1</v>
      </c>
      <c r="BQ237" s="29">
        <v>0</v>
      </c>
      <c r="BR237" s="29">
        <v>0</v>
      </c>
      <c r="BT237">
        <f t="shared" si="89"/>
        <v>63</v>
      </c>
      <c r="BU237">
        <f t="shared" si="90"/>
        <v>48</v>
      </c>
      <c r="BV237" s="25">
        <f t="shared" si="91"/>
        <v>0.76190476190476186</v>
      </c>
    </row>
    <row r="238" spans="2:74" ht="52.5" thickTop="1" thickBot="1" x14ac:dyDescent="0.3">
      <c r="B238" s="34" t="s">
        <v>71</v>
      </c>
      <c r="D238" s="22">
        <v>19</v>
      </c>
      <c r="E238" s="32">
        <v>1</v>
      </c>
      <c r="F238" s="32">
        <v>1</v>
      </c>
      <c r="G238" s="24">
        <v>1</v>
      </c>
      <c r="H238" s="32">
        <v>0</v>
      </c>
      <c r="I238" s="32">
        <v>0.5</v>
      </c>
      <c r="J238" s="32">
        <v>1</v>
      </c>
      <c r="K238" s="32">
        <v>1</v>
      </c>
      <c r="L238" s="32">
        <v>1</v>
      </c>
      <c r="M238" s="24">
        <v>1</v>
      </c>
      <c r="N238" s="32"/>
      <c r="O238" s="32">
        <v>0</v>
      </c>
      <c r="P238" s="32"/>
      <c r="Q238" s="32">
        <v>1</v>
      </c>
      <c r="R238" s="32">
        <v>1</v>
      </c>
      <c r="S238" s="32">
        <v>1</v>
      </c>
      <c r="T238" s="32">
        <v>1</v>
      </c>
      <c r="U238" s="23">
        <v>1</v>
      </c>
      <c r="V238" s="29">
        <v>0.5</v>
      </c>
      <c r="W238" s="32">
        <v>0</v>
      </c>
      <c r="X238" s="32">
        <v>1</v>
      </c>
      <c r="Y238" s="29">
        <v>1</v>
      </c>
      <c r="Z238" s="29">
        <v>1</v>
      </c>
      <c r="AA238" s="32">
        <v>1</v>
      </c>
      <c r="AB238" s="32">
        <v>1</v>
      </c>
      <c r="AC238" s="24">
        <v>0.5</v>
      </c>
      <c r="AD238" s="32">
        <v>1</v>
      </c>
      <c r="AE238" s="32">
        <v>0.5</v>
      </c>
      <c r="AF238" s="32">
        <v>1</v>
      </c>
      <c r="AG238" s="32">
        <v>1</v>
      </c>
      <c r="AH238" s="32">
        <v>1</v>
      </c>
      <c r="AI238" s="24">
        <v>1</v>
      </c>
      <c r="AJ238" s="32"/>
      <c r="AK238" s="32">
        <v>1</v>
      </c>
      <c r="AL238" s="32"/>
      <c r="AM238" s="32">
        <v>1</v>
      </c>
      <c r="AN238" s="32"/>
      <c r="AO238" s="32">
        <v>1</v>
      </c>
      <c r="AP238" s="32">
        <v>1</v>
      </c>
      <c r="AQ238" s="23">
        <v>1</v>
      </c>
      <c r="AR238" s="29">
        <v>1</v>
      </c>
      <c r="AS238" s="32">
        <v>0</v>
      </c>
      <c r="AT238" s="32">
        <v>1</v>
      </c>
      <c r="AU238" s="29">
        <v>0.5</v>
      </c>
      <c r="AV238" s="29">
        <v>0.5</v>
      </c>
      <c r="AW238" s="32">
        <v>0.5</v>
      </c>
      <c r="AX238" s="32">
        <v>1</v>
      </c>
      <c r="AY238" s="24">
        <v>1</v>
      </c>
      <c r="AZ238" s="32">
        <v>0</v>
      </c>
      <c r="BA238" s="32">
        <v>0.5</v>
      </c>
      <c r="BB238" s="32">
        <v>1</v>
      </c>
      <c r="BC238" s="32">
        <v>1</v>
      </c>
      <c r="BD238" s="32">
        <v>1</v>
      </c>
      <c r="BE238" s="24">
        <v>1</v>
      </c>
      <c r="BF238" s="32"/>
      <c r="BG238" s="32">
        <v>1</v>
      </c>
      <c r="BH238" s="32">
        <v>1</v>
      </c>
      <c r="BI238" s="32">
        <v>1</v>
      </c>
      <c r="BJ238" s="24">
        <v>0</v>
      </c>
      <c r="BK238" s="32">
        <v>1</v>
      </c>
      <c r="BL238" s="32">
        <v>1</v>
      </c>
      <c r="BM238" s="23">
        <v>1</v>
      </c>
      <c r="BN238" s="29">
        <v>1</v>
      </c>
      <c r="BO238" s="32">
        <v>0</v>
      </c>
      <c r="BP238" s="32">
        <v>1</v>
      </c>
      <c r="BQ238" s="29">
        <v>0.5</v>
      </c>
      <c r="BR238" s="29">
        <v>0.5</v>
      </c>
      <c r="BT238">
        <f t="shared" si="89"/>
        <v>60</v>
      </c>
      <c r="BU238">
        <f t="shared" si="90"/>
        <v>48</v>
      </c>
      <c r="BV238" s="25">
        <f t="shared" si="91"/>
        <v>0.8</v>
      </c>
    </row>
    <row r="239" spans="2:74" ht="39" thickBot="1" x14ac:dyDescent="0.3">
      <c r="B239" s="33" t="s">
        <v>72</v>
      </c>
      <c r="D239" s="22">
        <v>20</v>
      </c>
      <c r="E239" s="32">
        <v>0</v>
      </c>
      <c r="F239" s="32">
        <v>1</v>
      </c>
      <c r="G239" s="24">
        <v>1</v>
      </c>
      <c r="H239" s="32">
        <v>0</v>
      </c>
      <c r="I239" s="32">
        <v>0.5</v>
      </c>
      <c r="J239" s="32">
        <v>1</v>
      </c>
      <c r="K239" s="32">
        <v>1</v>
      </c>
      <c r="L239" s="32">
        <v>1</v>
      </c>
      <c r="M239" s="24">
        <v>1</v>
      </c>
      <c r="N239" s="32">
        <v>1</v>
      </c>
      <c r="O239" s="32">
        <v>0</v>
      </c>
      <c r="P239" s="32"/>
      <c r="Q239" s="32">
        <v>1</v>
      </c>
      <c r="R239" s="32">
        <v>1</v>
      </c>
      <c r="S239" s="32">
        <v>1</v>
      </c>
      <c r="T239" s="32">
        <v>1</v>
      </c>
      <c r="U239" s="23">
        <v>1</v>
      </c>
      <c r="V239" s="29">
        <v>0.5</v>
      </c>
      <c r="W239" s="32">
        <v>0</v>
      </c>
      <c r="X239" s="32">
        <v>1</v>
      </c>
      <c r="Y239" s="29">
        <v>1</v>
      </c>
      <c r="Z239" s="29">
        <v>1</v>
      </c>
      <c r="AA239" s="32">
        <v>1</v>
      </c>
      <c r="AB239" s="32">
        <v>1</v>
      </c>
      <c r="AC239" s="24">
        <v>0.5</v>
      </c>
      <c r="AD239" s="32">
        <v>1</v>
      </c>
      <c r="AE239" s="32">
        <v>0.5</v>
      </c>
      <c r="AF239" s="32">
        <v>1</v>
      </c>
      <c r="AG239" s="32">
        <v>1</v>
      </c>
      <c r="AH239" s="32">
        <v>1</v>
      </c>
      <c r="AI239" s="24">
        <v>1</v>
      </c>
      <c r="AJ239" s="32">
        <v>1</v>
      </c>
      <c r="AK239" s="32">
        <v>1</v>
      </c>
      <c r="AL239" s="32"/>
      <c r="AM239" s="32">
        <v>1</v>
      </c>
      <c r="AN239" s="32"/>
      <c r="AO239" s="32">
        <v>1</v>
      </c>
      <c r="AP239" s="32">
        <v>1</v>
      </c>
      <c r="AQ239" s="23">
        <v>1</v>
      </c>
      <c r="AR239" s="29">
        <v>1</v>
      </c>
      <c r="AS239" s="32">
        <v>0</v>
      </c>
      <c r="AT239" s="32"/>
      <c r="AU239" s="29">
        <v>0.5</v>
      </c>
      <c r="AV239" s="29">
        <v>0.5</v>
      </c>
      <c r="AW239" s="32">
        <v>0.5</v>
      </c>
      <c r="AX239" s="32">
        <v>1</v>
      </c>
      <c r="AY239" s="24">
        <v>1</v>
      </c>
      <c r="AZ239" s="32">
        <v>0</v>
      </c>
      <c r="BA239" s="32">
        <v>0.5</v>
      </c>
      <c r="BB239" s="32">
        <v>1</v>
      </c>
      <c r="BC239" s="32">
        <v>1</v>
      </c>
      <c r="BD239" s="32">
        <v>1</v>
      </c>
      <c r="BE239" s="24">
        <v>1</v>
      </c>
      <c r="BF239" s="32">
        <v>1</v>
      </c>
      <c r="BG239" s="32">
        <v>1</v>
      </c>
      <c r="BH239" s="32">
        <v>1</v>
      </c>
      <c r="BI239" s="32">
        <v>0.5</v>
      </c>
      <c r="BJ239" s="24">
        <v>0</v>
      </c>
      <c r="BK239" s="32">
        <v>1</v>
      </c>
      <c r="BL239" s="32">
        <v>1</v>
      </c>
      <c r="BM239" s="23">
        <v>1</v>
      </c>
      <c r="BN239" s="29">
        <v>0.5</v>
      </c>
      <c r="BO239" s="32">
        <v>0</v>
      </c>
      <c r="BP239" s="32"/>
      <c r="BQ239" s="29">
        <v>0.5</v>
      </c>
      <c r="BR239" s="29">
        <v>0.5</v>
      </c>
      <c r="BT239">
        <f t="shared" si="89"/>
        <v>61</v>
      </c>
      <c r="BU239">
        <f t="shared" si="90"/>
        <v>47</v>
      </c>
      <c r="BV239" s="25">
        <f t="shared" si="91"/>
        <v>0.77049180327868849</v>
      </c>
    </row>
    <row r="240" spans="2:74" ht="51.75" thickBot="1" x14ac:dyDescent="0.3">
      <c r="B240" s="33" t="s">
        <v>73</v>
      </c>
      <c r="D240" s="22">
        <v>21</v>
      </c>
      <c r="E240" s="32">
        <v>0</v>
      </c>
      <c r="F240" s="32">
        <v>1</v>
      </c>
      <c r="G240" s="24">
        <v>0.5</v>
      </c>
      <c r="H240" s="32">
        <v>0</v>
      </c>
      <c r="I240" s="32">
        <v>1</v>
      </c>
      <c r="J240" s="32">
        <v>1</v>
      </c>
      <c r="K240" s="32">
        <v>1</v>
      </c>
      <c r="L240" s="32">
        <v>1</v>
      </c>
      <c r="M240" s="24">
        <v>1</v>
      </c>
      <c r="N240" s="32">
        <v>1</v>
      </c>
      <c r="O240" s="32">
        <v>0.5</v>
      </c>
      <c r="P240" s="32"/>
      <c r="Q240" s="32">
        <v>0</v>
      </c>
      <c r="R240" s="32">
        <v>1</v>
      </c>
      <c r="S240" s="32">
        <v>0</v>
      </c>
      <c r="T240" s="32">
        <v>0</v>
      </c>
      <c r="U240" s="23">
        <v>1</v>
      </c>
      <c r="V240" s="29">
        <v>0</v>
      </c>
      <c r="W240" s="32">
        <v>0</v>
      </c>
      <c r="X240" s="32">
        <v>1</v>
      </c>
      <c r="Y240" s="29">
        <v>1</v>
      </c>
      <c r="Z240" s="29">
        <v>1</v>
      </c>
      <c r="AA240" s="32"/>
      <c r="AB240" s="32">
        <v>1</v>
      </c>
      <c r="AC240" s="24">
        <v>0.5</v>
      </c>
      <c r="AD240" s="32">
        <v>1</v>
      </c>
      <c r="AE240" s="32">
        <v>1</v>
      </c>
      <c r="AF240" s="32">
        <v>1</v>
      </c>
      <c r="AG240" s="32">
        <v>1</v>
      </c>
      <c r="AH240" s="32">
        <v>1</v>
      </c>
      <c r="AI240" s="24">
        <v>1</v>
      </c>
      <c r="AJ240" s="32">
        <v>1</v>
      </c>
      <c r="AK240" s="32">
        <v>1</v>
      </c>
      <c r="AL240" s="32"/>
      <c r="AM240" s="32">
        <v>1</v>
      </c>
      <c r="AN240" s="32"/>
      <c r="AO240" s="32">
        <v>0</v>
      </c>
      <c r="AP240" s="32">
        <v>1</v>
      </c>
      <c r="AQ240" s="23">
        <v>1</v>
      </c>
      <c r="AR240" s="29">
        <v>1</v>
      </c>
      <c r="AS240" s="32">
        <v>1</v>
      </c>
      <c r="AT240" s="32"/>
      <c r="AU240" s="29">
        <v>1</v>
      </c>
      <c r="AV240" s="29">
        <v>1</v>
      </c>
      <c r="AW240" s="32">
        <v>0.5</v>
      </c>
      <c r="AX240" s="32">
        <v>1</v>
      </c>
      <c r="AY240" s="24">
        <v>1</v>
      </c>
      <c r="AZ240" s="32">
        <v>0</v>
      </c>
      <c r="BA240" s="32">
        <v>1</v>
      </c>
      <c r="BB240" s="32">
        <v>1</v>
      </c>
      <c r="BC240" s="32">
        <v>1</v>
      </c>
      <c r="BD240" s="32">
        <v>1</v>
      </c>
      <c r="BE240" s="24">
        <v>1</v>
      </c>
      <c r="BF240" s="32">
        <v>1</v>
      </c>
      <c r="BG240" s="32">
        <v>0.5</v>
      </c>
      <c r="BH240" s="32">
        <v>1</v>
      </c>
      <c r="BI240" s="32">
        <v>1</v>
      </c>
      <c r="BJ240" s="24">
        <v>0</v>
      </c>
      <c r="BK240" s="32">
        <v>1</v>
      </c>
      <c r="BL240" s="32">
        <v>1</v>
      </c>
      <c r="BM240" s="23">
        <v>1</v>
      </c>
      <c r="BN240" s="29">
        <v>1</v>
      </c>
      <c r="BO240" s="32">
        <v>0.5</v>
      </c>
      <c r="BP240" s="32"/>
      <c r="BQ240" s="29">
        <v>1</v>
      </c>
      <c r="BR240" s="29">
        <v>1</v>
      </c>
      <c r="BT240">
        <f t="shared" si="89"/>
        <v>60</v>
      </c>
      <c r="BU240">
        <f t="shared" si="90"/>
        <v>47</v>
      </c>
      <c r="BV240" s="25">
        <f t="shared" si="91"/>
        <v>0.78333333333333333</v>
      </c>
    </row>
    <row r="241" spans="2:74" ht="26.25" thickBot="1" x14ac:dyDescent="0.3">
      <c r="B241" s="27" t="s">
        <v>74</v>
      </c>
      <c r="D241" s="22">
        <v>22</v>
      </c>
      <c r="E241" s="32">
        <v>0.5</v>
      </c>
      <c r="F241" s="32">
        <v>1</v>
      </c>
      <c r="G241" s="24">
        <v>1</v>
      </c>
      <c r="H241" s="32">
        <v>0</v>
      </c>
      <c r="I241" s="32">
        <v>1</v>
      </c>
      <c r="J241" s="32">
        <v>1</v>
      </c>
      <c r="K241" s="32">
        <v>0</v>
      </c>
      <c r="L241" s="32">
        <v>0.5</v>
      </c>
      <c r="M241" s="24">
        <v>1</v>
      </c>
      <c r="N241" s="32">
        <v>0</v>
      </c>
      <c r="O241" s="32">
        <v>0</v>
      </c>
      <c r="P241" s="32"/>
      <c r="Q241" s="32">
        <v>0</v>
      </c>
      <c r="R241" s="32">
        <v>0.5</v>
      </c>
      <c r="S241" s="32">
        <v>0</v>
      </c>
      <c r="T241" s="32">
        <v>1</v>
      </c>
      <c r="U241" s="23">
        <v>1</v>
      </c>
      <c r="V241" s="29">
        <v>0</v>
      </c>
      <c r="W241" s="32">
        <v>0</v>
      </c>
      <c r="X241" s="32">
        <v>1</v>
      </c>
      <c r="Y241" s="29">
        <v>1</v>
      </c>
      <c r="Z241" s="29">
        <v>1</v>
      </c>
      <c r="AA241" s="32"/>
      <c r="AB241" s="32">
        <v>1</v>
      </c>
      <c r="AC241" s="24">
        <v>0.5</v>
      </c>
      <c r="AD241" s="32">
        <v>1</v>
      </c>
      <c r="AE241" s="32">
        <v>1</v>
      </c>
      <c r="AF241" s="32">
        <v>1</v>
      </c>
      <c r="AG241" s="32">
        <v>0</v>
      </c>
      <c r="AH241" s="32">
        <v>0.5</v>
      </c>
      <c r="AI241" s="24">
        <v>1</v>
      </c>
      <c r="AJ241" s="32">
        <v>1</v>
      </c>
      <c r="AK241" s="32">
        <v>1</v>
      </c>
      <c r="AL241" s="32"/>
      <c r="AM241" s="32">
        <v>1</v>
      </c>
      <c r="AN241" s="32"/>
      <c r="AO241" s="32">
        <v>0</v>
      </c>
      <c r="AP241" s="32">
        <v>1</v>
      </c>
      <c r="AQ241" s="23">
        <v>1</v>
      </c>
      <c r="AR241" s="29">
        <v>1</v>
      </c>
      <c r="AS241" s="32">
        <v>0</v>
      </c>
      <c r="AT241" s="32"/>
      <c r="AU241" s="29">
        <v>1</v>
      </c>
      <c r="AV241" s="29">
        <v>1</v>
      </c>
      <c r="AW241" s="32"/>
      <c r="AX241" s="32">
        <v>1</v>
      </c>
      <c r="AY241" s="24">
        <v>1</v>
      </c>
      <c r="AZ241" s="32">
        <v>0</v>
      </c>
      <c r="BA241" s="32">
        <v>1</v>
      </c>
      <c r="BB241" s="32">
        <v>1</v>
      </c>
      <c r="BC241" s="32">
        <v>0</v>
      </c>
      <c r="BD241" s="32">
        <v>0.5</v>
      </c>
      <c r="BE241" s="24">
        <v>1</v>
      </c>
      <c r="BF241" s="32">
        <v>1</v>
      </c>
      <c r="BG241" s="32">
        <v>1</v>
      </c>
      <c r="BH241" s="32">
        <v>1</v>
      </c>
      <c r="BI241" s="32">
        <v>1</v>
      </c>
      <c r="BJ241" s="24">
        <v>0</v>
      </c>
      <c r="BK241" s="32">
        <v>1</v>
      </c>
      <c r="BL241" s="32">
        <v>1</v>
      </c>
      <c r="BM241" s="23">
        <v>1</v>
      </c>
      <c r="BN241" s="29">
        <v>1</v>
      </c>
      <c r="BO241" s="32">
        <v>0</v>
      </c>
      <c r="BP241" s="32"/>
      <c r="BQ241" s="29">
        <v>1</v>
      </c>
      <c r="BR241" s="29">
        <v>1</v>
      </c>
      <c r="BT241">
        <f t="shared" si="89"/>
        <v>59</v>
      </c>
      <c r="BU241">
        <f t="shared" si="90"/>
        <v>41</v>
      </c>
      <c r="BV241" s="25">
        <f t="shared" si="91"/>
        <v>0.69491525423728817</v>
      </c>
    </row>
    <row r="242" spans="2:74" ht="26.25" thickBot="1" x14ac:dyDescent="0.3">
      <c r="B242" s="21" t="s">
        <v>75</v>
      </c>
      <c r="D242" s="22">
        <v>23</v>
      </c>
      <c r="E242" s="32">
        <v>0.5</v>
      </c>
      <c r="F242" s="32">
        <v>1</v>
      </c>
      <c r="G242" s="24">
        <v>1</v>
      </c>
      <c r="H242" s="32">
        <v>0</v>
      </c>
      <c r="I242" s="32">
        <v>1</v>
      </c>
      <c r="J242" s="32">
        <v>1</v>
      </c>
      <c r="K242" s="32">
        <v>0</v>
      </c>
      <c r="L242" s="32">
        <v>0.5</v>
      </c>
      <c r="M242" s="24">
        <v>1</v>
      </c>
      <c r="N242" s="32">
        <v>0</v>
      </c>
      <c r="O242" s="32">
        <v>0</v>
      </c>
      <c r="P242" s="32"/>
      <c r="Q242" s="32">
        <v>0</v>
      </c>
      <c r="R242" s="32">
        <v>1</v>
      </c>
      <c r="S242" s="32">
        <v>0</v>
      </c>
      <c r="T242" s="32">
        <v>0</v>
      </c>
      <c r="U242" s="23">
        <v>1</v>
      </c>
      <c r="V242" s="29">
        <v>0</v>
      </c>
      <c r="W242" s="32">
        <v>0</v>
      </c>
      <c r="X242" s="32">
        <v>1</v>
      </c>
      <c r="Y242" s="29">
        <v>1</v>
      </c>
      <c r="Z242" s="29">
        <v>1</v>
      </c>
      <c r="AA242" s="32"/>
      <c r="AB242" s="32">
        <v>1</v>
      </c>
      <c r="AC242" s="24">
        <v>0.5</v>
      </c>
      <c r="AD242" s="32">
        <v>1</v>
      </c>
      <c r="AE242" s="32">
        <v>1</v>
      </c>
      <c r="AF242" s="32">
        <v>1</v>
      </c>
      <c r="AG242" s="32">
        <v>0</v>
      </c>
      <c r="AH242" s="32">
        <v>0.5</v>
      </c>
      <c r="AI242" s="24">
        <v>1</v>
      </c>
      <c r="AJ242" s="32">
        <v>1</v>
      </c>
      <c r="AK242" s="32">
        <v>1</v>
      </c>
      <c r="AL242" s="32"/>
      <c r="AM242" s="32">
        <v>1</v>
      </c>
      <c r="AN242" s="32"/>
      <c r="AO242" s="32">
        <v>0</v>
      </c>
      <c r="AP242" s="32">
        <v>1</v>
      </c>
      <c r="AQ242" s="23">
        <v>1</v>
      </c>
      <c r="AR242" s="29">
        <v>1</v>
      </c>
      <c r="AS242" s="32">
        <v>0</v>
      </c>
      <c r="AT242" s="32"/>
      <c r="AU242" s="29">
        <v>1</v>
      </c>
      <c r="AV242" s="29">
        <v>1</v>
      </c>
      <c r="AW242" s="32"/>
      <c r="AX242" s="32">
        <v>1</v>
      </c>
      <c r="AY242" s="24">
        <v>1</v>
      </c>
      <c r="AZ242" s="32">
        <v>0</v>
      </c>
      <c r="BA242" s="32">
        <v>1</v>
      </c>
      <c r="BB242" s="32">
        <v>1</v>
      </c>
      <c r="BC242" s="32">
        <v>0</v>
      </c>
      <c r="BD242" s="32">
        <v>0.5</v>
      </c>
      <c r="BE242" s="24">
        <v>1</v>
      </c>
      <c r="BF242" s="32">
        <v>1</v>
      </c>
      <c r="BG242" s="32">
        <v>1</v>
      </c>
      <c r="BH242" s="32">
        <v>1</v>
      </c>
      <c r="BI242" s="32">
        <v>1</v>
      </c>
      <c r="BJ242" s="24">
        <v>0</v>
      </c>
      <c r="BK242" s="32">
        <v>1</v>
      </c>
      <c r="BL242" s="32">
        <v>1</v>
      </c>
      <c r="BM242" s="23">
        <v>1</v>
      </c>
      <c r="BN242" s="29">
        <v>1</v>
      </c>
      <c r="BO242" s="32">
        <v>0</v>
      </c>
      <c r="BP242" s="32"/>
      <c r="BQ242" s="29">
        <v>1</v>
      </c>
      <c r="BR242" s="29">
        <v>1</v>
      </c>
      <c r="BT242">
        <f t="shared" si="89"/>
        <v>59</v>
      </c>
      <c r="BU242">
        <f t="shared" si="90"/>
        <v>40.5</v>
      </c>
      <c r="BV242" s="25">
        <f t="shared" si="91"/>
        <v>0.68644067796610164</v>
      </c>
    </row>
    <row r="243" spans="2:74" ht="26.25" thickBot="1" x14ac:dyDescent="0.3">
      <c r="B243" s="21" t="s">
        <v>76</v>
      </c>
      <c r="D243" s="22">
        <v>24</v>
      </c>
      <c r="E243" s="32">
        <v>0.5</v>
      </c>
      <c r="F243" s="32"/>
      <c r="G243" s="24">
        <v>1</v>
      </c>
      <c r="H243" s="32">
        <v>0</v>
      </c>
      <c r="I243" s="32">
        <v>0.5</v>
      </c>
      <c r="J243" s="32">
        <v>1</v>
      </c>
      <c r="K243" s="32">
        <v>0</v>
      </c>
      <c r="L243" s="32">
        <v>0.5</v>
      </c>
      <c r="M243" s="24">
        <v>1</v>
      </c>
      <c r="N243" s="32"/>
      <c r="O243" s="32">
        <v>0</v>
      </c>
      <c r="P243" s="32"/>
      <c r="Q243" s="32">
        <v>0</v>
      </c>
      <c r="R243" s="32">
        <v>1</v>
      </c>
      <c r="S243" s="32">
        <v>0</v>
      </c>
      <c r="T243" s="32">
        <v>0</v>
      </c>
      <c r="U243" s="23">
        <v>1</v>
      </c>
      <c r="V243" s="29">
        <v>0.5</v>
      </c>
      <c r="W243" s="32">
        <v>0</v>
      </c>
      <c r="X243" s="32">
        <v>1</v>
      </c>
      <c r="Y243" s="29">
        <v>1</v>
      </c>
      <c r="Z243" s="29">
        <v>1</v>
      </c>
      <c r="AA243" s="32"/>
      <c r="AB243" s="32"/>
      <c r="AC243" s="24">
        <v>0.5</v>
      </c>
      <c r="AD243" s="32">
        <v>1</v>
      </c>
      <c r="AE243" s="32">
        <v>0.5</v>
      </c>
      <c r="AF243" s="32">
        <v>1</v>
      </c>
      <c r="AG243" s="32">
        <v>0</v>
      </c>
      <c r="AH243" s="32">
        <v>0.5</v>
      </c>
      <c r="AI243" s="24">
        <v>1</v>
      </c>
      <c r="AJ243" s="32"/>
      <c r="AK243" s="32">
        <v>1</v>
      </c>
      <c r="AL243" s="32"/>
      <c r="AM243" s="32">
        <v>1</v>
      </c>
      <c r="AN243" s="32"/>
      <c r="AO243" s="32">
        <v>0</v>
      </c>
      <c r="AP243" s="32">
        <v>1</v>
      </c>
      <c r="AQ243" s="23">
        <v>1</v>
      </c>
      <c r="AR243" s="29">
        <v>0.5</v>
      </c>
      <c r="AS243" s="32">
        <v>0</v>
      </c>
      <c r="AT243" s="32"/>
      <c r="AU243" s="29">
        <v>0.5</v>
      </c>
      <c r="AV243" s="29">
        <v>0.5</v>
      </c>
      <c r="AW243" s="32"/>
      <c r="AX243" s="32"/>
      <c r="AY243" s="24">
        <v>1</v>
      </c>
      <c r="AZ243" s="32">
        <v>0</v>
      </c>
      <c r="BA243" s="32">
        <v>0.5</v>
      </c>
      <c r="BB243" s="32">
        <v>1</v>
      </c>
      <c r="BC243" s="32">
        <v>0</v>
      </c>
      <c r="BD243" s="32">
        <v>0.5</v>
      </c>
      <c r="BE243" s="24">
        <v>1</v>
      </c>
      <c r="BF243" s="32"/>
      <c r="BG243" s="32">
        <v>1</v>
      </c>
      <c r="BH243" s="32">
        <v>1</v>
      </c>
      <c r="BI243" s="32">
        <v>1</v>
      </c>
      <c r="BJ243" s="24">
        <v>0</v>
      </c>
      <c r="BK243" s="32">
        <v>1</v>
      </c>
      <c r="BL243" s="32">
        <v>1</v>
      </c>
      <c r="BM243" s="23">
        <v>1</v>
      </c>
      <c r="BN243" s="29">
        <v>0.5</v>
      </c>
      <c r="BO243" s="32">
        <v>0</v>
      </c>
      <c r="BP243" s="32"/>
      <c r="BQ243" s="29">
        <v>0.5</v>
      </c>
      <c r="BR243" s="29">
        <v>0.5</v>
      </c>
      <c r="BT243">
        <f t="shared" si="89"/>
        <v>53</v>
      </c>
      <c r="BU243">
        <f t="shared" si="90"/>
        <v>31.5</v>
      </c>
      <c r="BV243" s="25">
        <f t="shared" si="91"/>
        <v>0.59433962264150941</v>
      </c>
    </row>
    <row r="244" spans="2:74" ht="51.75" thickBot="1" x14ac:dyDescent="0.3">
      <c r="B244" s="21" t="s">
        <v>77</v>
      </c>
      <c r="D244" s="22">
        <v>25</v>
      </c>
      <c r="E244" s="32">
        <v>1</v>
      </c>
      <c r="F244" s="32">
        <v>1</v>
      </c>
      <c r="G244" s="24">
        <v>1</v>
      </c>
      <c r="H244" s="32">
        <v>0</v>
      </c>
      <c r="I244" s="32">
        <v>1</v>
      </c>
      <c r="J244" s="32">
        <v>1</v>
      </c>
      <c r="K244" s="32">
        <v>0</v>
      </c>
      <c r="L244" s="32">
        <v>1</v>
      </c>
      <c r="M244" s="24">
        <v>1</v>
      </c>
      <c r="N244" s="32"/>
      <c r="O244" s="32">
        <v>0.5</v>
      </c>
      <c r="P244" s="32"/>
      <c r="Q244" s="32">
        <v>0</v>
      </c>
      <c r="R244" s="32">
        <v>1</v>
      </c>
      <c r="S244" s="32">
        <v>1</v>
      </c>
      <c r="T244" s="32">
        <v>1</v>
      </c>
      <c r="U244" s="23">
        <v>1</v>
      </c>
      <c r="V244" s="29">
        <v>0.5</v>
      </c>
      <c r="W244" s="32">
        <v>0</v>
      </c>
      <c r="X244" s="32">
        <v>1</v>
      </c>
      <c r="Y244" s="29">
        <v>1</v>
      </c>
      <c r="Z244" s="29">
        <v>1</v>
      </c>
      <c r="AA244" s="32">
        <v>1</v>
      </c>
      <c r="AB244" s="32">
        <v>1</v>
      </c>
      <c r="AC244" s="24">
        <v>0.5</v>
      </c>
      <c r="AD244" s="32">
        <v>1</v>
      </c>
      <c r="AE244" s="32">
        <v>1</v>
      </c>
      <c r="AF244" s="32">
        <v>1</v>
      </c>
      <c r="AG244" s="32">
        <v>1</v>
      </c>
      <c r="AH244" s="32">
        <v>1</v>
      </c>
      <c r="AI244" s="24">
        <v>1</v>
      </c>
      <c r="AJ244" s="32"/>
      <c r="AK244" s="32">
        <v>0.5</v>
      </c>
      <c r="AL244" s="32"/>
      <c r="AM244" s="32">
        <v>1</v>
      </c>
      <c r="AN244" s="32"/>
      <c r="AO244" s="32">
        <v>1</v>
      </c>
      <c r="AP244" s="32">
        <v>1</v>
      </c>
      <c r="AQ244" s="23">
        <v>1</v>
      </c>
      <c r="AR244" s="29">
        <v>1</v>
      </c>
      <c r="AS244" s="32">
        <v>0</v>
      </c>
      <c r="AT244" s="32"/>
      <c r="AU244" s="29">
        <v>1</v>
      </c>
      <c r="AV244" s="29">
        <v>1</v>
      </c>
      <c r="AW244" s="32"/>
      <c r="AX244" s="32">
        <v>1</v>
      </c>
      <c r="AY244" s="24">
        <v>1</v>
      </c>
      <c r="AZ244" s="32">
        <v>0</v>
      </c>
      <c r="BA244" s="32">
        <v>1</v>
      </c>
      <c r="BB244" s="32">
        <v>1</v>
      </c>
      <c r="BC244" s="32">
        <v>0</v>
      </c>
      <c r="BD244" s="32">
        <v>1</v>
      </c>
      <c r="BE244" s="24">
        <v>1</v>
      </c>
      <c r="BF244" s="32"/>
      <c r="BG244" s="32">
        <v>0.5</v>
      </c>
      <c r="BH244" s="32">
        <v>1</v>
      </c>
      <c r="BI244" s="32">
        <v>1</v>
      </c>
      <c r="BJ244" s="24">
        <v>0</v>
      </c>
      <c r="BK244" s="32">
        <v>1</v>
      </c>
      <c r="BL244" s="32">
        <v>1</v>
      </c>
      <c r="BM244" s="23">
        <v>1</v>
      </c>
      <c r="BN244" s="29">
        <v>1</v>
      </c>
      <c r="BO244" s="32">
        <v>0</v>
      </c>
      <c r="BP244" s="32"/>
      <c r="BQ244" s="29">
        <v>1</v>
      </c>
      <c r="BR244" s="29">
        <v>1</v>
      </c>
      <c r="BT244">
        <f t="shared" si="89"/>
        <v>57</v>
      </c>
      <c r="BU244">
        <f t="shared" si="90"/>
        <v>45.5</v>
      </c>
      <c r="BV244" s="25">
        <f t="shared" si="91"/>
        <v>0.79824561403508776</v>
      </c>
    </row>
    <row r="245" spans="2:74" ht="26.25" thickBot="1" x14ac:dyDescent="0.3">
      <c r="B245" s="21" t="s">
        <v>78</v>
      </c>
      <c r="D245" s="22">
        <v>26</v>
      </c>
      <c r="E245" s="32"/>
      <c r="F245" s="32">
        <v>1</v>
      </c>
      <c r="G245" s="24">
        <v>0.5</v>
      </c>
      <c r="H245" s="32">
        <v>0</v>
      </c>
      <c r="I245" s="32">
        <v>1</v>
      </c>
      <c r="J245" s="32">
        <v>1</v>
      </c>
      <c r="K245" s="32">
        <v>1</v>
      </c>
      <c r="L245" s="32">
        <v>0.5</v>
      </c>
      <c r="M245" s="24">
        <v>0.5</v>
      </c>
      <c r="N245" s="32">
        <v>0</v>
      </c>
      <c r="O245" s="32">
        <v>0</v>
      </c>
      <c r="P245" s="32"/>
      <c r="Q245" s="32">
        <v>1</v>
      </c>
      <c r="R245" s="32">
        <v>1</v>
      </c>
      <c r="S245" s="32">
        <v>0.5</v>
      </c>
      <c r="T245" s="32">
        <v>0</v>
      </c>
      <c r="U245" s="23">
        <v>1</v>
      </c>
      <c r="V245" s="29">
        <v>0.5</v>
      </c>
      <c r="W245" s="32">
        <v>0</v>
      </c>
      <c r="X245" s="32">
        <v>0</v>
      </c>
      <c r="Y245" s="29">
        <v>1</v>
      </c>
      <c r="Z245" s="29">
        <v>1</v>
      </c>
      <c r="AA245" s="32"/>
      <c r="AB245" s="32">
        <v>1</v>
      </c>
      <c r="AC245" s="24">
        <v>0.5</v>
      </c>
      <c r="AD245" s="32">
        <v>1</v>
      </c>
      <c r="AE245" s="32">
        <v>1</v>
      </c>
      <c r="AF245" s="32">
        <v>1</v>
      </c>
      <c r="AG245" s="32">
        <v>1</v>
      </c>
      <c r="AH245" s="32">
        <v>0.5</v>
      </c>
      <c r="AI245" s="24">
        <v>1</v>
      </c>
      <c r="AJ245" s="32">
        <v>0</v>
      </c>
      <c r="AK245" s="32">
        <v>1</v>
      </c>
      <c r="AL245" s="32"/>
      <c r="AM245" s="32">
        <v>1</v>
      </c>
      <c r="AN245" s="32"/>
      <c r="AO245" s="32">
        <v>1</v>
      </c>
      <c r="AP245" s="32">
        <v>1</v>
      </c>
      <c r="AQ245" s="23">
        <v>1</v>
      </c>
      <c r="AR245" s="29">
        <v>1</v>
      </c>
      <c r="AS245" s="32">
        <v>0</v>
      </c>
      <c r="AT245" s="32"/>
      <c r="AU245" s="29">
        <v>1</v>
      </c>
      <c r="AV245" s="29">
        <v>1</v>
      </c>
      <c r="AW245" s="32"/>
      <c r="AX245" s="32">
        <v>1</v>
      </c>
      <c r="AY245" s="24">
        <v>1</v>
      </c>
      <c r="AZ245" s="32">
        <v>0</v>
      </c>
      <c r="BA245" s="32">
        <v>1</v>
      </c>
      <c r="BB245" s="32">
        <v>1</v>
      </c>
      <c r="BC245" s="32">
        <v>1</v>
      </c>
      <c r="BD245" s="32">
        <v>0.5</v>
      </c>
      <c r="BE245" s="24">
        <v>1</v>
      </c>
      <c r="BF245" s="32">
        <v>0</v>
      </c>
      <c r="BG245" s="32">
        <v>1</v>
      </c>
      <c r="BH245" s="32">
        <v>1</v>
      </c>
      <c r="BI245" s="32">
        <v>1</v>
      </c>
      <c r="BJ245" s="24">
        <v>0</v>
      </c>
      <c r="BK245" s="32">
        <v>1</v>
      </c>
      <c r="BL245" s="32">
        <v>1</v>
      </c>
      <c r="BM245" s="23">
        <v>1</v>
      </c>
      <c r="BN245" s="29">
        <v>0.5</v>
      </c>
      <c r="BO245" s="32">
        <v>0</v>
      </c>
      <c r="BP245" s="32"/>
      <c r="BQ245" s="29">
        <v>1</v>
      </c>
      <c r="BR245" s="29">
        <v>1</v>
      </c>
      <c r="BT245">
        <f t="shared" si="89"/>
        <v>58</v>
      </c>
      <c r="BU245">
        <f t="shared" si="90"/>
        <v>41.5</v>
      </c>
      <c r="BV245" s="25">
        <f t="shared" si="91"/>
        <v>0.71551724137931039</v>
      </c>
    </row>
    <row r="246" spans="2:74" ht="26.25" thickBot="1" x14ac:dyDescent="0.3">
      <c r="B246" s="21" t="s">
        <v>79</v>
      </c>
      <c r="D246" s="22">
        <v>27</v>
      </c>
      <c r="E246" s="32">
        <v>0.5</v>
      </c>
      <c r="F246" s="32">
        <v>1</v>
      </c>
      <c r="G246" s="24">
        <v>1</v>
      </c>
      <c r="H246" s="32">
        <v>0</v>
      </c>
      <c r="I246" s="32">
        <v>0</v>
      </c>
      <c r="J246" s="32">
        <v>1</v>
      </c>
      <c r="K246" s="32">
        <v>0</v>
      </c>
      <c r="L246" s="32">
        <v>1</v>
      </c>
      <c r="M246" s="24">
        <v>0.5</v>
      </c>
      <c r="N246" s="32">
        <v>0</v>
      </c>
      <c r="O246" s="32">
        <v>0</v>
      </c>
      <c r="P246" s="32"/>
      <c r="Q246" s="32">
        <v>0</v>
      </c>
      <c r="R246" s="32">
        <v>1</v>
      </c>
      <c r="S246" s="32">
        <v>0</v>
      </c>
      <c r="T246" s="32">
        <v>0</v>
      </c>
      <c r="U246" s="23">
        <v>1</v>
      </c>
      <c r="V246" s="29">
        <v>0</v>
      </c>
      <c r="W246" s="32">
        <v>0</v>
      </c>
      <c r="X246" s="32">
        <v>0</v>
      </c>
      <c r="Y246" s="29">
        <v>0.5</v>
      </c>
      <c r="Z246" s="29">
        <v>0.5</v>
      </c>
      <c r="AA246" s="32">
        <v>1</v>
      </c>
      <c r="AB246" s="32">
        <v>1</v>
      </c>
      <c r="AC246" s="24">
        <v>0.5</v>
      </c>
      <c r="AD246" s="32">
        <v>1</v>
      </c>
      <c r="AE246" s="32">
        <v>0</v>
      </c>
      <c r="AF246" s="32">
        <v>1</v>
      </c>
      <c r="AG246" s="32">
        <v>1</v>
      </c>
      <c r="AH246" s="32">
        <v>1</v>
      </c>
      <c r="AI246" s="24">
        <v>1</v>
      </c>
      <c r="AJ246" s="32">
        <v>0</v>
      </c>
      <c r="AK246" s="32">
        <v>1</v>
      </c>
      <c r="AL246" s="32"/>
      <c r="AM246" s="32"/>
      <c r="AN246" s="32"/>
      <c r="AO246" s="32">
        <v>0</v>
      </c>
      <c r="AP246" s="32">
        <v>1</v>
      </c>
      <c r="AQ246" s="23">
        <v>1</v>
      </c>
      <c r="AR246" s="29">
        <v>0.5</v>
      </c>
      <c r="AS246" s="32">
        <v>0</v>
      </c>
      <c r="AT246" s="32">
        <v>1</v>
      </c>
      <c r="AU246" s="29">
        <v>0.5</v>
      </c>
      <c r="AV246" s="29">
        <v>0.5</v>
      </c>
      <c r="AW246" s="32">
        <v>0.5</v>
      </c>
      <c r="AX246" s="32">
        <v>1</v>
      </c>
      <c r="AY246" s="24">
        <v>1</v>
      </c>
      <c r="AZ246" s="32">
        <v>0</v>
      </c>
      <c r="BA246" s="32">
        <v>0</v>
      </c>
      <c r="BB246" s="32">
        <v>1</v>
      </c>
      <c r="BC246" s="32">
        <v>0</v>
      </c>
      <c r="BD246" s="32">
        <v>1</v>
      </c>
      <c r="BE246" s="24">
        <v>1</v>
      </c>
      <c r="BF246" s="32">
        <v>0</v>
      </c>
      <c r="BG246" s="32">
        <v>1</v>
      </c>
      <c r="BH246" s="32">
        <v>1</v>
      </c>
      <c r="BI246" s="32">
        <v>1</v>
      </c>
      <c r="BJ246" s="24">
        <v>0</v>
      </c>
      <c r="BK246" s="32">
        <v>1</v>
      </c>
      <c r="BL246" s="32">
        <v>0</v>
      </c>
      <c r="BM246" s="23">
        <v>1</v>
      </c>
      <c r="BN246" s="29">
        <v>0</v>
      </c>
      <c r="BO246" s="32">
        <v>0</v>
      </c>
      <c r="BP246" s="32"/>
      <c r="BQ246" s="29">
        <v>0.5</v>
      </c>
      <c r="BR246" s="29">
        <v>0.5</v>
      </c>
      <c r="BT246">
        <f t="shared" si="89"/>
        <v>61</v>
      </c>
      <c r="BU246">
        <f t="shared" si="90"/>
        <v>32.5</v>
      </c>
      <c r="BV246" s="25">
        <f t="shared" si="91"/>
        <v>0.53278688524590168</v>
      </c>
    </row>
    <row r="247" spans="2:74" ht="39" thickBot="1" x14ac:dyDescent="0.3">
      <c r="B247" s="21" t="s">
        <v>80</v>
      </c>
      <c r="D247" s="22">
        <v>28</v>
      </c>
      <c r="E247" s="32">
        <v>0.5</v>
      </c>
      <c r="F247" s="32">
        <v>1</v>
      </c>
      <c r="G247" s="24">
        <v>1</v>
      </c>
      <c r="H247" s="32">
        <v>0</v>
      </c>
      <c r="I247" s="32">
        <v>0</v>
      </c>
      <c r="J247" s="32">
        <v>1</v>
      </c>
      <c r="K247" s="32">
        <v>0</v>
      </c>
      <c r="L247" s="32">
        <v>1</v>
      </c>
      <c r="M247" s="24">
        <v>0.5</v>
      </c>
      <c r="N247" s="32">
        <v>0</v>
      </c>
      <c r="O247" s="32">
        <v>0</v>
      </c>
      <c r="P247" s="32"/>
      <c r="Q247" s="32">
        <v>0</v>
      </c>
      <c r="R247" s="32">
        <v>1</v>
      </c>
      <c r="S247" s="32">
        <v>0.5</v>
      </c>
      <c r="T247" s="32">
        <v>0</v>
      </c>
      <c r="U247" s="23">
        <v>1</v>
      </c>
      <c r="V247" s="29">
        <v>0</v>
      </c>
      <c r="W247" s="32">
        <v>0</v>
      </c>
      <c r="X247" s="32">
        <v>1</v>
      </c>
      <c r="Y247" s="29">
        <v>1</v>
      </c>
      <c r="Z247" s="29">
        <v>0.5</v>
      </c>
      <c r="AA247" s="32">
        <v>1</v>
      </c>
      <c r="AB247" s="32">
        <v>1</v>
      </c>
      <c r="AC247" s="24">
        <v>0.5</v>
      </c>
      <c r="AD247" s="32">
        <v>1</v>
      </c>
      <c r="AE247" s="32">
        <v>0</v>
      </c>
      <c r="AF247" s="32">
        <v>1</v>
      </c>
      <c r="AG247" s="32">
        <v>1</v>
      </c>
      <c r="AH247" s="32">
        <v>1</v>
      </c>
      <c r="AI247" s="24">
        <v>1</v>
      </c>
      <c r="AJ247" s="32">
        <v>0</v>
      </c>
      <c r="AK247" s="32">
        <v>1</v>
      </c>
      <c r="AL247" s="32"/>
      <c r="AM247" s="32">
        <v>1</v>
      </c>
      <c r="AN247" s="32"/>
      <c r="AO247" s="32">
        <v>0</v>
      </c>
      <c r="AP247" s="32">
        <v>1</v>
      </c>
      <c r="AQ247" s="23">
        <v>1</v>
      </c>
      <c r="AR247" s="29">
        <v>0.5</v>
      </c>
      <c r="AS247" s="32">
        <v>0</v>
      </c>
      <c r="AT247" s="32">
        <v>1</v>
      </c>
      <c r="AU247" s="29">
        <v>0.5</v>
      </c>
      <c r="AV247" s="29">
        <v>0.5</v>
      </c>
      <c r="AW247" s="32">
        <v>0.5</v>
      </c>
      <c r="AX247" s="32">
        <v>1</v>
      </c>
      <c r="AY247" s="24">
        <v>1</v>
      </c>
      <c r="AZ247" s="32">
        <v>0</v>
      </c>
      <c r="BA247" s="32">
        <v>0</v>
      </c>
      <c r="BB247" s="32">
        <v>1</v>
      </c>
      <c r="BC247" s="32">
        <v>0</v>
      </c>
      <c r="BD247" s="32">
        <v>1</v>
      </c>
      <c r="BE247" s="24">
        <v>1</v>
      </c>
      <c r="BF247" s="32">
        <v>0</v>
      </c>
      <c r="BG247" s="32">
        <v>1</v>
      </c>
      <c r="BH247" s="32">
        <v>1</v>
      </c>
      <c r="BI247" s="32">
        <v>1</v>
      </c>
      <c r="BJ247" s="32">
        <v>0</v>
      </c>
      <c r="BK247" s="32">
        <v>1</v>
      </c>
      <c r="BL247" s="32">
        <v>0.5</v>
      </c>
      <c r="BM247" s="23">
        <v>1</v>
      </c>
      <c r="BN247" s="29">
        <v>0</v>
      </c>
      <c r="BO247" s="32">
        <v>0</v>
      </c>
      <c r="BP247" s="32"/>
      <c r="BQ247" s="29">
        <v>0.5</v>
      </c>
      <c r="BR247" s="29">
        <v>0.5</v>
      </c>
      <c r="BT247">
        <f t="shared" si="89"/>
        <v>62</v>
      </c>
      <c r="BU247">
        <f t="shared" si="90"/>
        <v>36</v>
      </c>
      <c r="BV247" s="25">
        <f t="shared" si="91"/>
        <v>0.58064516129032262</v>
      </c>
    </row>
    <row r="248" spans="2:74" ht="64.5" thickBot="1" x14ac:dyDescent="0.3">
      <c r="B248" s="21" t="s">
        <v>81</v>
      </c>
      <c r="D248" s="22">
        <v>29</v>
      </c>
      <c r="E248" s="32"/>
      <c r="F248" s="32">
        <v>1</v>
      </c>
      <c r="G248" s="24">
        <v>1</v>
      </c>
      <c r="H248" s="32">
        <v>0</v>
      </c>
      <c r="I248" s="32">
        <v>0.5</v>
      </c>
      <c r="J248" s="32">
        <v>1</v>
      </c>
      <c r="K248" s="32">
        <v>0</v>
      </c>
      <c r="L248" s="32">
        <v>0</v>
      </c>
      <c r="M248" s="24">
        <v>0.5</v>
      </c>
      <c r="N248" s="32">
        <v>1</v>
      </c>
      <c r="O248" s="32">
        <v>0</v>
      </c>
      <c r="P248" s="32"/>
      <c r="Q248" s="32">
        <v>0</v>
      </c>
      <c r="R248" s="32">
        <v>0</v>
      </c>
      <c r="S248" s="32">
        <v>0</v>
      </c>
      <c r="T248" s="32">
        <v>0</v>
      </c>
      <c r="U248" s="23">
        <v>1</v>
      </c>
      <c r="V248" s="32">
        <v>0</v>
      </c>
      <c r="W248" s="32">
        <v>0</v>
      </c>
      <c r="X248" s="32">
        <v>0</v>
      </c>
      <c r="Y248" s="32">
        <v>1</v>
      </c>
      <c r="Z248" s="32">
        <v>1</v>
      </c>
      <c r="AA248" s="32"/>
      <c r="AB248" s="32">
        <v>1</v>
      </c>
      <c r="AC248" s="24">
        <v>0.5</v>
      </c>
      <c r="AD248" s="32">
        <v>1</v>
      </c>
      <c r="AE248" s="32">
        <v>0.5</v>
      </c>
      <c r="AF248" s="32">
        <v>1</v>
      </c>
      <c r="AG248" s="32">
        <v>1</v>
      </c>
      <c r="AH248" s="32">
        <v>0</v>
      </c>
      <c r="AI248" s="24">
        <v>1</v>
      </c>
      <c r="AJ248" s="32">
        <v>1</v>
      </c>
      <c r="AK248" s="32">
        <v>1</v>
      </c>
      <c r="AL248" s="32"/>
      <c r="AM248" s="32">
        <v>1</v>
      </c>
      <c r="AN248" s="32"/>
      <c r="AO248" s="32">
        <v>1</v>
      </c>
      <c r="AP248" s="32">
        <v>0</v>
      </c>
      <c r="AQ248" s="23">
        <v>1</v>
      </c>
      <c r="AR248" s="32">
        <v>0.5</v>
      </c>
      <c r="AS248" s="32">
        <v>0</v>
      </c>
      <c r="AT248" s="32">
        <v>1</v>
      </c>
      <c r="AU248" s="32">
        <v>0.5</v>
      </c>
      <c r="AV248" s="32">
        <v>0.5</v>
      </c>
      <c r="AW248" s="32"/>
      <c r="AX248" s="32">
        <v>1</v>
      </c>
      <c r="AY248" s="24">
        <v>1</v>
      </c>
      <c r="AZ248" s="32">
        <v>0</v>
      </c>
      <c r="BA248" s="32">
        <v>0.5</v>
      </c>
      <c r="BB248" s="32">
        <v>0.5</v>
      </c>
      <c r="BC248" s="32">
        <v>0</v>
      </c>
      <c r="BD248" s="32">
        <v>1</v>
      </c>
      <c r="BE248" s="24">
        <v>1</v>
      </c>
      <c r="BF248" s="32">
        <v>1</v>
      </c>
      <c r="BG248" s="32">
        <v>0</v>
      </c>
      <c r="BH248" s="32">
        <v>1</v>
      </c>
      <c r="BI248" s="32">
        <v>1</v>
      </c>
      <c r="BJ248" s="32">
        <v>0</v>
      </c>
      <c r="BK248" s="32">
        <v>1</v>
      </c>
      <c r="BL248" s="32">
        <v>1</v>
      </c>
      <c r="BM248" s="23">
        <v>1</v>
      </c>
      <c r="BN248" s="32">
        <v>1</v>
      </c>
      <c r="BO248" s="32">
        <v>0</v>
      </c>
      <c r="BP248" s="32">
        <v>1</v>
      </c>
      <c r="BQ248" s="32">
        <v>0.5</v>
      </c>
      <c r="BR248" s="32">
        <v>0.5</v>
      </c>
      <c r="BT248">
        <f t="shared" si="89"/>
        <v>60</v>
      </c>
      <c r="BU248">
        <f t="shared" si="90"/>
        <v>35.5</v>
      </c>
      <c r="BV248" s="25">
        <f t="shared" si="91"/>
        <v>0.59166666666666667</v>
      </c>
    </row>
    <row r="249" spans="2:74" ht="26.25" thickBot="1" x14ac:dyDescent="0.3">
      <c r="B249" s="21" t="s">
        <v>82</v>
      </c>
      <c r="D249" s="22">
        <v>30</v>
      </c>
      <c r="E249" s="32"/>
      <c r="F249" s="32">
        <v>1</v>
      </c>
      <c r="G249" s="24">
        <v>1</v>
      </c>
      <c r="H249" s="32">
        <v>0</v>
      </c>
      <c r="I249" s="32">
        <v>0.5</v>
      </c>
      <c r="J249" s="32">
        <v>1</v>
      </c>
      <c r="K249" s="32">
        <v>0</v>
      </c>
      <c r="L249" s="32">
        <v>1</v>
      </c>
      <c r="M249" s="24">
        <v>0.5</v>
      </c>
      <c r="N249" s="32">
        <v>1</v>
      </c>
      <c r="O249" s="32">
        <v>1</v>
      </c>
      <c r="P249" s="32"/>
      <c r="Q249" s="32">
        <v>0</v>
      </c>
      <c r="R249" s="32">
        <v>0.5</v>
      </c>
      <c r="S249" s="32">
        <v>0</v>
      </c>
      <c r="T249" s="32">
        <v>0</v>
      </c>
      <c r="U249" s="23">
        <v>1</v>
      </c>
      <c r="V249" s="32">
        <v>0.5</v>
      </c>
      <c r="W249" s="32">
        <v>0</v>
      </c>
      <c r="X249" s="32">
        <v>1</v>
      </c>
      <c r="Y249" s="32">
        <v>1</v>
      </c>
      <c r="Z249" s="32">
        <v>1</v>
      </c>
      <c r="AA249" s="32"/>
      <c r="AB249" s="32">
        <v>1</v>
      </c>
      <c r="AC249" s="24">
        <v>0.5</v>
      </c>
      <c r="AD249" s="32">
        <v>1</v>
      </c>
      <c r="AE249" s="32">
        <v>0.5</v>
      </c>
      <c r="AF249" s="32">
        <v>1</v>
      </c>
      <c r="AG249" s="32">
        <v>1</v>
      </c>
      <c r="AH249" s="32">
        <v>1</v>
      </c>
      <c r="AI249" s="24">
        <v>1</v>
      </c>
      <c r="AJ249" s="32">
        <v>1</v>
      </c>
      <c r="AK249" s="32">
        <v>1</v>
      </c>
      <c r="AL249" s="32"/>
      <c r="AM249" s="32">
        <v>1</v>
      </c>
      <c r="AN249" s="32"/>
      <c r="AO249" s="32">
        <v>1</v>
      </c>
      <c r="AP249" s="32">
        <v>0</v>
      </c>
      <c r="AQ249" s="23">
        <v>1</v>
      </c>
      <c r="AR249" s="32">
        <v>1</v>
      </c>
      <c r="AS249" s="32">
        <v>0</v>
      </c>
      <c r="AT249" s="32">
        <v>1</v>
      </c>
      <c r="AU249" s="32">
        <v>1</v>
      </c>
      <c r="AV249" s="32">
        <v>1</v>
      </c>
      <c r="AW249" s="32"/>
      <c r="AX249" s="32">
        <v>1</v>
      </c>
      <c r="AY249" s="24">
        <v>1</v>
      </c>
      <c r="AZ249" s="32">
        <v>0</v>
      </c>
      <c r="BA249" s="32">
        <v>0.5</v>
      </c>
      <c r="BB249" s="32">
        <v>1</v>
      </c>
      <c r="BC249" s="32">
        <v>0</v>
      </c>
      <c r="BD249" s="32">
        <v>1</v>
      </c>
      <c r="BE249" s="24">
        <v>1</v>
      </c>
      <c r="BF249" s="32">
        <v>1</v>
      </c>
      <c r="BG249" s="32">
        <v>0</v>
      </c>
      <c r="BH249" s="32">
        <v>1</v>
      </c>
      <c r="BI249" s="32">
        <v>0.5</v>
      </c>
      <c r="BJ249" s="32">
        <v>0</v>
      </c>
      <c r="BK249" s="32">
        <v>1</v>
      </c>
      <c r="BL249" s="32">
        <v>0</v>
      </c>
      <c r="BM249" s="23">
        <v>1</v>
      </c>
      <c r="BN249" s="32">
        <v>0.5</v>
      </c>
      <c r="BO249" s="32">
        <v>0</v>
      </c>
      <c r="BP249" s="32">
        <v>0.5</v>
      </c>
      <c r="BQ249" s="32">
        <v>1</v>
      </c>
      <c r="BR249" s="32">
        <v>1</v>
      </c>
      <c r="BT249">
        <f t="shared" si="89"/>
        <v>60</v>
      </c>
      <c r="BU249">
        <f t="shared" si="90"/>
        <v>41</v>
      </c>
      <c r="BV249" s="25">
        <f t="shared" si="91"/>
        <v>0.68333333333333335</v>
      </c>
    </row>
    <row r="250" spans="2:74" ht="39" thickBot="1" x14ac:dyDescent="0.3">
      <c r="B250" s="33" t="s">
        <v>83</v>
      </c>
      <c r="D250" s="22">
        <v>31</v>
      </c>
      <c r="E250" s="32"/>
      <c r="F250" s="32"/>
      <c r="G250" s="24">
        <v>1</v>
      </c>
      <c r="H250" s="32">
        <v>0</v>
      </c>
      <c r="I250" s="32">
        <v>0</v>
      </c>
      <c r="J250" s="32">
        <v>0</v>
      </c>
      <c r="K250" s="32">
        <v>0</v>
      </c>
      <c r="L250" s="32">
        <v>1</v>
      </c>
      <c r="M250" s="24">
        <v>0.5</v>
      </c>
      <c r="N250" s="32"/>
      <c r="O250" s="32">
        <v>0</v>
      </c>
      <c r="P250" s="32"/>
      <c r="Q250" s="32">
        <v>0</v>
      </c>
      <c r="R250" s="32">
        <v>0</v>
      </c>
      <c r="S250" s="32">
        <v>0</v>
      </c>
      <c r="T250" s="32">
        <v>0</v>
      </c>
      <c r="U250" s="23">
        <v>1</v>
      </c>
      <c r="V250" s="32">
        <v>0</v>
      </c>
      <c r="W250" s="32">
        <v>0</v>
      </c>
      <c r="X250" s="32">
        <v>0.5</v>
      </c>
      <c r="Y250" s="32">
        <v>1</v>
      </c>
      <c r="Z250" s="32">
        <v>1</v>
      </c>
      <c r="AA250" s="32"/>
      <c r="AB250" s="32"/>
      <c r="AC250" s="24">
        <v>0.5</v>
      </c>
      <c r="AD250" s="32">
        <v>1</v>
      </c>
      <c r="AE250" s="32">
        <v>0</v>
      </c>
      <c r="AF250" s="32">
        <v>0</v>
      </c>
      <c r="AG250" s="32">
        <v>1</v>
      </c>
      <c r="AH250" s="32">
        <v>1</v>
      </c>
      <c r="AI250" s="24">
        <v>1</v>
      </c>
      <c r="AJ250" s="32"/>
      <c r="AK250" s="32">
        <v>1</v>
      </c>
      <c r="AL250" s="32"/>
      <c r="AM250" s="32">
        <v>1</v>
      </c>
      <c r="AN250" s="32"/>
      <c r="AO250" s="32">
        <v>1</v>
      </c>
      <c r="AP250" s="32">
        <v>0</v>
      </c>
      <c r="AQ250" s="23">
        <v>1</v>
      </c>
      <c r="AR250" s="32">
        <v>0</v>
      </c>
      <c r="AS250" s="32">
        <v>0</v>
      </c>
      <c r="AT250" s="32">
        <v>0.5</v>
      </c>
      <c r="AU250" s="32">
        <v>1</v>
      </c>
      <c r="AV250" s="32">
        <v>1</v>
      </c>
      <c r="AW250" s="32"/>
      <c r="AX250" s="32"/>
      <c r="AY250" s="24">
        <v>1</v>
      </c>
      <c r="AZ250" s="32">
        <v>0</v>
      </c>
      <c r="BA250" s="32">
        <v>0</v>
      </c>
      <c r="BB250" s="32">
        <v>0</v>
      </c>
      <c r="BC250" s="32">
        <v>0</v>
      </c>
      <c r="BD250" s="32">
        <v>1</v>
      </c>
      <c r="BE250" s="24">
        <v>1</v>
      </c>
      <c r="BF250" s="32"/>
      <c r="BG250" s="32">
        <v>0</v>
      </c>
      <c r="BH250" s="32">
        <v>1</v>
      </c>
      <c r="BI250" s="32">
        <v>0</v>
      </c>
      <c r="BJ250" s="32">
        <v>0</v>
      </c>
      <c r="BK250" s="32">
        <v>1</v>
      </c>
      <c r="BL250" s="32">
        <v>1</v>
      </c>
      <c r="BM250" s="23">
        <v>1</v>
      </c>
      <c r="BN250" s="32">
        <v>0</v>
      </c>
      <c r="BO250" s="32">
        <v>0</v>
      </c>
      <c r="BP250" s="32">
        <v>0.5</v>
      </c>
      <c r="BQ250" s="32">
        <v>1</v>
      </c>
      <c r="BR250" s="32">
        <v>1</v>
      </c>
      <c r="BT250">
        <f t="shared" si="89"/>
        <v>54</v>
      </c>
      <c r="BU250">
        <f t="shared" si="90"/>
        <v>26.5</v>
      </c>
      <c r="BV250" s="25">
        <f t="shared" si="91"/>
        <v>0.49074074074074076</v>
      </c>
    </row>
    <row r="251" spans="2:74" ht="26.25" thickBot="1" x14ac:dyDescent="0.3">
      <c r="B251" s="33" t="s">
        <v>84</v>
      </c>
      <c r="D251" s="22">
        <v>32</v>
      </c>
      <c r="E251" s="32">
        <v>1</v>
      </c>
      <c r="F251" s="32"/>
      <c r="G251" s="24">
        <v>0.5</v>
      </c>
      <c r="H251" s="32">
        <v>1</v>
      </c>
      <c r="I251" s="32">
        <v>1</v>
      </c>
      <c r="J251" s="32">
        <v>1</v>
      </c>
      <c r="K251" s="32">
        <v>1</v>
      </c>
      <c r="L251" s="32">
        <v>1</v>
      </c>
      <c r="M251" s="24">
        <v>0.5</v>
      </c>
      <c r="N251" s="32">
        <v>1</v>
      </c>
      <c r="O251" s="32">
        <v>1</v>
      </c>
      <c r="P251" s="32"/>
      <c r="Q251" s="32">
        <v>1</v>
      </c>
      <c r="R251" s="32">
        <v>1</v>
      </c>
      <c r="S251" s="32">
        <v>1</v>
      </c>
      <c r="T251" s="32">
        <v>1</v>
      </c>
      <c r="U251" s="23">
        <v>1</v>
      </c>
      <c r="V251" s="29">
        <v>1</v>
      </c>
      <c r="W251" s="32">
        <v>1</v>
      </c>
      <c r="X251" s="32">
        <v>1</v>
      </c>
      <c r="Y251" s="29">
        <v>1</v>
      </c>
      <c r="Z251" s="29">
        <v>1</v>
      </c>
      <c r="AA251" s="32">
        <v>1</v>
      </c>
      <c r="AB251" s="32"/>
      <c r="AC251" s="24">
        <v>0.5</v>
      </c>
      <c r="AD251" s="32">
        <v>1</v>
      </c>
      <c r="AE251" s="32">
        <v>1</v>
      </c>
      <c r="AF251" s="32">
        <v>1</v>
      </c>
      <c r="AG251" s="32">
        <v>1</v>
      </c>
      <c r="AH251" s="32">
        <v>1</v>
      </c>
      <c r="AI251" s="24">
        <v>1</v>
      </c>
      <c r="AJ251" s="32">
        <v>1</v>
      </c>
      <c r="AK251" s="32">
        <v>1</v>
      </c>
      <c r="AL251" s="32"/>
      <c r="AM251" s="32">
        <v>1</v>
      </c>
      <c r="AN251" s="32"/>
      <c r="AO251" s="32">
        <v>1</v>
      </c>
      <c r="AP251" s="32">
        <v>1</v>
      </c>
      <c r="AQ251" s="23">
        <v>1</v>
      </c>
      <c r="AR251" s="29">
        <v>1</v>
      </c>
      <c r="AS251" s="32">
        <v>1</v>
      </c>
      <c r="AT251" s="32"/>
      <c r="AU251" s="29">
        <v>1</v>
      </c>
      <c r="AV251" s="29">
        <v>1</v>
      </c>
      <c r="AW251" s="32">
        <v>1</v>
      </c>
      <c r="AX251" s="32"/>
      <c r="AY251" s="24">
        <v>1</v>
      </c>
      <c r="AZ251" s="32">
        <v>1</v>
      </c>
      <c r="BA251" s="32">
        <v>1</v>
      </c>
      <c r="BB251" s="32">
        <v>1</v>
      </c>
      <c r="BC251" s="32">
        <v>1</v>
      </c>
      <c r="BD251" s="32">
        <v>1</v>
      </c>
      <c r="BE251" s="24">
        <v>1</v>
      </c>
      <c r="BF251" s="32">
        <v>1</v>
      </c>
      <c r="BG251" s="32">
        <v>1</v>
      </c>
      <c r="BH251" s="32">
        <v>1</v>
      </c>
      <c r="BI251" s="32">
        <v>1</v>
      </c>
      <c r="BJ251" s="32">
        <v>0</v>
      </c>
      <c r="BK251" s="32">
        <v>1</v>
      </c>
      <c r="BL251" s="32">
        <v>1</v>
      </c>
      <c r="BM251" s="23">
        <v>1</v>
      </c>
      <c r="BN251" s="29">
        <v>0</v>
      </c>
      <c r="BO251" s="32">
        <v>1</v>
      </c>
      <c r="BP251" s="32"/>
      <c r="BQ251" s="29">
        <v>1</v>
      </c>
      <c r="BR251" s="29">
        <v>1</v>
      </c>
      <c r="BT251">
        <f t="shared" si="89"/>
        <v>58</v>
      </c>
      <c r="BU251">
        <f t="shared" si="90"/>
        <v>54.5</v>
      </c>
      <c r="BV251" s="25">
        <f t="shared" si="91"/>
        <v>0.93965517241379315</v>
      </c>
    </row>
    <row r="252" spans="2:74" ht="26.25" thickBot="1" x14ac:dyDescent="0.3">
      <c r="B252" s="33" t="s">
        <v>85</v>
      </c>
      <c r="D252" s="22">
        <v>33</v>
      </c>
      <c r="E252" s="32">
        <v>0.5</v>
      </c>
      <c r="F252" s="32"/>
      <c r="G252" s="24">
        <v>1</v>
      </c>
      <c r="H252" s="32">
        <v>0</v>
      </c>
      <c r="I252" s="32">
        <v>0.5</v>
      </c>
      <c r="J252" s="32">
        <v>1</v>
      </c>
      <c r="K252" s="32">
        <v>0</v>
      </c>
      <c r="L252" s="32">
        <v>1</v>
      </c>
      <c r="M252" s="24">
        <v>0.5</v>
      </c>
      <c r="N252" s="32">
        <v>0</v>
      </c>
      <c r="O252" s="32">
        <v>0</v>
      </c>
      <c r="P252" s="32"/>
      <c r="Q252" s="32">
        <v>0</v>
      </c>
      <c r="R252" s="32">
        <v>1</v>
      </c>
      <c r="S252" s="32">
        <v>0</v>
      </c>
      <c r="T252" s="32">
        <v>0</v>
      </c>
      <c r="U252" s="23">
        <v>1</v>
      </c>
      <c r="V252" s="29">
        <v>0</v>
      </c>
      <c r="W252" s="32">
        <v>0</v>
      </c>
      <c r="X252" s="32">
        <v>1</v>
      </c>
      <c r="Y252" s="29">
        <v>1</v>
      </c>
      <c r="Z252" s="29">
        <v>1</v>
      </c>
      <c r="AA252" s="32"/>
      <c r="AB252" s="32"/>
      <c r="AC252" s="24">
        <v>0.5</v>
      </c>
      <c r="AD252" s="32">
        <v>1</v>
      </c>
      <c r="AE252" s="32">
        <v>0.5</v>
      </c>
      <c r="AF252" s="32">
        <v>1</v>
      </c>
      <c r="AG252" s="32">
        <v>1</v>
      </c>
      <c r="AH252" s="32">
        <v>1</v>
      </c>
      <c r="AI252" s="24">
        <v>1</v>
      </c>
      <c r="AJ252" s="32">
        <v>1</v>
      </c>
      <c r="AK252" s="32">
        <v>1</v>
      </c>
      <c r="AL252" s="32"/>
      <c r="AM252" s="32">
        <v>1</v>
      </c>
      <c r="AN252" s="32"/>
      <c r="AO252" s="32">
        <v>1</v>
      </c>
      <c r="AP252" s="32">
        <v>1</v>
      </c>
      <c r="AQ252" s="23">
        <v>1</v>
      </c>
      <c r="AR252" s="29">
        <v>0.5</v>
      </c>
      <c r="AS252" s="32">
        <v>0</v>
      </c>
      <c r="AT252" s="32"/>
      <c r="AU252" s="29">
        <v>1</v>
      </c>
      <c r="AV252" s="29">
        <v>1</v>
      </c>
      <c r="AW252" s="32"/>
      <c r="AX252" s="32"/>
      <c r="AY252" s="24">
        <v>1</v>
      </c>
      <c r="AZ252" s="32">
        <v>0</v>
      </c>
      <c r="BA252" s="32">
        <v>0.5</v>
      </c>
      <c r="BB252" s="32">
        <v>1</v>
      </c>
      <c r="BC252" s="32">
        <v>0</v>
      </c>
      <c r="BD252" s="32">
        <v>1</v>
      </c>
      <c r="BE252" s="24">
        <v>1</v>
      </c>
      <c r="BF252" s="32">
        <v>1</v>
      </c>
      <c r="BG252" s="32">
        <v>1</v>
      </c>
      <c r="BH252" s="32">
        <v>1</v>
      </c>
      <c r="BI252" s="32">
        <v>0</v>
      </c>
      <c r="BJ252" s="32">
        <v>0</v>
      </c>
      <c r="BK252" s="32">
        <v>1</v>
      </c>
      <c r="BL252" s="32">
        <v>0</v>
      </c>
      <c r="BM252" s="23">
        <v>1</v>
      </c>
      <c r="BN252" s="29">
        <v>0</v>
      </c>
      <c r="BO252" s="32">
        <v>0</v>
      </c>
      <c r="BP252" s="32"/>
      <c r="BQ252" s="29">
        <v>1</v>
      </c>
      <c r="BR252" s="29">
        <v>1</v>
      </c>
      <c r="BT252">
        <f t="shared" si="89"/>
        <v>56</v>
      </c>
      <c r="BU252">
        <f t="shared" si="90"/>
        <v>35.5</v>
      </c>
      <c r="BV252" s="25">
        <f t="shared" si="91"/>
        <v>0.6339285714285714</v>
      </c>
    </row>
    <row r="253" spans="2:74" ht="26.25" thickBot="1" x14ac:dyDescent="0.3">
      <c r="B253" s="33" t="s">
        <v>86</v>
      </c>
      <c r="D253" s="22">
        <v>34</v>
      </c>
      <c r="E253" s="32"/>
      <c r="F253" s="32">
        <v>1</v>
      </c>
      <c r="G253" s="24">
        <v>1</v>
      </c>
      <c r="H253" s="32">
        <v>0</v>
      </c>
      <c r="I253" s="32">
        <v>0</v>
      </c>
      <c r="J253" s="32">
        <v>1</v>
      </c>
      <c r="K253" s="32">
        <v>0</v>
      </c>
      <c r="L253" s="32">
        <v>1</v>
      </c>
      <c r="M253" s="24">
        <v>0.5</v>
      </c>
      <c r="N253" s="32">
        <v>0</v>
      </c>
      <c r="O253" s="32">
        <v>1</v>
      </c>
      <c r="P253" s="32"/>
      <c r="Q253" s="32">
        <v>1</v>
      </c>
      <c r="R253" s="32">
        <v>1</v>
      </c>
      <c r="S253" s="32">
        <v>0</v>
      </c>
      <c r="T253" s="32">
        <v>1</v>
      </c>
      <c r="U253" s="23">
        <v>1</v>
      </c>
      <c r="V253" s="29"/>
      <c r="W253" s="32">
        <v>1</v>
      </c>
      <c r="X253" s="32">
        <v>1</v>
      </c>
      <c r="Y253" s="29">
        <v>1</v>
      </c>
      <c r="Z253" s="29">
        <v>1</v>
      </c>
      <c r="AA253" s="32"/>
      <c r="AB253" s="32">
        <v>1</v>
      </c>
      <c r="AC253" s="24">
        <v>0.5</v>
      </c>
      <c r="AD253" s="32">
        <v>1</v>
      </c>
      <c r="AE253" s="32">
        <v>0</v>
      </c>
      <c r="AF253" s="32">
        <v>1</v>
      </c>
      <c r="AG253" s="32">
        <v>1</v>
      </c>
      <c r="AH253" s="32">
        <v>1</v>
      </c>
      <c r="AI253" s="24">
        <v>1</v>
      </c>
      <c r="AJ253" s="32">
        <v>0.5</v>
      </c>
      <c r="AK253" s="32">
        <v>1</v>
      </c>
      <c r="AL253" s="32"/>
      <c r="AM253" s="32">
        <v>1</v>
      </c>
      <c r="AN253" s="32"/>
      <c r="AO253" s="32">
        <v>1</v>
      </c>
      <c r="AP253" s="32">
        <v>1</v>
      </c>
      <c r="AQ253" s="23">
        <v>1</v>
      </c>
      <c r="AR253" s="29">
        <v>0</v>
      </c>
      <c r="AS253" s="32">
        <v>1</v>
      </c>
      <c r="AT253" s="32"/>
      <c r="AU253" s="29">
        <v>1</v>
      </c>
      <c r="AV253" s="29">
        <v>1</v>
      </c>
      <c r="AW253" s="32"/>
      <c r="AX253" s="32">
        <v>1</v>
      </c>
      <c r="AY253" s="24">
        <v>1</v>
      </c>
      <c r="AZ253" s="32">
        <v>1</v>
      </c>
      <c r="BA253" s="32">
        <v>0</v>
      </c>
      <c r="BB253" s="32">
        <v>1</v>
      </c>
      <c r="BC253" s="32">
        <v>0</v>
      </c>
      <c r="BD253" s="32">
        <v>1</v>
      </c>
      <c r="BE253" s="24">
        <v>1</v>
      </c>
      <c r="BF253" s="32">
        <v>0.5</v>
      </c>
      <c r="BG253" s="32">
        <v>1</v>
      </c>
      <c r="BH253" s="32">
        <v>1</v>
      </c>
      <c r="BI253" s="32">
        <v>1</v>
      </c>
      <c r="BJ253" s="32">
        <v>0</v>
      </c>
      <c r="BK253" s="32">
        <v>1</v>
      </c>
      <c r="BL253" s="32">
        <v>1</v>
      </c>
      <c r="BM253" s="23">
        <v>1</v>
      </c>
      <c r="BN253" s="29">
        <v>0</v>
      </c>
      <c r="BO253" s="32">
        <v>1</v>
      </c>
      <c r="BP253" s="32"/>
      <c r="BQ253" s="29">
        <v>1</v>
      </c>
      <c r="BR253" s="29">
        <v>1</v>
      </c>
      <c r="BT253">
        <f t="shared" si="89"/>
        <v>57</v>
      </c>
      <c r="BU253">
        <f t="shared" si="90"/>
        <v>44</v>
      </c>
      <c r="BV253" s="25">
        <f t="shared" si="91"/>
        <v>0.77192982456140347</v>
      </c>
    </row>
    <row r="254" spans="2:74" ht="26.25" thickBot="1" x14ac:dyDescent="0.3">
      <c r="B254" s="27" t="s">
        <v>87</v>
      </c>
      <c r="D254" s="22">
        <v>35</v>
      </c>
      <c r="E254" s="32">
        <v>1</v>
      </c>
      <c r="F254" s="32">
        <v>1</v>
      </c>
      <c r="G254" s="24">
        <v>0.5</v>
      </c>
      <c r="H254" s="32">
        <v>1</v>
      </c>
      <c r="I254" s="32">
        <v>1</v>
      </c>
      <c r="J254" s="32">
        <v>1</v>
      </c>
      <c r="K254" s="32">
        <v>1</v>
      </c>
      <c r="L254" s="32">
        <v>1</v>
      </c>
      <c r="M254" s="24">
        <v>0.5</v>
      </c>
      <c r="N254" s="32">
        <v>1</v>
      </c>
      <c r="O254" s="32">
        <v>1</v>
      </c>
      <c r="P254" s="32"/>
      <c r="Q254" s="32">
        <v>1</v>
      </c>
      <c r="R254" s="32">
        <v>1</v>
      </c>
      <c r="S254" s="32">
        <v>1</v>
      </c>
      <c r="T254" s="32">
        <v>1</v>
      </c>
      <c r="U254" s="23">
        <v>1</v>
      </c>
      <c r="V254" s="29">
        <v>1</v>
      </c>
      <c r="W254" s="32">
        <v>1</v>
      </c>
      <c r="X254" s="32">
        <v>1</v>
      </c>
      <c r="Y254" s="29">
        <v>1</v>
      </c>
      <c r="Z254" s="29">
        <v>1</v>
      </c>
      <c r="AA254" s="32">
        <v>1</v>
      </c>
      <c r="AB254" s="32">
        <v>1</v>
      </c>
      <c r="AC254" s="24">
        <v>0.5</v>
      </c>
      <c r="AD254" s="32">
        <v>1</v>
      </c>
      <c r="AE254" s="32">
        <v>1</v>
      </c>
      <c r="AF254" s="32">
        <v>1</v>
      </c>
      <c r="AG254" s="32">
        <v>1</v>
      </c>
      <c r="AH254" s="32">
        <v>1</v>
      </c>
      <c r="AI254" s="24">
        <v>1</v>
      </c>
      <c r="AJ254" s="32">
        <v>1</v>
      </c>
      <c r="AK254" s="32">
        <v>1</v>
      </c>
      <c r="AL254" s="32"/>
      <c r="AM254" s="32">
        <v>1</v>
      </c>
      <c r="AN254" s="32"/>
      <c r="AO254" s="32">
        <v>1</v>
      </c>
      <c r="AP254" s="32">
        <v>1</v>
      </c>
      <c r="AQ254" s="23">
        <v>1</v>
      </c>
      <c r="AR254" s="29">
        <v>1</v>
      </c>
      <c r="AS254" s="32">
        <v>1</v>
      </c>
      <c r="AT254" s="32"/>
      <c r="AU254" s="29">
        <v>1</v>
      </c>
      <c r="AV254" s="29">
        <v>1</v>
      </c>
      <c r="AW254" s="32">
        <v>1</v>
      </c>
      <c r="AX254" s="32">
        <v>1</v>
      </c>
      <c r="AY254" s="24">
        <v>1</v>
      </c>
      <c r="AZ254" s="32">
        <v>1</v>
      </c>
      <c r="BA254" s="32">
        <v>1</v>
      </c>
      <c r="BB254" s="32">
        <v>1</v>
      </c>
      <c r="BC254" s="32">
        <v>1</v>
      </c>
      <c r="BD254" s="32">
        <v>1</v>
      </c>
      <c r="BE254" s="24">
        <v>1</v>
      </c>
      <c r="BF254" s="32">
        <v>1</v>
      </c>
      <c r="BG254" s="32">
        <v>1</v>
      </c>
      <c r="BH254" s="32">
        <v>1</v>
      </c>
      <c r="BI254" s="32">
        <v>1</v>
      </c>
      <c r="BJ254" s="32">
        <v>0</v>
      </c>
      <c r="BK254" s="32">
        <v>1</v>
      </c>
      <c r="BL254" s="32">
        <v>1</v>
      </c>
      <c r="BM254" s="23">
        <v>1</v>
      </c>
      <c r="BN254" s="29">
        <v>0.5</v>
      </c>
      <c r="BO254" s="32">
        <v>1</v>
      </c>
      <c r="BP254" s="32"/>
      <c r="BQ254" s="29">
        <v>1</v>
      </c>
      <c r="BR254" s="29">
        <v>1</v>
      </c>
      <c r="BT254">
        <f t="shared" si="89"/>
        <v>61</v>
      </c>
      <c r="BU254">
        <f t="shared" si="90"/>
        <v>58</v>
      </c>
      <c r="BV254" s="25">
        <f t="shared" si="91"/>
        <v>0.95081967213114749</v>
      </c>
    </row>
    <row r="255" spans="2:74" ht="26.25" thickBot="1" x14ac:dyDescent="0.3">
      <c r="B255" s="21" t="s">
        <v>88</v>
      </c>
      <c r="D255" s="22">
        <v>36</v>
      </c>
      <c r="E255" s="32"/>
      <c r="F255" s="32">
        <v>0.5</v>
      </c>
      <c r="G255" s="24">
        <v>1</v>
      </c>
      <c r="H255" s="32">
        <v>0</v>
      </c>
      <c r="I255" s="32">
        <v>0</v>
      </c>
      <c r="J255" s="32">
        <v>1</v>
      </c>
      <c r="K255" s="32">
        <v>1</v>
      </c>
      <c r="L255" s="32">
        <v>1</v>
      </c>
      <c r="M255" s="24">
        <v>0.5</v>
      </c>
      <c r="N255" s="32">
        <v>1</v>
      </c>
      <c r="O255" s="32">
        <v>0</v>
      </c>
      <c r="P255" s="32"/>
      <c r="Q255" s="32">
        <v>0</v>
      </c>
      <c r="R255" s="32">
        <v>1</v>
      </c>
      <c r="S255" s="32">
        <v>0</v>
      </c>
      <c r="T255" s="32">
        <v>0</v>
      </c>
      <c r="U255" s="23">
        <v>1</v>
      </c>
      <c r="V255" s="29">
        <v>0</v>
      </c>
      <c r="W255" s="32">
        <v>0</v>
      </c>
      <c r="X255" s="32">
        <v>1</v>
      </c>
      <c r="Y255" s="29">
        <v>1</v>
      </c>
      <c r="Z255" s="29">
        <v>1</v>
      </c>
      <c r="AA255" s="32"/>
      <c r="AB255" s="32">
        <v>0.5</v>
      </c>
      <c r="AC255" s="24">
        <v>0.5</v>
      </c>
      <c r="AD255" s="32">
        <v>1</v>
      </c>
      <c r="AE255" s="32">
        <v>0</v>
      </c>
      <c r="AF255" s="32">
        <v>1</v>
      </c>
      <c r="AG255" s="32">
        <v>1</v>
      </c>
      <c r="AH255" s="32">
        <v>1</v>
      </c>
      <c r="AI255" s="24">
        <v>1</v>
      </c>
      <c r="AJ255" s="32">
        <v>1</v>
      </c>
      <c r="AK255" s="32">
        <v>1</v>
      </c>
      <c r="AL255" s="32"/>
      <c r="AM255" s="32">
        <v>1</v>
      </c>
      <c r="AN255" s="32"/>
      <c r="AO255" s="32">
        <v>1</v>
      </c>
      <c r="AP255" s="32">
        <v>1</v>
      </c>
      <c r="AQ255" s="23">
        <v>1</v>
      </c>
      <c r="AR255" s="29">
        <v>0.5</v>
      </c>
      <c r="AS255" s="32">
        <v>0</v>
      </c>
      <c r="AT255" s="32"/>
      <c r="AU255" s="29">
        <v>1</v>
      </c>
      <c r="AV255" s="29">
        <v>1</v>
      </c>
      <c r="AW255" s="32"/>
      <c r="AX255" s="32">
        <v>0.5</v>
      </c>
      <c r="AY255" s="24">
        <v>1</v>
      </c>
      <c r="AZ255" s="32">
        <v>0</v>
      </c>
      <c r="BA255" s="32">
        <v>0</v>
      </c>
      <c r="BB255" s="32">
        <v>1</v>
      </c>
      <c r="BC255" s="32">
        <v>1</v>
      </c>
      <c r="BD255" s="32">
        <v>1</v>
      </c>
      <c r="BE255" s="24">
        <v>1</v>
      </c>
      <c r="BF255" s="32">
        <v>1</v>
      </c>
      <c r="BG255" s="32">
        <v>1</v>
      </c>
      <c r="BH255" s="32">
        <v>1</v>
      </c>
      <c r="BI255" s="32">
        <v>0</v>
      </c>
      <c r="BJ255" s="32">
        <v>0</v>
      </c>
      <c r="BK255" s="32">
        <v>1</v>
      </c>
      <c r="BL255" s="32">
        <v>0</v>
      </c>
      <c r="BM255" s="23">
        <v>1</v>
      </c>
      <c r="BN255" s="29">
        <v>0.5</v>
      </c>
      <c r="BO255" s="32">
        <v>0</v>
      </c>
      <c r="BP255" s="32">
        <v>1</v>
      </c>
      <c r="BQ255" s="29">
        <v>1</v>
      </c>
      <c r="BR255" s="29">
        <v>1</v>
      </c>
      <c r="BT255">
        <f t="shared" si="89"/>
        <v>59</v>
      </c>
      <c r="BU255">
        <f t="shared" si="90"/>
        <v>39.5</v>
      </c>
      <c r="BV255" s="25">
        <f t="shared" si="91"/>
        <v>0.66949152542372881</v>
      </c>
    </row>
    <row r="256" spans="2:74" ht="26.25" thickBot="1" x14ac:dyDescent="0.3">
      <c r="B256" s="33" t="s">
        <v>89</v>
      </c>
      <c r="D256" s="22">
        <v>37</v>
      </c>
      <c r="E256" s="32"/>
      <c r="F256" s="32">
        <v>1</v>
      </c>
      <c r="G256" s="24">
        <v>1</v>
      </c>
      <c r="H256" s="32">
        <v>1</v>
      </c>
      <c r="I256" s="32">
        <v>0</v>
      </c>
      <c r="J256" s="32">
        <v>1</v>
      </c>
      <c r="K256" s="32">
        <v>0</v>
      </c>
      <c r="L256" s="32">
        <v>1</v>
      </c>
      <c r="M256" s="24">
        <v>0.5</v>
      </c>
      <c r="N256" s="32">
        <v>0</v>
      </c>
      <c r="O256" s="32">
        <v>1</v>
      </c>
      <c r="P256" s="44"/>
      <c r="Q256" s="32">
        <v>1</v>
      </c>
      <c r="R256" s="32">
        <v>1</v>
      </c>
      <c r="S256" s="32">
        <v>0</v>
      </c>
      <c r="T256" s="32">
        <v>1</v>
      </c>
      <c r="U256" s="23">
        <v>1</v>
      </c>
      <c r="V256" s="29"/>
      <c r="W256" s="32">
        <v>1</v>
      </c>
      <c r="X256" s="32">
        <v>1</v>
      </c>
      <c r="Y256" s="29">
        <v>1</v>
      </c>
      <c r="Z256" s="29">
        <v>1</v>
      </c>
      <c r="AA256" s="32"/>
      <c r="AB256" s="32">
        <v>1</v>
      </c>
      <c r="AC256" s="24">
        <v>0.5</v>
      </c>
      <c r="AD256" s="32">
        <v>1</v>
      </c>
      <c r="AE256" s="50">
        <v>0</v>
      </c>
      <c r="AF256" s="32">
        <v>1</v>
      </c>
      <c r="AG256" s="32">
        <v>1</v>
      </c>
      <c r="AH256" s="32">
        <v>1</v>
      </c>
      <c r="AI256" s="24">
        <v>1</v>
      </c>
      <c r="AJ256" s="32">
        <v>1</v>
      </c>
      <c r="AK256" s="32">
        <v>1</v>
      </c>
      <c r="AL256" s="32"/>
      <c r="AM256" s="32">
        <v>1</v>
      </c>
      <c r="AN256" s="32"/>
      <c r="AO256" s="32">
        <v>1</v>
      </c>
      <c r="AP256" s="32">
        <v>1</v>
      </c>
      <c r="AQ256" s="23">
        <v>1</v>
      </c>
      <c r="AR256" s="29">
        <v>0.5</v>
      </c>
      <c r="AS256" s="32">
        <v>1</v>
      </c>
      <c r="AT256" s="32"/>
      <c r="AU256" s="29">
        <v>1</v>
      </c>
      <c r="AV256" s="29">
        <v>1</v>
      </c>
      <c r="AW256" s="32"/>
      <c r="AX256" s="32">
        <v>1</v>
      </c>
      <c r="AY256" s="24">
        <v>1</v>
      </c>
      <c r="AZ256" s="32">
        <v>1</v>
      </c>
      <c r="BA256" s="32">
        <v>0</v>
      </c>
      <c r="BB256" s="32">
        <v>1</v>
      </c>
      <c r="BC256" s="32">
        <v>0</v>
      </c>
      <c r="BD256" s="32">
        <v>1</v>
      </c>
      <c r="BE256" s="24">
        <v>1</v>
      </c>
      <c r="BF256" s="32">
        <v>0</v>
      </c>
      <c r="BG256" s="32">
        <v>1</v>
      </c>
      <c r="BH256" s="32">
        <v>1</v>
      </c>
      <c r="BI256" s="32">
        <v>1</v>
      </c>
      <c r="BJ256" s="32">
        <v>0</v>
      </c>
      <c r="BK256" s="32">
        <v>1</v>
      </c>
      <c r="BL256" s="32">
        <v>1</v>
      </c>
      <c r="BM256" s="23">
        <v>1</v>
      </c>
      <c r="BN256" s="29">
        <v>0</v>
      </c>
      <c r="BO256" s="32">
        <v>1</v>
      </c>
      <c r="BP256" s="32">
        <v>1</v>
      </c>
      <c r="BQ256" s="29">
        <v>1</v>
      </c>
      <c r="BR256" s="29">
        <v>1</v>
      </c>
      <c r="BT256">
        <f t="shared" si="89"/>
        <v>58</v>
      </c>
      <c r="BU256">
        <f t="shared" si="90"/>
        <v>46.5</v>
      </c>
      <c r="BV256" s="25">
        <f t="shared" si="91"/>
        <v>0.80172413793103448</v>
      </c>
    </row>
    <row r="257" spans="2:38" x14ac:dyDescent="0.25">
      <c r="P257" s="51"/>
      <c r="AL257" s="52"/>
    </row>
    <row r="261" spans="2:38" x14ac:dyDescent="0.25">
      <c r="B261" s="1" t="s">
        <v>98</v>
      </c>
    </row>
    <row r="262" spans="2:38" x14ac:dyDescent="0.25">
      <c r="B262" s="1" t="s">
        <v>99</v>
      </c>
    </row>
    <row r="263" spans="2:38" x14ac:dyDescent="0.25">
      <c r="B263" s="1" t="s">
        <v>100</v>
      </c>
    </row>
    <row r="264" spans="2:38" x14ac:dyDescent="0.25">
      <c r="B264" s="1" t="s">
        <v>101</v>
      </c>
    </row>
    <row r="265" spans="2:38" x14ac:dyDescent="0.25">
      <c r="B265" s="1" t="s">
        <v>102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S3 Actual scores </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Sohni</dc:creator>
  <cp:lastModifiedBy>Sohni</cp:lastModifiedBy>
  <dcterms:created xsi:type="dcterms:W3CDTF">2013-03-18T13:38:26Z</dcterms:created>
  <dcterms:modified xsi:type="dcterms:W3CDTF">2013-03-18T13:41:21Z</dcterms:modified>
</cp:coreProperties>
</file>