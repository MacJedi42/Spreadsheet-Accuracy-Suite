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" yWindow="750" windowWidth="19230" windowHeight="5370"/>
  </bookViews>
  <sheets>
    <sheet name="CrossTabs" sheetId="1" r:id="rId1"/>
    <sheet name="Industrial Formatted for Print" sheetId="8" r:id="rId2"/>
    <sheet name="Downtown Formatted for Print" sheetId="2" r:id="rId3"/>
    <sheet name="Other Areas Formatted for Print" sheetId="12" r:id="rId4"/>
    <sheet name="Area Data Comparisons" sheetId="7" r:id="rId5"/>
    <sheet name="PTable" sheetId="9" r:id="rId6"/>
    <sheet name="Pivot Table Crosstabs" sheetId="3" r:id="rId7"/>
    <sheet name="Mkt Vol Hist" sheetId="10" r:id="rId8"/>
    <sheet name="Sheet1" sheetId="11" r:id="rId9"/>
  </sheets>
  <externalReferences>
    <externalReference r:id="rId10"/>
  </externalReferences>
  <definedNames>
    <definedName name="_xlnm._FilterDatabase" localSheetId="6" hidden="1">'Pivot Table Crosstabs'!$A$1:$B$8</definedName>
    <definedName name="blah">'[1]Master Data List'!#REF!</definedName>
    <definedName name="LISTINGS">'[1]Master Data List'!#REF!</definedName>
    <definedName name="old_list">'[1]Master Data List'!#REF!</definedName>
    <definedName name="old_listings">'[1]Master Data List'!#REF!</definedName>
  </definedNames>
  <calcPr calcId="145621"/>
  <pivotCaches>
    <pivotCache cacheId="0" r:id="rId11"/>
  </pivotCaches>
</workbook>
</file>

<file path=xl/calcChain.xml><?xml version="1.0" encoding="utf-8"?>
<calcChain xmlns="http://schemas.openxmlformats.org/spreadsheetml/2006/main">
  <c r="R62" i="1" l="1"/>
  <c r="R139" i="3" l="1"/>
  <c r="R138" i="3"/>
  <c r="R137" i="3"/>
  <c r="R136" i="3"/>
  <c r="R135" i="3"/>
  <c r="R134" i="3"/>
  <c r="R133" i="3"/>
  <c r="R132" i="3"/>
  <c r="R131" i="3"/>
  <c r="R130" i="3"/>
  <c r="R127" i="3"/>
  <c r="R126" i="3"/>
  <c r="R125" i="3"/>
  <c r="R123" i="3"/>
  <c r="R122" i="3"/>
  <c r="R121" i="3"/>
  <c r="R119" i="3"/>
  <c r="R117" i="3"/>
  <c r="R116" i="3"/>
  <c r="R108" i="3"/>
  <c r="R106" i="3"/>
  <c r="R103" i="3"/>
  <c r="R102" i="3"/>
  <c r="R101" i="3"/>
  <c r="R98" i="3"/>
  <c r="R97" i="3"/>
  <c r="R96" i="3"/>
  <c r="R94" i="3"/>
  <c r="R93" i="3"/>
  <c r="R91" i="3"/>
  <c r="R90" i="3"/>
  <c r="R89" i="3"/>
  <c r="R88" i="3"/>
  <c r="R87" i="3"/>
  <c r="R86" i="3"/>
  <c r="R85" i="3"/>
  <c r="R84" i="3"/>
  <c r="R83" i="3"/>
  <c r="R82" i="3"/>
  <c r="R81" i="3"/>
  <c r="R80" i="3"/>
  <c r="R77" i="3"/>
  <c r="R76" i="3"/>
  <c r="R75" i="3"/>
  <c r="R74" i="3"/>
  <c r="R72" i="3"/>
  <c r="R71" i="3"/>
  <c r="R70" i="3"/>
  <c r="R69" i="3"/>
  <c r="R68" i="3"/>
  <c r="R67" i="3"/>
  <c r="R66" i="3"/>
  <c r="R65" i="3"/>
  <c r="R64" i="3"/>
  <c r="R63" i="3"/>
  <c r="R58" i="3"/>
  <c r="R57" i="3"/>
  <c r="R54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6" i="3"/>
  <c r="R31" i="3"/>
  <c r="R30" i="3"/>
  <c r="R27" i="3"/>
  <c r="R26" i="3"/>
  <c r="R25" i="3"/>
  <c r="R24" i="3"/>
  <c r="R23" i="3"/>
  <c r="R21" i="3"/>
  <c r="R20" i="3"/>
  <c r="R15" i="3"/>
  <c r="R13" i="3"/>
  <c r="R12" i="3"/>
  <c r="R11" i="3"/>
  <c r="R10" i="3"/>
  <c r="R7" i="3"/>
  <c r="R6" i="3"/>
  <c r="R3" i="3"/>
  <c r="R2" i="3"/>
  <c r="R111" i="1" l="1"/>
  <c r="R88" i="1" l="1"/>
  <c r="R25" i="1"/>
  <c r="R28" i="1"/>
  <c r="R99" i="1"/>
  <c r="R93" i="1" l="1"/>
  <c r="R57" i="1"/>
  <c r="R53" i="1"/>
  <c r="R127" i="1"/>
  <c r="R133" i="11" l="1"/>
  <c r="R132" i="11"/>
  <c r="R131" i="11"/>
  <c r="R129" i="11"/>
  <c r="R128" i="11"/>
  <c r="R127" i="11"/>
  <c r="R126" i="11"/>
  <c r="R125" i="11"/>
  <c r="R124" i="11"/>
  <c r="R123" i="11"/>
  <c r="R121" i="11"/>
  <c r="R120" i="11"/>
  <c r="R119" i="11"/>
  <c r="R118" i="11"/>
  <c r="R117" i="11"/>
  <c r="R115" i="11"/>
  <c r="R114" i="11"/>
  <c r="R113" i="11"/>
  <c r="R110" i="11"/>
  <c r="R106" i="11"/>
  <c r="R105" i="11"/>
  <c r="R104" i="11"/>
  <c r="R103" i="11"/>
  <c r="R102" i="11"/>
  <c r="R101" i="11"/>
  <c r="R100" i="11"/>
  <c r="R98" i="11"/>
  <c r="R97" i="11"/>
  <c r="R96" i="11"/>
  <c r="R95" i="11"/>
  <c r="R94" i="11"/>
  <c r="R91" i="11"/>
  <c r="R90" i="11"/>
  <c r="R89" i="11"/>
  <c r="R88" i="11"/>
  <c r="R82" i="11"/>
  <c r="R81" i="11"/>
  <c r="R80" i="11"/>
  <c r="R79" i="11"/>
  <c r="R78" i="11"/>
  <c r="R77" i="11"/>
  <c r="R76" i="11"/>
  <c r="R75" i="11"/>
  <c r="R73" i="11"/>
  <c r="R72" i="11"/>
  <c r="R67" i="11"/>
  <c r="R63" i="11"/>
  <c r="R62" i="11"/>
  <c r="R61" i="11"/>
  <c r="R59" i="11"/>
  <c r="R57" i="11"/>
  <c r="R56" i="11"/>
  <c r="R55" i="11"/>
  <c r="R53" i="11"/>
  <c r="R50" i="11"/>
  <c r="R49" i="11"/>
  <c r="R48" i="11"/>
  <c r="R47" i="11"/>
  <c r="R46" i="11"/>
  <c r="R45" i="11"/>
  <c r="R44" i="11"/>
  <c r="R43" i="11"/>
  <c r="R42" i="11"/>
  <c r="R41" i="11"/>
  <c r="R40" i="11"/>
  <c r="R38" i="11"/>
  <c r="R37" i="11"/>
  <c r="R34" i="11"/>
  <c r="R32" i="11"/>
  <c r="R30" i="11"/>
  <c r="R28" i="11"/>
  <c r="R27" i="11"/>
  <c r="R26" i="11"/>
  <c r="R25" i="11"/>
  <c r="R24" i="11"/>
  <c r="R23" i="11"/>
  <c r="R22" i="11"/>
  <c r="R21" i="11"/>
  <c r="R20" i="11"/>
  <c r="R19" i="11"/>
  <c r="R18" i="11"/>
  <c r="R15" i="11"/>
  <c r="R14" i="11"/>
  <c r="R13" i="11"/>
  <c r="R9" i="11"/>
  <c r="R8" i="11"/>
  <c r="R7" i="11"/>
  <c r="R6" i="11"/>
  <c r="R5" i="11"/>
  <c r="R4" i="11"/>
  <c r="R3" i="11"/>
  <c r="R2" i="11"/>
  <c r="R126" i="1" l="1"/>
  <c r="R125" i="1" l="1"/>
  <c r="K22" i="7" l="1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I2" i="7" l="1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R133" i="1" l="1"/>
  <c r="R122" i="1"/>
  <c r="R139" i="1" l="1"/>
  <c r="R91" i="1" l="1"/>
  <c r="R135" i="1" l="1"/>
  <c r="R7" i="1"/>
  <c r="R48" i="1" l="1"/>
  <c r="R31" i="1"/>
  <c r="R39" i="1" l="1"/>
  <c r="R102" i="1" l="1"/>
  <c r="R84" i="1" l="1"/>
  <c r="R47" i="1" l="1"/>
  <c r="R34" i="1"/>
  <c r="R52" i="1"/>
  <c r="R43" i="1"/>
  <c r="R46" i="1"/>
  <c r="R100" i="1" l="1"/>
  <c r="R50" i="1"/>
  <c r="R56" i="1"/>
  <c r="R74" i="1" l="1"/>
  <c r="R103" i="1" l="1"/>
  <c r="R106" i="1"/>
  <c r="R128" i="1"/>
  <c r="R79" i="1" l="1"/>
  <c r="R94" i="1" l="1"/>
  <c r="R137" i="1"/>
  <c r="R45" i="1"/>
  <c r="R42" i="1" l="1"/>
  <c r="R8" i="1"/>
  <c r="R113" i="1" l="1"/>
  <c r="R112" i="1"/>
  <c r="R109" i="1"/>
  <c r="R123" i="1"/>
  <c r="R121" i="1"/>
  <c r="R104" i="1"/>
  <c r="R110" i="1"/>
  <c r="R66" i="1"/>
  <c r="R67" i="1"/>
  <c r="R86" i="1"/>
  <c r="R65" i="1"/>
  <c r="R92" i="1"/>
  <c r="R89" i="1"/>
  <c r="R90" i="1"/>
  <c r="R132" i="1"/>
  <c r="R142" i="1"/>
  <c r="R141" i="1"/>
  <c r="R140" i="1"/>
  <c r="R83" i="1"/>
  <c r="R80" i="1"/>
  <c r="R81" i="1"/>
  <c r="R82" i="1"/>
  <c r="R136" i="1"/>
  <c r="R73" i="1"/>
  <c r="R78" i="1"/>
  <c r="R76" i="1"/>
  <c r="R64" i="1"/>
  <c r="R37" i="1"/>
  <c r="R22" i="1"/>
  <c r="R17" i="1"/>
  <c r="R18" i="1"/>
  <c r="R16" i="1"/>
  <c r="R20" i="1"/>
  <c r="R21" i="1"/>
  <c r="R29" i="1"/>
  <c r="R23" i="1"/>
  <c r="R24" i="1"/>
  <c r="R26" i="1"/>
  <c r="R27" i="1"/>
  <c r="R3" i="1"/>
  <c r="R4" i="1"/>
  <c r="R5" i="1"/>
  <c r="R2" i="1"/>
  <c r="R13" i="1"/>
  <c r="R60" i="1"/>
  <c r="R59" i="1"/>
  <c r="R58" i="1"/>
  <c r="R49" i="1"/>
  <c r="R51" i="1"/>
  <c r="R44" i="1"/>
</calcChain>
</file>

<file path=xl/sharedStrings.xml><?xml version="1.0" encoding="utf-8"?>
<sst xmlns="http://schemas.openxmlformats.org/spreadsheetml/2006/main" count="10814" uniqueCount="497">
  <si>
    <t>Datta Khalsa</t>
  </si>
  <si>
    <t>831-818-0181</t>
  </si>
  <si>
    <t>Retail</t>
  </si>
  <si>
    <t>Reuben Helick</t>
  </si>
  <si>
    <t>831-647-2109</t>
  </si>
  <si>
    <t>NNN</t>
  </si>
  <si>
    <t>Gross</t>
  </si>
  <si>
    <t xml:space="preserve">Retail </t>
  </si>
  <si>
    <t xml:space="preserve">Office </t>
  </si>
  <si>
    <t>jrparrish.com</t>
  </si>
  <si>
    <t xml:space="preserve">Gross </t>
  </si>
  <si>
    <t xml:space="preserve">University Town Center </t>
  </si>
  <si>
    <t>Notes</t>
  </si>
  <si>
    <t>Phone</t>
  </si>
  <si>
    <t>Broker</t>
  </si>
  <si>
    <t>Overhead</t>
  </si>
  <si>
    <t>Square Footage</t>
  </si>
  <si>
    <t>sheldonwiseman.com</t>
  </si>
  <si>
    <t xml:space="preserve">Type </t>
  </si>
  <si>
    <t xml:space="preserve">Address </t>
  </si>
  <si>
    <t>Lee Slaff</t>
  </si>
  <si>
    <t>831-425-1419</t>
  </si>
  <si>
    <t>Stated NNN Value</t>
  </si>
  <si>
    <t xml:space="preserve">Suite </t>
  </si>
  <si>
    <t>Office</t>
  </si>
  <si>
    <t>Steve Sheldon or Jim Wiseman</t>
  </si>
  <si>
    <t>Carol Lezin or Carol Canaris</t>
  </si>
  <si>
    <t>408-436-3652</t>
  </si>
  <si>
    <t>terranomics.com</t>
  </si>
  <si>
    <t xml:space="preserve">Stated Rent </t>
  </si>
  <si>
    <t>EC Rittenhouse Building</t>
  </si>
  <si>
    <t xml:space="preserve">Patrick Prindle </t>
  </si>
  <si>
    <t>831-234-0517</t>
  </si>
  <si>
    <t>mcmdiversified.com</t>
  </si>
  <si>
    <t>Cooper House</t>
  </si>
  <si>
    <t>Brian O'Connor</t>
  </si>
  <si>
    <t>831-818-0368</t>
  </si>
  <si>
    <t>wilsonbroscommercial.com</t>
  </si>
  <si>
    <t xml:space="preserve">Pacific </t>
  </si>
  <si>
    <t>Area</t>
  </si>
  <si>
    <t xml:space="preserve">Cooper / Front </t>
  </si>
  <si>
    <t>A</t>
  </si>
  <si>
    <t>E</t>
  </si>
  <si>
    <t>Tracy Jones</t>
  </si>
  <si>
    <t>Fred Antaki</t>
  </si>
  <si>
    <t>831-295-8850</t>
  </si>
  <si>
    <t>mainstreetrealtors.com</t>
  </si>
  <si>
    <t xml:space="preserve">Other Downtown </t>
  </si>
  <si>
    <t>Flex Space</t>
  </si>
  <si>
    <t>C</t>
  </si>
  <si>
    <t>B</t>
  </si>
  <si>
    <t xml:space="preserve">Flex Space </t>
  </si>
  <si>
    <t xml:space="preserve">A </t>
  </si>
  <si>
    <t>A-2</t>
  </si>
  <si>
    <t>A-3</t>
  </si>
  <si>
    <t xml:space="preserve">C </t>
  </si>
  <si>
    <t>175-A</t>
  </si>
  <si>
    <t>175-B</t>
  </si>
  <si>
    <t>Wayne Shaffer</t>
  </si>
  <si>
    <t>831-427-1380</t>
  </si>
  <si>
    <t>wshaffer.com</t>
  </si>
  <si>
    <t xml:space="preserve">Kristen A. Macken </t>
  </si>
  <si>
    <t>Glenn Kramer</t>
  </si>
  <si>
    <t>831-724-2343</t>
  </si>
  <si>
    <t>burgstromkramer.com</t>
  </si>
  <si>
    <t>David Cury</t>
  </si>
  <si>
    <t>davidcury@yahoo.com</t>
  </si>
  <si>
    <t>Website / Email</t>
  </si>
  <si>
    <t>River / Potrero</t>
  </si>
  <si>
    <t>Warehouse</t>
  </si>
  <si>
    <t>D</t>
  </si>
  <si>
    <t>Leland Zeidler or Michael DiDonato</t>
  </si>
  <si>
    <t>831-423-8331</t>
  </si>
  <si>
    <t>Rentalinfo@lemarco.com</t>
  </si>
  <si>
    <t>sbogdanovich@retailassociates.com</t>
  </si>
  <si>
    <t>Sam Bogdanovich</t>
  </si>
  <si>
    <t>831-886-7802</t>
  </si>
  <si>
    <t>Sue Ellen Gales</t>
  </si>
  <si>
    <t>831-239-5516</t>
  </si>
  <si>
    <t>sue@andersonchristie.com</t>
  </si>
  <si>
    <t>List</t>
  </si>
  <si>
    <t xml:space="preserve">Downtown </t>
  </si>
  <si>
    <t xml:space="preserve">Industrial </t>
  </si>
  <si>
    <t xml:space="preserve">Westside </t>
  </si>
  <si>
    <t>Industrial</t>
  </si>
  <si>
    <t xml:space="preserve">Warehouse </t>
  </si>
  <si>
    <t>Good Earth Tea Builiding</t>
  </si>
  <si>
    <t>Wrigley Building</t>
  </si>
  <si>
    <t xml:space="preserve">NNN </t>
  </si>
  <si>
    <t xml:space="preserve"> Gross</t>
  </si>
  <si>
    <t>dock with 2 roll ups. w/Office  and roll ups</t>
  </si>
  <si>
    <t>artworkspacesantacruz.com</t>
  </si>
  <si>
    <t xml:space="preserve">Jackie Copriviza </t>
  </si>
  <si>
    <t>831-476-2222</t>
  </si>
  <si>
    <t>russellgross.com</t>
  </si>
  <si>
    <t>Russell E. Gross</t>
  </si>
  <si>
    <t>appenrodtcommercial.com</t>
  </si>
  <si>
    <t>Joe Appenrodt</t>
  </si>
  <si>
    <t>831-234-5884</t>
  </si>
  <si>
    <t>Randy Parker</t>
  </si>
  <si>
    <t xml:space="preserve">William Ow </t>
  </si>
  <si>
    <t>owproperties.com</t>
  </si>
  <si>
    <t>Matt Shelton</t>
  </si>
  <si>
    <t>Warren Reed</t>
  </si>
  <si>
    <t>831-438-5725</t>
  </si>
  <si>
    <t>wreed@jsco.net</t>
  </si>
  <si>
    <t xml:space="preserve">Harvey West </t>
  </si>
  <si>
    <t>Yard for storage</t>
  </si>
  <si>
    <t>dock, high roll up</t>
  </si>
  <si>
    <t>Garage w/ rollup</t>
  </si>
  <si>
    <t>Rick Melrose</t>
  </si>
  <si>
    <t>831-334-1295</t>
  </si>
  <si>
    <t>rick_melrose@yahoo.com</t>
  </si>
  <si>
    <t>831-454-9400</t>
  </si>
  <si>
    <t>831-247-5550</t>
  </si>
  <si>
    <t>Other Commercial Areas</t>
  </si>
  <si>
    <t>Medical</t>
  </si>
  <si>
    <t>Restaurant</t>
  </si>
  <si>
    <t>C3</t>
  </si>
  <si>
    <t xml:space="preserve">Medical </t>
  </si>
  <si>
    <t>L2</t>
  </si>
  <si>
    <t>mainstreetrelators.com</t>
  </si>
  <si>
    <t>Seabright Clocktower Building</t>
  </si>
  <si>
    <t>2 privates , reception</t>
  </si>
  <si>
    <t>Gwen or Doug Kaplan</t>
  </si>
  <si>
    <t>831-476-3627</t>
  </si>
  <si>
    <t>allenpginc.com</t>
  </si>
  <si>
    <t>plus utilities</t>
  </si>
  <si>
    <t>Cara Meyers</t>
  </si>
  <si>
    <t>831-295-0749</t>
  </si>
  <si>
    <t>diggardens.com</t>
  </si>
  <si>
    <t>Brad Shelton</t>
  </si>
  <si>
    <t xml:space="preserve">Jon Stansbury or James Chung </t>
  </si>
  <si>
    <t>kristen.macken@colliers.com</t>
  </si>
  <si>
    <t>408-282-3878  </t>
  </si>
  <si>
    <t>lee@lslaff.com</t>
  </si>
  <si>
    <t xml:space="preserve">City </t>
  </si>
  <si>
    <t>State</t>
  </si>
  <si>
    <t xml:space="preserve">Zip Code </t>
  </si>
  <si>
    <t xml:space="preserve">Santa Cruz </t>
  </si>
  <si>
    <t>CA</t>
  </si>
  <si>
    <t>Please call for leasing information. Almar / Safeway Center</t>
  </si>
  <si>
    <t>Cooper House. Second floor divisible to 2,500 square foot suites</t>
  </si>
  <si>
    <t>EC Rittenhouse Building Retail Space Divisible to 4,500 square feet</t>
  </si>
  <si>
    <t>Divisible to 150 square feet at $495</t>
  </si>
  <si>
    <t>Divsible to 3,500 square feet</t>
  </si>
  <si>
    <t>Wrigley Building Divisible to 2,400 square feet</t>
  </si>
  <si>
    <t>Per Square Foot (Using Upper Asking Price)</t>
  </si>
  <si>
    <t>plus utilities. Sublease</t>
  </si>
  <si>
    <t xml:space="preserve">All Areas </t>
  </si>
  <si>
    <t xml:space="preserve">All Types </t>
  </si>
  <si>
    <t xml:space="preserve">Pacific Avenue </t>
  </si>
  <si>
    <t xml:space="preserve">831-464-0444 </t>
  </si>
  <si>
    <t>831-464-0444</t>
  </si>
  <si>
    <t>5th Floor</t>
  </si>
  <si>
    <t>4th Floor</t>
  </si>
  <si>
    <t>2d Floor</t>
  </si>
  <si>
    <t>3d Floor</t>
  </si>
  <si>
    <t>1st Floor</t>
  </si>
  <si>
    <t>Tracy Jones - CIFPM</t>
  </si>
  <si>
    <t>tracy@cifpm.com</t>
  </si>
  <si>
    <t>Miller Building - New construction</t>
  </si>
  <si>
    <t>Full Service</t>
  </si>
  <si>
    <t>Divisible to 800 sq. feet</t>
  </si>
  <si>
    <t>Street</t>
  </si>
  <si>
    <t>Cooper Street</t>
  </si>
  <si>
    <t xml:space="preserve">Cooper Street </t>
  </si>
  <si>
    <t>Front Street</t>
  </si>
  <si>
    <t>Cedar Street</t>
  </si>
  <si>
    <t>Mission Street</t>
  </si>
  <si>
    <t>Water Street</t>
  </si>
  <si>
    <t>Walnut Avenue</t>
  </si>
  <si>
    <t>Washington Street</t>
  </si>
  <si>
    <t>Laurel Street</t>
  </si>
  <si>
    <t>Pacific Avenue</t>
  </si>
  <si>
    <t>River Street</t>
  </si>
  <si>
    <t>Potrero Street</t>
  </si>
  <si>
    <t xml:space="preserve">River Street </t>
  </si>
  <si>
    <t>Pioneer Street</t>
  </si>
  <si>
    <t>Harvey West Boulevard</t>
  </si>
  <si>
    <t>DuBois Street</t>
  </si>
  <si>
    <t>Fern Street</t>
  </si>
  <si>
    <t>Encinal Street</t>
  </si>
  <si>
    <t>Coral Street</t>
  </si>
  <si>
    <t xml:space="preserve">Doyle Street </t>
  </si>
  <si>
    <t>Soquel Avenue</t>
  </si>
  <si>
    <t>Seabright Avenue</t>
  </si>
  <si>
    <t>Fair Avenue</t>
  </si>
  <si>
    <t>McPherson Street</t>
  </si>
  <si>
    <t>Delaware Avenue</t>
  </si>
  <si>
    <t>Swift Street</t>
  </si>
  <si>
    <t>Limekiln Street</t>
  </si>
  <si>
    <t>Shaffer Road</t>
  </si>
  <si>
    <t>Almar Avenue</t>
  </si>
  <si>
    <t>Negotiable to $2.50</t>
  </si>
  <si>
    <t>Almar/Safeway Center - call for details</t>
  </si>
  <si>
    <t>Lincoln Street</t>
  </si>
  <si>
    <t>Josephine Street</t>
  </si>
  <si>
    <t>Ingalls Street</t>
  </si>
  <si>
    <t xml:space="preserve">Cedar Street </t>
  </si>
  <si>
    <t>831-476-0302</t>
  </si>
  <si>
    <t xml:space="preserve">Rent </t>
  </si>
  <si>
    <t xml:space="preserve">Steve Sheldon or Jim Wiseman </t>
  </si>
  <si>
    <t>DOWNTOWN</t>
  </si>
  <si>
    <t>Mixed Use &amp; Other</t>
  </si>
  <si>
    <t>Cooper/Front/Cedar Streets</t>
  </si>
  <si>
    <t>Other Downtown Locations</t>
  </si>
  <si>
    <t>INDUSTRIAL &amp; OTHER COMMERCIAL</t>
  </si>
  <si>
    <t>Westside</t>
  </si>
  <si>
    <t>Harvey West</t>
  </si>
  <si>
    <t>Other Locations</t>
  </si>
  <si>
    <t xml:space="preserve">Year </t>
  </si>
  <si>
    <t>Report Period</t>
  </si>
  <si>
    <t xml:space="preserve">Area </t>
  </si>
  <si>
    <t xml:space="preserve">Subarea </t>
  </si>
  <si>
    <t>Available</t>
  </si>
  <si>
    <t>Redtree Building</t>
  </si>
  <si>
    <t>Gault Street</t>
  </si>
  <si>
    <t xml:space="preserve">JR Parrish </t>
  </si>
  <si>
    <t xml:space="preserve">Call for details </t>
  </si>
  <si>
    <t>Cooper/Front</t>
  </si>
  <si>
    <t>Dan Watson</t>
  </si>
  <si>
    <t>831-476-8194</t>
  </si>
  <si>
    <t>hirschandassociates.com</t>
  </si>
  <si>
    <t>andersonchristie.com</t>
  </si>
  <si>
    <t xml:space="preserve">Modified gross </t>
  </si>
  <si>
    <t>Mark Biagini</t>
  </si>
  <si>
    <t>408-331-2300</t>
  </si>
  <si>
    <t>biaginiproperties.com</t>
  </si>
  <si>
    <t>189-A</t>
  </si>
  <si>
    <t xml:space="preserve">$255 per month </t>
  </si>
  <si>
    <t>Redtree Building - Divisible  1,737 Suites</t>
  </si>
  <si>
    <t>lomakpropertygroup.com</t>
  </si>
  <si>
    <t xml:space="preserve">Building features 1 Gbps Symmetrical Connection           </t>
  </si>
  <si>
    <t>Fred Vellutini</t>
  </si>
  <si>
    <t>831-423-7611</t>
  </si>
  <si>
    <t xml:space="preserve">February </t>
  </si>
  <si>
    <t>Average of Per Square Foot (Using Upper Asking Price)3</t>
  </si>
  <si>
    <t>Sum of Square Footage2</t>
  </si>
  <si>
    <t>$$$</t>
  </si>
  <si>
    <t xml:space="preserve">Inventory </t>
  </si>
  <si>
    <t>Average</t>
  </si>
  <si>
    <t>Average of Square Footage</t>
  </si>
  <si>
    <t xml:space="preserve">831-464-4700 </t>
  </si>
  <si>
    <t>Latitude</t>
  </si>
  <si>
    <t>Longitude</t>
  </si>
  <si>
    <t>Formatted Address</t>
  </si>
  <si>
    <t>110 Cooper St, Santa Cruz, CA 95060</t>
  </si>
  <si>
    <t>428 Front St, Santa Cruz, CA 95060</t>
  </si>
  <si>
    <t>740 Front St, Santa Cruz, CA 95060</t>
  </si>
  <si>
    <t>827 Cedar St, Santa Cruz, CA 95060</t>
  </si>
  <si>
    <t>427 Cedar St, Santa Cruz, CA 95060</t>
  </si>
  <si>
    <t>212 Laurel St, Santa Cruz, CA 95060</t>
  </si>
  <si>
    <t>312 Lincoln St, Santa Cruz, CA 95060</t>
  </si>
  <si>
    <t>175 Walnut Ave, Santa Cruz, CA 95060</t>
  </si>
  <si>
    <t>189 Walnut Ave, Santa Cruz, CA 95060</t>
  </si>
  <si>
    <t>200 Washington St, Santa Cruz, CA 95060</t>
  </si>
  <si>
    <t>125 Water St, Santa Cruz, CA 95060</t>
  </si>
  <si>
    <t>819 Pacific Ave, Santa Cruz, CA 95060</t>
  </si>
  <si>
    <t>Santa Cruz, CA</t>
  </si>
  <si>
    <t>1013 Pacific Ave, Santa Cruz, CA 95060</t>
  </si>
  <si>
    <t>1101 Pacific Ave, Santa Cruz, CA 95060</t>
  </si>
  <si>
    <t>1349 Pacific Ave, Santa Cruz, CA 95060</t>
  </si>
  <si>
    <t>1200 Pacific Ave, Santa Cruz, CA 95060</t>
  </si>
  <si>
    <t>1339 Pacific Ave, Santa Cruz, CA 95060</t>
  </si>
  <si>
    <t>1367 Pacific Ave, Santa Cruz, CA 95060</t>
  </si>
  <si>
    <t>1319 Pacific Ave, Santa Cruz, CA 95060</t>
  </si>
  <si>
    <t>1119 Pacific Ave, Santa Cruz, CA 95060</t>
  </si>
  <si>
    <t>55 River St, Santa Cruz, CA 95060</t>
  </si>
  <si>
    <t>149 Josephine St, Santa Cruz, CA 95060</t>
  </si>
  <si>
    <t>303 Potrero St, Santa Cruz, CA 95060</t>
  </si>
  <si>
    <t>600 River St, Santa Cruz, CA 95060</t>
  </si>
  <si>
    <t>350 Coral St, Santa Cruz, CA 95060</t>
  </si>
  <si>
    <t>155 Dubois St, Santa Cruz, CA 95060</t>
  </si>
  <si>
    <t>165 Dubois St, Santa Cruz, CA 95060</t>
  </si>
  <si>
    <t>229 Encinal St, Santa Cruz, CA 95060</t>
  </si>
  <si>
    <t>115 Harvey West Blvd, Santa Cruz, CA 95060</t>
  </si>
  <si>
    <t>151 Harvey West Blvd, Santa Cruz, CA 95060</t>
  </si>
  <si>
    <t>100 Pioneer St, Santa Cruz, CA 95060</t>
  </si>
  <si>
    <t>298 Harvey West Blvd, Santa Cruz, CA 95060</t>
  </si>
  <si>
    <t>115 Limekiln St, Santa Cruz, CA 95060</t>
  </si>
  <si>
    <t>347 Gault St, Santa Cruz, CA 95062</t>
  </si>
  <si>
    <t>500 Seabright Ave, Santa Cruz, CA 95062</t>
  </si>
  <si>
    <t>305 Soquel Ave, Santa Cruz, CA 95062</t>
  </si>
  <si>
    <t>345 Soquel Ave, Santa Cruz, CA 95062</t>
  </si>
  <si>
    <t>1414 Soquel Ave, Santa Cruz, CA 95062</t>
  </si>
  <si>
    <t>420 Water St, Santa Cruz, CA 95060</t>
  </si>
  <si>
    <t>550 Water St, Santa Cruz, CA 95060</t>
  </si>
  <si>
    <t>525 Water St, Santa Cruz, CA 95060</t>
  </si>
  <si>
    <t>831 Almar Ave, Santa Cruz, CA 95060</t>
  </si>
  <si>
    <t>849 Almar Ave, Santa Cruz, CA 95060</t>
  </si>
  <si>
    <t>2117 Delaware Ave, Santa Cruz, CA 95060</t>
  </si>
  <si>
    <t>1010 Fair Ave, Santa Cruz, CA 95060</t>
  </si>
  <si>
    <t>2119 Delaware Ave, Santa Cruz, CA 95060</t>
  </si>
  <si>
    <t>207 McPherson St, Santa Cruz, CA 95060</t>
  </si>
  <si>
    <t>125 McPherson St, Santa Cruz, CA 95060</t>
  </si>
  <si>
    <t>406 Mission St, Santa Cruz, CA 95060</t>
  </si>
  <si>
    <t>701 Mission St, Santa Cruz, CA 95060</t>
  </si>
  <si>
    <t>730 Mission St, Santa Cruz, CA 95060</t>
  </si>
  <si>
    <t>2117 Mission St, Santa Cruz, CA 95060</t>
  </si>
  <si>
    <t>2521 Mission St, Santa Cruz, CA 95060</t>
  </si>
  <si>
    <t>2801 Mission St, Santa Cruz, CA 95060</t>
  </si>
  <si>
    <t>3004 Mission St, Santa Cruz, CA 95060</t>
  </si>
  <si>
    <t>2931 Mission St, Santa Cruz, CA 95060</t>
  </si>
  <si>
    <t>511 Swift St, Santa Cruz, CA 95060</t>
  </si>
  <si>
    <t>1201 Shaffer Rd, Santa Cruz, CA 95060</t>
  </si>
  <si>
    <t xml:space="preserve">Cathcart Street </t>
  </si>
  <si>
    <t>April</t>
  </si>
  <si>
    <t>Randy Parker and Matt Shelton</t>
  </si>
  <si>
    <t>rpark101@yahoo.com</t>
  </si>
  <si>
    <t>TI's neg. Building may be for sale</t>
  </si>
  <si>
    <t>plus utilities. Available July 1</t>
  </si>
  <si>
    <t xml:space="preserve">CA </t>
  </si>
  <si>
    <t>pprindle@mcmdiversified.com</t>
  </si>
  <si>
    <t>Negotiable Rent</t>
  </si>
  <si>
    <t>Divisible to 1,800.Negotiable rent. Lipton Building; inc. 1,200 sf office</t>
  </si>
  <si>
    <t>December</t>
  </si>
  <si>
    <t>February</t>
  </si>
  <si>
    <t>June</t>
  </si>
  <si>
    <t>August</t>
  </si>
  <si>
    <t>October</t>
  </si>
  <si>
    <t>211 River St, Santa Cruz, CA 95060</t>
  </si>
  <si>
    <t>415 River St, Santa Cruz, CA 95060</t>
  </si>
  <si>
    <t>Lynnette Sousa</t>
  </si>
  <si>
    <t>831-763-7777</t>
  </si>
  <si>
    <t>lynette@aldinarealestate.com</t>
  </si>
  <si>
    <t xml:space="preserve">1 year lease </t>
  </si>
  <si>
    <t>805 Pacific Ave, Santa Cruz, CA 95060</t>
  </si>
  <si>
    <t>1 year lease</t>
  </si>
  <si>
    <t>#1</t>
  </si>
  <si>
    <t>Creative loft. Includes up to 4 parking spaces at $40 per month each</t>
  </si>
  <si>
    <t>Robert  Mariolo</t>
  </si>
  <si>
    <t>831-239-0912</t>
  </si>
  <si>
    <t>Carol Lezin</t>
  </si>
  <si>
    <t>Can be combined with unit B</t>
  </si>
  <si>
    <t>Can be combined with unit A</t>
  </si>
  <si>
    <t>St George Building</t>
  </si>
  <si>
    <t>Four offices w/bathroom</t>
  </si>
  <si>
    <t>227 Cathcart St, Santa Cruz, CA 95060</t>
  </si>
  <si>
    <t>835 Front St, Santa Cruz, CA 95060</t>
  </si>
  <si>
    <t>379 Coral St, Santa Cruz, CA 95060</t>
  </si>
  <si>
    <t>1515 Mission St, Santa Cruz, CA 95060</t>
  </si>
  <si>
    <t xml:space="preserve">Locust Street </t>
  </si>
  <si>
    <t>TBD</t>
  </si>
  <si>
    <t>jcopriv@gmail.com</t>
  </si>
  <si>
    <t>Jackie Copriviza and Matt Shelton</t>
  </si>
  <si>
    <t>maintreetrealtors.com</t>
  </si>
  <si>
    <t>On site parking</t>
  </si>
  <si>
    <t>Charlene Pascoal</t>
  </si>
  <si>
    <t>408-557-6111 x105</t>
  </si>
  <si>
    <t>remico.com</t>
  </si>
  <si>
    <t>Hirsch and Associates</t>
  </si>
  <si>
    <t>Two Buildings</t>
  </si>
  <si>
    <t>2901 Mission St, Santa Cruz, CA 95060</t>
  </si>
  <si>
    <t>133 Mission Street, Santa Cruz, CA  95060</t>
  </si>
  <si>
    <t>2nd Floor</t>
  </si>
  <si>
    <t xml:space="preserve">831-476-2222 </t>
  </si>
  <si>
    <t>Beautiful 2nd floor office space, ocean views, lots of natural light, generous parking, large break room, and overall great Westside location.</t>
  </si>
  <si>
    <t>2155 Delaware Ave, Santa Cruz, CA 95060</t>
  </si>
  <si>
    <t>F</t>
  </si>
  <si>
    <t>Office, R &amp; D, Flex space.  High ceilings, natural light full HVAC, very cool space located close to west side services.</t>
  </si>
  <si>
    <t>Chestnut Street</t>
  </si>
  <si>
    <t>100-B</t>
  </si>
  <si>
    <t>Ian Swift</t>
  </si>
  <si>
    <t>831-459-9992</t>
  </si>
  <si>
    <t>Sublease. Fully furnished office. Shared conference, copy/print, reception.</t>
  </si>
  <si>
    <t>500 Chestnut Street, Santa Cruz, CA 95060</t>
  </si>
  <si>
    <t>Ground Floor</t>
  </si>
  <si>
    <t>South River Street</t>
  </si>
  <si>
    <t>3 + privates, extra large breakroom / kitchen, large open area.</t>
  </si>
  <si>
    <t>Warehouse with rollup doors. 400+ square foot mezzanine</t>
  </si>
  <si>
    <t>Negotiable</t>
  </si>
  <si>
    <t>2 privates, large open space. New paint, carpets and blinds.</t>
  </si>
  <si>
    <t>Storage space.</t>
  </si>
  <si>
    <t>Clezin@jrparrish.com</t>
  </si>
  <si>
    <t xml:space="preserve">831-247-2610 </t>
  </si>
  <si>
    <t>Clezin@jrparrish.com or ccanaris@jrparrish.com</t>
  </si>
  <si>
    <t>831-247-2610  or 476-2222 X111</t>
  </si>
  <si>
    <t>Russell E. Gross or Dominic Marietti</t>
  </si>
  <si>
    <t>1,600 square foot warehouse with an 800 square foot office/mezzanine.</t>
  </si>
  <si>
    <t>Steve Allen</t>
  </si>
  <si>
    <t xml:space="preserve">831-688-5100 </t>
  </si>
  <si>
    <t>The building has existing retail/warehouse use. The property is a Modified Gross.</t>
  </si>
  <si>
    <t>Carol Canaris</t>
  </si>
  <si>
    <t>476-2222 X111</t>
  </si>
  <si>
    <t>ccanaris@jrparrish.com</t>
  </si>
  <si>
    <t>Call for details. Medical office, ground floor</t>
  </si>
  <si>
    <t>3 yr average</t>
  </si>
  <si>
    <t>150 Walnut Avenue, Santa Cruz, CA 95060</t>
  </si>
  <si>
    <t>710 River Street, Santa Cruz, CA 95060</t>
  </si>
  <si>
    <t>375 Coral Street, Santa Cruz, CA</t>
  </si>
  <si>
    <t>397 Coral Street, Santa Cruz, CA</t>
  </si>
  <si>
    <t>191 Harvey West Boulevard, Santa Cruz, CA</t>
  </si>
  <si>
    <t>1319 River Street, Santa Cruz, CA</t>
  </si>
  <si>
    <t>1321 River Street, Santa Cruz, CA</t>
  </si>
  <si>
    <t>1323 River Street, Santa Cruz, CA</t>
  </si>
  <si>
    <t>820 Swift Street, Santa Cruz, CA</t>
  </si>
  <si>
    <t>Steven Allen</t>
  </si>
  <si>
    <t>831-688-5100</t>
  </si>
  <si>
    <t>steven@allenpginc.com</t>
  </si>
  <si>
    <t>831-419-4225</t>
  </si>
  <si>
    <t>JR Parrish</t>
  </si>
  <si>
    <t>Full SVC. Available now</t>
  </si>
  <si>
    <t>Class A Office space  beautiful grounds ample parking fantastic views...</t>
  </si>
  <si>
    <t>Newly demised office space</t>
  </si>
  <si>
    <t>Private parking lot in rear, great traffic count.</t>
  </si>
  <si>
    <t>datta@mainstrealtos.com</t>
  </si>
  <si>
    <t>Minimum rent $375 for a single office, Maximum rent $1,600 for entire space.</t>
  </si>
  <si>
    <t>505 A River Street, Santa Cruz, CA 95060</t>
  </si>
  <si>
    <t>115 Locust Street, Santa Cruz, CA 95060</t>
  </si>
  <si>
    <t xml:space="preserve">Chris Shoemaker   </t>
  </si>
  <si>
    <t xml:space="preserve">831-247-2647  </t>
  </si>
  <si>
    <t>1,360 +/- square feet available.</t>
  </si>
  <si>
    <t>1726 Seabright Avenue Santa Cruz, CA 95062</t>
  </si>
  <si>
    <t>Total combined space for 710-720 River Street = 3,225sf. Min divisible = 164sf.  Three offices available at 274sf, 245 sf, and 274 sf; with shared lobby, restrooms and kitchen</t>
  </si>
  <si>
    <t>Other Areas Office/Retail</t>
  </si>
  <si>
    <t>Mike Salsabilian</t>
  </si>
  <si>
    <t>831-428-2040 or 831-458-1118</t>
  </si>
  <si>
    <t>shaysflowers@yahoo.com</t>
  </si>
  <si>
    <t xml:space="preserve">Second floor 400-500sqft, shared reception 200-300 sqft. Utilities included, street parking only. </t>
  </si>
  <si>
    <t>Terms and Rate are negotiable. The space is adjacent to Patagonia</t>
  </si>
  <si>
    <t>415 B River Street, Santa Cruz, CA  95060</t>
  </si>
  <si>
    <t>411 C Cedar Street, Santa Cruz, CA  95060</t>
  </si>
  <si>
    <t xml:space="preserve">Various spaces available. Call for details </t>
  </si>
  <si>
    <t>Listed as Retail/Office/ Warehouse. Divisible into 3 spaces: 2,454 sqft, 2,233sqft, and 1,019 sqft. For pricing information, call agents</t>
  </si>
  <si>
    <t>1800 Soquel Avenue, Santa Cruz, CA  95062</t>
  </si>
  <si>
    <t>2nd floor office space, natural light, generous parking, and large break room.</t>
  </si>
  <si>
    <t>Two entrances, adjacent patio on 2nd floor, and Parking lot adjacent</t>
  </si>
  <si>
    <t>1205 Pacific Avenue, Santa Cruz, CA  95060</t>
  </si>
  <si>
    <t>1364 Pacific Avenue, Santa Cruz, CA  95060</t>
  </si>
  <si>
    <t>Seabright Clocktower Building. Ground floor office. At the corner of Seabright Avenue and Murray Street.</t>
  </si>
  <si>
    <t>380 Encinal Street, Santa Cruz, CA 95060</t>
  </si>
  <si>
    <t xml:space="preserve">Dock high access. </t>
  </si>
  <si>
    <t>320 Encinal Street, Santa Cruz, CA  95060</t>
  </si>
  <si>
    <t>Randy Parker and Jackie Copriviza</t>
  </si>
  <si>
    <t>L</t>
  </si>
  <si>
    <t>Rachael Shelton</t>
  </si>
  <si>
    <t>I4</t>
  </si>
  <si>
    <t>K2</t>
  </si>
  <si>
    <t>Currently configured for dental/orthodontics. Ample parking.</t>
  </si>
  <si>
    <t>550 K2 Water St, Santa Cruz, CA 95060</t>
  </si>
  <si>
    <t>550 I4 Water St, Santa Cruz, CA 95060</t>
  </si>
  <si>
    <t>550 L Water St, Santa Cruz, CA 95060</t>
  </si>
  <si>
    <t>Brad Shelton and Randy Parker</t>
  </si>
  <si>
    <t>4 office spaces: 300 sqft, 500 sqft, 1200 sqft, and 2000 sqft. Easy parking, elevator service.</t>
  </si>
  <si>
    <t>903 Pacific Avenue, Santa Cruz, CA  95060</t>
  </si>
  <si>
    <t>17 foot clear height w/dock high door. Owner to provide improvements: skylights, RR
core, sprinklers, lighting &amp;/or electrical, rollup doors &amp; more.</t>
  </si>
  <si>
    <t xml:space="preserve">Flexible Office/Mfg./Wareshouse space. 3 ground level roll-ups plus 2 docks with caged area. Sublease until 7/31/2015 </t>
  </si>
  <si>
    <t>Reuben Helick - Terranomics</t>
  </si>
  <si>
    <t>www.cassidyturley.com  reuben.helick@cassidyturley.com</t>
  </si>
  <si>
    <t>Reuben Helick - Cassidy Turley</t>
  </si>
  <si>
    <t>reuben.helick@cassidyturley.com</t>
  </si>
  <si>
    <t>Building for sale - $895K</t>
  </si>
  <si>
    <t>201 River St, Santa Cruz, CA 95060</t>
  </si>
  <si>
    <t>Office/Retail</t>
  </si>
  <si>
    <t>Erik Barbic</t>
  </si>
  <si>
    <t>831-464-5039</t>
  </si>
  <si>
    <t>sbacommercial.com</t>
  </si>
  <si>
    <t>Commercial Condo for Sale</t>
  </si>
  <si>
    <t>220 Laurel Street, Santa Cruz, CA  95060</t>
  </si>
  <si>
    <t>Gary Marietti</t>
  </si>
  <si>
    <t>831-429-1698</t>
  </si>
  <si>
    <t>garmar2@sbcglobal.net</t>
  </si>
  <si>
    <t>Warehouse with 200 sqft mezzanine office and bathroom. Rent includes water, sewer, garbage, PG&amp;E.</t>
  </si>
  <si>
    <t>150 D Dubois Street, Santa Cruz, CA  95060</t>
  </si>
  <si>
    <t>Currently occupied by PAMF. Available June 2014.</t>
  </si>
  <si>
    <t>Available in December</t>
  </si>
  <si>
    <t>University Business Park / Wrigley Building</t>
  </si>
  <si>
    <t>University Business Park / Wrigley Building Divisible to 2,185 square feet</t>
  </si>
  <si>
    <t xml:space="preserve">Waivers of City Parking Fee Available / Modified gross </t>
  </si>
  <si>
    <t>Adjacent to successful restaurant "I Love Sushi"</t>
  </si>
  <si>
    <t>514 Front Street, Santa Cruz, CA 95060</t>
  </si>
  <si>
    <t>Email for layout and interior photos</t>
  </si>
  <si>
    <t>Entire ground floor, on-site parking.</t>
  </si>
  <si>
    <t>3rd Floor</t>
  </si>
  <si>
    <t>Logos Building</t>
  </si>
  <si>
    <t>Total combined space for 710-720 River Street = 3,225sf. Min divisible = 164sf.  One office available at 327sf, with shared lobby, restrooms and kitchen</t>
  </si>
  <si>
    <t>Center Street</t>
  </si>
  <si>
    <t>Small office or retail space in Santa Cruz Art Center</t>
  </si>
  <si>
    <t>1001 Center Street, Santa Cruz, CA 95060</t>
  </si>
  <si>
    <t xml:space="preserve">Versus October 2013 </t>
  </si>
  <si>
    <t xml:space="preserve">Versus December 2012 </t>
  </si>
  <si>
    <t>Versus December 2011</t>
  </si>
  <si>
    <t>Versus December 2010</t>
  </si>
  <si>
    <t>Good Earth Tea Building</t>
  </si>
  <si>
    <t>Onsite parking</t>
  </si>
  <si>
    <t xml:space="preserve">Full SVC. </t>
  </si>
  <si>
    <t>Kiosk</t>
  </si>
  <si>
    <t>Julie Hendee</t>
  </si>
  <si>
    <t>831-420-5158</t>
  </si>
  <si>
    <t>jhendee@cityofsantacruz.com</t>
  </si>
  <si>
    <t>Owned by City of Santa Cruz. Rent is $200 Minimum</t>
  </si>
  <si>
    <t>K-1</t>
  </si>
  <si>
    <t>1520 K-1 Pacific Avenue Santa Cruz, CA  95060</t>
  </si>
  <si>
    <t>On-site parking</t>
  </si>
  <si>
    <t>17-foot clear height w/dock high door. Owner to provide improvements: skylights, RR
core, sprinklers, lighting &amp;/or electrical, rollup doors &amp; more.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</si>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</sst>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_);[Red]\(0\)"/>
    <numFmt numFmtId="166" formatCode="[$-409]mmmm\-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mbria"/>
      <family val="1"/>
    </font>
    <font>
      <u/>
      <sz val="11"/>
      <color indexed="12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u/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CC99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164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0" fontId="0" fillId="0" borderId="1" xfId="0" applyBorder="1" applyAlignment="1">
      <alignment wrapText="1"/>
    </xf>
    <xf numFmtId="164" fontId="1" fillId="0" borderId="0" xfId="0" applyNumberFormat="1" applyFont="1" applyAlignment="1">
      <alignment wrapText="1"/>
    </xf>
    <xf numFmtId="3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3" fontId="0" fillId="0" borderId="1" xfId="0" applyNumberFormat="1" applyBorder="1"/>
    <xf numFmtId="0" fontId="0" fillId="0" borderId="1" xfId="0" applyBorder="1"/>
    <xf numFmtId="165" fontId="0" fillId="0" borderId="1" xfId="0" applyNumberFormat="1" applyBorder="1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3" fontId="0" fillId="0" borderId="1" xfId="0" applyNumberFormat="1" applyFill="1" applyBorder="1"/>
    <xf numFmtId="164" fontId="0" fillId="0" borderId="1" xfId="0" applyNumberFormat="1" applyFill="1" applyBorder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readingOrder="1"/>
    </xf>
    <xf numFmtId="3" fontId="3" fillId="0" borderId="1" xfId="0" applyNumberFormat="1" applyFont="1" applyBorder="1" applyAlignment="1">
      <alignment horizontal="left" vertical="center" wrapText="1" readingOrder="1"/>
    </xf>
    <xf numFmtId="4" fontId="3" fillId="0" borderId="1" xfId="0" applyNumberFormat="1" applyFont="1" applyBorder="1" applyAlignment="1">
      <alignment horizontal="left" vertical="center" wrapText="1" readingOrder="1"/>
    </xf>
    <xf numFmtId="0" fontId="6" fillId="0" borderId="0" xfId="0" applyFont="1" applyFill="1" applyBorder="1"/>
    <xf numFmtId="0" fontId="6" fillId="0" borderId="2" xfId="0" applyFont="1" applyFill="1" applyBorder="1"/>
    <xf numFmtId="3" fontId="6" fillId="0" borderId="0" xfId="2" applyNumberFormat="1" applyFont="1" applyFill="1" applyBorder="1"/>
    <xf numFmtId="0" fontId="6" fillId="0" borderId="3" xfId="0" applyFont="1" applyFill="1" applyBorder="1"/>
    <xf numFmtId="166" fontId="6" fillId="0" borderId="0" xfId="0" applyNumberFormat="1" applyFont="1" applyFill="1" applyBorder="1"/>
    <xf numFmtId="0" fontId="9" fillId="0" borderId="0" xfId="0" applyFont="1" applyFill="1" applyBorder="1"/>
    <xf numFmtId="166" fontId="9" fillId="0" borderId="0" xfId="0" applyNumberFormat="1" applyFont="1" applyFill="1" applyBorder="1"/>
    <xf numFmtId="0" fontId="9" fillId="3" borderId="0" xfId="0" applyFont="1" applyFill="1" applyBorder="1"/>
    <xf numFmtId="3" fontId="9" fillId="0" borderId="0" xfId="0" applyNumberFormat="1" applyFont="1" applyFill="1" applyBorder="1"/>
    <xf numFmtId="0" fontId="9" fillId="4" borderId="0" xfId="0" applyFont="1" applyFill="1" applyBorder="1"/>
    <xf numFmtId="0" fontId="9" fillId="5" borderId="0" xfId="0" applyFont="1" applyFill="1" applyBorder="1"/>
    <xf numFmtId="0" fontId="9" fillId="6" borderId="0" xfId="0" applyFont="1" applyFill="1" applyBorder="1"/>
    <xf numFmtId="0" fontId="9" fillId="7" borderId="0" xfId="0" applyFont="1" applyFill="1" applyBorder="1"/>
    <xf numFmtId="0" fontId="9" fillId="0" borderId="2" xfId="0" applyFont="1" applyFill="1" applyBorder="1"/>
    <xf numFmtId="166" fontId="9" fillId="0" borderId="2" xfId="0" applyNumberFormat="1" applyFont="1" applyFill="1" applyBorder="1"/>
    <xf numFmtId="0" fontId="9" fillId="7" borderId="2" xfId="0" applyFont="1" applyFill="1" applyBorder="1"/>
    <xf numFmtId="3" fontId="9" fillId="0" borderId="2" xfId="0" applyNumberFormat="1" applyFont="1" applyFill="1" applyBorder="1"/>
    <xf numFmtId="3" fontId="9" fillId="0" borderId="0" xfId="2" applyNumberFormat="1" applyFont="1" applyFill="1" applyBorder="1" applyAlignment="1"/>
    <xf numFmtId="3" fontId="9" fillId="0" borderId="0" xfId="2" applyNumberFormat="1" applyFont="1" applyFill="1" applyBorder="1"/>
    <xf numFmtId="3" fontId="9" fillId="0" borderId="2" xfId="2" applyNumberFormat="1" applyFont="1" applyFill="1" applyBorder="1"/>
    <xf numFmtId="0" fontId="9" fillId="0" borderId="3" xfId="0" applyFont="1" applyFill="1" applyBorder="1"/>
    <xf numFmtId="166" fontId="9" fillId="0" borderId="3" xfId="0" applyNumberFormat="1" applyFont="1" applyFill="1" applyBorder="1"/>
    <xf numFmtId="0" fontId="9" fillId="7" borderId="3" xfId="0" applyFont="1" applyFill="1" applyBorder="1"/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3" fontId="0" fillId="0" borderId="1" xfId="0" applyNumberFormat="1" applyBorder="1"/>
    <xf numFmtId="3" fontId="6" fillId="0" borderId="0" xfId="0" applyNumberFormat="1" applyFont="1" applyFill="1" applyBorder="1"/>
    <xf numFmtId="166" fontId="6" fillId="0" borderId="3" xfId="0" applyNumberFormat="1" applyFont="1" applyFill="1" applyBorder="1"/>
    <xf numFmtId="0" fontId="0" fillId="0" borderId="3" xfId="0" applyBorder="1"/>
    <xf numFmtId="3" fontId="9" fillId="0" borderId="0" xfId="2" applyNumberFormat="1" applyFont="1" applyFill="1" applyBorder="1" applyAlignment="1">
      <alignment horizontal="left" indent="2"/>
    </xf>
    <xf numFmtId="3" fontId="9" fillId="0" borderId="3" xfId="2" applyNumberFormat="1" applyFont="1" applyFill="1" applyBorder="1"/>
    <xf numFmtId="3" fontId="0" fillId="0" borderId="3" xfId="0" applyNumberFormat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4" fontId="1" fillId="0" borderId="0" xfId="0" applyNumberFormat="1" applyFont="1" applyAlignment="1">
      <alignment horizontal="left" wrapText="1"/>
    </xf>
    <xf numFmtId="0" fontId="0" fillId="0" borderId="0" xfId="0" applyFont="1" applyAlignment="1">
      <alignment horizontal="left" wrapText="1"/>
    </xf>
    <xf numFmtId="3" fontId="0" fillId="0" borderId="0" xfId="0" applyNumberFormat="1" applyFont="1" applyAlignment="1">
      <alignment horizontal="left" wrapText="1"/>
    </xf>
    <xf numFmtId="164" fontId="0" fillId="0" borderId="0" xfId="0" applyNumberFormat="1" applyFont="1" applyAlignment="1">
      <alignment horizontal="left" wrapText="1"/>
    </xf>
    <xf numFmtId="4" fontId="0" fillId="0" borderId="0" xfId="0" applyNumberFormat="1" applyFont="1" applyAlignment="1">
      <alignment horizontal="left" wrapText="1"/>
    </xf>
    <xf numFmtId="0" fontId="0" fillId="0" borderId="0" xfId="0" applyFont="1" applyFill="1" applyAlignment="1">
      <alignment horizontal="left" wrapText="1"/>
    </xf>
    <xf numFmtId="0" fontId="8" fillId="0" borderId="0" xfId="1" applyFont="1" applyAlignment="1" applyProtection="1">
      <alignment horizontal="left" wrapText="1"/>
    </xf>
    <xf numFmtId="0" fontId="10" fillId="0" borderId="0" xfId="1" applyFont="1" applyAlignment="1" applyProtection="1">
      <alignment horizontal="left" wrapText="1"/>
    </xf>
    <xf numFmtId="0" fontId="2" fillId="0" borderId="0" xfId="1" applyAlignment="1" applyProtection="1">
      <alignment horizontal="left" wrapText="1"/>
    </xf>
    <xf numFmtId="0" fontId="14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3" fontId="0" fillId="0" borderId="0" xfId="0" applyNumberFormat="1" applyFont="1" applyAlignment="1">
      <alignment horizontal="left" wrapText="1"/>
    </xf>
    <xf numFmtId="164" fontId="0" fillId="0" borderId="0" xfId="0" applyNumberFormat="1" applyFont="1" applyAlignment="1">
      <alignment horizontal="left" wrapText="1"/>
    </xf>
    <xf numFmtId="4" fontId="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3" fontId="12" fillId="0" borderId="0" xfId="0" applyNumberFormat="1" applyFont="1" applyAlignment="1">
      <alignment horizontal="left" wrapText="1"/>
    </xf>
    <xf numFmtId="164" fontId="12" fillId="0" borderId="0" xfId="0" applyNumberFormat="1" applyFont="1" applyAlignment="1">
      <alignment horizontal="left" wrapText="1"/>
    </xf>
    <xf numFmtId="0" fontId="13" fillId="0" borderId="0" xfId="1" applyFont="1" applyAlignment="1" applyProtection="1">
      <alignment horizontal="left" wrapText="1"/>
    </xf>
    <xf numFmtId="4" fontId="12" fillId="0" borderId="0" xfId="0" applyNumberFormat="1" applyFont="1" applyAlignment="1">
      <alignment horizontal="left" wrapText="1"/>
    </xf>
    <xf numFmtId="3" fontId="0" fillId="0" borderId="0" xfId="0" applyNumberFormat="1" applyFont="1" applyFill="1" applyAlignment="1">
      <alignment horizontal="left" wrapText="1"/>
    </xf>
    <xf numFmtId="164" fontId="0" fillId="0" borderId="0" xfId="0" applyNumberFormat="1" applyFont="1" applyFill="1" applyAlignment="1">
      <alignment horizontal="left" wrapText="1"/>
    </xf>
    <xf numFmtId="4" fontId="0" fillId="0" borderId="0" xfId="0" applyNumberFormat="1" applyFont="1" applyFill="1" applyAlignment="1">
      <alignment horizontal="left" wrapText="1"/>
    </xf>
    <xf numFmtId="3" fontId="0" fillId="0" borderId="0" xfId="0" applyNumberFormat="1" applyBorder="1"/>
    <xf numFmtId="3" fontId="0" fillId="0" borderId="0" xfId="0" applyNumberFormat="1" applyFill="1" applyBorder="1"/>
    <xf numFmtId="0" fontId="15" fillId="0" borderId="0" xfId="0" applyFont="1" applyFill="1" applyBorder="1" applyAlignment="1">
      <alignment horizontal="left" wrapText="1"/>
    </xf>
    <xf numFmtId="3" fontId="15" fillId="0" borderId="0" xfId="0" applyNumberFormat="1" applyFont="1" applyFill="1" applyBorder="1" applyAlignment="1">
      <alignment horizontal="left" wrapText="1"/>
    </xf>
    <xf numFmtId="164" fontId="15" fillId="0" borderId="0" xfId="0" applyNumberFormat="1" applyFont="1" applyFill="1" applyBorder="1" applyAlignment="1">
      <alignment horizontal="left" wrapText="1"/>
    </xf>
    <xf numFmtId="4" fontId="15" fillId="0" borderId="0" xfId="0" applyNumberFormat="1" applyFont="1" applyFill="1" applyBorder="1" applyAlignment="1">
      <alignment horizontal="left" wrapText="1"/>
    </xf>
    <xf numFmtId="0" fontId="15" fillId="0" borderId="0" xfId="0" applyFont="1" applyFill="1" applyBorder="1" applyAlignment="1">
      <alignment wrapText="1"/>
    </xf>
    <xf numFmtId="0" fontId="17" fillId="0" borderId="0" xfId="1" applyFont="1" applyFill="1" applyBorder="1" applyAlignment="1" applyProtection="1">
      <alignment horizontal="left" wrapText="1"/>
    </xf>
    <xf numFmtId="0" fontId="16" fillId="0" borderId="0" xfId="1" applyFont="1" applyFill="1" applyBorder="1" applyAlignment="1" applyProtection="1">
      <alignment horizontal="left" wrapText="1"/>
    </xf>
    <xf numFmtId="0" fontId="12" fillId="0" borderId="0" xfId="0" applyFont="1" applyFill="1" applyBorder="1" applyAlignment="1">
      <alignment horizontal="left" wrapText="1"/>
    </xf>
    <xf numFmtId="3" fontId="12" fillId="0" borderId="0" xfId="0" applyNumberFormat="1" applyFont="1" applyFill="1" applyBorder="1" applyAlignment="1">
      <alignment horizontal="left" wrapText="1"/>
    </xf>
    <xf numFmtId="164" fontId="12" fillId="0" borderId="0" xfId="0" applyNumberFormat="1" applyFont="1" applyFill="1" applyBorder="1" applyAlignment="1">
      <alignment horizontal="left" wrapText="1"/>
    </xf>
    <xf numFmtId="0" fontId="13" fillId="0" borderId="0" xfId="1" applyFont="1" applyFill="1" applyBorder="1" applyAlignment="1" applyProtection="1">
      <alignment horizontal="left" wrapText="1"/>
    </xf>
    <xf numFmtId="4" fontId="12" fillId="0" borderId="0" xfId="0" applyNumberFormat="1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wrapText="1" readingOrder="1"/>
    </xf>
    <xf numFmtId="0" fontId="0" fillId="0" borderId="0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0" xfId="0" applyAlignment="1"/>
    <xf numFmtId="0" fontId="0" fillId="0" borderId="0" xfId="0" applyFill="1" applyBorder="1" applyAlignment="1"/>
    <xf numFmtId="166" fontId="9" fillId="0" borderId="0" xfId="0" applyNumberFormat="1" applyFont="1" applyFill="1" applyBorder="1" applyAlignment="1"/>
    <xf numFmtId="0" fontId="9" fillId="3" borderId="0" xfId="0" applyFont="1" applyFill="1" applyBorder="1" applyAlignment="1"/>
    <xf numFmtId="0" fontId="6" fillId="0" borderId="0" xfId="0" applyFont="1" applyFill="1" applyBorder="1" applyAlignment="1"/>
    <xf numFmtId="3" fontId="0" fillId="0" borderId="0" xfId="0" applyNumberFormat="1" applyAlignment="1"/>
    <xf numFmtId="0" fontId="9" fillId="4" borderId="0" xfId="0" applyFont="1" applyFill="1" applyBorder="1" applyAlignment="1"/>
    <xf numFmtId="0" fontId="9" fillId="5" borderId="0" xfId="0" applyFont="1" applyFill="1" applyBorder="1" applyAlignment="1"/>
    <xf numFmtId="0" fontId="9" fillId="6" borderId="0" xfId="0" applyFont="1" applyFill="1" applyBorder="1" applyAlignment="1"/>
    <xf numFmtId="0" fontId="9" fillId="7" borderId="0" xfId="0" applyFont="1" applyFill="1" applyBorder="1" applyAlignment="1"/>
    <xf numFmtId="0" fontId="0" fillId="0" borderId="3" xfId="0" applyBorder="1" applyAlignment="1"/>
    <xf numFmtId="0" fontId="0" fillId="0" borderId="3" xfId="0" applyFill="1" applyBorder="1" applyAlignment="1"/>
    <xf numFmtId="166" fontId="9" fillId="0" borderId="3" xfId="0" applyNumberFormat="1" applyFont="1" applyFill="1" applyBorder="1" applyAlignment="1"/>
    <xf numFmtId="0" fontId="9" fillId="7" borderId="3" xfId="0" applyFont="1" applyFill="1" applyBorder="1" applyAlignment="1"/>
    <xf numFmtId="0" fontId="6" fillId="0" borderId="3" xfId="0" applyFont="1" applyFill="1" applyBorder="1" applyAlignment="1"/>
    <xf numFmtId="3" fontId="0" fillId="0" borderId="3" xfId="0" applyNumberFormat="1" applyBorder="1" applyAlignment="1"/>
    <xf numFmtId="0" fontId="3" fillId="0" borderId="0" xfId="0" applyFont="1" applyAlignment="1">
      <alignment wrapText="1" readingOrder="1"/>
    </xf>
    <xf numFmtId="0" fontId="0" fillId="0" borderId="0" xfId="0" applyFont="1" applyAlignment="1">
      <alignment horizontal="left" wrapText="1" readingOrder="1"/>
    </xf>
    <xf numFmtId="3" fontId="0" fillId="0" borderId="0" xfId="0" applyNumberFormat="1" applyFont="1" applyAlignment="1">
      <alignment horizontal="left" wrapText="1" readingOrder="1"/>
    </xf>
    <xf numFmtId="164" fontId="0" fillId="0" borderId="0" xfId="0" applyNumberFormat="1" applyFont="1" applyAlignment="1">
      <alignment horizontal="left" wrapText="1" readingOrder="1"/>
    </xf>
    <xf numFmtId="4" fontId="0" fillId="0" borderId="0" xfId="0" applyNumberFormat="1" applyFont="1" applyAlignment="1">
      <alignment horizontal="left" wrapText="1" readingOrder="1"/>
    </xf>
    <xf numFmtId="0" fontId="0" fillId="0" borderId="0" xfId="0" applyFont="1" applyFill="1" applyAlignment="1">
      <alignment horizontal="left" wrapText="1" readingOrder="1"/>
    </xf>
    <xf numFmtId="0" fontId="14" fillId="0" borderId="0" xfId="0" applyFont="1" applyAlignment="1">
      <alignment horizontal="left" wrapText="1" readingOrder="1"/>
    </xf>
    <xf numFmtId="0" fontId="12" fillId="0" borderId="0" xfId="0" applyFont="1" applyAlignment="1">
      <alignment horizontal="left" wrapText="1" readingOrder="1"/>
    </xf>
    <xf numFmtId="3" fontId="12" fillId="0" borderId="0" xfId="0" applyNumberFormat="1" applyFont="1" applyAlignment="1">
      <alignment horizontal="left" wrapText="1" readingOrder="1"/>
    </xf>
    <xf numFmtId="164" fontId="12" fillId="0" borderId="0" xfId="0" applyNumberFormat="1" applyFont="1" applyAlignment="1">
      <alignment horizontal="left" wrapText="1" readingOrder="1"/>
    </xf>
    <xf numFmtId="4" fontId="12" fillId="0" borderId="0" xfId="0" applyNumberFormat="1" applyFont="1" applyAlignment="1">
      <alignment horizontal="left" wrapText="1" readingOrder="1"/>
    </xf>
    <xf numFmtId="0" fontId="0" fillId="0" borderId="0" xfId="0" applyFont="1" applyBorder="1" applyAlignment="1">
      <alignment horizontal="left" wrapText="1" readingOrder="1"/>
    </xf>
    <xf numFmtId="0" fontId="4" fillId="0" borderId="0" xfId="0" applyFont="1" applyAlignment="1">
      <alignment wrapText="1" readingOrder="1"/>
    </xf>
    <xf numFmtId="44" fontId="7" fillId="0" borderId="1" xfId="4" applyFont="1" applyBorder="1" applyAlignment="1">
      <alignment horizontal="left" vertical="center" wrapText="1"/>
    </xf>
    <xf numFmtId="44" fontId="0" fillId="0" borderId="0" xfId="4" applyFont="1" applyAlignment="1">
      <alignment horizontal="left" wrapText="1"/>
    </xf>
    <xf numFmtId="44" fontId="0" fillId="0" borderId="0" xfId="4" applyFont="1" applyFill="1" applyAlignment="1">
      <alignment horizontal="left" wrapText="1"/>
    </xf>
    <xf numFmtId="44" fontId="4" fillId="0" borderId="0" xfId="4" applyFont="1" applyAlignment="1">
      <alignment horizontal="left"/>
    </xf>
    <xf numFmtId="0" fontId="7" fillId="0" borderId="1" xfId="0" applyNumberFormat="1" applyFont="1" applyBorder="1" applyAlignment="1">
      <alignment horizontal="left" vertical="center" wrapText="1"/>
    </xf>
    <xf numFmtId="0" fontId="0" fillId="0" borderId="0" xfId="0" applyNumberFormat="1" applyFont="1" applyAlignment="1">
      <alignment horizontal="left" wrapText="1"/>
    </xf>
    <xf numFmtId="0" fontId="0" fillId="0" borderId="0" xfId="0" applyNumberFormat="1" applyFont="1" applyFill="1" applyAlignment="1">
      <alignment horizontal="left" wrapText="1"/>
    </xf>
    <xf numFmtId="0" fontId="4" fillId="0" borderId="0" xfId="0" applyNumberFormat="1" applyFont="1" applyAlignment="1">
      <alignment horizontal="left"/>
    </xf>
    <xf numFmtId="44" fontId="3" fillId="0" borderId="1" xfId="4" applyFont="1" applyBorder="1" applyAlignment="1">
      <alignment horizontal="center" vertical="center" wrapText="1" readingOrder="1"/>
    </xf>
    <xf numFmtId="44" fontId="0" fillId="0" borderId="0" xfId="4" applyFont="1"/>
  </cellXfs>
  <cellStyles count="5">
    <cellStyle name="Comma" xfId="2" builtinId="3"/>
    <cellStyle name="Comma 2" xfId="3"/>
    <cellStyle name="Currency" xfId="4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AAD/Economic%20Development/Space%20Available/Data%20Analysis/Spreadsheets/Master%20Data%20Space%20Available%20Tracking_withPivotTable_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&amp; Table Template"/>
      <sheetName val="Master Data List"/>
      <sheetName val="Lists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ssica Mellor" refreshedDate="41600.443421296295" createdVersion="4" refreshedVersion="4" minRefreshableVersion="3" recordCount="141">
  <cacheSource type="worksheet">
    <worksheetSource ref="A1:R142" sheet="Pivot Table Crosstabs"/>
  </cacheSource>
  <cacheFields count="18">
    <cacheField name="List" numFmtId="0">
      <sharedItems/>
    </cacheField>
    <cacheField name="Area" numFmtId="0">
      <sharedItems count="7">
        <s v="Westside "/>
        <s v="Other Downtown "/>
        <s v="Cooper / Front "/>
        <s v="Harvey West "/>
        <s v="Other Commercial Areas"/>
        <s v="Pacific "/>
        <s v="River Street"/>
      </sharedItems>
    </cacheField>
    <cacheField name="Address " numFmtId="0">
      <sharedItems containsSemiMixedTypes="0" containsString="0" containsNumber="1" containsInteger="1" minValue="55" maxValue="3004"/>
    </cacheField>
    <cacheField name="Street" numFmtId="0">
      <sharedItems/>
    </cacheField>
    <cacheField name="City " numFmtId="0">
      <sharedItems/>
    </cacheField>
    <cacheField name="State" numFmtId="0">
      <sharedItems/>
    </cacheField>
    <cacheField name="Zip Code " numFmtId="0">
      <sharedItems containsSemiMixedTypes="0" containsString="0" containsNumber="1" containsInteger="1" minValue="95060" maxValue="96060"/>
    </cacheField>
    <cacheField name="Type " numFmtId="0">
      <sharedItems count="14">
        <s v="Industrial"/>
        <s v="Retail"/>
        <s v="Retail "/>
        <s v="Office"/>
        <s v="Office "/>
        <s v="Warehouse"/>
        <s v="Flex Space "/>
        <s v="Flex Space"/>
        <s v="Office/Retail"/>
        <s v="Medical"/>
        <s v="Industrial "/>
        <s v="Warehouse "/>
        <s v="Restaurant"/>
        <s v="Medical "/>
      </sharedItems>
    </cacheField>
    <cacheField name="Suite " numFmtId="0">
      <sharedItems containsBlank="1" containsMixedTypes="1" containsNumber="1" containsInteger="1" minValue="1" maxValue="320"/>
    </cacheField>
    <cacheField name="Square Footage" numFmtId="3">
      <sharedItems containsSemiMixedTypes="0" containsString="0" containsNumber="1" containsInteger="1" minValue="0" maxValue="44825"/>
    </cacheField>
    <cacheField name="Stated Rent " numFmtId="164">
      <sharedItems containsBlank="1" containsMixedTypes="1" containsNumber="1" minValue="0" maxValue="399000"/>
    </cacheField>
    <cacheField name="Overhead" numFmtId="0">
      <sharedItems containsBlank="1"/>
    </cacheField>
    <cacheField name="Broker" numFmtId="0">
      <sharedItems/>
    </cacheField>
    <cacheField name="Phone" numFmtId="0">
      <sharedItems/>
    </cacheField>
    <cacheField name="Website / Email" numFmtId="0">
      <sharedItems containsBlank="1"/>
    </cacheField>
    <cacheField name="Notes" numFmtId="0">
      <sharedItems containsBlank="1"/>
    </cacheField>
    <cacheField name="Stated NNN Value" numFmtId="0">
      <sharedItems containsString="0" containsBlank="1" containsNumber="1" minValue="0.16" maxValue="0.52"/>
    </cacheField>
    <cacheField name="Per Square Foot (Using Upper Asking Price)" numFmtId="4">
      <sharedItems containsSemiMixedTypes="0" containsString="0" containsNumb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">
  <r>
    <s v="Industrial "/>
    <x v="0"/>
    <n v="831"/>
    <s v="Almar Avenue"/>
    <s v="Santa Cruz "/>
    <s v="CA"/>
    <n v="95060"/>
    <x v="0"/>
    <m/>
    <n v="44825"/>
    <n v="1"/>
    <s v="NNN"/>
    <s v="Steve Sheldon or Jim Wiseman"/>
    <s v="831-454-9400"/>
    <s v="sheldonwiseman.com"/>
    <s v="Good Earth Tea Builiding"/>
    <m/>
    <n v="1"/>
  </r>
  <r>
    <s v="Other Areas Office/Retail"/>
    <x v="0"/>
    <n v="849"/>
    <s v="Almar Avenue"/>
    <s v="Santa Cruz "/>
    <s v="CA"/>
    <n v="95060"/>
    <x v="1"/>
    <s v="B"/>
    <n v="1920"/>
    <n v="0"/>
    <s v="NNN"/>
    <s v="Jackie Copriviza "/>
    <s v="831-476-2222"/>
    <s v="jrparrish.com"/>
    <s v="Almar/Safeway Center - call for details"/>
    <m/>
    <n v="0"/>
  </r>
  <r>
    <s v="Downtown "/>
    <x v="1"/>
    <n v="227"/>
    <s v="Cathcart Street "/>
    <s v="Santa Cruz "/>
    <s v="CA"/>
    <n v="95060"/>
    <x v="2"/>
    <m/>
    <n v="1000"/>
    <n v="2160"/>
    <s v="Gross"/>
    <s v="Robert  Mariolo"/>
    <s v="831-239-0912"/>
    <m/>
    <m/>
    <m/>
    <n v="2.16"/>
  </r>
  <r>
    <s v="Downtown "/>
    <x v="1"/>
    <n v="411"/>
    <s v="Cedar Street"/>
    <s v="Santa Cruz "/>
    <s v="CA"/>
    <n v="95060"/>
    <x v="3"/>
    <s v="C"/>
    <n v="500"/>
    <n v="700"/>
    <m/>
    <s v="Mike Salsabilian"/>
    <s v="831-428-2040 or 831-458-1118"/>
    <s v="shaysflowers@yahoo.com"/>
    <s v="Second floor 400-500sqft, shared reception 200-300 sqft. Utilities included, street parking only. "/>
    <m/>
    <n v="1.4"/>
  </r>
  <r>
    <s v="Downtown "/>
    <x v="1"/>
    <n v="827"/>
    <s v="Cedar Street"/>
    <s v="Santa Cruz "/>
    <s v="CA"/>
    <n v="95060"/>
    <x v="3"/>
    <s v="2d Floor"/>
    <n v="450"/>
    <n v="900"/>
    <s v="Gross"/>
    <s v="Wayne Shaffer"/>
    <s v="831-427-1380"/>
    <s v="wshaffer.com"/>
    <m/>
    <m/>
    <n v="2"/>
  </r>
  <r>
    <s v="Downtown "/>
    <x v="1"/>
    <n v="427"/>
    <s v="Cedar Street "/>
    <s v="Santa Cruz "/>
    <s v="CA"/>
    <n v="95060"/>
    <x v="4"/>
    <m/>
    <n v="450"/>
    <n v="2"/>
    <s v="Gross"/>
    <s v="Wayne Shaffer"/>
    <s v="831-427-1380"/>
    <s v="wshaffer.com"/>
    <s v="Modified gross "/>
    <m/>
    <n v="2"/>
  </r>
  <r>
    <s v="Downtown "/>
    <x v="1"/>
    <n v="1001"/>
    <s v="Center Street"/>
    <s v="Santa Cruz "/>
    <s v="CA"/>
    <n v="95060"/>
    <x v="3"/>
    <n v="2"/>
    <n v="486"/>
    <n v="650"/>
    <s v="NNN"/>
    <s v="Lee Slaff"/>
    <s v="831-425-1419"/>
    <s v="lee@lslaff.com"/>
    <s v="Small office or retail space in Santa Cruz Art Center"/>
    <m/>
    <n v="0.45"/>
  </r>
  <r>
    <s v="Downtown "/>
    <x v="1"/>
    <n v="500"/>
    <s v="Chestnut Street"/>
    <s v="Santa Cruz "/>
    <s v="CA"/>
    <n v="95060"/>
    <x v="3"/>
    <s v="100-B"/>
    <n v="156"/>
    <n v="400"/>
    <s v="Gross"/>
    <s v="Ian Swift"/>
    <s v="831-459-9992"/>
    <m/>
    <s v="Sublease. Fully furnished office. Shared conference, copy/print, reception."/>
    <m/>
    <n v="2.56"/>
  </r>
  <r>
    <s v="Downtown "/>
    <x v="2"/>
    <n v="110"/>
    <s v="Cooper Street"/>
    <s v="Santa Cruz "/>
    <s v="CA"/>
    <n v="95060"/>
    <x v="3"/>
    <s v="2d Floor"/>
    <n v="23451"/>
    <n v="1.65"/>
    <s v="NNN"/>
    <s v="Reuben Helick - Terranomics"/>
    <s v="831-647-2109"/>
    <s v="www.cassidyturley.com  reuben.helick@cassidyturley.com"/>
    <s v="Cooper House. Second floor divisible to 2,500 square foot suites"/>
    <m/>
    <n v="1.65"/>
  </r>
  <r>
    <s v="Downtown "/>
    <x v="2"/>
    <n v="110"/>
    <s v="Cooper Street"/>
    <s v="Santa Cruz "/>
    <s v="CA"/>
    <n v="95060"/>
    <x v="3"/>
    <s v="3d Floor"/>
    <n v="23153"/>
    <n v="1.65"/>
    <s v="NNN"/>
    <s v="Reuben Helick - Cassidy Turley"/>
    <s v="831-647-2109"/>
    <s v="www.cassidyturley.com  reuben.helick@cassidyturley.com"/>
    <s v="Cooper House"/>
    <m/>
    <n v="1.65"/>
  </r>
  <r>
    <s v="Downtown "/>
    <x v="2"/>
    <n v="110"/>
    <s v="Cooper Street"/>
    <s v="Santa Cruz "/>
    <s v="CA"/>
    <n v="95060"/>
    <x v="3"/>
    <s v="4th Floor"/>
    <n v="17880"/>
    <n v="1.65"/>
    <s v="NNN"/>
    <s v="Reuben Helick - Cassidy Turley"/>
    <s v="831-647-2109"/>
    <s v="www.cassidyturley.com  reuben.helick@cassidyturley.com"/>
    <s v="Cooper House"/>
    <m/>
    <n v="1.65"/>
  </r>
  <r>
    <s v="Downtown "/>
    <x v="2"/>
    <n v="110"/>
    <s v="Cooper Street"/>
    <s v="Santa Cruz "/>
    <s v="CA"/>
    <n v="95060"/>
    <x v="3"/>
    <s v="5th Floor"/>
    <n v="14669"/>
    <n v="1.65"/>
    <s v="NNN"/>
    <s v="Reuben Helick - Cassidy Turley"/>
    <s v="831-647-2109"/>
    <s v="www.cassidyturley.com  reuben.helick@cassidyturley.com"/>
    <s v="Cooper House"/>
    <m/>
    <n v="1.65"/>
  </r>
  <r>
    <s v="Downtown "/>
    <x v="2"/>
    <n v="110"/>
    <s v="Cooper Street "/>
    <s v="Santa Cruz "/>
    <s v="CA"/>
    <n v="95060"/>
    <x v="2"/>
    <m/>
    <n v="1873"/>
    <n v="2"/>
    <s v="NNN"/>
    <s v="Reuben Helick - Cassidy Turley"/>
    <s v="831-647-2109"/>
    <s v="www.cassidyturley.com  reuben.helick@cassidyturley.com"/>
    <s v="Cooper House"/>
    <m/>
    <n v="2"/>
  </r>
  <r>
    <s v="Other Areas Office/Retail"/>
    <x v="3"/>
    <n v="350"/>
    <s v="Coral Street"/>
    <s v="Santa Cruz "/>
    <s v="CA"/>
    <n v="95060"/>
    <x v="3"/>
    <m/>
    <n v="650"/>
    <n v="750"/>
    <m/>
    <s v="Matt Shelton"/>
    <s v="831-476-2222"/>
    <s v="jrparrish.com"/>
    <m/>
    <m/>
    <n v="1.1538461538461537"/>
  </r>
  <r>
    <s v="Industrial "/>
    <x v="3"/>
    <n v="375"/>
    <s v="Coral Street"/>
    <s v="Santa Cruz "/>
    <s v="CA"/>
    <n v="95060"/>
    <x v="5"/>
    <m/>
    <n v="1112"/>
    <n v="0.95"/>
    <s v="NNN"/>
    <s v="Carol Lezin"/>
    <s v="831-247-2610 "/>
    <s v="Clezin@jrparrish.com"/>
    <s v="Warehouse with rollup doors. 400+ square foot mezzanine"/>
    <m/>
    <n v="1.03"/>
  </r>
  <r>
    <s v="Other Areas Office/Retail"/>
    <x v="3"/>
    <n v="379"/>
    <s v="Coral Street"/>
    <s v="Santa Cruz "/>
    <s v="CA"/>
    <n v="95060"/>
    <x v="3"/>
    <s v="A"/>
    <n v="775"/>
    <n v="0.85"/>
    <s v="NNN"/>
    <s v="Carol Lezin"/>
    <s v="831-247-2610 "/>
    <s v="Clezin@jrparrish.com"/>
    <m/>
    <m/>
    <n v="0.85"/>
  </r>
  <r>
    <s v="Industrial "/>
    <x v="3"/>
    <n v="397"/>
    <s v="Coral Street"/>
    <s v="Santa Cruz "/>
    <s v="CA"/>
    <n v="95060"/>
    <x v="5"/>
    <s v="B"/>
    <n v="775"/>
    <s v="Negotiable"/>
    <s v="NNN"/>
    <s v="Carol Lezin"/>
    <s v="831-247-2610 "/>
    <s v="Clezin@jrparrish.com"/>
    <s v="Storage space."/>
    <m/>
    <n v="0"/>
  </r>
  <r>
    <s v="Other Areas Office/Retail"/>
    <x v="3"/>
    <n v="397"/>
    <s v="Coral Street"/>
    <s v="Santa Cruz "/>
    <s v="CA"/>
    <n v="95060"/>
    <x v="3"/>
    <s v="A"/>
    <n v="775"/>
    <n v="0.85"/>
    <s v="NNN"/>
    <s v="Carol Lezin"/>
    <s v="831-247-2610 "/>
    <s v="Clezin@jrparrish.com"/>
    <s v="2 privates, large open space. New paint, carpets and blinds."/>
    <m/>
    <n v="0.85"/>
  </r>
  <r>
    <s v="Other Areas Office/Retail"/>
    <x v="0"/>
    <n v="2117"/>
    <s v="Delaware Avenue"/>
    <s v="Santa Cruz "/>
    <s v="CA"/>
    <n v="95060"/>
    <x v="4"/>
    <s v="A"/>
    <n v="3600"/>
    <n v="0.9"/>
    <s v="NNN"/>
    <s v="Russell E. Gross"/>
    <s v="831-464-4700 "/>
    <s v="russellgross.com"/>
    <m/>
    <m/>
    <n v="0.9"/>
  </r>
  <r>
    <s v="Industrial "/>
    <x v="0"/>
    <n v="2119"/>
    <s v="Delaware Avenue"/>
    <s v="Santa Cruz "/>
    <s v="CA"/>
    <n v="95060"/>
    <x v="6"/>
    <m/>
    <n v="10800"/>
    <n v="0.8"/>
    <s v="NNN"/>
    <s v="Russell E. Gross"/>
    <s v="831-464-4700 "/>
    <s v="russellgross.com"/>
    <m/>
    <m/>
    <n v="0.8"/>
  </r>
  <r>
    <s v="Other Areas Office/Retail"/>
    <x v="0"/>
    <n v="2155"/>
    <s v="Delaware Avenue"/>
    <s v="Santa Cruz "/>
    <s v="CA"/>
    <n v="95060"/>
    <x v="3"/>
    <s v="2nd Floor"/>
    <n v="9654"/>
    <n v="1.1499999999999999"/>
    <s v="NNN"/>
    <s v="Randy Parker and Matt Shelton"/>
    <s v="831-476-2222 "/>
    <s v="jrparrish.com"/>
    <s v="2nd floor office space, natural light, generous parking, and large break room."/>
    <m/>
    <n v="1.1499999999999999"/>
  </r>
  <r>
    <s v="Other Areas Office/Retail"/>
    <x v="3"/>
    <n v="150"/>
    <s v="DuBois Street"/>
    <s v="Santa Cruz "/>
    <s v="CA"/>
    <n v="95060"/>
    <x v="5"/>
    <s v="D"/>
    <n v="1700"/>
    <n v="1800"/>
    <m/>
    <s v="Gary Marietti"/>
    <s v="831-429-1698"/>
    <s v="garmar2@sbcglobal.net"/>
    <s v="Warehouse with 200 sqft mezzanine office and bathroom. Rent includes water, sewer, garbage, PG&amp;E."/>
    <m/>
    <n v="1.0588235294117647"/>
  </r>
  <r>
    <s v="Other Areas Office/Retail"/>
    <x v="3"/>
    <n v="155"/>
    <s v="DuBois Street"/>
    <s v="Santa Cruz "/>
    <s v="CA"/>
    <n v="95060"/>
    <x v="3"/>
    <m/>
    <n v="14700"/>
    <n v="1"/>
    <s v="NNN"/>
    <s v="Dan Watson"/>
    <s v="831-476-8194"/>
    <s v="hirschandassociates.com"/>
    <m/>
    <m/>
    <n v="1"/>
  </r>
  <r>
    <s v="Other Areas Office/Retail"/>
    <x v="3"/>
    <n v="165"/>
    <s v="DuBois Street"/>
    <s v="Santa Cruz "/>
    <s v="CA"/>
    <n v="95060"/>
    <x v="3"/>
    <m/>
    <n v="18700"/>
    <n v="1"/>
    <s v="NNN"/>
    <s v="Dan Watson"/>
    <s v="831-476-8194"/>
    <s v="hirschandassociates.com"/>
    <m/>
    <m/>
    <n v="1"/>
  </r>
  <r>
    <s v="Other Areas Office/Retail"/>
    <x v="3"/>
    <n v="229"/>
    <s v="Encinal Street"/>
    <s v="Santa Cruz "/>
    <s v="CA"/>
    <n v="95060"/>
    <x v="3"/>
    <s v="2d Floor"/>
    <n v="2800"/>
    <n v="0.85"/>
    <m/>
    <s v="Rick Melrose"/>
    <s v="831-334-1295"/>
    <s v="rick_melrose@yahoo.com"/>
    <m/>
    <m/>
    <n v="0.85"/>
  </r>
  <r>
    <s v="Other Areas Office/Retail"/>
    <x v="3"/>
    <n v="320"/>
    <s v="Encinal Street"/>
    <s v="Santa Cruz "/>
    <s v="CA"/>
    <n v="95060"/>
    <x v="7"/>
    <m/>
    <n v="7594"/>
    <n v="1.1499999999999999"/>
    <s v="NNN"/>
    <s v="Randy Parker"/>
    <s v="831-476-2222"/>
    <s v="jrparrish.com"/>
    <s v="Dock high access. "/>
    <m/>
    <n v="1.1499999999999999"/>
  </r>
  <r>
    <s v="Other Areas Office/Retail"/>
    <x v="3"/>
    <n v="380"/>
    <s v="Encinal Street"/>
    <s v="Santa Cruz "/>
    <s v="CA"/>
    <n v="95060"/>
    <x v="3"/>
    <n v="200"/>
    <n v="18250"/>
    <n v="0.99"/>
    <s v="NNN"/>
    <s v="Carol Canaris"/>
    <s v="831-419-4225"/>
    <s v="JR Parrish"/>
    <s v="Flexible Office/Mfg./Wareshouse space. 3 ground level roll-ups plus 2 docks with caged area. Sublease until 7/31/2015 "/>
    <m/>
    <n v="0.14000000000000001"/>
  </r>
  <r>
    <s v="Other Areas Office/Retail"/>
    <x v="0"/>
    <n v="1010"/>
    <s v="Fair Avenue"/>
    <s v="Santa Cruz "/>
    <s v="CA"/>
    <n v="95060"/>
    <x v="3"/>
    <s v="E"/>
    <n v="983"/>
    <n v="1.39"/>
    <s v="NNN"/>
    <s v="Datta Khalsa"/>
    <s v="831-818-0181"/>
    <s v="mainstreetrealtors.com"/>
    <s v="Building features 1 Gbps Symmetrical Connection           "/>
    <n v="0.3"/>
    <n v="1.39"/>
  </r>
  <r>
    <s v="Downtown "/>
    <x v="2"/>
    <n v="428"/>
    <s v="Front Street"/>
    <s v="Santa Cruz "/>
    <s v="CA"/>
    <n v="96060"/>
    <x v="1"/>
    <s v="A"/>
    <n v="2080"/>
    <n v="1.25"/>
    <s v="NNN"/>
    <s v="Tracy Jones - CIFPM"/>
    <s v="831-464-0444"/>
    <s v="tracy@cifpm.com"/>
    <s v="Can be combined with unit B"/>
    <m/>
    <n v="1.25"/>
  </r>
  <r>
    <s v="Downtown "/>
    <x v="2"/>
    <n v="428"/>
    <s v="Front Street"/>
    <s v="Santa Cruz "/>
    <s v="CA"/>
    <n v="96060"/>
    <x v="1"/>
    <s v="B"/>
    <n v="3170"/>
    <n v="1.25"/>
    <s v="NNN"/>
    <s v="Tracy Jones - CIFPM"/>
    <s v="831-464-0444"/>
    <s v="tracy@cifpm.com"/>
    <s v="Can be combined with unit A"/>
    <m/>
    <n v="1.25"/>
  </r>
  <r>
    <s v="Downtown "/>
    <x v="1"/>
    <n v="514"/>
    <s v="Front Street"/>
    <s v="Santa Cruz "/>
    <s v="CA"/>
    <n v="95060"/>
    <x v="1"/>
    <m/>
    <n v="2000"/>
    <n v="1.75"/>
    <s v="NNN"/>
    <s v="Patrick Prindle "/>
    <s v="831-234-0517"/>
    <s v="pprindle@mcmdiversified.com"/>
    <s v="Adjacent to successful restaurant &quot;I Love Sushi&quot;"/>
    <m/>
    <n v="1.75"/>
  </r>
  <r>
    <s v="Downtown "/>
    <x v="2"/>
    <n v="740"/>
    <s v="Front Street"/>
    <s v="Santa Cruz "/>
    <s v="CA"/>
    <n v="95060"/>
    <x v="3"/>
    <n v="125"/>
    <n v="888"/>
    <n v="1.4"/>
    <s v="Full Service"/>
    <s v="Patrick Prindle "/>
    <s v="831-234-0517"/>
    <s v="pprindle@mcmdiversified.com"/>
    <s v="Modified gross "/>
    <m/>
    <n v="1.4"/>
  </r>
  <r>
    <s v="Downtown "/>
    <x v="2"/>
    <n v="740"/>
    <s v="Front Street"/>
    <s v="Santa Cruz "/>
    <s v="CA"/>
    <n v="95060"/>
    <x v="3"/>
    <n v="155"/>
    <n v="1484"/>
    <n v="1.4"/>
    <s v="Full Service"/>
    <s v="Patrick Prindle "/>
    <s v="831-234-0517"/>
    <s v="pprindle@mcmdiversified.com"/>
    <s v="Modified gross "/>
    <m/>
    <n v="1.4"/>
  </r>
  <r>
    <s v="Downtown "/>
    <x v="2"/>
    <n v="740"/>
    <s v="Front Street"/>
    <s v="Santa Cruz "/>
    <s v="CA"/>
    <n v="95060"/>
    <x v="3"/>
    <n v="160"/>
    <n v="1235"/>
    <n v="1.4"/>
    <s v="Full Service"/>
    <s v="Patrick Prindle "/>
    <s v="831-234-0517"/>
    <s v="pprindle@mcmdiversified.com"/>
    <s v="Modified gross "/>
    <m/>
    <n v="1.4"/>
  </r>
  <r>
    <s v="Downtown "/>
    <x v="2"/>
    <n v="740"/>
    <s v="Front Street"/>
    <s v="Santa Cruz "/>
    <s v="CA"/>
    <n v="95060"/>
    <x v="4"/>
    <n v="170"/>
    <n v="966"/>
    <n v="1.4"/>
    <s v="Full Service"/>
    <s v="Patrick Prindle "/>
    <s v="831-234-0517"/>
    <s v="pprindle@mcmdiversified.com"/>
    <m/>
    <m/>
    <n v="1.4"/>
  </r>
  <r>
    <s v="Downtown "/>
    <x v="2"/>
    <n v="740"/>
    <s v="Front Street"/>
    <s v="Santa Cruz "/>
    <s v="CA"/>
    <n v="95060"/>
    <x v="3"/>
    <n v="240"/>
    <n v="3130"/>
    <n v="1.8"/>
    <s v="Full Service"/>
    <s v="Patrick Prindle "/>
    <s v="831-234-0517"/>
    <s v="pprindle@mcmdiversified.com"/>
    <s v="Waivers of City Parking Fee Available / Modified gross "/>
    <m/>
    <n v="1.4"/>
  </r>
  <r>
    <s v="Downtown "/>
    <x v="2"/>
    <n v="835"/>
    <s v="Front Street"/>
    <s v="Santa Cruz "/>
    <s v="CA"/>
    <n v="95060"/>
    <x v="1"/>
    <m/>
    <n v="1115"/>
    <n v="1.5"/>
    <s v="NNN"/>
    <s v="Patrick Prindle "/>
    <s v="831-234-0517"/>
    <s v="pprindle@mcmdiversified.com"/>
    <s v="St George Building"/>
    <m/>
    <n v="1.5"/>
  </r>
  <r>
    <s v="Other Areas Office/Retail"/>
    <x v="4"/>
    <n v="347"/>
    <s v="Gault Street"/>
    <s v="Santa Cruz "/>
    <s v="CA"/>
    <n v="95062"/>
    <x v="3"/>
    <m/>
    <n v="1000"/>
    <n v="1500"/>
    <s v="Gross"/>
    <s v="JR Parrish "/>
    <s v="831-476-2222"/>
    <s v="jrparrish.com"/>
    <m/>
    <m/>
    <n v="1.5"/>
  </r>
  <r>
    <s v="Industrial "/>
    <x v="3"/>
    <n v="115"/>
    <s v="Harvey West Boulevard"/>
    <s v="Santa Cruz "/>
    <s v="CA"/>
    <n v="95060"/>
    <x v="7"/>
    <m/>
    <n v="4200"/>
    <n v="1"/>
    <s v="Gross "/>
    <s v="Kristen A. Macken "/>
    <s v="408-282-3878  "/>
    <s v="kristen.macken@colliers.com"/>
    <m/>
    <m/>
    <n v="1"/>
  </r>
  <r>
    <s v="Industrial "/>
    <x v="3"/>
    <n v="151"/>
    <s v="Harvey West Boulevard"/>
    <s v="Santa Cruz "/>
    <s v="CA"/>
    <n v="95060"/>
    <x v="5"/>
    <m/>
    <n v="14000"/>
    <n v="1"/>
    <s v="NNN "/>
    <s v="Steve Sheldon or Jim Wiseman"/>
    <s v="831-454-9400"/>
    <s v="sheldonwiseman.com"/>
    <m/>
    <m/>
    <n v="1"/>
  </r>
  <r>
    <s v="Other Areas Office/Retail"/>
    <x v="3"/>
    <n v="191"/>
    <s v="Harvey West Boulevard"/>
    <s v="Santa Cruz "/>
    <s v="CA"/>
    <n v="95060"/>
    <x v="3"/>
    <s v="A"/>
    <n v="3607"/>
    <n v="1.2"/>
    <s v="NNN"/>
    <s v="Charlene Pascoal"/>
    <s v="408-557-6111 x105"/>
    <s v="remico.com"/>
    <m/>
    <m/>
    <n v="1.2"/>
  </r>
  <r>
    <s v="Industrial "/>
    <x v="3"/>
    <n v="298"/>
    <s v="Harvey West Boulevard"/>
    <s v="Santa Cruz "/>
    <s v="CA"/>
    <n v="95060"/>
    <x v="5"/>
    <m/>
    <n v="10700"/>
    <n v="0.95"/>
    <s v="NNN"/>
    <s v="Randy Parker"/>
    <s v="831-476-2222"/>
    <s v="jrparrish.com"/>
    <s v="17 foot clear height w/dock high door. Owner to provide improvements: skylights, RR_x000a_core, sprinklers, lighting &amp;/or electrical, rollup doors &amp; more."/>
    <m/>
    <n v="0.95"/>
  </r>
  <r>
    <s v="Other Areas Office/Retail"/>
    <x v="4"/>
    <n v="149"/>
    <s v="Josephine Street"/>
    <s v="Santa Cruz "/>
    <s v="CA"/>
    <n v="95060"/>
    <x v="4"/>
    <s v="B"/>
    <n v="625"/>
    <n v="1.5"/>
    <s v="Gross "/>
    <s v="Tracy Jones"/>
    <s v="831-464-0444 "/>
    <s v="tracy@cifpm.com"/>
    <m/>
    <m/>
    <n v="1.5"/>
  </r>
  <r>
    <s v="Downtown "/>
    <x v="1"/>
    <n v="212"/>
    <s v="Laurel Street"/>
    <s v="Santa Cruz "/>
    <s v="CA"/>
    <n v="95060"/>
    <x v="4"/>
    <n v="200"/>
    <n v="520"/>
    <n v="1.54"/>
    <s v="Gross"/>
    <s v="Glenn Kramer"/>
    <s v="831-724-2343"/>
    <s v="burgstromkramer.com"/>
    <m/>
    <m/>
    <n v="1.54"/>
  </r>
  <r>
    <s v="Downtown "/>
    <x v="1"/>
    <n v="212"/>
    <s v="Laurel Street"/>
    <s v="Santa Cruz "/>
    <s v="CA"/>
    <n v="95060"/>
    <x v="3"/>
    <n v="202"/>
    <n v="320"/>
    <n v="1.58"/>
    <s v="Gross"/>
    <s v="Glenn Kramer"/>
    <s v="831-724-2343"/>
    <s v="burgstromkramer.com"/>
    <m/>
    <m/>
    <n v="1.58"/>
  </r>
  <r>
    <s v="Downtown "/>
    <x v="1"/>
    <n v="212"/>
    <s v="Laurel Street"/>
    <s v="Santa Cruz "/>
    <s v="CA"/>
    <n v="95060"/>
    <x v="3"/>
    <n v="203"/>
    <n v="85"/>
    <n v="3.59"/>
    <s v="Gross"/>
    <s v="Glenn Kramer"/>
    <s v="831-724-2343"/>
    <s v="burgstromkramer.com"/>
    <m/>
    <m/>
    <n v="3.59"/>
  </r>
  <r>
    <s v="Downtown "/>
    <x v="1"/>
    <n v="212"/>
    <s v="Laurel Street"/>
    <s v="Santa Cruz "/>
    <s v="CA"/>
    <n v="95060"/>
    <x v="3"/>
    <n v="204"/>
    <n v="250"/>
    <n v="2"/>
    <s v="Gross"/>
    <s v="Glenn Kramer"/>
    <s v="831-724-2343"/>
    <s v="burgstromkramer.com"/>
    <m/>
    <m/>
    <n v="2"/>
  </r>
  <r>
    <s v="Downtown "/>
    <x v="1"/>
    <n v="212"/>
    <s v="Laurel Street"/>
    <s v="Santa Cruz "/>
    <s v="CA"/>
    <n v="95060"/>
    <x v="3"/>
    <n v="205"/>
    <n v="85"/>
    <n v="3.59"/>
    <s v="Gross"/>
    <s v="Glenn Kramer"/>
    <s v="831-724-2343"/>
    <s v="burgstromkramer.com"/>
    <m/>
    <m/>
    <n v="3.59"/>
  </r>
  <r>
    <s v="Downtown "/>
    <x v="1"/>
    <n v="212"/>
    <s v="Laurel Street"/>
    <s v="Santa Cruz "/>
    <s v="CA"/>
    <n v="95060"/>
    <x v="3"/>
    <n v="207"/>
    <n v="85"/>
    <n v="3.59"/>
    <s v="Gross"/>
    <s v="Glenn Kramer"/>
    <s v="831-724-2343"/>
    <s v="burgstromkramer.com"/>
    <m/>
    <m/>
    <n v="3.59"/>
  </r>
  <r>
    <s v="Downtown "/>
    <x v="1"/>
    <n v="212"/>
    <s v="Laurel Street"/>
    <s v="Santa Cruz "/>
    <s v="CA"/>
    <n v="95060"/>
    <x v="3"/>
    <n v="209"/>
    <n v="105"/>
    <n v="3.14"/>
    <s v="Gross"/>
    <s v="Glenn Kramer"/>
    <s v="831-724-2343"/>
    <s v="burgstromkramer.com"/>
    <m/>
    <m/>
    <n v="3.14"/>
  </r>
  <r>
    <s v="Downtown "/>
    <x v="1"/>
    <n v="220"/>
    <s v="Laurel Street"/>
    <s v="Santa Cruz "/>
    <s v="CA"/>
    <n v="95060"/>
    <x v="8"/>
    <n v="101"/>
    <n v="1050"/>
    <n v="399000"/>
    <m/>
    <s v="Erik Barbic"/>
    <s v="831-464-5039"/>
    <s v="sbacommercial.com"/>
    <s v="Commercial Condo for Sale"/>
    <m/>
    <n v="380"/>
  </r>
  <r>
    <s v="Other Areas Office/Retail"/>
    <x v="3"/>
    <n v="115"/>
    <s v="Limekiln Street"/>
    <s v="Santa Cruz "/>
    <s v="CA"/>
    <n v="95060"/>
    <x v="4"/>
    <m/>
    <n v="3800"/>
    <n v="4000"/>
    <s v="Gross "/>
    <s v="Randy Parker and Jackie Copriviza"/>
    <s v="831-476-2222"/>
    <s v="jrparrish.com"/>
    <s v="Garage w/ rollup"/>
    <m/>
    <n v="1"/>
  </r>
  <r>
    <s v="Downtown "/>
    <x v="1"/>
    <n v="312"/>
    <s v="Lincoln Street"/>
    <s v="Santa Cruz "/>
    <s v="CA"/>
    <n v="95060"/>
    <x v="4"/>
    <s v="D"/>
    <n v="280"/>
    <n v="500"/>
    <s v="Gross "/>
    <s v="Lee Slaff"/>
    <s v="831-425-1419"/>
    <s v="lee@lslaff.com"/>
    <m/>
    <m/>
    <n v="500"/>
  </r>
  <r>
    <s v="Downtown "/>
    <x v="1"/>
    <n v="312"/>
    <s v="Lincoln Street"/>
    <s v="Santa Cruz "/>
    <s v="CA"/>
    <n v="95060"/>
    <x v="4"/>
    <m/>
    <n v="3000"/>
    <n v="3850"/>
    <s v="Gross "/>
    <s v="Lee Slaff"/>
    <s v="831-425-1419"/>
    <s v="lee@lslaff.com"/>
    <s v="Entire ground floor, on-site parking."/>
    <m/>
    <n v="1.28"/>
  </r>
  <r>
    <s v="Downtown "/>
    <x v="1"/>
    <n v="115"/>
    <s v="Locust Street "/>
    <s v="Santa Cruz "/>
    <s v="CA "/>
    <n v="95060"/>
    <x v="9"/>
    <m/>
    <n v="5245"/>
    <n v="1.55"/>
    <s v="NNN"/>
    <s v="Jackie Copriviza "/>
    <s v="831-476-2222"/>
    <s v="jcopriv@gmail.com"/>
    <s v="Currently occupied by PAMF. Available June 2014."/>
    <m/>
    <n v="1.55"/>
  </r>
  <r>
    <s v="Industrial "/>
    <x v="0"/>
    <n v="125"/>
    <s v="McPherson Street"/>
    <s v="Santa Cruz "/>
    <s v="CA"/>
    <n v="95060"/>
    <x v="10"/>
    <m/>
    <n v="10500"/>
    <n v="1.25"/>
    <s v="NNN"/>
    <s v="Russell E. Gross"/>
    <s v="831-464-4700 "/>
    <s v="russellgross.com"/>
    <m/>
    <m/>
    <n v="1.25"/>
  </r>
  <r>
    <s v="Other Areas Office/Retail"/>
    <x v="0"/>
    <n v="207"/>
    <s v="McPherson Street"/>
    <s v="Santa Cruz "/>
    <s v="CA"/>
    <n v="95060"/>
    <x v="3"/>
    <s v="D"/>
    <n v="3273"/>
    <n v="1.1499999999999999"/>
    <s v="NNN"/>
    <s v="Randy Parker and Matt Shelton"/>
    <s v="831-476-2222 "/>
    <s v="jrparrish.com"/>
    <s v="Office, R &amp; D, Flex space.  High ceilings, natural light full HVAC, very cool space located close to west side services."/>
    <m/>
    <n v="1.1499999999999999"/>
  </r>
  <r>
    <s v="Other Areas Office/Retail"/>
    <x v="0"/>
    <n v="207"/>
    <s v="McPherson Street"/>
    <s v="Santa Cruz "/>
    <s v="CA"/>
    <n v="95060"/>
    <x v="3"/>
    <s v="F"/>
    <n v="1976"/>
    <n v="1.1499999999999999"/>
    <s v="NNN"/>
    <s v="Randy Parker and Matt Shelton"/>
    <s v="831-476-2222 "/>
    <s v="jrparrish.com"/>
    <s v="Office, R &amp; D, Flex space.  High ceilings, natural light full HVAC, very cool space located close to west side services."/>
    <m/>
    <n v="1.1499999999999999"/>
  </r>
  <r>
    <s v="Other Areas Office/Retail"/>
    <x v="4"/>
    <n v="133"/>
    <s v="Mission Street"/>
    <s v="Santa Cruz "/>
    <s v="CA"/>
    <n v="95060"/>
    <x v="3"/>
    <n v="101"/>
    <n v="1950"/>
    <n v="1.7"/>
    <s v="Full Service"/>
    <s v="Sue Ellen Gales"/>
    <s v="831-239-5516"/>
    <s v="sue@andersonchristie.com"/>
    <s v="Class A Office space  beautiful grounds ample parking fantastic views..."/>
    <m/>
    <n v="1.7"/>
  </r>
  <r>
    <s v="Other Areas Office/Retail"/>
    <x v="0"/>
    <n v="406"/>
    <s v="Mission Street"/>
    <s v="Santa Cruz "/>
    <s v="CA"/>
    <n v="95060"/>
    <x v="3"/>
    <m/>
    <n v="1100"/>
    <s v="Negotiable"/>
    <m/>
    <s v="Kristen A. Macken "/>
    <s v="408-282-3878  "/>
    <s v="kristen.macken@colliers.com"/>
    <s v="Negotiable Rent"/>
    <m/>
    <n v="0"/>
  </r>
  <r>
    <s v="Other Areas Office/Retail"/>
    <x v="0"/>
    <n v="701"/>
    <s v="Mission Street"/>
    <s v="Santa Cruz "/>
    <s v="CA"/>
    <n v="95060"/>
    <x v="3"/>
    <m/>
    <n v="2279"/>
    <n v="2"/>
    <s v="Gross"/>
    <s v="Randy Parker"/>
    <s v="831-476-2222"/>
    <s v="jrparrish.com"/>
    <m/>
    <m/>
    <n v="2"/>
  </r>
  <r>
    <s v="Other Areas Office/Retail"/>
    <x v="0"/>
    <n v="730"/>
    <s v="Mission Street"/>
    <s v="Santa Cruz "/>
    <s v="CA"/>
    <n v="95060"/>
    <x v="3"/>
    <m/>
    <n v="2400"/>
    <n v="1.25"/>
    <s v="NNN"/>
    <s v="Russell E. Gross"/>
    <s v="831-464-4700 "/>
    <s v="russellgross.com"/>
    <s v="Divisible to 800 sq. feet"/>
    <m/>
    <n v="1.25"/>
  </r>
  <r>
    <s v="Other Areas Office/Retail"/>
    <x v="0"/>
    <n v="1515"/>
    <s v="Mission Street"/>
    <s v="Santa Cruz "/>
    <s v="CA"/>
    <n v="95060"/>
    <x v="1"/>
    <m/>
    <n v="1845"/>
    <n v="2125"/>
    <s v="NNN"/>
    <s v="Sue Ellen Gales"/>
    <s v="831-239-5516"/>
    <s v="sue@andersonchristie.com"/>
    <s v="Private parking lot in rear, great traffic count."/>
    <m/>
    <n v="1.1517615176151761"/>
  </r>
  <r>
    <s v="Other Areas Office/Retail"/>
    <x v="0"/>
    <n v="2117"/>
    <s v="Mission Street"/>
    <s v="Santa Cruz "/>
    <s v="CA"/>
    <n v="95060"/>
    <x v="2"/>
    <m/>
    <n v="1853"/>
    <n v="3"/>
    <s v="NNN"/>
    <s v="Jackie Copriviza "/>
    <s v="831-476-2222"/>
    <s v="jrparrish.com"/>
    <s v="Please call for leasing information. Almar / Safeway Center"/>
    <m/>
    <n v="3"/>
  </r>
  <r>
    <s v="Industrial "/>
    <x v="0"/>
    <n v="2521"/>
    <s v="Mission Street"/>
    <s v="Santa Cruz "/>
    <s v="CA"/>
    <n v="95060"/>
    <x v="11"/>
    <m/>
    <n v="7912"/>
    <n v="5625"/>
    <m/>
    <s v="Russell E. Gross"/>
    <s v="831-464-4700 "/>
    <s v="russellgross.com"/>
    <m/>
    <m/>
    <n v="0.71094539939332657"/>
  </r>
  <r>
    <s v="Industrial "/>
    <x v="0"/>
    <n v="2801"/>
    <s v="Mission Street"/>
    <s v="Santa Cruz "/>
    <s v="CA"/>
    <n v="95060"/>
    <x v="10"/>
    <m/>
    <n v="805"/>
    <n v="1"/>
    <s v="Full Service"/>
    <s v="William Ow "/>
    <s v="831-247-5550"/>
    <s v="owproperties.com"/>
    <s v="University Business Park / Wrigley Building"/>
    <m/>
    <n v="1"/>
  </r>
  <r>
    <s v="Industrial "/>
    <x v="0"/>
    <n v="2801"/>
    <s v="Mission Street"/>
    <s v="Santa Cruz "/>
    <s v="CA"/>
    <n v="95060"/>
    <x v="10"/>
    <m/>
    <n v="1610"/>
    <n v="0.95"/>
    <s v="Full Service"/>
    <s v="William Ow "/>
    <s v="831-247-5550"/>
    <s v="owproperties.com"/>
    <s v="University Business Park / Wrigley Building"/>
    <m/>
    <n v="0.95"/>
  </r>
  <r>
    <s v="Industrial "/>
    <x v="0"/>
    <n v="2801"/>
    <s v="Mission Street"/>
    <s v="Santa Cruz "/>
    <s v="CA"/>
    <n v="95060"/>
    <x v="10"/>
    <m/>
    <n v="2185"/>
    <n v="0.9"/>
    <s v="Full Service"/>
    <s v="William Ow "/>
    <s v="831-247-5550"/>
    <s v="owproperties.com"/>
    <s v="University Business Park / Wrigley Building"/>
    <m/>
    <n v="0.9"/>
  </r>
  <r>
    <s v="Industrial "/>
    <x v="0"/>
    <n v="2801"/>
    <s v="Mission Street"/>
    <s v="Santa Cruz "/>
    <s v="CA"/>
    <n v="95060"/>
    <x v="10"/>
    <m/>
    <n v="4370"/>
    <n v="0.9"/>
    <s v="Full Service"/>
    <s v="William Ow "/>
    <s v="831-247-5550"/>
    <s v="owproperties.com"/>
    <s v="University Business Park / Wrigley Building Divisible to 2,185 square feet"/>
    <m/>
    <n v="0.9"/>
  </r>
  <r>
    <s v="Industrial "/>
    <x v="0"/>
    <n v="2801"/>
    <s v="Mission Street"/>
    <s v="Santa Cruz "/>
    <s v="CA"/>
    <n v="95060"/>
    <x v="10"/>
    <m/>
    <n v="6555"/>
    <n v="0.9"/>
    <s v="Full Service"/>
    <s v="William Ow "/>
    <s v="831-247-5550"/>
    <s v="owproperties.com"/>
    <s v="University Business Park / Wrigley Building Divisible to 2,185 square feet"/>
    <m/>
    <n v="0.9"/>
  </r>
  <r>
    <s v="Other Areas Office/Retail"/>
    <x v="0"/>
    <n v="2901"/>
    <s v="Mission Street"/>
    <s v="Santa Cruz "/>
    <s v="CA"/>
    <n v="95060"/>
    <x v="3"/>
    <m/>
    <n v="16408"/>
    <n v="1.25"/>
    <s v="NNN"/>
    <s v="Hirsch and Associates"/>
    <s v="831-476-8194"/>
    <s v="hirschandassociates.com"/>
    <s v="Two Buildings"/>
    <m/>
    <n v="1.25"/>
  </r>
  <r>
    <s v="Industrial "/>
    <x v="0"/>
    <n v="2931"/>
    <s v="Mission Street"/>
    <s v="Santa Cruz "/>
    <s v="CA"/>
    <n v="95060"/>
    <x v="11"/>
    <m/>
    <n v="9000"/>
    <s v="Negotiable"/>
    <m/>
    <s v="Matt Shelton"/>
    <s v="831-476-2222"/>
    <s v="jrparrish.com"/>
    <s v="Divisible to 1,800.Negotiable rent. Lipton Building; inc. 1,200 sf office"/>
    <m/>
    <n v="0"/>
  </r>
  <r>
    <s v="Other Areas Office/Retail"/>
    <x v="0"/>
    <n v="3004"/>
    <s v="Mission Street"/>
    <s v="Santa Cruz "/>
    <s v="CA"/>
    <n v="95060"/>
    <x v="3"/>
    <n v="150"/>
    <n v="6500"/>
    <n v="1.7"/>
    <s v="Full Service"/>
    <s v="Brian O'Connor"/>
    <s v="831-818-0368"/>
    <s v="wilsonbroscommercial.com"/>
    <m/>
    <m/>
    <n v="1.7"/>
  </r>
  <r>
    <s v="Other Areas Office/Retail"/>
    <x v="0"/>
    <n v="3004"/>
    <s v="Mission Street"/>
    <s v="Santa Cruz "/>
    <s v="CA"/>
    <n v="95060"/>
    <x v="4"/>
    <n v="220"/>
    <n v="14000"/>
    <n v="1.05"/>
    <s v="Full Service"/>
    <s v="Brian O'Connor"/>
    <s v="831-818-0368"/>
    <s v="wilsonbroscommercial.com"/>
    <m/>
    <m/>
    <n v="1.05"/>
  </r>
  <r>
    <s v="Other Areas Office/Retail"/>
    <x v="0"/>
    <n v="3004"/>
    <s v="Mission Street"/>
    <s v="Santa Cruz "/>
    <s v="CA"/>
    <n v="95060"/>
    <x v="4"/>
    <n v="230"/>
    <n v="1400"/>
    <n v="1.7"/>
    <s v="Full Service"/>
    <s v="Brian O'Connor"/>
    <s v="831-818-0368"/>
    <s v="wilsonbroscommercial.com"/>
    <m/>
    <m/>
    <n v="1.7"/>
  </r>
  <r>
    <s v="Downtown "/>
    <x v="5"/>
    <n v="805"/>
    <s v="Pacific Avenue"/>
    <s v="Santa Cruz "/>
    <s v="CA"/>
    <n v="95060"/>
    <x v="2"/>
    <m/>
    <n v="640"/>
    <n v="1000"/>
    <s v="Gross"/>
    <s v="Lynnette Sousa"/>
    <s v="831-763-7777"/>
    <s v="lynette@aldinarealestate.com"/>
    <s v="1 year lease"/>
    <m/>
    <n v="1.5625"/>
  </r>
  <r>
    <s v="Downtown "/>
    <x v="5"/>
    <n v="819"/>
    <s v="Pacific Avenue"/>
    <s v="Santa Cruz "/>
    <s v="CA"/>
    <n v="95060"/>
    <x v="3"/>
    <n v="1"/>
    <n v="1385"/>
    <n v="1.44"/>
    <s v="Gross"/>
    <s v="Russell E. Gross or Dominic Marietti"/>
    <s v="831-464-4700 "/>
    <s v="russellgross.com"/>
    <s v="Creative loft. Includes up to 4 parking spaces at $40 per month each"/>
    <m/>
    <n v="1.44"/>
  </r>
  <r>
    <s v="Downtown "/>
    <x v="5"/>
    <n v="903"/>
    <s v="Pacific Avenue"/>
    <s v="Santa Cruz "/>
    <s v="CA"/>
    <n v="95060"/>
    <x v="3"/>
    <m/>
    <n v="4000"/>
    <n v="0"/>
    <m/>
    <s v="Brad Shelton and Randy Parker"/>
    <s v="831-476-2222"/>
    <s v="jrparrish.com"/>
    <s v="4 office spaces: 300 sqft, 500 sqft, 1200 sqft, and 2000 sqft. Easy parking, elevator service."/>
    <m/>
    <n v="0"/>
  </r>
  <r>
    <s v="Downtown "/>
    <x v="5"/>
    <n v="1013"/>
    <s v="Pacific Avenue"/>
    <s v="Santa Cruz "/>
    <s v="CA"/>
    <n v="95060"/>
    <x v="1"/>
    <m/>
    <n v="4500"/>
    <n v="3"/>
    <s v="NNN"/>
    <s v="Reuben Helick"/>
    <s v="831-647-2109"/>
    <s v="terranomics.com"/>
    <s v="Miller Building - New construction"/>
    <m/>
    <n v="3"/>
  </r>
  <r>
    <s v="Downtown "/>
    <x v="5"/>
    <n v="1101"/>
    <s v="Pacific Avenue"/>
    <s v="Santa Cruz "/>
    <s v="CA"/>
    <n v="95060"/>
    <x v="4"/>
    <n v="210"/>
    <n v="1484"/>
    <n v="1.25"/>
    <s v="NNN"/>
    <s v="Steve Sheldon or Jim Wiseman "/>
    <s v="831-454-9400"/>
    <s v="sheldonwiseman.com"/>
    <s v="University Town Center "/>
    <m/>
    <n v="1.25"/>
  </r>
  <r>
    <s v="Downtown "/>
    <x v="5"/>
    <n v="1101"/>
    <s v="Pacific Avenue"/>
    <s v="Santa Cruz "/>
    <s v="CA"/>
    <n v="95060"/>
    <x v="4"/>
    <n v="300"/>
    <n v="3323"/>
    <n v="1.25"/>
    <s v="NNN"/>
    <s v="Steve Sheldon or Jim Wiseman "/>
    <s v="831-454-9400"/>
    <s v="sheldonwiseman.com"/>
    <s v="University Town Center "/>
    <m/>
    <n v="1.25"/>
  </r>
  <r>
    <s v="Downtown "/>
    <x v="5"/>
    <n v="1101"/>
    <s v="Pacific Avenue"/>
    <s v="Santa Cruz "/>
    <s v="CA"/>
    <n v="95060"/>
    <x v="4"/>
    <n v="308"/>
    <n v="1525"/>
    <n v="1.25"/>
    <s v="NNN"/>
    <s v="Steve Sheldon or Jim Wiseman "/>
    <s v="831-454-9400"/>
    <s v="sheldonwiseman.com"/>
    <s v="University Town Center "/>
    <m/>
    <n v="1.25"/>
  </r>
  <r>
    <s v="Downtown "/>
    <x v="5"/>
    <n v="1101"/>
    <s v="Pacific Avenue"/>
    <s v="Santa Cruz "/>
    <s v="CA"/>
    <n v="95060"/>
    <x v="4"/>
    <n v="320"/>
    <n v="5178"/>
    <n v="1.25"/>
    <s v="NNN"/>
    <s v="Steve Sheldon or Jim Wiseman "/>
    <s v="831-454-9400"/>
    <s v="sheldonwiseman.com"/>
    <s v="University Town Center "/>
    <m/>
    <n v="1.25"/>
  </r>
  <r>
    <s v="Downtown "/>
    <x v="5"/>
    <n v="1101"/>
    <s v="Pacific Avenue"/>
    <s v="Santa Cruz "/>
    <s v="CA"/>
    <n v="95060"/>
    <x v="1"/>
    <s v="D"/>
    <n v="1561"/>
    <n v="2.75"/>
    <s v="NNN"/>
    <s v="Steve Sheldon or Jim Wiseman "/>
    <s v="831-454-9400"/>
    <s v="sheldonwiseman.com"/>
    <s v="University Town Center "/>
    <m/>
    <n v="2.75"/>
  </r>
  <r>
    <s v="Downtown "/>
    <x v="5"/>
    <n v="1119"/>
    <s v="Pacific Avenue"/>
    <s v="Santa Cruz "/>
    <s v="CA"/>
    <n v="95060"/>
    <x v="4"/>
    <s v="3rd Floor"/>
    <n v="6200"/>
    <n v="0.89"/>
    <s v="NNN"/>
    <s v="Lee Slaff"/>
    <s v="831-425-1419"/>
    <s v="lee@lslaff.com"/>
    <s v="Logos Building"/>
    <n v="0.52"/>
    <n v="0.89"/>
  </r>
  <r>
    <s v="Downtown "/>
    <x v="5"/>
    <n v="1200"/>
    <s v="Pacific Avenue"/>
    <s v="Santa Cruz "/>
    <s v="CA"/>
    <n v="95060"/>
    <x v="4"/>
    <n v="250"/>
    <n v="3463"/>
    <n v="1.75"/>
    <s v="NNN"/>
    <s v="Steve Sheldon or Jim Wiseman"/>
    <s v="831-454-9400"/>
    <s v="sheldonwiseman.com"/>
    <s v="Redtree Building"/>
    <m/>
    <n v="1.75"/>
  </r>
  <r>
    <s v="Downtown "/>
    <x v="5"/>
    <n v="1200"/>
    <s v="Pacific Avenue"/>
    <s v="Santa Cruz "/>
    <s v="CA"/>
    <n v="95060"/>
    <x v="3"/>
    <n v="270"/>
    <n v="3589"/>
    <n v="1.75"/>
    <s v="NNN"/>
    <s v="Steve Sheldon or Jim Wiseman"/>
    <s v="831-454-9400"/>
    <s v="sheldonwiseman.com"/>
    <s v="Redtree Building"/>
    <m/>
    <n v="1.75"/>
  </r>
  <r>
    <s v="Downtown "/>
    <x v="5"/>
    <n v="1200"/>
    <s v="Pacific Avenue"/>
    <s v="Santa Cruz "/>
    <s v="CA"/>
    <n v="95060"/>
    <x v="4"/>
    <n v="290"/>
    <n v="1542"/>
    <n v="1.75"/>
    <s v="NNN"/>
    <s v="Steve Sheldon or Jim Wiseman"/>
    <s v="831-454-9400"/>
    <s v="sheldonwiseman.com"/>
    <s v="Redtree Building - Divisible  1,737 Suites"/>
    <m/>
    <n v="1.75"/>
  </r>
  <r>
    <s v="Downtown "/>
    <x v="5"/>
    <n v="1200"/>
    <s v="Pacific Avenue"/>
    <s v="Santa Cruz "/>
    <s v="CA"/>
    <n v="95060"/>
    <x v="4"/>
    <n v="310"/>
    <n v="2295"/>
    <n v="1.75"/>
    <s v="NNN"/>
    <s v="Steve Sheldon or Jim Wiseman"/>
    <s v="831-454-9400"/>
    <s v="sheldonwiseman.com"/>
    <s v="Redtree Building - Divisible  1,737 Suites"/>
    <m/>
    <n v="1.75"/>
  </r>
  <r>
    <s v="Downtown "/>
    <x v="5"/>
    <n v="1205"/>
    <s v="Pacific Avenue"/>
    <s v="Santa Cruz "/>
    <s v="CA"/>
    <n v="95060"/>
    <x v="3"/>
    <m/>
    <n v="510"/>
    <n v="1.5"/>
    <s v="NNN"/>
    <s v="Carol Lezin or Carol Canaris"/>
    <s v="831-247-2610  or 476-2222 X111"/>
    <s v="Clezin@jrparrish.com or ccanaris@jrparrish.com"/>
    <s v="Two entrances, adjacent patio on 2nd floor, and Parking lot adjacent"/>
    <m/>
    <n v="1.5"/>
  </r>
  <r>
    <s v="Downtown "/>
    <x v="5"/>
    <n v="1339"/>
    <s v="Pacific Avenue"/>
    <s v="Santa Cruz "/>
    <s v="CA"/>
    <n v="95060"/>
    <x v="1"/>
    <m/>
    <n v="5000"/>
    <n v="2.35"/>
    <s v="Gross"/>
    <s v="Fred Vellutini"/>
    <s v="831-423-7611"/>
    <m/>
    <m/>
    <n v="0.16"/>
    <n v="2.35"/>
  </r>
  <r>
    <s v="Downtown "/>
    <x v="5"/>
    <n v="1349"/>
    <s v="Pacific Avenue"/>
    <s v="Santa Cruz "/>
    <s v="CA"/>
    <n v="95060"/>
    <x v="2"/>
    <m/>
    <n v="1800"/>
    <n v="2.75"/>
    <s v="NNN"/>
    <s v="Rick Melrose"/>
    <s v="831-334-1295"/>
    <s v="rick_melrose@yahoo.com"/>
    <m/>
    <m/>
    <n v="2.75"/>
  </r>
  <r>
    <s v="Downtown "/>
    <x v="5"/>
    <n v="1364"/>
    <s v="Pacific Avenue"/>
    <s v="Santa Cruz "/>
    <s v="CA"/>
    <n v="95060"/>
    <x v="1"/>
    <m/>
    <n v="1500"/>
    <n v="3"/>
    <s v="NNN"/>
    <s v="Jackie Copriviza "/>
    <s v="831-476-2222"/>
    <s v="jrparrish.com"/>
    <m/>
    <m/>
    <n v="3"/>
  </r>
  <r>
    <s v="Downtown "/>
    <x v="5"/>
    <n v="1367"/>
    <s v="Pacific Avenue"/>
    <s v="Santa Cruz "/>
    <s v="CA"/>
    <n v="95060"/>
    <x v="2"/>
    <s v="1st Floor"/>
    <n v="14945"/>
    <n v="4"/>
    <s v="NNN"/>
    <s v="Jon Stansbury or James Chung "/>
    <s v="408-436-3652"/>
    <s v="terranomics.com"/>
    <s v="EC Rittenhouse Building Retail Space Divisible to 4,500 square feet"/>
    <m/>
    <n v="4"/>
  </r>
  <r>
    <s v="Downtown "/>
    <x v="5"/>
    <n v="1367"/>
    <s v="Pacific Avenue"/>
    <s v="Santa Cruz "/>
    <s v="CA"/>
    <n v="95060"/>
    <x v="3"/>
    <s v="2d Floor"/>
    <n v="16815"/>
    <n v="1.65"/>
    <s v="NNN"/>
    <s v="Carol Lezin or Carol Canaris"/>
    <s v="831-247-2610  or 476-2222 X111"/>
    <s v="Clezin@jrparrish.com or ccanaris@jrparrish.com"/>
    <s v="EC Rittenhouse Building"/>
    <m/>
    <n v="1.65"/>
  </r>
  <r>
    <s v="Downtown "/>
    <x v="5"/>
    <n v="1367"/>
    <s v="Pacific Avenue"/>
    <s v="Santa Cruz "/>
    <s v="CA"/>
    <n v="95060"/>
    <x v="3"/>
    <s v="3d Floor"/>
    <n v="17746"/>
    <n v="1.65"/>
    <s v="NNN"/>
    <s v="Carol Lezin or Carol Canaris"/>
    <s v="831-247-2610  or 476-2222 X111"/>
    <s v="Clezin@jrparrish.com or ccanaris@jrparrish.com"/>
    <s v="EC Rittenhouse Building"/>
    <m/>
    <n v="1.65"/>
  </r>
  <r>
    <s v="Downtown "/>
    <x v="5"/>
    <n v="1367"/>
    <s v="Pacific Avenue"/>
    <s v="Santa Cruz "/>
    <s v="CA"/>
    <n v="95060"/>
    <x v="3"/>
    <s v="4th Floor"/>
    <n v="12675"/>
    <n v="1.65"/>
    <s v="NNN"/>
    <s v="Carol Lezin or Carol Canaris"/>
    <s v="831-247-2610  or 476-2222 X111"/>
    <s v="Clezin@jrparrish.com or ccanaris@jrparrish.com"/>
    <s v="EC Rittenhouse Building"/>
    <m/>
    <n v="1.65"/>
  </r>
  <r>
    <s v="Downtown "/>
    <x v="5"/>
    <n v="1521"/>
    <s v="Pacific Avenue"/>
    <s v="Santa Cruz "/>
    <s v="CA"/>
    <n v="95060"/>
    <x v="4"/>
    <s v="2d Floor"/>
    <n v="2863"/>
    <n v="1.4"/>
    <s v="Gross "/>
    <s v="Brian O'Connor"/>
    <s v="831-818-0368"/>
    <s v="wilsonbroscommercial.com"/>
    <m/>
    <m/>
    <n v="1.4"/>
  </r>
  <r>
    <s v="Downtown "/>
    <x v="5"/>
    <n v="1319"/>
    <s v="Pacific Avenue "/>
    <s v="Santa Cruz "/>
    <s v="CA"/>
    <n v="95060"/>
    <x v="4"/>
    <s v="2d Floor"/>
    <n v="1380"/>
    <n v="1.35"/>
    <s v="NNN"/>
    <s v="Tracy Jones - CIFPM"/>
    <s v="831-464-0444"/>
    <s v="tracy@cifpm.com"/>
    <m/>
    <m/>
    <n v="1.35"/>
  </r>
  <r>
    <s v="Other Areas Office/Retail"/>
    <x v="3"/>
    <n v="100"/>
    <s v="Pioneer Street"/>
    <s v="Santa Cruz "/>
    <s v="CA"/>
    <n v="95060"/>
    <x v="3"/>
    <m/>
    <n v="6500"/>
    <n v="1.1000000000000001"/>
    <s v="NNN "/>
    <s v="William Ow "/>
    <s v="831-247-5550"/>
    <s v="owproperties.com"/>
    <s v="Divsible to 3,500 square feet"/>
    <m/>
    <n v="1.1000000000000001"/>
  </r>
  <r>
    <s v="Other Areas Office/Retail"/>
    <x v="4"/>
    <n v="303"/>
    <s v="Potrero Street"/>
    <s v="Santa Cruz "/>
    <s v="CA"/>
    <n v="95060"/>
    <x v="3"/>
    <m/>
    <n v="0"/>
    <n v="0.99"/>
    <s v="NNN"/>
    <s v="Leland Zeidler or Michael DiDonato"/>
    <s v="831-423-8331"/>
    <s v="Rentalinfo@lemarco.com"/>
    <s v="Various spaces available. Call for details "/>
    <m/>
    <n v="0.99"/>
  </r>
  <r>
    <s v="Downtown "/>
    <x v="6"/>
    <n v="55"/>
    <s v="River Street"/>
    <s v="Santa Cruz "/>
    <s v="CA"/>
    <n v="95060"/>
    <x v="4"/>
    <n v="230"/>
    <n v="1600"/>
    <n v="1.6"/>
    <s v="NNN"/>
    <s v="Fred Antaki"/>
    <s v="831-295-8850"/>
    <s v="mainstreetrealtors.com"/>
    <s v="plus utilities"/>
    <m/>
    <n v="1.6"/>
  </r>
  <r>
    <s v="Other Areas Office/Retail"/>
    <x v="4"/>
    <n v="201"/>
    <s v="River Street "/>
    <s v="Santa Cruz "/>
    <s v="CA"/>
    <n v="95060"/>
    <x v="4"/>
    <m/>
    <n v="5628"/>
    <n v="1.25"/>
    <s v="NNN"/>
    <s v="Reuben Helick"/>
    <s v="831-647-2109"/>
    <s v="reuben.helick@cassidyturley.com"/>
    <s v="Building for sale - $895K"/>
    <n v="0.35"/>
    <n v="1.25"/>
  </r>
  <r>
    <s v="Other Areas Office/Retail"/>
    <x v="4"/>
    <n v="415"/>
    <s v="River Street"/>
    <s v="Santa Cruz "/>
    <s v="CA"/>
    <n v="95060"/>
    <x v="1"/>
    <s v="B"/>
    <n v="3558"/>
    <s v="Negotiable"/>
    <m/>
    <s v="Leland Zeidler or Michael DiDonato"/>
    <s v="831-423-8331"/>
    <s v="Rentalinfo@lemarco.com"/>
    <s v="Terms and Rate are negotiable. The space is adjacent to Patagonia"/>
    <m/>
    <n v="0"/>
  </r>
  <r>
    <s v="Other Areas Office/Retail"/>
    <x v="4"/>
    <n v="505"/>
    <s v="River Street"/>
    <s v="Santa Cruz "/>
    <s v="CA"/>
    <n v="95060"/>
    <x v="3"/>
    <s v="A"/>
    <n v="850"/>
    <n v="1495"/>
    <m/>
    <s v="Datta Khalsa"/>
    <s v="831-818-0181"/>
    <s v="datta@mainstrealtos.com"/>
    <s v="Minimum rent $375 for a single office, Maximum rent $1,600 for entire space."/>
    <m/>
    <n v="1.7588235294117647"/>
  </r>
  <r>
    <s v="Other Areas Office/Retail"/>
    <x v="4"/>
    <n v="710"/>
    <s v="River Street"/>
    <s v="Santa Cruz "/>
    <s v="CA"/>
    <n v="95060"/>
    <x v="3"/>
    <m/>
    <n v="726"/>
    <n v="2"/>
    <s v="Gross"/>
    <s v="Steven Allen"/>
    <s v="831-688-5100"/>
    <s v="steven@allenpginc.com"/>
    <s v="Total combined space for 710-720 River Street = 3,225sf. Min divisible = 164sf.  Three offices available at 274sf, 245 sf, and 274 sf; with shared lobby, restrooms and kitchen"/>
    <m/>
    <n v="2"/>
  </r>
  <r>
    <s v="Other Areas Office/Retail"/>
    <x v="4"/>
    <n v="211"/>
    <s v="River Street "/>
    <s v="Santa Cruz "/>
    <s v="CA"/>
    <n v="95060"/>
    <x v="4"/>
    <m/>
    <n v="6000"/>
    <n v="1.25"/>
    <s v="NNN"/>
    <s v="Fred Antaki"/>
    <s v="831-295-8850"/>
    <s v="mainstreetrealtors.com"/>
    <s v="TI's neg. Building may be for sale"/>
    <n v="0.35"/>
    <n v="1.25"/>
  </r>
  <r>
    <s v="Other Areas Office/Retail"/>
    <x v="4"/>
    <n v="415"/>
    <s v="River Street "/>
    <s v="Santa Cruz "/>
    <s v="CA "/>
    <n v="95060"/>
    <x v="2"/>
    <s v="B"/>
    <n v="7727"/>
    <n v="2.4900000000000002"/>
    <s v="NNN"/>
    <s v="Steve Sheldon or Jim Wiseman"/>
    <s v="831-454-9400"/>
    <s v="sheldonwiseman.com"/>
    <m/>
    <m/>
    <n v="2.4900000000000002"/>
  </r>
  <r>
    <s v="Other Areas Office/Retail"/>
    <x v="4"/>
    <n v="600"/>
    <s v="River Street "/>
    <s v="Santa Cruz "/>
    <s v="CA"/>
    <n v="95060"/>
    <x v="2"/>
    <m/>
    <n v="1150"/>
    <n v="3.25"/>
    <m/>
    <s v="Sam Bogdanovich"/>
    <s v="831-886-7802"/>
    <s v="sbogdanovich@retailassociates.com"/>
    <m/>
    <m/>
    <n v="3.25"/>
  </r>
  <r>
    <s v="Other Areas Office/Retail"/>
    <x v="4"/>
    <n v="600"/>
    <s v="River Street "/>
    <s v="Santa Cruz "/>
    <s v="CA"/>
    <n v="95060"/>
    <x v="2"/>
    <m/>
    <n v="2880"/>
    <n v="3.25"/>
    <m/>
    <s v="Sam Bogdanovich"/>
    <s v="831-886-7802"/>
    <s v="sbogdanovich@retailassociates.com"/>
    <s v="Negotiable to $2.50"/>
    <m/>
    <n v="3.25"/>
  </r>
  <r>
    <s v="Other Areas Office/Retail"/>
    <x v="4"/>
    <n v="710"/>
    <s v="River Street"/>
    <s v="Santa Cruz "/>
    <s v="CA"/>
    <n v="95060"/>
    <x v="3"/>
    <m/>
    <n v="327"/>
    <n v="2"/>
    <s v="Gross"/>
    <s v="Steven Allen"/>
    <s v="831-688-5100"/>
    <s v="steven@allenpginc.com"/>
    <s v="Total combined space for 710-720 River Street = 3,225sf. Min divisible = 164sf.  One office available at 327sf, with shared lobby, restrooms and kitchen"/>
    <m/>
    <n v="2"/>
  </r>
  <r>
    <s v="Industrial "/>
    <x v="4"/>
    <n v="1319"/>
    <s v="River Street "/>
    <s v="Santa Cruz "/>
    <s v="CA "/>
    <n v="95060"/>
    <x v="0"/>
    <m/>
    <n v="1500"/>
    <n v="1.25"/>
    <s v="Gross"/>
    <s v="Fred Antaki"/>
    <s v="831-295-8850"/>
    <s v="maintreetrealtors.com"/>
    <s v="On site parking"/>
    <m/>
    <n v="1.25"/>
  </r>
  <r>
    <s v="Industrial "/>
    <x v="4"/>
    <n v="1321"/>
    <s v="River Street "/>
    <s v="Santa Cruz "/>
    <s v="CA "/>
    <n v="95060"/>
    <x v="0"/>
    <m/>
    <n v="1500"/>
    <n v="1.25"/>
    <s v="Gross"/>
    <s v="Fred Antaki"/>
    <s v="831-295-8850"/>
    <s v="maintreetrealtors.com"/>
    <s v="On site parking"/>
    <m/>
    <n v="1.25"/>
  </r>
  <r>
    <s v="Industrial "/>
    <x v="4"/>
    <n v="1323"/>
    <s v="River Street "/>
    <s v="Santa Cruz "/>
    <s v="CA "/>
    <n v="95060"/>
    <x v="0"/>
    <m/>
    <n v="1500"/>
    <n v="1.25"/>
    <s v="Gross"/>
    <s v="Fred Antaki"/>
    <s v="831-295-8850"/>
    <s v="maintreetrealtors.com"/>
    <s v="On site parking"/>
    <m/>
    <n v="1.25"/>
  </r>
  <r>
    <s v="Other Areas Office/Retail"/>
    <x v="4"/>
    <n v="500"/>
    <s v="Seabright Avenue"/>
    <s v="Santa Cruz "/>
    <s v="CA"/>
    <n v="95062"/>
    <x v="3"/>
    <n v="105"/>
    <n v="2497"/>
    <n v="1.35"/>
    <s v="NNN "/>
    <s v="Carol Lezin or Carol Canaris"/>
    <s v="831-247-2610  or 476-2222 X111"/>
    <s v="Clezin@jrparrish.com or ccanaris@jrparrish.com"/>
    <s v="Seabright Clocktower Building. Ground floor office. At the corner of Seabright Avenue and Murray Street."/>
    <m/>
    <n v="1.35"/>
  </r>
  <r>
    <s v="Other Areas Office/Retail"/>
    <x v="4"/>
    <n v="1726"/>
    <s v="Seabright Avenue"/>
    <s v="Santa Cruz "/>
    <s v="CA"/>
    <n v="95062"/>
    <x v="3"/>
    <m/>
    <n v="1360"/>
    <n v="2750"/>
    <s v="Gross"/>
    <s v="Chris Shoemaker   "/>
    <s v="831-247-2647  "/>
    <s v="hirschandassociates.com"/>
    <s v="1,360 +/- square feet available."/>
    <m/>
    <n v="2.0220588235294117"/>
  </r>
  <r>
    <s v="Industrial "/>
    <x v="0"/>
    <n v="1201"/>
    <s v="Shaffer Road"/>
    <s v="Santa Cruz "/>
    <s v="CA"/>
    <n v="95060"/>
    <x v="11"/>
    <m/>
    <n v="4099"/>
    <n v="0.8"/>
    <s v="NNN "/>
    <s v="Patrick Prindle "/>
    <s v="831-234-0517"/>
    <s v="pprindle@mcmdiversified.com"/>
    <s v="Email for layout and interior photos"/>
    <m/>
    <n v="0.8"/>
  </r>
  <r>
    <s v="Other Areas Office/Retail"/>
    <x v="4"/>
    <n v="305"/>
    <s v="Soquel Avenue"/>
    <s v="Santa Cruz "/>
    <s v="CA"/>
    <n v="95060"/>
    <x v="3"/>
    <s v="A "/>
    <n v="670"/>
    <n v="1100"/>
    <s v="Gross"/>
    <s v="Brian O'Connor"/>
    <s v="831-818-0368"/>
    <s v="wilsonbroscommercial.com"/>
    <s v="2 privates , reception"/>
    <m/>
    <n v="1.6417910447761195"/>
  </r>
  <r>
    <s v="Other Areas Office/Retail"/>
    <x v="4"/>
    <n v="345"/>
    <s v="Soquel Avenue"/>
    <s v="Santa Cruz "/>
    <s v="CA"/>
    <n v="95062"/>
    <x v="2"/>
    <m/>
    <n v="1050"/>
    <m/>
    <m/>
    <s v="Mark Biagini"/>
    <s v="408-331-2300"/>
    <s v="biaginiproperties.com"/>
    <m/>
    <m/>
    <n v="0"/>
  </r>
  <r>
    <s v="Other Areas Office/Retail"/>
    <x v="4"/>
    <n v="1414"/>
    <s v="Soquel Avenue"/>
    <s v="Santa Cruz "/>
    <s v="CA"/>
    <n v="95062"/>
    <x v="3"/>
    <n v="105"/>
    <n v="1586"/>
    <n v="3200"/>
    <s v="Gross"/>
    <s v="Gwen or Doug Kaplan"/>
    <s v="831-476-3627"/>
    <s v="lomakpropertygroup.com"/>
    <m/>
    <m/>
    <n v="2.0176544766708702"/>
  </r>
  <r>
    <s v="Other Areas Office/Retail"/>
    <x v="4"/>
    <n v="1414"/>
    <s v="Soquel Avenue"/>
    <s v="Santa Cruz "/>
    <s v="CA"/>
    <n v="95062"/>
    <x v="3"/>
    <n v="211"/>
    <n v="1366"/>
    <n v="2730"/>
    <s v="Gross"/>
    <s v="Gwen or Doug Kaplan"/>
    <s v="831-476-3627"/>
    <s v="lomakpropertygroup.com"/>
    <m/>
    <m/>
    <n v="1.9985358711566619"/>
  </r>
  <r>
    <s v="Other Areas Office/Retail"/>
    <x v="4"/>
    <n v="1414"/>
    <s v="Soquel Avenue"/>
    <s v="Santa Cruz "/>
    <s v="CA"/>
    <n v="95062"/>
    <x v="3"/>
    <n v="214"/>
    <n v="422"/>
    <n v="850"/>
    <s v="Gross"/>
    <s v="Gwen or Doug Kaplan"/>
    <s v="831-476-3627"/>
    <s v="lomakpropertygroup.com"/>
    <m/>
    <m/>
    <n v="2.014218009478673"/>
  </r>
  <r>
    <s v="Other Areas Office/Retail"/>
    <x v="4"/>
    <n v="1414"/>
    <s v="Soquel Avenue"/>
    <s v="Santa Cruz "/>
    <s v="CA"/>
    <n v="95062"/>
    <x v="3"/>
    <n v="218"/>
    <n v="142"/>
    <n v="375"/>
    <s v="Full Service"/>
    <s v="Gwen or Doug Kaplan"/>
    <s v="831-476-3627"/>
    <s v="lomakpropertygroup.com"/>
    <s v="Available in December"/>
    <m/>
    <n v="2.64"/>
  </r>
  <r>
    <s v="Other Areas Office/Retail"/>
    <x v="4"/>
    <n v="1414"/>
    <s v="Soquel Avenue"/>
    <s v="Santa Cruz "/>
    <s v="CA"/>
    <n v="95062"/>
    <x v="3"/>
    <n v="228"/>
    <n v="175"/>
    <n v="425"/>
    <s v="Full Service"/>
    <s v="Gwen or Doug Kaplan"/>
    <s v="831-476-3627"/>
    <s v="lomakpropertygroup.com"/>
    <s v="Full SVC. Available now"/>
    <m/>
    <n v="2.4285714285714284"/>
  </r>
  <r>
    <s v="Other Areas Office/Retail"/>
    <x v="4"/>
    <n v="1800"/>
    <s v="Soquel Avenue"/>
    <s v="Santa Cruz "/>
    <s v="CA"/>
    <n v="95062"/>
    <x v="3"/>
    <m/>
    <n v="7600"/>
    <n v="0"/>
    <m/>
    <s v="Jackie Copriviza and Matt Shelton"/>
    <s v="831-476-2222"/>
    <s v="jrparrish.com"/>
    <s v="Listed as Retail/Office/ Warehouse. Divisible into 3 spaces: 2,454 sqft, 2,233sqft, and 1,019 sqft. For pricing information, call agents"/>
    <m/>
    <n v="0"/>
  </r>
  <r>
    <s v="Industrial "/>
    <x v="0"/>
    <n v="511"/>
    <s v="Swift Street"/>
    <s v="Santa Cruz "/>
    <s v="CA"/>
    <n v="95060"/>
    <x v="6"/>
    <m/>
    <n v="1425"/>
    <n v="1800"/>
    <s v="NNN"/>
    <s v="Warren Reed"/>
    <s v="831-438-5725"/>
    <s v="wreed@jsco.net"/>
    <s v="artworkspacesantacruz.com"/>
    <m/>
    <n v="1.263157894736842"/>
  </r>
  <r>
    <s v="Industrial "/>
    <x v="0"/>
    <n v="820"/>
    <s v="Swift Street"/>
    <s v="Santa Cruz "/>
    <s v="CA"/>
    <n v="95060"/>
    <x v="10"/>
    <m/>
    <n v="4000"/>
    <n v="0.9"/>
    <m/>
    <s v="Russell E. Gross or Dominic Marietti"/>
    <s v="831-464-4700 "/>
    <s v="russellgross.com"/>
    <s v="1,600 square foot warehouse with an 800 square foot office/mezzanine."/>
    <m/>
    <n v="0.9"/>
  </r>
  <r>
    <s v="Downtown "/>
    <x v="1"/>
    <n v="150"/>
    <s v="Walnut Avenue"/>
    <s v="Santa Cruz "/>
    <s v="CA"/>
    <n v="95060"/>
    <x v="3"/>
    <s v="Ground Floor"/>
    <n v="750"/>
    <n v="1400"/>
    <s v="Gross"/>
    <s v="Wayne Shaffer"/>
    <s v="831-427-1380"/>
    <s v="wshaffer.com"/>
    <m/>
    <m/>
    <n v="1.87"/>
  </r>
  <r>
    <s v="Downtown "/>
    <x v="1"/>
    <n v="175"/>
    <s v="Walnut Avenue"/>
    <s v="Santa Cruz "/>
    <s v="CA"/>
    <n v="95060"/>
    <x v="3"/>
    <s v="175-A"/>
    <n v="1900"/>
    <n v="1.25"/>
    <s v="Gross"/>
    <s v="Sue Ellen Gales"/>
    <s v="831-239-5516"/>
    <s v="andersonchristie.com"/>
    <m/>
    <m/>
    <n v="1.25"/>
  </r>
  <r>
    <s v="Downtown "/>
    <x v="1"/>
    <n v="175"/>
    <s v="Walnut Avenue"/>
    <s v="Santa Cruz "/>
    <s v="CA"/>
    <n v="95060"/>
    <x v="3"/>
    <s v="175-B"/>
    <n v="1400"/>
    <n v="1.25"/>
    <s v="Gross"/>
    <s v="Sue Ellen Gales"/>
    <s v="831-239-5516"/>
    <s v="andersonchristie.com"/>
    <s v="Newly demised office space"/>
    <m/>
    <n v="1.25"/>
  </r>
  <r>
    <s v="Downtown "/>
    <x v="1"/>
    <n v="189"/>
    <s v="Walnut Avenue"/>
    <s v="Santa Cruz "/>
    <s v="CA"/>
    <n v="95060"/>
    <x v="6"/>
    <s v="189-A"/>
    <n v="5270"/>
    <n v="1.38"/>
    <s v="Gross"/>
    <s v="Sue Ellen Gales"/>
    <s v="831-239-5516"/>
    <s v="andersonchristie.com"/>
    <s v="Newly demised office space"/>
    <m/>
    <n v="1.38"/>
  </r>
  <r>
    <s v="Other Areas Office/Retail"/>
    <x v="4"/>
    <n v="200"/>
    <s v="Washington Street"/>
    <s v="Santa Cruz "/>
    <s v="CA"/>
    <n v="95060"/>
    <x v="4"/>
    <n v="201"/>
    <n v="820"/>
    <n v="1.45"/>
    <s v="NNN"/>
    <s v="David Cury"/>
    <s v="831-476-0302"/>
    <s v="davidcury@yahoo.com"/>
    <m/>
    <m/>
    <n v="1.45"/>
  </r>
  <r>
    <s v="Downtown "/>
    <x v="1"/>
    <n v="125"/>
    <s v="Water Street"/>
    <s v="Santa Cruz "/>
    <s v="CA"/>
    <n v="95060"/>
    <x v="4"/>
    <s v="A-2"/>
    <n v="2252"/>
    <n v="1.8"/>
    <s v="Gross "/>
    <s v="Randy Parker and Matt Shelton"/>
    <s v="831-476-2222"/>
    <s v="rpark101@yahoo.com"/>
    <m/>
    <m/>
    <n v="1.8"/>
  </r>
  <r>
    <s v="Downtown "/>
    <x v="1"/>
    <n v="125"/>
    <s v="Water Street"/>
    <s v="Santa Cruz "/>
    <s v="CA"/>
    <n v="95060"/>
    <x v="4"/>
    <s v="A-3"/>
    <n v="1286"/>
    <n v="1.8"/>
    <s v="Gross"/>
    <s v="Randy Parker and Matt Shelton"/>
    <s v="831-476-2222"/>
    <s v="rpark101@yahoo.com"/>
    <m/>
    <m/>
    <n v="1.8"/>
  </r>
  <r>
    <s v="Downtown "/>
    <x v="1"/>
    <n v="125"/>
    <s v="Water Street"/>
    <s v="Santa Cruz "/>
    <s v="CA"/>
    <n v="95060"/>
    <x v="3"/>
    <s v="C "/>
    <n v="2215"/>
    <n v="1.8"/>
    <s v="Gross "/>
    <s v="Randy Parker and Matt Shelton"/>
    <s v="831-476-2222"/>
    <s v="rpark101@yahoo.com"/>
    <m/>
    <m/>
    <n v="1.8"/>
  </r>
  <r>
    <s v="Other Areas Office/Retail"/>
    <x v="4"/>
    <n v="420"/>
    <s v="Water Street"/>
    <s v="Santa Cruz "/>
    <s v="CA"/>
    <n v="95060"/>
    <x v="2"/>
    <m/>
    <n v="1150"/>
    <n v="1"/>
    <s v="Gross"/>
    <s v="Cara Meyers"/>
    <s v="831-295-0749"/>
    <s v="diggardens.com"/>
    <s v="plus utilities. Sublease"/>
    <m/>
    <n v="1"/>
  </r>
  <r>
    <s v="Other Areas Office/Retail"/>
    <x v="4"/>
    <n v="525"/>
    <s v="Water Street"/>
    <s v="Santa Cruz "/>
    <s v="CA"/>
    <n v="95060"/>
    <x v="12"/>
    <m/>
    <n v="3000"/>
    <n v="1.25"/>
    <s v="Gross"/>
    <s v="Russell E. Gross"/>
    <s v="831-464-4700 "/>
    <s v="russellgross.com"/>
    <m/>
    <m/>
    <n v="1.25"/>
  </r>
  <r>
    <s v="Other Areas Office/Retail"/>
    <x v="4"/>
    <n v="550"/>
    <s v="Water Street"/>
    <s v="Santa Cruz "/>
    <s v="CA"/>
    <n v="95060"/>
    <x v="9"/>
    <s v="C3"/>
    <n v="890"/>
    <n v="820"/>
    <s v="Gross"/>
    <s v="Fred Antaki"/>
    <s v="831-295-8850"/>
    <s v="mainstreetrelators.com"/>
    <m/>
    <m/>
    <n v="0.9213483146067416"/>
  </r>
  <r>
    <s v="Other Areas Office/Retail"/>
    <x v="4"/>
    <n v="550"/>
    <s v="Water Street"/>
    <s v="Santa Cruz "/>
    <s v="CA"/>
    <n v="95060"/>
    <x v="13"/>
    <s v="L"/>
    <n v="1756"/>
    <n v="1.75"/>
    <s v="NNN"/>
    <s v="Brad Shelton"/>
    <s v="831-476-2222"/>
    <s v="jrparrish.com"/>
    <s v="Currently configured for dental/orthodontics. Ample parking."/>
    <m/>
    <n v="1.75"/>
  </r>
  <r>
    <s v="Other Areas Office/Retail"/>
    <x v="4"/>
    <n v="550"/>
    <s v="Water Street"/>
    <s v="Santa Cruz "/>
    <s v="CA"/>
    <n v="95060"/>
    <x v="13"/>
    <s v="I4"/>
    <n v="885"/>
    <n v="1.75"/>
    <s v="NNN"/>
    <s v="Rachael Shelton"/>
    <s v="831-476-2222"/>
    <s v="jrparrish.com"/>
    <s v="Currently configured for dental/orthodontics. Ample parking."/>
    <m/>
    <n v="1.75"/>
  </r>
  <r>
    <s v="Other Areas Office/Retail"/>
    <x v="4"/>
    <n v="550"/>
    <s v="Water Street"/>
    <s v="Santa Cruz "/>
    <s v="CA"/>
    <n v="95060"/>
    <x v="13"/>
    <s v="K2"/>
    <n v="1086"/>
    <n v="1.75"/>
    <s v="NNN"/>
    <s v="Rachael Shelton"/>
    <s v="831-476-2222"/>
    <s v="jrparrish.com"/>
    <s v="Currently configured for dental/orthodontics. Ample parking."/>
    <m/>
    <n v="1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C5" firstHeaderRow="0" firstDataRow="1" firstDataCol="0" rowPageCount="2" colPageCount="1"/>
  <pivotFields count="18">
    <pivotField showAll="0"/>
    <pivotField axis="axisPage" multipleItemSelectionAllowed="1" showAll="0">
      <items count="8">
        <item h="1" x="2"/>
        <item x="3"/>
        <item x="4"/>
        <item h="1" x="1"/>
        <item h="1" x="5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5">
        <item h="1" x="7"/>
        <item h="1" x="6"/>
        <item h="1" x="0"/>
        <item h="1" x="10"/>
        <item h="1" x="9"/>
        <item h="1" x="13"/>
        <item x="3"/>
        <item x="4"/>
        <item h="1" x="12"/>
        <item h="1" x="1"/>
        <item h="1" x="2"/>
        <item h="1" x="5"/>
        <item h="1" x="11"/>
        <item h="1" x="8"/>
        <item t="default"/>
      </items>
    </pivotField>
    <pivotField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7" hier="-1"/>
  </pageFields>
  <dataFields count="3">
    <dataField name="Average of Per Square Foot (Using Upper Asking Price)3" fld="17" subtotal="average" baseField="0" baseItem="1"/>
    <dataField name="Sum of Square Footage2" fld="9" baseField="0" baseItem="0"/>
    <dataField name="Average of Square Footage" fld="9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tta@mainstrealtos.com" TargetMode="External"/><Relationship Id="rId3" Type="http://schemas.openxmlformats.org/officeDocument/2006/relationships/hyperlink" Target="mailto:rpark101@yahoo.com" TargetMode="External"/><Relationship Id="rId7" Type="http://schemas.openxmlformats.org/officeDocument/2006/relationships/hyperlink" Target="mailto:sue@andersonchristie.com" TargetMode="External"/><Relationship Id="rId2" Type="http://schemas.openxmlformats.org/officeDocument/2006/relationships/hyperlink" Target="mailto:rpark101@yahoo.com" TargetMode="External"/><Relationship Id="rId1" Type="http://schemas.openxmlformats.org/officeDocument/2006/relationships/hyperlink" Target="mailto:rpark101@yahoo.com" TargetMode="External"/><Relationship Id="rId6" Type="http://schemas.openxmlformats.org/officeDocument/2006/relationships/hyperlink" Target="mailto:jcopriv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prindle@mcmdiversified.com" TargetMode="External"/><Relationship Id="rId10" Type="http://schemas.openxmlformats.org/officeDocument/2006/relationships/hyperlink" Target="mailto:garmar2@sbcglobal.net" TargetMode="External"/><Relationship Id="rId4" Type="http://schemas.openxmlformats.org/officeDocument/2006/relationships/hyperlink" Target="mailto:pprindle@mcmdiversified.com" TargetMode="External"/><Relationship Id="rId9" Type="http://schemas.openxmlformats.org/officeDocument/2006/relationships/hyperlink" Target="mailto:shaysflowers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atta@mainstrealtos.com" TargetMode="External"/><Relationship Id="rId3" Type="http://schemas.openxmlformats.org/officeDocument/2006/relationships/hyperlink" Target="mailto:rpark101@yahoo.com" TargetMode="External"/><Relationship Id="rId7" Type="http://schemas.openxmlformats.org/officeDocument/2006/relationships/hyperlink" Target="mailto:sue@andersonchristie.com" TargetMode="External"/><Relationship Id="rId2" Type="http://schemas.openxmlformats.org/officeDocument/2006/relationships/hyperlink" Target="mailto:rpark101@yahoo.com" TargetMode="External"/><Relationship Id="rId1" Type="http://schemas.openxmlformats.org/officeDocument/2006/relationships/hyperlink" Target="mailto:rpark101@yahoo.com" TargetMode="External"/><Relationship Id="rId6" Type="http://schemas.openxmlformats.org/officeDocument/2006/relationships/hyperlink" Target="mailto:jcopriv@gmail.com" TargetMode="External"/><Relationship Id="rId5" Type="http://schemas.openxmlformats.org/officeDocument/2006/relationships/hyperlink" Target="mailto:pprindle@mcmdiversified.com" TargetMode="External"/><Relationship Id="rId10" Type="http://schemas.openxmlformats.org/officeDocument/2006/relationships/hyperlink" Target="mailto:garmar2@sbcglobal.net" TargetMode="External"/><Relationship Id="rId4" Type="http://schemas.openxmlformats.org/officeDocument/2006/relationships/hyperlink" Target="mailto:pprindle@mcmdiversified.com" TargetMode="External"/><Relationship Id="rId9" Type="http://schemas.openxmlformats.org/officeDocument/2006/relationships/hyperlink" Target="mailto:shaysflowers@yaho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jcopriv@gmail.com" TargetMode="External"/><Relationship Id="rId3" Type="http://schemas.openxmlformats.org/officeDocument/2006/relationships/hyperlink" Target="mailto:rpark101@yahoo.com" TargetMode="External"/><Relationship Id="rId7" Type="http://schemas.openxmlformats.org/officeDocument/2006/relationships/hyperlink" Target="mailto:pprindle@mcmdiversified.com" TargetMode="External"/><Relationship Id="rId2" Type="http://schemas.openxmlformats.org/officeDocument/2006/relationships/hyperlink" Target="mailto:rpark101@yahoo.com" TargetMode="External"/><Relationship Id="rId1" Type="http://schemas.openxmlformats.org/officeDocument/2006/relationships/hyperlink" Target="mailto:rpark101@yahoo.com" TargetMode="External"/><Relationship Id="rId6" Type="http://schemas.openxmlformats.org/officeDocument/2006/relationships/hyperlink" Target="mailto:lynette@aldinarealestate.com" TargetMode="External"/><Relationship Id="rId11" Type="http://schemas.openxmlformats.org/officeDocument/2006/relationships/hyperlink" Target="mailto:ccanaris@jrparrish.com" TargetMode="External"/><Relationship Id="rId5" Type="http://schemas.openxmlformats.org/officeDocument/2006/relationships/hyperlink" Target="mailto:lynette@aldinarealestate.com" TargetMode="External"/><Relationship Id="rId10" Type="http://schemas.openxmlformats.org/officeDocument/2006/relationships/hyperlink" Target="mailto:pprindle@mcmdiversified.com" TargetMode="External"/><Relationship Id="rId4" Type="http://schemas.openxmlformats.org/officeDocument/2006/relationships/hyperlink" Target="mailto:pprindle@mcmdiversified.com" TargetMode="External"/><Relationship Id="rId9" Type="http://schemas.openxmlformats.org/officeDocument/2006/relationships/hyperlink" Target="mailto:sue@andersonchristi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6"/>
  <sheetViews>
    <sheetView tabSelected="1" zoomScale="80" zoomScaleNormal="80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2.5703125" style="71" customWidth="1"/>
    <col min="2" max="2" width="17.7109375" style="71" customWidth="1"/>
    <col min="3" max="3" width="7.85546875" style="71" customWidth="1"/>
    <col min="4" max="4" width="23.5703125" style="71" customWidth="1"/>
    <col min="5" max="5" width="11.28515625" style="71" customWidth="1"/>
    <col min="6" max="6" width="9.140625" style="71" customWidth="1"/>
    <col min="7" max="7" width="8.42578125" style="71" customWidth="1"/>
    <col min="8" max="8" width="18" style="71"/>
    <col min="9" max="9" width="8.28515625" style="71" customWidth="1"/>
    <col min="10" max="10" width="18.140625" style="72" bestFit="1" customWidth="1"/>
    <col min="11" max="11" width="18.140625" style="73" bestFit="1" customWidth="1"/>
    <col min="12" max="12" width="18" style="71"/>
    <col min="13" max="13" width="23.85546875" style="71" customWidth="1"/>
    <col min="14" max="14" width="18" style="71"/>
    <col min="15" max="15" width="20.85546875" style="71" customWidth="1"/>
    <col min="16" max="16" width="28.5703125" style="71" customWidth="1"/>
    <col min="17" max="17" width="14.28515625" style="71" bestFit="1" customWidth="1"/>
    <col min="18" max="18" width="11.140625" style="74" customWidth="1"/>
    <col min="19" max="19" width="14.28515625" style="71" bestFit="1" customWidth="1"/>
    <col min="20" max="20" width="14.85546875" style="71" bestFit="1" customWidth="1"/>
    <col min="21" max="16384" width="9.140625" style="71"/>
  </cols>
  <sheetData>
    <row r="1" spans="1:21" s="67" customFormat="1" ht="75" x14ac:dyDescent="0.25">
      <c r="A1" s="67" t="s">
        <v>80</v>
      </c>
      <c r="B1" s="67" t="s">
        <v>39</v>
      </c>
      <c r="C1" s="67" t="s">
        <v>19</v>
      </c>
      <c r="D1" s="67" t="s">
        <v>164</v>
      </c>
      <c r="E1" s="67" t="s">
        <v>136</v>
      </c>
      <c r="F1" s="67" t="s">
        <v>137</v>
      </c>
      <c r="G1" s="67" t="s">
        <v>138</v>
      </c>
      <c r="H1" s="67" t="s">
        <v>18</v>
      </c>
      <c r="I1" s="67" t="s">
        <v>23</v>
      </c>
      <c r="J1" s="68" t="s">
        <v>16</v>
      </c>
      <c r="K1" s="69" t="s">
        <v>29</v>
      </c>
      <c r="L1" s="67" t="s">
        <v>15</v>
      </c>
      <c r="M1" s="67" t="s">
        <v>14</v>
      </c>
      <c r="N1" s="67" t="s">
        <v>13</v>
      </c>
      <c r="O1" s="67" t="s">
        <v>67</v>
      </c>
      <c r="P1" s="67" t="s">
        <v>12</v>
      </c>
      <c r="Q1" s="67" t="s">
        <v>22</v>
      </c>
      <c r="R1" s="70" t="s">
        <v>147</v>
      </c>
      <c r="S1" s="67" t="s">
        <v>244</v>
      </c>
      <c r="T1" s="67" t="s">
        <v>245</v>
      </c>
      <c r="U1" s="67" t="s">
        <v>246</v>
      </c>
    </row>
    <row r="2" spans="1:21" s="75" customFormat="1" ht="75" x14ac:dyDescent="0.25">
      <c r="A2" s="71" t="s">
        <v>81</v>
      </c>
      <c r="B2" s="71" t="s">
        <v>40</v>
      </c>
      <c r="C2" s="71">
        <v>110</v>
      </c>
      <c r="D2" s="71" t="s">
        <v>165</v>
      </c>
      <c r="E2" s="71" t="s">
        <v>139</v>
      </c>
      <c r="F2" s="71" t="s">
        <v>140</v>
      </c>
      <c r="G2" s="71">
        <v>95060</v>
      </c>
      <c r="H2" s="71" t="s">
        <v>24</v>
      </c>
      <c r="I2" s="71" t="s">
        <v>156</v>
      </c>
      <c r="J2" s="72">
        <v>23451</v>
      </c>
      <c r="K2" s="73">
        <v>1.65</v>
      </c>
      <c r="L2" s="71" t="s">
        <v>5</v>
      </c>
      <c r="M2" s="71" t="s">
        <v>448</v>
      </c>
      <c r="N2" s="71" t="s">
        <v>4</v>
      </c>
      <c r="O2" s="81" t="s">
        <v>449</v>
      </c>
      <c r="P2" s="81" t="s">
        <v>142</v>
      </c>
      <c r="Q2" s="71"/>
      <c r="R2" s="74">
        <f>K2</f>
        <v>1.65</v>
      </c>
      <c r="S2" s="75">
        <v>36.974845886230398</v>
      </c>
      <c r="T2" s="75">
        <v>-122.026008605957</v>
      </c>
      <c r="U2" s="75" t="s">
        <v>247</v>
      </c>
    </row>
    <row r="3" spans="1:21" ht="75" x14ac:dyDescent="0.25">
      <c r="A3" s="71" t="s">
        <v>81</v>
      </c>
      <c r="B3" s="71" t="s">
        <v>40</v>
      </c>
      <c r="C3" s="71">
        <v>110</v>
      </c>
      <c r="D3" s="71" t="s">
        <v>165</v>
      </c>
      <c r="E3" s="71" t="s">
        <v>139</v>
      </c>
      <c r="F3" s="71" t="s">
        <v>140</v>
      </c>
      <c r="G3" s="71">
        <v>95060</v>
      </c>
      <c r="H3" s="71" t="s">
        <v>24</v>
      </c>
      <c r="I3" s="71" t="s">
        <v>157</v>
      </c>
      <c r="J3" s="72">
        <v>23153</v>
      </c>
      <c r="K3" s="73">
        <v>1.65</v>
      </c>
      <c r="L3" s="71" t="s">
        <v>5</v>
      </c>
      <c r="M3" s="71" t="s">
        <v>450</v>
      </c>
      <c r="N3" s="71" t="s">
        <v>4</v>
      </c>
      <c r="O3" s="81" t="s">
        <v>449</v>
      </c>
      <c r="P3" s="71" t="s">
        <v>34</v>
      </c>
      <c r="R3" s="74">
        <f>K3</f>
        <v>1.65</v>
      </c>
      <c r="S3" s="71">
        <v>36.974845886230497</v>
      </c>
      <c r="T3" s="71">
        <v>-122.026008605957</v>
      </c>
      <c r="U3" s="71" t="s">
        <v>247</v>
      </c>
    </row>
    <row r="4" spans="1:21" ht="75" x14ac:dyDescent="0.25">
      <c r="A4" s="71" t="s">
        <v>81</v>
      </c>
      <c r="B4" s="71" t="s">
        <v>40</v>
      </c>
      <c r="C4" s="71">
        <v>110</v>
      </c>
      <c r="D4" s="71" t="s">
        <v>165</v>
      </c>
      <c r="E4" s="71" t="s">
        <v>139</v>
      </c>
      <c r="F4" s="71" t="s">
        <v>140</v>
      </c>
      <c r="G4" s="71">
        <v>95060</v>
      </c>
      <c r="H4" s="71" t="s">
        <v>24</v>
      </c>
      <c r="I4" s="71" t="s">
        <v>155</v>
      </c>
      <c r="J4" s="72">
        <v>17880</v>
      </c>
      <c r="K4" s="73">
        <v>1.65</v>
      </c>
      <c r="L4" s="71" t="s">
        <v>5</v>
      </c>
      <c r="M4" s="71" t="s">
        <v>450</v>
      </c>
      <c r="N4" s="71" t="s">
        <v>4</v>
      </c>
      <c r="O4" s="81" t="s">
        <v>449</v>
      </c>
      <c r="P4" s="71" t="s">
        <v>34</v>
      </c>
      <c r="R4" s="74">
        <f>K4</f>
        <v>1.65</v>
      </c>
      <c r="S4" s="81">
        <v>36.974845886230398</v>
      </c>
      <c r="T4" s="81">
        <v>-122.026008605957</v>
      </c>
      <c r="U4" s="81" t="s">
        <v>247</v>
      </c>
    </row>
    <row r="5" spans="1:21" ht="66" customHeight="1" x14ac:dyDescent="0.25">
      <c r="A5" s="71" t="s">
        <v>81</v>
      </c>
      <c r="B5" s="71" t="s">
        <v>40</v>
      </c>
      <c r="C5" s="71">
        <v>110</v>
      </c>
      <c r="D5" s="71" t="s">
        <v>165</v>
      </c>
      <c r="E5" s="71" t="s">
        <v>139</v>
      </c>
      <c r="F5" s="71" t="s">
        <v>140</v>
      </c>
      <c r="G5" s="71">
        <v>95060</v>
      </c>
      <c r="H5" s="71" t="s">
        <v>24</v>
      </c>
      <c r="I5" s="71" t="s">
        <v>154</v>
      </c>
      <c r="J5" s="72">
        <v>14669</v>
      </c>
      <c r="K5" s="73">
        <v>1.65</v>
      </c>
      <c r="L5" s="71" t="s">
        <v>5</v>
      </c>
      <c r="M5" s="71" t="s">
        <v>450</v>
      </c>
      <c r="N5" s="71" t="s">
        <v>4</v>
      </c>
      <c r="O5" s="81" t="s">
        <v>449</v>
      </c>
      <c r="P5" s="71" t="s">
        <v>34</v>
      </c>
      <c r="R5" s="74">
        <f>K5</f>
        <v>1.65</v>
      </c>
      <c r="S5" s="81">
        <v>36.974845886230398</v>
      </c>
      <c r="T5" s="81">
        <v>-122.026008605957</v>
      </c>
      <c r="U5" s="81" t="s">
        <v>247</v>
      </c>
    </row>
    <row r="6" spans="1:21" ht="75" x14ac:dyDescent="0.25">
      <c r="A6" s="71" t="s">
        <v>81</v>
      </c>
      <c r="B6" s="71" t="s">
        <v>40</v>
      </c>
      <c r="C6" s="71">
        <v>110</v>
      </c>
      <c r="D6" s="71" t="s">
        <v>166</v>
      </c>
      <c r="E6" s="71" t="s">
        <v>139</v>
      </c>
      <c r="F6" s="71" t="s">
        <v>140</v>
      </c>
      <c r="G6" s="71">
        <v>95060</v>
      </c>
      <c r="H6" s="71" t="s">
        <v>7</v>
      </c>
      <c r="J6" s="72">
        <v>1873</v>
      </c>
      <c r="K6" s="73">
        <v>2</v>
      </c>
      <c r="L6" s="71" t="s">
        <v>5</v>
      </c>
      <c r="M6" s="71" t="s">
        <v>450</v>
      </c>
      <c r="N6" s="71" t="s">
        <v>4</v>
      </c>
      <c r="O6" s="81" t="s">
        <v>449</v>
      </c>
      <c r="P6" s="71" t="s">
        <v>34</v>
      </c>
      <c r="R6" s="74">
        <v>2</v>
      </c>
      <c r="S6" s="71">
        <v>36.974845886230398</v>
      </c>
      <c r="T6" s="71">
        <v>-122.026008605957</v>
      </c>
      <c r="U6" s="71" t="s">
        <v>247</v>
      </c>
    </row>
    <row r="7" spans="1:21" ht="60" x14ac:dyDescent="0.25">
      <c r="A7" s="81" t="s">
        <v>81</v>
      </c>
      <c r="B7" s="81" t="s">
        <v>40</v>
      </c>
      <c r="C7" s="81">
        <v>428</v>
      </c>
      <c r="D7" s="81" t="s">
        <v>167</v>
      </c>
      <c r="E7" s="81" t="s">
        <v>139</v>
      </c>
      <c r="F7" s="81" t="s">
        <v>140</v>
      </c>
      <c r="G7" s="81">
        <v>96060</v>
      </c>
      <c r="H7" s="81" t="s">
        <v>2</v>
      </c>
      <c r="I7" s="81" t="s">
        <v>41</v>
      </c>
      <c r="J7" s="82">
        <v>2080</v>
      </c>
      <c r="K7" s="83">
        <v>1.25</v>
      </c>
      <c r="L7" s="81" t="s">
        <v>5</v>
      </c>
      <c r="M7" s="81" t="s">
        <v>159</v>
      </c>
      <c r="N7" s="81" t="s">
        <v>153</v>
      </c>
      <c r="O7" s="76" t="s">
        <v>160</v>
      </c>
      <c r="P7" s="81" t="s">
        <v>334</v>
      </c>
      <c r="Q7" s="81"/>
      <c r="R7" s="84">
        <f>K7</f>
        <v>1.25</v>
      </c>
      <c r="S7" s="81">
        <v>36.971389770507798</v>
      </c>
      <c r="T7" s="81">
        <v>-122.023887634277</v>
      </c>
      <c r="U7" s="81" t="s">
        <v>248</v>
      </c>
    </row>
    <row r="8" spans="1:21" s="81" customFormat="1" ht="60" x14ac:dyDescent="0.25">
      <c r="A8" s="81" t="s">
        <v>81</v>
      </c>
      <c r="B8" s="81" t="s">
        <v>40</v>
      </c>
      <c r="C8" s="81">
        <v>428</v>
      </c>
      <c r="D8" s="81" t="s">
        <v>167</v>
      </c>
      <c r="E8" s="81" t="s">
        <v>139</v>
      </c>
      <c r="F8" s="81" t="s">
        <v>140</v>
      </c>
      <c r="G8" s="81">
        <v>96060</v>
      </c>
      <c r="H8" s="81" t="s">
        <v>2</v>
      </c>
      <c r="I8" s="81" t="s">
        <v>50</v>
      </c>
      <c r="J8" s="82">
        <v>3170</v>
      </c>
      <c r="K8" s="83">
        <v>1.25</v>
      </c>
      <c r="L8" s="81" t="s">
        <v>5</v>
      </c>
      <c r="M8" s="81" t="s">
        <v>159</v>
      </c>
      <c r="N8" s="81" t="s">
        <v>153</v>
      </c>
      <c r="O8" s="76" t="s">
        <v>160</v>
      </c>
      <c r="P8" s="81" t="s">
        <v>335</v>
      </c>
      <c r="R8" s="84">
        <f>K8</f>
        <v>1.25</v>
      </c>
      <c r="S8" s="81">
        <v>36.971389770507798</v>
      </c>
      <c r="T8" s="81">
        <v>-122.023887634277</v>
      </c>
      <c r="U8" s="81" t="s">
        <v>248</v>
      </c>
    </row>
    <row r="9" spans="1:21" ht="60" x14ac:dyDescent="0.25">
      <c r="A9" s="81" t="s">
        <v>81</v>
      </c>
      <c r="B9" s="81" t="s">
        <v>40</v>
      </c>
      <c r="C9" s="81">
        <v>740</v>
      </c>
      <c r="D9" s="81" t="s">
        <v>167</v>
      </c>
      <c r="E9" s="81" t="s">
        <v>139</v>
      </c>
      <c r="F9" s="81" t="s">
        <v>140</v>
      </c>
      <c r="G9" s="81">
        <v>95060</v>
      </c>
      <c r="H9" s="81" t="s">
        <v>24</v>
      </c>
      <c r="I9" s="81">
        <v>125</v>
      </c>
      <c r="J9" s="82">
        <v>888</v>
      </c>
      <c r="K9" s="83">
        <v>1.4</v>
      </c>
      <c r="L9" s="81" t="s">
        <v>162</v>
      </c>
      <c r="M9" s="81" t="s">
        <v>31</v>
      </c>
      <c r="N9" s="81" t="s">
        <v>32</v>
      </c>
      <c r="O9" s="76" t="s">
        <v>313</v>
      </c>
      <c r="P9" s="81" t="s">
        <v>225</v>
      </c>
      <c r="Q9" s="81"/>
      <c r="R9" s="84">
        <v>1.4</v>
      </c>
      <c r="S9" s="81">
        <v>36.975505828857401</v>
      </c>
      <c r="T9" s="81">
        <v>-122.024932861328</v>
      </c>
      <c r="U9" s="81" t="s">
        <v>249</v>
      </c>
    </row>
    <row r="10" spans="1:21" s="79" customFormat="1" ht="60" x14ac:dyDescent="0.25">
      <c r="A10" s="81" t="s">
        <v>81</v>
      </c>
      <c r="B10" s="81" t="s">
        <v>40</v>
      </c>
      <c r="C10" s="81">
        <v>740</v>
      </c>
      <c r="D10" s="81" t="s">
        <v>167</v>
      </c>
      <c r="E10" s="81" t="s">
        <v>139</v>
      </c>
      <c r="F10" s="81" t="s">
        <v>140</v>
      </c>
      <c r="G10" s="81">
        <v>95060</v>
      </c>
      <c r="H10" s="81" t="s">
        <v>24</v>
      </c>
      <c r="I10" s="81">
        <v>155</v>
      </c>
      <c r="J10" s="82">
        <v>1484</v>
      </c>
      <c r="K10" s="83">
        <v>1.4</v>
      </c>
      <c r="L10" s="81" t="s">
        <v>162</v>
      </c>
      <c r="M10" s="81" t="s">
        <v>31</v>
      </c>
      <c r="N10" s="81" t="s">
        <v>32</v>
      </c>
      <c r="O10" s="76" t="s">
        <v>313</v>
      </c>
      <c r="P10" s="81" t="s">
        <v>225</v>
      </c>
      <c r="Q10" s="81"/>
      <c r="R10" s="84">
        <v>1.4</v>
      </c>
      <c r="S10" s="81">
        <v>36.975505828857401</v>
      </c>
      <c r="T10" s="81">
        <v>-122.024932861328</v>
      </c>
      <c r="U10" s="81" t="s">
        <v>249</v>
      </c>
    </row>
    <row r="11" spans="1:21" s="79" customFormat="1" ht="60" x14ac:dyDescent="0.25">
      <c r="A11" s="81" t="s">
        <v>81</v>
      </c>
      <c r="B11" s="81" t="s">
        <v>40</v>
      </c>
      <c r="C11" s="81">
        <v>740</v>
      </c>
      <c r="D11" s="81" t="s">
        <v>167</v>
      </c>
      <c r="E11" s="81" t="s">
        <v>139</v>
      </c>
      <c r="F11" s="81" t="s">
        <v>140</v>
      </c>
      <c r="G11" s="81">
        <v>95060</v>
      </c>
      <c r="H11" s="81" t="s">
        <v>24</v>
      </c>
      <c r="I11" s="81">
        <v>160</v>
      </c>
      <c r="J11" s="82">
        <v>1235</v>
      </c>
      <c r="K11" s="83">
        <v>1.4</v>
      </c>
      <c r="L11" s="81" t="s">
        <v>162</v>
      </c>
      <c r="M11" s="81" t="s">
        <v>31</v>
      </c>
      <c r="N11" s="81" t="s">
        <v>32</v>
      </c>
      <c r="O11" s="76" t="s">
        <v>313</v>
      </c>
      <c r="P11" s="81" t="s">
        <v>225</v>
      </c>
      <c r="Q11" s="81"/>
      <c r="R11" s="84">
        <v>1.4</v>
      </c>
      <c r="S11" s="81">
        <v>36.975505828857401</v>
      </c>
      <c r="T11" s="81">
        <v>-122.024932861328</v>
      </c>
      <c r="U11" s="71" t="s">
        <v>249</v>
      </c>
    </row>
    <row r="12" spans="1:21" ht="60" x14ac:dyDescent="0.25">
      <c r="A12" s="71" t="s">
        <v>81</v>
      </c>
      <c r="B12" s="71" t="s">
        <v>40</v>
      </c>
      <c r="C12" s="71">
        <v>740</v>
      </c>
      <c r="D12" s="71" t="s">
        <v>167</v>
      </c>
      <c r="E12" s="71" t="s">
        <v>139</v>
      </c>
      <c r="F12" s="71" t="s">
        <v>140</v>
      </c>
      <c r="G12" s="71">
        <v>95060</v>
      </c>
      <c r="H12" s="71" t="s">
        <v>24</v>
      </c>
      <c r="I12" s="81">
        <v>240</v>
      </c>
      <c r="J12" s="72">
        <v>3130</v>
      </c>
      <c r="K12" s="73">
        <v>1.8</v>
      </c>
      <c r="L12" s="71" t="s">
        <v>162</v>
      </c>
      <c r="M12" s="71" t="s">
        <v>31</v>
      </c>
      <c r="N12" s="71" t="s">
        <v>32</v>
      </c>
      <c r="O12" s="78" t="s">
        <v>313</v>
      </c>
      <c r="P12" s="71" t="s">
        <v>469</v>
      </c>
      <c r="R12" s="74">
        <v>1.4</v>
      </c>
      <c r="S12" s="71">
        <v>36.975505828857401</v>
      </c>
      <c r="T12" s="71">
        <v>-122.024932861328</v>
      </c>
      <c r="U12" s="71" t="s">
        <v>249</v>
      </c>
    </row>
    <row r="13" spans="1:21" ht="90.75" customHeight="1" x14ac:dyDescent="0.25">
      <c r="A13" s="81" t="s">
        <v>81</v>
      </c>
      <c r="B13" s="81" t="s">
        <v>40</v>
      </c>
      <c r="C13" s="81">
        <v>740</v>
      </c>
      <c r="D13" s="81" t="s">
        <v>167</v>
      </c>
      <c r="E13" s="81" t="s">
        <v>139</v>
      </c>
      <c r="F13" s="81" t="s">
        <v>140</v>
      </c>
      <c r="G13" s="81">
        <v>95060</v>
      </c>
      <c r="H13" s="81" t="s">
        <v>8</v>
      </c>
      <c r="I13" s="81">
        <v>170</v>
      </c>
      <c r="J13" s="82">
        <v>966</v>
      </c>
      <c r="K13" s="83">
        <v>1.4</v>
      </c>
      <c r="L13" s="81" t="s">
        <v>162</v>
      </c>
      <c r="M13" s="81" t="s">
        <v>31</v>
      </c>
      <c r="N13" s="81" t="s">
        <v>32</v>
      </c>
      <c r="O13" s="78" t="s">
        <v>313</v>
      </c>
      <c r="P13" s="81"/>
      <c r="Q13" s="81"/>
      <c r="R13" s="84">
        <f>K13</f>
        <v>1.4</v>
      </c>
      <c r="S13" s="81">
        <v>36.975505828857401</v>
      </c>
      <c r="T13" s="81">
        <v>-122.024932861328</v>
      </c>
      <c r="U13" s="71" t="s">
        <v>249</v>
      </c>
    </row>
    <row r="14" spans="1:21" ht="60" x14ac:dyDescent="0.25">
      <c r="A14" s="85" t="s">
        <v>81</v>
      </c>
      <c r="B14" s="85" t="s">
        <v>40</v>
      </c>
      <c r="C14" s="85">
        <v>835</v>
      </c>
      <c r="D14" s="85" t="s">
        <v>167</v>
      </c>
      <c r="E14" s="85" t="s">
        <v>139</v>
      </c>
      <c r="F14" s="85" t="s">
        <v>140</v>
      </c>
      <c r="G14" s="85">
        <v>95060</v>
      </c>
      <c r="H14" s="85" t="s">
        <v>2</v>
      </c>
      <c r="I14" s="85"/>
      <c r="J14" s="86">
        <v>1115</v>
      </c>
      <c r="K14" s="87">
        <v>1.5</v>
      </c>
      <c r="L14" s="85" t="s">
        <v>5</v>
      </c>
      <c r="M14" s="85" t="s">
        <v>31</v>
      </c>
      <c r="N14" s="85" t="s">
        <v>32</v>
      </c>
      <c r="O14" s="88" t="s">
        <v>313</v>
      </c>
      <c r="P14" s="85" t="s">
        <v>336</v>
      </c>
      <c r="Q14" s="85"/>
      <c r="R14" s="89">
        <v>1.5</v>
      </c>
      <c r="S14" s="85">
        <v>36.975925639271701</v>
      </c>
      <c r="T14" s="89">
        <v>-122.02612079679901</v>
      </c>
      <c r="U14" s="71" t="s">
        <v>339</v>
      </c>
    </row>
    <row r="15" spans="1:21" ht="90" x14ac:dyDescent="0.25">
      <c r="A15" s="81" t="s">
        <v>81</v>
      </c>
      <c r="B15" s="81" t="s">
        <v>47</v>
      </c>
      <c r="C15" s="81">
        <v>115</v>
      </c>
      <c r="D15" s="81" t="s">
        <v>342</v>
      </c>
      <c r="E15" s="81" t="s">
        <v>139</v>
      </c>
      <c r="F15" s="81" t="s">
        <v>312</v>
      </c>
      <c r="G15" s="81">
        <v>95060</v>
      </c>
      <c r="H15" s="81" t="s">
        <v>116</v>
      </c>
      <c r="I15" s="81"/>
      <c r="J15" s="82">
        <v>5245</v>
      </c>
      <c r="K15" s="83">
        <v>1.55</v>
      </c>
      <c r="L15" s="81" t="s">
        <v>5</v>
      </c>
      <c r="M15" s="81" t="s">
        <v>92</v>
      </c>
      <c r="N15" s="81" t="s">
        <v>93</v>
      </c>
      <c r="O15" s="78" t="s">
        <v>344</v>
      </c>
      <c r="P15" s="81" t="s">
        <v>465</v>
      </c>
      <c r="Q15" s="81"/>
      <c r="R15" s="84">
        <v>1.55</v>
      </c>
      <c r="S15" s="81">
        <v>36.975088999999997</v>
      </c>
      <c r="T15" s="81">
        <v>-122.02728999999999</v>
      </c>
      <c r="U15" s="71" t="s">
        <v>409</v>
      </c>
    </row>
    <row r="16" spans="1:21" ht="75" x14ac:dyDescent="0.25">
      <c r="A16" s="81" t="s">
        <v>81</v>
      </c>
      <c r="B16" s="81" t="s">
        <v>47</v>
      </c>
      <c r="C16" s="81">
        <v>125</v>
      </c>
      <c r="D16" s="81" t="s">
        <v>170</v>
      </c>
      <c r="E16" s="81" t="s">
        <v>139</v>
      </c>
      <c r="F16" s="81" t="s">
        <v>140</v>
      </c>
      <c r="G16" s="81">
        <v>95060</v>
      </c>
      <c r="H16" s="81" t="s">
        <v>24</v>
      </c>
      <c r="I16" s="81" t="s">
        <v>55</v>
      </c>
      <c r="J16" s="82">
        <v>2215</v>
      </c>
      <c r="K16" s="83">
        <v>1.8</v>
      </c>
      <c r="L16" s="81" t="s">
        <v>10</v>
      </c>
      <c r="M16" s="81" t="s">
        <v>308</v>
      </c>
      <c r="N16" s="81" t="s">
        <v>93</v>
      </c>
      <c r="O16" s="78" t="s">
        <v>309</v>
      </c>
      <c r="P16" s="81"/>
      <c r="Q16" s="81"/>
      <c r="R16" s="84">
        <f>K16</f>
        <v>1.8</v>
      </c>
      <c r="S16" s="81">
        <v>36.977577209472599</v>
      </c>
      <c r="T16" s="81">
        <v>-122.026313781738</v>
      </c>
      <c r="U16" s="71" t="s">
        <v>257</v>
      </c>
    </row>
    <row r="17" spans="1:21" ht="75" x14ac:dyDescent="0.25">
      <c r="A17" s="81" t="s">
        <v>81</v>
      </c>
      <c r="B17" s="81" t="s">
        <v>47</v>
      </c>
      <c r="C17" s="81">
        <v>125</v>
      </c>
      <c r="D17" s="81" t="s">
        <v>170</v>
      </c>
      <c r="E17" s="81" t="s">
        <v>139</v>
      </c>
      <c r="F17" s="81" t="s">
        <v>140</v>
      </c>
      <c r="G17" s="81">
        <v>95060</v>
      </c>
      <c r="H17" s="81" t="s">
        <v>8</v>
      </c>
      <c r="I17" s="81" t="s">
        <v>53</v>
      </c>
      <c r="J17" s="82">
        <v>2252</v>
      </c>
      <c r="K17" s="83">
        <v>1.8</v>
      </c>
      <c r="L17" s="81" t="s">
        <v>10</v>
      </c>
      <c r="M17" s="81" t="s">
        <v>308</v>
      </c>
      <c r="N17" s="81" t="s">
        <v>93</v>
      </c>
      <c r="O17" s="78" t="s">
        <v>309</v>
      </c>
      <c r="P17" s="81"/>
      <c r="Q17" s="81"/>
      <c r="R17" s="84">
        <f>K17</f>
        <v>1.8</v>
      </c>
      <c r="S17" s="81">
        <v>36.977577209472699</v>
      </c>
      <c r="T17" s="81">
        <v>-122.026313781738</v>
      </c>
      <c r="U17" s="71" t="s">
        <v>257</v>
      </c>
    </row>
    <row r="18" spans="1:21" ht="75" x14ac:dyDescent="0.25">
      <c r="A18" s="71" t="s">
        <v>81</v>
      </c>
      <c r="B18" s="71" t="s">
        <v>47</v>
      </c>
      <c r="C18" s="71">
        <v>125</v>
      </c>
      <c r="D18" s="71" t="s">
        <v>170</v>
      </c>
      <c r="E18" s="71" t="s">
        <v>139</v>
      </c>
      <c r="F18" s="71" t="s">
        <v>140</v>
      </c>
      <c r="G18" s="71">
        <v>95060</v>
      </c>
      <c r="H18" s="71" t="s">
        <v>8</v>
      </c>
      <c r="I18" s="71" t="s">
        <v>54</v>
      </c>
      <c r="J18" s="72">
        <v>1286</v>
      </c>
      <c r="K18" s="73">
        <v>1.8</v>
      </c>
      <c r="L18" s="71" t="s">
        <v>6</v>
      </c>
      <c r="M18" s="71" t="s">
        <v>308</v>
      </c>
      <c r="N18" s="71" t="s">
        <v>93</v>
      </c>
      <c r="O18" s="78" t="s">
        <v>309</v>
      </c>
      <c r="R18" s="74">
        <f>K18</f>
        <v>1.8</v>
      </c>
      <c r="S18" s="71">
        <v>36.977577209472699</v>
      </c>
      <c r="T18" s="81">
        <v>-122.026313781738</v>
      </c>
      <c r="U18" s="71" t="s">
        <v>257</v>
      </c>
    </row>
    <row r="19" spans="1:21" ht="90" x14ac:dyDescent="0.25">
      <c r="A19" s="71" t="s">
        <v>81</v>
      </c>
      <c r="B19" s="71" t="s">
        <v>47</v>
      </c>
      <c r="C19" s="71">
        <v>150</v>
      </c>
      <c r="D19" s="71" t="s">
        <v>171</v>
      </c>
      <c r="E19" s="71" t="s">
        <v>139</v>
      </c>
      <c r="F19" s="71" t="s">
        <v>140</v>
      </c>
      <c r="G19" s="71">
        <v>95060</v>
      </c>
      <c r="H19" s="71" t="s">
        <v>24</v>
      </c>
      <c r="I19" s="71" t="s">
        <v>367</v>
      </c>
      <c r="J19" s="72">
        <v>750</v>
      </c>
      <c r="K19" s="73">
        <v>1400</v>
      </c>
      <c r="L19" s="71" t="s">
        <v>6</v>
      </c>
      <c r="M19" s="71" t="s">
        <v>58</v>
      </c>
      <c r="N19" s="71" t="s">
        <v>59</v>
      </c>
      <c r="O19" s="76" t="s">
        <v>60</v>
      </c>
      <c r="R19" s="74">
        <v>1.87</v>
      </c>
      <c r="S19" s="71">
        <v>36.973145000000002</v>
      </c>
      <c r="T19" s="81">
        <v>-122.02803299999999</v>
      </c>
      <c r="U19" s="71" t="s">
        <v>388</v>
      </c>
    </row>
    <row r="20" spans="1:21" ht="90" x14ac:dyDescent="0.25">
      <c r="A20" s="81" t="s">
        <v>81</v>
      </c>
      <c r="B20" s="81" t="s">
        <v>47</v>
      </c>
      <c r="C20" s="81">
        <v>175</v>
      </c>
      <c r="D20" s="81" t="s">
        <v>171</v>
      </c>
      <c r="E20" s="81" t="s">
        <v>139</v>
      </c>
      <c r="F20" s="81" t="s">
        <v>140</v>
      </c>
      <c r="G20" s="81">
        <v>95060</v>
      </c>
      <c r="H20" s="81" t="s">
        <v>24</v>
      </c>
      <c r="I20" s="81" t="s">
        <v>56</v>
      </c>
      <c r="J20" s="82">
        <v>1900</v>
      </c>
      <c r="K20" s="83">
        <v>1.25</v>
      </c>
      <c r="L20" s="81" t="s">
        <v>6</v>
      </c>
      <c r="M20" s="81" t="s">
        <v>77</v>
      </c>
      <c r="N20" s="81" t="s">
        <v>78</v>
      </c>
      <c r="O20" s="76" t="s">
        <v>224</v>
      </c>
      <c r="P20" s="81"/>
      <c r="Q20" s="81"/>
      <c r="R20" s="84">
        <f>K20</f>
        <v>1.25</v>
      </c>
      <c r="S20" s="81">
        <v>36.972885131835902</v>
      </c>
      <c r="T20" s="81">
        <v>-122.02792358398401</v>
      </c>
      <c r="U20" s="71" t="s">
        <v>254</v>
      </c>
    </row>
    <row r="21" spans="1:21" ht="90" x14ac:dyDescent="0.25">
      <c r="A21" s="71" t="s">
        <v>81</v>
      </c>
      <c r="B21" s="71" t="s">
        <v>47</v>
      </c>
      <c r="C21" s="71">
        <v>175</v>
      </c>
      <c r="D21" s="71" t="s">
        <v>171</v>
      </c>
      <c r="E21" s="71" t="s">
        <v>139</v>
      </c>
      <c r="F21" s="71" t="s">
        <v>140</v>
      </c>
      <c r="G21" s="71">
        <v>95060</v>
      </c>
      <c r="H21" s="71" t="s">
        <v>24</v>
      </c>
      <c r="I21" s="71" t="s">
        <v>57</v>
      </c>
      <c r="J21" s="72">
        <v>1400</v>
      </c>
      <c r="K21" s="73">
        <v>1.25</v>
      </c>
      <c r="L21" s="71" t="s">
        <v>6</v>
      </c>
      <c r="M21" s="71" t="s">
        <v>77</v>
      </c>
      <c r="N21" s="81" t="s">
        <v>78</v>
      </c>
      <c r="O21" s="76" t="s">
        <v>224</v>
      </c>
      <c r="P21" s="71" t="s">
        <v>404</v>
      </c>
      <c r="R21" s="74">
        <f>K21</f>
        <v>1.25</v>
      </c>
      <c r="S21" s="71">
        <v>36.972885131835902</v>
      </c>
      <c r="T21" s="71">
        <v>-122.02792358398401</v>
      </c>
      <c r="U21" s="71" t="s">
        <v>254</v>
      </c>
    </row>
    <row r="22" spans="1:21" ht="90" x14ac:dyDescent="0.25">
      <c r="A22" s="71" t="s">
        <v>81</v>
      </c>
      <c r="B22" s="71" t="s">
        <v>47</v>
      </c>
      <c r="C22" s="71">
        <v>189</v>
      </c>
      <c r="D22" s="71" t="s">
        <v>171</v>
      </c>
      <c r="E22" s="71" t="s">
        <v>139</v>
      </c>
      <c r="F22" s="71" t="s">
        <v>140</v>
      </c>
      <c r="G22" s="71">
        <v>95060</v>
      </c>
      <c r="H22" s="71" t="s">
        <v>51</v>
      </c>
      <c r="I22" s="71" t="s">
        <v>229</v>
      </c>
      <c r="J22" s="72">
        <v>5270</v>
      </c>
      <c r="K22" s="73">
        <v>1.38</v>
      </c>
      <c r="L22" s="71" t="s">
        <v>6</v>
      </c>
      <c r="M22" s="71" t="s">
        <v>77</v>
      </c>
      <c r="N22" s="71" t="s">
        <v>78</v>
      </c>
      <c r="O22" s="76" t="s">
        <v>224</v>
      </c>
      <c r="P22" s="71" t="s">
        <v>404</v>
      </c>
      <c r="R22" s="74">
        <f>K22</f>
        <v>1.38</v>
      </c>
      <c r="S22" s="71">
        <v>36.973083168268197</v>
      </c>
      <c r="T22" s="81">
        <v>-122.028014436364</v>
      </c>
      <c r="U22" s="71" t="s">
        <v>255</v>
      </c>
    </row>
    <row r="23" spans="1:21" s="81" customFormat="1" ht="75" x14ac:dyDescent="0.25">
      <c r="A23" s="81" t="s">
        <v>81</v>
      </c>
      <c r="B23" s="81" t="s">
        <v>47</v>
      </c>
      <c r="C23" s="81">
        <v>212</v>
      </c>
      <c r="D23" s="81" t="s">
        <v>173</v>
      </c>
      <c r="E23" s="81" t="s">
        <v>139</v>
      </c>
      <c r="F23" s="81" t="s">
        <v>140</v>
      </c>
      <c r="G23" s="81">
        <v>95060</v>
      </c>
      <c r="H23" s="81" t="s">
        <v>24</v>
      </c>
      <c r="I23" s="81">
        <v>202</v>
      </c>
      <c r="J23" s="82">
        <v>320</v>
      </c>
      <c r="K23" s="83">
        <v>1.58</v>
      </c>
      <c r="L23" s="81" t="s">
        <v>6</v>
      </c>
      <c r="M23" s="81" t="s">
        <v>62</v>
      </c>
      <c r="N23" s="81" t="s">
        <v>63</v>
      </c>
      <c r="O23" s="81" t="s">
        <v>64</v>
      </c>
      <c r="R23" s="84">
        <f>K23</f>
        <v>1.58</v>
      </c>
      <c r="S23" s="81">
        <v>36.969216763973201</v>
      </c>
      <c r="T23" s="81">
        <v>-122.025084793567</v>
      </c>
      <c r="U23" s="81" t="s">
        <v>252</v>
      </c>
    </row>
    <row r="24" spans="1:21" ht="75" x14ac:dyDescent="0.25">
      <c r="A24" s="71" t="s">
        <v>81</v>
      </c>
      <c r="B24" s="71" t="s">
        <v>47</v>
      </c>
      <c r="C24" s="71">
        <v>212</v>
      </c>
      <c r="D24" s="71" t="s">
        <v>173</v>
      </c>
      <c r="E24" s="71" t="s">
        <v>139</v>
      </c>
      <c r="F24" s="71" t="s">
        <v>140</v>
      </c>
      <c r="G24" s="71">
        <v>95060</v>
      </c>
      <c r="H24" s="71" t="s">
        <v>24</v>
      </c>
      <c r="I24" s="71">
        <v>203</v>
      </c>
      <c r="J24" s="72">
        <v>85</v>
      </c>
      <c r="K24" s="73">
        <v>3.59</v>
      </c>
      <c r="L24" s="71" t="s">
        <v>6</v>
      </c>
      <c r="M24" s="71" t="s">
        <v>62</v>
      </c>
      <c r="N24" s="71" t="s">
        <v>63</v>
      </c>
      <c r="O24" s="81" t="s">
        <v>64</v>
      </c>
      <c r="R24" s="74">
        <f>K24</f>
        <v>3.59</v>
      </c>
      <c r="S24" s="71">
        <v>36.969216763973201</v>
      </c>
      <c r="T24" s="81">
        <v>-122.025084793567</v>
      </c>
      <c r="U24" s="71" t="s">
        <v>252</v>
      </c>
    </row>
    <row r="25" spans="1:21" ht="75" x14ac:dyDescent="0.25">
      <c r="A25" s="71" t="s">
        <v>81</v>
      </c>
      <c r="B25" s="71" t="s">
        <v>47</v>
      </c>
      <c r="C25" s="71">
        <v>212</v>
      </c>
      <c r="D25" s="71" t="s">
        <v>173</v>
      </c>
      <c r="E25" s="71" t="s">
        <v>139</v>
      </c>
      <c r="F25" s="71" t="s">
        <v>140</v>
      </c>
      <c r="G25" s="71">
        <v>95060</v>
      </c>
      <c r="H25" s="71" t="s">
        <v>24</v>
      </c>
      <c r="I25" s="71">
        <v>204</v>
      </c>
      <c r="J25" s="72">
        <v>250</v>
      </c>
      <c r="K25" s="73">
        <v>2</v>
      </c>
      <c r="L25" s="71" t="s">
        <v>6</v>
      </c>
      <c r="M25" s="71" t="s">
        <v>62</v>
      </c>
      <c r="N25" s="71" t="s">
        <v>63</v>
      </c>
      <c r="O25" s="81" t="s">
        <v>64</v>
      </c>
      <c r="R25" s="74">
        <f>K25</f>
        <v>2</v>
      </c>
      <c r="S25" s="71">
        <v>36.969216763973201</v>
      </c>
      <c r="T25" s="81">
        <v>-122.025084793567</v>
      </c>
      <c r="U25" s="71" t="s">
        <v>252</v>
      </c>
    </row>
    <row r="26" spans="1:21" ht="75" x14ac:dyDescent="0.25">
      <c r="A26" s="71" t="s">
        <v>81</v>
      </c>
      <c r="B26" s="71" t="s">
        <v>47</v>
      </c>
      <c r="C26" s="71">
        <v>212</v>
      </c>
      <c r="D26" s="71" t="s">
        <v>173</v>
      </c>
      <c r="E26" s="71" t="s">
        <v>139</v>
      </c>
      <c r="F26" s="71" t="s">
        <v>140</v>
      </c>
      <c r="G26" s="71">
        <v>95060</v>
      </c>
      <c r="H26" s="71" t="s">
        <v>24</v>
      </c>
      <c r="I26" s="71">
        <v>205</v>
      </c>
      <c r="J26" s="72">
        <v>85</v>
      </c>
      <c r="K26" s="73">
        <v>3.59</v>
      </c>
      <c r="L26" s="71" t="s">
        <v>6</v>
      </c>
      <c r="M26" s="71" t="s">
        <v>62</v>
      </c>
      <c r="N26" s="71" t="s">
        <v>63</v>
      </c>
      <c r="O26" s="81" t="s">
        <v>64</v>
      </c>
      <c r="R26" s="74">
        <f>K26</f>
        <v>3.59</v>
      </c>
      <c r="S26" s="71">
        <v>36.969216763973201</v>
      </c>
      <c r="T26" s="81">
        <v>-122.025084793567</v>
      </c>
      <c r="U26" s="71" t="s">
        <v>252</v>
      </c>
    </row>
    <row r="27" spans="1:21" s="81" customFormat="1" ht="74.25" customHeight="1" x14ac:dyDescent="0.25">
      <c r="A27" s="81" t="s">
        <v>81</v>
      </c>
      <c r="B27" s="81" t="s">
        <v>47</v>
      </c>
      <c r="C27" s="81">
        <v>212</v>
      </c>
      <c r="D27" s="81" t="s">
        <v>173</v>
      </c>
      <c r="E27" s="81" t="s">
        <v>139</v>
      </c>
      <c r="F27" s="81" t="s">
        <v>140</v>
      </c>
      <c r="G27" s="81">
        <v>95060</v>
      </c>
      <c r="H27" s="81" t="s">
        <v>24</v>
      </c>
      <c r="I27" s="81">
        <v>207</v>
      </c>
      <c r="J27" s="82">
        <v>85</v>
      </c>
      <c r="K27" s="83">
        <v>3.59</v>
      </c>
      <c r="L27" s="81" t="s">
        <v>6</v>
      </c>
      <c r="M27" s="81" t="s">
        <v>62</v>
      </c>
      <c r="N27" s="81" t="s">
        <v>63</v>
      </c>
      <c r="O27" s="81" t="s">
        <v>64</v>
      </c>
      <c r="R27" s="84">
        <f>K27</f>
        <v>3.59</v>
      </c>
      <c r="S27" s="81">
        <v>36.969216763973201</v>
      </c>
      <c r="T27" s="81">
        <v>-122.025084793567</v>
      </c>
      <c r="U27" s="81" t="s">
        <v>252</v>
      </c>
    </row>
    <row r="28" spans="1:21" ht="75" x14ac:dyDescent="0.25">
      <c r="A28" s="81" t="s">
        <v>81</v>
      </c>
      <c r="B28" s="81" t="s">
        <v>47</v>
      </c>
      <c r="C28" s="81">
        <v>212</v>
      </c>
      <c r="D28" s="81" t="s">
        <v>173</v>
      </c>
      <c r="E28" s="81" t="s">
        <v>139</v>
      </c>
      <c r="F28" s="81" t="s">
        <v>140</v>
      </c>
      <c r="G28" s="81">
        <v>95060</v>
      </c>
      <c r="H28" s="81" t="s">
        <v>24</v>
      </c>
      <c r="I28" s="81">
        <v>209</v>
      </c>
      <c r="J28" s="82">
        <v>105</v>
      </c>
      <c r="K28" s="83">
        <v>3.14</v>
      </c>
      <c r="L28" s="81" t="s">
        <v>6</v>
      </c>
      <c r="M28" s="81" t="s">
        <v>62</v>
      </c>
      <c r="N28" s="81" t="s">
        <v>63</v>
      </c>
      <c r="O28" s="81" t="s">
        <v>64</v>
      </c>
      <c r="P28" s="81"/>
      <c r="Q28" s="81"/>
      <c r="R28" s="84">
        <f>K28</f>
        <v>3.14</v>
      </c>
      <c r="S28" s="81">
        <v>36.969216763973201</v>
      </c>
      <c r="T28" s="81">
        <v>-122.025084793567</v>
      </c>
      <c r="U28" s="71" t="s">
        <v>252</v>
      </c>
    </row>
    <row r="29" spans="1:21" ht="75" x14ac:dyDescent="0.25">
      <c r="A29" s="81" t="s">
        <v>81</v>
      </c>
      <c r="B29" s="81" t="s">
        <v>47</v>
      </c>
      <c r="C29" s="81">
        <v>212</v>
      </c>
      <c r="D29" s="81" t="s">
        <v>173</v>
      </c>
      <c r="E29" s="81" t="s">
        <v>139</v>
      </c>
      <c r="F29" s="81" t="s">
        <v>140</v>
      </c>
      <c r="G29" s="81">
        <v>95060</v>
      </c>
      <c r="H29" s="81" t="s">
        <v>8</v>
      </c>
      <c r="I29" s="81">
        <v>200</v>
      </c>
      <c r="J29" s="82">
        <v>520</v>
      </c>
      <c r="K29" s="83">
        <v>1.54</v>
      </c>
      <c r="L29" s="81" t="s">
        <v>6</v>
      </c>
      <c r="M29" s="81" t="s">
        <v>62</v>
      </c>
      <c r="N29" s="81" t="s">
        <v>63</v>
      </c>
      <c r="O29" s="81" t="s">
        <v>64</v>
      </c>
      <c r="P29" s="81"/>
      <c r="Q29" s="81"/>
      <c r="R29" s="84">
        <f>K29</f>
        <v>1.54</v>
      </c>
      <c r="S29" s="81">
        <v>36.969216763973201</v>
      </c>
      <c r="T29" s="81">
        <v>-122.025084793567</v>
      </c>
      <c r="U29" s="71" t="s">
        <v>252</v>
      </c>
    </row>
    <row r="30" spans="1:21" ht="75" x14ac:dyDescent="0.25">
      <c r="A30" s="81" t="s">
        <v>81</v>
      </c>
      <c r="B30" s="81" t="s">
        <v>47</v>
      </c>
      <c r="C30" s="81">
        <v>227</v>
      </c>
      <c r="D30" s="81" t="s">
        <v>306</v>
      </c>
      <c r="E30" s="81" t="s">
        <v>139</v>
      </c>
      <c r="F30" s="81" t="s">
        <v>140</v>
      </c>
      <c r="G30" s="81">
        <v>95060</v>
      </c>
      <c r="H30" s="81" t="s">
        <v>7</v>
      </c>
      <c r="I30" s="81"/>
      <c r="J30" s="82">
        <v>1000</v>
      </c>
      <c r="K30" s="83">
        <v>2160</v>
      </c>
      <c r="L30" s="81" t="s">
        <v>6</v>
      </c>
      <c r="M30" s="81" t="s">
        <v>331</v>
      </c>
      <c r="N30" s="81" t="s">
        <v>332</v>
      </c>
      <c r="O30" s="81"/>
      <c r="P30" s="81"/>
      <c r="Q30" s="81"/>
      <c r="R30" s="84">
        <v>2.16</v>
      </c>
      <c r="S30" s="81">
        <v>36.971589177846901</v>
      </c>
      <c r="T30" s="81">
        <v>-122.025692984461</v>
      </c>
      <c r="U30" s="71" t="s">
        <v>338</v>
      </c>
    </row>
    <row r="31" spans="1:21" ht="75" x14ac:dyDescent="0.25">
      <c r="A31" s="81" t="s">
        <v>81</v>
      </c>
      <c r="B31" s="81" t="s">
        <v>47</v>
      </c>
      <c r="C31" s="81">
        <v>312</v>
      </c>
      <c r="D31" s="81" t="s">
        <v>196</v>
      </c>
      <c r="E31" s="81" t="s">
        <v>139</v>
      </c>
      <c r="F31" s="81" t="s">
        <v>140</v>
      </c>
      <c r="G31" s="81">
        <v>95060</v>
      </c>
      <c r="H31" s="81" t="s">
        <v>8</v>
      </c>
      <c r="I31" s="81" t="s">
        <v>70</v>
      </c>
      <c r="J31" s="82">
        <v>280</v>
      </c>
      <c r="K31" s="83">
        <v>500</v>
      </c>
      <c r="L31" s="81" t="s">
        <v>10</v>
      </c>
      <c r="M31" s="81" t="s">
        <v>20</v>
      </c>
      <c r="N31" s="81" t="s">
        <v>21</v>
      </c>
      <c r="O31" s="77" t="s">
        <v>135</v>
      </c>
      <c r="P31" s="81"/>
      <c r="Q31" s="81"/>
      <c r="R31" s="84">
        <f>K31</f>
        <v>500</v>
      </c>
      <c r="S31" s="81">
        <v>36.972412109375</v>
      </c>
      <c r="T31" s="81">
        <v>-122.028610229492</v>
      </c>
      <c r="U31" s="71" t="s">
        <v>253</v>
      </c>
    </row>
    <row r="32" spans="1:21" s="81" customFormat="1" ht="75" x14ac:dyDescent="0.25">
      <c r="A32" s="81" t="s">
        <v>81</v>
      </c>
      <c r="B32" s="81" t="s">
        <v>47</v>
      </c>
      <c r="C32" s="81">
        <v>312</v>
      </c>
      <c r="D32" s="81" t="s">
        <v>196</v>
      </c>
      <c r="E32" s="81" t="s">
        <v>139</v>
      </c>
      <c r="F32" s="81" t="s">
        <v>140</v>
      </c>
      <c r="G32" s="81">
        <v>95060</v>
      </c>
      <c r="H32" s="81" t="s">
        <v>8</v>
      </c>
      <c r="J32" s="82">
        <v>3000</v>
      </c>
      <c r="K32" s="83">
        <v>3850</v>
      </c>
      <c r="L32" s="81" t="s">
        <v>10</v>
      </c>
      <c r="M32" s="81" t="s">
        <v>20</v>
      </c>
      <c r="N32" s="81" t="s">
        <v>21</v>
      </c>
      <c r="O32" s="77" t="s">
        <v>135</v>
      </c>
      <c r="P32" s="81" t="s">
        <v>473</v>
      </c>
      <c r="R32" s="84">
        <v>1.28</v>
      </c>
      <c r="S32" s="81">
        <v>36.972412109375</v>
      </c>
      <c r="T32" s="81">
        <v>-122.028610229492</v>
      </c>
      <c r="U32" s="81" t="s">
        <v>253</v>
      </c>
    </row>
    <row r="33" spans="1:21" s="81" customFormat="1" ht="90" x14ac:dyDescent="0.25">
      <c r="A33" s="81" t="s">
        <v>81</v>
      </c>
      <c r="B33" s="81" t="s">
        <v>47</v>
      </c>
      <c r="C33" s="81">
        <v>411</v>
      </c>
      <c r="D33" s="81" t="s">
        <v>168</v>
      </c>
      <c r="E33" s="81" t="s">
        <v>139</v>
      </c>
      <c r="F33" s="81" t="s">
        <v>140</v>
      </c>
      <c r="G33" s="81">
        <v>95060</v>
      </c>
      <c r="H33" s="81" t="s">
        <v>24</v>
      </c>
      <c r="I33" s="81" t="s">
        <v>49</v>
      </c>
      <c r="J33" s="82">
        <v>500</v>
      </c>
      <c r="K33" s="83">
        <v>700</v>
      </c>
      <c r="M33" s="81" t="s">
        <v>416</v>
      </c>
      <c r="N33" s="81" t="s">
        <v>417</v>
      </c>
      <c r="O33" s="78" t="s">
        <v>418</v>
      </c>
      <c r="P33" s="81" t="s">
        <v>419</v>
      </c>
      <c r="R33" s="84">
        <v>1.4</v>
      </c>
      <c r="S33" s="81">
        <v>36.970354999999998</v>
      </c>
      <c r="T33" s="81">
        <v>-122.02685200000001</v>
      </c>
      <c r="U33" s="81" t="s">
        <v>422</v>
      </c>
    </row>
    <row r="34" spans="1:21" s="81" customFormat="1" ht="75" x14ac:dyDescent="0.25">
      <c r="A34" s="81" t="s">
        <v>81</v>
      </c>
      <c r="B34" s="81" t="s">
        <v>47</v>
      </c>
      <c r="C34" s="81">
        <v>427</v>
      </c>
      <c r="D34" s="81" t="s">
        <v>199</v>
      </c>
      <c r="E34" s="81" t="s">
        <v>139</v>
      </c>
      <c r="F34" s="81" t="s">
        <v>140</v>
      </c>
      <c r="G34" s="81">
        <v>95060</v>
      </c>
      <c r="H34" s="81" t="s">
        <v>8</v>
      </c>
      <c r="J34" s="82">
        <v>450</v>
      </c>
      <c r="K34" s="83">
        <v>2</v>
      </c>
      <c r="L34" s="81" t="s">
        <v>6</v>
      </c>
      <c r="M34" s="81" t="s">
        <v>58</v>
      </c>
      <c r="N34" s="81" t="s">
        <v>59</v>
      </c>
      <c r="O34" s="81" t="s">
        <v>60</v>
      </c>
      <c r="P34" s="81" t="s">
        <v>225</v>
      </c>
      <c r="R34" s="84">
        <f>K34</f>
        <v>2</v>
      </c>
      <c r="S34" s="81">
        <v>36.970274224877301</v>
      </c>
      <c r="T34" s="81">
        <v>-122.02656134963</v>
      </c>
      <c r="U34" s="81" t="s">
        <v>251</v>
      </c>
    </row>
    <row r="35" spans="1:21" s="81" customFormat="1" ht="90" x14ac:dyDescent="0.25">
      <c r="A35" s="85" t="s">
        <v>81</v>
      </c>
      <c r="B35" s="85" t="s">
        <v>47</v>
      </c>
      <c r="C35" s="85">
        <v>500</v>
      </c>
      <c r="D35" s="85" t="s">
        <v>361</v>
      </c>
      <c r="E35" s="85" t="s">
        <v>139</v>
      </c>
      <c r="F35" s="85" t="s">
        <v>140</v>
      </c>
      <c r="G35" s="85">
        <v>95060</v>
      </c>
      <c r="H35" s="85" t="s">
        <v>24</v>
      </c>
      <c r="I35" s="85" t="s">
        <v>362</v>
      </c>
      <c r="J35" s="86">
        <v>156</v>
      </c>
      <c r="K35" s="87">
        <v>400</v>
      </c>
      <c r="L35" s="85" t="s">
        <v>6</v>
      </c>
      <c r="M35" s="85" t="s">
        <v>363</v>
      </c>
      <c r="N35" s="85" t="s">
        <v>364</v>
      </c>
      <c r="O35" s="88"/>
      <c r="P35" s="85" t="s">
        <v>365</v>
      </c>
      <c r="Q35" s="85"/>
      <c r="R35" s="89">
        <v>2.56</v>
      </c>
      <c r="S35" s="85">
        <v>36.972887</v>
      </c>
      <c r="T35" s="89">
        <v>-122.030607</v>
      </c>
      <c r="U35" s="81" t="s">
        <v>366</v>
      </c>
    </row>
    <row r="36" spans="1:21" ht="75" x14ac:dyDescent="0.25">
      <c r="A36" s="81" t="s">
        <v>81</v>
      </c>
      <c r="B36" s="81" t="s">
        <v>47</v>
      </c>
      <c r="C36" s="81">
        <v>514</v>
      </c>
      <c r="D36" s="81" t="s">
        <v>167</v>
      </c>
      <c r="E36" s="81" t="s">
        <v>139</v>
      </c>
      <c r="F36" s="81" t="s">
        <v>140</v>
      </c>
      <c r="G36" s="81">
        <v>95060</v>
      </c>
      <c r="H36" s="81" t="s">
        <v>2</v>
      </c>
      <c r="I36" s="81"/>
      <c r="J36" s="82">
        <v>2000</v>
      </c>
      <c r="K36" s="83">
        <v>1.75</v>
      </c>
      <c r="L36" s="81" t="s">
        <v>5</v>
      </c>
      <c r="M36" s="81" t="s">
        <v>31</v>
      </c>
      <c r="N36" s="81" t="s">
        <v>32</v>
      </c>
      <c r="O36" s="76" t="s">
        <v>313</v>
      </c>
      <c r="P36" s="81" t="s">
        <v>470</v>
      </c>
      <c r="Q36" s="81"/>
      <c r="R36" s="84">
        <v>1.75</v>
      </c>
      <c r="S36" s="81">
        <v>36.972520000000003</v>
      </c>
      <c r="T36" s="81">
        <v>-122.024036</v>
      </c>
      <c r="U36" s="71" t="s">
        <v>471</v>
      </c>
    </row>
    <row r="37" spans="1:21" s="81" customFormat="1" ht="75" x14ac:dyDescent="0.25">
      <c r="A37" s="81" t="s">
        <v>81</v>
      </c>
      <c r="B37" s="81" t="s">
        <v>47</v>
      </c>
      <c r="C37" s="81">
        <v>827</v>
      </c>
      <c r="D37" s="81" t="s">
        <v>168</v>
      </c>
      <c r="E37" s="81" t="s">
        <v>139</v>
      </c>
      <c r="F37" s="81" t="s">
        <v>140</v>
      </c>
      <c r="G37" s="81">
        <v>95060</v>
      </c>
      <c r="H37" s="81" t="s">
        <v>24</v>
      </c>
      <c r="I37" s="81" t="s">
        <v>156</v>
      </c>
      <c r="J37" s="82">
        <v>450</v>
      </c>
      <c r="K37" s="83">
        <v>900</v>
      </c>
      <c r="L37" s="81" t="s">
        <v>6</v>
      </c>
      <c r="M37" s="81" t="s">
        <v>58</v>
      </c>
      <c r="N37" s="81" t="s">
        <v>59</v>
      </c>
      <c r="O37" s="81" t="s">
        <v>60</v>
      </c>
      <c r="R37" s="84">
        <f>K37/J37</f>
        <v>2</v>
      </c>
      <c r="S37" s="81">
        <v>36.973668560385697</v>
      </c>
      <c r="T37" s="81">
        <v>-122.027319744229</v>
      </c>
      <c r="U37" s="81" t="s">
        <v>250</v>
      </c>
    </row>
    <row r="38" spans="1:21" ht="90" x14ac:dyDescent="0.25">
      <c r="A38" s="81" t="s">
        <v>81</v>
      </c>
      <c r="B38" s="81" t="s">
        <v>47</v>
      </c>
      <c r="C38" s="81">
        <v>1001</v>
      </c>
      <c r="D38" s="81" t="s">
        <v>477</v>
      </c>
      <c r="E38" s="81" t="s">
        <v>139</v>
      </c>
      <c r="F38" s="81" t="s">
        <v>140</v>
      </c>
      <c r="G38" s="81">
        <v>95060</v>
      </c>
      <c r="H38" s="81" t="s">
        <v>24</v>
      </c>
      <c r="I38" s="81">
        <v>2</v>
      </c>
      <c r="J38" s="82">
        <v>486</v>
      </c>
      <c r="K38" s="83">
        <v>650</v>
      </c>
      <c r="L38" s="81" t="s">
        <v>5</v>
      </c>
      <c r="M38" s="81" t="s">
        <v>20</v>
      </c>
      <c r="N38" s="81" t="s">
        <v>21</v>
      </c>
      <c r="O38" s="81" t="s">
        <v>135</v>
      </c>
      <c r="P38" s="81" t="s">
        <v>478</v>
      </c>
      <c r="Q38" s="81"/>
      <c r="R38" s="84">
        <v>0.45</v>
      </c>
      <c r="S38" s="81">
        <v>36.976108000000004</v>
      </c>
      <c r="T38" s="81">
        <v>-122.028775</v>
      </c>
      <c r="U38" s="71" t="s">
        <v>479</v>
      </c>
    </row>
    <row r="39" spans="1:21" ht="90" x14ac:dyDescent="0.25">
      <c r="A39" s="71" t="s">
        <v>81</v>
      </c>
      <c r="B39" s="71" t="s">
        <v>38</v>
      </c>
      <c r="C39" s="71">
        <v>805</v>
      </c>
      <c r="D39" s="71" t="s">
        <v>174</v>
      </c>
      <c r="E39" s="71" t="s">
        <v>139</v>
      </c>
      <c r="F39" s="71" t="s">
        <v>140</v>
      </c>
      <c r="G39" s="71">
        <v>95060</v>
      </c>
      <c r="H39" s="71" t="s">
        <v>7</v>
      </c>
      <c r="J39" s="72">
        <v>640</v>
      </c>
      <c r="K39" s="73">
        <v>1000</v>
      </c>
      <c r="L39" s="71" t="s">
        <v>6</v>
      </c>
      <c r="M39" s="71" t="s">
        <v>323</v>
      </c>
      <c r="N39" s="71" t="s">
        <v>324</v>
      </c>
      <c r="O39" s="78" t="s">
        <v>325</v>
      </c>
      <c r="P39" s="71" t="s">
        <v>328</v>
      </c>
      <c r="R39" s="74">
        <f>K39/J39</f>
        <v>1.5625</v>
      </c>
      <c r="S39" s="71">
        <v>36.969466879963797</v>
      </c>
      <c r="T39" s="71">
        <v>-122.024885639548</v>
      </c>
      <c r="U39" s="71" t="s">
        <v>327</v>
      </c>
    </row>
    <row r="40" spans="1:21" ht="90" x14ac:dyDescent="0.25">
      <c r="A40" s="71" t="s">
        <v>81</v>
      </c>
      <c r="B40" s="71" t="s">
        <v>38</v>
      </c>
      <c r="C40" s="71">
        <v>819</v>
      </c>
      <c r="D40" s="71" t="s">
        <v>174</v>
      </c>
      <c r="E40" s="71" t="s">
        <v>139</v>
      </c>
      <c r="F40" s="71" t="s">
        <v>140</v>
      </c>
      <c r="G40" s="71">
        <v>95060</v>
      </c>
      <c r="H40" s="71" t="s">
        <v>24</v>
      </c>
      <c r="I40" s="71">
        <v>1</v>
      </c>
      <c r="J40" s="72">
        <v>1385</v>
      </c>
      <c r="K40" s="73">
        <v>1.44</v>
      </c>
      <c r="L40" s="71" t="s">
        <v>6</v>
      </c>
      <c r="M40" s="71" t="s">
        <v>378</v>
      </c>
      <c r="N40" s="71" t="s">
        <v>243</v>
      </c>
      <c r="O40" s="76" t="s">
        <v>94</v>
      </c>
      <c r="P40" s="71" t="s">
        <v>330</v>
      </c>
      <c r="R40" s="74">
        <v>1.44</v>
      </c>
      <c r="S40" s="71">
        <v>36.969888657331403</v>
      </c>
      <c r="T40" s="71">
        <v>-122.024984881281</v>
      </c>
      <c r="U40" s="71" t="s">
        <v>258</v>
      </c>
    </row>
    <row r="41" spans="1:21" ht="90" x14ac:dyDescent="0.25">
      <c r="A41" s="71" t="s">
        <v>81</v>
      </c>
      <c r="B41" s="71" t="s">
        <v>38</v>
      </c>
      <c r="C41" s="71">
        <v>903</v>
      </c>
      <c r="D41" s="71" t="s">
        <v>174</v>
      </c>
      <c r="E41" s="71" t="s">
        <v>139</v>
      </c>
      <c r="F41" s="71" t="s">
        <v>140</v>
      </c>
      <c r="G41" s="71">
        <v>95060</v>
      </c>
      <c r="H41" s="71" t="s">
        <v>24</v>
      </c>
      <c r="J41" s="72">
        <v>4000</v>
      </c>
      <c r="K41" s="73">
        <v>1.5</v>
      </c>
      <c r="L41" s="71" t="s">
        <v>6</v>
      </c>
      <c r="M41" s="71" t="s">
        <v>443</v>
      </c>
      <c r="N41" s="71" t="s">
        <v>93</v>
      </c>
      <c r="O41" s="81" t="s">
        <v>9</v>
      </c>
      <c r="P41" s="71" t="s">
        <v>444</v>
      </c>
      <c r="R41" s="74">
        <v>0</v>
      </c>
      <c r="S41" s="71">
        <v>36.970433999999997</v>
      </c>
      <c r="T41" s="71">
        <v>-122.025454</v>
      </c>
      <c r="U41" s="71" t="s">
        <v>445</v>
      </c>
    </row>
    <row r="42" spans="1:21" ht="90" x14ac:dyDescent="0.25">
      <c r="A42" s="71" t="s">
        <v>81</v>
      </c>
      <c r="B42" s="71" t="s">
        <v>38</v>
      </c>
      <c r="C42" s="71">
        <v>1013</v>
      </c>
      <c r="D42" s="71" t="s">
        <v>174</v>
      </c>
      <c r="E42" s="71" t="s">
        <v>139</v>
      </c>
      <c r="F42" s="71" t="s">
        <v>140</v>
      </c>
      <c r="G42" s="71">
        <v>95060</v>
      </c>
      <c r="H42" s="71" t="s">
        <v>2</v>
      </c>
      <c r="J42" s="72">
        <v>4500</v>
      </c>
      <c r="K42" s="73">
        <v>3</v>
      </c>
      <c r="L42" s="81" t="s">
        <v>5</v>
      </c>
      <c r="M42" s="71" t="s">
        <v>3</v>
      </c>
      <c r="N42" s="71" t="s">
        <v>4</v>
      </c>
      <c r="O42" s="71" t="s">
        <v>28</v>
      </c>
      <c r="P42" s="71" t="s">
        <v>161</v>
      </c>
      <c r="R42" s="74">
        <f>K42</f>
        <v>3</v>
      </c>
      <c r="S42" s="71">
        <v>36.971420288085902</v>
      </c>
      <c r="T42" s="71">
        <v>-122.02579498291</v>
      </c>
      <c r="U42" s="71" t="s">
        <v>260</v>
      </c>
    </row>
    <row r="43" spans="1:21" ht="90" x14ac:dyDescent="0.25">
      <c r="A43" s="71" t="s">
        <v>81</v>
      </c>
      <c r="B43" s="71" t="s">
        <v>38</v>
      </c>
      <c r="C43" s="71">
        <v>1101</v>
      </c>
      <c r="D43" s="71" t="s">
        <v>174</v>
      </c>
      <c r="E43" s="71" t="s">
        <v>139</v>
      </c>
      <c r="F43" s="71" t="s">
        <v>140</v>
      </c>
      <c r="G43" s="71">
        <v>95060</v>
      </c>
      <c r="H43" s="71" t="s">
        <v>8</v>
      </c>
      <c r="I43" s="71">
        <v>210</v>
      </c>
      <c r="J43" s="72">
        <v>1484</v>
      </c>
      <c r="K43" s="73">
        <v>1.25</v>
      </c>
      <c r="L43" s="81" t="s">
        <v>5</v>
      </c>
      <c r="M43" s="71" t="s">
        <v>202</v>
      </c>
      <c r="N43" s="71" t="s">
        <v>113</v>
      </c>
      <c r="O43" s="81" t="s">
        <v>17</v>
      </c>
      <c r="P43" s="71" t="s">
        <v>11</v>
      </c>
      <c r="R43" s="74">
        <f>K43</f>
        <v>1.25</v>
      </c>
      <c r="S43" s="71">
        <v>36.971908569335902</v>
      </c>
      <c r="T43" s="71">
        <v>-122.02589416503901</v>
      </c>
      <c r="U43" s="71" t="s">
        <v>261</v>
      </c>
    </row>
    <row r="44" spans="1:21" s="81" customFormat="1" ht="90" x14ac:dyDescent="0.25">
      <c r="A44" s="81" t="s">
        <v>81</v>
      </c>
      <c r="B44" s="81" t="s">
        <v>38</v>
      </c>
      <c r="C44" s="81">
        <v>1101</v>
      </c>
      <c r="D44" s="81" t="s">
        <v>174</v>
      </c>
      <c r="E44" s="81" t="s">
        <v>139</v>
      </c>
      <c r="F44" s="81" t="s">
        <v>140</v>
      </c>
      <c r="G44" s="81">
        <v>95060</v>
      </c>
      <c r="H44" s="81" t="s">
        <v>8</v>
      </c>
      <c r="I44" s="81">
        <v>300</v>
      </c>
      <c r="J44" s="82">
        <v>3323</v>
      </c>
      <c r="K44" s="83">
        <v>1.25</v>
      </c>
      <c r="L44" s="81" t="s">
        <v>5</v>
      </c>
      <c r="M44" s="81" t="s">
        <v>202</v>
      </c>
      <c r="N44" s="81" t="s">
        <v>113</v>
      </c>
      <c r="O44" s="81" t="s">
        <v>17</v>
      </c>
      <c r="P44" s="81" t="s">
        <v>11</v>
      </c>
      <c r="R44" s="84">
        <f>K44</f>
        <v>1.25</v>
      </c>
      <c r="S44" s="81">
        <v>36.971908569335902</v>
      </c>
      <c r="T44" s="81">
        <v>-122.02589416503901</v>
      </c>
      <c r="U44" s="81" t="s">
        <v>261</v>
      </c>
    </row>
    <row r="45" spans="1:21" ht="90" x14ac:dyDescent="0.25">
      <c r="A45" s="71" t="s">
        <v>81</v>
      </c>
      <c r="B45" s="71" t="s">
        <v>38</v>
      </c>
      <c r="C45" s="71">
        <v>1101</v>
      </c>
      <c r="D45" s="71" t="s">
        <v>174</v>
      </c>
      <c r="E45" s="71" t="s">
        <v>139</v>
      </c>
      <c r="F45" s="71" t="s">
        <v>140</v>
      </c>
      <c r="G45" s="71">
        <v>95060</v>
      </c>
      <c r="H45" s="71" t="s">
        <v>8</v>
      </c>
      <c r="I45" s="71">
        <v>308</v>
      </c>
      <c r="J45" s="72">
        <v>1525</v>
      </c>
      <c r="K45" s="73">
        <v>1.25</v>
      </c>
      <c r="L45" s="71" t="s">
        <v>5</v>
      </c>
      <c r="M45" s="71" t="s">
        <v>202</v>
      </c>
      <c r="N45" s="71" t="s">
        <v>113</v>
      </c>
      <c r="O45" s="81" t="s">
        <v>17</v>
      </c>
      <c r="P45" s="71" t="s">
        <v>11</v>
      </c>
      <c r="R45" s="74">
        <f>K45</f>
        <v>1.25</v>
      </c>
      <c r="S45" s="71">
        <v>36.971908569335902</v>
      </c>
      <c r="T45" s="71">
        <v>-122.02589416503901</v>
      </c>
      <c r="U45" s="71" t="s">
        <v>261</v>
      </c>
    </row>
    <row r="46" spans="1:21" ht="90" x14ac:dyDescent="0.25">
      <c r="A46" s="71" t="s">
        <v>81</v>
      </c>
      <c r="B46" s="71" t="s">
        <v>38</v>
      </c>
      <c r="C46" s="71">
        <v>1101</v>
      </c>
      <c r="D46" s="71" t="s">
        <v>174</v>
      </c>
      <c r="E46" s="71" t="s">
        <v>139</v>
      </c>
      <c r="F46" s="71" t="s">
        <v>140</v>
      </c>
      <c r="G46" s="71">
        <v>95060</v>
      </c>
      <c r="H46" s="71" t="s">
        <v>8</v>
      </c>
      <c r="I46" s="71">
        <v>320</v>
      </c>
      <c r="J46" s="72">
        <v>5178</v>
      </c>
      <c r="K46" s="73">
        <v>1.25</v>
      </c>
      <c r="L46" s="71" t="s">
        <v>5</v>
      </c>
      <c r="M46" s="71" t="s">
        <v>202</v>
      </c>
      <c r="N46" s="71" t="s">
        <v>113</v>
      </c>
      <c r="O46" s="81" t="s">
        <v>17</v>
      </c>
      <c r="P46" s="71" t="s">
        <v>11</v>
      </c>
      <c r="R46" s="74">
        <f>K46</f>
        <v>1.25</v>
      </c>
      <c r="S46" s="71">
        <v>36.971908569335902</v>
      </c>
      <c r="T46" s="71">
        <v>-122.02589416503901</v>
      </c>
      <c r="U46" s="71" t="s">
        <v>261</v>
      </c>
    </row>
    <row r="47" spans="1:21" ht="90" x14ac:dyDescent="0.25">
      <c r="A47" s="71" t="s">
        <v>81</v>
      </c>
      <c r="B47" s="71" t="s">
        <v>38</v>
      </c>
      <c r="C47" s="71">
        <v>1101</v>
      </c>
      <c r="D47" s="71" t="s">
        <v>174</v>
      </c>
      <c r="E47" s="71" t="s">
        <v>139</v>
      </c>
      <c r="F47" s="71" t="s">
        <v>140</v>
      </c>
      <c r="G47" s="71">
        <v>95060</v>
      </c>
      <c r="H47" s="71" t="s">
        <v>2</v>
      </c>
      <c r="I47" s="71" t="s">
        <v>70</v>
      </c>
      <c r="J47" s="72">
        <v>1561</v>
      </c>
      <c r="K47" s="73">
        <v>2.75</v>
      </c>
      <c r="L47" s="71" t="s">
        <v>5</v>
      </c>
      <c r="M47" s="71" t="s">
        <v>202</v>
      </c>
      <c r="N47" s="71" t="s">
        <v>113</v>
      </c>
      <c r="O47" s="81" t="s">
        <v>17</v>
      </c>
      <c r="P47" s="71" t="s">
        <v>11</v>
      </c>
      <c r="R47" s="74">
        <f>K47</f>
        <v>2.75</v>
      </c>
      <c r="S47" s="71">
        <v>36.971908569335902</v>
      </c>
      <c r="T47" s="71">
        <v>-122.02589416503901</v>
      </c>
      <c r="U47" s="71" t="s">
        <v>261</v>
      </c>
    </row>
    <row r="48" spans="1:21" ht="90" x14ac:dyDescent="0.25">
      <c r="A48" s="71" t="s">
        <v>81</v>
      </c>
      <c r="B48" s="71" t="s">
        <v>38</v>
      </c>
      <c r="C48" s="71">
        <v>1119</v>
      </c>
      <c r="D48" s="71" t="s">
        <v>174</v>
      </c>
      <c r="E48" s="71" t="s">
        <v>139</v>
      </c>
      <c r="F48" s="71" t="s">
        <v>140</v>
      </c>
      <c r="G48" s="71">
        <v>95060</v>
      </c>
      <c r="H48" s="71" t="s">
        <v>8</v>
      </c>
      <c r="I48" s="71" t="s">
        <v>474</v>
      </c>
      <c r="J48" s="72">
        <v>6200</v>
      </c>
      <c r="K48" s="73">
        <v>0.89</v>
      </c>
      <c r="L48" s="71" t="s">
        <v>5</v>
      </c>
      <c r="M48" s="71" t="s">
        <v>20</v>
      </c>
      <c r="N48" s="71" t="s">
        <v>21</v>
      </c>
      <c r="O48" s="77" t="s">
        <v>135</v>
      </c>
      <c r="P48" s="71" t="s">
        <v>475</v>
      </c>
      <c r="Q48" s="71">
        <v>0.52</v>
      </c>
      <c r="R48" s="74">
        <f>K48</f>
        <v>0.89</v>
      </c>
      <c r="S48" s="71">
        <v>36.972224190831099</v>
      </c>
      <c r="T48" s="71">
        <v>-122.025650739669</v>
      </c>
      <c r="U48" s="71" t="s">
        <v>267</v>
      </c>
    </row>
    <row r="49" spans="1:21" ht="90" x14ac:dyDescent="0.25">
      <c r="A49" s="71" t="s">
        <v>81</v>
      </c>
      <c r="B49" s="71" t="s">
        <v>38</v>
      </c>
      <c r="C49" s="71">
        <v>1200</v>
      </c>
      <c r="D49" s="71" t="s">
        <v>174</v>
      </c>
      <c r="E49" s="71" t="s">
        <v>139</v>
      </c>
      <c r="F49" s="71" t="s">
        <v>140</v>
      </c>
      <c r="G49" s="71">
        <v>95060</v>
      </c>
      <c r="H49" s="71" t="s">
        <v>24</v>
      </c>
      <c r="I49" s="71">
        <v>270</v>
      </c>
      <c r="J49" s="72">
        <v>3589</v>
      </c>
      <c r="K49" s="73">
        <v>1.75</v>
      </c>
      <c r="L49" s="71" t="s">
        <v>5</v>
      </c>
      <c r="M49" s="71" t="s">
        <v>25</v>
      </c>
      <c r="N49" s="71" t="s">
        <v>113</v>
      </c>
      <c r="O49" s="81" t="s">
        <v>17</v>
      </c>
      <c r="P49" s="71" t="s">
        <v>216</v>
      </c>
      <c r="R49" s="74">
        <f>K49</f>
        <v>1.75</v>
      </c>
      <c r="S49" s="71">
        <v>36.973400115966797</v>
      </c>
      <c r="T49" s="71">
        <v>-122.025550842285</v>
      </c>
      <c r="U49" s="71" t="s">
        <v>263</v>
      </c>
    </row>
    <row r="50" spans="1:21" s="81" customFormat="1" ht="90" x14ac:dyDescent="0.25">
      <c r="A50" s="81" t="s">
        <v>81</v>
      </c>
      <c r="B50" s="81" t="s">
        <v>38</v>
      </c>
      <c r="C50" s="81">
        <v>1200</v>
      </c>
      <c r="D50" s="81" t="s">
        <v>174</v>
      </c>
      <c r="E50" s="81" t="s">
        <v>139</v>
      </c>
      <c r="F50" s="81" t="s">
        <v>140</v>
      </c>
      <c r="G50" s="81">
        <v>95060</v>
      </c>
      <c r="H50" s="81" t="s">
        <v>8</v>
      </c>
      <c r="I50" s="81">
        <v>250</v>
      </c>
      <c r="J50" s="82">
        <v>3463</v>
      </c>
      <c r="K50" s="83">
        <v>1.75</v>
      </c>
      <c r="L50" s="81" t="s">
        <v>5</v>
      </c>
      <c r="M50" s="81" t="s">
        <v>25</v>
      </c>
      <c r="N50" s="81" t="s">
        <v>113</v>
      </c>
      <c r="O50" s="81" t="s">
        <v>17</v>
      </c>
      <c r="P50" s="81" t="s">
        <v>216</v>
      </c>
      <c r="R50" s="84">
        <f>K50</f>
        <v>1.75</v>
      </c>
      <c r="S50" s="81">
        <v>36.973400115966797</v>
      </c>
      <c r="T50" s="81">
        <v>-122.025550842285</v>
      </c>
      <c r="U50" s="81" t="s">
        <v>263</v>
      </c>
    </row>
    <row r="51" spans="1:21" ht="90" x14ac:dyDescent="0.25">
      <c r="A51" s="71" t="s">
        <v>81</v>
      </c>
      <c r="B51" s="71" t="s">
        <v>38</v>
      </c>
      <c r="C51" s="71">
        <v>1200</v>
      </c>
      <c r="D51" s="71" t="s">
        <v>174</v>
      </c>
      <c r="E51" s="71" t="s">
        <v>139</v>
      </c>
      <c r="F51" s="71" t="s">
        <v>140</v>
      </c>
      <c r="G51" s="71">
        <v>95060</v>
      </c>
      <c r="H51" s="71" t="s">
        <v>8</v>
      </c>
      <c r="I51" s="81">
        <v>290</v>
      </c>
      <c r="J51" s="72">
        <v>1542</v>
      </c>
      <c r="K51" s="73">
        <v>1.75</v>
      </c>
      <c r="L51" s="71" t="s">
        <v>5</v>
      </c>
      <c r="M51" s="71" t="s">
        <v>25</v>
      </c>
      <c r="N51" s="71" t="s">
        <v>113</v>
      </c>
      <c r="O51" s="81" t="s">
        <v>17</v>
      </c>
      <c r="P51" s="71" t="s">
        <v>231</v>
      </c>
      <c r="R51" s="74">
        <f>K51</f>
        <v>1.75</v>
      </c>
      <c r="S51" s="71">
        <v>36.973400115966797</v>
      </c>
      <c r="T51" s="71">
        <v>-122.025550842285</v>
      </c>
      <c r="U51" s="71" t="s">
        <v>263</v>
      </c>
    </row>
    <row r="52" spans="1:21" s="81" customFormat="1" ht="90" x14ac:dyDescent="0.25">
      <c r="A52" s="81" t="s">
        <v>81</v>
      </c>
      <c r="B52" s="81" t="s">
        <v>38</v>
      </c>
      <c r="C52" s="81">
        <v>1200</v>
      </c>
      <c r="D52" s="81" t="s">
        <v>174</v>
      </c>
      <c r="E52" s="81" t="s">
        <v>139</v>
      </c>
      <c r="F52" s="81" t="s">
        <v>140</v>
      </c>
      <c r="G52" s="81">
        <v>95060</v>
      </c>
      <c r="H52" s="81" t="s">
        <v>8</v>
      </c>
      <c r="I52" s="81">
        <v>310</v>
      </c>
      <c r="J52" s="82">
        <v>2295</v>
      </c>
      <c r="K52" s="83">
        <v>1.75</v>
      </c>
      <c r="L52" s="81" t="s">
        <v>5</v>
      </c>
      <c r="M52" s="81" t="s">
        <v>25</v>
      </c>
      <c r="N52" s="81" t="s">
        <v>113</v>
      </c>
      <c r="O52" s="81" t="s">
        <v>17</v>
      </c>
      <c r="P52" s="81" t="s">
        <v>231</v>
      </c>
      <c r="R52" s="84">
        <f>K52</f>
        <v>1.75</v>
      </c>
      <c r="S52" s="81">
        <v>36.973400115966797</v>
      </c>
      <c r="T52" s="81">
        <v>-122.025550842285</v>
      </c>
      <c r="U52" s="81" t="s">
        <v>263</v>
      </c>
    </row>
    <row r="53" spans="1:21" ht="90" x14ac:dyDescent="0.25">
      <c r="A53" s="71" t="s">
        <v>81</v>
      </c>
      <c r="B53" s="71" t="s">
        <v>38</v>
      </c>
      <c r="C53" s="71">
        <v>1205</v>
      </c>
      <c r="D53" s="71" t="s">
        <v>174</v>
      </c>
      <c r="E53" s="71" t="s">
        <v>139</v>
      </c>
      <c r="F53" s="71" t="s">
        <v>140</v>
      </c>
      <c r="G53" s="71">
        <v>95060</v>
      </c>
      <c r="H53" s="71" t="s">
        <v>24</v>
      </c>
      <c r="J53" s="72">
        <v>510</v>
      </c>
      <c r="K53" s="73">
        <v>1.5</v>
      </c>
      <c r="L53" s="71" t="s">
        <v>5</v>
      </c>
      <c r="M53" s="81" t="s">
        <v>26</v>
      </c>
      <c r="N53" s="81" t="s">
        <v>377</v>
      </c>
      <c r="O53" s="81" t="s">
        <v>376</v>
      </c>
      <c r="P53" s="71" t="s">
        <v>427</v>
      </c>
      <c r="R53" s="74">
        <f>K53</f>
        <v>1.5</v>
      </c>
      <c r="S53" s="71">
        <v>36.972884999999998</v>
      </c>
      <c r="T53" s="71">
        <v>-122.02594000000001</v>
      </c>
      <c r="U53" s="71" t="s">
        <v>428</v>
      </c>
    </row>
    <row r="54" spans="1:21" ht="90" x14ac:dyDescent="0.25">
      <c r="A54" s="81" t="s">
        <v>81</v>
      </c>
      <c r="B54" s="81" t="s">
        <v>38</v>
      </c>
      <c r="C54" s="81">
        <v>1319</v>
      </c>
      <c r="D54" s="81" t="s">
        <v>151</v>
      </c>
      <c r="E54" s="81" t="s">
        <v>139</v>
      </c>
      <c r="F54" s="81" t="s">
        <v>140</v>
      </c>
      <c r="G54" s="81">
        <v>95060</v>
      </c>
      <c r="H54" s="81" t="s">
        <v>8</v>
      </c>
      <c r="I54" s="81" t="s">
        <v>156</v>
      </c>
      <c r="J54" s="82">
        <v>1380</v>
      </c>
      <c r="K54" s="83">
        <v>1.35</v>
      </c>
      <c r="L54" s="81" t="s">
        <v>5</v>
      </c>
      <c r="M54" s="81" t="s">
        <v>159</v>
      </c>
      <c r="N54" s="81" t="s">
        <v>153</v>
      </c>
      <c r="O54" s="76" t="s">
        <v>160</v>
      </c>
      <c r="P54" s="81"/>
      <c r="Q54" s="81"/>
      <c r="R54" s="84">
        <v>1.35</v>
      </c>
      <c r="S54" s="81">
        <v>36.973777770996101</v>
      </c>
      <c r="T54" s="81">
        <v>-122.02630615234401</v>
      </c>
      <c r="U54" s="71" t="s">
        <v>266</v>
      </c>
    </row>
    <row r="55" spans="1:21" ht="90" x14ac:dyDescent="0.25">
      <c r="A55" s="71" t="s">
        <v>81</v>
      </c>
      <c r="B55" s="71" t="s">
        <v>38</v>
      </c>
      <c r="C55" s="71">
        <v>1339</v>
      </c>
      <c r="D55" s="71" t="s">
        <v>174</v>
      </c>
      <c r="E55" s="71" t="s">
        <v>139</v>
      </c>
      <c r="F55" s="71" t="s">
        <v>140</v>
      </c>
      <c r="G55" s="71">
        <v>95060</v>
      </c>
      <c r="H55" s="71" t="s">
        <v>2</v>
      </c>
      <c r="J55" s="72">
        <v>5000</v>
      </c>
      <c r="K55" s="73">
        <v>2.35</v>
      </c>
      <c r="L55" s="71" t="s">
        <v>6</v>
      </c>
      <c r="M55" s="71" t="s">
        <v>234</v>
      </c>
      <c r="N55" s="71" t="s">
        <v>235</v>
      </c>
      <c r="O55" s="81"/>
      <c r="Q55" s="71">
        <v>0.16</v>
      </c>
      <c r="R55" s="74">
        <v>2.35</v>
      </c>
      <c r="S55" s="71">
        <v>36.973987579345703</v>
      </c>
      <c r="T55" s="71">
        <v>-122.02642822265599</v>
      </c>
      <c r="U55" s="71" t="s">
        <v>264</v>
      </c>
    </row>
    <row r="56" spans="1:21" ht="90" x14ac:dyDescent="0.25">
      <c r="A56" s="71" t="s">
        <v>81</v>
      </c>
      <c r="B56" s="71" t="s">
        <v>38</v>
      </c>
      <c r="C56" s="71">
        <v>1349</v>
      </c>
      <c r="D56" s="71" t="s">
        <v>174</v>
      </c>
      <c r="E56" s="71" t="s">
        <v>139</v>
      </c>
      <c r="F56" s="71" t="s">
        <v>140</v>
      </c>
      <c r="G56" s="71">
        <v>95060</v>
      </c>
      <c r="H56" s="71" t="s">
        <v>7</v>
      </c>
      <c r="I56" s="81"/>
      <c r="J56" s="72">
        <v>1800</v>
      </c>
      <c r="K56" s="73">
        <v>2.75</v>
      </c>
      <c r="L56" s="71" t="s">
        <v>5</v>
      </c>
      <c r="M56" s="71" t="s">
        <v>110</v>
      </c>
      <c r="N56" s="71" t="s">
        <v>111</v>
      </c>
      <c r="O56" s="76" t="s">
        <v>112</v>
      </c>
      <c r="R56" s="74">
        <f>K56</f>
        <v>2.75</v>
      </c>
      <c r="S56" s="71">
        <v>36.974097999999998</v>
      </c>
      <c r="T56" s="71">
        <v>-122.026535</v>
      </c>
      <c r="U56" s="71" t="s">
        <v>262</v>
      </c>
    </row>
    <row r="57" spans="1:21" ht="90" x14ac:dyDescent="0.25">
      <c r="A57" s="71" t="s">
        <v>81</v>
      </c>
      <c r="B57" s="71" t="s">
        <v>38</v>
      </c>
      <c r="C57" s="71">
        <v>1364</v>
      </c>
      <c r="D57" s="71" t="s">
        <v>174</v>
      </c>
      <c r="E57" s="71" t="s">
        <v>139</v>
      </c>
      <c r="F57" s="71" t="s">
        <v>140</v>
      </c>
      <c r="G57" s="71">
        <v>95060</v>
      </c>
      <c r="H57" s="71" t="s">
        <v>2</v>
      </c>
      <c r="I57" s="81"/>
      <c r="J57" s="72">
        <v>1500</v>
      </c>
      <c r="K57" s="73">
        <v>3</v>
      </c>
      <c r="L57" s="71" t="s">
        <v>5</v>
      </c>
      <c r="M57" s="71" t="s">
        <v>92</v>
      </c>
      <c r="N57" s="81" t="s">
        <v>93</v>
      </c>
      <c r="O57" s="81" t="s">
        <v>9</v>
      </c>
      <c r="R57" s="74">
        <f>K57</f>
        <v>3</v>
      </c>
      <c r="S57" s="71">
        <v>36.974674</v>
      </c>
      <c r="T57" s="71">
        <v>-122.026335</v>
      </c>
      <c r="U57" s="71" t="s">
        <v>429</v>
      </c>
    </row>
    <row r="58" spans="1:21" ht="90" x14ac:dyDescent="0.25">
      <c r="A58" s="71" t="s">
        <v>81</v>
      </c>
      <c r="B58" s="71" t="s">
        <v>38</v>
      </c>
      <c r="C58" s="71">
        <v>1367</v>
      </c>
      <c r="D58" s="71" t="s">
        <v>174</v>
      </c>
      <c r="E58" s="71" t="s">
        <v>139</v>
      </c>
      <c r="F58" s="71" t="s">
        <v>140</v>
      </c>
      <c r="G58" s="71">
        <v>95060</v>
      </c>
      <c r="H58" s="71" t="s">
        <v>24</v>
      </c>
      <c r="I58" s="81" t="s">
        <v>156</v>
      </c>
      <c r="J58" s="72">
        <v>16815</v>
      </c>
      <c r="K58" s="73">
        <v>1.65</v>
      </c>
      <c r="L58" s="71" t="s">
        <v>5</v>
      </c>
      <c r="M58" s="71" t="s">
        <v>26</v>
      </c>
      <c r="N58" s="81" t="s">
        <v>377</v>
      </c>
      <c r="O58" s="81" t="s">
        <v>376</v>
      </c>
      <c r="P58" s="71" t="s">
        <v>30</v>
      </c>
      <c r="R58" s="74">
        <f>K58</f>
        <v>1.65</v>
      </c>
      <c r="S58" s="71">
        <v>36.974271386861801</v>
      </c>
      <c r="T58" s="71">
        <v>-122.026277035474</v>
      </c>
      <c r="U58" s="71" t="s">
        <v>265</v>
      </c>
    </row>
    <row r="59" spans="1:21" ht="90" x14ac:dyDescent="0.25">
      <c r="A59" s="71" t="s">
        <v>81</v>
      </c>
      <c r="B59" s="71" t="s">
        <v>38</v>
      </c>
      <c r="C59" s="71">
        <v>1367</v>
      </c>
      <c r="D59" s="71" t="s">
        <v>174</v>
      </c>
      <c r="E59" s="71" t="s">
        <v>139</v>
      </c>
      <c r="F59" s="71" t="s">
        <v>140</v>
      </c>
      <c r="G59" s="71">
        <v>95060</v>
      </c>
      <c r="H59" s="71" t="s">
        <v>24</v>
      </c>
      <c r="I59" s="71" t="s">
        <v>157</v>
      </c>
      <c r="J59" s="72">
        <v>17746</v>
      </c>
      <c r="K59" s="73">
        <v>1.65</v>
      </c>
      <c r="L59" s="71" t="s">
        <v>5</v>
      </c>
      <c r="M59" s="71" t="s">
        <v>26</v>
      </c>
      <c r="N59" s="81" t="s">
        <v>377</v>
      </c>
      <c r="O59" s="81" t="s">
        <v>376</v>
      </c>
      <c r="P59" s="71" t="s">
        <v>30</v>
      </c>
      <c r="R59" s="74">
        <f>K59</f>
        <v>1.65</v>
      </c>
      <c r="S59" s="71">
        <v>36.974271386861801</v>
      </c>
      <c r="T59" s="71">
        <v>-122.026277035474</v>
      </c>
      <c r="U59" s="71" t="s">
        <v>265</v>
      </c>
    </row>
    <row r="60" spans="1:21" ht="90" x14ac:dyDescent="0.25">
      <c r="A60" s="71" t="s">
        <v>81</v>
      </c>
      <c r="B60" s="71" t="s">
        <v>38</v>
      </c>
      <c r="C60" s="71">
        <v>1367</v>
      </c>
      <c r="D60" s="71" t="s">
        <v>174</v>
      </c>
      <c r="E60" s="71" t="s">
        <v>139</v>
      </c>
      <c r="F60" s="71" t="s">
        <v>140</v>
      </c>
      <c r="G60" s="71">
        <v>95060</v>
      </c>
      <c r="H60" s="71" t="s">
        <v>24</v>
      </c>
      <c r="I60" s="81" t="s">
        <v>155</v>
      </c>
      <c r="J60" s="72">
        <v>12675</v>
      </c>
      <c r="K60" s="73">
        <v>1.65</v>
      </c>
      <c r="L60" s="71" t="s">
        <v>5</v>
      </c>
      <c r="M60" s="71" t="s">
        <v>26</v>
      </c>
      <c r="N60" s="81" t="s">
        <v>377</v>
      </c>
      <c r="O60" s="81" t="s">
        <v>376</v>
      </c>
      <c r="P60" s="71" t="s">
        <v>30</v>
      </c>
      <c r="R60" s="74">
        <f>K60</f>
        <v>1.65</v>
      </c>
      <c r="S60" s="71">
        <v>36.974271386861801</v>
      </c>
      <c r="T60" s="81">
        <v>-122.026277035474</v>
      </c>
      <c r="U60" s="71" t="s">
        <v>265</v>
      </c>
    </row>
    <row r="61" spans="1:21" ht="90" x14ac:dyDescent="0.25">
      <c r="A61" s="81" t="s">
        <v>81</v>
      </c>
      <c r="B61" s="71" t="s">
        <v>38</v>
      </c>
      <c r="C61" s="71">
        <v>1367</v>
      </c>
      <c r="D61" s="71" t="s">
        <v>174</v>
      </c>
      <c r="E61" s="71" t="s">
        <v>139</v>
      </c>
      <c r="F61" s="71" t="s">
        <v>140</v>
      </c>
      <c r="G61" s="71">
        <v>95060</v>
      </c>
      <c r="H61" s="71" t="s">
        <v>7</v>
      </c>
      <c r="I61" s="81" t="s">
        <v>158</v>
      </c>
      <c r="J61" s="72">
        <v>14945</v>
      </c>
      <c r="K61" s="73">
        <v>4</v>
      </c>
      <c r="L61" s="71" t="s">
        <v>5</v>
      </c>
      <c r="M61" s="71" t="s">
        <v>132</v>
      </c>
      <c r="N61" s="71" t="s">
        <v>27</v>
      </c>
      <c r="O61" s="81" t="s">
        <v>28</v>
      </c>
      <c r="P61" s="71" t="s">
        <v>143</v>
      </c>
      <c r="R61" s="74">
        <v>4</v>
      </c>
      <c r="S61" s="71">
        <v>36.974271386861801</v>
      </c>
      <c r="T61" s="81">
        <v>-122.026277035474</v>
      </c>
      <c r="U61" s="71" t="s">
        <v>265</v>
      </c>
    </row>
    <row r="62" spans="1:21" s="81" customFormat="1" ht="90" x14ac:dyDescent="0.25">
      <c r="A62" s="81" t="s">
        <v>81</v>
      </c>
      <c r="B62" s="81" t="s">
        <v>38</v>
      </c>
      <c r="C62" s="81">
        <v>1520</v>
      </c>
      <c r="D62" s="81" t="s">
        <v>174</v>
      </c>
      <c r="E62" s="81" t="s">
        <v>139</v>
      </c>
      <c r="F62" s="81" t="s">
        <v>140</v>
      </c>
      <c r="G62" s="81">
        <v>95060</v>
      </c>
      <c r="H62" s="81" t="s">
        <v>487</v>
      </c>
      <c r="I62" s="81" t="s">
        <v>492</v>
      </c>
      <c r="J62" s="82">
        <v>60</v>
      </c>
      <c r="K62" s="83">
        <v>200</v>
      </c>
      <c r="M62" s="81" t="s">
        <v>488</v>
      </c>
      <c r="N62" s="81" t="s">
        <v>489</v>
      </c>
      <c r="O62" s="76" t="s">
        <v>490</v>
      </c>
      <c r="P62" s="81" t="s">
        <v>491</v>
      </c>
      <c r="R62" s="84">
        <f>K62/J62</f>
        <v>3.3333333333333335</v>
      </c>
      <c r="S62" s="81">
        <v>36.975445999999998</v>
      </c>
      <c r="T62" s="81">
        <v>-122.02643</v>
      </c>
      <c r="U62" s="81" t="s">
        <v>493</v>
      </c>
    </row>
    <row r="63" spans="1:21" ht="30" x14ac:dyDescent="0.25">
      <c r="A63" s="81" t="s">
        <v>81</v>
      </c>
      <c r="B63" s="71" t="s">
        <v>38</v>
      </c>
      <c r="C63" s="71">
        <v>1521</v>
      </c>
      <c r="D63" s="71" t="s">
        <v>174</v>
      </c>
      <c r="E63" s="71" t="s">
        <v>139</v>
      </c>
      <c r="F63" s="71" t="s">
        <v>140</v>
      </c>
      <c r="G63" s="71">
        <v>95060</v>
      </c>
      <c r="H63" s="71" t="s">
        <v>8</v>
      </c>
      <c r="I63" s="81" t="s">
        <v>156</v>
      </c>
      <c r="J63" s="72">
        <v>2863</v>
      </c>
      <c r="K63" s="73">
        <v>1.4</v>
      </c>
      <c r="L63" s="71" t="s">
        <v>10</v>
      </c>
      <c r="M63" s="71" t="s">
        <v>35</v>
      </c>
      <c r="N63" s="81" t="s">
        <v>36</v>
      </c>
      <c r="O63" s="81" t="s">
        <v>37</v>
      </c>
      <c r="R63" s="74">
        <v>1.4</v>
      </c>
      <c r="S63" s="71">
        <v>36.9740180969238</v>
      </c>
      <c r="T63" s="81">
        <v>-122.030952453613</v>
      </c>
      <c r="U63" s="71" t="s">
        <v>259</v>
      </c>
    </row>
    <row r="64" spans="1:21" ht="60" x14ac:dyDescent="0.25">
      <c r="A64" s="81" t="s">
        <v>81</v>
      </c>
      <c r="B64" s="71" t="s">
        <v>175</v>
      </c>
      <c r="C64" s="71">
        <v>55</v>
      </c>
      <c r="D64" s="71" t="s">
        <v>175</v>
      </c>
      <c r="E64" s="71" t="s">
        <v>139</v>
      </c>
      <c r="F64" s="71" t="s">
        <v>140</v>
      </c>
      <c r="G64" s="71">
        <v>95060</v>
      </c>
      <c r="H64" s="71" t="s">
        <v>8</v>
      </c>
      <c r="I64" s="82">
        <v>230</v>
      </c>
      <c r="J64" s="72">
        <v>1600</v>
      </c>
      <c r="K64" s="73">
        <v>1.6</v>
      </c>
      <c r="L64" s="71" t="s">
        <v>5</v>
      </c>
      <c r="M64" s="71" t="s">
        <v>44</v>
      </c>
      <c r="N64" s="71" t="s">
        <v>45</v>
      </c>
      <c r="O64" s="81" t="s">
        <v>46</v>
      </c>
      <c r="P64" s="71" t="s">
        <v>127</v>
      </c>
      <c r="R64" s="74">
        <f>K64</f>
        <v>1.6</v>
      </c>
      <c r="S64" s="71">
        <v>36.976634979247997</v>
      </c>
      <c r="T64" s="81">
        <v>-122.025634765625</v>
      </c>
      <c r="U64" s="71" t="s">
        <v>268</v>
      </c>
    </row>
    <row r="65" spans="1:21" ht="105" x14ac:dyDescent="0.25">
      <c r="A65" s="81" t="s">
        <v>82</v>
      </c>
      <c r="B65" s="71" t="s">
        <v>106</v>
      </c>
      <c r="C65" s="71">
        <v>115</v>
      </c>
      <c r="D65" s="71" t="s">
        <v>179</v>
      </c>
      <c r="E65" s="71" t="s">
        <v>139</v>
      </c>
      <c r="F65" s="71" t="s">
        <v>140</v>
      </c>
      <c r="G65" s="71">
        <v>95060</v>
      </c>
      <c r="H65" s="71" t="s">
        <v>48</v>
      </c>
      <c r="J65" s="72">
        <v>4200</v>
      </c>
      <c r="K65" s="73">
        <v>1</v>
      </c>
      <c r="L65" s="81" t="s">
        <v>10</v>
      </c>
      <c r="M65" s="71" t="s">
        <v>61</v>
      </c>
      <c r="N65" s="71" t="s">
        <v>134</v>
      </c>
      <c r="O65" s="81" t="s">
        <v>133</v>
      </c>
      <c r="R65" s="74">
        <f>K65</f>
        <v>1</v>
      </c>
      <c r="S65" s="71">
        <v>36.983203887939503</v>
      </c>
      <c r="T65" s="81">
        <v>-122.03359985351599</v>
      </c>
      <c r="U65" s="71" t="s">
        <v>276</v>
      </c>
    </row>
    <row r="66" spans="1:21" ht="105" x14ac:dyDescent="0.25">
      <c r="A66" s="81" t="s">
        <v>82</v>
      </c>
      <c r="B66" s="71" t="s">
        <v>106</v>
      </c>
      <c r="C66" s="71">
        <v>151</v>
      </c>
      <c r="D66" s="71" t="s">
        <v>179</v>
      </c>
      <c r="E66" s="71" t="s">
        <v>139</v>
      </c>
      <c r="F66" s="71" t="s">
        <v>140</v>
      </c>
      <c r="G66" s="71">
        <v>95060</v>
      </c>
      <c r="H66" s="71" t="s">
        <v>69</v>
      </c>
      <c r="I66" s="81"/>
      <c r="J66" s="72">
        <v>14000</v>
      </c>
      <c r="K66" s="73">
        <v>1</v>
      </c>
      <c r="L66" s="71" t="s">
        <v>88</v>
      </c>
      <c r="M66" s="71" t="s">
        <v>25</v>
      </c>
      <c r="N66" s="81" t="s">
        <v>113</v>
      </c>
      <c r="O66" s="81" t="s">
        <v>17</v>
      </c>
      <c r="R66" s="74">
        <f>K66</f>
        <v>1</v>
      </c>
      <c r="S66" s="71">
        <v>36.983207702636697</v>
      </c>
      <c r="T66" s="81">
        <v>-122.0341796875</v>
      </c>
      <c r="U66" s="71" t="s">
        <v>277</v>
      </c>
    </row>
    <row r="67" spans="1:21" s="81" customFormat="1" ht="105" x14ac:dyDescent="0.25">
      <c r="A67" s="81" t="s">
        <v>82</v>
      </c>
      <c r="B67" s="81" t="s">
        <v>106</v>
      </c>
      <c r="C67" s="81">
        <v>298</v>
      </c>
      <c r="D67" s="81" t="s">
        <v>179</v>
      </c>
      <c r="E67" s="81" t="s">
        <v>139</v>
      </c>
      <c r="F67" s="81" t="s">
        <v>140</v>
      </c>
      <c r="G67" s="81">
        <v>95060</v>
      </c>
      <c r="H67" s="81" t="s">
        <v>69</v>
      </c>
      <c r="J67" s="82">
        <v>10700</v>
      </c>
      <c r="K67" s="83">
        <v>0.95</v>
      </c>
      <c r="L67" s="84" t="s">
        <v>5</v>
      </c>
      <c r="M67" s="81" t="s">
        <v>99</v>
      </c>
      <c r="N67" s="81" t="s">
        <v>93</v>
      </c>
      <c r="O67" s="81" t="s">
        <v>9</v>
      </c>
      <c r="P67" s="81" t="s">
        <v>495</v>
      </c>
      <c r="R67" s="84">
        <f>K67</f>
        <v>0.95</v>
      </c>
      <c r="S67" s="81">
        <v>36.985080718994098</v>
      </c>
      <c r="T67" s="81">
        <v>-122.039009094238</v>
      </c>
      <c r="U67" s="81" t="s">
        <v>279</v>
      </c>
    </row>
    <row r="68" spans="1:21" ht="60" x14ac:dyDescent="0.25">
      <c r="A68" s="71" t="s">
        <v>82</v>
      </c>
      <c r="B68" s="71" t="s">
        <v>106</v>
      </c>
      <c r="C68" s="71">
        <v>375</v>
      </c>
      <c r="D68" s="71" t="s">
        <v>183</v>
      </c>
      <c r="E68" s="71" t="s">
        <v>139</v>
      </c>
      <c r="F68" s="71" t="s">
        <v>140</v>
      </c>
      <c r="G68" s="71">
        <v>95060</v>
      </c>
      <c r="H68" s="71" t="s">
        <v>69</v>
      </c>
      <c r="J68" s="72">
        <v>1112</v>
      </c>
      <c r="K68" s="73">
        <v>0.95</v>
      </c>
      <c r="L68" s="81" t="s">
        <v>5</v>
      </c>
      <c r="M68" s="71" t="s">
        <v>333</v>
      </c>
      <c r="N68" s="81" t="s">
        <v>375</v>
      </c>
      <c r="O68" s="71" t="s">
        <v>374</v>
      </c>
      <c r="P68" s="71" t="s">
        <v>370</v>
      </c>
      <c r="R68" s="74">
        <v>1.03</v>
      </c>
      <c r="S68" s="71">
        <v>36.980936</v>
      </c>
      <c r="T68" s="81">
        <v>-122.033213</v>
      </c>
      <c r="U68" s="71" t="s">
        <v>390</v>
      </c>
    </row>
    <row r="69" spans="1:21" ht="60" x14ac:dyDescent="0.25">
      <c r="A69" s="81" t="s">
        <v>82</v>
      </c>
      <c r="B69" s="71" t="s">
        <v>106</v>
      </c>
      <c r="C69" s="71">
        <v>397</v>
      </c>
      <c r="D69" s="71" t="s">
        <v>183</v>
      </c>
      <c r="E69" s="71" t="s">
        <v>139</v>
      </c>
      <c r="F69" s="71" t="s">
        <v>140</v>
      </c>
      <c r="G69" s="71">
        <v>95060</v>
      </c>
      <c r="H69" s="71" t="s">
        <v>69</v>
      </c>
      <c r="I69" s="71" t="s">
        <v>50</v>
      </c>
      <c r="J69" s="72">
        <v>775</v>
      </c>
      <c r="K69" s="73" t="s">
        <v>371</v>
      </c>
      <c r="L69" s="81" t="s">
        <v>5</v>
      </c>
      <c r="M69" s="71" t="s">
        <v>333</v>
      </c>
      <c r="N69" s="71" t="s">
        <v>375</v>
      </c>
      <c r="O69" s="81" t="s">
        <v>374</v>
      </c>
      <c r="P69" s="71" t="s">
        <v>373</v>
      </c>
      <c r="R69" s="74">
        <v>0</v>
      </c>
      <c r="S69" s="71">
        <v>36.980673000000003</v>
      </c>
      <c r="T69" s="84">
        <v>-122.033317</v>
      </c>
      <c r="U69" s="71" t="s">
        <v>391</v>
      </c>
    </row>
    <row r="70" spans="1:21" ht="75" x14ac:dyDescent="0.25">
      <c r="A70" s="71" t="s">
        <v>82</v>
      </c>
      <c r="B70" s="71" t="s">
        <v>115</v>
      </c>
      <c r="C70" s="71">
        <v>1319</v>
      </c>
      <c r="D70" s="71" t="s">
        <v>177</v>
      </c>
      <c r="E70" s="71" t="s">
        <v>139</v>
      </c>
      <c r="F70" s="71" t="s">
        <v>312</v>
      </c>
      <c r="G70" s="71">
        <v>95060</v>
      </c>
      <c r="H70" s="71" t="s">
        <v>84</v>
      </c>
      <c r="J70" s="72">
        <v>1500</v>
      </c>
      <c r="K70" s="73">
        <v>1.25</v>
      </c>
      <c r="L70" s="71" t="s">
        <v>6</v>
      </c>
      <c r="M70" s="71" t="s">
        <v>44</v>
      </c>
      <c r="N70" s="81" t="s">
        <v>45</v>
      </c>
      <c r="O70" s="81" t="s">
        <v>346</v>
      </c>
      <c r="P70" s="71" t="s">
        <v>494</v>
      </c>
      <c r="R70" s="74">
        <v>1.25</v>
      </c>
      <c r="S70" s="71">
        <v>36.991219000000001</v>
      </c>
      <c r="T70" s="81">
        <v>-122.032591</v>
      </c>
      <c r="U70" s="71" t="s">
        <v>393</v>
      </c>
    </row>
    <row r="71" spans="1:21" ht="75" x14ac:dyDescent="0.25">
      <c r="A71" s="81" t="s">
        <v>82</v>
      </c>
      <c r="B71" s="81" t="s">
        <v>115</v>
      </c>
      <c r="C71" s="71">
        <v>1321</v>
      </c>
      <c r="D71" s="71" t="s">
        <v>177</v>
      </c>
      <c r="E71" s="71" t="s">
        <v>139</v>
      </c>
      <c r="F71" s="71" t="s">
        <v>312</v>
      </c>
      <c r="G71" s="71">
        <v>95060</v>
      </c>
      <c r="H71" s="71" t="s">
        <v>84</v>
      </c>
      <c r="I71" s="81"/>
      <c r="J71" s="72">
        <v>1500</v>
      </c>
      <c r="K71" s="73">
        <v>1.25</v>
      </c>
      <c r="L71" s="71" t="s">
        <v>6</v>
      </c>
      <c r="M71" s="71" t="s">
        <v>44</v>
      </c>
      <c r="N71" s="81" t="s">
        <v>45</v>
      </c>
      <c r="O71" s="81" t="s">
        <v>346</v>
      </c>
      <c r="P71" s="81" t="s">
        <v>494</v>
      </c>
      <c r="R71" s="74">
        <v>1.25</v>
      </c>
      <c r="S71" s="71">
        <v>36.991059</v>
      </c>
      <c r="T71" s="81">
        <v>-122.03300400000001</v>
      </c>
      <c r="U71" s="71" t="s">
        <v>394</v>
      </c>
    </row>
    <row r="72" spans="1:21" ht="42.75" customHeight="1" x14ac:dyDescent="0.25">
      <c r="A72" s="81" t="s">
        <v>82</v>
      </c>
      <c r="B72" s="81" t="s">
        <v>115</v>
      </c>
      <c r="C72" s="81">
        <v>1323</v>
      </c>
      <c r="D72" s="81" t="s">
        <v>177</v>
      </c>
      <c r="E72" s="81" t="s">
        <v>139</v>
      </c>
      <c r="F72" s="81" t="s">
        <v>312</v>
      </c>
      <c r="G72" s="81">
        <v>95060</v>
      </c>
      <c r="H72" s="81" t="s">
        <v>84</v>
      </c>
      <c r="I72" s="81"/>
      <c r="J72" s="82">
        <v>1500</v>
      </c>
      <c r="K72" s="83">
        <v>1.25</v>
      </c>
      <c r="L72" s="81" t="s">
        <v>6</v>
      </c>
      <c r="M72" s="81" t="s">
        <v>44</v>
      </c>
      <c r="N72" s="81" t="s">
        <v>45</v>
      </c>
      <c r="O72" s="81" t="s">
        <v>346</v>
      </c>
      <c r="P72" s="81" t="s">
        <v>494</v>
      </c>
      <c r="Q72" s="81"/>
      <c r="R72" s="84">
        <v>1.25</v>
      </c>
      <c r="S72" s="81">
        <v>36.991301999999997</v>
      </c>
      <c r="T72" s="81">
        <v>-122.032663</v>
      </c>
      <c r="U72" s="71" t="s">
        <v>395</v>
      </c>
    </row>
    <row r="73" spans="1:21" ht="90" x14ac:dyDescent="0.25">
      <c r="A73" s="81" t="s">
        <v>82</v>
      </c>
      <c r="B73" s="81" t="s">
        <v>83</v>
      </c>
      <c r="C73" s="71">
        <v>125</v>
      </c>
      <c r="D73" s="71" t="s">
        <v>188</v>
      </c>
      <c r="E73" s="71" t="s">
        <v>139</v>
      </c>
      <c r="F73" s="71" t="s">
        <v>140</v>
      </c>
      <c r="G73" s="71">
        <v>95060</v>
      </c>
      <c r="H73" s="71" t="s">
        <v>82</v>
      </c>
      <c r="J73" s="72">
        <v>10500</v>
      </c>
      <c r="K73" s="73">
        <v>1.25</v>
      </c>
      <c r="L73" s="71" t="s">
        <v>5</v>
      </c>
      <c r="M73" s="71" t="s">
        <v>95</v>
      </c>
      <c r="N73" s="80" t="s">
        <v>243</v>
      </c>
      <c r="O73" s="81" t="s">
        <v>94</v>
      </c>
      <c r="P73" s="81"/>
      <c r="R73" s="74">
        <f>K73</f>
        <v>1.25</v>
      </c>
      <c r="S73" s="71">
        <v>36.959987640380803</v>
      </c>
      <c r="T73" s="81">
        <v>-122.04728698730401</v>
      </c>
      <c r="U73" s="71" t="s">
        <v>295</v>
      </c>
    </row>
    <row r="74" spans="1:21" ht="60" x14ac:dyDescent="0.25">
      <c r="A74" s="71" t="s">
        <v>82</v>
      </c>
      <c r="B74" s="71" t="s">
        <v>83</v>
      </c>
      <c r="C74" s="71">
        <v>511</v>
      </c>
      <c r="D74" s="71" t="s">
        <v>190</v>
      </c>
      <c r="E74" s="71" t="s">
        <v>139</v>
      </c>
      <c r="F74" s="71" t="s">
        <v>140</v>
      </c>
      <c r="G74" s="71">
        <v>95060</v>
      </c>
      <c r="H74" s="71" t="s">
        <v>51</v>
      </c>
      <c r="I74" s="81"/>
      <c r="J74" s="72">
        <v>1425</v>
      </c>
      <c r="K74" s="73">
        <v>1800</v>
      </c>
      <c r="L74" s="71" t="s">
        <v>5</v>
      </c>
      <c r="M74" s="71" t="s">
        <v>103</v>
      </c>
      <c r="N74" s="81" t="s">
        <v>104</v>
      </c>
      <c r="O74" s="76" t="s">
        <v>105</v>
      </c>
      <c r="P74" s="71" t="s">
        <v>91</v>
      </c>
      <c r="R74" s="74">
        <f>K74/J74</f>
        <v>1.263157894736842</v>
      </c>
      <c r="S74" s="71">
        <v>36.956935882568402</v>
      </c>
      <c r="T74" s="81">
        <v>-122.049362182617</v>
      </c>
      <c r="U74" s="71" t="s">
        <v>304</v>
      </c>
    </row>
    <row r="75" spans="1:21" ht="73.5" customHeight="1" x14ac:dyDescent="0.25">
      <c r="A75" s="81" t="s">
        <v>82</v>
      </c>
      <c r="B75" s="81" t="s">
        <v>83</v>
      </c>
      <c r="C75" s="81">
        <v>820</v>
      </c>
      <c r="D75" s="81" t="s">
        <v>190</v>
      </c>
      <c r="E75" s="81" t="s">
        <v>139</v>
      </c>
      <c r="F75" s="81" t="s">
        <v>140</v>
      </c>
      <c r="G75" s="81">
        <v>95060</v>
      </c>
      <c r="H75" s="81" t="s">
        <v>82</v>
      </c>
      <c r="I75" s="81"/>
      <c r="J75" s="82">
        <v>4000</v>
      </c>
      <c r="K75" s="83">
        <v>0.9</v>
      </c>
      <c r="L75" s="81"/>
      <c r="M75" s="81" t="s">
        <v>378</v>
      </c>
      <c r="N75" s="81" t="s">
        <v>243</v>
      </c>
      <c r="O75" s="76" t="s">
        <v>94</v>
      </c>
      <c r="P75" s="81" t="s">
        <v>379</v>
      </c>
      <c r="Q75" s="81"/>
      <c r="R75" s="84">
        <v>0.9</v>
      </c>
      <c r="S75" s="81">
        <v>36.959769000000001</v>
      </c>
      <c r="T75" s="81">
        <v>-122.048873</v>
      </c>
      <c r="U75" s="81" t="s">
        <v>396</v>
      </c>
    </row>
    <row r="76" spans="1:21" ht="90" x14ac:dyDescent="0.25">
      <c r="A76" s="81" t="s">
        <v>82</v>
      </c>
      <c r="B76" s="71" t="s">
        <v>83</v>
      </c>
      <c r="C76" s="71">
        <v>831</v>
      </c>
      <c r="D76" s="71" t="s">
        <v>193</v>
      </c>
      <c r="E76" s="71" t="s">
        <v>139</v>
      </c>
      <c r="F76" s="71" t="s">
        <v>140</v>
      </c>
      <c r="G76" s="71">
        <v>95060</v>
      </c>
      <c r="H76" s="71" t="s">
        <v>84</v>
      </c>
      <c r="J76" s="72">
        <v>44825</v>
      </c>
      <c r="K76" s="73">
        <v>1</v>
      </c>
      <c r="L76" s="81" t="s">
        <v>5</v>
      </c>
      <c r="M76" s="71" t="s">
        <v>25</v>
      </c>
      <c r="N76" s="81" t="s">
        <v>113</v>
      </c>
      <c r="O76" s="81" t="s">
        <v>17</v>
      </c>
      <c r="P76" s="84" t="s">
        <v>86</v>
      </c>
      <c r="R76" s="74">
        <f>K76</f>
        <v>1</v>
      </c>
      <c r="S76" s="71">
        <v>36.960563659667997</v>
      </c>
      <c r="T76" s="81">
        <v>-122.044227600098</v>
      </c>
      <c r="U76" s="71" t="s">
        <v>289</v>
      </c>
    </row>
    <row r="77" spans="1:21" ht="75" x14ac:dyDescent="0.25">
      <c r="A77" s="81" t="s">
        <v>82</v>
      </c>
      <c r="B77" s="71" t="s">
        <v>83</v>
      </c>
      <c r="C77" s="71">
        <v>1201</v>
      </c>
      <c r="D77" s="71" t="s">
        <v>192</v>
      </c>
      <c r="E77" s="71" t="s">
        <v>139</v>
      </c>
      <c r="F77" s="71" t="s">
        <v>140</v>
      </c>
      <c r="G77" s="71">
        <v>95060</v>
      </c>
      <c r="H77" s="71" t="s">
        <v>85</v>
      </c>
      <c r="J77" s="72">
        <v>4099</v>
      </c>
      <c r="K77" s="73">
        <v>0.8</v>
      </c>
      <c r="L77" s="71" t="s">
        <v>88</v>
      </c>
      <c r="M77" s="71" t="s">
        <v>31</v>
      </c>
      <c r="N77" s="81" t="s">
        <v>32</v>
      </c>
      <c r="O77" s="81" t="s">
        <v>313</v>
      </c>
      <c r="P77" s="71" t="s">
        <v>472</v>
      </c>
      <c r="R77" s="74">
        <v>0.8</v>
      </c>
      <c r="S77" s="71">
        <v>36.95854568</v>
      </c>
      <c r="T77" s="81">
        <v>-122.06385040000001</v>
      </c>
      <c r="U77" s="71" t="s">
        <v>305</v>
      </c>
    </row>
    <row r="78" spans="1:21" ht="90" x14ac:dyDescent="0.25">
      <c r="A78" s="81" t="s">
        <v>82</v>
      </c>
      <c r="B78" s="71" t="s">
        <v>83</v>
      </c>
      <c r="C78" s="71">
        <v>2119</v>
      </c>
      <c r="D78" s="71" t="s">
        <v>189</v>
      </c>
      <c r="E78" s="71" t="s">
        <v>139</v>
      </c>
      <c r="F78" s="71" t="s">
        <v>140</v>
      </c>
      <c r="G78" s="71">
        <v>95060</v>
      </c>
      <c r="H78" s="71" t="s">
        <v>51</v>
      </c>
      <c r="J78" s="72">
        <v>10800</v>
      </c>
      <c r="K78" s="73">
        <v>0.8</v>
      </c>
      <c r="L78" s="71" t="s">
        <v>5</v>
      </c>
      <c r="M78" s="71" t="s">
        <v>95</v>
      </c>
      <c r="N78" s="80" t="s">
        <v>243</v>
      </c>
      <c r="O78" s="81" t="s">
        <v>94</v>
      </c>
      <c r="R78" s="74">
        <f>K78</f>
        <v>0.8</v>
      </c>
      <c r="S78" s="71">
        <v>36.955477818846703</v>
      </c>
      <c r="T78" s="81">
        <v>-122.049738317728</v>
      </c>
      <c r="U78" s="71" t="s">
        <v>293</v>
      </c>
    </row>
    <row r="79" spans="1:21" s="81" customFormat="1" ht="75" x14ac:dyDescent="0.25">
      <c r="A79" s="81" t="s">
        <v>82</v>
      </c>
      <c r="B79" s="81" t="s">
        <v>83</v>
      </c>
      <c r="C79" s="81">
        <v>2521</v>
      </c>
      <c r="D79" s="81" t="s">
        <v>169</v>
      </c>
      <c r="E79" s="81" t="s">
        <v>139</v>
      </c>
      <c r="F79" s="81" t="s">
        <v>140</v>
      </c>
      <c r="G79" s="81">
        <v>95060</v>
      </c>
      <c r="H79" s="81" t="s">
        <v>85</v>
      </c>
      <c r="J79" s="82">
        <v>7912</v>
      </c>
      <c r="K79" s="83">
        <v>5625</v>
      </c>
      <c r="M79" s="81" t="s">
        <v>95</v>
      </c>
      <c r="N79" s="80" t="s">
        <v>243</v>
      </c>
      <c r="O79" s="81" t="s">
        <v>94</v>
      </c>
      <c r="R79" s="84">
        <f>K79/J79</f>
        <v>0.71094539939332657</v>
      </c>
      <c r="S79" s="81">
        <v>36.960086524486499</v>
      </c>
      <c r="T79" s="81">
        <v>-122.05117598176</v>
      </c>
      <c r="U79" s="81" t="s">
        <v>300</v>
      </c>
    </row>
    <row r="80" spans="1:21" ht="75" x14ac:dyDescent="0.25">
      <c r="A80" s="81" t="s">
        <v>82</v>
      </c>
      <c r="B80" s="71" t="s">
        <v>83</v>
      </c>
      <c r="C80" s="71">
        <v>2801</v>
      </c>
      <c r="D80" s="71" t="s">
        <v>169</v>
      </c>
      <c r="E80" s="71" t="s">
        <v>139</v>
      </c>
      <c r="F80" s="71" t="s">
        <v>140</v>
      </c>
      <c r="G80" s="71">
        <v>95060</v>
      </c>
      <c r="H80" s="71" t="s">
        <v>82</v>
      </c>
      <c r="J80" s="72">
        <v>805</v>
      </c>
      <c r="K80" s="73">
        <v>1</v>
      </c>
      <c r="L80" s="71" t="s">
        <v>162</v>
      </c>
      <c r="M80" s="71" t="s">
        <v>100</v>
      </c>
      <c r="N80" s="71" t="s">
        <v>114</v>
      </c>
      <c r="O80" s="81" t="s">
        <v>101</v>
      </c>
      <c r="P80" s="71" t="s">
        <v>467</v>
      </c>
      <c r="R80" s="74">
        <f>K80</f>
        <v>1</v>
      </c>
      <c r="S80" s="71">
        <v>36.960258483886697</v>
      </c>
      <c r="T80" s="81">
        <v>-122.057312011718</v>
      </c>
      <c r="U80" s="71" t="s">
        <v>301</v>
      </c>
    </row>
    <row r="81" spans="1:21" ht="75" x14ac:dyDescent="0.25">
      <c r="A81" s="81" t="s">
        <v>82</v>
      </c>
      <c r="B81" s="71" t="s">
        <v>83</v>
      </c>
      <c r="C81" s="71">
        <v>2801</v>
      </c>
      <c r="D81" s="71" t="s">
        <v>169</v>
      </c>
      <c r="E81" s="71" t="s">
        <v>139</v>
      </c>
      <c r="F81" s="71" t="s">
        <v>140</v>
      </c>
      <c r="G81" s="71">
        <v>95060</v>
      </c>
      <c r="H81" s="71" t="s">
        <v>82</v>
      </c>
      <c r="J81" s="72">
        <v>1610</v>
      </c>
      <c r="K81" s="73">
        <v>0.95</v>
      </c>
      <c r="L81" s="71" t="s">
        <v>162</v>
      </c>
      <c r="M81" s="71" t="s">
        <v>100</v>
      </c>
      <c r="N81" s="71" t="s">
        <v>114</v>
      </c>
      <c r="O81" s="81" t="s">
        <v>101</v>
      </c>
      <c r="P81" s="71" t="s">
        <v>467</v>
      </c>
      <c r="R81" s="74">
        <f>K81</f>
        <v>0.95</v>
      </c>
      <c r="S81" s="71">
        <v>36.960258483886697</v>
      </c>
      <c r="T81" s="71">
        <v>-122.05731201171901</v>
      </c>
      <c r="U81" s="71" t="s">
        <v>301</v>
      </c>
    </row>
    <row r="82" spans="1:21" ht="75" x14ac:dyDescent="0.25">
      <c r="A82" s="81" t="s">
        <v>82</v>
      </c>
      <c r="B82" s="71" t="s">
        <v>83</v>
      </c>
      <c r="C82" s="71">
        <v>2801</v>
      </c>
      <c r="D82" s="71" t="s">
        <v>169</v>
      </c>
      <c r="E82" s="71" t="s">
        <v>139</v>
      </c>
      <c r="F82" s="71" t="s">
        <v>140</v>
      </c>
      <c r="G82" s="71">
        <v>95060</v>
      </c>
      <c r="H82" s="71" t="s">
        <v>82</v>
      </c>
      <c r="I82" s="81"/>
      <c r="J82" s="72">
        <v>2185</v>
      </c>
      <c r="K82" s="73">
        <v>0.9</v>
      </c>
      <c r="L82" s="81" t="s">
        <v>162</v>
      </c>
      <c r="M82" s="71" t="s">
        <v>100</v>
      </c>
      <c r="N82" s="71" t="s">
        <v>114</v>
      </c>
      <c r="O82" s="81" t="s">
        <v>101</v>
      </c>
      <c r="P82" s="81" t="s">
        <v>467</v>
      </c>
      <c r="R82" s="74">
        <f>K82</f>
        <v>0.9</v>
      </c>
      <c r="S82" s="71">
        <v>36.960258483886697</v>
      </c>
      <c r="T82" s="71">
        <v>-122.05731201171901</v>
      </c>
      <c r="U82" s="71" t="s">
        <v>301</v>
      </c>
    </row>
    <row r="83" spans="1:21" ht="75" x14ac:dyDescent="0.25">
      <c r="A83" s="81" t="s">
        <v>82</v>
      </c>
      <c r="B83" s="71" t="s">
        <v>83</v>
      </c>
      <c r="C83" s="71">
        <v>2801</v>
      </c>
      <c r="D83" s="71" t="s">
        <v>169</v>
      </c>
      <c r="E83" s="71" t="s">
        <v>139</v>
      </c>
      <c r="F83" s="71" t="s">
        <v>140</v>
      </c>
      <c r="G83" s="71">
        <v>95060</v>
      </c>
      <c r="H83" s="71" t="s">
        <v>82</v>
      </c>
      <c r="I83" s="81"/>
      <c r="J83" s="72">
        <v>4370</v>
      </c>
      <c r="K83" s="73">
        <v>0.9</v>
      </c>
      <c r="L83" s="81" t="s">
        <v>162</v>
      </c>
      <c r="M83" s="71" t="s">
        <v>100</v>
      </c>
      <c r="N83" s="81" t="s">
        <v>114</v>
      </c>
      <c r="O83" s="81" t="s">
        <v>101</v>
      </c>
      <c r="P83" s="81" t="s">
        <v>468</v>
      </c>
      <c r="R83" s="74">
        <f>K83</f>
        <v>0.9</v>
      </c>
      <c r="S83" s="71">
        <v>36.960258483886697</v>
      </c>
      <c r="T83" s="71">
        <v>-122.057312011718</v>
      </c>
      <c r="U83" s="71" t="s">
        <v>301</v>
      </c>
    </row>
    <row r="84" spans="1:21" ht="75" x14ac:dyDescent="0.25">
      <c r="A84" s="81" t="s">
        <v>82</v>
      </c>
      <c r="B84" s="71" t="s">
        <v>83</v>
      </c>
      <c r="C84" s="71">
        <v>2801</v>
      </c>
      <c r="D84" s="71" t="s">
        <v>169</v>
      </c>
      <c r="E84" s="71" t="s">
        <v>139</v>
      </c>
      <c r="F84" s="71" t="s">
        <v>140</v>
      </c>
      <c r="G84" s="71">
        <v>95060</v>
      </c>
      <c r="H84" s="71" t="s">
        <v>82</v>
      </c>
      <c r="J84" s="72">
        <v>6555</v>
      </c>
      <c r="K84" s="73">
        <v>0.9</v>
      </c>
      <c r="L84" s="81" t="s">
        <v>162</v>
      </c>
      <c r="M84" s="71" t="s">
        <v>100</v>
      </c>
      <c r="N84" s="71" t="s">
        <v>114</v>
      </c>
      <c r="O84" s="81" t="s">
        <v>101</v>
      </c>
      <c r="P84" s="71" t="s">
        <v>468</v>
      </c>
      <c r="R84" s="74">
        <f>K84</f>
        <v>0.9</v>
      </c>
      <c r="S84" s="71">
        <v>36.960258483886697</v>
      </c>
      <c r="T84" s="81">
        <v>-122.057312011718</v>
      </c>
      <c r="U84" s="71" t="s">
        <v>301</v>
      </c>
    </row>
    <row r="85" spans="1:21" ht="75" x14ac:dyDescent="0.25">
      <c r="A85" s="81" t="s">
        <v>82</v>
      </c>
      <c r="B85" s="71" t="s">
        <v>83</v>
      </c>
      <c r="C85" s="71">
        <v>2931</v>
      </c>
      <c r="D85" s="71" t="s">
        <v>169</v>
      </c>
      <c r="E85" s="71" t="s">
        <v>139</v>
      </c>
      <c r="F85" s="71" t="s">
        <v>140</v>
      </c>
      <c r="G85" s="71">
        <v>95060</v>
      </c>
      <c r="H85" s="71" t="s">
        <v>85</v>
      </c>
      <c r="J85" s="72">
        <v>9000</v>
      </c>
      <c r="K85" s="73" t="s">
        <v>371</v>
      </c>
      <c r="M85" s="71" t="s">
        <v>102</v>
      </c>
      <c r="N85" s="81" t="s">
        <v>93</v>
      </c>
      <c r="O85" s="81" t="s">
        <v>9</v>
      </c>
      <c r="P85" s="71" t="s">
        <v>315</v>
      </c>
      <c r="R85" s="74">
        <v>0</v>
      </c>
      <c r="S85" s="71">
        <v>36.959117889404297</v>
      </c>
      <c r="T85" s="81">
        <v>-122.05856323242099</v>
      </c>
      <c r="U85" s="71" t="s">
        <v>303</v>
      </c>
    </row>
    <row r="86" spans="1:21" s="81" customFormat="1" ht="48" customHeight="1" x14ac:dyDescent="0.25">
      <c r="A86" s="81" t="s">
        <v>415</v>
      </c>
      <c r="B86" s="81" t="s">
        <v>106</v>
      </c>
      <c r="C86" s="81">
        <v>100</v>
      </c>
      <c r="D86" s="81" t="s">
        <v>178</v>
      </c>
      <c r="E86" s="81" t="s">
        <v>139</v>
      </c>
      <c r="F86" s="81" t="s">
        <v>140</v>
      </c>
      <c r="G86" s="81">
        <v>95060</v>
      </c>
      <c r="H86" s="81" t="s">
        <v>24</v>
      </c>
      <c r="J86" s="82">
        <v>6500</v>
      </c>
      <c r="K86" s="83">
        <v>1.1000000000000001</v>
      </c>
      <c r="L86" s="81" t="s">
        <v>88</v>
      </c>
      <c r="M86" s="81" t="s">
        <v>100</v>
      </c>
      <c r="N86" s="81" t="s">
        <v>114</v>
      </c>
      <c r="O86" s="81" t="s">
        <v>101</v>
      </c>
      <c r="P86" s="71" t="s">
        <v>145</v>
      </c>
      <c r="R86" s="84">
        <f>K86</f>
        <v>1.1000000000000001</v>
      </c>
      <c r="S86" s="81">
        <v>36.988189697265597</v>
      </c>
      <c r="T86" s="81">
        <v>-122.03366851806599</v>
      </c>
      <c r="U86" s="81" t="s">
        <v>278</v>
      </c>
    </row>
    <row r="87" spans="1:21" s="81" customFormat="1" ht="45.75" customHeight="1" x14ac:dyDescent="0.25">
      <c r="A87" s="81" t="s">
        <v>415</v>
      </c>
      <c r="B87" s="81" t="s">
        <v>106</v>
      </c>
      <c r="C87" s="81">
        <v>115</v>
      </c>
      <c r="D87" s="81" t="s">
        <v>191</v>
      </c>
      <c r="E87" s="81" t="s">
        <v>139</v>
      </c>
      <c r="F87" s="81" t="s">
        <v>140</v>
      </c>
      <c r="G87" s="81">
        <v>95060</v>
      </c>
      <c r="H87" s="81" t="s">
        <v>8</v>
      </c>
      <c r="J87" s="82">
        <v>3800</v>
      </c>
      <c r="K87" s="83">
        <v>4000</v>
      </c>
      <c r="L87" s="81" t="s">
        <v>10</v>
      </c>
      <c r="M87" s="81" t="s">
        <v>434</v>
      </c>
      <c r="N87" s="81" t="s">
        <v>93</v>
      </c>
      <c r="O87" s="81" t="s">
        <v>9</v>
      </c>
      <c r="P87" s="81" t="s">
        <v>109</v>
      </c>
      <c r="R87" s="84">
        <v>1</v>
      </c>
      <c r="S87" s="81">
        <v>36.985387131571699</v>
      </c>
      <c r="T87" s="81">
        <v>-122.032301276922</v>
      </c>
      <c r="U87" s="81" t="s">
        <v>280</v>
      </c>
    </row>
    <row r="88" spans="1:21" ht="45" customHeight="1" x14ac:dyDescent="0.25">
      <c r="A88" s="81" t="s">
        <v>415</v>
      </c>
      <c r="B88" s="71" t="s">
        <v>106</v>
      </c>
      <c r="C88" s="71">
        <v>150</v>
      </c>
      <c r="D88" s="71" t="s">
        <v>180</v>
      </c>
      <c r="E88" s="71" t="s">
        <v>139</v>
      </c>
      <c r="F88" s="71" t="s">
        <v>140</v>
      </c>
      <c r="G88" s="71">
        <v>95060</v>
      </c>
      <c r="H88" s="71" t="s">
        <v>69</v>
      </c>
      <c r="I88" s="71" t="s">
        <v>70</v>
      </c>
      <c r="J88" s="72">
        <v>1700</v>
      </c>
      <c r="K88" s="73">
        <v>1800</v>
      </c>
      <c r="M88" s="71" t="s">
        <v>460</v>
      </c>
      <c r="N88" s="81" t="s">
        <v>461</v>
      </c>
      <c r="O88" s="78" t="s">
        <v>462</v>
      </c>
      <c r="P88" s="71" t="s">
        <v>463</v>
      </c>
      <c r="R88" s="74">
        <f>K88/J88</f>
        <v>1.0588235294117647</v>
      </c>
      <c r="S88" s="71">
        <v>36.986491999999998</v>
      </c>
      <c r="T88" s="81">
        <v>-122.038882</v>
      </c>
      <c r="U88" s="71" t="s">
        <v>464</v>
      </c>
    </row>
    <row r="89" spans="1:21" s="81" customFormat="1" ht="45" customHeight="1" x14ac:dyDescent="0.25">
      <c r="A89" s="81" t="s">
        <v>415</v>
      </c>
      <c r="B89" s="81" t="s">
        <v>106</v>
      </c>
      <c r="C89" s="81">
        <v>155</v>
      </c>
      <c r="D89" s="81" t="s">
        <v>180</v>
      </c>
      <c r="E89" s="81" t="s">
        <v>139</v>
      </c>
      <c r="F89" s="81" t="s">
        <v>140</v>
      </c>
      <c r="G89" s="81">
        <v>95060</v>
      </c>
      <c r="H89" s="81" t="s">
        <v>24</v>
      </c>
      <c r="J89" s="82">
        <v>14700</v>
      </c>
      <c r="K89" s="83">
        <v>1</v>
      </c>
      <c r="L89" s="81" t="s">
        <v>5</v>
      </c>
      <c r="M89" s="81" t="s">
        <v>221</v>
      </c>
      <c r="N89" s="81" t="s">
        <v>222</v>
      </c>
      <c r="O89" s="81" t="s">
        <v>223</v>
      </c>
      <c r="R89" s="84">
        <f>K89</f>
        <v>1</v>
      </c>
      <c r="S89" s="81">
        <v>36.987018585205099</v>
      </c>
      <c r="T89" s="81">
        <v>-122.03952789306599</v>
      </c>
      <c r="U89" s="81" t="s">
        <v>273</v>
      </c>
    </row>
    <row r="90" spans="1:21" ht="45" customHeight="1" x14ac:dyDescent="0.25">
      <c r="A90" s="81" t="s">
        <v>415</v>
      </c>
      <c r="B90" s="71" t="s">
        <v>106</v>
      </c>
      <c r="C90" s="71">
        <v>165</v>
      </c>
      <c r="D90" s="71" t="s">
        <v>180</v>
      </c>
      <c r="E90" s="71" t="s">
        <v>139</v>
      </c>
      <c r="F90" s="71" t="s">
        <v>140</v>
      </c>
      <c r="G90" s="71">
        <v>95060</v>
      </c>
      <c r="H90" s="71" t="s">
        <v>24</v>
      </c>
      <c r="J90" s="72">
        <v>18700</v>
      </c>
      <c r="K90" s="73">
        <v>1</v>
      </c>
      <c r="L90" s="71" t="s">
        <v>5</v>
      </c>
      <c r="M90" s="71" t="s">
        <v>221</v>
      </c>
      <c r="N90" s="81" t="s">
        <v>222</v>
      </c>
      <c r="O90" s="81" t="s">
        <v>223</v>
      </c>
      <c r="R90" s="74">
        <f>K90</f>
        <v>1</v>
      </c>
      <c r="S90" s="71">
        <v>36.986603513360002</v>
      </c>
      <c r="T90" s="81">
        <v>-122.0390933007</v>
      </c>
      <c r="U90" s="71" t="s">
        <v>274</v>
      </c>
    </row>
    <row r="91" spans="1:21" s="81" customFormat="1" ht="45" customHeight="1" x14ac:dyDescent="0.25">
      <c r="A91" s="81" t="s">
        <v>415</v>
      </c>
      <c r="B91" s="81" t="s">
        <v>106</v>
      </c>
      <c r="C91" s="81">
        <v>191</v>
      </c>
      <c r="D91" s="81" t="s">
        <v>179</v>
      </c>
      <c r="E91" s="81" t="s">
        <v>139</v>
      </c>
      <c r="F91" s="81" t="s">
        <v>140</v>
      </c>
      <c r="G91" s="81">
        <v>95060</v>
      </c>
      <c r="H91" s="81" t="s">
        <v>24</v>
      </c>
      <c r="I91" s="81" t="s">
        <v>41</v>
      </c>
      <c r="J91" s="82">
        <v>3607</v>
      </c>
      <c r="K91" s="83">
        <v>1.2</v>
      </c>
      <c r="L91" s="81" t="s">
        <v>5</v>
      </c>
      <c r="M91" s="81" t="s">
        <v>348</v>
      </c>
      <c r="N91" s="81" t="s">
        <v>349</v>
      </c>
      <c r="O91" s="81" t="s">
        <v>350</v>
      </c>
      <c r="R91" s="84">
        <f>K91</f>
        <v>1.2</v>
      </c>
      <c r="S91" s="81">
        <v>36.984020000000001</v>
      </c>
      <c r="T91" s="81">
        <v>-122.03554</v>
      </c>
      <c r="U91" s="81" t="s">
        <v>392</v>
      </c>
    </row>
    <row r="92" spans="1:21" ht="71.25" customHeight="1" x14ac:dyDescent="0.25">
      <c r="A92" s="81" t="s">
        <v>415</v>
      </c>
      <c r="B92" s="71" t="s">
        <v>106</v>
      </c>
      <c r="C92" s="71">
        <v>229</v>
      </c>
      <c r="D92" s="71" t="s">
        <v>182</v>
      </c>
      <c r="E92" s="71" t="s">
        <v>139</v>
      </c>
      <c r="F92" s="71" t="s">
        <v>140</v>
      </c>
      <c r="G92" s="71">
        <v>95060</v>
      </c>
      <c r="H92" s="71" t="s">
        <v>24</v>
      </c>
      <c r="I92" s="71" t="s">
        <v>156</v>
      </c>
      <c r="J92" s="72">
        <v>2800</v>
      </c>
      <c r="K92" s="73">
        <v>0.85</v>
      </c>
      <c r="M92" s="71" t="s">
        <v>110</v>
      </c>
      <c r="N92" s="81" t="s">
        <v>111</v>
      </c>
      <c r="O92" s="76" t="s">
        <v>112</v>
      </c>
      <c r="R92" s="74">
        <f>K92</f>
        <v>0.85</v>
      </c>
      <c r="S92" s="71">
        <v>36.986419677734297</v>
      </c>
      <c r="T92" s="81">
        <v>-122.033546447753</v>
      </c>
      <c r="U92" s="81" t="s">
        <v>275</v>
      </c>
    </row>
    <row r="93" spans="1:21" ht="78" customHeight="1" x14ac:dyDescent="0.25">
      <c r="A93" s="81" t="s">
        <v>415</v>
      </c>
      <c r="B93" s="71" t="s">
        <v>106</v>
      </c>
      <c r="C93" s="71">
        <v>320</v>
      </c>
      <c r="D93" s="71" t="s">
        <v>182</v>
      </c>
      <c r="E93" s="71" t="s">
        <v>139</v>
      </c>
      <c r="F93" s="71" t="s">
        <v>140</v>
      </c>
      <c r="G93" s="71">
        <v>95060</v>
      </c>
      <c r="H93" s="71" t="s">
        <v>48</v>
      </c>
      <c r="J93" s="72">
        <v>7594</v>
      </c>
      <c r="K93" s="73">
        <v>1.1499999999999999</v>
      </c>
      <c r="L93" s="71" t="s">
        <v>5</v>
      </c>
      <c r="M93" s="71" t="s">
        <v>99</v>
      </c>
      <c r="N93" s="71" t="s">
        <v>93</v>
      </c>
      <c r="O93" s="81" t="s">
        <v>9</v>
      </c>
      <c r="P93" s="71" t="s">
        <v>432</v>
      </c>
      <c r="R93" s="74">
        <f>K93</f>
        <v>1.1499999999999999</v>
      </c>
      <c r="S93" s="71">
        <v>36.987392</v>
      </c>
      <c r="T93" s="81">
        <v>-122.03482200000001</v>
      </c>
      <c r="U93" s="81" t="s">
        <v>433</v>
      </c>
    </row>
    <row r="94" spans="1:21" s="81" customFormat="1" ht="78" customHeight="1" x14ac:dyDescent="0.25">
      <c r="A94" s="81" t="s">
        <v>415</v>
      </c>
      <c r="B94" s="81" t="s">
        <v>106</v>
      </c>
      <c r="C94" s="81">
        <v>350</v>
      </c>
      <c r="D94" s="81" t="s">
        <v>183</v>
      </c>
      <c r="E94" s="81" t="s">
        <v>139</v>
      </c>
      <c r="F94" s="81" t="s">
        <v>140</v>
      </c>
      <c r="G94" s="81">
        <v>95060</v>
      </c>
      <c r="H94" s="81" t="s">
        <v>24</v>
      </c>
      <c r="J94" s="82">
        <v>650</v>
      </c>
      <c r="K94" s="83">
        <v>750</v>
      </c>
      <c r="M94" s="81" t="s">
        <v>102</v>
      </c>
      <c r="N94" s="81" t="s">
        <v>93</v>
      </c>
      <c r="O94" s="81" t="s">
        <v>9</v>
      </c>
      <c r="R94" s="84">
        <f>K94/J94</f>
        <v>1.1538461538461537</v>
      </c>
      <c r="S94" s="81">
        <v>36.982200622558601</v>
      </c>
      <c r="T94" s="81">
        <v>-122.033401489258</v>
      </c>
      <c r="U94" s="81" t="s">
        <v>272</v>
      </c>
    </row>
    <row r="95" spans="1:21" ht="60" x14ac:dyDescent="0.25">
      <c r="A95" s="81" t="s">
        <v>415</v>
      </c>
      <c r="B95" s="71" t="s">
        <v>106</v>
      </c>
      <c r="C95" s="71">
        <v>379</v>
      </c>
      <c r="D95" s="71" t="s">
        <v>183</v>
      </c>
      <c r="E95" s="71" t="s">
        <v>139</v>
      </c>
      <c r="F95" s="71" t="s">
        <v>140</v>
      </c>
      <c r="G95" s="71">
        <v>95060</v>
      </c>
      <c r="H95" s="71" t="s">
        <v>24</v>
      </c>
      <c r="I95" s="71" t="s">
        <v>41</v>
      </c>
      <c r="J95" s="72">
        <v>775</v>
      </c>
      <c r="K95" s="73">
        <v>0.85</v>
      </c>
      <c r="L95" s="71" t="s">
        <v>5</v>
      </c>
      <c r="M95" s="71" t="s">
        <v>333</v>
      </c>
      <c r="N95" s="81" t="s">
        <v>375</v>
      </c>
      <c r="O95" s="81" t="s">
        <v>374</v>
      </c>
      <c r="R95" s="74">
        <v>0.85</v>
      </c>
      <c r="S95" s="71">
        <v>36.9820940494537</v>
      </c>
      <c r="T95" s="84">
        <v>-122.032829672098</v>
      </c>
      <c r="U95" s="71" t="s">
        <v>340</v>
      </c>
    </row>
    <row r="96" spans="1:21" ht="90" x14ac:dyDescent="0.25">
      <c r="A96" s="81" t="s">
        <v>415</v>
      </c>
      <c r="B96" s="71" t="s">
        <v>106</v>
      </c>
      <c r="C96" s="71">
        <v>380</v>
      </c>
      <c r="D96" s="71" t="s">
        <v>182</v>
      </c>
      <c r="E96" s="71" t="s">
        <v>139</v>
      </c>
      <c r="F96" s="71" t="s">
        <v>140</v>
      </c>
      <c r="G96" s="71">
        <v>95060</v>
      </c>
      <c r="H96" s="71" t="s">
        <v>24</v>
      </c>
      <c r="I96" s="71">
        <v>200</v>
      </c>
      <c r="J96" s="72">
        <v>18250</v>
      </c>
      <c r="K96" s="73">
        <v>0.99</v>
      </c>
      <c r="L96" s="71" t="s">
        <v>5</v>
      </c>
      <c r="M96" s="71" t="s">
        <v>383</v>
      </c>
      <c r="N96" s="71" t="s">
        <v>400</v>
      </c>
      <c r="O96" s="76" t="s">
        <v>401</v>
      </c>
      <c r="P96" s="71" t="s">
        <v>447</v>
      </c>
      <c r="R96" s="74">
        <v>0.14000000000000001</v>
      </c>
      <c r="S96" s="71">
        <v>36.981347999999997</v>
      </c>
      <c r="T96" s="81">
        <v>-122.033142</v>
      </c>
      <c r="U96" s="71" t="s">
        <v>431</v>
      </c>
    </row>
    <row r="97" spans="1:21" s="81" customFormat="1" ht="60" customHeight="1" x14ac:dyDescent="0.25">
      <c r="A97" s="81" t="s">
        <v>415</v>
      </c>
      <c r="B97" s="81" t="s">
        <v>106</v>
      </c>
      <c r="C97" s="81">
        <v>397</v>
      </c>
      <c r="D97" s="81" t="s">
        <v>183</v>
      </c>
      <c r="E97" s="81" t="s">
        <v>139</v>
      </c>
      <c r="F97" s="81" t="s">
        <v>140</v>
      </c>
      <c r="G97" s="81">
        <v>95060</v>
      </c>
      <c r="H97" s="81" t="s">
        <v>24</v>
      </c>
      <c r="I97" s="81" t="s">
        <v>41</v>
      </c>
      <c r="J97" s="82">
        <v>775</v>
      </c>
      <c r="K97" s="83">
        <v>0.85</v>
      </c>
      <c r="L97" s="81" t="s">
        <v>5</v>
      </c>
      <c r="M97" s="81" t="s">
        <v>333</v>
      </c>
      <c r="N97" s="81" t="s">
        <v>375</v>
      </c>
      <c r="O97" s="81" t="s">
        <v>374</v>
      </c>
      <c r="P97" s="81" t="s">
        <v>372</v>
      </c>
      <c r="R97" s="84">
        <v>0.85</v>
      </c>
      <c r="S97" s="81">
        <v>36.980673000000003</v>
      </c>
      <c r="T97" s="84">
        <v>-122.033317</v>
      </c>
      <c r="U97" s="81" t="s">
        <v>391</v>
      </c>
    </row>
    <row r="98" spans="1:21" ht="90" x14ac:dyDescent="0.25">
      <c r="A98" s="81" t="s">
        <v>415</v>
      </c>
      <c r="B98" s="71" t="s">
        <v>115</v>
      </c>
      <c r="C98" s="71">
        <v>133</v>
      </c>
      <c r="D98" s="71" t="s">
        <v>169</v>
      </c>
      <c r="E98" s="71" t="s">
        <v>139</v>
      </c>
      <c r="F98" s="71" t="s">
        <v>140</v>
      </c>
      <c r="G98" s="71">
        <v>95060</v>
      </c>
      <c r="H98" s="71" t="s">
        <v>24</v>
      </c>
      <c r="I98" s="71">
        <v>101</v>
      </c>
      <c r="J98" s="72">
        <v>1950</v>
      </c>
      <c r="K98" s="73">
        <v>1.7</v>
      </c>
      <c r="L98" s="71" t="s">
        <v>162</v>
      </c>
      <c r="M98" s="71" t="s">
        <v>77</v>
      </c>
      <c r="N98" s="81" t="s">
        <v>78</v>
      </c>
      <c r="O98" s="78" t="s">
        <v>79</v>
      </c>
      <c r="P98" s="71" t="s">
        <v>403</v>
      </c>
      <c r="R98" s="74">
        <v>1.7</v>
      </c>
      <c r="S98" s="71">
        <v>36.976922000000002</v>
      </c>
      <c r="T98" s="71">
        <v>-122.029225</v>
      </c>
      <c r="U98" s="71" t="s">
        <v>354</v>
      </c>
    </row>
    <row r="99" spans="1:21" ht="90" x14ac:dyDescent="0.25">
      <c r="A99" s="81" t="s">
        <v>415</v>
      </c>
      <c r="B99" s="71" t="s">
        <v>115</v>
      </c>
      <c r="C99" s="71">
        <v>149</v>
      </c>
      <c r="D99" s="71" t="s">
        <v>197</v>
      </c>
      <c r="E99" s="71" t="s">
        <v>139</v>
      </c>
      <c r="F99" s="71" t="s">
        <v>140</v>
      </c>
      <c r="G99" s="71">
        <v>95060</v>
      </c>
      <c r="H99" s="71" t="s">
        <v>8</v>
      </c>
      <c r="I99" s="81" t="s">
        <v>50</v>
      </c>
      <c r="J99" s="72">
        <v>625</v>
      </c>
      <c r="K99" s="73">
        <v>1.5</v>
      </c>
      <c r="L99" s="71" t="s">
        <v>10</v>
      </c>
      <c r="M99" s="71" t="s">
        <v>43</v>
      </c>
      <c r="N99" s="71" t="s">
        <v>152</v>
      </c>
      <c r="O99" s="76" t="s">
        <v>160</v>
      </c>
      <c r="R99" s="74">
        <f>K99</f>
        <v>1.5</v>
      </c>
      <c r="S99" s="71">
        <v>36.9817924499512</v>
      </c>
      <c r="T99" s="71">
        <v>-122.02857208252</v>
      </c>
      <c r="U99" s="71" t="s">
        <v>269</v>
      </c>
    </row>
    <row r="100" spans="1:21" ht="90" x14ac:dyDescent="0.25">
      <c r="A100" s="81" t="s">
        <v>415</v>
      </c>
      <c r="B100" s="81" t="s">
        <v>115</v>
      </c>
      <c r="C100" s="71">
        <v>200</v>
      </c>
      <c r="D100" s="71" t="s">
        <v>172</v>
      </c>
      <c r="E100" s="71" t="s">
        <v>139</v>
      </c>
      <c r="F100" s="71" t="s">
        <v>140</v>
      </c>
      <c r="G100" s="71">
        <v>95060</v>
      </c>
      <c r="H100" s="71" t="s">
        <v>8</v>
      </c>
      <c r="I100" s="81">
        <v>201</v>
      </c>
      <c r="J100" s="72">
        <v>820</v>
      </c>
      <c r="K100" s="73">
        <v>1.45</v>
      </c>
      <c r="L100" s="71" t="s">
        <v>5</v>
      </c>
      <c r="M100" s="71" t="s">
        <v>65</v>
      </c>
      <c r="N100" s="81" t="s">
        <v>200</v>
      </c>
      <c r="O100" s="76" t="s">
        <v>66</v>
      </c>
      <c r="R100" s="74">
        <f>K100</f>
        <v>1.45</v>
      </c>
      <c r="S100" s="71">
        <v>36.966487884521399</v>
      </c>
      <c r="T100" s="71">
        <v>-122.02743530273401</v>
      </c>
      <c r="U100" s="71" t="s">
        <v>256</v>
      </c>
    </row>
    <row r="101" spans="1:21" ht="60" x14ac:dyDescent="0.25">
      <c r="A101" s="71" t="s">
        <v>415</v>
      </c>
      <c r="B101" s="81" t="s">
        <v>115</v>
      </c>
      <c r="C101" s="71">
        <v>201</v>
      </c>
      <c r="D101" s="71" t="s">
        <v>177</v>
      </c>
      <c r="E101" s="71" t="s">
        <v>139</v>
      </c>
      <c r="F101" s="71" t="s">
        <v>140</v>
      </c>
      <c r="G101" s="71">
        <v>95060</v>
      </c>
      <c r="H101" s="71" t="s">
        <v>8</v>
      </c>
      <c r="I101" s="82"/>
      <c r="J101" s="72">
        <v>5628</v>
      </c>
      <c r="K101" s="73">
        <v>1.25</v>
      </c>
      <c r="L101" s="71" t="s">
        <v>5</v>
      </c>
      <c r="M101" s="71" t="s">
        <v>3</v>
      </c>
      <c r="N101" s="81" t="s">
        <v>4</v>
      </c>
      <c r="O101" s="81" t="s">
        <v>451</v>
      </c>
      <c r="P101" s="71" t="s">
        <v>452</v>
      </c>
      <c r="Q101" s="71">
        <v>0.35</v>
      </c>
      <c r="R101" s="74">
        <v>1.25</v>
      </c>
      <c r="S101" s="71">
        <v>36.978706359999997</v>
      </c>
      <c r="T101" s="71">
        <v>-122.0272751</v>
      </c>
      <c r="U101" s="71" t="s">
        <v>453</v>
      </c>
    </row>
    <row r="102" spans="1:21" ht="60" x14ac:dyDescent="0.25">
      <c r="A102" s="71" t="s">
        <v>415</v>
      </c>
      <c r="B102" s="81" t="s">
        <v>115</v>
      </c>
      <c r="C102" s="71">
        <v>211</v>
      </c>
      <c r="D102" s="71" t="s">
        <v>177</v>
      </c>
      <c r="E102" s="71" t="s">
        <v>139</v>
      </c>
      <c r="F102" s="71" t="s">
        <v>140</v>
      </c>
      <c r="G102" s="71">
        <v>95060</v>
      </c>
      <c r="H102" s="71" t="s">
        <v>8</v>
      </c>
      <c r="I102" s="82"/>
      <c r="J102" s="72">
        <v>6000</v>
      </c>
      <c r="K102" s="73">
        <v>1.25</v>
      </c>
      <c r="L102" s="71" t="s">
        <v>5</v>
      </c>
      <c r="M102" s="71" t="s">
        <v>44</v>
      </c>
      <c r="N102" s="71" t="s">
        <v>45</v>
      </c>
      <c r="O102" s="81" t="s">
        <v>46</v>
      </c>
      <c r="P102" s="71" t="s">
        <v>310</v>
      </c>
      <c r="Q102" s="71">
        <v>0.35</v>
      </c>
      <c r="R102" s="74">
        <f>K102</f>
        <v>1.25</v>
      </c>
      <c r="S102" s="71">
        <v>36.978706359863303</v>
      </c>
      <c r="T102" s="71">
        <v>-122.02727508544901</v>
      </c>
      <c r="U102" s="71" t="s">
        <v>321</v>
      </c>
    </row>
    <row r="103" spans="1:21" s="81" customFormat="1" ht="94.5" customHeight="1" x14ac:dyDescent="0.25">
      <c r="A103" s="81" t="s">
        <v>415</v>
      </c>
      <c r="B103" s="81" t="s">
        <v>115</v>
      </c>
      <c r="C103" s="81">
        <v>303</v>
      </c>
      <c r="D103" s="81" t="s">
        <v>176</v>
      </c>
      <c r="E103" s="81" t="s">
        <v>139</v>
      </c>
      <c r="F103" s="81" t="s">
        <v>140</v>
      </c>
      <c r="G103" s="81">
        <v>95060</v>
      </c>
      <c r="H103" s="81" t="s">
        <v>24</v>
      </c>
      <c r="J103" s="82">
        <v>0</v>
      </c>
      <c r="K103" s="83">
        <v>0.99</v>
      </c>
      <c r="L103" s="81" t="s">
        <v>5</v>
      </c>
      <c r="M103" s="81" t="s">
        <v>71</v>
      </c>
      <c r="N103" s="81" t="s">
        <v>72</v>
      </c>
      <c r="O103" s="76" t="s">
        <v>73</v>
      </c>
      <c r="P103" s="81" t="s">
        <v>423</v>
      </c>
      <c r="R103" s="84">
        <f>K103</f>
        <v>0.99</v>
      </c>
      <c r="S103" s="81">
        <v>36.981174468994098</v>
      </c>
      <c r="T103" s="81">
        <v>-122.031280517578</v>
      </c>
      <c r="U103" s="81" t="s">
        <v>270</v>
      </c>
    </row>
    <row r="104" spans="1:21" s="81" customFormat="1" ht="94.5" customHeight="1" x14ac:dyDescent="0.25">
      <c r="A104" s="81" t="s">
        <v>415</v>
      </c>
      <c r="B104" s="81" t="s">
        <v>115</v>
      </c>
      <c r="C104" s="81">
        <v>305</v>
      </c>
      <c r="D104" s="81" t="s">
        <v>185</v>
      </c>
      <c r="E104" s="81" t="s">
        <v>139</v>
      </c>
      <c r="F104" s="81" t="s">
        <v>140</v>
      </c>
      <c r="G104" s="81">
        <v>95060</v>
      </c>
      <c r="H104" s="81" t="s">
        <v>24</v>
      </c>
      <c r="I104" s="81" t="s">
        <v>52</v>
      </c>
      <c r="J104" s="82">
        <v>670</v>
      </c>
      <c r="K104" s="83">
        <v>1100</v>
      </c>
      <c r="L104" s="81" t="s">
        <v>6</v>
      </c>
      <c r="M104" s="81" t="s">
        <v>35</v>
      </c>
      <c r="N104" s="81" t="s">
        <v>36</v>
      </c>
      <c r="O104" s="81" t="s">
        <v>37</v>
      </c>
      <c r="P104" s="81" t="s">
        <v>123</v>
      </c>
      <c r="R104" s="84">
        <f>K104/J104</f>
        <v>1.6417910447761195</v>
      </c>
      <c r="S104" s="81">
        <v>36.9740138947963</v>
      </c>
      <c r="T104" s="81">
        <v>-122.021104395389</v>
      </c>
      <c r="U104" s="81" t="s">
        <v>283</v>
      </c>
    </row>
    <row r="105" spans="1:21" ht="90" x14ac:dyDescent="0.25">
      <c r="A105" s="71" t="s">
        <v>415</v>
      </c>
      <c r="B105" s="81" t="s">
        <v>115</v>
      </c>
      <c r="C105" s="71">
        <v>345</v>
      </c>
      <c r="D105" s="71" t="s">
        <v>185</v>
      </c>
      <c r="E105" s="71" t="s">
        <v>139</v>
      </c>
      <c r="F105" s="71" t="s">
        <v>140</v>
      </c>
      <c r="G105" s="71">
        <v>95062</v>
      </c>
      <c r="H105" s="71" t="s">
        <v>7</v>
      </c>
      <c r="I105" s="81"/>
      <c r="J105" s="72">
        <v>1050</v>
      </c>
      <c r="M105" s="71" t="s">
        <v>226</v>
      </c>
      <c r="N105" s="71" t="s">
        <v>227</v>
      </c>
      <c r="O105" s="81" t="s">
        <v>228</v>
      </c>
      <c r="R105" s="74">
        <v>0</v>
      </c>
      <c r="S105" s="71">
        <v>36.974405497312503</v>
      </c>
      <c r="T105" s="71">
        <v>-122.019561454653</v>
      </c>
      <c r="U105" s="71" t="s">
        <v>284</v>
      </c>
    </row>
    <row r="106" spans="1:21" ht="60" x14ac:dyDescent="0.25">
      <c r="A106" s="81" t="s">
        <v>415</v>
      </c>
      <c r="B106" s="81" t="s">
        <v>115</v>
      </c>
      <c r="C106" s="71">
        <v>347</v>
      </c>
      <c r="D106" s="71" t="s">
        <v>217</v>
      </c>
      <c r="E106" s="71" t="s">
        <v>139</v>
      </c>
      <c r="F106" s="71" t="s">
        <v>140</v>
      </c>
      <c r="G106" s="71">
        <v>95062</v>
      </c>
      <c r="H106" s="71" t="s">
        <v>24</v>
      </c>
      <c r="I106" s="81"/>
      <c r="J106" s="72">
        <v>1000</v>
      </c>
      <c r="K106" s="73">
        <v>1500</v>
      </c>
      <c r="L106" s="71" t="s">
        <v>6</v>
      </c>
      <c r="M106" s="71" t="s">
        <v>218</v>
      </c>
      <c r="N106" s="71" t="s">
        <v>93</v>
      </c>
      <c r="O106" s="81" t="s">
        <v>9</v>
      </c>
      <c r="R106" s="74">
        <f>K106/J106</f>
        <v>1.5</v>
      </c>
      <c r="S106" s="71">
        <v>36.979878544807399</v>
      </c>
      <c r="T106" s="71">
        <v>-122.00568839907601</v>
      </c>
      <c r="U106" s="71" t="s">
        <v>281</v>
      </c>
    </row>
    <row r="107" spans="1:21" ht="90" x14ac:dyDescent="0.25">
      <c r="A107" s="81" t="s">
        <v>415</v>
      </c>
      <c r="B107" s="81" t="s">
        <v>115</v>
      </c>
      <c r="C107" s="71">
        <v>415</v>
      </c>
      <c r="D107" s="71" t="s">
        <v>175</v>
      </c>
      <c r="E107" s="71" t="s">
        <v>139</v>
      </c>
      <c r="F107" s="71" t="s">
        <v>140</v>
      </c>
      <c r="G107" s="71">
        <v>95060</v>
      </c>
      <c r="H107" s="71" t="s">
        <v>2</v>
      </c>
      <c r="I107" s="82" t="s">
        <v>50</v>
      </c>
      <c r="J107" s="72">
        <v>3558</v>
      </c>
      <c r="K107" s="73" t="s">
        <v>371</v>
      </c>
      <c r="M107" s="71" t="s">
        <v>71</v>
      </c>
      <c r="N107" s="81" t="s">
        <v>72</v>
      </c>
      <c r="O107" s="76" t="s">
        <v>73</v>
      </c>
      <c r="P107" s="71" t="s">
        <v>420</v>
      </c>
      <c r="R107" s="74">
        <v>0</v>
      </c>
      <c r="S107" s="71">
        <v>36.981493999999998</v>
      </c>
      <c r="T107" s="71">
        <v>-122.029691</v>
      </c>
      <c r="U107" s="71" t="s">
        <v>421</v>
      </c>
    </row>
    <row r="108" spans="1:21" s="81" customFormat="1" ht="60" x14ac:dyDescent="0.25">
      <c r="A108" s="81" t="s">
        <v>415</v>
      </c>
      <c r="B108" s="81" t="s">
        <v>115</v>
      </c>
      <c r="C108" s="81">
        <v>415</v>
      </c>
      <c r="D108" s="81" t="s">
        <v>177</v>
      </c>
      <c r="E108" s="81" t="s">
        <v>139</v>
      </c>
      <c r="F108" s="81" t="s">
        <v>312</v>
      </c>
      <c r="G108" s="81">
        <v>95060</v>
      </c>
      <c r="H108" s="81" t="s">
        <v>7</v>
      </c>
      <c r="I108" s="81" t="s">
        <v>50</v>
      </c>
      <c r="J108" s="82">
        <v>7727</v>
      </c>
      <c r="K108" s="83">
        <v>2.4900000000000002</v>
      </c>
      <c r="L108" s="81" t="s">
        <v>5</v>
      </c>
      <c r="M108" s="81" t="s">
        <v>25</v>
      </c>
      <c r="N108" s="81" t="s">
        <v>113</v>
      </c>
      <c r="O108" s="81" t="s">
        <v>17</v>
      </c>
      <c r="R108" s="84">
        <v>2.4900000000000002</v>
      </c>
      <c r="S108" s="81">
        <v>36.981571197509702</v>
      </c>
      <c r="T108" s="81">
        <v>-122.029693603515</v>
      </c>
      <c r="U108" s="81" t="s">
        <v>322</v>
      </c>
    </row>
    <row r="109" spans="1:21" ht="75" x14ac:dyDescent="0.25">
      <c r="A109" s="81" t="s">
        <v>415</v>
      </c>
      <c r="B109" s="81" t="s">
        <v>115</v>
      </c>
      <c r="C109" s="71">
        <v>420</v>
      </c>
      <c r="D109" s="71" t="s">
        <v>170</v>
      </c>
      <c r="E109" s="71" t="s">
        <v>139</v>
      </c>
      <c r="F109" s="71" t="s">
        <v>140</v>
      </c>
      <c r="G109" s="71">
        <v>95060</v>
      </c>
      <c r="H109" s="71" t="s">
        <v>7</v>
      </c>
      <c r="J109" s="72">
        <v>1150</v>
      </c>
      <c r="K109" s="73">
        <v>1</v>
      </c>
      <c r="L109" s="71" t="s">
        <v>6</v>
      </c>
      <c r="M109" s="71" t="s">
        <v>128</v>
      </c>
      <c r="N109" s="81" t="s">
        <v>129</v>
      </c>
      <c r="O109" s="71" t="s">
        <v>130</v>
      </c>
      <c r="P109" s="71" t="s">
        <v>148</v>
      </c>
      <c r="R109" s="74">
        <f>K109</f>
        <v>1</v>
      </c>
      <c r="S109" s="71">
        <v>36.979545593261697</v>
      </c>
      <c r="T109" s="71">
        <v>-122.02036285400401</v>
      </c>
      <c r="U109" s="71" t="s">
        <v>286</v>
      </c>
    </row>
    <row r="110" spans="1:21" s="81" customFormat="1" ht="90" x14ac:dyDescent="0.25">
      <c r="A110" s="81" t="s">
        <v>415</v>
      </c>
      <c r="B110" s="81" t="s">
        <v>115</v>
      </c>
      <c r="C110" s="81">
        <v>500</v>
      </c>
      <c r="D110" s="81" t="s">
        <v>186</v>
      </c>
      <c r="E110" s="81" t="s">
        <v>139</v>
      </c>
      <c r="F110" s="81" t="s">
        <v>140</v>
      </c>
      <c r="G110" s="81">
        <v>95062</v>
      </c>
      <c r="H110" s="81" t="s">
        <v>24</v>
      </c>
      <c r="I110" s="81">
        <v>105</v>
      </c>
      <c r="J110" s="82">
        <v>2497</v>
      </c>
      <c r="K110" s="83">
        <v>1.35</v>
      </c>
      <c r="L110" s="81" t="s">
        <v>88</v>
      </c>
      <c r="M110" s="81" t="s">
        <v>26</v>
      </c>
      <c r="N110" s="81" t="s">
        <v>377</v>
      </c>
      <c r="O110" s="81" t="s">
        <v>376</v>
      </c>
      <c r="P110" s="81" t="s">
        <v>430</v>
      </c>
      <c r="R110" s="84">
        <f>K110</f>
        <v>1.35</v>
      </c>
      <c r="S110" s="81">
        <v>36.967067718505803</v>
      </c>
      <c r="T110" s="81">
        <v>-122.00749969482401</v>
      </c>
      <c r="U110" s="81" t="s">
        <v>282</v>
      </c>
    </row>
    <row r="111" spans="1:21" ht="90" x14ac:dyDescent="0.25">
      <c r="A111" s="81" t="s">
        <v>415</v>
      </c>
      <c r="B111" s="81" t="s">
        <v>115</v>
      </c>
      <c r="C111" s="71">
        <v>505</v>
      </c>
      <c r="D111" s="71" t="s">
        <v>175</v>
      </c>
      <c r="E111" s="71" t="s">
        <v>139</v>
      </c>
      <c r="F111" s="71" t="s">
        <v>140</v>
      </c>
      <c r="G111" s="71">
        <v>95060</v>
      </c>
      <c r="H111" s="71" t="s">
        <v>24</v>
      </c>
      <c r="I111" s="81" t="s">
        <v>41</v>
      </c>
      <c r="J111" s="72">
        <v>850</v>
      </c>
      <c r="K111" s="73">
        <v>1495</v>
      </c>
      <c r="M111" s="71" t="s">
        <v>0</v>
      </c>
      <c r="N111" s="71" t="s">
        <v>1</v>
      </c>
      <c r="O111" s="78" t="s">
        <v>406</v>
      </c>
      <c r="P111" s="71" t="s">
        <v>407</v>
      </c>
      <c r="R111" s="74">
        <f>K111/J111</f>
        <v>1.7588235294117647</v>
      </c>
      <c r="S111" s="71">
        <v>36.982567000000003</v>
      </c>
      <c r="T111" s="71">
        <v>-122.02986300000001</v>
      </c>
      <c r="U111" s="71" t="s">
        <v>408</v>
      </c>
    </row>
    <row r="112" spans="1:21" s="81" customFormat="1" ht="75" x14ac:dyDescent="0.25">
      <c r="A112" s="81" t="s">
        <v>415</v>
      </c>
      <c r="B112" s="81" t="s">
        <v>115</v>
      </c>
      <c r="C112" s="81">
        <v>525</v>
      </c>
      <c r="D112" s="81" t="s">
        <v>170</v>
      </c>
      <c r="E112" s="81" t="s">
        <v>139</v>
      </c>
      <c r="F112" s="81" t="s">
        <v>140</v>
      </c>
      <c r="G112" s="81">
        <v>95060</v>
      </c>
      <c r="H112" s="81" t="s">
        <v>117</v>
      </c>
      <c r="J112" s="82">
        <v>3000</v>
      </c>
      <c r="K112" s="83">
        <v>1.25</v>
      </c>
      <c r="L112" s="81" t="s">
        <v>6</v>
      </c>
      <c r="M112" s="81" t="s">
        <v>95</v>
      </c>
      <c r="N112" s="80" t="s">
        <v>243</v>
      </c>
      <c r="O112" s="81" t="s">
        <v>94</v>
      </c>
      <c r="R112" s="84">
        <f>K112</f>
        <v>1.25</v>
      </c>
      <c r="S112" s="81">
        <v>36.980499267578097</v>
      </c>
      <c r="T112" s="81">
        <v>-122.01950073242099</v>
      </c>
      <c r="U112" s="81" t="s">
        <v>288</v>
      </c>
    </row>
    <row r="113" spans="1:21" ht="75" x14ac:dyDescent="0.25">
      <c r="A113" s="81" t="s">
        <v>415</v>
      </c>
      <c r="B113" s="71" t="s">
        <v>115</v>
      </c>
      <c r="C113" s="71">
        <v>550</v>
      </c>
      <c r="D113" s="71" t="s">
        <v>170</v>
      </c>
      <c r="E113" s="71" t="s">
        <v>139</v>
      </c>
      <c r="F113" s="71" t="s">
        <v>140</v>
      </c>
      <c r="G113" s="71">
        <v>95060</v>
      </c>
      <c r="H113" s="71" t="s">
        <v>116</v>
      </c>
      <c r="I113" s="71" t="s">
        <v>118</v>
      </c>
      <c r="J113" s="72">
        <v>890</v>
      </c>
      <c r="K113" s="73">
        <v>820</v>
      </c>
      <c r="L113" s="71" t="s">
        <v>6</v>
      </c>
      <c r="M113" s="71" t="s">
        <v>44</v>
      </c>
      <c r="N113" s="81" t="s">
        <v>45</v>
      </c>
      <c r="O113" s="71" t="s">
        <v>121</v>
      </c>
      <c r="P113" s="81"/>
      <c r="R113" s="74">
        <f>K113/J113</f>
        <v>0.9213483146067416</v>
      </c>
      <c r="S113" s="71">
        <v>36.979640960693402</v>
      </c>
      <c r="T113" s="71">
        <v>-122.01912689209</v>
      </c>
      <c r="U113" s="71" t="s">
        <v>287</v>
      </c>
    </row>
    <row r="114" spans="1:21" ht="75" x14ac:dyDescent="0.25">
      <c r="A114" s="71" t="s">
        <v>415</v>
      </c>
      <c r="B114" s="71" t="s">
        <v>115</v>
      </c>
      <c r="C114" s="71">
        <v>550</v>
      </c>
      <c r="D114" s="71" t="s">
        <v>170</v>
      </c>
      <c r="E114" s="71" t="s">
        <v>139</v>
      </c>
      <c r="F114" s="71" t="s">
        <v>140</v>
      </c>
      <c r="G114" s="71">
        <v>95060</v>
      </c>
      <c r="H114" s="71" t="s">
        <v>119</v>
      </c>
      <c r="I114" s="71" t="s">
        <v>435</v>
      </c>
      <c r="J114" s="72">
        <v>1756</v>
      </c>
      <c r="K114" s="73">
        <v>1.75</v>
      </c>
      <c r="L114" s="71" t="s">
        <v>5</v>
      </c>
      <c r="M114" s="71" t="s">
        <v>131</v>
      </c>
      <c r="N114" s="81" t="s">
        <v>93</v>
      </c>
      <c r="O114" s="81" t="s">
        <v>9</v>
      </c>
      <c r="P114" s="71" t="s">
        <v>439</v>
      </c>
      <c r="R114" s="74">
        <v>1.75</v>
      </c>
      <c r="S114" s="71">
        <v>36.979133605957003</v>
      </c>
      <c r="T114" s="71">
        <v>-122.01880645751901</v>
      </c>
      <c r="U114" s="71" t="s">
        <v>442</v>
      </c>
    </row>
    <row r="115" spans="1:21" ht="75" x14ac:dyDescent="0.25">
      <c r="A115" s="81" t="s">
        <v>415</v>
      </c>
      <c r="B115" s="71" t="s">
        <v>115</v>
      </c>
      <c r="C115" s="71">
        <v>550</v>
      </c>
      <c r="D115" s="71" t="s">
        <v>170</v>
      </c>
      <c r="E115" s="71" t="s">
        <v>139</v>
      </c>
      <c r="F115" s="71" t="s">
        <v>140</v>
      </c>
      <c r="G115" s="71">
        <v>95060</v>
      </c>
      <c r="H115" s="71" t="s">
        <v>119</v>
      </c>
      <c r="I115" s="71" t="s">
        <v>437</v>
      </c>
      <c r="J115" s="72">
        <v>885</v>
      </c>
      <c r="K115" s="73">
        <v>1.75</v>
      </c>
      <c r="L115" s="71" t="s">
        <v>5</v>
      </c>
      <c r="M115" s="71" t="s">
        <v>436</v>
      </c>
      <c r="N115" s="81" t="s">
        <v>93</v>
      </c>
      <c r="O115" s="81" t="s">
        <v>9</v>
      </c>
      <c r="P115" s="71" t="s">
        <v>439</v>
      </c>
      <c r="R115" s="74">
        <v>1.75</v>
      </c>
      <c r="S115" s="71">
        <v>36.979133605957003</v>
      </c>
      <c r="T115" s="71">
        <v>-122.01880645751901</v>
      </c>
      <c r="U115" s="71" t="s">
        <v>441</v>
      </c>
    </row>
    <row r="116" spans="1:21" ht="75" x14ac:dyDescent="0.25">
      <c r="A116" s="81" t="s">
        <v>415</v>
      </c>
      <c r="B116" s="71" t="s">
        <v>115</v>
      </c>
      <c r="C116" s="71">
        <v>550</v>
      </c>
      <c r="D116" s="71" t="s">
        <v>170</v>
      </c>
      <c r="E116" s="71" t="s">
        <v>139</v>
      </c>
      <c r="F116" s="71" t="s">
        <v>140</v>
      </c>
      <c r="G116" s="71">
        <v>95060</v>
      </c>
      <c r="H116" s="71" t="s">
        <v>119</v>
      </c>
      <c r="I116" s="71" t="s">
        <v>438</v>
      </c>
      <c r="J116" s="72">
        <v>1086</v>
      </c>
      <c r="K116" s="73">
        <v>1.75</v>
      </c>
      <c r="L116" s="71" t="s">
        <v>5</v>
      </c>
      <c r="M116" s="71" t="s">
        <v>436</v>
      </c>
      <c r="N116" s="71" t="s">
        <v>93</v>
      </c>
      <c r="O116" s="71" t="s">
        <v>9</v>
      </c>
      <c r="P116" s="71" t="s">
        <v>439</v>
      </c>
      <c r="R116" s="74">
        <v>1.75</v>
      </c>
      <c r="S116" s="71">
        <v>36.979133605957003</v>
      </c>
      <c r="T116" s="71">
        <v>-122.01880645751901</v>
      </c>
      <c r="U116" s="71" t="s">
        <v>440</v>
      </c>
    </row>
    <row r="117" spans="1:21" ht="60" x14ac:dyDescent="0.25">
      <c r="A117" s="71" t="s">
        <v>415</v>
      </c>
      <c r="B117" s="71" t="s">
        <v>115</v>
      </c>
      <c r="C117" s="71">
        <v>600</v>
      </c>
      <c r="D117" s="71" t="s">
        <v>177</v>
      </c>
      <c r="E117" s="71" t="s">
        <v>139</v>
      </c>
      <c r="F117" s="71" t="s">
        <v>140</v>
      </c>
      <c r="G117" s="71">
        <v>95060</v>
      </c>
      <c r="H117" s="71" t="s">
        <v>7</v>
      </c>
      <c r="J117" s="72">
        <v>1150</v>
      </c>
      <c r="K117" s="73">
        <v>3.25</v>
      </c>
      <c r="M117" s="71" t="s">
        <v>75</v>
      </c>
      <c r="N117" s="71" t="s">
        <v>76</v>
      </c>
      <c r="O117" s="81" t="s">
        <v>74</v>
      </c>
      <c r="R117" s="74">
        <v>3.25</v>
      </c>
      <c r="S117" s="71">
        <v>36.982784047722802</v>
      </c>
      <c r="T117" s="71">
        <v>-122.029639855027</v>
      </c>
      <c r="U117" s="71" t="s">
        <v>271</v>
      </c>
    </row>
    <row r="118" spans="1:21" s="81" customFormat="1" ht="60" x14ac:dyDescent="0.25">
      <c r="A118" s="81" t="s">
        <v>415</v>
      </c>
      <c r="B118" s="81" t="s">
        <v>115</v>
      </c>
      <c r="C118" s="81">
        <v>600</v>
      </c>
      <c r="D118" s="81" t="s">
        <v>177</v>
      </c>
      <c r="E118" s="81" t="s">
        <v>139</v>
      </c>
      <c r="F118" s="81" t="s">
        <v>140</v>
      </c>
      <c r="G118" s="81">
        <v>95060</v>
      </c>
      <c r="H118" s="81" t="s">
        <v>7</v>
      </c>
      <c r="J118" s="82">
        <v>2880</v>
      </c>
      <c r="K118" s="83">
        <v>3.25</v>
      </c>
      <c r="M118" s="81" t="s">
        <v>75</v>
      </c>
      <c r="N118" s="81" t="s">
        <v>76</v>
      </c>
      <c r="O118" s="81" t="s">
        <v>74</v>
      </c>
      <c r="P118" s="81" t="s">
        <v>194</v>
      </c>
      <c r="R118" s="84">
        <v>3.25</v>
      </c>
      <c r="S118" s="81">
        <v>36.982784047722802</v>
      </c>
      <c r="T118" s="81">
        <v>-122.029639855027</v>
      </c>
      <c r="U118" s="81" t="s">
        <v>271</v>
      </c>
    </row>
    <row r="119" spans="1:21" ht="90" x14ac:dyDescent="0.25">
      <c r="A119" s="81" t="s">
        <v>415</v>
      </c>
      <c r="B119" s="71" t="s">
        <v>115</v>
      </c>
      <c r="C119" s="71">
        <v>710</v>
      </c>
      <c r="D119" s="71" t="s">
        <v>175</v>
      </c>
      <c r="E119" s="71" t="s">
        <v>139</v>
      </c>
      <c r="F119" s="71" t="s">
        <v>140</v>
      </c>
      <c r="G119" s="71">
        <v>95060</v>
      </c>
      <c r="H119" s="71" t="s">
        <v>24</v>
      </c>
      <c r="I119" s="81"/>
      <c r="J119" s="72">
        <v>726</v>
      </c>
      <c r="K119" s="73">
        <v>2</v>
      </c>
      <c r="L119" s="71" t="s">
        <v>6</v>
      </c>
      <c r="M119" s="71" t="s">
        <v>397</v>
      </c>
      <c r="N119" s="81" t="s">
        <v>398</v>
      </c>
      <c r="O119" s="76" t="s">
        <v>399</v>
      </c>
      <c r="P119" s="71" t="s">
        <v>414</v>
      </c>
      <c r="R119" s="74">
        <v>2</v>
      </c>
      <c r="S119" s="71">
        <v>36.984310000000001</v>
      </c>
      <c r="T119" s="71">
        <v>-122.029658</v>
      </c>
      <c r="U119" s="71" t="s">
        <v>389</v>
      </c>
    </row>
    <row r="120" spans="1:21" ht="75" x14ac:dyDescent="0.25">
      <c r="A120" s="81" t="s">
        <v>415</v>
      </c>
      <c r="B120" s="71" t="s">
        <v>115</v>
      </c>
      <c r="C120" s="71">
        <v>710</v>
      </c>
      <c r="D120" s="71" t="s">
        <v>175</v>
      </c>
      <c r="E120" s="71" t="s">
        <v>139</v>
      </c>
      <c r="F120" s="71" t="s">
        <v>140</v>
      </c>
      <c r="G120" s="71">
        <v>95060</v>
      </c>
      <c r="H120" s="71" t="s">
        <v>24</v>
      </c>
      <c r="J120" s="72">
        <v>327</v>
      </c>
      <c r="K120" s="73">
        <v>2</v>
      </c>
      <c r="L120" s="71" t="s">
        <v>6</v>
      </c>
      <c r="M120" s="71" t="s">
        <v>397</v>
      </c>
      <c r="N120" s="81" t="s">
        <v>398</v>
      </c>
      <c r="O120" s="81" t="s">
        <v>399</v>
      </c>
      <c r="P120" s="81" t="s">
        <v>476</v>
      </c>
      <c r="R120" s="74">
        <v>2</v>
      </c>
      <c r="S120" s="71">
        <v>36.984310000000001</v>
      </c>
      <c r="T120" s="71">
        <v>-122.029658</v>
      </c>
      <c r="U120" s="71" t="s">
        <v>389</v>
      </c>
    </row>
    <row r="121" spans="1:21" s="81" customFormat="1" ht="107.25" customHeight="1" x14ac:dyDescent="0.25">
      <c r="A121" s="81" t="s">
        <v>415</v>
      </c>
      <c r="B121" s="81" t="s">
        <v>115</v>
      </c>
      <c r="C121" s="81">
        <v>1414</v>
      </c>
      <c r="D121" s="81" t="s">
        <v>185</v>
      </c>
      <c r="E121" s="81" t="s">
        <v>139</v>
      </c>
      <c r="F121" s="81" t="s">
        <v>140</v>
      </c>
      <c r="G121" s="81">
        <v>95062</v>
      </c>
      <c r="H121" s="81" t="s">
        <v>24</v>
      </c>
      <c r="I121" s="81">
        <v>105</v>
      </c>
      <c r="J121" s="82">
        <v>1586</v>
      </c>
      <c r="K121" s="83">
        <v>3200</v>
      </c>
      <c r="L121" s="81" t="s">
        <v>6</v>
      </c>
      <c r="M121" s="81" t="s">
        <v>124</v>
      </c>
      <c r="N121" s="81" t="s">
        <v>125</v>
      </c>
      <c r="O121" s="81" t="s">
        <v>232</v>
      </c>
      <c r="R121" s="84">
        <f>K121/J121</f>
        <v>2.0176544766708702</v>
      </c>
      <c r="S121" s="81">
        <v>36.980815887451101</v>
      </c>
      <c r="T121" s="81">
        <v>-122.005744934082</v>
      </c>
      <c r="U121" s="81" t="s">
        <v>285</v>
      </c>
    </row>
    <row r="122" spans="1:21" ht="90" x14ac:dyDescent="0.25">
      <c r="A122" s="71" t="s">
        <v>415</v>
      </c>
      <c r="B122" s="71" t="s">
        <v>115</v>
      </c>
      <c r="C122" s="71">
        <v>1414</v>
      </c>
      <c r="D122" s="71" t="s">
        <v>185</v>
      </c>
      <c r="E122" s="71" t="s">
        <v>139</v>
      </c>
      <c r="F122" s="71" t="s">
        <v>140</v>
      </c>
      <c r="G122" s="71">
        <v>95062</v>
      </c>
      <c r="H122" s="71" t="s">
        <v>24</v>
      </c>
      <c r="I122" s="81">
        <v>211</v>
      </c>
      <c r="J122" s="72">
        <v>1366</v>
      </c>
      <c r="K122" s="73">
        <v>2730</v>
      </c>
      <c r="L122" s="71" t="s">
        <v>6</v>
      </c>
      <c r="M122" s="71" t="s">
        <v>124</v>
      </c>
      <c r="N122" s="71" t="s">
        <v>125</v>
      </c>
      <c r="O122" s="81" t="s">
        <v>232</v>
      </c>
      <c r="R122" s="74">
        <f>K122/J122</f>
        <v>1.9985358711566619</v>
      </c>
      <c r="S122" s="71">
        <v>36.980815887451101</v>
      </c>
      <c r="T122" s="71">
        <v>-122.005744934082</v>
      </c>
      <c r="U122" s="71" t="s">
        <v>285</v>
      </c>
    </row>
    <row r="123" spans="1:21" ht="90" x14ac:dyDescent="0.25">
      <c r="A123" s="71" t="s">
        <v>415</v>
      </c>
      <c r="B123" s="71" t="s">
        <v>115</v>
      </c>
      <c r="C123" s="71">
        <v>1414</v>
      </c>
      <c r="D123" s="71" t="s">
        <v>185</v>
      </c>
      <c r="E123" s="71" t="s">
        <v>139</v>
      </c>
      <c r="F123" s="71" t="s">
        <v>140</v>
      </c>
      <c r="G123" s="71">
        <v>95062</v>
      </c>
      <c r="H123" s="71" t="s">
        <v>24</v>
      </c>
      <c r="I123" s="71">
        <v>214</v>
      </c>
      <c r="J123" s="72">
        <v>422</v>
      </c>
      <c r="K123" s="73">
        <v>850</v>
      </c>
      <c r="L123" s="71" t="s">
        <v>6</v>
      </c>
      <c r="M123" s="71" t="s">
        <v>124</v>
      </c>
      <c r="N123" s="71" t="s">
        <v>125</v>
      </c>
      <c r="O123" s="71" t="s">
        <v>232</v>
      </c>
      <c r="P123" s="81"/>
      <c r="R123" s="74">
        <f>K123/J123</f>
        <v>2.014218009478673</v>
      </c>
      <c r="S123" s="71">
        <v>36.9808158874512</v>
      </c>
      <c r="T123" s="71">
        <v>-122.005744934082</v>
      </c>
      <c r="U123" s="71" t="s">
        <v>285</v>
      </c>
    </row>
    <row r="124" spans="1:21" ht="90" x14ac:dyDescent="0.25">
      <c r="A124" s="81" t="s">
        <v>415</v>
      </c>
      <c r="B124" s="71" t="s">
        <v>115</v>
      </c>
      <c r="C124" s="71">
        <v>1414</v>
      </c>
      <c r="D124" s="71" t="s">
        <v>185</v>
      </c>
      <c r="E124" s="71" t="s">
        <v>139</v>
      </c>
      <c r="F124" s="71" t="s">
        <v>140</v>
      </c>
      <c r="G124" s="71">
        <v>95062</v>
      </c>
      <c r="H124" s="71" t="s">
        <v>24</v>
      </c>
      <c r="I124" s="71">
        <v>218</v>
      </c>
      <c r="J124" s="72">
        <v>142</v>
      </c>
      <c r="K124" s="73">
        <v>375</v>
      </c>
      <c r="L124" s="71" t="s">
        <v>162</v>
      </c>
      <c r="M124" s="71" t="s">
        <v>124</v>
      </c>
      <c r="N124" s="81" t="s">
        <v>125</v>
      </c>
      <c r="O124" s="71" t="s">
        <v>232</v>
      </c>
      <c r="P124" s="81" t="s">
        <v>466</v>
      </c>
      <c r="R124" s="74">
        <v>2.64</v>
      </c>
      <c r="S124" s="71">
        <v>36.980815890000002</v>
      </c>
      <c r="T124" s="71">
        <v>-122.0057449</v>
      </c>
      <c r="U124" s="71" t="s">
        <v>285</v>
      </c>
    </row>
    <row r="125" spans="1:21" ht="90" x14ac:dyDescent="0.25">
      <c r="A125" s="81" t="s">
        <v>415</v>
      </c>
      <c r="B125" s="71" t="s">
        <v>115</v>
      </c>
      <c r="C125" s="71">
        <v>1414</v>
      </c>
      <c r="D125" s="71" t="s">
        <v>185</v>
      </c>
      <c r="E125" s="71" t="s">
        <v>139</v>
      </c>
      <c r="F125" s="71" t="s">
        <v>140</v>
      </c>
      <c r="G125" s="71">
        <v>95062</v>
      </c>
      <c r="H125" s="71" t="s">
        <v>24</v>
      </c>
      <c r="I125" s="71">
        <v>228</v>
      </c>
      <c r="J125" s="72">
        <v>175</v>
      </c>
      <c r="K125" s="73">
        <v>425</v>
      </c>
      <c r="L125" s="71" t="s">
        <v>162</v>
      </c>
      <c r="M125" s="71" t="s">
        <v>124</v>
      </c>
      <c r="N125" s="81" t="s">
        <v>125</v>
      </c>
      <c r="O125" s="81" t="s">
        <v>232</v>
      </c>
      <c r="P125" s="71" t="s">
        <v>402</v>
      </c>
      <c r="R125" s="74">
        <f>K125/J125</f>
        <v>2.4285714285714284</v>
      </c>
      <c r="S125" s="71">
        <v>36.9808158874512</v>
      </c>
      <c r="T125" s="81">
        <v>-122.005744934082</v>
      </c>
      <c r="U125" s="71" t="s">
        <v>285</v>
      </c>
    </row>
    <row r="126" spans="1:21" ht="90" x14ac:dyDescent="0.25">
      <c r="A126" s="71" t="s">
        <v>415</v>
      </c>
      <c r="B126" s="71" t="s">
        <v>115</v>
      </c>
      <c r="C126" s="71">
        <v>1726</v>
      </c>
      <c r="D126" s="71" t="s">
        <v>186</v>
      </c>
      <c r="E126" s="71" t="s">
        <v>139</v>
      </c>
      <c r="F126" s="71" t="s">
        <v>140</v>
      </c>
      <c r="G126" s="71">
        <v>95062</v>
      </c>
      <c r="H126" s="71" t="s">
        <v>24</v>
      </c>
      <c r="I126" s="81"/>
      <c r="J126" s="72">
        <v>1360</v>
      </c>
      <c r="K126" s="73">
        <v>2750</v>
      </c>
      <c r="L126" s="71" t="s">
        <v>6</v>
      </c>
      <c r="M126" s="81" t="s">
        <v>410</v>
      </c>
      <c r="N126" s="81" t="s">
        <v>411</v>
      </c>
      <c r="O126" s="71" t="s">
        <v>223</v>
      </c>
      <c r="P126" s="81" t="s">
        <v>412</v>
      </c>
      <c r="R126" s="74">
        <f>K126/J126</f>
        <v>2.0220588235294117</v>
      </c>
      <c r="S126" s="71">
        <v>36.980705</v>
      </c>
      <c r="T126" s="71">
        <v>-122.010445</v>
      </c>
      <c r="U126" s="71" t="s">
        <v>413</v>
      </c>
    </row>
    <row r="127" spans="1:21" ht="90" x14ac:dyDescent="0.25">
      <c r="A127" s="81" t="s">
        <v>415</v>
      </c>
      <c r="B127" s="71" t="s">
        <v>115</v>
      </c>
      <c r="C127" s="71">
        <v>1800</v>
      </c>
      <c r="D127" s="71" t="s">
        <v>185</v>
      </c>
      <c r="E127" s="71" t="s">
        <v>139</v>
      </c>
      <c r="F127" s="71" t="s">
        <v>140</v>
      </c>
      <c r="G127" s="71">
        <v>95062</v>
      </c>
      <c r="H127" s="71" t="s">
        <v>24</v>
      </c>
      <c r="I127" s="81"/>
      <c r="J127" s="72">
        <v>7600</v>
      </c>
      <c r="K127" s="73">
        <v>0</v>
      </c>
      <c r="M127" s="71" t="s">
        <v>345</v>
      </c>
      <c r="N127" s="81" t="s">
        <v>93</v>
      </c>
      <c r="O127" s="81" t="s">
        <v>9</v>
      </c>
      <c r="P127" s="71" t="s">
        <v>424</v>
      </c>
      <c r="R127" s="74">
        <f>K127/J127</f>
        <v>0</v>
      </c>
      <c r="S127" s="71">
        <v>36.981107999999999</v>
      </c>
      <c r="T127" s="71">
        <v>-122.001496</v>
      </c>
      <c r="U127" s="71" t="s">
        <v>425</v>
      </c>
    </row>
    <row r="128" spans="1:21" ht="90" x14ac:dyDescent="0.25">
      <c r="A128" s="81" t="s">
        <v>415</v>
      </c>
      <c r="B128" s="71" t="s">
        <v>83</v>
      </c>
      <c r="C128" s="71">
        <v>207</v>
      </c>
      <c r="D128" s="71" t="s">
        <v>188</v>
      </c>
      <c r="E128" s="71" t="s">
        <v>139</v>
      </c>
      <c r="F128" s="71" t="s">
        <v>140</v>
      </c>
      <c r="G128" s="71">
        <v>95060</v>
      </c>
      <c r="H128" s="71" t="s">
        <v>24</v>
      </c>
      <c r="I128" s="71" t="s">
        <v>70</v>
      </c>
      <c r="J128" s="72">
        <v>3273</v>
      </c>
      <c r="K128" s="73">
        <v>1.1499999999999999</v>
      </c>
      <c r="L128" s="71" t="s">
        <v>5</v>
      </c>
      <c r="M128" s="71" t="s">
        <v>308</v>
      </c>
      <c r="N128" s="81" t="s">
        <v>356</v>
      </c>
      <c r="O128" s="81" t="s">
        <v>9</v>
      </c>
      <c r="P128" s="71" t="s">
        <v>360</v>
      </c>
      <c r="R128" s="74">
        <f>K128</f>
        <v>1.1499999999999999</v>
      </c>
      <c r="S128" s="71">
        <v>36.959922790527301</v>
      </c>
      <c r="T128" s="71">
        <v>-122.04775238037099</v>
      </c>
      <c r="U128" s="71" t="s">
        <v>294</v>
      </c>
    </row>
    <row r="129" spans="1:21" ht="90" x14ac:dyDescent="0.25">
      <c r="A129" s="71" t="s">
        <v>415</v>
      </c>
      <c r="B129" s="71" t="s">
        <v>83</v>
      </c>
      <c r="C129" s="71">
        <v>207</v>
      </c>
      <c r="D129" s="71" t="s">
        <v>188</v>
      </c>
      <c r="E129" s="71" t="s">
        <v>139</v>
      </c>
      <c r="F129" s="71" t="s">
        <v>140</v>
      </c>
      <c r="G129" s="71">
        <v>95060</v>
      </c>
      <c r="H129" s="71" t="s">
        <v>24</v>
      </c>
      <c r="I129" s="71" t="s">
        <v>359</v>
      </c>
      <c r="J129" s="72">
        <v>1976</v>
      </c>
      <c r="K129" s="73">
        <v>1.1499999999999999</v>
      </c>
      <c r="L129" s="71" t="s">
        <v>5</v>
      </c>
      <c r="M129" s="71" t="s">
        <v>308</v>
      </c>
      <c r="N129" s="81" t="s">
        <v>356</v>
      </c>
      <c r="O129" s="81" t="s">
        <v>9</v>
      </c>
      <c r="P129" s="71" t="s">
        <v>360</v>
      </c>
      <c r="R129" s="74">
        <v>1.1499999999999999</v>
      </c>
      <c r="S129" s="71">
        <v>36.960129999999999</v>
      </c>
      <c r="T129" s="81">
        <v>-122.047844</v>
      </c>
      <c r="U129" s="71" t="s">
        <v>294</v>
      </c>
    </row>
    <row r="130" spans="1:21" ht="75" x14ac:dyDescent="0.25">
      <c r="A130" s="81" t="s">
        <v>415</v>
      </c>
      <c r="B130" s="81" t="s">
        <v>83</v>
      </c>
      <c r="C130" s="81">
        <v>406</v>
      </c>
      <c r="D130" s="81" t="s">
        <v>169</v>
      </c>
      <c r="E130" s="81" t="s">
        <v>139</v>
      </c>
      <c r="F130" s="81" t="s">
        <v>140</v>
      </c>
      <c r="G130" s="81">
        <v>95060</v>
      </c>
      <c r="H130" s="81" t="s">
        <v>24</v>
      </c>
      <c r="I130" s="81"/>
      <c r="J130" s="82">
        <v>1100</v>
      </c>
      <c r="K130" s="83" t="s">
        <v>371</v>
      </c>
      <c r="L130" s="81"/>
      <c r="M130" s="81" t="s">
        <v>61</v>
      </c>
      <c r="N130" s="81" t="s">
        <v>134</v>
      </c>
      <c r="O130" s="81" t="s">
        <v>133</v>
      </c>
      <c r="P130" s="81" t="s">
        <v>314</v>
      </c>
      <c r="Q130" s="81"/>
      <c r="R130" s="84">
        <v>0</v>
      </c>
      <c r="S130" s="81">
        <v>36.976146697997997</v>
      </c>
      <c r="T130" s="81">
        <v>-122.033096313477</v>
      </c>
      <c r="U130" s="81" t="s">
        <v>296</v>
      </c>
    </row>
    <row r="131" spans="1:21" ht="75" x14ac:dyDescent="0.25">
      <c r="A131" s="71" t="s">
        <v>415</v>
      </c>
      <c r="B131" s="71" t="s">
        <v>83</v>
      </c>
      <c r="C131" s="71">
        <v>701</v>
      </c>
      <c r="D131" s="71" t="s">
        <v>169</v>
      </c>
      <c r="E131" s="71" t="s">
        <v>139</v>
      </c>
      <c r="F131" s="71" t="s">
        <v>140</v>
      </c>
      <c r="G131" s="71">
        <v>95060</v>
      </c>
      <c r="H131" s="71" t="s">
        <v>24</v>
      </c>
      <c r="J131" s="72">
        <v>2279</v>
      </c>
      <c r="K131" s="73">
        <v>2</v>
      </c>
      <c r="L131" s="71" t="s">
        <v>6</v>
      </c>
      <c r="M131" s="71" t="s">
        <v>99</v>
      </c>
      <c r="N131" s="81" t="s">
        <v>93</v>
      </c>
      <c r="O131" s="81" t="s">
        <v>9</v>
      </c>
      <c r="R131" s="74">
        <v>2</v>
      </c>
      <c r="S131" s="71">
        <v>36.973873138427699</v>
      </c>
      <c r="T131" s="71">
        <v>-122.034118652343</v>
      </c>
      <c r="U131" s="71" t="s">
        <v>297</v>
      </c>
    </row>
    <row r="132" spans="1:21" ht="75" x14ac:dyDescent="0.25">
      <c r="A132" s="81" t="s">
        <v>415</v>
      </c>
      <c r="B132" s="71" t="s">
        <v>83</v>
      </c>
      <c r="C132" s="71">
        <v>730</v>
      </c>
      <c r="D132" s="71" t="s">
        <v>169</v>
      </c>
      <c r="E132" s="71" t="s">
        <v>139</v>
      </c>
      <c r="F132" s="71" t="s">
        <v>140</v>
      </c>
      <c r="G132" s="71">
        <v>95060</v>
      </c>
      <c r="H132" s="71" t="s">
        <v>24</v>
      </c>
      <c r="J132" s="72">
        <v>2400</v>
      </c>
      <c r="K132" s="73">
        <v>1.25</v>
      </c>
      <c r="L132" s="71" t="s">
        <v>5</v>
      </c>
      <c r="M132" s="71" t="s">
        <v>95</v>
      </c>
      <c r="N132" s="80" t="s">
        <v>243</v>
      </c>
      <c r="O132" s="81" t="s">
        <v>94</v>
      </c>
      <c r="P132" s="71" t="s">
        <v>163</v>
      </c>
      <c r="R132" s="74">
        <f>K132</f>
        <v>1.25</v>
      </c>
      <c r="S132" s="71">
        <v>36.973289489746101</v>
      </c>
      <c r="T132" s="71">
        <v>-122.03522491455099</v>
      </c>
      <c r="U132" s="71" t="s">
        <v>298</v>
      </c>
    </row>
    <row r="133" spans="1:21" ht="90" x14ac:dyDescent="0.25">
      <c r="A133" s="81" t="s">
        <v>415</v>
      </c>
      <c r="B133" s="71" t="s">
        <v>83</v>
      </c>
      <c r="C133" s="71">
        <v>849</v>
      </c>
      <c r="D133" s="71" t="s">
        <v>193</v>
      </c>
      <c r="E133" s="71" t="s">
        <v>139</v>
      </c>
      <c r="F133" s="71" t="s">
        <v>140</v>
      </c>
      <c r="G133" s="71">
        <v>95060</v>
      </c>
      <c r="H133" s="71" t="s">
        <v>2</v>
      </c>
      <c r="I133" s="81" t="s">
        <v>50</v>
      </c>
      <c r="J133" s="72">
        <v>1920</v>
      </c>
      <c r="K133" s="73">
        <v>0</v>
      </c>
      <c r="L133" s="71" t="s">
        <v>5</v>
      </c>
      <c r="M133" s="71" t="s">
        <v>92</v>
      </c>
      <c r="N133" s="71" t="s">
        <v>93</v>
      </c>
      <c r="O133" s="81" t="s">
        <v>9</v>
      </c>
      <c r="P133" s="71" t="s">
        <v>195</v>
      </c>
      <c r="R133" s="74">
        <f>K133</f>
        <v>0</v>
      </c>
      <c r="S133" s="71">
        <v>36.961211040616</v>
      </c>
      <c r="T133" s="71">
        <v>-122.043668478727</v>
      </c>
      <c r="U133" s="71" t="s">
        <v>290</v>
      </c>
    </row>
    <row r="134" spans="1:21" ht="75" x14ac:dyDescent="0.25">
      <c r="A134" s="81" t="s">
        <v>415</v>
      </c>
      <c r="B134" s="71" t="s">
        <v>83</v>
      </c>
      <c r="C134" s="71">
        <v>1010</v>
      </c>
      <c r="D134" s="71" t="s">
        <v>187</v>
      </c>
      <c r="E134" s="71" t="s">
        <v>139</v>
      </c>
      <c r="F134" s="71" t="s">
        <v>140</v>
      </c>
      <c r="G134" s="71">
        <v>95060</v>
      </c>
      <c r="H134" s="71" t="s">
        <v>24</v>
      </c>
      <c r="I134" s="71" t="s">
        <v>42</v>
      </c>
      <c r="J134" s="72">
        <v>983</v>
      </c>
      <c r="K134" s="73">
        <v>1.39</v>
      </c>
      <c r="L134" s="71" t="s">
        <v>5</v>
      </c>
      <c r="M134" s="71" t="s">
        <v>0</v>
      </c>
      <c r="N134" s="81" t="s">
        <v>1</v>
      </c>
      <c r="O134" s="81" t="s">
        <v>46</v>
      </c>
      <c r="P134" s="71" t="s">
        <v>233</v>
      </c>
      <c r="Q134" s="71">
        <v>0.3</v>
      </c>
      <c r="R134" s="74">
        <v>1.39</v>
      </c>
      <c r="S134" s="71">
        <v>36.958946228027301</v>
      </c>
      <c r="T134" s="81">
        <v>-122.04522705078099</v>
      </c>
      <c r="U134" s="71" t="s">
        <v>292</v>
      </c>
    </row>
    <row r="135" spans="1:21" ht="75" x14ac:dyDescent="0.25">
      <c r="A135" s="81" t="s">
        <v>415</v>
      </c>
      <c r="B135" s="71" t="s">
        <v>83</v>
      </c>
      <c r="C135" s="71">
        <v>1515</v>
      </c>
      <c r="D135" s="71" t="s">
        <v>169</v>
      </c>
      <c r="E135" s="71" t="s">
        <v>139</v>
      </c>
      <c r="F135" s="71" t="s">
        <v>140</v>
      </c>
      <c r="G135" s="71">
        <v>95060</v>
      </c>
      <c r="H135" s="71" t="s">
        <v>2</v>
      </c>
      <c r="J135" s="72">
        <v>1845</v>
      </c>
      <c r="K135" s="73">
        <v>2125</v>
      </c>
      <c r="L135" s="71" t="s">
        <v>5</v>
      </c>
      <c r="M135" s="71" t="s">
        <v>77</v>
      </c>
      <c r="N135" s="81" t="s">
        <v>78</v>
      </c>
      <c r="O135" s="76" t="s">
        <v>79</v>
      </c>
      <c r="P135" s="71" t="s">
        <v>405</v>
      </c>
      <c r="R135" s="74">
        <f>K135/J135</f>
        <v>1.1517615176151761</v>
      </c>
      <c r="S135" s="71">
        <v>36.966609954833999</v>
      </c>
      <c r="T135" s="84">
        <v>-122.03981781005901</v>
      </c>
      <c r="U135" s="71" t="s">
        <v>341</v>
      </c>
    </row>
    <row r="136" spans="1:21" ht="90" x14ac:dyDescent="0.25">
      <c r="A136" s="81" t="s">
        <v>415</v>
      </c>
      <c r="B136" s="71" t="s">
        <v>83</v>
      </c>
      <c r="C136" s="71">
        <v>2117</v>
      </c>
      <c r="D136" s="71" t="s">
        <v>189</v>
      </c>
      <c r="E136" s="71" t="s">
        <v>139</v>
      </c>
      <c r="F136" s="71" t="s">
        <v>140</v>
      </c>
      <c r="G136" s="71">
        <v>95060</v>
      </c>
      <c r="H136" s="71" t="s">
        <v>8</v>
      </c>
      <c r="I136" s="71" t="s">
        <v>41</v>
      </c>
      <c r="J136" s="72">
        <v>3600</v>
      </c>
      <c r="K136" s="73">
        <v>0.9</v>
      </c>
      <c r="L136" s="71" t="s">
        <v>5</v>
      </c>
      <c r="M136" s="71" t="s">
        <v>95</v>
      </c>
      <c r="N136" s="80" t="s">
        <v>243</v>
      </c>
      <c r="O136" s="81" t="s">
        <v>94</v>
      </c>
      <c r="R136" s="74">
        <f>K136</f>
        <v>0.9</v>
      </c>
      <c r="S136" s="71">
        <v>36.9551391601562</v>
      </c>
      <c r="T136" s="81">
        <v>-122.04953765869099</v>
      </c>
      <c r="U136" s="71" t="s">
        <v>291</v>
      </c>
    </row>
    <row r="137" spans="1:21" ht="75" x14ac:dyDescent="0.25">
      <c r="A137" s="71" t="s">
        <v>415</v>
      </c>
      <c r="B137" s="71" t="s">
        <v>83</v>
      </c>
      <c r="C137" s="71">
        <v>2117</v>
      </c>
      <c r="D137" s="71" t="s">
        <v>169</v>
      </c>
      <c r="E137" s="71" t="s">
        <v>139</v>
      </c>
      <c r="F137" s="71" t="s">
        <v>140</v>
      </c>
      <c r="G137" s="71">
        <v>95060</v>
      </c>
      <c r="H137" s="71" t="s">
        <v>7</v>
      </c>
      <c r="J137" s="72">
        <v>1853</v>
      </c>
      <c r="K137" s="73">
        <v>3</v>
      </c>
      <c r="L137" s="71" t="s">
        <v>5</v>
      </c>
      <c r="M137" s="71" t="s">
        <v>92</v>
      </c>
      <c r="N137" s="81" t="s">
        <v>93</v>
      </c>
      <c r="O137" s="81" t="s">
        <v>9</v>
      </c>
      <c r="P137" s="71" t="s">
        <v>141</v>
      </c>
      <c r="R137" s="74">
        <f>K137</f>
        <v>3</v>
      </c>
      <c r="S137" s="71">
        <v>36.962454244494403</v>
      </c>
      <c r="T137" s="81">
        <v>-122.044017836451</v>
      </c>
      <c r="U137" s="71" t="s">
        <v>299</v>
      </c>
    </row>
    <row r="138" spans="1:21" ht="90" x14ac:dyDescent="0.25">
      <c r="A138" s="81" t="s">
        <v>415</v>
      </c>
      <c r="B138" s="81" t="s">
        <v>83</v>
      </c>
      <c r="C138" s="81">
        <v>2155</v>
      </c>
      <c r="D138" s="81" t="s">
        <v>189</v>
      </c>
      <c r="E138" s="81" t="s">
        <v>139</v>
      </c>
      <c r="F138" s="81" t="s">
        <v>140</v>
      </c>
      <c r="G138" s="81">
        <v>95060</v>
      </c>
      <c r="H138" s="81" t="s">
        <v>24</v>
      </c>
      <c r="I138" s="81" t="s">
        <v>355</v>
      </c>
      <c r="J138" s="82">
        <v>9654</v>
      </c>
      <c r="K138" s="83">
        <v>1.1499999999999999</v>
      </c>
      <c r="L138" s="81" t="s">
        <v>5</v>
      </c>
      <c r="M138" s="81" t="s">
        <v>308</v>
      </c>
      <c r="N138" s="81" t="s">
        <v>356</v>
      </c>
      <c r="O138" s="81" t="s">
        <v>9</v>
      </c>
      <c r="P138" s="81" t="s">
        <v>426</v>
      </c>
      <c r="Q138" s="81"/>
      <c r="R138" s="84">
        <v>1.1499999999999999</v>
      </c>
      <c r="S138" s="81">
        <v>36.955129999999997</v>
      </c>
      <c r="T138" s="81">
        <v>-122.053029</v>
      </c>
      <c r="U138" s="81" t="s">
        <v>358</v>
      </c>
    </row>
    <row r="139" spans="1:21" s="75" customFormat="1" ht="75" x14ac:dyDescent="0.25">
      <c r="A139" s="81" t="s">
        <v>415</v>
      </c>
      <c r="B139" s="81" t="s">
        <v>83</v>
      </c>
      <c r="C139" s="81">
        <v>2901</v>
      </c>
      <c r="D139" s="81" t="s">
        <v>169</v>
      </c>
      <c r="E139" s="81" t="s">
        <v>139</v>
      </c>
      <c r="F139" s="81" t="s">
        <v>140</v>
      </c>
      <c r="G139" s="81">
        <v>95060</v>
      </c>
      <c r="H139" s="81" t="s">
        <v>24</v>
      </c>
      <c r="I139" s="81"/>
      <c r="J139" s="82">
        <v>16408</v>
      </c>
      <c r="K139" s="83">
        <v>1.25</v>
      </c>
      <c r="L139" s="81" t="s">
        <v>5</v>
      </c>
      <c r="M139" s="81" t="s">
        <v>351</v>
      </c>
      <c r="N139" s="81" t="s">
        <v>222</v>
      </c>
      <c r="O139" s="81" t="s">
        <v>223</v>
      </c>
      <c r="P139" s="81" t="s">
        <v>352</v>
      </c>
      <c r="Q139" s="81"/>
      <c r="R139" s="84">
        <f>K139</f>
        <v>1.25</v>
      </c>
      <c r="S139" s="81">
        <v>36.959712000000003</v>
      </c>
      <c r="T139" s="81">
        <v>-122.057743</v>
      </c>
      <c r="U139" s="81" t="s">
        <v>353</v>
      </c>
    </row>
    <row r="140" spans="1:21" ht="75" x14ac:dyDescent="0.25">
      <c r="A140" s="81" t="s">
        <v>415</v>
      </c>
      <c r="B140" s="81" t="s">
        <v>83</v>
      </c>
      <c r="C140" s="81">
        <v>3004</v>
      </c>
      <c r="D140" s="81" t="s">
        <v>169</v>
      </c>
      <c r="E140" s="81" t="s">
        <v>139</v>
      </c>
      <c r="F140" s="81" t="s">
        <v>140</v>
      </c>
      <c r="G140" s="81">
        <v>95060</v>
      </c>
      <c r="H140" s="81" t="s">
        <v>24</v>
      </c>
      <c r="I140" s="81">
        <v>150</v>
      </c>
      <c r="J140" s="82">
        <v>6500</v>
      </c>
      <c r="K140" s="83">
        <v>1.7</v>
      </c>
      <c r="L140" s="71" t="s">
        <v>162</v>
      </c>
      <c r="M140" s="71" t="s">
        <v>35</v>
      </c>
      <c r="N140" s="71" t="s">
        <v>36</v>
      </c>
      <c r="O140" s="71" t="s">
        <v>37</v>
      </c>
      <c r="R140" s="74">
        <f>K140</f>
        <v>1.7</v>
      </c>
      <c r="S140" s="71">
        <v>36.960361480712798</v>
      </c>
      <c r="T140" s="71">
        <v>-122.05954742431599</v>
      </c>
      <c r="U140" s="71" t="s">
        <v>302</v>
      </c>
    </row>
    <row r="141" spans="1:21" s="81" customFormat="1" ht="75" x14ac:dyDescent="0.25">
      <c r="A141" s="81" t="s">
        <v>415</v>
      </c>
      <c r="B141" s="75" t="s">
        <v>83</v>
      </c>
      <c r="C141" s="75">
        <v>3004</v>
      </c>
      <c r="D141" s="75" t="s">
        <v>169</v>
      </c>
      <c r="E141" s="75" t="s">
        <v>139</v>
      </c>
      <c r="F141" s="75" t="s">
        <v>140</v>
      </c>
      <c r="G141" s="75">
        <v>95060</v>
      </c>
      <c r="H141" s="75" t="s">
        <v>8</v>
      </c>
      <c r="I141" s="75">
        <v>220</v>
      </c>
      <c r="J141" s="90">
        <v>14000</v>
      </c>
      <c r="K141" s="91">
        <v>1.05</v>
      </c>
      <c r="L141" s="75" t="s">
        <v>162</v>
      </c>
      <c r="M141" s="75" t="s">
        <v>35</v>
      </c>
      <c r="N141" s="75" t="s">
        <v>36</v>
      </c>
      <c r="O141" s="75" t="s">
        <v>37</v>
      </c>
      <c r="P141" s="75"/>
      <c r="Q141" s="75"/>
      <c r="R141" s="92">
        <f>K141</f>
        <v>1.05</v>
      </c>
      <c r="S141" s="75">
        <v>36.960361480712898</v>
      </c>
      <c r="T141" s="75">
        <v>-122.05954742431599</v>
      </c>
      <c r="U141" s="75" t="s">
        <v>302</v>
      </c>
    </row>
    <row r="142" spans="1:21" s="81" customFormat="1" ht="75" x14ac:dyDescent="0.25">
      <c r="A142" s="81" t="s">
        <v>415</v>
      </c>
      <c r="B142" s="81" t="s">
        <v>83</v>
      </c>
      <c r="C142" s="81">
        <v>3004</v>
      </c>
      <c r="D142" s="81" t="s">
        <v>169</v>
      </c>
      <c r="E142" s="81" t="s">
        <v>139</v>
      </c>
      <c r="F142" s="81" t="s">
        <v>140</v>
      </c>
      <c r="G142" s="81">
        <v>95060</v>
      </c>
      <c r="H142" s="81" t="s">
        <v>8</v>
      </c>
      <c r="I142" s="81">
        <v>230</v>
      </c>
      <c r="J142" s="82">
        <v>1400</v>
      </c>
      <c r="K142" s="83">
        <v>1.7</v>
      </c>
      <c r="L142" s="81" t="s">
        <v>162</v>
      </c>
      <c r="M142" s="81" t="s">
        <v>35</v>
      </c>
      <c r="N142" s="81" t="s">
        <v>36</v>
      </c>
      <c r="O142" s="81" t="s">
        <v>37</v>
      </c>
      <c r="R142" s="84">
        <f>K142</f>
        <v>1.7</v>
      </c>
      <c r="S142" s="81">
        <v>36.960361480712898</v>
      </c>
      <c r="T142" s="81">
        <v>-122.05954742431599</v>
      </c>
      <c r="U142" s="81" t="s">
        <v>302</v>
      </c>
    </row>
    <row r="147" spans="10:18" x14ac:dyDescent="0.25">
      <c r="J147" s="71"/>
      <c r="K147" s="71"/>
      <c r="R147" s="71"/>
    </row>
    <row r="148" spans="10:18" x14ac:dyDescent="0.25">
      <c r="J148" s="71"/>
      <c r="K148" s="71"/>
      <c r="R148" s="71"/>
    </row>
    <row r="149" spans="10:18" x14ac:dyDescent="0.25">
      <c r="J149" s="71"/>
      <c r="K149" s="71"/>
      <c r="R149" s="71"/>
    </row>
    <row r="150" spans="10:18" x14ac:dyDescent="0.25">
      <c r="J150" s="71"/>
      <c r="K150" s="71"/>
      <c r="R150" s="71"/>
    </row>
    <row r="151" spans="10:18" x14ac:dyDescent="0.25">
      <c r="J151" s="71"/>
      <c r="K151" s="71"/>
      <c r="R151" s="71"/>
    </row>
    <row r="152" spans="10:18" x14ac:dyDescent="0.25">
      <c r="J152" s="71"/>
      <c r="K152" s="71"/>
      <c r="R152" s="71"/>
    </row>
    <row r="153" spans="10:18" x14ac:dyDescent="0.25">
      <c r="J153" s="71"/>
      <c r="K153" s="71"/>
      <c r="R153" s="71"/>
    </row>
    <row r="154" spans="10:18" x14ac:dyDescent="0.25">
      <c r="J154" s="71"/>
      <c r="K154" s="71"/>
      <c r="R154" s="71"/>
    </row>
    <row r="155" spans="10:18" x14ac:dyDescent="0.25">
      <c r="J155" s="71"/>
      <c r="K155" s="71"/>
      <c r="R155" s="71"/>
    </row>
    <row r="156" spans="10:18" x14ac:dyDescent="0.25">
      <c r="J156" s="71"/>
      <c r="K156" s="71"/>
      <c r="R156" s="71"/>
    </row>
    <row r="157" spans="10:18" x14ac:dyDescent="0.25">
      <c r="J157" s="71"/>
      <c r="K157" s="71"/>
      <c r="R157" s="71"/>
    </row>
    <row r="158" spans="10:18" x14ac:dyDescent="0.25">
      <c r="J158" s="71"/>
      <c r="K158" s="71"/>
      <c r="R158" s="71"/>
    </row>
    <row r="159" spans="10:18" x14ac:dyDescent="0.25">
      <c r="J159" s="71"/>
      <c r="K159" s="71"/>
      <c r="R159" s="71"/>
    </row>
    <row r="160" spans="10:18" x14ac:dyDescent="0.25">
      <c r="J160" s="71"/>
      <c r="K160" s="71"/>
      <c r="R160" s="71"/>
    </row>
    <row r="161" spans="10:18" x14ac:dyDescent="0.25">
      <c r="J161" s="71"/>
      <c r="K161" s="71"/>
      <c r="R161" s="71"/>
    </row>
    <row r="162" spans="10:18" x14ac:dyDescent="0.25">
      <c r="J162" s="71"/>
      <c r="K162" s="71"/>
      <c r="R162" s="71"/>
    </row>
    <row r="163" spans="10:18" x14ac:dyDescent="0.25">
      <c r="J163" s="71"/>
      <c r="K163" s="71"/>
      <c r="R163" s="71"/>
    </row>
    <row r="164" spans="10:18" x14ac:dyDescent="0.25">
      <c r="J164" s="71"/>
      <c r="K164" s="71"/>
      <c r="R164" s="71"/>
    </row>
    <row r="165" spans="10:18" x14ac:dyDescent="0.25">
      <c r="J165" s="71"/>
      <c r="K165" s="71"/>
      <c r="R165" s="71"/>
    </row>
    <row r="166" spans="10:18" x14ac:dyDescent="0.25">
      <c r="J166" s="71"/>
      <c r="K166" s="71"/>
      <c r="R166" s="71"/>
    </row>
  </sheetData>
  <sortState ref="A2:U166">
    <sortCondition ref="A2:A166"/>
    <sortCondition ref="B2:B166"/>
    <sortCondition ref="C2:C166"/>
    <sortCondition ref="D2:D166"/>
  </sortState>
  <hyperlinks>
    <hyperlink ref="O92" display="rick_melrose@yahoo.com"/>
    <hyperlink ref="O74" display="wreed@jsco.net"/>
    <hyperlink ref="O100" display="davidcury@yahoo.com"/>
    <hyperlink ref="O119:O125" display="russellgross.com"/>
    <hyperlink ref="O54" display="tracy@cifpm.com"/>
    <hyperlink ref="O103" display="Rentalinfo@lemarco.com"/>
    <hyperlink ref="O21" display="dbrentals@gmail.com"/>
    <hyperlink ref="O20" display="dbrentals@gmail.com"/>
    <hyperlink ref="O22" display="dbrentals@gmail.com"/>
    <hyperlink ref="O56" display="rick_melrose@yahoo.com"/>
    <hyperlink ref="O17" r:id="rId1"/>
    <hyperlink ref="O18" r:id="rId2"/>
    <hyperlink ref="O16" r:id="rId3"/>
    <hyperlink ref="O13" r:id="rId4"/>
    <hyperlink ref="O61:O63" display="Rentalinfo@lemarco.com"/>
    <hyperlink ref="O63:O64" display="Rentalinfo@lemarco.com"/>
    <hyperlink ref="O14" r:id="rId5"/>
    <hyperlink ref="O119" display="sue@andersonchristie.com"/>
    <hyperlink ref="O135" display="sue@andersonchristie.com"/>
    <hyperlink ref="O15" r:id="rId6"/>
    <hyperlink ref="O98" r:id="rId7"/>
    <hyperlink ref="O111" r:id="rId8"/>
    <hyperlink ref="O33" r:id="rId9"/>
    <hyperlink ref="O107" display="Rentalinfo@lemarco.com"/>
    <hyperlink ref="O88" r:id="rId10"/>
  </hyperlinks>
  <pageMargins left="0.7" right="0.7" top="0.75" bottom="0.75" header="0.3" footer="0.3"/>
  <pageSetup orientation="portrait" horizontalDpi="1200" verticalDpi="12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topLeftCell="A14" workbookViewId="0">
      <selection activeCell="A25" sqref="A25"/>
    </sheetView>
  </sheetViews>
  <sheetFormatPr defaultColWidth="19.7109375" defaultRowHeight="12.75" x14ac:dyDescent="0.2"/>
  <cols>
    <col min="1" max="1" width="19.7109375" style="6" customWidth="1"/>
    <col min="2" max="3" width="19.7109375" style="6"/>
    <col min="4" max="4" width="8.42578125" style="6" customWidth="1"/>
    <col min="5" max="5" width="9.5703125" style="149" customWidth="1"/>
    <col min="6" max="6" width="11.7109375" style="145" customWidth="1"/>
    <col min="7" max="7" width="9.140625" style="6" customWidth="1"/>
    <col min="8" max="9" width="19.7109375" style="6"/>
    <col min="10" max="10" width="21.85546875" style="6" customWidth="1"/>
    <col min="11" max="16384" width="19.7109375" style="6"/>
  </cols>
  <sheetData>
    <row r="1" spans="1:10" s="5" customFormat="1" ht="25.5" x14ac:dyDescent="0.2">
      <c r="A1" s="28" t="s">
        <v>19</v>
      </c>
      <c r="B1" s="28" t="s">
        <v>164</v>
      </c>
      <c r="C1" s="28" t="s">
        <v>18</v>
      </c>
      <c r="D1" s="28" t="s">
        <v>23</v>
      </c>
      <c r="E1" s="146" t="s">
        <v>16</v>
      </c>
      <c r="F1" s="142" t="s">
        <v>201</v>
      </c>
      <c r="G1" s="28" t="s">
        <v>15</v>
      </c>
      <c r="H1" s="28" t="s">
        <v>14</v>
      </c>
      <c r="I1" s="28" t="s">
        <v>13</v>
      </c>
      <c r="J1" s="28" t="s">
        <v>12</v>
      </c>
    </row>
    <row r="2" spans="1:10" s="81" customFormat="1" ht="15" x14ac:dyDescent="0.25">
      <c r="A2" s="81">
        <v>2119</v>
      </c>
      <c r="B2" s="81" t="s">
        <v>189</v>
      </c>
      <c r="C2" s="81" t="s">
        <v>51</v>
      </c>
      <c r="D2" s="80"/>
      <c r="E2" s="82">
        <v>10800</v>
      </c>
      <c r="F2" s="143">
        <v>0.8</v>
      </c>
      <c r="G2" s="81" t="s">
        <v>5</v>
      </c>
      <c r="H2" s="81" t="s">
        <v>95</v>
      </c>
      <c r="I2" s="81" t="s">
        <v>243</v>
      </c>
    </row>
    <row r="3" spans="1:10" s="81" customFormat="1" ht="15" x14ac:dyDescent="0.25">
      <c r="A3" s="81">
        <v>320</v>
      </c>
      <c r="B3" s="81" t="s">
        <v>182</v>
      </c>
      <c r="C3" s="81" t="s">
        <v>48</v>
      </c>
      <c r="E3" s="82">
        <v>7594</v>
      </c>
      <c r="F3" s="143">
        <v>1.1499999999999999</v>
      </c>
      <c r="G3" s="81" t="s">
        <v>5</v>
      </c>
      <c r="H3" s="81" t="s">
        <v>99</v>
      </c>
      <c r="I3" s="81" t="s">
        <v>93</v>
      </c>
      <c r="J3" s="81" t="s">
        <v>432</v>
      </c>
    </row>
    <row r="4" spans="1:10" s="81" customFormat="1" ht="30" x14ac:dyDescent="0.25">
      <c r="A4" s="81">
        <v>115</v>
      </c>
      <c r="B4" s="81" t="s">
        <v>179</v>
      </c>
      <c r="C4" s="81" t="s">
        <v>48</v>
      </c>
      <c r="E4" s="82">
        <v>4200</v>
      </c>
      <c r="F4" s="143">
        <v>1</v>
      </c>
      <c r="G4" s="81" t="s">
        <v>10</v>
      </c>
      <c r="H4" s="81" t="s">
        <v>61</v>
      </c>
      <c r="I4" s="81" t="s">
        <v>134</v>
      </c>
    </row>
    <row r="5" spans="1:10" s="81" customFormat="1" ht="30" x14ac:dyDescent="0.25">
      <c r="A5" s="81">
        <v>511</v>
      </c>
      <c r="B5" s="81" t="s">
        <v>190</v>
      </c>
      <c r="C5" s="81" t="s">
        <v>51</v>
      </c>
      <c r="E5" s="82">
        <v>1425</v>
      </c>
      <c r="F5" s="143">
        <v>1800</v>
      </c>
      <c r="G5" s="81" t="s">
        <v>5</v>
      </c>
      <c r="H5" s="81" t="s">
        <v>103</v>
      </c>
      <c r="I5" s="81" t="s">
        <v>104</v>
      </c>
      <c r="J5" s="81" t="s">
        <v>91</v>
      </c>
    </row>
    <row r="6" spans="1:10" s="81" customFormat="1" ht="30" x14ac:dyDescent="0.25">
      <c r="A6" s="81">
        <v>831</v>
      </c>
      <c r="B6" s="81" t="s">
        <v>193</v>
      </c>
      <c r="C6" s="81" t="s">
        <v>84</v>
      </c>
      <c r="E6" s="82">
        <v>44825</v>
      </c>
      <c r="F6" s="143">
        <v>1</v>
      </c>
      <c r="G6" s="81" t="s">
        <v>5</v>
      </c>
      <c r="H6" s="81" t="s">
        <v>25</v>
      </c>
      <c r="I6" s="81" t="s">
        <v>113</v>
      </c>
      <c r="J6" s="81" t="s">
        <v>484</v>
      </c>
    </row>
    <row r="7" spans="1:10" s="81" customFormat="1" ht="15" x14ac:dyDescent="0.25">
      <c r="A7" s="81">
        <v>125</v>
      </c>
      <c r="B7" s="81" t="s">
        <v>188</v>
      </c>
      <c r="C7" s="81" t="s">
        <v>82</v>
      </c>
      <c r="E7" s="82">
        <v>10500</v>
      </c>
      <c r="F7" s="143">
        <v>1.25</v>
      </c>
      <c r="G7" s="81" t="s">
        <v>5</v>
      </c>
      <c r="H7" s="81" t="s">
        <v>95</v>
      </c>
      <c r="I7" s="81" t="s">
        <v>243</v>
      </c>
    </row>
    <row r="8" spans="1:10" s="81" customFormat="1" ht="30" x14ac:dyDescent="0.25">
      <c r="A8" s="81">
        <v>2801</v>
      </c>
      <c r="B8" s="81" t="s">
        <v>169</v>
      </c>
      <c r="C8" s="81" t="s">
        <v>82</v>
      </c>
      <c r="E8" s="147">
        <v>805</v>
      </c>
      <c r="F8" s="143">
        <v>1</v>
      </c>
      <c r="G8" s="81" t="s">
        <v>162</v>
      </c>
      <c r="H8" s="81" t="s">
        <v>100</v>
      </c>
      <c r="I8" s="81" t="s">
        <v>114</v>
      </c>
      <c r="J8" s="81" t="s">
        <v>467</v>
      </c>
    </row>
    <row r="9" spans="1:10" s="81" customFormat="1" ht="42.75" customHeight="1" x14ac:dyDescent="0.25">
      <c r="A9" s="81">
        <v>2801</v>
      </c>
      <c r="B9" s="81" t="s">
        <v>169</v>
      </c>
      <c r="C9" s="81" t="s">
        <v>82</v>
      </c>
      <c r="D9" s="80"/>
      <c r="E9" s="82">
        <v>1610</v>
      </c>
      <c r="F9" s="143">
        <v>0.95</v>
      </c>
      <c r="G9" s="81" t="s">
        <v>162</v>
      </c>
      <c r="H9" s="81" t="s">
        <v>100</v>
      </c>
      <c r="I9" s="81" t="s">
        <v>114</v>
      </c>
      <c r="J9" s="81" t="s">
        <v>467</v>
      </c>
    </row>
    <row r="10" spans="1:10" s="81" customFormat="1" ht="30" x14ac:dyDescent="0.25">
      <c r="A10" s="81">
        <v>2801</v>
      </c>
      <c r="B10" s="81" t="s">
        <v>169</v>
      </c>
      <c r="C10" s="81" t="s">
        <v>82</v>
      </c>
      <c r="E10" s="82">
        <v>2185</v>
      </c>
      <c r="F10" s="143">
        <v>0.9</v>
      </c>
      <c r="G10" s="81" t="s">
        <v>162</v>
      </c>
      <c r="H10" s="81" t="s">
        <v>100</v>
      </c>
      <c r="I10" s="81" t="s">
        <v>114</v>
      </c>
      <c r="J10" s="81" t="s">
        <v>467</v>
      </c>
    </row>
    <row r="11" spans="1:10" s="81" customFormat="1" ht="60" x14ac:dyDescent="0.25">
      <c r="A11" s="81">
        <v>2801</v>
      </c>
      <c r="B11" s="81" t="s">
        <v>169</v>
      </c>
      <c r="C11" s="81" t="s">
        <v>82</v>
      </c>
      <c r="E11" s="82">
        <v>4370</v>
      </c>
      <c r="F11" s="143">
        <v>0.9</v>
      </c>
      <c r="G11" s="81" t="s">
        <v>162</v>
      </c>
      <c r="H11" s="81" t="s">
        <v>100</v>
      </c>
      <c r="I11" s="81" t="s">
        <v>114</v>
      </c>
      <c r="J11" s="81" t="s">
        <v>468</v>
      </c>
    </row>
    <row r="12" spans="1:10" s="81" customFormat="1" ht="73.5" customHeight="1" x14ac:dyDescent="0.25">
      <c r="A12" s="81">
        <v>2801</v>
      </c>
      <c r="B12" s="81" t="s">
        <v>169</v>
      </c>
      <c r="C12" s="81" t="s">
        <v>82</v>
      </c>
      <c r="E12" s="82">
        <v>6555</v>
      </c>
      <c r="F12" s="143">
        <v>0.9</v>
      </c>
      <c r="G12" s="81" t="s">
        <v>162</v>
      </c>
      <c r="H12" s="81" t="s">
        <v>100</v>
      </c>
      <c r="I12" s="81" t="s">
        <v>114</v>
      </c>
      <c r="J12" s="81" t="s">
        <v>468</v>
      </c>
    </row>
    <row r="13" spans="1:10" s="81" customFormat="1" ht="15" x14ac:dyDescent="0.25">
      <c r="A13" s="81">
        <v>1319</v>
      </c>
      <c r="B13" s="81" t="s">
        <v>177</v>
      </c>
      <c r="C13" s="81" t="s">
        <v>84</v>
      </c>
      <c r="E13" s="82">
        <v>1500</v>
      </c>
      <c r="F13" s="143">
        <v>1.25</v>
      </c>
      <c r="G13" s="81" t="s">
        <v>6</v>
      </c>
      <c r="H13" s="81" t="s">
        <v>44</v>
      </c>
      <c r="I13" s="81" t="s">
        <v>45</v>
      </c>
      <c r="J13" s="81" t="s">
        <v>485</v>
      </c>
    </row>
    <row r="14" spans="1:10" s="81" customFormat="1" ht="15" x14ac:dyDescent="0.25">
      <c r="A14" s="81">
        <v>1321</v>
      </c>
      <c r="B14" s="81" t="s">
        <v>177</v>
      </c>
      <c r="C14" s="81" t="s">
        <v>84</v>
      </c>
      <c r="E14" s="82">
        <v>1500</v>
      </c>
      <c r="F14" s="143">
        <v>1.25</v>
      </c>
      <c r="G14" s="81" t="s">
        <v>6</v>
      </c>
      <c r="H14" s="81" t="s">
        <v>44</v>
      </c>
      <c r="I14" s="81" t="s">
        <v>45</v>
      </c>
      <c r="J14" s="81" t="s">
        <v>485</v>
      </c>
    </row>
    <row r="15" spans="1:10" s="81" customFormat="1" ht="15" x14ac:dyDescent="0.25">
      <c r="A15" s="81">
        <v>1323</v>
      </c>
      <c r="B15" s="81" t="s">
        <v>177</v>
      </c>
      <c r="C15" s="81" t="s">
        <v>84</v>
      </c>
      <c r="E15" s="82">
        <v>1500</v>
      </c>
      <c r="F15" s="143">
        <v>1.25</v>
      </c>
      <c r="G15" s="81" t="s">
        <v>6</v>
      </c>
      <c r="H15" s="81" t="s">
        <v>44</v>
      </c>
      <c r="I15" s="81" t="s">
        <v>45</v>
      </c>
      <c r="J15" s="81" t="s">
        <v>485</v>
      </c>
    </row>
    <row r="16" spans="1:10" s="81" customFormat="1" ht="60" x14ac:dyDescent="0.25">
      <c r="A16" s="81">
        <v>820</v>
      </c>
      <c r="B16" s="81" t="s">
        <v>190</v>
      </c>
      <c r="C16" s="81" t="s">
        <v>82</v>
      </c>
      <c r="E16" s="82">
        <v>4000</v>
      </c>
      <c r="F16" s="143">
        <v>0.9</v>
      </c>
      <c r="H16" s="81" t="s">
        <v>378</v>
      </c>
      <c r="I16" s="81" t="s">
        <v>243</v>
      </c>
      <c r="J16" s="81" t="s">
        <v>379</v>
      </c>
    </row>
    <row r="17" spans="1:12" s="81" customFormat="1" ht="45" x14ac:dyDescent="0.25">
      <c r="A17" s="81">
        <v>375</v>
      </c>
      <c r="B17" s="81" t="s">
        <v>183</v>
      </c>
      <c r="C17" s="81" t="s">
        <v>69</v>
      </c>
      <c r="E17" s="82">
        <v>1112</v>
      </c>
      <c r="F17" s="143">
        <v>0.95</v>
      </c>
      <c r="G17" s="81" t="s">
        <v>5</v>
      </c>
      <c r="H17" s="81" t="s">
        <v>333</v>
      </c>
      <c r="I17" s="81" t="s">
        <v>375</v>
      </c>
      <c r="J17" s="81" t="s">
        <v>370</v>
      </c>
    </row>
    <row r="18" spans="1:12" s="81" customFormat="1" ht="15" x14ac:dyDescent="0.25">
      <c r="A18" s="81">
        <v>397</v>
      </c>
      <c r="B18" s="81" t="s">
        <v>183</v>
      </c>
      <c r="C18" s="81" t="s">
        <v>69</v>
      </c>
      <c r="D18" s="81" t="s">
        <v>50</v>
      </c>
      <c r="E18" s="147">
        <v>775</v>
      </c>
      <c r="F18" s="143" t="s">
        <v>371</v>
      </c>
      <c r="G18" s="81" t="s">
        <v>5</v>
      </c>
      <c r="H18" s="81" t="s">
        <v>333</v>
      </c>
      <c r="I18" s="81" t="s">
        <v>375</v>
      </c>
      <c r="J18" s="81" t="s">
        <v>373</v>
      </c>
    </row>
    <row r="19" spans="1:12" s="81" customFormat="1" ht="75" x14ac:dyDescent="0.25">
      <c r="A19" s="81">
        <v>150</v>
      </c>
      <c r="B19" s="81" t="s">
        <v>180</v>
      </c>
      <c r="C19" s="81" t="s">
        <v>69</v>
      </c>
      <c r="D19" s="81" t="s">
        <v>70</v>
      </c>
      <c r="E19" s="82">
        <v>1700</v>
      </c>
      <c r="F19" s="143">
        <v>1800</v>
      </c>
      <c r="H19" s="81" t="s">
        <v>460</v>
      </c>
      <c r="I19" s="81" t="s">
        <v>461</v>
      </c>
      <c r="J19" s="81" t="s">
        <v>463</v>
      </c>
    </row>
    <row r="20" spans="1:12" s="81" customFormat="1" ht="30" x14ac:dyDescent="0.25">
      <c r="A20" s="81">
        <v>151</v>
      </c>
      <c r="B20" s="81" t="s">
        <v>179</v>
      </c>
      <c r="C20" s="81" t="s">
        <v>69</v>
      </c>
      <c r="E20" s="82">
        <v>14000</v>
      </c>
      <c r="F20" s="143">
        <v>1</v>
      </c>
      <c r="G20" s="81" t="s">
        <v>88</v>
      </c>
      <c r="H20" s="81" t="s">
        <v>25</v>
      </c>
      <c r="I20" s="81" t="s">
        <v>113</v>
      </c>
    </row>
    <row r="21" spans="1:12" s="81" customFormat="1" ht="120" x14ac:dyDescent="0.25">
      <c r="A21" s="81">
        <v>298</v>
      </c>
      <c r="B21" s="81" t="s">
        <v>179</v>
      </c>
      <c r="C21" s="81" t="s">
        <v>69</v>
      </c>
      <c r="E21" s="82">
        <v>10700</v>
      </c>
      <c r="F21" s="143">
        <v>0.95</v>
      </c>
      <c r="G21" s="81" t="s">
        <v>5</v>
      </c>
      <c r="H21" s="81" t="s">
        <v>99</v>
      </c>
      <c r="I21" s="81" t="s">
        <v>93</v>
      </c>
      <c r="J21" s="81" t="s">
        <v>446</v>
      </c>
    </row>
    <row r="22" spans="1:12" s="81" customFormat="1" ht="15" x14ac:dyDescent="0.25">
      <c r="A22" s="81">
        <v>2521</v>
      </c>
      <c r="B22" s="81" t="s">
        <v>169</v>
      </c>
      <c r="C22" s="81" t="s">
        <v>85</v>
      </c>
      <c r="E22" s="82">
        <v>7912</v>
      </c>
      <c r="F22" s="143">
        <v>5625</v>
      </c>
      <c r="H22" s="81" t="s">
        <v>95</v>
      </c>
      <c r="I22" s="81" t="s">
        <v>243</v>
      </c>
    </row>
    <row r="23" spans="1:12" s="81" customFormat="1" ht="60" x14ac:dyDescent="0.25">
      <c r="A23" s="81">
        <v>2931</v>
      </c>
      <c r="B23" s="81" t="s">
        <v>169</v>
      </c>
      <c r="C23" s="81" t="s">
        <v>85</v>
      </c>
      <c r="E23" s="82">
        <v>9000</v>
      </c>
      <c r="F23" s="143" t="s">
        <v>371</v>
      </c>
      <c r="H23" s="81" t="s">
        <v>102</v>
      </c>
      <c r="I23" s="81" t="s">
        <v>93</v>
      </c>
      <c r="J23" s="81" t="s">
        <v>315</v>
      </c>
    </row>
    <row r="24" spans="1:12" s="81" customFormat="1" ht="30" x14ac:dyDescent="0.25">
      <c r="A24" s="81">
        <v>1201</v>
      </c>
      <c r="B24" s="81" t="s">
        <v>192</v>
      </c>
      <c r="C24" s="81" t="s">
        <v>85</v>
      </c>
      <c r="D24" s="80"/>
      <c r="E24" s="82">
        <v>4099</v>
      </c>
      <c r="F24" s="143">
        <v>0.8</v>
      </c>
      <c r="G24" s="81" t="s">
        <v>88</v>
      </c>
      <c r="H24" s="81" t="s">
        <v>31</v>
      </c>
      <c r="I24" s="81" t="s">
        <v>32</v>
      </c>
      <c r="J24" s="81" t="s">
        <v>472</v>
      </c>
    </row>
    <row r="25" spans="1:12" s="81" customFormat="1" ht="15" x14ac:dyDescent="0.25">
      <c r="E25" s="147"/>
      <c r="F25" s="143"/>
      <c r="L25" s="84"/>
    </row>
    <row r="26" spans="1:12" s="81" customFormat="1" ht="15" x14ac:dyDescent="0.25">
      <c r="D26" s="82"/>
      <c r="E26" s="147"/>
      <c r="F26" s="143"/>
      <c r="L26" s="84"/>
    </row>
    <row r="27" spans="1:12" s="81" customFormat="1" ht="15" x14ac:dyDescent="0.25">
      <c r="E27" s="147"/>
      <c r="F27" s="143"/>
      <c r="L27" s="84"/>
    </row>
    <row r="28" spans="1:12" s="81" customFormat="1" ht="15" x14ac:dyDescent="0.25">
      <c r="E28" s="147"/>
      <c r="F28" s="143"/>
      <c r="L28" s="84"/>
    </row>
    <row r="29" spans="1:12" s="81" customFormat="1" ht="48" customHeight="1" x14ac:dyDescent="0.25">
      <c r="E29" s="147"/>
      <c r="F29" s="143"/>
      <c r="L29" s="84"/>
    </row>
    <row r="30" spans="1:12" s="81" customFormat="1" ht="45.75" customHeight="1" x14ac:dyDescent="0.25">
      <c r="E30" s="147"/>
      <c r="F30" s="143"/>
      <c r="L30" s="84"/>
    </row>
    <row r="31" spans="1:12" s="81" customFormat="1" ht="45" customHeight="1" x14ac:dyDescent="0.25">
      <c r="E31" s="147"/>
      <c r="F31" s="143"/>
      <c r="L31" s="84"/>
    </row>
    <row r="32" spans="1:12" s="81" customFormat="1" ht="45" customHeight="1" x14ac:dyDescent="0.25">
      <c r="E32" s="147"/>
      <c r="F32" s="143"/>
      <c r="L32" s="84"/>
    </row>
    <row r="33" spans="5:12" s="81" customFormat="1" ht="45" customHeight="1" x14ac:dyDescent="0.25">
      <c r="E33" s="147"/>
      <c r="F33" s="143"/>
      <c r="L33" s="84"/>
    </row>
    <row r="34" spans="5:12" s="81" customFormat="1" ht="71.25" customHeight="1" x14ac:dyDescent="0.25">
      <c r="E34" s="147"/>
      <c r="F34" s="143"/>
      <c r="L34" s="84"/>
    </row>
    <row r="35" spans="5:12" s="81" customFormat="1" ht="78" customHeight="1" x14ac:dyDescent="0.25">
      <c r="E35" s="147"/>
      <c r="F35" s="143"/>
      <c r="L35" s="84"/>
    </row>
    <row r="36" spans="5:12" s="81" customFormat="1" ht="15" x14ac:dyDescent="0.25">
      <c r="E36" s="147"/>
      <c r="F36" s="143"/>
      <c r="I36" s="80"/>
      <c r="L36" s="84"/>
    </row>
    <row r="37" spans="5:12" s="81" customFormat="1" ht="15" x14ac:dyDescent="0.25">
      <c r="E37" s="147"/>
      <c r="F37" s="143"/>
      <c r="L37" s="84"/>
    </row>
    <row r="38" spans="5:12" s="81" customFormat="1" ht="60" customHeight="1" x14ac:dyDescent="0.25">
      <c r="E38" s="147"/>
      <c r="F38" s="143"/>
      <c r="L38" s="84"/>
    </row>
    <row r="39" spans="5:12" s="81" customFormat="1" ht="15" x14ac:dyDescent="0.25">
      <c r="E39" s="147"/>
      <c r="F39" s="143"/>
      <c r="L39" s="84"/>
    </row>
    <row r="40" spans="5:12" s="81" customFormat="1" ht="15" x14ac:dyDescent="0.25">
      <c r="E40" s="147"/>
      <c r="F40" s="143"/>
      <c r="L40" s="84"/>
    </row>
    <row r="41" spans="5:12" s="81" customFormat="1" ht="15" x14ac:dyDescent="0.25">
      <c r="E41" s="147"/>
      <c r="F41" s="143"/>
      <c r="L41" s="84"/>
    </row>
    <row r="42" spans="5:12" s="81" customFormat="1" ht="15" x14ac:dyDescent="0.25">
      <c r="E42" s="147"/>
      <c r="F42" s="143"/>
      <c r="L42" s="84"/>
    </row>
    <row r="43" spans="5:12" s="81" customFormat="1" ht="15" x14ac:dyDescent="0.25">
      <c r="E43" s="147"/>
      <c r="F43" s="143"/>
      <c r="L43" s="84"/>
    </row>
    <row r="44" spans="5:12" s="81" customFormat="1" ht="15" x14ac:dyDescent="0.25">
      <c r="E44" s="147"/>
      <c r="F44" s="143"/>
      <c r="L44" s="84"/>
    </row>
    <row r="45" spans="5:12" s="81" customFormat="1" ht="15" x14ac:dyDescent="0.25">
      <c r="E45" s="147"/>
      <c r="F45" s="143"/>
      <c r="L45" s="84"/>
    </row>
    <row r="46" spans="5:12" s="81" customFormat="1" ht="15" x14ac:dyDescent="0.25">
      <c r="E46" s="147"/>
      <c r="F46" s="143"/>
      <c r="L46" s="84"/>
    </row>
    <row r="47" spans="5:12" s="81" customFormat="1" ht="15" x14ac:dyDescent="0.25">
      <c r="E47" s="147"/>
      <c r="F47" s="143"/>
      <c r="L47" s="84"/>
    </row>
    <row r="48" spans="5:12" s="81" customFormat="1" ht="15" x14ac:dyDescent="0.25">
      <c r="E48" s="147"/>
      <c r="F48" s="143"/>
      <c r="L48" s="84"/>
    </row>
    <row r="49" spans="5:12" s="81" customFormat="1" ht="15" x14ac:dyDescent="0.25">
      <c r="E49" s="147"/>
      <c r="F49" s="143"/>
      <c r="L49" s="84"/>
    </row>
    <row r="50" spans="5:12" s="81" customFormat="1" ht="15" x14ac:dyDescent="0.25">
      <c r="E50" s="147"/>
      <c r="F50" s="143"/>
      <c r="L50" s="84"/>
    </row>
    <row r="51" spans="5:12" s="81" customFormat="1" ht="15" x14ac:dyDescent="0.25">
      <c r="E51" s="147"/>
      <c r="F51" s="143"/>
      <c r="L51" s="84"/>
    </row>
    <row r="52" spans="5:12" s="81" customFormat="1" ht="15" x14ac:dyDescent="0.25">
      <c r="E52" s="147"/>
      <c r="F52" s="143"/>
      <c r="I52" s="80"/>
      <c r="L52" s="84"/>
    </row>
    <row r="53" spans="5:12" s="81" customFormat="1" ht="15" x14ac:dyDescent="0.25">
      <c r="E53" s="147"/>
      <c r="F53" s="143"/>
      <c r="L53" s="84"/>
    </row>
    <row r="54" spans="5:12" s="81" customFormat="1" ht="15" x14ac:dyDescent="0.25">
      <c r="E54" s="147"/>
      <c r="F54" s="143"/>
      <c r="L54" s="84"/>
    </row>
    <row r="55" spans="5:12" s="81" customFormat="1" ht="15" x14ac:dyDescent="0.25">
      <c r="E55" s="147"/>
      <c r="F55" s="143"/>
      <c r="L55" s="84"/>
    </row>
    <row r="56" spans="5:12" s="81" customFormat="1" ht="15" x14ac:dyDescent="0.25">
      <c r="E56" s="147"/>
      <c r="F56" s="143"/>
      <c r="L56" s="84"/>
    </row>
    <row r="57" spans="5:12" s="81" customFormat="1" ht="15" x14ac:dyDescent="0.25">
      <c r="E57" s="147"/>
      <c r="F57" s="143"/>
      <c r="L57" s="84"/>
    </row>
    <row r="58" spans="5:12" s="81" customFormat="1" ht="15" x14ac:dyDescent="0.25">
      <c r="E58" s="147"/>
      <c r="F58" s="143"/>
      <c r="L58" s="84"/>
    </row>
    <row r="59" spans="5:12" s="81" customFormat="1" ht="15" x14ac:dyDescent="0.25">
      <c r="E59" s="147"/>
      <c r="F59" s="143"/>
      <c r="I59" s="80"/>
      <c r="L59" s="84"/>
    </row>
    <row r="60" spans="5:12" s="81" customFormat="1" ht="15" x14ac:dyDescent="0.25">
      <c r="E60" s="147"/>
      <c r="F60" s="143"/>
      <c r="L60" s="84"/>
    </row>
    <row r="61" spans="5:12" s="81" customFormat="1" ht="15" x14ac:dyDescent="0.25">
      <c r="E61" s="147"/>
      <c r="F61" s="143"/>
      <c r="J61" s="84"/>
      <c r="L61" s="84"/>
    </row>
    <row r="62" spans="5:12" s="81" customFormat="1" ht="15" x14ac:dyDescent="0.25">
      <c r="E62" s="147"/>
      <c r="F62" s="143"/>
      <c r="L62" s="84"/>
    </row>
    <row r="63" spans="5:12" s="81" customFormat="1" ht="15" x14ac:dyDescent="0.25">
      <c r="E63" s="147"/>
      <c r="F63" s="143"/>
      <c r="L63" s="84"/>
    </row>
    <row r="64" spans="5:12" s="81" customFormat="1" ht="15" x14ac:dyDescent="0.25">
      <c r="E64" s="147"/>
      <c r="F64" s="143"/>
      <c r="J64" s="84"/>
      <c r="L64" s="84"/>
    </row>
    <row r="65" spans="5:14" s="81" customFormat="1" ht="15" x14ac:dyDescent="0.25">
      <c r="E65" s="147"/>
      <c r="F65" s="143"/>
      <c r="L65" s="84"/>
      <c r="N65" s="84"/>
    </row>
    <row r="66" spans="5:14" s="81" customFormat="1" ht="15" x14ac:dyDescent="0.25">
      <c r="E66" s="147"/>
      <c r="F66" s="143"/>
      <c r="I66" s="80"/>
      <c r="L66" s="84"/>
    </row>
    <row r="67" spans="5:14" s="81" customFormat="1" ht="15" x14ac:dyDescent="0.25">
      <c r="E67" s="147"/>
      <c r="F67" s="143"/>
      <c r="L67" s="84"/>
    </row>
    <row r="68" spans="5:14" s="81" customFormat="1" ht="15" x14ac:dyDescent="0.25">
      <c r="E68" s="147"/>
      <c r="F68" s="143"/>
      <c r="I68" s="80"/>
      <c r="L68" s="84"/>
    </row>
    <row r="69" spans="5:14" s="81" customFormat="1" ht="15" x14ac:dyDescent="0.25">
      <c r="E69" s="147"/>
      <c r="F69" s="143"/>
      <c r="L69" s="84"/>
    </row>
    <row r="70" spans="5:14" s="81" customFormat="1" ht="15" x14ac:dyDescent="0.25">
      <c r="E70" s="147"/>
      <c r="F70" s="143"/>
      <c r="I70" s="80"/>
      <c r="L70" s="84"/>
    </row>
    <row r="71" spans="5:14" s="81" customFormat="1" ht="15" x14ac:dyDescent="0.25">
      <c r="E71" s="147"/>
      <c r="F71" s="143"/>
      <c r="L71" s="84"/>
    </row>
    <row r="72" spans="5:14" s="81" customFormat="1" ht="15" x14ac:dyDescent="0.25">
      <c r="E72" s="147"/>
      <c r="F72" s="143"/>
      <c r="L72" s="84"/>
    </row>
    <row r="73" spans="5:14" s="81" customFormat="1" ht="15" x14ac:dyDescent="0.25">
      <c r="E73" s="147"/>
      <c r="F73" s="143"/>
      <c r="L73" s="84"/>
    </row>
    <row r="74" spans="5:14" s="81" customFormat="1" ht="15" x14ac:dyDescent="0.25">
      <c r="E74" s="147"/>
      <c r="F74" s="143"/>
      <c r="L74" s="84"/>
    </row>
    <row r="75" spans="5:14" s="81" customFormat="1" ht="15" x14ac:dyDescent="0.25">
      <c r="E75" s="147"/>
      <c r="F75" s="143"/>
      <c r="L75" s="84"/>
    </row>
    <row r="76" spans="5:14" s="81" customFormat="1" ht="15" x14ac:dyDescent="0.25">
      <c r="E76" s="147"/>
      <c r="F76" s="143"/>
      <c r="L76" s="84"/>
    </row>
    <row r="77" spans="5:14" s="81" customFormat="1" ht="15" x14ac:dyDescent="0.25">
      <c r="E77" s="147"/>
      <c r="F77" s="143"/>
      <c r="L77" s="84"/>
    </row>
    <row r="78" spans="5:14" s="81" customFormat="1" ht="15" x14ac:dyDescent="0.25">
      <c r="E78" s="147"/>
      <c r="F78" s="143"/>
      <c r="L78" s="84"/>
    </row>
    <row r="79" spans="5:14" s="75" customFormat="1" ht="15" x14ac:dyDescent="0.25">
      <c r="E79" s="148"/>
      <c r="F79" s="144"/>
      <c r="L79" s="92"/>
    </row>
    <row r="80" spans="5:14" s="81" customFormat="1" ht="15" x14ac:dyDescent="0.25">
      <c r="E80" s="147"/>
      <c r="F80" s="143"/>
      <c r="L80" s="84"/>
    </row>
  </sheetData>
  <sortState ref="A2:U24">
    <sortCondition ref="C2:C24"/>
    <sortCondition ref="B2:B24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Views>
    <sheetView workbookViewId="0">
      <selection activeCell="A3" sqref="A3:J3"/>
    </sheetView>
  </sheetViews>
  <sheetFormatPr defaultRowHeight="12.75" x14ac:dyDescent="0.2"/>
  <cols>
    <col min="1" max="1" width="8.7109375" style="141" customWidth="1"/>
    <col min="2" max="2" width="14.7109375" style="141" customWidth="1"/>
    <col min="3" max="3" width="12.5703125" style="141" customWidth="1"/>
    <col min="4" max="4" width="10.85546875" style="141" customWidth="1"/>
    <col min="5" max="5" width="10.28515625" style="141" customWidth="1"/>
    <col min="6" max="6" width="11.5703125" style="141" customWidth="1"/>
    <col min="7" max="7" width="12.42578125" style="141" customWidth="1"/>
    <col min="8" max="8" width="29.28515625" style="141" customWidth="1"/>
    <col min="9" max="9" width="17.28515625" style="141" customWidth="1"/>
    <col min="10" max="10" width="38.42578125" style="141" customWidth="1"/>
    <col min="11" max="16384" width="9.140625" style="141"/>
  </cols>
  <sheetData>
    <row r="1" spans="1:21" s="129" customFormat="1" ht="25.5" x14ac:dyDescent="0.2">
      <c r="A1" s="29" t="s">
        <v>19</v>
      </c>
      <c r="B1" s="29" t="s">
        <v>164</v>
      </c>
      <c r="C1" s="29" t="s">
        <v>18</v>
      </c>
      <c r="D1" s="29" t="s">
        <v>23</v>
      </c>
      <c r="E1" s="30" t="s">
        <v>16</v>
      </c>
      <c r="F1" s="31" t="s">
        <v>201</v>
      </c>
      <c r="G1" s="29" t="s">
        <v>15</v>
      </c>
      <c r="H1" s="29" t="s">
        <v>14</v>
      </c>
      <c r="I1" s="29" t="s">
        <v>13</v>
      </c>
      <c r="J1" s="29" t="s">
        <v>12</v>
      </c>
    </row>
    <row r="2" spans="1:21" s="134" customFormat="1" ht="30" x14ac:dyDescent="0.25">
      <c r="A2" s="130">
        <v>189</v>
      </c>
      <c r="B2" s="130" t="s">
        <v>171</v>
      </c>
      <c r="C2" s="130" t="s">
        <v>51</v>
      </c>
      <c r="D2" s="130" t="s">
        <v>229</v>
      </c>
      <c r="E2" s="131">
        <v>5270</v>
      </c>
      <c r="F2" s="132">
        <v>1.38</v>
      </c>
      <c r="G2" s="130" t="s">
        <v>6</v>
      </c>
      <c r="H2" s="130" t="s">
        <v>77</v>
      </c>
      <c r="I2" s="130" t="s">
        <v>78</v>
      </c>
      <c r="J2" s="130" t="s">
        <v>404</v>
      </c>
      <c r="K2" s="130"/>
      <c r="L2" s="133"/>
      <c r="M2" s="130"/>
      <c r="N2" s="130"/>
      <c r="O2" s="130"/>
      <c r="P2" s="130"/>
      <c r="Q2" s="130"/>
      <c r="R2" s="130"/>
      <c r="S2" s="130"/>
      <c r="T2" s="130"/>
      <c r="U2" s="130"/>
    </row>
    <row r="3" spans="1:21" s="81" customFormat="1" ht="30" x14ac:dyDescent="0.25">
      <c r="A3" s="81">
        <v>1520</v>
      </c>
      <c r="B3" s="81" t="s">
        <v>174</v>
      </c>
      <c r="C3" s="81" t="s">
        <v>487</v>
      </c>
      <c r="D3" s="81" t="s">
        <v>492</v>
      </c>
      <c r="E3" s="82">
        <v>60</v>
      </c>
      <c r="F3" s="83">
        <v>200</v>
      </c>
      <c r="H3" s="81" t="s">
        <v>488</v>
      </c>
      <c r="I3" s="81" t="s">
        <v>489</v>
      </c>
      <c r="J3" s="81" t="s">
        <v>491</v>
      </c>
      <c r="L3" s="84"/>
    </row>
    <row r="4" spans="1:21" s="130" customFormat="1" ht="30" x14ac:dyDescent="0.25">
      <c r="A4" s="130">
        <v>115</v>
      </c>
      <c r="B4" s="130" t="s">
        <v>342</v>
      </c>
      <c r="C4" s="130" t="s">
        <v>116</v>
      </c>
      <c r="E4" s="131">
        <v>5245</v>
      </c>
      <c r="F4" s="132">
        <v>1.55</v>
      </c>
      <c r="G4" s="130" t="s">
        <v>5</v>
      </c>
      <c r="H4" s="130" t="s">
        <v>92</v>
      </c>
      <c r="I4" s="130" t="s">
        <v>93</v>
      </c>
      <c r="J4" s="130" t="s">
        <v>465</v>
      </c>
      <c r="L4" s="133"/>
    </row>
    <row r="5" spans="1:21" s="130" customFormat="1" ht="45" x14ac:dyDescent="0.25">
      <c r="A5" s="130">
        <v>411</v>
      </c>
      <c r="B5" s="130" t="s">
        <v>168</v>
      </c>
      <c r="C5" s="130" t="s">
        <v>24</v>
      </c>
      <c r="D5" s="130" t="s">
        <v>49</v>
      </c>
      <c r="E5" s="131">
        <v>500</v>
      </c>
      <c r="F5" s="132">
        <v>700</v>
      </c>
      <c r="H5" s="130" t="s">
        <v>416</v>
      </c>
      <c r="I5" s="130" t="s">
        <v>417</v>
      </c>
      <c r="J5" s="130" t="s">
        <v>419</v>
      </c>
      <c r="L5" s="133"/>
    </row>
    <row r="6" spans="1:21" s="130" customFormat="1" ht="15" x14ac:dyDescent="0.25">
      <c r="A6" s="130">
        <v>427</v>
      </c>
      <c r="B6" s="130" t="s">
        <v>199</v>
      </c>
      <c r="C6" s="130" t="s">
        <v>8</v>
      </c>
      <c r="E6" s="131">
        <v>450</v>
      </c>
      <c r="F6" s="132">
        <v>2</v>
      </c>
      <c r="G6" s="130" t="s">
        <v>6</v>
      </c>
      <c r="H6" s="130" t="s">
        <v>58</v>
      </c>
      <c r="I6" s="130" t="s">
        <v>59</v>
      </c>
      <c r="J6" s="130" t="s">
        <v>225</v>
      </c>
      <c r="L6" s="133"/>
    </row>
    <row r="7" spans="1:21" s="130" customFormat="1" ht="66" customHeight="1" x14ac:dyDescent="0.25">
      <c r="A7" s="130">
        <v>827</v>
      </c>
      <c r="B7" s="130" t="s">
        <v>168</v>
      </c>
      <c r="C7" s="130" t="s">
        <v>24</v>
      </c>
      <c r="D7" s="130" t="s">
        <v>156</v>
      </c>
      <c r="E7" s="131">
        <v>450</v>
      </c>
      <c r="F7" s="132">
        <v>900</v>
      </c>
      <c r="G7" s="130" t="s">
        <v>6</v>
      </c>
      <c r="H7" s="130" t="s">
        <v>58</v>
      </c>
      <c r="I7" s="130" t="s">
        <v>59</v>
      </c>
      <c r="L7" s="133"/>
    </row>
    <row r="8" spans="1:21" s="130" customFormat="1" ht="30" x14ac:dyDescent="0.25">
      <c r="A8" s="130">
        <v>1001</v>
      </c>
      <c r="B8" s="130" t="s">
        <v>477</v>
      </c>
      <c r="C8" s="130" t="s">
        <v>24</v>
      </c>
      <c r="D8" s="130">
        <v>2</v>
      </c>
      <c r="E8" s="131">
        <v>486</v>
      </c>
      <c r="F8" s="132">
        <v>650</v>
      </c>
      <c r="G8" s="130" t="s">
        <v>5</v>
      </c>
      <c r="H8" s="130" t="s">
        <v>20</v>
      </c>
      <c r="I8" s="130" t="s">
        <v>21</v>
      </c>
      <c r="J8" s="130" t="s">
        <v>478</v>
      </c>
      <c r="L8" s="133"/>
    </row>
    <row r="9" spans="1:21" s="130" customFormat="1" ht="30" x14ac:dyDescent="0.25">
      <c r="A9" s="136">
        <v>500</v>
      </c>
      <c r="B9" s="136" t="s">
        <v>361</v>
      </c>
      <c r="C9" s="136" t="s">
        <v>24</v>
      </c>
      <c r="D9" s="136" t="s">
        <v>362</v>
      </c>
      <c r="E9" s="137">
        <v>156</v>
      </c>
      <c r="F9" s="138">
        <v>400</v>
      </c>
      <c r="G9" s="136" t="s">
        <v>6</v>
      </c>
      <c r="H9" s="136" t="s">
        <v>363</v>
      </c>
      <c r="I9" s="136" t="s">
        <v>364</v>
      </c>
      <c r="J9" s="136" t="s">
        <v>365</v>
      </c>
      <c r="K9" s="136"/>
      <c r="L9" s="139"/>
      <c r="M9" s="136"/>
      <c r="N9" s="139"/>
    </row>
    <row r="10" spans="1:21" s="130" customFormat="1" ht="30" x14ac:dyDescent="0.25">
      <c r="A10" s="130">
        <v>110</v>
      </c>
      <c r="B10" s="130" t="s">
        <v>165</v>
      </c>
      <c r="C10" s="130" t="s">
        <v>24</v>
      </c>
      <c r="D10" s="130" t="s">
        <v>156</v>
      </c>
      <c r="E10" s="131">
        <v>23451</v>
      </c>
      <c r="F10" s="132">
        <v>1.65</v>
      </c>
      <c r="G10" s="130" t="s">
        <v>5</v>
      </c>
      <c r="H10" s="130" t="s">
        <v>448</v>
      </c>
      <c r="I10" s="130" t="s">
        <v>4</v>
      </c>
      <c r="J10" s="130" t="s">
        <v>142</v>
      </c>
      <c r="L10" s="133"/>
      <c r="M10" s="134"/>
      <c r="N10" s="134"/>
      <c r="O10" s="134"/>
      <c r="P10" s="134"/>
      <c r="Q10" s="134"/>
      <c r="R10" s="134"/>
      <c r="S10" s="134"/>
      <c r="T10" s="134"/>
      <c r="U10" s="134"/>
    </row>
    <row r="11" spans="1:21" s="130" customFormat="1" ht="15" x14ac:dyDescent="0.25">
      <c r="A11" s="130">
        <v>110</v>
      </c>
      <c r="B11" s="130" t="s">
        <v>165</v>
      </c>
      <c r="C11" s="130" t="s">
        <v>24</v>
      </c>
      <c r="D11" s="130" t="s">
        <v>157</v>
      </c>
      <c r="E11" s="131">
        <v>23153</v>
      </c>
      <c r="F11" s="132">
        <v>1.65</v>
      </c>
      <c r="G11" s="130" t="s">
        <v>5</v>
      </c>
      <c r="H11" s="130" t="s">
        <v>450</v>
      </c>
      <c r="I11" s="130" t="s">
        <v>4</v>
      </c>
      <c r="J11" s="130" t="s">
        <v>34</v>
      </c>
      <c r="L11" s="133"/>
    </row>
    <row r="12" spans="1:21" s="135" customFormat="1" ht="15" x14ac:dyDescent="0.25">
      <c r="A12" s="130">
        <v>110</v>
      </c>
      <c r="B12" s="130" t="s">
        <v>165</v>
      </c>
      <c r="C12" s="130" t="s">
        <v>24</v>
      </c>
      <c r="D12" s="130" t="s">
        <v>155</v>
      </c>
      <c r="E12" s="131">
        <v>17880</v>
      </c>
      <c r="F12" s="132">
        <v>1.65</v>
      </c>
      <c r="G12" s="130" t="s">
        <v>5</v>
      </c>
      <c r="H12" s="130" t="s">
        <v>450</v>
      </c>
      <c r="I12" s="130" t="s">
        <v>4</v>
      </c>
      <c r="J12" s="130" t="s">
        <v>34</v>
      </c>
      <c r="K12" s="130"/>
      <c r="L12" s="133"/>
      <c r="M12" s="130"/>
      <c r="N12" s="130"/>
      <c r="O12" s="130"/>
      <c r="P12" s="130"/>
      <c r="Q12" s="130"/>
      <c r="R12" s="130"/>
      <c r="S12" s="130"/>
      <c r="T12" s="130"/>
      <c r="U12" s="130"/>
    </row>
    <row r="13" spans="1:21" s="135" customFormat="1" ht="15" x14ac:dyDescent="0.25">
      <c r="A13" s="130">
        <v>110</v>
      </c>
      <c r="B13" s="130" t="s">
        <v>165</v>
      </c>
      <c r="C13" s="130" t="s">
        <v>24</v>
      </c>
      <c r="D13" s="130" t="s">
        <v>154</v>
      </c>
      <c r="E13" s="131">
        <v>14669</v>
      </c>
      <c r="F13" s="132">
        <v>1.65</v>
      </c>
      <c r="G13" s="130" t="s">
        <v>5</v>
      </c>
      <c r="H13" s="130" t="s">
        <v>450</v>
      </c>
      <c r="I13" s="130" t="s">
        <v>4</v>
      </c>
      <c r="J13" s="130" t="s">
        <v>34</v>
      </c>
      <c r="K13" s="130"/>
      <c r="L13" s="133"/>
      <c r="M13" s="130"/>
      <c r="N13" s="130"/>
      <c r="O13" s="130"/>
      <c r="P13" s="130"/>
      <c r="Q13" s="130"/>
      <c r="R13" s="130"/>
      <c r="S13" s="130"/>
      <c r="T13" s="130"/>
      <c r="U13" s="130"/>
    </row>
    <row r="14" spans="1:21" s="130" customFormat="1" ht="15" x14ac:dyDescent="0.25">
      <c r="A14" s="130">
        <v>740</v>
      </c>
      <c r="B14" s="130" t="s">
        <v>167</v>
      </c>
      <c r="C14" s="130" t="s">
        <v>24</v>
      </c>
      <c r="D14" s="130">
        <v>125</v>
      </c>
      <c r="E14" s="131">
        <v>888</v>
      </c>
      <c r="F14" s="132">
        <v>1.4</v>
      </c>
      <c r="G14" s="130" t="s">
        <v>162</v>
      </c>
      <c r="H14" s="130" t="s">
        <v>31</v>
      </c>
      <c r="I14" s="130" t="s">
        <v>32</v>
      </c>
      <c r="J14" s="130" t="s">
        <v>225</v>
      </c>
      <c r="L14" s="133"/>
    </row>
    <row r="15" spans="1:21" s="130" customFormat="1" ht="90.75" customHeight="1" x14ac:dyDescent="0.25">
      <c r="A15" s="130">
        <v>740</v>
      </c>
      <c r="B15" s="130" t="s">
        <v>167</v>
      </c>
      <c r="C15" s="130" t="s">
        <v>24</v>
      </c>
      <c r="D15" s="130">
        <v>155</v>
      </c>
      <c r="E15" s="131">
        <v>1484</v>
      </c>
      <c r="F15" s="132">
        <v>1.4</v>
      </c>
      <c r="G15" s="130" t="s">
        <v>162</v>
      </c>
      <c r="H15" s="130" t="s">
        <v>31</v>
      </c>
      <c r="I15" s="130" t="s">
        <v>32</v>
      </c>
      <c r="J15" s="130" t="s">
        <v>225</v>
      </c>
      <c r="L15" s="133"/>
    </row>
    <row r="16" spans="1:21" s="130" customFormat="1" ht="15" x14ac:dyDescent="0.25">
      <c r="A16" s="130">
        <v>740</v>
      </c>
      <c r="B16" s="130" t="s">
        <v>167</v>
      </c>
      <c r="C16" s="130" t="s">
        <v>24</v>
      </c>
      <c r="D16" s="130">
        <v>160</v>
      </c>
      <c r="E16" s="131">
        <v>1235</v>
      </c>
      <c r="F16" s="132">
        <v>1.4</v>
      </c>
      <c r="G16" s="130" t="s">
        <v>162</v>
      </c>
      <c r="H16" s="130" t="s">
        <v>31</v>
      </c>
      <c r="I16" s="130" t="s">
        <v>32</v>
      </c>
      <c r="J16" s="130" t="s">
        <v>225</v>
      </c>
      <c r="L16" s="133"/>
    </row>
    <row r="17" spans="1:21" s="130" customFormat="1" ht="15" x14ac:dyDescent="0.25">
      <c r="A17" s="130">
        <v>740</v>
      </c>
      <c r="B17" s="130" t="s">
        <v>167</v>
      </c>
      <c r="C17" s="130" t="s">
        <v>8</v>
      </c>
      <c r="D17" s="130">
        <v>170</v>
      </c>
      <c r="E17" s="131">
        <v>966</v>
      </c>
      <c r="F17" s="132">
        <v>1.4</v>
      </c>
      <c r="G17" s="130" t="s">
        <v>162</v>
      </c>
      <c r="H17" s="130" t="s">
        <v>31</v>
      </c>
      <c r="I17" s="130" t="s">
        <v>32</v>
      </c>
      <c r="L17" s="133"/>
      <c r="P17" s="135"/>
      <c r="Q17" s="135"/>
      <c r="R17" s="135"/>
      <c r="S17" s="135"/>
      <c r="T17" s="135"/>
      <c r="U17" s="135"/>
    </row>
    <row r="18" spans="1:21" s="130" customFormat="1" ht="30" x14ac:dyDescent="0.25">
      <c r="A18" s="130">
        <v>740</v>
      </c>
      <c r="B18" s="130" t="s">
        <v>167</v>
      </c>
      <c r="C18" s="130" t="s">
        <v>24</v>
      </c>
      <c r="D18" s="130">
        <v>240</v>
      </c>
      <c r="E18" s="131">
        <v>3130</v>
      </c>
      <c r="F18" s="132">
        <v>1.8</v>
      </c>
      <c r="G18" s="130" t="s">
        <v>162</v>
      </c>
      <c r="H18" s="130" t="s">
        <v>31</v>
      </c>
      <c r="I18" s="130" t="s">
        <v>32</v>
      </c>
      <c r="J18" s="130" t="s">
        <v>469</v>
      </c>
      <c r="L18" s="133"/>
    </row>
    <row r="19" spans="1:21" s="130" customFormat="1" ht="15" x14ac:dyDescent="0.25">
      <c r="A19" s="130">
        <v>212</v>
      </c>
      <c r="B19" s="130" t="s">
        <v>173</v>
      </c>
      <c r="C19" s="130" t="s">
        <v>8</v>
      </c>
      <c r="D19" s="130">
        <v>200</v>
      </c>
      <c r="E19" s="131">
        <v>520</v>
      </c>
      <c r="F19" s="132">
        <v>1.54</v>
      </c>
      <c r="G19" s="130" t="s">
        <v>6</v>
      </c>
      <c r="H19" s="130" t="s">
        <v>62</v>
      </c>
      <c r="I19" s="130" t="s">
        <v>63</v>
      </c>
      <c r="L19" s="133"/>
    </row>
    <row r="20" spans="1:21" s="130" customFormat="1" ht="15" x14ac:dyDescent="0.25">
      <c r="A20" s="130">
        <v>212</v>
      </c>
      <c r="B20" s="130" t="s">
        <v>173</v>
      </c>
      <c r="C20" s="130" t="s">
        <v>24</v>
      </c>
      <c r="D20" s="130">
        <v>202</v>
      </c>
      <c r="E20" s="131">
        <v>320</v>
      </c>
      <c r="F20" s="132">
        <v>1.58</v>
      </c>
      <c r="G20" s="130" t="s">
        <v>6</v>
      </c>
      <c r="H20" s="130" t="s">
        <v>62</v>
      </c>
      <c r="I20" s="130" t="s">
        <v>63</v>
      </c>
      <c r="L20" s="133"/>
    </row>
    <row r="21" spans="1:21" s="130" customFormat="1" ht="15" x14ac:dyDescent="0.25">
      <c r="A21" s="130">
        <v>212</v>
      </c>
      <c r="B21" s="130" t="s">
        <v>173</v>
      </c>
      <c r="C21" s="130" t="s">
        <v>24</v>
      </c>
      <c r="D21" s="130">
        <v>203</v>
      </c>
      <c r="E21" s="131">
        <v>85</v>
      </c>
      <c r="F21" s="132">
        <v>3.59</v>
      </c>
      <c r="G21" s="130" t="s">
        <v>6</v>
      </c>
      <c r="H21" s="130" t="s">
        <v>62</v>
      </c>
      <c r="I21" s="130" t="s">
        <v>63</v>
      </c>
      <c r="L21" s="133"/>
    </row>
    <row r="22" spans="1:21" s="130" customFormat="1" ht="15" x14ac:dyDescent="0.25">
      <c r="A22" s="130">
        <v>212</v>
      </c>
      <c r="B22" s="130" t="s">
        <v>173</v>
      </c>
      <c r="C22" s="130" t="s">
        <v>24</v>
      </c>
      <c r="D22" s="130">
        <v>204</v>
      </c>
      <c r="E22" s="131">
        <v>250</v>
      </c>
      <c r="F22" s="132">
        <v>2</v>
      </c>
      <c r="G22" s="130" t="s">
        <v>6</v>
      </c>
      <c r="H22" s="130" t="s">
        <v>62</v>
      </c>
      <c r="I22" s="130" t="s">
        <v>63</v>
      </c>
      <c r="L22" s="133"/>
    </row>
    <row r="23" spans="1:21" s="130" customFormat="1" ht="15" x14ac:dyDescent="0.25">
      <c r="A23" s="130">
        <v>212</v>
      </c>
      <c r="B23" s="130" t="s">
        <v>173</v>
      </c>
      <c r="C23" s="130" t="s">
        <v>24</v>
      </c>
      <c r="D23" s="130">
        <v>205</v>
      </c>
      <c r="E23" s="131">
        <v>85</v>
      </c>
      <c r="F23" s="132">
        <v>3.59</v>
      </c>
      <c r="G23" s="130" t="s">
        <v>6</v>
      </c>
      <c r="H23" s="130" t="s">
        <v>62</v>
      </c>
      <c r="I23" s="130" t="s">
        <v>63</v>
      </c>
      <c r="L23" s="133"/>
    </row>
    <row r="24" spans="1:21" s="130" customFormat="1" ht="15" x14ac:dyDescent="0.25">
      <c r="A24" s="130">
        <v>212</v>
      </c>
      <c r="B24" s="130" t="s">
        <v>173</v>
      </c>
      <c r="C24" s="130" t="s">
        <v>24</v>
      </c>
      <c r="D24" s="130">
        <v>207</v>
      </c>
      <c r="E24" s="131">
        <v>85</v>
      </c>
      <c r="F24" s="132">
        <v>3.59</v>
      </c>
      <c r="G24" s="130" t="s">
        <v>6</v>
      </c>
      <c r="H24" s="130" t="s">
        <v>62</v>
      </c>
      <c r="I24" s="130" t="s">
        <v>63</v>
      </c>
      <c r="L24" s="133"/>
    </row>
    <row r="25" spans="1:21" s="130" customFormat="1" ht="15" x14ac:dyDescent="0.25">
      <c r="A25" s="130">
        <v>212</v>
      </c>
      <c r="B25" s="130" t="s">
        <v>173</v>
      </c>
      <c r="C25" s="130" t="s">
        <v>24</v>
      </c>
      <c r="D25" s="130">
        <v>209</v>
      </c>
      <c r="E25" s="131">
        <v>105</v>
      </c>
      <c r="F25" s="132">
        <v>3.14</v>
      </c>
      <c r="G25" s="130" t="s">
        <v>6</v>
      </c>
      <c r="H25" s="130" t="s">
        <v>62</v>
      </c>
      <c r="I25" s="130" t="s">
        <v>63</v>
      </c>
      <c r="L25" s="133"/>
    </row>
    <row r="26" spans="1:21" s="130" customFormat="1" ht="15" x14ac:dyDescent="0.25">
      <c r="A26" s="130">
        <v>220</v>
      </c>
      <c r="B26" s="130" t="s">
        <v>173</v>
      </c>
      <c r="C26" s="130" t="s">
        <v>454</v>
      </c>
      <c r="D26" s="130">
        <v>101</v>
      </c>
      <c r="E26" s="131">
        <v>1050</v>
      </c>
      <c r="F26" s="132">
        <v>399000</v>
      </c>
      <c r="H26" s="130" t="s">
        <v>455</v>
      </c>
      <c r="I26" s="130" t="s">
        <v>456</v>
      </c>
      <c r="J26" s="130" t="s">
        <v>458</v>
      </c>
      <c r="L26" s="133"/>
    </row>
    <row r="27" spans="1:21" s="130" customFormat="1" ht="15" x14ac:dyDescent="0.25">
      <c r="A27" s="130">
        <v>312</v>
      </c>
      <c r="B27" s="130" t="s">
        <v>196</v>
      </c>
      <c r="C27" s="130" t="s">
        <v>8</v>
      </c>
      <c r="E27" s="131">
        <v>3000</v>
      </c>
      <c r="F27" s="132">
        <v>3850</v>
      </c>
      <c r="G27" s="130" t="s">
        <v>10</v>
      </c>
      <c r="H27" s="130" t="s">
        <v>20</v>
      </c>
      <c r="I27" s="130" t="s">
        <v>21</v>
      </c>
      <c r="J27" s="130" t="s">
        <v>473</v>
      </c>
      <c r="L27" s="133"/>
    </row>
    <row r="28" spans="1:21" s="130" customFormat="1" ht="15" x14ac:dyDescent="0.25">
      <c r="A28" s="130">
        <v>312</v>
      </c>
      <c r="B28" s="130" t="s">
        <v>196</v>
      </c>
      <c r="C28" s="130" t="s">
        <v>8</v>
      </c>
      <c r="D28" s="130" t="s">
        <v>70</v>
      </c>
      <c r="E28" s="131">
        <v>280</v>
      </c>
      <c r="F28" s="132">
        <v>500</v>
      </c>
      <c r="G28" s="130" t="s">
        <v>10</v>
      </c>
      <c r="H28" s="130" t="s">
        <v>20</v>
      </c>
      <c r="I28" s="130" t="s">
        <v>21</v>
      </c>
      <c r="L28" s="133"/>
    </row>
    <row r="29" spans="1:21" s="130" customFormat="1" ht="30" x14ac:dyDescent="0.25">
      <c r="A29" s="130">
        <v>819</v>
      </c>
      <c r="B29" s="130" t="s">
        <v>174</v>
      </c>
      <c r="C29" s="130" t="s">
        <v>24</v>
      </c>
      <c r="D29" s="130">
        <v>1</v>
      </c>
      <c r="E29" s="131">
        <v>1385</v>
      </c>
      <c r="F29" s="132">
        <v>1.44</v>
      </c>
      <c r="G29" s="130" t="s">
        <v>6</v>
      </c>
      <c r="H29" s="130" t="s">
        <v>378</v>
      </c>
      <c r="I29" s="130" t="s">
        <v>243</v>
      </c>
      <c r="J29" s="130" t="s">
        <v>330</v>
      </c>
      <c r="L29" s="133"/>
    </row>
    <row r="30" spans="1:21" s="130" customFormat="1" ht="45" x14ac:dyDescent="0.25">
      <c r="A30" s="130">
        <v>903</v>
      </c>
      <c r="B30" s="130" t="s">
        <v>174</v>
      </c>
      <c r="C30" s="130" t="s">
        <v>24</v>
      </c>
      <c r="E30" s="131">
        <v>4000</v>
      </c>
      <c r="F30" s="132">
        <v>0</v>
      </c>
      <c r="H30" s="130" t="s">
        <v>443</v>
      </c>
      <c r="I30" s="130" t="s">
        <v>93</v>
      </c>
      <c r="J30" s="130" t="s">
        <v>444</v>
      </c>
      <c r="L30" s="133"/>
    </row>
    <row r="31" spans="1:21" s="130" customFormat="1" ht="15" x14ac:dyDescent="0.25">
      <c r="A31" s="130">
        <v>1101</v>
      </c>
      <c r="B31" s="130" t="s">
        <v>174</v>
      </c>
      <c r="C31" s="130" t="s">
        <v>8</v>
      </c>
      <c r="D31" s="130">
        <v>210</v>
      </c>
      <c r="E31" s="131">
        <v>1484</v>
      </c>
      <c r="F31" s="132">
        <v>1.25</v>
      </c>
      <c r="G31" s="130" t="s">
        <v>5</v>
      </c>
      <c r="H31" s="130" t="s">
        <v>202</v>
      </c>
      <c r="I31" s="130" t="s">
        <v>113</v>
      </c>
      <c r="J31" s="130" t="s">
        <v>11</v>
      </c>
      <c r="L31" s="133"/>
    </row>
    <row r="32" spans="1:21" s="130" customFormat="1" ht="15" x14ac:dyDescent="0.25">
      <c r="A32" s="130">
        <v>1101</v>
      </c>
      <c r="B32" s="130" t="s">
        <v>174</v>
      </c>
      <c r="C32" s="130" t="s">
        <v>8</v>
      </c>
      <c r="D32" s="130">
        <v>300</v>
      </c>
      <c r="E32" s="131">
        <v>3323</v>
      </c>
      <c r="F32" s="132">
        <v>1.25</v>
      </c>
      <c r="G32" s="130" t="s">
        <v>5</v>
      </c>
      <c r="H32" s="130" t="s">
        <v>202</v>
      </c>
      <c r="I32" s="130" t="s">
        <v>113</v>
      </c>
      <c r="J32" s="130" t="s">
        <v>11</v>
      </c>
      <c r="L32" s="133"/>
    </row>
    <row r="33" spans="1:12" s="130" customFormat="1" ht="15" x14ac:dyDescent="0.25">
      <c r="A33" s="130">
        <v>1101</v>
      </c>
      <c r="B33" s="130" t="s">
        <v>174</v>
      </c>
      <c r="C33" s="130" t="s">
        <v>8</v>
      </c>
      <c r="D33" s="130">
        <v>308</v>
      </c>
      <c r="E33" s="131">
        <v>1525</v>
      </c>
      <c r="F33" s="132">
        <v>1.25</v>
      </c>
      <c r="G33" s="130" t="s">
        <v>5</v>
      </c>
      <c r="H33" s="130" t="s">
        <v>202</v>
      </c>
      <c r="I33" s="130" t="s">
        <v>113</v>
      </c>
      <c r="J33" s="130" t="s">
        <v>11</v>
      </c>
      <c r="L33" s="133"/>
    </row>
    <row r="34" spans="1:12" s="130" customFormat="1" ht="15" x14ac:dyDescent="0.25">
      <c r="A34" s="130">
        <v>1101</v>
      </c>
      <c r="B34" s="130" t="s">
        <v>174</v>
      </c>
      <c r="C34" s="130" t="s">
        <v>8</v>
      </c>
      <c r="D34" s="130">
        <v>320</v>
      </c>
      <c r="E34" s="131">
        <v>5178</v>
      </c>
      <c r="F34" s="132">
        <v>1.25</v>
      </c>
      <c r="G34" s="130" t="s">
        <v>5</v>
      </c>
      <c r="H34" s="130" t="s">
        <v>202</v>
      </c>
      <c r="I34" s="130" t="s">
        <v>113</v>
      </c>
      <c r="J34" s="130" t="s">
        <v>11</v>
      </c>
      <c r="L34" s="133"/>
    </row>
    <row r="35" spans="1:12" s="130" customFormat="1" ht="15" x14ac:dyDescent="0.25">
      <c r="A35" s="130">
        <v>1119</v>
      </c>
      <c r="B35" s="130" t="s">
        <v>174</v>
      </c>
      <c r="C35" s="130" t="s">
        <v>8</v>
      </c>
      <c r="D35" s="130" t="s">
        <v>474</v>
      </c>
      <c r="E35" s="131">
        <v>6200</v>
      </c>
      <c r="F35" s="132">
        <v>0.89</v>
      </c>
      <c r="G35" s="130" t="s">
        <v>5</v>
      </c>
      <c r="H35" s="130" t="s">
        <v>20</v>
      </c>
      <c r="I35" s="130" t="s">
        <v>21</v>
      </c>
      <c r="J35" s="130" t="s">
        <v>475</v>
      </c>
      <c r="L35" s="133"/>
    </row>
    <row r="36" spans="1:12" s="130" customFormat="1" ht="15" x14ac:dyDescent="0.25">
      <c r="A36" s="130">
        <v>1200</v>
      </c>
      <c r="B36" s="130" t="s">
        <v>174</v>
      </c>
      <c r="C36" s="130" t="s">
        <v>8</v>
      </c>
      <c r="D36" s="130">
        <v>250</v>
      </c>
      <c r="E36" s="131">
        <v>3463</v>
      </c>
      <c r="F36" s="132">
        <v>1.75</v>
      </c>
      <c r="G36" s="130" t="s">
        <v>5</v>
      </c>
      <c r="H36" s="130" t="s">
        <v>25</v>
      </c>
      <c r="I36" s="130" t="s">
        <v>113</v>
      </c>
      <c r="J36" s="130" t="s">
        <v>216</v>
      </c>
      <c r="L36" s="133"/>
    </row>
    <row r="37" spans="1:12" s="130" customFormat="1" ht="15" x14ac:dyDescent="0.25">
      <c r="A37" s="130">
        <v>1200</v>
      </c>
      <c r="B37" s="130" t="s">
        <v>174</v>
      </c>
      <c r="C37" s="130" t="s">
        <v>24</v>
      </c>
      <c r="D37" s="130">
        <v>270</v>
      </c>
      <c r="E37" s="131">
        <v>3589</v>
      </c>
      <c r="F37" s="132">
        <v>1.75</v>
      </c>
      <c r="G37" s="130" t="s">
        <v>5</v>
      </c>
      <c r="H37" s="130" t="s">
        <v>25</v>
      </c>
      <c r="I37" s="130" t="s">
        <v>113</v>
      </c>
      <c r="J37" s="130" t="s">
        <v>216</v>
      </c>
      <c r="L37" s="133"/>
    </row>
    <row r="38" spans="1:12" s="130" customFormat="1" ht="15" x14ac:dyDescent="0.25">
      <c r="A38" s="130">
        <v>1200</v>
      </c>
      <c r="B38" s="130" t="s">
        <v>174</v>
      </c>
      <c r="C38" s="130" t="s">
        <v>8</v>
      </c>
      <c r="D38" s="130">
        <v>290</v>
      </c>
      <c r="E38" s="131">
        <v>1542</v>
      </c>
      <c r="F38" s="132">
        <v>1.75</v>
      </c>
      <c r="G38" s="130" t="s">
        <v>5</v>
      </c>
      <c r="H38" s="130" t="s">
        <v>25</v>
      </c>
      <c r="I38" s="130" t="s">
        <v>113</v>
      </c>
      <c r="J38" s="130" t="s">
        <v>231</v>
      </c>
      <c r="L38" s="133"/>
    </row>
    <row r="39" spans="1:12" s="130" customFormat="1" ht="15" x14ac:dyDescent="0.25">
      <c r="A39" s="130">
        <v>1200</v>
      </c>
      <c r="B39" s="130" t="s">
        <v>174</v>
      </c>
      <c r="C39" s="130" t="s">
        <v>8</v>
      </c>
      <c r="D39" s="130">
        <v>310</v>
      </c>
      <c r="E39" s="131">
        <v>2295</v>
      </c>
      <c r="F39" s="132">
        <v>1.75</v>
      </c>
      <c r="G39" s="130" t="s">
        <v>5</v>
      </c>
      <c r="H39" s="130" t="s">
        <v>25</v>
      </c>
      <c r="I39" s="130" t="s">
        <v>113</v>
      </c>
      <c r="J39" s="130" t="s">
        <v>231</v>
      </c>
      <c r="L39" s="133"/>
    </row>
    <row r="40" spans="1:12" s="130" customFormat="1" ht="30" x14ac:dyDescent="0.25">
      <c r="A40" s="130">
        <v>1205</v>
      </c>
      <c r="B40" s="130" t="s">
        <v>174</v>
      </c>
      <c r="C40" s="130" t="s">
        <v>24</v>
      </c>
      <c r="E40" s="131">
        <v>510</v>
      </c>
      <c r="F40" s="132">
        <v>1.5</v>
      </c>
      <c r="G40" s="130" t="s">
        <v>5</v>
      </c>
      <c r="H40" s="130" t="s">
        <v>26</v>
      </c>
      <c r="I40" s="130" t="s">
        <v>377</v>
      </c>
      <c r="J40" s="130" t="s">
        <v>427</v>
      </c>
      <c r="L40" s="133"/>
    </row>
    <row r="41" spans="1:12" s="130" customFormat="1" ht="15" x14ac:dyDescent="0.25">
      <c r="A41" s="130">
        <v>1319</v>
      </c>
      <c r="B41" s="130" t="s">
        <v>151</v>
      </c>
      <c r="C41" s="130" t="s">
        <v>8</v>
      </c>
      <c r="D41" s="130" t="s">
        <v>156</v>
      </c>
      <c r="E41" s="131">
        <v>1380</v>
      </c>
      <c r="F41" s="132">
        <v>1.35</v>
      </c>
      <c r="G41" s="130" t="s">
        <v>5</v>
      </c>
      <c r="H41" s="130" t="s">
        <v>159</v>
      </c>
      <c r="I41" s="130" t="s">
        <v>153</v>
      </c>
      <c r="L41" s="133"/>
    </row>
    <row r="42" spans="1:12" s="130" customFormat="1" ht="30" x14ac:dyDescent="0.25">
      <c r="A42" s="130">
        <v>1367</v>
      </c>
      <c r="B42" s="130" t="s">
        <v>174</v>
      </c>
      <c r="C42" s="130" t="s">
        <v>24</v>
      </c>
      <c r="D42" s="130" t="s">
        <v>156</v>
      </c>
      <c r="E42" s="131">
        <v>16815</v>
      </c>
      <c r="F42" s="132">
        <v>1.65</v>
      </c>
      <c r="G42" s="130" t="s">
        <v>5</v>
      </c>
      <c r="H42" s="130" t="s">
        <v>26</v>
      </c>
      <c r="I42" s="130" t="s">
        <v>377</v>
      </c>
      <c r="J42" s="130" t="s">
        <v>30</v>
      </c>
      <c r="L42" s="133"/>
    </row>
    <row r="43" spans="1:12" s="130" customFormat="1" ht="74.25" customHeight="1" x14ac:dyDescent="0.25">
      <c r="A43" s="130">
        <v>1367</v>
      </c>
      <c r="B43" s="130" t="s">
        <v>174</v>
      </c>
      <c r="C43" s="130" t="s">
        <v>24</v>
      </c>
      <c r="D43" s="130" t="s">
        <v>157</v>
      </c>
      <c r="E43" s="131">
        <v>17746</v>
      </c>
      <c r="F43" s="132">
        <v>1.65</v>
      </c>
      <c r="G43" s="130" t="s">
        <v>5</v>
      </c>
      <c r="H43" s="130" t="s">
        <v>26</v>
      </c>
      <c r="I43" s="130" t="s">
        <v>377</v>
      </c>
      <c r="J43" s="130" t="s">
        <v>30</v>
      </c>
      <c r="L43" s="133"/>
    </row>
    <row r="44" spans="1:12" s="130" customFormat="1" ht="30" x14ac:dyDescent="0.25">
      <c r="A44" s="130">
        <v>1367</v>
      </c>
      <c r="B44" s="130" t="s">
        <v>174</v>
      </c>
      <c r="C44" s="130" t="s">
        <v>24</v>
      </c>
      <c r="D44" s="130" t="s">
        <v>155</v>
      </c>
      <c r="E44" s="131">
        <v>12675</v>
      </c>
      <c r="F44" s="132">
        <v>1.65</v>
      </c>
      <c r="G44" s="130" t="s">
        <v>5</v>
      </c>
      <c r="H44" s="130" t="s">
        <v>26</v>
      </c>
      <c r="I44" s="130" t="s">
        <v>377</v>
      </c>
      <c r="J44" s="130" t="s">
        <v>30</v>
      </c>
      <c r="L44" s="133"/>
    </row>
    <row r="45" spans="1:12" s="130" customFormat="1" ht="15" x14ac:dyDescent="0.25">
      <c r="A45" s="130">
        <v>1521</v>
      </c>
      <c r="B45" s="130" t="s">
        <v>174</v>
      </c>
      <c r="C45" s="130" t="s">
        <v>8</v>
      </c>
      <c r="D45" s="130" t="s">
        <v>156</v>
      </c>
      <c r="E45" s="131">
        <v>2863</v>
      </c>
      <c r="F45" s="132">
        <v>1.4</v>
      </c>
      <c r="G45" s="130" t="s">
        <v>10</v>
      </c>
      <c r="H45" s="130" t="s">
        <v>35</v>
      </c>
      <c r="I45" s="130" t="s">
        <v>36</v>
      </c>
      <c r="L45" s="133"/>
    </row>
    <row r="46" spans="1:12" s="130" customFormat="1" ht="15" x14ac:dyDescent="0.25">
      <c r="A46" s="130">
        <v>55</v>
      </c>
      <c r="B46" s="130" t="s">
        <v>175</v>
      </c>
      <c r="C46" s="130" t="s">
        <v>8</v>
      </c>
      <c r="D46" s="131">
        <v>230</v>
      </c>
      <c r="E46" s="131">
        <v>1600</v>
      </c>
      <c r="F46" s="132">
        <v>1.6</v>
      </c>
      <c r="G46" s="130" t="s">
        <v>5</v>
      </c>
      <c r="H46" s="130" t="s">
        <v>44</v>
      </c>
      <c r="I46" s="130" t="s">
        <v>45</v>
      </c>
      <c r="J46" s="130" t="s">
        <v>127</v>
      </c>
      <c r="L46" s="133"/>
    </row>
    <row r="47" spans="1:12" s="130" customFormat="1" ht="30" x14ac:dyDescent="0.25">
      <c r="A47" s="130">
        <v>150</v>
      </c>
      <c r="B47" s="130" t="s">
        <v>171</v>
      </c>
      <c r="C47" s="130" t="s">
        <v>24</v>
      </c>
      <c r="D47" s="130" t="s">
        <v>367</v>
      </c>
      <c r="E47" s="131">
        <v>750</v>
      </c>
      <c r="F47" s="132">
        <v>1400</v>
      </c>
      <c r="G47" s="130" t="s">
        <v>6</v>
      </c>
      <c r="H47" s="130" t="s">
        <v>58</v>
      </c>
      <c r="I47" s="130" t="s">
        <v>59</v>
      </c>
      <c r="L47" s="133"/>
    </row>
    <row r="48" spans="1:12" s="130" customFormat="1" ht="30" x14ac:dyDescent="0.25">
      <c r="A48" s="130">
        <v>175</v>
      </c>
      <c r="B48" s="130" t="s">
        <v>171</v>
      </c>
      <c r="C48" s="130" t="s">
        <v>24</v>
      </c>
      <c r="D48" s="130" t="s">
        <v>56</v>
      </c>
      <c r="E48" s="131">
        <v>1900</v>
      </c>
      <c r="F48" s="132">
        <v>1.25</v>
      </c>
      <c r="G48" s="130" t="s">
        <v>6</v>
      </c>
      <c r="H48" s="130" t="s">
        <v>77</v>
      </c>
      <c r="I48" s="130" t="s">
        <v>78</v>
      </c>
      <c r="L48" s="133"/>
    </row>
    <row r="49" spans="1:21" s="130" customFormat="1" ht="30" x14ac:dyDescent="0.25">
      <c r="A49" s="130">
        <v>175</v>
      </c>
      <c r="B49" s="130" t="s">
        <v>171</v>
      </c>
      <c r="C49" s="130" t="s">
        <v>24</v>
      </c>
      <c r="D49" s="130" t="s">
        <v>57</v>
      </c>
      <c r="E49" s="131">
        <v>1400</v>
      </c>
      <c r="F49" s="132">
        <v>1.25</v>
      </c>
      <c r="G49" s="130" t="s">
        <v>6</v>
      </c>
      <c r="H49" s="130" t="s">
        <v>77</v>
      </c>
      <c r="I49" s="130" t="s">
        <v>78</v>
      </c>
      <c r="J49" s="130" t="s">
        <v>404</v>
      </c>
      <c r="L49" s="133"/>
    </row>
    <row r="50" spans="1:21" s="130" customFormat="1" ht="15" x14ac:dyDescent="0.25">
      <c r="A50" s="130">
        <v>125</v>
      </c>
      <c r="B50" s="130" t="s">
        <v>170</v>
      </c>
      <c r="C50" s="130" t="s">
        <v>24</v>
      </c>
      <c r="D50" s="130" t="s">
        <v>55</v>
      </c>
      <c r="E50" s="131">
        <v>2215</v>
      </c>
      <c r="F50" s="132">
        <v>1.8</v>
      </c>
      <c r="G50" s="130" t="s">
        <v>10</v>
      </c>
      <c r="H50" s="130" t="s">
        <v>308</v>
      </c>
      <c r="I50" s="130" t="s">
        <v>93</v>
      </c>
      <c r="L50" s="133"/>
    </row>
    <row r="51" spans="1:21" s="130" customFormat="1" ht="15" x14ac:dyDescent="0.25">
      <c r="A51" s="130">
        <v>125</v>
      </c>
      <c r="B51" s="130" t="s">
        <v>170</v>
      </c>
      <c r="C51" s="130" t="s">
        <v>8</v>
      </c>
      <c r="D51" s="130" t="s">
        <v>53</v>
      </c>
      <c r="E51" s="131">
        <v>2252</v>
      </c>
      <c r="F51" s="132">
        <v>1.8</v>
      </c>
      <c r="G51" s="130" t="s">
        <v>10</v>
      </c>
      <c r="H51" s="130" t="s">
        <v>308</v>
      </c>
      <c r="I51" s="130" t="s">
        <v>93</v>
      </c>
      <c r="L51" s="133"/>
    </row>
    <row r="52" spans="1:21" s="130" customFormat="1" ht="15" x14ac:dyDescent="0.25">
      <c r="A52" s="130">
        <v>125</v>
      </c>
      <c r="B52" s="130" t="s">
        <v>170</v>
      </c>
      <c r="C52" s="130" t="s">
        <v>8</v>
      </c>
      <c r="D52" s="130" t="s">
        <v>54</v>
      </c>
      <c r="E52" s="131">
        <v>1286</v>
      </c>
      <c r="F52" s="132">
        <v>1.8</v>
      </c>
      <c r="G52" s="130" t="s">
        <v>6</v>
      </c>
      <c r="H52" s="130" t="s">
        <v>308</v>
      </c>
      <c r="I52" s="130" t="s">
        <v>93</v>
      </c>
      <c r="L52" s="133"/>
    </row>
    <row r="53" spans="1:21" s="130" customFormat="1" ht="15" x14ac:dyDescent="0.25">
      <c r="A53" s="130">
        <v>227</v>
      </c>
      <c r="B53" s="130" t="s">
        <v>306</v>
      </c>
      <c r="C53" s="130" t="s">
        <v>7</v>
      </c>
      <c r="E53" s="131">
        <v>1000</v>
      </c>
      <c r="F53" s="132">
        <v>2160</v>
      </c>
      <c r="G53" s="130" t="s">
        <v>6</v>
      </c>
      <c r="H53" s="130" t="s">
        <v>331</v>
      </c>
      <c r="I53" s="130" t="s">
        <v>332</v>
      </c>
      <c r="L53" s="133"/>
    </row>
    <row r="54" spans="1:21" s="130" customFormat="1" ht="15" x14ac:dyDescent="0.25">
      <c r="A54" s="130">
        <v>110</v>
      </c>
      <c r="B54" s="130" t="s">
        <v>166</v>
      </c>
      <c r="C54" s="130" t="s">
        <v>7</v>
      </c>
      <c r="E54" s="131">
        <v>1873</v>
      </c>
      <c r="F54" s="132">
        <v>2</v>
      </c>
      <c r="G54" s="130" t="s">
        <v>5</v>
      </c>
      <c r="H54" s="130" t="s">
        <v>450</v>
      </c>
      <c r="I54" s="130" t="s">
        <v>4</v>
      </c>
      <c r="J54" s="130" t="s">
        <v>34</v>
      </c>
      <c r="L54" s="133"/>
    </row>
    <row r="55" spans="1:21" s="130" customFormat="1" ht="15" x14ac:dyDescent="0.25">
      <c r="A55" s="130">
        <v>428</v>
      </c>
      <c r="B55" s="130" t="s">
        <v>167</v>
      </c>
      <c r="C55" s="130" t="s">
        <v>2</v>
      </c>
      <c r="D55" s="130" t="s">
        <v>41</v>
      </c>
      <c r="E55" s="131">
        <v>2080</v>
      </c>
      <c r="F55" s="132">
        <v>1.25</v>
      </c>
      <c r="G55" s="130" t="s">
        <v>5</v>
      </c>
      <c r="H55" s="130" t="s">
        <v>159</v>
      </c>
      <c r="I55" s="130" t="s">
        <v>153</v>
      </c>
      <c r="J55" s="130" t="s">
        <v>334</v>
      </c>
      <c r="L55" s="133"/>
      <c r="P55" s="135"/>
      <c r="Q55" s="135"/>
      <c r="R55" s="135"/>
      <c r="S55" s="135"/>
      <c r="T55" s="135"/>
      <c r="U55" s="135"/>
    </row>
    <row r="56" spans="1:21" s="130" customFormat="1" ht="15" x14ac:dyDescent="0.25">
      <c r="A56" s="130">
        <v>428</v>
      </c>
      <c r="B56" s="130" t="s">
        <v>167</v>
      </c>
      <c r="C56" s="130" t="s">
        <v>2</v>
      </c>
      <c r="D56" s="130" t="s">
        <v>50</v>
      </c>
      <c r="E56" s="131">
        <v>3170</v>
      </c>
      <c r="F56" s="132">
        <v>1.25</v>
      </c>
      <c r="G56" s="130" t="s">
        <v>5</v>
      </c>
      <c r="H56" s="130" t="s">
        <v>159</v>
      </c>
      <c r="I56" s="130" t="s">
        <v>153</v>
      </c>
      <c r="J56" s="130" t="s">
        <v>335</v>
      </c>
      <c r="L56" s="133"/>
    </row>
    <row r="57" spans="1:21" s="130" customFormat="1" ht="30" x14ac:dyDescent="0.25">
      <c r="A57" s="130">
        <v>514</v>
      </c>
      <c r="B57" s="130" t="s">
        <v>167</v>
      </c>
      <c r="C57" s="130" t="s">
        <v>2</v>
      </c>
      <c r="E57" s="131">
        <v>2000</v>
      </c>
      <c r="F57" s="132">
        <v>1.75</v>
      </c>
      <c r="G57" s="130" t="s">
        <v>5</v>
      </c>
      <c r="H57" s="130" t="s">
        <v>31</v>
      </c>
      <c r="I57" s="130" t="s">
        <v>32</v>
      </c>
      <c r="J57" s="130" t="s">
        <v>470</v>
      </c>
      <c r="L57" s="133"/>
    </row>
    <row r="58" spans="1:21" s="130" customFormat="1" ht="15" x14ac:dyDescent="0.25">
      <c r="A58" s="136">
        <v>835</v>
      </c>
      <c r="B58" s="136" t="s">
        <v>167</v>
      </c>
      <c r="C58" s="136" t="s">
        <v>2</v>
      </c>
      <c r="D58" s="136"/>
      <c r="E58" s="137">
        <v>1115</v>
      </c>
      <c r="F58" s="138">
        <v>1.5</v>
      </c>
      <c r="G58" s="136" t="s">
        <v>5</v>
      </c>
      <c r="H58" s="136" t="s">
        <v>31</v>
      </c>
      <c r="I58" s="136" t="s">
        <v>32</v>
      </c>
      <c r="J58" s="136" t="s">
        <v>336</v>
      </c>
      <c r="K58" s="136"/>
      <c r="L58" s="139"/>
      <c r="M58" s="136"/>
      <c r="N58" s="139"/>
    </row>
    <row r="59" spans="1:21" s="130" customFormat="1" ht="15" x14ac:dyDescent="0.25">
      <c r="A59" s="130">
        <v>805</v>
      </c>
      <c r="B59" s="130" t="s">
        <v>174</v>
      </c>
      <c r="C59" s="130" t="s">
        <v>7</v>
      </c>
      <c r="E59" s="131">
        <v>640</v>
      </c>
      <c r="F59" s="132">
        <v>1000</v>
      </c>
      <c r="G59" s="130" t="s">
        <v>6</v>
      </c>
      <c r="H59" s="130" t="s">
        <v>323</v>
      </c>
      <c r="I59" s="130" t="s">
        <v>324</v>
      </c>
      <c r="J59" s="130" t="s">
        <v>328</v>
      </c>
      <c r="L59" s="133"/>
    </row>
    <row r="60" spans="1:21" s="130" customFormat="1" ht="15" x14ac:dyDescent="0.25">
      <c r="A60" s="130">
        <v>1013</v>
      </c>
      <c r="B60" s="130" t="s">
        <v>174</v>
      </c>
      <c r="C60" s="130" t="s">
        <v>2</v>
      </c>
      <c r="E60" s="131">
        <v>4500</v>
      </c>
      <c r="F60" s="132">
        <v>3</v>
      </c>
      <c r="G60" s="130" t="s">
        <v>5</v>
      </c>
      <c r="H60" s="130" t="s">
        <v>3</v>
      </c>
      <c r="I60" s="130" t="s">
        <v>4</v>
      </c>
      <c r="J60" s="130" t="s">
        <v>161</v>
      </c>
      <c r="L60" s="133"/>
    </row>
    <row r="61" spans="1:21" s="130" customFormat="1" ht="15" x14ac:dyDescent="0.25">
      <c r="A61" s="130">
        <v>1101</v>
      </c>
      <c r="B61" s="130" t="s">
        <v>174</v>
      </c>
      <c r="C61" s="130" t="s">
        <v>2</v>
      </c>
      <c r="D61" s="130" t="s">
        <v>70</v>
      </c>
      <c r="E61" s="131">
        <v>1561</v>
      </c>
      <c r="F61" s="132">
        <v>2.75</v>
      </c>
      <c r="G61" s="130" t="s">
        <v>5</v>
      </c>
      <c r="H61" s="130" t="s">
        <v>202</v>
      </c>
      <c r="I61" s="130" t="s">
        <v>113</v>
      </c>
      <c r="J61" s="130" t="s">
        <v>11</v>
      </c>
      <c r="L61" s="133"/>
    </row>
    <row r="62" spans="1:21" s="130" customFormat="1" ht="15" x14ac:dyDescent="0.25">
      <c r="A62" s="130">
        <v>1339</v>
      </c>
      <c r="B62" s="130" t="s">
        <v>174</v>
      </c>
      <c r="C62" s="130" t="s">
        <v>2</v>
      </c>
      <c r="E62" s="131">
        <v>5000</v>
      </c>
      <c r="F62" s="132">
        <v>2.35</v>
      </c>
      <c r="G62" s="130" t="s">
        <v>6</v>
      </c>
      <c r="H62" s="130" t="s">
        <v>234</v>
      </c>
      <c r="I62" s="130" t="s">
        <v>235</v>
      </c>
      <c r="L62" s="133"/>
    </row>
    <row r="63" spans="1:21" s="130" customFormat="1" ht="15" x14ac:dyDescent="0.25">
      <c r="A63" s="130">
        <v>1349</v>
      </c>
      <c r="B63" s="130" t="s">
        <v>174</v>
      </c>
      <c r="C63" s="130" t="s">
        <v>7</v>
      </c>
      <c r="E63" s="131">
        <v>1800</v>
      </c>
      <c r="F63" s="132">
        <v>2.75</v>
      </c>
      <c r="G63" s="130" t="s">
        <v>5</v>
      </c>
      <c r="H63" s="130" t="s">
        <v>110</v>
      </c>
      <c r="I63" s="130" t="s">
        <v>111</v>
      </c>
      <c r="L63" s="133"/>
    </row>
    <row r="64" spans="1:21" s="130" customFormat="1" ht="15" x14ac:dyDescent="0.25">
      <c r="A64" s="130">
        <v>1364</v>
      </c>
      <c r="B64" s="130" t="s">
        <v>174</v>
      </c>
      <c r="C64" s="130" t="s">
        <v>2</v>
      </c>
      <c r="E64" s="131">
        <v>1500</v>
      </c>
      <c r="F64" s="132">
        <v>3</v>
      </c>
      <c r="G64" s="130" t="s">
        <v>5</v>
      </c>
      <c r="H64" s="130" t="s">
        <v>92</v>
      </c>
      <c r="I64" s="130" t="s">
        <v>93</v>
      </c>
      <c r="L64" s="133"/>
    </row>
    <row r="65" spans="1:12" s="130" customFormat="1" ht="30" x14ac:dyDescent="0.25">
      <c r="A65" s="130">
        <v>1367</v>
      </c>
      <c r="B65" s="130" t="s">
        <v>174</v>
      </c>
      <c r="C65" s="130" t="s">
        <v>7</v>
      </c>
      <c r="D65" s="130" t="s">
        <v>158</v>
      </c>
      <c r="E65" s="131">
        <v>14945</v>
      </c>
      <c r="F65" s="132">
        <v>4</v>
      </c>
      <c r="G65" s="130" t="s">
        <v>5</v>
      </c>
      <c r="H65" s="130" t="s">
        <v>132</v>
      </c>
      <c r="I65" s="130" t="s">
        <v>27</v>
      </c>
      <c r="J65" s="130" t="s">
        <v>143</v>
      </c>
      <c r="L65" s="133"/>
    </row>
    <row r="66" spans="1:12" s="130" customFormat="1" ht="15" x14ac:dyDescent="0.25">
      <c r="E66" s="131"/>
      <c r="F66" s="132"/>
    </row>
    <row r="67" spans="1:12" s="130" customFormat="1" ht="15" x14ac:dyDescent="0.25">
      <c r="E67" s="131"/>
      <c r="F67" s="132"/>
    </row>
    <row r="68" spans="1:12" s="130" customFormat="1" ht="15" x14ac:dyDescent="0.25">
      <c r="E68" s="131"/>
      <c r="F68" s="132"/>
    </row>
    <row r="69" spans="1:12" s="130" customFormat="1" ht="15" x14ac:dyDescent="0.25">
      <c r="E69" s="131"/>
      <c r="F69" s="132"/>
    </row>
    <row r="70" spans="1:12" s="130" customFormat="1" ht="15" x14ac:dyDescent="0.25">
      <c r="E70" s="131"/>
      <c r="F70" s="132"/>
    </row>
    <row r="71" spans="1:12" s="130" customFormat="1" ht="15" x14ac:dyDescent="0.25">
      <c r="E71" s="131"/>
      <c r="F71" s="132"/>
    </row>
    <row r="72" spans="1:12" s="130" customFormat="1" ht="15" x14ac:dyDescent="0.25">
      <c r="E72" s="131"/>
      <c r="F72" s="132"/>
    </row>
    <row r="73" spans="1:12" ht="15" x14ac:dyDescent="0.25">
      <c r="A73" s="140"/>
      <c r="B73" s="140"/>
      <c r="C73" s="140"/>
      <c r="D73" s="140"/>
      <c r="E73" s="140"/>
    </row>
    <row r="74" spans="1:12" ht="15" x14ac:dyDescent="0.25">
      <c r="A74" s="140"/>
      <c r="B74" s="140"/>
      <c r="C74" s="140"/>
      <c r="D74" s="140"/>
      <c r="E74" s="140"/>
    </row>
  </sheetData>
  <sortState ref="A2:U64">
    <sortCondition ref="A2:A64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opLeftCell="A43" workbookViewId="0">
      <selection activeCell="E55" sqref="E55"/>
    </sheetView>
  </sheetViews>
  <sheetFormatPr defaultRowHeight="15" x14ac:dyDescent="0.25"/>
  <cols>
    <col min="2" max="2" width="21.5703125" customWidth="1"/>
    <col min="3" max="3" width="15.5703125" customWidth="1"/>
    <col min="6" max="6" width="10" style="151" bestFit="1" customWidth="1"/>
    <col min="8" max="8" width="33.42578125" customWidth="1"/>
    <col min="9" max="9" width="28.28515625" customWidth="1"/>
    <col min="10" max="10" width="43.7109375" customWidth="1"/>
    <col min="11" max="11" width="11.7109375" customWidth="1"/>
    <col min="12" max="12" width="13.7109375" customWidth="1"/>
  </cols>
  <sheetData>
    <row r="1" spans="1:10" s="110" customFormat="1" ht="25.5" x14ac:dyDescent="0.2">
      <c r="A1" s="108" t="s">
        <v>19</v>
      </c>
      <c r="B1" s="108" t="s">
        <v>164</v>
      </c>
      <c r="C1" s="108" t="s">
        <v>18</v>
      </c>
      <c r="D1" s="108" t="s">
        <v>23</v>
      </c>
      <c r="E1" s="109" t="s">
        <v>16</v>
      </c>
      <c r="F1" s="150" t="s">
        <v>201</v>
      </c>
      <c r="G1" s="108" t="s">
        <v>15</v>
      </c>
      <c r="H1" s="108" t="s">
        <v>14</v>
      </c>
      <c r="I1" s="108" t="s">
        <v>13</v>
      </c>
      <c r="J1" s="108" t="s">
        <v>12</v>
      </c>
    </row>
    <row r="2" spans="1:10" s="81" customFormat="1" x14ac:dyDescent="0.25">
      <c r="A2" s="81">
        <v>550</v>
      </c>
      <c r="B2" s="81" t="s">
        <v>170</v>
      </c>
      <c r="C2" s="81" t="s">
        <v>116</v>
      </c>
      <c r="D2" s="81" t="s">
        <v>118</v>
      </c>
      <c r="E2" s="81">
        <v>890</v>
      </c>
      <c r="F2" s="143">
        <v>820</v>
      </c>
      <c r="G2" s="84" t="s">
        <v>6</v>
      </c>
      <c r="H2" s="81" t="s">
        <v>44</v>
      </c>
      <c r="I2" s="81" t="s">
        <v>45</v>
      </c>
    </row>
    <row r="3" spans="1:10" s="81" customFormat="1" ht="45.75" customHeight="1" x14ac:dyDescent="0.25">
      <c r="A3" s="81">
        <v>550</v>
      </c>
      <c r="B3" s="81" t="s">
        <v>170</v>
      </c>
      <c r="C3" s="81" t="s">
        <v>119</v>
      </c>
      <c r="D3" s="81" t="s">
        <v>437</v>
      </c>
      <c r="E3" s="81">
        <v>885</v>
      </c>
      <c r="F3" s="143">
        <v>1.75</v>
      </c>
      <c r="G3" s="84" t="s">
        <v>5</v>
      </c>
      <c r="H3" s="81" t="s">
        <v>436</v>
      </c>
      <c r="I3" s="81" t="s">
        <v>93</v>
      </c>
      <c r="J3" s="81" t="s">
        <v>439</v>
      </c>
    </row>
    <row r="4" spans="1:10" s="81" customFormat="1" ht="45" customHeight="1" x14ac:dyDescent="0.25">
      <c r="A4" s="81">
        <v>550</v>
      </c>
      <c r="B4" s="81" t="s">
        <v>170</v>
      </c>
      <c r="C4" s="81" t="s">
        <v>119</v>
      </c>
      <c r="D4" s="81" t="s">
        <v>438</v>
      </c>
      <c r="E4" s="82">
        <v>1086</v>
      </c>
      <c r="F4" s="143">
        <v>1.75</v>
      </c>
      <c r="G4" s="84" t="s">
        <v>5</v>
      </c>
      <c r="H4" s="81" t="s">
        <v>436</v>
      </c>
      <c r="I4" s="84" t="s">
        <v>93</v>
      </c>
      <c r="J4" s="81" t="s">
        <v>439</v>
      </c>
    </row>
    <row r="5" spans="1:10" s="81" customFormat="1" ht="48" customHeight="1" x14ac:dyDescent="0.25">
      <c r="A5" s="81">
        <v>550</v>
      </c>
      <c r="B5" s="81" t="s">
        <v>170</v>
      </c>
      <c r="C5" s="81" t="s">
        <v>119</v>
      </c>
      <c r="D5" s="81" t="s">
        <v>435</v>
      </c>
      <c r="E5" s="82">
        <v>1756</v>
      </c>
      <c r="F5" s="143">
        <v>1.75</v>
      </c>
      <c r="G5" s="84" t="s">
        <v>5</v>
      </c>
      <c r="H5" s="81" t="s">
        <v>131</v>
      </c>
      <c r="I5" s="81" t="s">
        <v>93</v>
      </c>
      <c r="J5" s="81" t="s">
        <v>439</v>
      </c>
    </row>
    <row r="6" spans="1:10" s="81" customFormat="1" ht="45" customHeight="1" x14ac:dyDescent="0.25">
      <c r="A6" s="81">
        <v>350</v>
      </c>
      <c r="B6" s="81" t="s">
        <v>183</v>
      </c>
      <c r="C6" s="81" t="s">
        <v>24</v>
      </c>
      <c r="E6" s="81">
        <v>650</v>
      </c>
      <c r="F6" s="143">
        <v>750</v>
      </c>
      <c r="G6" s="84"/>
      <c r="H6" s="81" t="s">
        <v>102</v>
      </c>
      <c r="I6" s="84" t="s">
        <v>93</v>
      </c>
    </row>
    <row r="7" spans="1:10" s="81" customFormat="1" ht="45" customHeight="1" x14ac:dyDescent="0.25">
      <c r="A7" s="81">
        <v>379</v>
      </c>
      <c r="B7" s="81" t="s">
        <v>183</v>
      </c>
      <c r="C7" s="81" t="s">
        <v>24</v>
      </c>
      <c r="D7" s="81" t="s">
        <v>41</v>
      </c>
      <c r="E7" s="81">
        <v>775</v>
      </c>
      <c r="F7" s="143">
        <v>0.85</v>
      </c>
      <c r="G7" s="84" t="s">
        <v>5</v>
      </c>
      <c r="H7" s="81" t="s">
        <v>333</v>
      </c>
      <c r="I7" s="84" t="s">
        <v>375</v>
      </c>
    </row>
    <row r="8" spans="1:10" s="81" customFormat="1" ht="30" x14ac:dyDescent="0.25">
      <c r="A8" s="81">
        <v>397</v>
      </c>
      <c r="B8" s="81" t="s">
        <v>183</v>
      </c>
      <c r="C8" s="81" t="s">
        <v>24</v>
      </c>
      <c r="D8" s="80" t="s">
        <v>41</v>
      </c>
      <c r="E8" s="81">
        <v>775</v>
      </c>
      <c r="F8" s="143">
        <v>0.85</v>
      </c>
      <c r="G8" s="84" t="s">
        <v>5</v>
      </c>
      <c r="H8" s="81" t="s">
        <v>333</v>
      </c>
      <c r="I8" s="81" t="s">
        <v>375</v>
      </c>
      <c r="J8" s="81" t="s">
        <v>372</v>
      </c>
    </row>
    <row r="9" spans="1:10" s="81" customFormat="1" x14ac:dyDescent="0.25">
      <c r="A9" s="81">
        <v>2117</v>
      </c>
      <c r="B9" s="81" t="s">
        <v>189</v>
      </c>
      <c r="C9" s="81" t="s">
        <v>8</v>
      </c>
      <c r="D9" s="81" t="s">
        <v>41</v>
      </c>
      <c r="E9" s="82">
        <v>3600</v>
      </c>
      <c r="F9" s="143">
        <v>0.9</v>
      </c>
      <c r="G9" s="84" t="s">
        <v>5</v>
      </c>
      <c r="H9" s="81" t="s">
        <v>95</v>
      </c>
      <c r="I9" s="81" t="s">
        <v>243</v>
      </c>
    </row>
    <row r="10" spans="1:10" s="81" customFormat="1" ht="71.25" customHeight="1" x14ac:dyDescent="0.25">
      <c r="A10" s="81">
        <v>2155</v>
      </c>
      <c r="B10" s="81" t="s">
        <v>189</v>
      </c>
      <c r="C10" s="81" t="s">
        <v>24</v>
      </c>
      <c r="D10" s="81" t="s">
        <v>355</v>
      </c>
      <c r="E10" s="82">
        <v>9654</v>
      </c>
      <c r="F10" s="143">
        <v>1.1499999999999999</v>
      </c>
      <c r="G10" s="84" t="s">
        <v>5</v>
      </c>
      <c r="H10" s="81" t="s">
        <v>308</v>
      </c>
      <c r="I10" s="81" t="s">
        <v>356</v>
      </c>
      <c r="J10" s="81" t="s">
        <v>426</v>
      </c>
    </row>
    <row r="11" spans="1:10" s="81" customFormat="1" ht="78" customHeight="1" x14ac:dyDescent="0.25">
      <c r="A11" s="81">
        <v>155</v>
      </c>
      <c r="B11" s="81" t="s">
        <v>180</v>
      </c>
      <c r="C11" s="81" t="s">
        <v>24</v>
      </c>
      <c r="E11" s="82">
        <v>14700</v>
      </c>
      <c r="F11" s="143">
        <v>1</v>
      </c>
      <c r="G11" s="84" t="s">
        <v>5</v>
      </c>
      <c r="H11" s="81" t="s">
        <v>221</v>
      </c>
      <c r="I11" s="81" t="s">
        <v>222</v>
      </c>
    </row>
    <row r="12" spans="1:10" s="81" customFormat="1" x14ac:dyDescent="0.25">
      <c r="A12" s="81">
        <v>165</v>
      </c>
      <c r="B12" s="81" t="s">
        <v>180</v>
      </c>
      <c r="C12" s="81" t="s">
        <v>24</v>
      </c>
      <c r="E12" s="82">
        <v>18700</v>
      </c>
      <c r="F12" s="143">
        <v>1</v>
      </c>
      <c r="G12" s="84" t="s">
        <v>5</v>
      </c>
      <c r="H12" s="81" t="s">
        <v>221</v>
      </c>
      <c r="I12" s="81" t="s">
        <v>222</v>
      </c>
    </row>
    <row r="13" spans="1:10" s="81" customFormat="1" x14ac:dyDescent="0.25">
      <c r="A13" s="81">
        <v>229</v>
      </c>
      <c r="B13" s="81" t="s">
        <v>182</v>
      </c>
      <c r="C13" s="81" t="s">
        <v>24</v>
      </c>
      <c r="D13" s="81" t="s">
        <v>156</v>
      </c>
      <c r="E13" s="82">
        <v>2800</v>
      </c>
      <c r="F13" s="143">
        <v>0.85</v>
      </c>
      <c r="G13" s="84"/>
      <c r="H13" s="81" t="s">
        <v>110</v>
      </c>
      <c r="I13" s="81" t="s">
        <v>111</v>
      </c>
    </row>
    <row r="14" spans="1:10" s="81" customFormat="1" ht="60" customHeight="1" x14ac:dyDescent="0.25">
      <c r="A14" s="81">
        <v>380</v>
      </c>
      <c r="B14" s="81" t="s">
        <v>182</v>
      </c>
      <c r="C14" s="81" t="s">
        <v>24</v>
      </c>
      <c r="D14" s="81">
        <v>200</v>
      </c>
      <c r="E14" s="82">
        <v>18250</v>
      </c>
      <c r="F14" s="143">
        <v>0.99</v>
      </c>
      <c r="G14" s="84" t="s">
        <v>5</v>
      </c>
      <c r="H14" s="81" t="s">
        <v>383</v>
      </c>
      <c r="I14" s="81" t="s">
        <v>400</v>
      </c>
      <c r="J14" s="81" t="s">
        <v>447</v>
      </c>
    </row>
    <row r="15" spans="1:10" s="81" customFormat="1" ht="30" x14ac:dyDescent="0.25">
      <c r="A15" s="81">
        <v>1010</v>
      </c>
      <c r="B15" s="81" t="s">
        <v>187</v>
      </c>
      <c r="C15" s="81" t="s">
        <v>24</v>
      </c>
      <c r="D15" s="81" t="s">
        <v>42</v>
      </c>
      <c r="E15" s="81">
        <v>983</v>
      </c>
      <c r="F15" s="143">
        <v>1.39</v>
      </c>
      <c r="G15" s="84" t="s">
        <v>5</v>
      </c>
      <c r="H15" s="81" t="s">
        <v>0</v>
      </c>
      <c r="I15" s="81" t="s">
        <v>1</v>
      </c>
      <c r="J15" s="81" t="s">
        <v>233</v>
      </c>
    </row>
    <row r="16" spans="1:10" s="81" customFormat="1" x14ac:dyDescent="0.25">
      <c r="A16" s="81">
        <v>347</v>
      </c>
      <c r="B16" s="81" t="s">
        <v>217</v>
      </c>
      <c r="C16" s="81" t="s">
        <v>24</v>
      </c>
      <c r="E16" s="82">
        <v>1000</v>
      </c>
      <c r="F16" s="143">
        <v>1500</v>
      </c>
      <c r="G16" s="84" t="s">
        <v>6</v>
      </c>
      <c r="H16" s="81" t="s">
        <v>218</v>
      </c>
      <c r="I16" s="81" t="s">
        <v>93</v>
      </c>
    </row>
    <row r="17" spans="1:10" s="81" customFormat="1" ht="30" x14ac:dyDescent="0.25">
      <c r="A17" s="81">
        <v>191</v>
      </c>
      <c r="B17" s="81" t="s">
        <v>179</v>
      </c>
      <c r="C17" s="81" t="s">
        <v>24</v>
      </c>
      <c r="D17" s="81" t="s">
        <v>41</v>
      </c>
      <c r="E17" s="82">
        <v>3607</v>
      </c>
      <c r="F17" s="143">
        <v>1.2</v>
      </c>
      <c r="G17" s="84" t="s">
        <v>5</v>
      </c>
      <c r="H17" s="81" t="s">
        <v>348</v>
      </c>
      <c r="I17" s="81" t="s">
        <v>349</v>
      </c>
    </row>
    <row r="18" spans="1:10" s="81" customFormat="1" x14ac:dyDescent="0.25">
      <c r="A18" s="81">
        <v>149</v>
      </c>
      <c r="B18" s="81" t="s">
        <v>197</v>
      </c>
      <c r="C18" s="81" t="s">
        <v>8</v>
      </c>
      <c r="D18" s="81" t="s">
        <v>50</v>
      </c>
      <c r="E18" s="81">
        <v>625</v>
      </c>
      <c r="F18" s="143">
        <v>1.5</v>
      </c>
      <c r="G18" s="84" t="s">
        <v>10</v>
      </c>
      <c r="H18" s="81" t="s">
        <v>43</v>
      </c>
      <c r="I18" s="81" t="s">
        <v>152</v>
      </c>
    </row>
    <row r="19" spans="1:10" s="81" customFormat="1" x14ac:dyDescent="0.25">
      <c r="A19" s="81">
        <v>115</v>
      </c>
      <c r="B19" s="81" t="s">
        <v>191</v>
      </c>
      <c r="C19" s="81" t="s">
        <v>8</v>
      </c>
      <c r="E19" s="82">
        <v>3800</v>
      </c>
      <c r="F19" s="143">
        <v>4000</v>
      </c>
      <c r="G19" s="84" t="s">
        <v>10</v>
      </c>
      <c r="H19" s="81" t="s">
        <v>434</v>
      </c>
      <c r="I19" s="81" t="s">
        <v>93</v>
      </c>
      <c r="J19" s="81" t="s">
        <v>109</v>
      </c>
    </row>
    <row r="20" spans="1:10" s="81" customFormat="1" ht="45" x14ac:dyDescent="0.25">
      <c r="A20" s="81">
        <v>207</v>
      </c>
      <c r="B20" s="82" t="s">
        <v>188</v>
      </c>
      <c r="C20" s="81" t="s">
        <v>24</v>
      </c>
      <c r="D20" s="81" t="s">
        <v>70</v>
      </c>
      <c r="E20" s="82">
        <v>3273</v>
      </c>
      <c r="F20" s="143">
        <v>1.1499999999999999</v>
      </c>
      <c r="G20" s="84" t="s">
        <v>5</v>
      </c>
      <c r="H20" s="81" t="s">
        <v>308</v>
      </c>
      <c r="I20" s="81" t="s">
        <v>356</v>
      </c>
      <c r="J20" s="81" t="s">
        <v>360</v>
      </c>
    </row>
    <row r="21" spans="1:10" s="81" customFormat="1" ht="45" x14ac:dyDescent="0.25">
      <c r="A21" s="81">
        <v>207</v>
      </c>
      <c r="B21" s="81" t="s">
        <v>188</v>
      </c>
      <c r="C21" s="81" t="s">
        <v>24</v>
      </c>
      <c r="D21" s="81" t="s">
        <v>359</v>
      </c>
      <c r="E21" s="82">
        <v>1976</v>
      </c>
      <c r="F21" s="143">
        <v>1.1499999999999999</v>
      </c>
      <c r="G21" s="84" t="s">
        <v>5</v>
      </c>
      <c r="H21" s="81" t="s">
        <v>308</v>
      </c>
      <c r="I21" s="81" t="s">
        <v>356</v>
      </c>
      <c r="J21" s="81" t="s">
        <v>360</v>
      </c>
    </row>
    <row r="22" spans="1:10" s="81" customFormat="1" ht="30" x14ac:dyDescent="0.25">
      <c r="A22" s="81">
        <v>133</v>
      </c>
      <c r="B22" s="81" t="s">
        <v>169</v>
      </c>
      <c r="C22" s="81" t="s">
        <v>24</v>
      </c>
      <c r="D22" s="81">
        <v>101</v>
      </c>
      <c r="E22" s="82">
        <v>1950</v>
      </c>
      <c r="F22" s="143">
        <v>1.7</v>
      </c>
      <c r="G22" s="84" t="s">
        <v>162</v>
      </c>
      <c r="H22" s="81" t="s">
        <v>77</v>
      </c>
      <c r="I22" s="81" t="s">
        <v>78</v>
      </c>
      <c r="J22" s="81" t="s">
        <v>403</v>
      </c>
    </row>
    <row r="23" spans="1:10" s="81" customFormat="1" ht="45" x14ac:dyDescent="0.25">
      <c r="A23" s="81">
        <v>406</v>
      </c>
      <c r="B23" s="81" t="s">
        <v>169</v>
      </c>
      <c r="C23" s="81" t="s">
        <v>24</v>
      </c>
      <c r="E23" s="82">
        <v>1100</v>
      </c>
      <c r="F23" s="143" t="s">
        <v>371</v>
      </c>
      <c r="G23" s="84"/>
      <c r="H23" s="81" t="s">
        <v>61</v>
      </c>
      <c r="I23" s="81" t="s">
        <v>134</v>
      </c>
      <c r="J23" s="81" t="s">
        <v>314</v>
      </c>
    </row>
    <row r="24" spans="1:10" s="81" customFormat="1" x14ac:dyDescent="0.25">
      <c r="A24" s="81">
        <v>701</v>
      </c>
      <c r="B24" s="81" t="s">
        <v>169</v>
      </c>
      <c r="C24" s="81" t="s">
        <v>24</v>
      </c>
      <c r="E24" s="82">
        <v>2279</v>
      </c>
      <c r="F24" s="143">
        <v>2</v>
      </c>
      <c r="G24" s="84" t="s">
        <v>6</v>
      </c>
      <c r="H24" s="81" t="s">
        <v>99</v>
      </c>
      <c r="I24" s="81" t="s">
        <v>93</v>
      </c>
    </row>
    <row r="25" spans="1:10" s="81" customFormat="1" x14ac:dyDescent="0.25">
      <c r="A25" s="81">
        <v>730</v>
      </c>
      <c r="B25" s="81" t="s">
        <v>169</v>
      </c>
      <c r="C25" s="81" t="s">
        <v>24</v>
      </c>
      <c r="E25" s="82">
        <v>2400</v>
      </c>
      <c r="F25" s="143">
        <v>1.25</v>
      </c>
      <c r="G25" s="84" t="s">
        <v>5</v>
      </c>
      <c r="H25" s="81" t="s">
        <v>95</v>
      </c>
      <c r="I25" s="81" t="s">
        <v>243</v>
      </c>
      <c r="J25" s="81" t="s">
        <v>163</v>
      </c>
    </row>
    <row r="26" spans="1:10" s="81" customFormat="1" x14ac:dyDescent="0.25">
      <c r="A26" s="81">
        <v>2901</v>
      </c>
      <c r="B26" s="81" t="s">
        <v>169</v>
      </c>
      <c r="C26" s="81" t="s">
        <v>24</v>
      </c>
      <c r="E26" s="82">
        <v>16408</v>
      </c>
      <c r="F26" s="143">
        <v>1.25</v>
      </c>
      <c r="G26" s="84" t="s">
        <v>5</v>
      </c>
      <c r="H26" s="81" t="s">
        <v>351</v>
      </c>
      <c r="I26" s="81" t="s">
        <v>222</v>
      </c>
      <c r="J26" s="81" t="s">
        <v>352</v>
      </c>
    </row>
    <row r="27" spans="1:10" s="81" customFormat="1" ht="30" x14ac:dyDescent="0.25">
      <c r="A27" s="81">
        <v>3004</v>
      </c>
      <c r="B27" s="81" t="s">
        <v>169</v>
      </c>
      <c r="C27" s="81" t="s">
        <v>24</v>
      </c>
      <c r="D27" s="81">
        <v>150</v>
      </c>
      <c r="E27" s="82">
        <v>6500</v>
      </c>
      <c r="F27" s="143">
        <v>1.7</v>
      </c>
      <c r="G27" s="84" t="s">
        <v>162</v>
      </c>
      <c r="H27" s="81" t="s">
        <v>35</v>
      </c>
      <c r="I27" s="81" t="s">
        <v>36</v>
      </c>
    </row>
    <row r="28" spans="1:10" s="81" customFormat="1" ht="30" x14ac:dyDescent="0.25">
      <c r="A28" s="81">
        <v>3004</v>
      </c>
      <c r="B28" s="81" t="s">
        <v>169</v>
      </c>
      <c r="C28" s="81" t="s">
        <v>8</v>
      </c>
      <c r="D28" s="81">
        <v>220</v>
      </c>
      <c r="E28" s="82">
        <v>14000</v>
      </c>
      <c r="F28" s="143">
        <v>1.05</v>
      </c>
      <c r="G28" s="84" t="s">
        <v>162</v>
      </c>
      <c r="H28" s="81" t="s">
        <v>35</v>
      </c>
      <c r="I28" s="81" t="s">
        <v>36</v>
      </c>
    </row>
    <row r="29" spans="1:10" s="81" customFormat="1" ht="30" x14ac:dyDescent="0.25">
      <c r="A29" s="81">
        <v>3004</v>
      </c>
      <c r="B29" s="81" t="s">
        <v>169</v>
      </c>
      <c r="C29" s="81" t="s">
        <v>8</v>
      </c>
      <c r="D29" s="80">
        <v>230</v>
      </c>
      <c r="E29" s="82">
        <v>1400</v>
      </c>
      <c r="F29" s="143">
        <v>1.7</v>
      </c>
      <c r="G29" s="84" t="s">
        <v>162</v>
      </c>
      <c r="H29" s="81" t="s">
        <v>35</v>
      </c>
      <c r="I29" s="81" t="s">
        <v>36</v>
      </c>
    </row>
    <row r="30" spans="1:10" s="81" customFormat="1" x14ac:dyDescent="0.25">
      <c r="A30" s="81">
        <v>100</v>
      </c>
      <c r="B30" s="81" t="s">
        <v>178</v>
      </c>
      <c r="C30" s="81" t="s">
        <v>24</v>
      </c>
      <c r="E30" s="82">
        <v>6500</v>
      </c>
      <c r="F30" s="143">
        <v>1.1000000000000001</v>
      </c>
      <c r="G30" s="84" t="s">
        <v>88</v>
      </c>
      <c r="H30" s="81" t="s">
        <v>100</v>
      </c>
      <c r="I30" s="81" t="s">
        <v>114</v>
      </c>
      <c r="J30" s="81" t="s">
        <v>145</v>
      </c>
    </row>
    <row r="31" spans="1:10" s="81" customFormat="1" x14ac:dyDescent="0.25">
      <c r="A31" s="81">
        <v>303</v>
      </c>
      <c r="B31" s="81" t="s">
        <v>176</v>
      </c>
      <c r="C31" s="81" t="s">
        <v>24</v>
      </c>
      <c r="E31" s="81">
        <v>0</v>
      </c>
      <c r="F31" s="143">
        <v>0.99</v>
      </c>
      <c r="G31" s="84" t="s">
        <v>5</v>
      </c>
      <c r="H31" s="81" t="s">
        <v>71</v>
      </c>
      <c r="I31" s="81" t="s">
        <v>72</v>
      </c>
      <c r="J31" s="81" t="s">
        <v>423</v>
      </c>
    </row>
    <row r="32" spans="1:10" s="81" customFormat="1" x14ac:dyDescent="0.25">
      <c r="A32" s="81">
        <v>201</v>
      </c>
      <c r="B32" s="81" t="s">
        <v>177</v>
      </c>
      <c r="C32" s="81" t="s">
        <v>8</v>
      </c>
      <c r="E32" s="82">
        <v>5628</v>
      </c>
      <c r="F32" s="143">
        <v>1.25</v>
      </c>
      <c r="G32" s="84" t="s">
        <v>5</v>
      </c>
      <c r="H32" s="81" t="s">
        <v>3</v>
      </c>
      <c r="I32" s="81" t="s">
        <v>4</v>
      </c>
      <c r="J32" s="81" t="s">
        <v>452</v>
      </c>
    </row>
    <row r="33" spans="1:15" s="81" customFormat="1" x14ac:dyDescent="0.25">
      <c r="A33" s="81">
        <v>211</v>
      </c>
      <c r="B33" s="81" t="s">
        <v>177</v>
      </c>
      <c r="C33" s="81" t="s">
        <v>8</v>
      </c>
      <c r="E33" s="82">
        <v>6000</v>
      </c>
      <c r="F33" s="143">
        <v>1.25</v>
      </c>
      <c r="G33" s="84" t="s">
        <v>5</v>
      </c>
      <c r="H33" s="81" t="s">
        <v>44</v>
      </c>
      <c r="I33" s="81" t="s">
        <v>45</v>
      </c>
      <c r="J33" s="81" t="s">
        <v>310</v>
      </c>
    </row>
    <row r="34" spans="1:15" s="81" customFormat="1" ht="30" x14ac:dyDescent="0.25">
      <c r="A34" s="81">
        <v>505</v>
      </c>
      <c r="B34" s="81" t="s">
        <v>175</v>
      </c>
      <c r="C34" s="81" t="s">
        <v>24</v>
      </c>
      <c r="D34" s="81" t="s">
        <v>41</v>
      </c>
      <c r="E34" s="81">
        <v>850</v>
      </c>
      <c r="F34" s="143">
        <v>1495</v>
      </c>
      <c r="G34" s="84"/>
      <c r="H34" s="81" t="s">
        <v>0</v>
      </c>
      <c r="I34" s="81" t="s">
        <v>1</v>
      </c>
      <c r="J34" s="81" t="s">
        <v>407</v>
      </c>
    </row>
    <row r="35" spans="1:15" s="81" customFormat="1" ht="60" x14ac:dyDescent="0.25">
      <c r="A35" s="81">
        <v>710</v>
      </c>
      <c r="B35" s="81" t="s">
        <v>175</v>
      </c>
      <c r="C35" s="81" t="s">
        <v>24</v>
      </c>
      <c r="E35" s="81">
        <v>726</v>
      </c>
      <c r="F35" s="143">
        <v>2</v>
      </c>
      <c r="G35" s="84" t="s">
        <v>6</v>
      </c>
      <c r="H35" s="81" t="s">
        <v>397</v>
      </c>
      <c r="I35" s="81" t="s">
        <v>398</v>
      </c>
      <c r="J35" s="81" t="s">
        <v>414</v>
      </c>
    </row>
    <row r="36" spans="1:15" s="81" customFormat="1" ht="60" x14ac:dyDescent="0.25">
      <c r="A36" s="81">
        <v>710</v>
      </c>
      <c r="B36" s="81" t="s">
        <v>175</v>
      </c>
      <c r="C36" s="81" t="s">
        <v>24</v>
      </c>
      <c r="E36" s="81">
        <v>327</v>
      </c>
      <c r="F36" s="143">
        <v>2</v>
      </c>
      <c r="G36" s="84" t="s">
        <v>6</v>
      </c>
      <c r="H36" s="81" t="s">
        <v>397</v>
      </c>
      <c r="I36" s="81" t="s">
        <v>398</v>
      </c>
      <c r="J36" s="81" t="s">
        <v>476</v>
      </c>
    </row>
    <row r="37" spans="1:15" s="81" customFormat="1" ht="45" x14ac:dyDescent="0.25">
      <c r="A37" s="81">
        <v>500</v>
      </c>
      <c r="B37" s="81" t="s">
        <v>186</v>
      </c>
      <c r="C37" s="81" t="s">
        <v>24</v>
      </c>
      <c r="D37" s="81">
        <v>105</v>
      </c>
      <c r="E37" s="82">
        <v>2497</v>
      </c>
      <c r="F37" s="143">
        <v>1.35</v>
      </c>
      <c r="G37" s="84" t="s">
        <v>88</v>
      </c>
      <c r="H37" s="81" t="s">
        <v>26</v>
      </c>
      <c r="I37" s="81" t="s">
        <v>377</v>
      </c>
      <c r="J37" s="81" t="s">
        <v>430</v>
      </c>
    </row>
    <row r="38" spans="1:15" s="81" customFormat="1" x14ac:dyDescent="0.25">
      <c r="A38" s="81">
        <v>1726</v>
      </c>
      <c r="B38" s="81" t="s">
        <v>186</v>
      </c>
      <c r="C38" s="81" t="s">
        <v>24</v>
      </c>
      <c r="E38" s="82">
        <v>1360</v>
      </c>
      <c r="F38" s="143">
        <v>2750</v>
      </c>
      <c r="G38" s="84" t="s">
        <v>6</v>
      </c>
      <c r="H38" s="81" t="s">
        <v>410</v>
      </c>
      <c r="I38" s="81" t="s">
        <v>411</v>
      </c>
      <c r="J38" s="81" t="s">
        <v>412</v>
      </c>
    </row>
    <row r="39" spans="1:15" s="81" customFormat="1" x14ac:dyDescent="0.25">
      <c r="A39" s="81">
        <v>305</v>
      </c>
      <c r="B39" s="81" t="s">
        <v>185</v>
      </c>
      <c r="C39" s="81" t="s">
        <v>24</v>
      </c>
      <c r="D39" s="81" t="s">
        <v>52</v>
      </c>
      <c r="E39" s="81">
        <v>670</v>
      </c>
      <c r="F39" s="143">
        <v>1100</v>
      </c>
      <c r="G39" s="84" t="s">
        <v>6</v>
      </c>
      <c r="H39" s="81" t="s">
        <v>35</v>
      </c>
      <c r="I39" s="81" t="s">
        <v>36</v>
      </c>
      <c r="J39" s="81" t="s">
        <v>123</v>
      </c>
    </row>
    <row r="40" spans="1:15" s="81" customFormat="1" x14ac:dyDescent="0.25">
      <c r="A40" s="81">
        <v>1414</v>
      </c>
      <c r="B40" s="81" t="s">
        <v>185</v>
      </c>
      <c r="C40" s="81" t="s">
        <v>24</v>
      </c>
      <c r="D40" s="81">
        <v>105</v>
      </c>
      <c r="E40" s="82">
        <v>1586</v>
      </c>
      <c r="F40" s="143">
        <v>3200</v>
      </c>
      <c r="G40" s="84" t="s">
        <v>6</v>
      </c>
      <c r="H40" s="81" t="s">
        <v>124</v>
      </c>
      <c r="I40" s="81" t="s">
        <v>125</v>
      </c>
    </row>
    <row r="41" spans="1:15" s="81" customFormat="1" x14ac:dyDescent="0.25">
      <c r="A41" s="81">
        <v>1414</v>
      </c>
      <c r="B41" s="81" t="s">
        <v>185</v>
      </c>
      <c r="C41" s="81" t="s">
        <v>24</v>
      </c>
      <c r="D41" s="80">
        <v>211</v>
      </c>
      <c r="E41" s="82">
        <v>1366</v>
      </c>
      <c r="F41" s="143">
        <v>2730</v>
      </c>
      <c r="G41" s="84" t="s">
        <v>6</v>
      </c>
      <c r="H41" s="81" t="s">
        <v>124</v>
      </c>
      <c r="I41" s="81" t="s">
        <v>125</v>
      </c>
    </row>
    <row r="42" spans="1:15" s="81" customFormat="1" x14ac:dyDescent="0.25">
      <c r="A42" s="81">
        <v>1414</v>
      </c>
      <c r="B42" s="81" t="s">
        <v>185</v>
      </c>
      <c r="C42" s="81" t="s">
        <v>24</v>
      </c>
      <c r="D42" s="81">
        <v>214</v>
      </c>
      <c r="E42" s="81">
        <v>422</v>
      </c>
      <c r="F42" s="143">
        <v>850</v>
      </c>
      <c r="G42" s="84" t="s">
        <v>6</v>
      </c>
      <c r="H42" s="81" t="s">
        <v>124</v>
      </c>
      <c r="I42" s="81" t="s">
        <v>125</v>
      </c>
    </row>
    <row r="43" spans="1:15" s="81" customFormat="1" ht="30" x14ac:dyDescent="0.25">
      <c r="A43" s="81">
        <v>1414</v>
      </c>
      <c r="B43" s="81" t="s">
        <v>185</v>
      </c>
      <c r="C43" s="81" t="s">
        <v>24</v>
      </c>
      <c r="D43" s="81">
        <v>218</v>
      </c>
      <c r="E43" s="81">
        <v>142</v>
      </c>
      <c r="F43" s="143">
        <v>375</v>
      </c>
      <c r="G43" s="84" t="s">
        <v>162</v>
      </c>
      <c r="H43" s="81" t="s">
        <v>124</v>
      </c>
      <c r="I43" s="81" t="s">
        <v>125</v>
      </c>
    </row>
    <row r="44" spans="1:15" s="81" customFormat="1" ht="30" x14ac:dyDescent="0.25">
      <c r="A44" s="75">
        <v>1414</v>
      </c>
      <c r="B44" s="75" t="s">
        <v>185</v>
      </c>
      <c r="C44" s="75" t="s">
        <v>24</v>
      </c>
      <c r="D44" s="75">
        <v>228</v>
      </c>
      <c r="E44" s="75">
        <v>175</v>
      </c>
      <c r="F44" s="144">
        <v>425</v>
      </c>
      <c r="G44" s="92" t="s">
        <v>162</v>
      </c>
      <c r="H44" s="75" t="s">
        <v>124</v>
      </c>
      <c r="I44" s="75" t="s">
        <v>125</v>
      </c>
      <c r="J44" s="75" t="s">
        <v>486</v>
      </c>
      <c r="K44" s="75"/>
      <c r="L44" s="75"/>
      <c r="M44" s="75"/>
      <c r="N44" s="75"/>
      <c r="O44" s="75"/>
    </row>
    <row r="45" spans="1:15" s="81" customFormat="1" ht="45" x14ac:dyDescent="0.25">
      <c r="A45" s="81">
        <v>1800</v>
      </c>
      <c r="B45" s="81" t="s">
        <v>185</v>
      </c>
      <c r="C45" s="81" t="s">
        <v>24</v>
      </c>
      <c r="E45" s="82">
        <v>7600</v>
      </c>
      <c r="F45" s="143">
        <v>0</v>
      </c>
      <c r="G45" s="84"/>
      <c r="H45" s="81" t="s">
        <v>345</v>
      </c>
      <c r="I45" s="81" t="s">
        <v>93</v>
      </c>
      <c r="J45" s="81" t="s">
        <v>424</v>
      </c>
    </row>
    <row r="46" spans="1:15" s="81" customFormat="1" x14ac:dyDescent="0.25">
      <c r="A46" s="81">
        <v>200</v>
      </c>
      <c r="B46" s="81" t="s">
        <v>172</v>
      </c>
      <c r="C46" s="81" t="s">
        <v>8</v>
      </c>
      <c r="D46" s="81">
        <v>201</v>
      </c>
      <c r="E46" s="81">
        <v>820</v>
      </c>
      <c r="F46" s="143">
        <v>1.45</v>
      </c>
      <c r="G46" s="84" t="s">
        <v>5</v>
      </c>
      <c r="H46" s="81" t="s">
        <v>65</v>
      </c>
      <c r="I46" s="81" t="s">
        <v>200</v>
      </c>
    </row>
    <row r="47" spans="1:15" s="81" customFormat="1" x14ac:dyDescent="0.25">
      <c r="A47" s="81">
        <v>525</v>
      </c>
      <c r="B47" s="81" t="s">
        <v>170</v>
      </c>
      <c r="C47" s="81" t="s">
        <v>117</v>
      </c>
      <c r="E47" s="82">
        <v>3000</v>
      </c>
      <c r="F47" s="143">
        <v>1.25</v>
      </c>
      <c r="G47" s="84" t="s">
        <v>6</v>
      </c>
      <c r="H47" s="81" t="s">
        <v>95</v>
      </c>
      <c r="I47" s="81" t="s">
        <v>243</v>
      </c>
    </row>
    <row r="48" spans="1:15" s="81" customFormat="1" x14ac:dyDescent="0.25">
      <c r="A48" s="81">
        <v>849</v>
      </c>
      <c r="B48" s="81" t="s">
        <v>193</v>
      </c>
      <c r="C48" s="81" t="s">
        <v>2</v>
      </c>
      <c r="D48" s="81" t="s">
        <v>50</v>
      </c>
      <c r="E48" s="82">
        <v>1920</v>
      </c>
      <c r="F48" s="143">
        <v>0</v>
      </c>
      <c r="G48" s="84" t="s">
        <v>5</v>
      </c>
      <c r="H48" s="81" t="s">
        <v>92</v>
      </c>
      <c r="I48" s="81" t="s">
        <v>93</v>
      </c>
      <c r="J48" s="81" t="s">
        <v>195</v>
      </c>
    </row>
    <row r="49" spans="1:21" s="81" customFormat="1" x14ac:dyDescent="0.25">
      <c r="A49" s="81">
        <v>1515</v>
      </c>
      <c r="B49" s="81" t="s">
        <v>169</v>
      </c>
      <c r="C49" s="81" t="s">
        <v>2</v>
      </c>
      <c r="E49" s="82">
        <v>1845</v>
      </c>
      <c r="F49" s="143">
        <v>2125</v>
      </c>
      <c r="G49" s="84" t="s">
        <v>5</v>
      </c>
      <c r="H49" s="81" t="s">
        <v>77</v>
      </c>
      <c r="I49" s="81" t="s">
        <v>78</v>
      </c>
      <c r="J49" s="81" t="s">
        <v>405</v>
      </c>
    </row>
    <row r="50" spans="1:21" s="81" customFormat="1" ht="30" x14ac:dyDescent="0.25">
      <c r="A50" s="81">
        <v>2117</v>
      </c>
      <c r="B50" s="81" t="s">
        <v>169</v>
      </c>
      <c r="C50" s="81" t="s">
        <v>7</v>
      </c>
      <c r="E50" s="82">
        <v>1853</v>
      </c>
      <c r="F50" s="143">
        <v>3</v>
      </c>
      <c r="G50" s="81" t="s">
        <v>5</v>
      </c>
      <c r="H50" s="81" t="s">
        <v>92</v>
      </c>
      <c r="I50" s="81" t="s">
        <v>93</v>
      </c>
      <c r="J50" s="81" t="s">
        <v>141</v>
      </c>
      <c r="L50" s="84"/>
    </row>
    <row r="51" spans="1:21" s="81" customFormat="1" ht="45" x14ac:dyDescent="0.25">
      <c r="A51" s="81">
        <v>415</v>
      </c>
      <c r="B51" s="81" t="s">
        <v>175</v>
      </c>
      <c r="C51" s="81" t="s">
        <v>2</v>
      </c>
      <c r="D51" s="81" t="s">
        <v>50</v>
      </c>
      <c r="E51" s="82">
        <v>3558</v>
      </c>
      <c r="F51" s="143" t="s">
        <v>371</v>
      </c>
      <c r="G51" s="84"/>
      <c r="H51" s="81" t="s">
        <v>71</v>
      </c>
      <c r="I51" s="84" t="s">
        <v>72</v>
      </c>
      <c r="J51" s="81" t="s">
        <v>420</v>
      </c>
    </row>
    <row r="52" spans="1:21" s="81" customFormat="1" x14ac:dyDescent="0.25">
      <c r="A52" s="81">
        <v>415</v>
      </c>
      <c r="B52" s="81" t="s">
        <v>177</v>
      </c>
      <c r="C52" s="81" t="s">
        <v>7</v>
      </c>
      <c r="D52" s="81" t="s">
        <v>50</v>
      </c>
      <c r="E52" s="82">
        <v>7727</v>
      </c>
      <c r="F52" s="143">
        <v>2.4900000000000002</v>
      </c>
      <c r="G52" s="84" t="s">
        <v>5</v>
      </c>
      <c r="H52" s="81" t="s">
        <v>25</v>
      </c>
      <c r="I52" s="81" t="s">
        <v>113</v>
      </c>
    </row>
    <row r="53" spans="1:21" s="75" customFormat="1" x14ac:dyDescent="0.25">
      <c r="A53" s="81">
        <v>600</v>
      </c>
      <c r="B53" s="81" t="s">
        <v>177</v>
      </c>
      <c r="C53" s="81" t="s">
        <v>7</v>
      </c>
      <c r="D53" s="81"/>
      <c r="E53" s="82">
        <v>1150</v>
      </c>
      <c r="F53" s="143">
        <v>3.25</v>
      </c>
      <c r="G53" s="84"/>
      <c r="H53" s="81" t="s">
        <v>75</v>
      </c>
      <c r="I53" s="81" t="s">
        <v>76</v>
      </c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</row>
    <row r="54" spans="1:21" s="81" customFormat="1" x14ac:dyDescent="0.25">
      <c r="A54" s="81">
        <v>600</v>
      </c>
      <c r="B54" s="81" t="s">
        <v>177</v>
      </c>
      <c r="C54" s="81" t="s">
        <v>7</v>
      </c>
      <c r="E54" s="82">
        <v>2880</v>
      </c>
      <c r="F54" s="143">
        <v>3.25</v>
      </c>
      <c r="G54" s="84"/>
      <c r="H54" s="81" t="s">
        <v>75</v>
      </c>
      <c r="I54" s="81" t="s">
        <v>76</v>
      </c>
      <c r="J54" s="81" t="s">
        <v>194</v>
      </c>
      <c r="P54" s="75"/>
      <c r="Q54" s="75"/>
      <c r="R54" s="75"/>
      <c r="S54" s="75"/>
      <c r="T54" s="75"/>
      <c r="U54" s="75"/>
    </row>
    <row r="55" spans="1:21" s="81" customFormat="1" x14ac:dyDescent="0.25">
      <c r="A55" s="81">
        <v>345</v>
      </c>
      <c r="B55" s="81" t="s">
        <v>185</v>
      </c>
      <c r="C55" s="81" t="s">
        <v>7</v>
      </c>
      <c r="E55" s="82">
        <v>1050</v>
      </c>
      <c r="F55" s="143"/>
      <c r="G55" s="84"/>
      <c r="H55" s="81" t="s">
        <v>226</v>
      </c>
      <c r="I55" s="81" t="s">
        <v>227</v>
      </c>
    </row>
    <row r="56" spans="1:21" s="81" customFormat="1" x14ac:dyDescent="0.25">
      <c r="A56" s="81">
        <v>420</v>
      </c>
      <c r="B56" s="81" t="s">
        <v>170</v>
      </c>
      <c r="C56" s="81" t="s">
        <v>7</v>
      </c>
      <c r="E56" s="82">
        <v>1150</v>
      </c>
      <c r="F56" s="143">
        <v>1</v>
      </c>
      <c r="G56" s="81" t="s">
        <v>6</v>
      </c>
      <c r="H56" s="81" t="s">
        <v>128</v>
      </c>
      <c r="I56" s="81" t="s">
        <v>129</v>
      </c>
      <c r="J56" s="81" t="s">
        <v>148</v>
      </c>
      <c r="L56" s="84"/>
    </row>
    <row r="57" spans="1:21" s="81" customFormat="1" x14ac:dyDescent="0.25">
      <c r="F57" s="143"/>
      <c r="J57" s="82"/>
      <c r="K57" s="83"/>
      <c r="R57" s="84"/>
    </row>
    <row r="58" spans="1:21" s="75" customFormat="1" x14ac:dyDescent="0.25">
      <c r="A58" s="81"/>
      <c r="F58" s="144"/>
      <c r="J58" s="90"/>
      <c r="K58" s="91"/>
      <c r="R58" s="92"/>
    </row>
    <row r="59" spans="1:21" s="81" customFormat="1" x14ac:dyDescent="0.25">
      <c r="F59" s="143"/>
      <c r="J59" s="82"/>
      <c r="K59" s="83"/>
      <c r="R59" s="84"/>
    </row>
  </sheetData>
  <sortState ref="A2:U56">
    <sortCondition ref="C2:C56"/>
    <sortCondition ref="B2:B5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opLeftCell="D1" zoomScale="85" zoomScaleNormal="85" workbookViewId="0">
      <selection activeCell="H31" sqref="H31"/>
    </sheetView>
  </sheetViews>
  <sheetFormatPr defaultRowHeight="15" x14ac:dyDescent="0.25"/>
  <cols>
    <col min="1" max="1" width="30.5703125" customWidth="1"/>
    <col min="2" max="2" width="37.28515625" customWidth="1"/>
    <col min="3" max="3" width="71" customWidth="1"/>
    <col min="4" max="4" width="36.28515625" customWidth="1"/>
    <col min="5" max="5" width="28.85546875" customWidth="1"/>
    <col min="6" max="6" width="18.42578125" customWidth="1"/>
    <col min="7" max="7" width="20.5703125" customWidth="1"/>
    <col min="8" max="8" width="33.85546875" customWidth="1"/>
    <col min="9" max="9" width="21" customWidth="1"/>
    <col min="10" max="10" width="15" customWidth="1"/>
    <col min="11" max="11" width="12.42578125" customWidth="1"/>
    <col min="13" max="13" width="11" customWidth="1"/>
    <col min="15" max="15" width="12.42578125" customWidth="1"/>
  </cols>
  <sheetData>
    <row r="1" spans="1:11" s="8" customFormat="1" ht="30" x14ac:dyDescent="0.25">
      <c r="A1" s="3" t="s">
        <v>211</v>
      </c>
      <c r="B1" s="3" t="s">
        <v>212</v>
      </c>
      <c r="C1" s="3" t="s">
        <v>213</v>
      </c>
      <c r="D1" s="3" t="s">
        <v>214</v>
      </c>
      <c r="E1" s="3" t="s">
        <v>18</v>
      </c>
      <c r="F1" s="3" t="s">
        <v>215</v>
      </c>
      <c r="G1" s="3" t="s">
        <v>480</v>
      </c>
      <c r="H1" s="3" t="s">
        <v>481</v>
      </c>
      <c r="I1" s="3" t="s">
        <v>482</v>
      </c>
      <c r="J1" s="3" t="s">
        <v>483</v>
      </c>
      <c r="K1" s="3" t="s">
        <v>387</v>
      </c>
    </row>
    <row r="2" spans="1:11" x14ac:dyDescent="0.25">
      <c r="A2" s="10">
        <v>2013</v>
      </c>
      <c r="B2" s="10" t="s">
        <v>319</v>
      </c>
      <c r="C2" s="1" t="s">
        <v>203</v>
      </c>
      <c r="D2" s="1" t="s">
        <v>174</v>
      </c>
      <c r="E2" s="4" t="s">
        <v>2</v>
      </c>
      <c r="F2" s="59">
        <v>29946</v>
      </c>
      <c r="G2" s="23">
        <f t="shared" ref="G2:G22" si="0">F2-F23</f>
        <v>-900</v>
      </c>
      <c r="H2" s="23">
        <f t="shared" ref="H2:H22" si="1">F2-F44</f>
        <v>-9335</v>
      </c>
      <c r="I2" s="23">
        <f t="shared" ref="I2:I22" si="2">F2-F65</f>
        <v>506</v>
      </c>
      <c r="J2" s="23">
        <f t="shared" ref="J2:J22" si="3">F2-F86</f>
        <v>1095</v>
      </c>
      <c r="K2" s="23">
        <f t="shared" ref="K2:K22" si="4">AVERAGE(F44,F65, F86)</f>
        <v>32524</v>
      </c>
    </row>
    <row r="3" spans="1:11" x14ac:dyDescent="0.25">
      <c r="A3" s="19">
        <v>2013</v>
      </c>
      <c r="B3" s="19" t="s">
        <v>319</v>
      </c>
      <c r="C3" s="1" t="s">
        <v>203</v>
      </c>
      <c r="D3" s="1" t="s">
        <v>174</v>
      </c>
      <c r="E3" s="4" t="s">
        <v>24</v>
      </c>
      <c r="F3" s="59">
        <v>85973</v>
      </c>
      <c r="G3" s="23">
        <f t="shared" si="0"/>
        <v>4510</v>
      </c>
      <c r="H3" s="23">
        <f t="shared" si="1"/>
        <v>4914</v>
      </c>
      <c r="I3" s="23">
        <f t="shared" si="2"/>
        <v>1368</v>
      </c>
      <c r="J3" s="23">
        <f t="shared" si="3"/>
        <v>-5150</v>
      </c>
      <c r="K3" s="23">
        <f t="shared" si="4"/>
        <v>85595.666666666672</v>
      </c>
    </row>
    <row r="4" spans="1:11" x14ac:dyDescent="0.25">
      <c r="A4" s="19">
        <v>2013</v>
      </c>
      <c r="B4" s="19" t="s">
        <v>319</v>
      </c>
      <c r="C4" s="1" t="s">
        <v>203</v>
      </c>
      <c r="D4" s="1" t="s">
        <v>174</v>
      </c>
      <c r="E4" s="4" t="s">
        <v>204</v>
      </c>
      <c r="F4" s="59">
        <v>0</v>
      </c>
      <c r="G4" s="23">
        <f t="shared" si="0"/>
        <v>0</v>
      </c>
      <c r="H4" s="23">
        <f t="shared" si="1"/>
        <v>-960</v>
      </c>
      <c r="I4" s="23">
        <f t="shared" si="2"/>
        <v>0</v>
      </c>
      <c r="J4" s="23">
        <f t="shared" si="3"/>
        <v>-1600</v>
      </c>
      <c r="K4" s="23">
        <f t="shared" si="4"/>
        <v>853.33333333333337</v>
      </c>
    </row>
    <row r="5" spans="1:11" x14ac:dyDescent="0.25">
      <c r="A5" s="19">
        <v>2013</v>
      </c>
      <c r="B5" s="19" t="s">
        <v>319</v>
      </c>
      <c r="C5" s="1" t="s">
        <v>203</v>
      </c>
      <c r="D5" s="1" t="s">
        <v>220</v>
      </c>
      <c r="E5" s="4" t="s">
        <v>2</v>
      </c>
      <c r="F5" s="59">
        <v>8238</v>
      </c>
      <c r="G5" s="23">
        <f t="shared" si="0"/>
        <v>0</v>
      </c>
      <c r="H5" s="23">
        <f t="shared" si="1"/>
        <v>1344</v>
      </c>
      <c r="I5" s="23">
        <f t="shared" si="2"/>
        <v>8238</v>
      </c>
      <c r="J5" s="23">
        <f t="shared" si="3"/>
        <v>3698</v>
      </c>
      <c r="K5" s="23">
        <f t="shared" si="4"/>
        <v>3811.3333333333335</v>
      </c>
    </row>
    <row r="6" spans="1:11" x14ac:dyDescent="0.25">
      <c r="A6" s="19">
        <v>2013</v>
      </c>
      <c r="B6" s="19" t="s">
        <v>319</v>
      </c>
      <c r="C6" s="1" t="s">
        <v>203</v>
      </c>
      <c r="D6" s="1" t="s">
        <v>220</v>
      </c>
      <c r="E6" s="4" t="s">
        <v>24</v>
      </c>
      <c r="F6" s="59">
        <v>86856</v>
      </c>
      <c r="G6" s="23">
        <f t="shared" si="0"/>
        <v>6055</v>
      </c>
      <c r="H6" s="23">
        <f t="shared" si="1"/>
        <v>-1397</v>
      </c>
      <c r="I6" s="23">
        <f t="shared" si="2"/>
        <v>1474</v>
      </c>
      <c r="J6" s="23">
        <f t="shared" si="3"/>
        <v>-3709</v>
      </c>
      <c r="K6" s="23">
        <f t="shared" si="4"/>
        <v>88066.666666666672</v>
      </c>
    </row>
    <row r="7" spans="1:11" x14ac:dyDescent="0.25">
      <c r="A7" s="19">
        <v>2013</v>
      </c>
      <c r="B7" s="19" t="s">
        <v>319</v>
      </c>
      <c r="C7" s="1" t="s">
        <v>203</v>
      </c>
      <c r="D7" s="1" t="s">
        <v>220</v>
      </c>
      <c r="E7" s="4" t="s">
        <v>204</v>
      </c>
      <c r="F7" s="59">
        <v>0</v>
      </c>
      <c r="G7" s="23">
        <f t="shared" si="0"/>
        <v>0</v>
      </c>
      <c r="H7" s="23">
        <f t="shared" si="1"/>
        <v>-4000</v>
      </c>
      <c r="I7" s="23">
        <f t="shared" si="2"/>
        <v>-6080</v>
      </c>
      <c r="J7" s="23">
        <f t="shared" si="3"/>
        <v>-21242</v>
      </c>
      <c r="K7" s="23">
        <f t="shared" si="4"/>
        <v>10440.666666666666</v>
      </c>
    </row>
    <row r="8" spans="1:11" x14ac:dyDescent="0.25">
      <c r="A8" s="19">
        <v>2013</v>
      </c>
      <c r="B8" s="19" t="s">
        <v>319</v>
      </c>
      <c r="C8" s="1" t="s">
        <v>203</v>
      </c>
      <c r="D8" s="1" t="s">
        <v>206</v>
      </c>
      <c r="E8" s="4" t="s">
        <v>2</v>
      </c>
      <c r="F8" s="59">
        <v>3000</v>
      </c>
      <c r="G8" s="23">
        <f t="shared" si="0"/>
        <v>2000</v>
      </c>
      <c r="H8" s="23">
        <f t="shared" si="1"/>
        <v>700</v>
      </c>
      <c r="I8" s="23">
        <f t="shared" si="2"/>
        <v>-5700</v>
      </c>
      <c r="J8" s="23">
        <f t="shared" si="3"/>
        <v>-7728</v>
      </c>
      <c r="K8" s="23">
        <f t="shared" si="4"/>
        <v>7242.666666666667</v>
      </c>
    </row>
    <row r="9" spans="1:11" x14ac:dyDescent="0.25">
      <c r="A9" s="19">
        <v>2013</v>
      </c>
      <c r="B9" s="19" t="s">
        <v>319</v>
      </c>
      <c r="C9" s="1" t="s">
        <v>203</v>
      </c>
      <c r="D9" s="1" t="s">
        <v>206</v>
      </c>
      <c r="E9" s="4" t="s">
        <v>24</v>
      </c>
      <c r="F9" s="59">
        <v>16575</v>
      </c>
      <c r="G9" s="23">
        <f t="shared" si="0"/>
        <v>5263</v>
      </c>
      <c r="H9" s="23">
        <f t="shared" si="1"/>
        <v>-2537</v>
      </c>
      <c r="I9" s="23">
        <f t="shared" si="2"/>
        <v>-463</v>
      </c>
      <c r="J9" s="23">
        <f t="shared" si="3"/>
        <v>-4631</v>
      </c>
      <c r="K9" s="23">
        <f t="shared" si="4"/>
        <v>19118.666666666668</v>
      </c>
    </row>
    <row r="10" spans="1:11" x14ac:dyDescent="0.25">
      <c r="A10" s="19">
        <v>2013</v>
      </c>
      <c r="B10" s="19" t="s">
        <v>319</v>
      </c>
      <c r="C10" s="1" t="s">
        <v>203</v>
      </c>
      <c r="D10" s="1" t="s">
        <v>206</v>
      </c>
      <c r="E10" s="4" t="s">
        <v>204</v>
      </c>
      <c r="F10" s="59">
        <v>11565</v>
      </c>
      <c r="G10" s="23">
        <f t="shared" si="0"/>
        <v>1050</v>
      </c>
      <c r="H10" s="23">
        <f t="shared" si="1"/>
        <v>1295</v>
      </c>
      <c r="I10" s="23">
        <f t="shared" si="2"/>
        <v>-2844</v>
      </c>
      <c r="J10" s="23">
        <f t="shared" si="3"/>
        <v>-12133</v>
      </c>
      <c r="K10" s="23">
        <f t="shared" si="4"/>
        <v>16125.666666666666</v>
      </c>
    </row>
    <row r="11" spans="1:11" x14ac:dyDescent="0.25">
      <c r="A11" s="19">
        <v>2013</v>
      </c>
      <c r="B11" s="19" t="s">
        <v>319</v>
      </c>
      <c r="C11" s="1" t="s">
        <v>203</v>
      </c>
      <c r="D11" s="1" t="s">
        <v>175</v>
      </c>
      <c r="E11" s="4" t="s">
        <v>2</v>
      </c>
      <c r="F11" s="59">
        <v>0</v>
      </c>
      <c r="G11" s="23">
        <f t="shared" si="0"/>
        <v>0</v>
      </c>
      <c r="H11" s="23">
        <f t="shared" si="1"/>
        <v>-4030</v>
      </c>
      <c r="I11" s="23">
        <f t="shared" si="2"/>
        <v>-4400</v>
      </c>
      <c r="J11" s="23">
        <f t="shared" si="3"/>
        <v>-4400</v>
      </c>
      <c r="K11" s="23">
        <f t="shared" si="4"/>
        <v>4276.666666666667</v>
      </c>
    </row>
    <row r="12" spans="1:11" x14ac:dyDescent="0.25">
      <c r="A12" s="19">
        <v>2013</v>
      </c>
      <c r="B12" s="19" t="s">
        <v>319</v>
      </c>
      <c r="C12" s="1" t="s">
        <v>203</v>
      </c>
      <c r="D12" s="1" t="s">
        <v>175</v>
      </c>
      <c r="E12" s="4" t="s">
        <v>24</v>
      </c>
      <c r="F12" s="59">
        <v>1600</v>
      </c>
      <c r="G12" s="23">
        <f t="shared" si="0"/>
        <v>-206</v>
      </c>
      <c r="H12" s="23">
        <f t="shared" si="1"/>
        <v>-3525</v>
      </c>
      <c r="I12" s="23">
        <f t="shared" si="2"/>
        <v>-15771</v>
      </c>
      <c r="J12" s="23">
        <f t="shared" si="3"/>
        <v>-15816</v>
      </c>
      <c r="K12" s="23">
        <f t="shared" si="4"/>
        <v>13304</v>
      </c>
    </row>
    <row r="13" spans="1:11" x14ac:dyDescent="0.25">
      <c r="A13" s="19">
        <v>2013</v>
      </c>
      <c r="B13" s="19" t="s">
        <v>319</v>
      </c>
      <c r="C13" s="1" t="s">
        <v>203</v>
      </c>
      <c r="D13" s="1" t="s">
        <v>175</v>
      </c>
      <c r="E13" s="4" t="s">
        <v>204</v>
      </c>
      <c r="F13" s="59">
        <v>0</v>
      </c>
      <c r="G13" s="23">
        <f t="shared" si="0"/>
        <v>0</v>
      </c>
      <c r="H13" s="23">
        <f t="shared" si="1"/>
        <v>-3200</v>
      </c>
      <c r="I13" s="23">
        <f t="shared" si="2"/>
        <v>0</v>
      </c>
      <c r="J13" s="23">
        <f t="shared" si="3"/>
        <v>-9160</v>
      </c>
      <c r="K13" s="23">
        <f t="shared" si="4"/>
        <v>4120</v>
      </c>
    </row>
    <row r="14" spans="1:11" x14ac:dyDescent="0.25">
      <c r="A14" s="19">
        <v>2013</v>
      </c>
      <c r="B14" s="19" t="s">
        <v>319</v>
      </c>
      <c r="C14" s="1" t="s">
        <v>207</v>
      </c>
      <c r="D14" s="1" t="s">
        <v>208</v>
      </c>
      <c r="E14" s="4" t="s">
        <v>2</v>
      </c>
      <c r="F14" s="59">
        <v>5618</v>
      </c>
      <c r="G14" s="23">
        <f t="shared" si="0"/>
        <v>0</v>
      </c>
      <c r="H14" s="23">
        <f t="shared" si="1"/>
        <v>-543</v>
      </c>
      <c r="I14" s="23">
        <f t="shared" si="2"/>
        <v>-723</v>
      </c>
      <c r="J14" s="23">
        <f t="shared" si="3"/>
        <v>-8134</v>
      </c>
      <c r="K14" s="23">
        <f t="shared" si="4"/>
        <v>8751.3333333333339</v>
      </c>
    </row>
    <row r="15" spans="1:11" x14ac:dyDescent="0.25">
      <c r="A15" s="19">
        <v>2013</v>
      </c>
      <c r="B15" s="19" t="s">
        <v>319</v>
      </c>
      <c r="C15" s="1" t="s">
        <v>207</v>
      </c>
      <c r="D15" s="1" t="s">
        <v>208</v>
      </c>
      <c r="E15" s="4" t="s">
        <v>24</v>
      </c>
      <c r="F15" s="59">
        <v>63573</v>
      </c>
      <c r="G15" s="23">
        <f t="shared" si="0"/>
        <v>0</v>
      </c>
      <c r="H15" s="23">
        <f t="shared" si="1"/>
        <v>21507</v>
      </c>
      <c r="I15" s="23">
        <f t="shared" si="2"/>
        <v>38625</v>
      </c>
      <c r="J15" s="23">
        <f t="shared" si="3"/>
        <v>43955</v>
      </c>
      <c r="K15" s="23">
        <f t="shared" si="4"/>
        <v>28877.333333333332</v>
      </c>
    </row>
    <row r="16" spans="1:11" x14ac:dyDescent="0.25">
      <c r="A16" s="19">
        <v>2013</v>
      </c>
      <c r="B16" s="19" t="s">
        <v>319</v>
      </c>
      <c r="C16" s="1" t="s">
        <v>207</v>
      </c>
      <c r="D16" s="1" t="s">
        <v>208</v>
      </c>
      <c r="E16" s="4" t="s">
        <v>204</v>
      </c>
      <c r="F16" s="59">
        <v>108086</v>
      </c>
      <c r="G16" s="23">
        <f t="shared" si="0"/>
        <v>-1075</v>
      </c>
      <c r="H16" s="23">
        <f t="shared" si="1"/>
        <v>-88975</v>
      </c>
      <c r="I16" s="23">
        <f t="shared" si="2"/>
        <v>-307457</v>
      </c>
      <c r="J16" s="23">
        <f t="shared" si="3"/>
        <v>-265963</v>
      </c>
      <c r="K16" s="23">
        <f t="shared" si="4"/>
        <v>328884.33333333331</v>
      </c>
    </row>
    <row r="17" spans="1:11" x14ac:dyDescent="0.25">
      <c r="A17" s="19">
        <v>2013</v>
      </c>
      <c r="B17" s="19" t="s">
        <v>319</v>
      </c>
      <c r="C17" s="1" t="s">
        <v>207</v>
      </c>
      <c r="D17" s="1" t="s">
        <v>209</v>
      </c>
      <c r="E17" s="4" t="s">
        <v>2</v>
      </c>
      <c r="F17" s="59">
        <v>0</v>
      </c>
      <c r="G17" s="23">
        <f t="shared" si="0"/>
        <v>0</v>
      </c>
      <c r="H17" s="23">
        <f t="shared" si="1"/>
        <v>0</v>
      </c>
      <c r="I17" s="23">
        <f t="shared" si="2"/>
        <v>0</v>
      </c>
      <c r="J17" s="23">
        <f t="shared" si="3"/>
        <v>0</v>
      </c>
      <c r="K17" s="23">
        <f t="shared" si="4"/>
        <v>0</v>
      </c>
    </row>
    <row r="18" spans="1:11" x14ac:dyDescent="0.25">
      <c r="A18" s="19">
        <v>2013</v>
      </c>
      <c r="B18" s="19" t="s">
        <v>319</v>
      </c>
      <c r="C18" s="1" t="s">
        <v>207</v>
      </c>
      <c r="D18" s="1" t="s">
        <v>209</v>
      </c>
      <c r="E18" s="4" t="s">
        <v>24</v>
      </c>
      <c r="F18" s="59">
        <v>70557</v>
      </c>
      <c r="G18" s="23">
        <f t="shared" si="0"/>
        <v>-1700</v>
      </c>
      <c r="H18" s="23">
        <f t="shared" si="1"/>
        <v>23407</v>
      </c>
      <c r="I18" s="23">
        <f t="shared" si="2"/>
        <v>63081</v>
      </c>
      <c r="J18" s="23">
        <f t="shared" si="3"/>
        <v>63633</v>
      </c>
      <c r="K18" s="23">
        <f t="shared" si="4"/>
        <v>20516.666666666668</v>
      </c>
    </row>
    <row r="19" spans="1:11" x14ac:dyDescent="0.25">
      <c r="A19" s="19">
        <v>2013</v>
      </c>
      <c r="B19" s="19" t="s">
        <v>319</v>
      </c>
      <c r="C19" s="1" t="s">
        <v>207</v>
      </c>
      <c r="D19" s="1" t="s">
        <v>209</v>
      </c>
      <c r="E19" s="4" t="s">
        <v>204</v>
      </c>
      <c r="F19" s="59">
        <v>40081</v>
      </c>
      <c r="G19" s="23">
        <f t="shared" si="0"/>
        <v>4294</v>
      </c>
      <c r="H19" s="23">
        <f t="shared" si="1"/>
        <v>-5819</v>
      </c>
      <c r="I19" s="23">
        <f t="shared" si="2"/>
        <v>-6119</v>
      </c>
      <c r="J19" s="23">
        <f t="shared" si="3"/>
        <v>-12119</v>
      </c>
      <c r="K19" s="23">
        <f t="shared" si="4"/>
        <v>48100</v>
      </c>
    </row>
    <row r="20" spans="1:11" x14ac:dyDescent="0.25">
      <c r="A20" s="19">
        <v>2013</v>
      </c>
      <c r="B20" s="19" t="s">
        <v>319</v>
      </c>
      <c r="C20" s="1" t="s">
        <v>207</v>
      </c>
      <c r="D20" s="1" t="s">
        <v>210</v>
      </c>
      <c r="E20" s="4" t="s">
        <v>2</v>
      </c>
      <c r="F20" s="59">
        <v>17515</v>
      </c>
      <c r="G20" s="23">
        <f t="shared" si="0"/>
        <v>3558</v>
      </c>
      <c r="H20" s="23">
        <f t="shared" si="1"/>
        <v>11645</v>
      </c>
      <c r="I20" s="23">
        <f t="shared" si="2"/>
        <v>10895</v>
      </c>
      <c r="J20" s="23">
        <f t="shared" si="3"/>
        <v>6335</v>
      </c>
      <c r="K20" s="23">
        <f t="shared" si="4"/>
        <v>7890</v>
      </c>
    </row>
    <row r="21" spans="1:11" x14ac:dyDescent="0.25">
      <c r="A21" s="19">
        <v>2013</v>
      </c>
      <c r="B21" s="19" t="s">
        <v>319</v>
      </c>
      <c r="C21" s="1" t="s">
        <v>207</v>
      </c>
      <c r="D21" s="1" t="s">
        <v>210</v>
      </c>
      <c r="E21" s="4" t="s">
        <v>24</v>
      </c>
      <c r="F21" s="26">
        <v>33744</v>
      </c>
      <c r="G21" s="23">
        <f t="shared" si="0"/>
        <v>5441</v>
      </c>
      <c r="H21" s="23">
        <f t="shared" si="1"/>
        <v>12476</v>
      </c>
      <c r="I21" s="23">
        <f t="shared" si="2"/>
        <v>10884</v>
      </c>
      <c r="J21" s="23">
        <f t="shared" si="3"/>
        <v>17989</v>
      </c>
      <c r="K21" s="23">
        <f t="shared" si="4"/>
        <v>19961</v>
      </c>
    </row>
    <row r="22" spans="1:11" x14ac:dyDescent="0.25">
      <c r="A22" s="19">
        <v>2013</v>
      </c>
      <c r="B22" s="19" t="s">
        <v>319</v>
      </c>
      <c r="C22" s="1" t="s">
        <v>207</v>
      </c>
      <c r="D22" s="1" t="s">
        <v>210</v>
      </c>
      <c r="E22" s="4" t="s">
        <v>204</v>
      </c>
      <c r="F22" s="59">
        <v>63376</v>
      </c>
      <c r="G22" s="23">
        <f t="shared" si="0"/>
        <v>53230</v>
      </c>
      <c r="H22" s="23">
        <f t="shared" si="1"/>
        <v>49962</v>
      </c>
      <c r="I22" s="23">
        <f t="shared" si="2"/>
        <v>43900</v>
      </c>
      <c r="J22" s="23">
        <f t="shared" si="3"/>
        <v>17651</v>
      </c>
      <c r="K22" s="23">
        <f t="shared" si="4"/>
        <v>26205</v>
      </c>
    </row>
    <row r="23" spans="1:11" x14ac:dyDescent="0.25">
      <c r="A23" s="1">
        <v>2013</v>
      </c>
      <c r="B23" s="9" t="s">
        <v>318</v>
      </c>
      <c r="C23" s="1" t="s">
        <v>203</v>
      </c>
      <c r="D23" s="1" t="s">
        <v>174</v>
      </c>
      <c r="E23" s="1" t="s">
        <v>2</v>
      </c>
      <c r="F23" s="59">
        <v>30846</v>
      </c>
    </row>
    <row r="24" spans="1:11" x14ac:dyDescent="0.25">
      <c r="A24" s="56">
        <v>2013</v>
      </c>
      <c r="B24" s="56" t="s">
        <v>318</v>
      </c>
      <c r="C24" s="1" t="s">
        <v>203</v>
      </c>
      <c r="D24" s="1" t="s">
        <v>174</v>
      </c>
      <c r="E24" s="1" t="s">
        <v>24</v>
      </c>
      <c r="F24" s="59">
        <v>81463</v>
      </c>
      <c r="H24" s="93"/>
    </row>
    <row r="25" spans="1:11" x14ac:dyDescent="0.25">
      <c r="A25" s="56">
        <v>2013</v>
      </c>
      <c r="B25" s="56" t="s">
        <v>318</v>
      </c>
      <c r="C25" s="1" t="s">
        <v>203</v>
      </c>
      <c r="D25" s="1" t="s">
        <v>174</v>
      </c>
      <c r="E25" s="1" t="s">
        <v>204</v>
      </c>
      <c r="F25" s="59">
        <v>0</v>
      </c>
      <c r="H25" s="93"/>
    </row>
    <row r="26" spans="1:11" x14ac:dyDescent="0.25">
      <c r="A26" s="56">
        <v>2013</v>
      </c>
      <c r="B26" s="56" t="s">
        <v>318</v>
      </c>
      <c r="C26" s="1" t="s">
        <v>203</v>
      </c>
      <c r="D26" s="1" t="s">
        <v>205</v>
      </c>
      <c r="E26" s="1" t="s">
        <v>2</v>
      </c>
      <c r="F26" s="59">
        <v>8238</v>
      </c>
      <c r="H26" s="93"/>
    </row>
    <row r="27" spans="1:11" x14ac:dyDescent="0.25">
      <c r="A27" s="56">
        <v>2013</v>
      </c>
      <c r="B27" s="56" t="s">
        <v>318</v>
      </c>
      <c r="C27" s="1" t="s">
        <v>203</v>
      </c>
      <c r="D27" s="1" t="s">
        <v>205</v>
      </c>
      <c r="E27" s="1" t="s">
        <v>24</v>
      </c>
      <c r="F27" s="59">
        <v>80801</v>
      </c>
      <c r="H27" s="93"/>
    </row>
    <row r="28" spans="1:11" x14ac:dyDescent="0.25">
      <c r="A28" s="56">
        <v>2013</v>
      </c>
      <c r="B28" s="56" t="s">
        <v>318</v>
      </c>
      <c r="C28" s="1" t="s">
        <v>203</v>
      </c>
      <c r="D28" s="1" t="s">
        <v>205</v>
      </c>
      <c r="E28" s="1" t="s">
        <v>204</v>
      </c>
      <c r="F28" s="59">
        <v>0</v>
      </c>
      <c r="H28" s="93"/>
    </row>
    <row r="29" spans="1:11" x14ac:dyDescent="0.25">
      <c r="A29" s="56">
        <v>2013</v>
      </c>
      <c r="B29" s="56" t="s">
        <v>318</v>
      </c>
      <c r="C29" s="1" t="s">
        <v>203</v>
      </c>
      <c r="D29" s="1" t="s">
        <v>206</v>
      </c>
      <c r="E29" s="1" t="s">
        <v>2</v>
      </c>
      <c r="F29" s="59">
        <v>1000</v>
      </c>
      <c r="H29" s="93"/>
    </row>
    <row r="30" spans="1:11" x14ac:dyDescent="0.25">
      <c r="A30" s="56">
        <v>2013</v>
      </c>
      <c r="B30" s="56" t="s">
        <v>318</v>
      </c>
      <c r="C30" s="1" t="s">
        <v>203</v>
      </c>
      <c r="D30" s="1" t="s">
        <v>206</v>
      </c>
      <c r="E30" s="1" t="s">
        <v>24</v>
      </c>
      <c r="F30" s="59">
        <v>11312</v>
      </c>
      <c r="H30" s="93"/>
    </row>
    <row r="31" spans="1:11" x14ac:dyDescent="0.25">
      <c r="A31" s="56">
        <v>2013</v>
      </c>
      <c r="B31" s="56" t="s">
        <v>318</v>
      </c>
      <c r="C31" s="1" t="s">
        <v>203</v>
      </c>
      <c r="D31" s="1" t="s">
        <v>206</v>
      </c>
      <c r="E31" s="1" t="s">
        <v>204</v>
      </c>
      <c r="F31" s="59">
        <v>10515</v>
      </c>
      <c r="H31" s="93"/>
    </row>
    <row r="32" spans="1:11" x14ac:dyDescent="0.25">
      <c r="A32" s="56">
        <v>2013</v>
      </c>
      <c r="B32" s="56" t="s">
        <v>318</v>
      </c>
      <c r="C32" s="1" t="s">
        <v>203</v>
      </c>
      <c r="D32" s="1" t="s">
        <v>175</v>
      </c>
      <c r="E32" s="1" t="s">
        <v>2</v>
      </c>
      <c r="F32" s="59">
        <v>0</v>
      </c>
      <c r="H32" s="93"/>
    </row>
    <row r="33" spans="1:8" x14ac:dyDescent="0.25">
      <c r="A33" s="56">
        <v>2013</v>
      </c>
      <c r="B33" s="56" t="s">
        <v>318</v>
      </c>
      <c r="C33" s="1" t="s">
        <v>203</v>
      </c>
      <c r="D33" s="1" t="s">
        <v>175</v>
      </c>
      <c r="E33" s="1" t="s">
        <v>24</v>
      </c>
      <c r="F33" s="59">
        <v>1806</v>
      </c>
      <c r="H33" s="93"/>
    </row>
    <row r="34" spans="1:8" x14ac:dyDescent="0.25">
      <c r="A34" s="56">
        <v>2013</v>
      </c>
      <c r="B34" s="56" t="s">
        <v>318</v>
      </c>
      <c r="C34" s="1" t="s">
        <v>203</v>
      </c>
      <c r="D34" s="1" t="s">
        <v>175</v>
      </c>
      <c r="E34" s="1" t="s">
        <v>204</v>
      </c>
      <c r="F34" s="59">
        <v>0</v>
      </c>
      <c r="H34" s="93"/>
    </row>
    <row r="35" spans="1:8" x14ac:dyDescent="0.25">
      <c r="A35" s="56">
        <v>2013</v>
      </c>
      <c r="B35" s="56" t="s">
        <v>318</v>
      </c>
      <c r="C35" s="1" t="s">
        <v>207</v>
      </c>
      <c r="D35" s="1" t="s">
        <v>208</v>
      </c>
      <c r="E35" s="1" t="s">
        <v>2</v>
      </c>
      <c r="F35" s="59">
        <v>5618</v>
      </c>
      <c r="H35" s="93"/>
    </row>
    <row r="36" spans="1:8" x14ac:dyDescent="0.25">
      <c r="A36" s="56">
        <v>2013</v>
      </c>
      <c r="B36" s="56" t="s">
        <v>318</v>
      </c>
      <c r="C36" s="1" t="s">
        <v>207</v>
      </c>
      <c r="D36" s="1" t="s">
        <v>208</v>
      </c>
      <c r="E36" s="1" t="s">
        <v>24</v>
      </c>
      <c r="F36" s="59">
        <v>63573</v>
      </c>
      <c r="H36" s="93"/>
    </row>
    <row r="37" spans="1:8" x14ac:dyDescent="0.25">
      <c r="A37" s="56">
        <v>2013</v>
      </c>
      <c r="B37" s="56" t="s">
        <v>318</v>
      </c>
      <c r="C37" s="1" t="s">
        <v>207</v>
      </c>
      <c r="D37" s="1" t="s">
        <v>208</v>
      </c>
      <c r="E37" s="1" t="s">
        <v>204</v>
      </c>
      <c r="F37" s="59">
        <v>109161</v>
      </c>
      <c r="H37" s="93"/>
    </row>
    <row r="38" spans="1:8" x14ac:dyDescent="0.25">
      <c r="A38" s="56">
        <v>2013</v>
      </c>
      <c r="B38" s="56" t="s">
        <v>318</v>
      </c>
      <c r="C38" s="1" t="s">
        <v>207</v>
      </c>
      <c r="D38" s="1" t="s">
        <v>209</v>
      </c>
      <c r="E38" s="1" t="s">
        <v>2</v>
      </c>
      <c r="F38" s="59">
        <v>0</v>
      </c>
      <c r="H38" s="93"/>
    </row>
    <row r="39" spans="1:8" x14ac:dyDescent="0.25">
      <c r="A39" s="56">
        <v>2013</v>
      </c>
      <c r="B39" s="56" t="s">
        <v>318</v>
      </c>
      <c r="C39" s="1" t="s">
        <v>207</v>
      </c>
      <c r="D39" s="1" t="s">
        <v>209</v>
      </c>
      <c r="E39" s="1" t="s">
        <v>24</v>
      </c>
      <c r="F39" s="59">
        <v>72257</v>
      </c>
      <c r="H39" s="93"/>
    </row>
    <row r="40" spans="1:8" x14ac:dyDescent="0.25">
      <c r="A40" s="56">
        <v>2013</v>
      </c>
      <c r="B40" s="56" t="s">
        <v>318</v>
      </c>
      <c r="C40" s="1" t="s">
        <v>207</v>
      </c>
      <c r="D40" s="1" t="s">
        <v>209</v>
      </c>
      <c r="E40" s="1" t="s">
        <v>204</v>
      </c>
      <c r="F40" s="59">
        <v>35787</v>
      </c>
      <c r="H40" s="93"/>
    </row>
    <row r="41" spans="1:8" x14ac:dyDescent="0.25">
      <c r="A41" s="56">
        <v>2013</v>
      </c>
      <c r="B41" s="56" t="s">
        <v>318</v>
      </c>
      <c r="C41" s="1" t="s">
        <v>207</v>
      </c>
      <c r="D41" s="1" t="s">
        <v>210</v>
      </c>
      <c r="E41" s="1" t="s">
        <v>2</v>
      </c>
      <c r="F41" s="59">
        <v>13957</v>
      </c>
      <c r="H41" s="93"/>
    </row>
    <row r="42" spans="1:8" x14ac:dyDescent="0.25">
      <c r="A42" s="56">
        <v>2013</v>
      </c>
      <c r="B42" s="56" t="s">
        <v>318</v>
      </c>
      <c r="C42" s="1" t="s">
        <v>207</v>
      </c>
      <c r="D42" s="1" t="s">
        <v>210</v>
      </c>
      <c r="E42" s="1" t="s">
        <v>24</v>
      </c>
      <c r="F42" s="59">
        <v>28303</v>
      </c>
      <c r="H42" s="93"/>
    </row>
    <row r="43" spans="1:8" x14ac:dyDescent="0.25">
      <c r="A43" s="56">
        <v>2013</v>
      </c>
      <c r="B43" s="56" t="s">
        <v>318</v>
      </c>
      <c r="C43" s="1" t="s">
        <v>207</v>
      </c>
      <c r="D43" s="1" t="s">
        <v>210</v>
      </c>
      <c r="E43" s="1" t="s">
        <v>204</v>
      </c>
      <c r="F43" s="59">
        <v>10146</v>
      </c>
      <c r="H43" s="94"/>
    </row>
    <row r="44" spans="1:8" x14ac:dyDescent="0.25">
      <c r="A44" s="11">
        <v>2012</v>
      </c>
      <c r="B44" s="19" t="s">
        <v>319</v>
      </c>
      <c r="C44" s="1" t="s">
        <v>203</v>
      </c>
      <c r="D44" t="s">
        <v>174</v>
      </c>
      <c r="E44" t="s">
        <v>2</v>
      </c>
      <c r="F44" s="50">
        <v>39281</v>
      </c>
      <c r="H44" s="93"/>
    </row>
    <row r="45" spans="1:8" x14ac:dyDescent="0.25">
      <c r="A45" s="20">
        <v>2012</v>
      </c>
      <c r="B45" s="19" t="s">
        <v>319</v>
      </c>
      <c r="C45" s="1" t="s">
        <v>203</v>
      </c>
      <c r="D45" t="s">
        <v>174</v>
      </c>
      <c r="E45" t="s">
        <v>24</v>
      </c>
      <c r="F45" s="50">
        <v>81059</v>
      </c>
    </row>
    <row r="46" spans="1:8" x14ac:dyDescent="0.25">
      <c r="A46" s="20">
        <v>2012</v>
      </c>
      <c r="B46" s="19" t="s">
        <v>319</v>
      </c>
      <c r="C46" s="1" t="s">
        <v>203</v>
      </c>
      <c r="D46" t="s">
        <v>174</v>
      </c>
      <c r="E46" t="s">
        <v>204</v>
      </c>
      <c r="F46" s="50">
        <v>960</v>
      </c>
    </row>
    <row r="47" spans="1:8" x14ac:dyDescent="0.25">
      <c r="A47" s="20">
        <v>2012</v>
      </c>
      <c r="B47" s="19" t="s">
        <v>319</v>
      </c>
      <c r="C47" s="1" t="s">
        <v>203</v>
      </c>
      <c r="D47" t="s">
        <v>205</v>
      </c>
      <c r="E47" t="s">
        <v>2</v>
      </c>
      <c r="F47" s="50">
        <v>6894</v>
      </c>
    </row>
    <row r="48" spans="1:8" x14ac:dyDescent="0.25">
      <c r="A48" s="20">
        <v>2012</v>
      </c>
      <c r="B48" s="19" t="s">
        <v>319</v>
      </c>
      <c r="C48" s="1" t="s">
        <v>203</v>
      </c>
      <c r="D48" t="s">
        <v>205</v>
      </c>
      <c r="E48" t="s">
        <v>24</v>
      </c>
      <c r="F48" s="50">
        <v>88253</v>
      </c>
    </row>
    <row r="49" spans="1:6" x14ac:dyDescent="0.25">
      <c r="A49" s="20">
        <v>2012</v>
      </c>
      <c r="B49" s="19" t="s">
        <v>319</v>
      </c>
      <c r="C49" s="1" t="s">
        <v>203</v>
      </c>
      <c r="D49" t="s">
        <v>205</v>
      </c>
      <c r="E49" t="s">
        <v>204</v>
      </c>
      <c r="F49" s="50">
        <v>4000</v>
      </c>
    </row>
    <row r="50" spans="1:6" x14ac:dyDescent="0.25">
      <c r="A50" s="20">
        <v>2012</v>
      </c>
      <c r="B50" s="19" t="s">
        <v>319</v>
      </c>
      <c r="C50" s="1" t="s">
        <v>203</v>
      </c>
      <c r="D50" t="s">
        <v>206</v>
      </c>
      <c r="E50" t="s">
        <v>2</v>
      </c>
      <c r="F50" s="50">
        <v>2300</v>
      </c>
    </row>
    <row r="51" spans="1:6" x14ac:dyDescent="0.25">
      <c r="A51" s="20">
        <v>2012</v>
      </c>
      <c r="B51" s="19" t="s">
        <v>319</v>
      </c>
      <c r="C51" s="1" t="s">
        <v>203</v>
      </c>
      <c r="D51" t="s">
        <v>206</v>
      </c>
      <c r="E51" t="s">
        <v>24</v>
      </c>
      <c r="F51" s="50">
        <v>19112</v>
      </c>
    </row>
    <row r="52" spans="1:6" x14ac:dyDescent="0.25">
      <c r="A52" s="20">
        <v>2012</v>
      </c>
      <c r="B52" s="19" t="s">
        <v>319</v>
      </c>
      <c r="C52" s="1" t="s">
        <v>203</v>
      </c>
      <c r="D52" t="s">
        <v>206</v>
      </c>
      <c r="E52" t="s">
        <v>204</v>
      </c>
      <c r="F52" s="50">
        <v>10270</v>
      </c>
    </row>
    <row r="53" spans="1:6" x14ac:dyDescent="0.25">
      <c r="A53" s="20">
        <v>2012</v>
      </c>
      <c r="B53" s="19" t="s">
        <v>319</v>
      </c>
      <c r="C53" s="1" t="s">
        <v>203</v>
      </c>
      <c r="D53" t="s">
        <v>175</v>
      </c>
      <c r="E53" t="s">
        <v>2</v>
      </c>
      <c r="F53" s="50">
        <v>4030</v>
      </c>
    </row>
    <row r="54" spans="1:6" x14ac:dyDescent="0.25">
      <c r="A54" s="20">
        <v>2012</v>
      </c>
      <c r="B54" s="19" t="s">
        <v>319</v>
      </c>
      <c r="C54" s="1" t="s">
        <v>203</v>
      </c>
      <c r="D54" t="s">
        <v>175</v>
      </c>
      <c r="E54" t="s">
        <v>24</v>
      </c>
      <c r="F54" s="50">
        <v>5125</v>
      </c>
    </row>
    <row r="55" spans="1:6" x14ac:dyDescent="0.25">
      <c r="A55" s="20">
        <v>2012</v>
      </c>
      <c r="B55" s="19" t="s">
        <v>319</v>
      </c>
      <c r="C55" s="1" t="s">
        <v>203</v>
      </c>
      <c r="D55" t="s">
        <v>175</v>
      </c>
      <c r="E55" t="s">
        <v>204</v>
      </c>
      <c r="F55" s="50">
        <v>3200</v>
      </c>
    </row>
    <row r="56" spans="1:6" x14ac:dyDescent="0.25">
      <c r="A56" s="20">
        <v>2012</v>
      </c>
      <c r="B56" s="19" t="s">
        <v>319</v>
      </c>
      <c r="C56" s="1" t="s">
        <v>207</v>
      </c>
      <c r="D56" t="s">
        <v>208</v>
      </c>
      <c r="E56" t="s">
        <v>2</v>
      </c>
      <c r="F56" s="50">
        <v>6161</v>
      </c>
    </row>
    <row r="57" spans="1:6" x14ac:dyDescent="0.25">
      <c r="A57" s="20">
        <v>2012</v>
      </c>
      <c r="B57" s="19" t="s">
        <v>319</v>
      </c>
      <c r="C57" s="1" t="s">
        <v>207</v>
      </c>
      <c r="D57" t="s">
        <v>208</v>
      </c>
      <c r="E57" t="s">
        <v>24</v>
      </c>
      <c r="F57" s="50">
        <v>42066</v>
      </c>
    </row>
    <row r="58" spans="1:6" x14ac:dyDescent="0.25">
      <c r="A58" s="20">
        <v>2012</v>
      </c>
      <c r="B58" s="19" t="s">
        <v>319</v>
      </c>
      <c r="C58" s="1" t="s">
        <v>207</v>
      </c>
      <c r="D58" t="s">
        <v>208</v>
      </c>
      <c r="E58" t="s">
        <v>204</v>
      </c>
      <c r="F58" s="50">
        <v>197061</v>
      </c>
    </row>
    <row r="59" spans="1:6" x14ac:dyDescent="0.25">
      <c r="A59" s="20">
        <v>2012</v>
      </c>
      <c r="B59" s="19" t="s">
        <v>319</v>
      </c>
      <c r="C59" s="1" t="s">
        <v>207</v>
      </c>
      <c r="D59" t="s">
        <v>209</v>
      </c>
      <c r="E59" t="s">
        <v>2</v>
      </c>
      <c r="F59" s="50">
        <v>0</v>
      </c>
    </row>
    <row r="60" spans="1:6" x14ac:dyDescent="0.25">
      <c r="A60" s="20">
        <v>2012</v>
      </c>
      <c r="B60" s="19" t="s">
        <v>319</v>
      </c>
      <c r="C60" s="1" t="s">
        <v>207</v>
      </c>
      <c r="D60" t="s">
        <v>209</v>
      </c>
      <c r="E60" t="s">
        <v>24</v>
      </c>
      <c r="F60" s="50">
        <v>47150</v>
      </c>
    </row>
    <row r="61" spans="1:6" x14ac:dyDescent="0.25">
      <c r="A61" s="20">
        <v>2012</v>
      </c>
      <c r="B61" s="19" t="s">
        <v>319</v>
      </c>
      <c r="C61" s="1" t="s">
        <v>207</v>
      </c>
      <c r="D61" t="s">
        <v>209</v>
      </c>
      <c r="E61" t="s">
        <v>204</v>
      </c>
      <c r="F61" s="50">
        <v>45900</v>
      </c>
    </row>
    <row r="62" spans="1:6" x14ac:dyDescent="0.25">
      <c r="A62" s="20">
        <v>2012</v>
      </c>
      <c r="B62" s="19" t="s">
        <v>319</v>
      </c>
      <c r="C62" s="1" t="s">
        <v>207</v>
      </c>
      <c r="D62" t="s">
        <v>210</v>
      </c>
      <c r="E62" t="s">
        <v>2</v>
      </c>
      <c r="F62" s="50">
        <v>5870</v>
      </c>
    </row>
    <row r="63" spans="1:6" x14ac:dyDescent="0.25">
      <c r="A63" s="20">
        <v>2012</v>
      </c>
      <c r="B63" s="19" t="s">
        <v>319</v>
      </c>
      <c r="C63" s="1" t="s">
        <v>207</v>
      </c>
      <c r="D63" t="s">
        <v>210</v>
      </c>
      <c r="E63" t="s">
        <v>24</v>
      </c>
      <c r="F63" s="50">
        <v>21268</v>
      </c>
    </row>
    <row r="64" spans="1:6" ht="15.75" thickBot="1" x14ac:dyDescent="0.3">
      <c r="A64" s="20">
        <v>2012</v>
      </c>
      <c r="B64" s="19" t="s">
        <v>319</v>
      </c>
      <c r="C64" s="1" t="s">
        <v>207</v>
      </c>
      <c r="D64" t="s">
        <v>210</v>
      </c>
      <c r="E64" t="s">
        <v>204</v>
      </c>
      <c r="F64" s="64">
        <v>13414</v>
      </c>
    </row>
    <row r="65" spans="1:6" ht="15.75" thickTop="1" x14ac:dyDescent="0.25">
      <c r="A65">
        <v>2011</v>
      </c>
      <c r="B65" s="19" t="s">
        <v>319</v>
      </c>
      <c r="C65" s="1" t="s">
        <v>203</v>
      </c>
      <c r="D65" t="s">
        <v>174</v>
      </c>
      <c r="E65" t="s">
        <v>2</v>
      </c>
      <c r="F65" s="60">
        <v>29440</v>
      </c>
    </row>
    <row r="66" spans="1:6" x14ac:dyDescent="0.25">
      <c r="A66" s="12">
        <v>2011</v>
      </c>
      <c r="B66" s="19" t="s">
        <v>319</v>
      </c>
      <c r="C66" s="1" t="s">
        <v>203</v>
      </c>
      <c r="D66" t="s">
        <v>174</v>
      </c>
      <c r="E66" t="s">
        <v>24</v>
      </c>
      <c r="F66" s="50">
        <v>84605</v>
      </c>
    </row>
    <row r="67" spans="1:6" x14ac:dyDescent="0.25">
      <c r="A67" s="12">
        <v>2011</v>
      </c>
      <c r="B67" s="19" t="s">
        <v>319</v>
      </c>
      <c r="C67" s="1" t="s">
        <v>203</v>
      </c>
      <c r="D67" t="s">
        <v>174</v>
      </c>
      <c r="E67" t="s">
        <v>204</v>
      </c>
      <c r="F67" s="50">
        <v>0</v>
      </c>
    </row>
    <row r="68" spans="1:6" x14ac:dyDescent="0.25">
      <c r="A68" s="12">
        <v>2011</v>
      </c>
      <c r="B68" s="19" t="s">
        <v>319</v>
      </c>
      <c r="C68" s="1" t="s">
        <v>203</v>
      </c>
      <c r="D68" t="s">
        <v>205</v>
      </c>
      <c r="E68" t="s">
        <v>2</v>
      </c>
      <c r="F68" s="50">
        <v>0</v>
      </c>
    </row>
    <row r="69" spans="1:6" x14ac:dyDescent="0.25">
      <c r="A69" s="12">
        <v>2011</v>
      </c>
      <c r="B69" s="19" t="s">
        <v>319</v>
      </c>
      <c r="C69" s="1" t="s">
        <v>203</v>
      </c>
      <c r="D69" t="s">
        <v>205</v>
      </c>
      <c r="E69" t="s">
        <v>24</v>
      </c>
      <c r="F69" s="50">
        <v>85382</v>
      </c>
    </row>
    <row r="70" spans="1:6" x14ac:dyDescent="0.25">
      <c r="A70" s="12">
        <v>2011</v>
      </c>
      <c r="B70" s="19" t="s">
        <v>319</v>
      </c>
      <c r="C70" s="1" t="s">
        <v>203</v>
      </c>
      <c r="D70" t="s">
        <v>205</v>
      </c>
      <c r="E70" t="s">
        <v>204</v>
      </c>
      <c r="F70" s="50">
        <v>6080</v>
      </c>
    </row>
    <row r="71" spans="1:6" x14ac:dyDescent="0.25">
      <c r="A71" s="12">
        <v>2011</v>
      </c>
      <c r="B71" s="19" t="s">
        <v>319</v>
      </c>
      <c r="C71" s="1" t="s">
        <v>203</v>
      </c>
      <c r="D71" t="s">
        <v>206</v>
      </c>
      <c r="E71" t="s">
        <v>2</v>
      </c>
      <c r="F71" s="50">
        <v>8700</v>
      </c>
    </row>
    <row r="72" spans="1:6" x14ac:dyDescent="0.25">
      <c r="A72" s="12">
        <v>2011</v>
      </c>
      <c r="B72" s="19" t="s">
        <v>319</v>
      </c>
      <c r="C72" s="1" t="s">
        <v>203</v>
      </c>
      <c r="D72" t="s">
        <v>206</v>
      </c>
      <c r="E72" t="s">
        <v>24</v>
      </c>
      <c r="F72" s="50">
        <v>17038</v>
      </c>
    </row>
    <row r="73" spans="1:6" x14ac:dyDescent="0.25">
      <c r="A73" s="12">
        <v>2011</v>
      </c>
      <c r="B73" s="19" t="s">
        <v>319</v>
      </c>
      <c r="C73" s="1" t="s">
        <v>203</v>
      </c>
      <c r="D73" t="s">
        <v>206</v>
      </c>
      <c r="E73" t="s">
        <v>204</v>
      </c>
      <c r="F73" s="50">
        <v>14409</v>
      </c>
    </row>
    <row r="74" spans="1:6" x14ac:dyDescent="0.25">
      <c r="A74" s="12">
        <v>2011</v>
      </c>
      <c r="B74" s="19" t="s">
        <v>319</v>
      </c>
      <c r="C74" s="1" t="s">
        <v>203</v>
      </c>
      <c r="D74" t="s">
        <v>175</v>
      </c>
      <c r="E74" t="s">
        <v>2</v>
      </c>
      <c r="F74" s="50">
        <v>4400</v>
      </c>
    </row>
    <row r="75" spans="1:6" x14ac:dyDescent="0.25">
      <c r="A75" s="12">
        <v>2011</v>
      </c>
      <c r="B75" s="19" t="s">
        <v>319</v>
      </c>
      <c r="C75" s="1" t="s">
        <v>203</v>
      </c>
      <c r="D75" t="s">
        <v>175</v>
      </c>
      <c r="E75" t="s">
        <v>24</v>
      </c>
      <c r="F75" s="50">
        <v>17371</v>
      </c>
    </row>
    <row r="76" spans="1:6" x14ac:dyDescent="0.25">
      <c r="A76" s="12">
        <v>2011</v>
      </c>
      <c r="B76" s="19" t="s">
        <v>319</v>
      </c>
      <c r="C76" s="1" t="s">
        <v>203</v>
      </c>
      <c r="D76" t="s">
        <v>175</v>
      </c>
      <c r="E76" t="s">
        <v>204</v>
      </c>
      <c r="F76" s="50">
        <v>0</v>
      </c>
    </row>
    <row r="77" spans="1:6" x14ac:dyDescent="0.25">
      <c r="A77" s="12">
        <v>2011</v>
      </c>
      <c r="B77" s="19" t="s">
        <v>319</v>
      </c>
      <c r="C77" s="1" t="s">
        <v>207</v>
      </c>
      <c r="D77" t="s">
        <v>208</v>
      </c>
      <c r="E77" t="s">
        <v>2</v>
      </c>
      <c r="F77" s="50">
        <v>6341</v>
      </c>
    </row>
    <row r="78" spans="1:6" x14ac:dyDescent="0.25">
      <c r="A78" s="12">
        <v>2011</v>
      </c>
      <c r="B78" s="19" t="s">
        <v>319</v>
      </c>
      <c r="C78" s="1" t="s">
        <v>207</v>
      </c>
      <c r="D78" t="s">
        <v>208</v>
      </c>
      <c r="E78" t="s">
        <v>24</v>
      </c>
      <c r="F78" s="50">
        <v>24948</v>
      </c>
    </row>
    <row r="79" spans="1:6" x14ac:dyDescent="0.25">
      <c r="A79" s="12">
        <v>2011</v>
      </c>
      <c r="B79" s="19" t="s">
        <v>319</v>
      </c>
      <c r="C79" s="1" t="s">
        <v>207</v>
      </c>
      <c r="D79" t="s">
        <v>208</v>
      </c>
      <c r="E79" t="s">
        <v>204</v>
      </c>
      <c r="F79" s="50">
        <v>415543</v>
      </c>
    </row>
    <row r="80" spans="1:6" x14ac:dyDescent="0.25">
      <c r="A80" s="12">
        <v>2011</v>
      </c>
      <c r="B80" s="19" t="s">
        <v>319</v>
      </c>
      <c r="C80" s="1" t="s">
        <v>207</v>
      </c>
      <c r="D80" t="s">
        <v>209</v>
      </c>
      <c r="E80" t="s">
        <v>2</v>
      </c>
      <c r="F80" s="50">
        <v>0</v>
      </c>
    </row>
    <row r="81" spans="1:6" x14ac:dyDescent="0.25">
      <c r="A81" s="12">
        <v>2011</v>
      </c>
      <c r="B81" s="19" t="s">
        <v>319</v>
      </c>
      <c r="C81" s="1" t="s">
        <v>207</v>
      </c>
      <c r="D81" t="s">
        <v>209</v>
      </c>
      <c r="E81" t="s">
        <v>24</v>
      </c>
      <c r="F81" s="50">
        <v>7476</v>
      </c>
    </row>
    <row r="82" spans="1:6" x14ac:dyDescent="0.25">
      <c r="A82" s="12">
        <v>2011</v>
      </c>
      <c r="B82" s="19" t="s">
        <v>319</v>
      </c>
      <c r="C82" s="1" t="s">
        <v>207</v>
      </c>
      <c r="D82" t="s">
        <v>209</v>
      </c>
      <c r="E82" t="s">
        <v>204</v>
      </c>
      <c r="F82" s="50">
        <v>46200</v>
      </c>
    </row>
    <row r="83" spans="1:6" x14ac:dyDescent="0.25">
      <c r="A83" s="12">
        <v>2011</v>
      </c>
      <c r="B83" s="19" t="s">
        <v>319</v>
      </c>
      <c r="C83" s="1" t="s">
        <v>207</v>
      </c>
      <c r="D83" t="s">
        <v>210</v>
      </c>
      <c r="E83" t="s">
        <v>2</v>
      </c>
      <c r="F83" s="50">
        <v>6620</v>
      </c>
    </row>
    <row r="84" spans="1:6" x14ac:dyDescent="0.25">
      <c r="A84" s="12">
        <v>2011</v>
      </c>
      <c r="B84" s="19" t="s">
        <v>319</v>
      </c>
      <c r="C84" s="1" t="s">
        <v>207</v>
      </c>
      <c r="D84" t="s">
        <v>210</v>
      </c>
      <c r="E84" t="s">
        <v>24</v>
      </c>
      <c r="F84" s="50">
        <v>22860</v>
      </c>
    </row>
    <row r="85" spans="1:6" x14ac:dyDescent="0.25">
      <c r="A85" s="12">
        <v>2011</v>
      </c>
      <c r="B85" s="19" t="s">
        <v>319</v>
      </c>
      <c r="C85" s="1" t="s">
        <v>207</v>
      </c>
      <c r="D85" t="s">
        <v>210</v>
      </c>
      <c r="E85" t="s">
        <v>204</v>
      </c>
      <c r="F85" s="51">
        <v>19476</v>
      </c>
    </row>
    <row r="86" spans="1:6" x14ac:dyDescent="0.25">
      <c r="A86" s="11">
        <v>2010</v>
      </c>
      <c r="B86" s="19" t="s">
        <v>319</v>
      </c>
      <c r="C86" s="1" t="s">
        <v>203</v>
      </c>
      <c r="D86" t="s">
        <v>174</v>
      </c>
      <c r="E86" t="s">
        <v>2</v>
      </c>
      <c r="F86" s="40">
        <v>28851</v>
      </c>
    </row>
    <row r="87" spans="1:6" x14ac:dyDescent="0.25">
      <c r="A87" s="20">
        <v>2010</v>
      </c>
      <c r="B87" s="19" t="s">
        <v>319</v>
      </c>
      <c r="C87" s="1" t="s">
        <v>203</v>
      </c>
      <c r="D87" t="s">
        <v>174</v>
      </c>
      <c r="E87" t="s">
        <v>24</v>
      </c>
      <c r="F87" s="40">
        <v>91123</v>
      </c>
    </row>
    <row r="88" spans="1:6" x14ac:dyDescent="0.25">
      <c r="A88" s="20">
        <v>2010</v>
      </c>
      <c r="B88" s="19" t="s">
        <v>319</v>
      </c>
      <c r="C88" s="1" t="s">
        <v>203</v>
      </c>
      <c r="D88" t="s">
        <v>174</v>
      </c>
      <c r="E88" t="s">
        <v>204</v>
      </c>
      <c r="F88" s="40">
        <v>1600</v>
      </c>
    </row>
    <row r="89" spans="1:6" x14ac:dyDescent="0.25">
      <c r="A89" s="20">
        <v>2010</v>
      </c>
      <c r="B89" s="19" t="s">
        <v>319</v>
      </c>
      <c r="C89" s="1" t="s">
        <v>203</v>
      </c>
      <c r="D89" t="s">
        <v>205</v>
      </c>
      <c r="E89" t="s">
        <v>2</v>
      </c>
      <c r="F89" s="40">
        <v>4540</v>
      </c>
    </row>
    <row r="90" spans="1:6" x14ac:dyDescent="0.25">
      <c r="A90" s="20">
        <v>2010</v>
      </c>
      <c r="B90" s="19" t="s">
        <v>319</v>
      </c>
      <c r="C90" s="1" t="s">
        <v>203</v>
      </c>
      <c r="D90" t="s">
        <v>205</v>
      </c>
      <c r="E90" t="s">
        <v>24</v>
      </c>
      <c r="F90" s="40">
        <v>90565</v>
      </c>
    </row>
    <row r="91" spans="1:6" x14ac:dyDescent="0.25">
      <c r="A91" s="20">
        <v>2010</v>
      </c>
      <c r="B91" s="19" t="s">
        <v>319</v>
      </c>
      <c r="C91" s="1" t="s">
        <v>203</v>
      </c>
      <c r="D91" t="s">
        <v>205</v>
      </c>
      <c r="E91" t="s">
        <v>204</v>
      </c>
      <c r="F91" s="40">
        <v>21242</v>
      </c>
    </row>
    <row r="92" spans="1:6" x14ac:dyDescent="0.25">
      <c r="A92" s="20">
        <v>2010</v>
      </c>
      <c r="B92" s="19" t="s">
        <v>319</v>
      </c>
      <c r="C92" s="1" t="s">
        <v>203</v>
      </c>
      <c r="D92" t="s">
        <v>206</v>
      </c>
      <c r="E92" t="s">
        <v>2</v>
      </c>
      <c r="F92" s="40">
        <v>10728</v>
      </c>
    </row>
    <row r="93" spans="1:6" x14ac:dyDescent="0.25">
      <c r="A93" s="20">
        <v>2010</v>
      </c>
      <c r="B93" s="19" t="s">
        <v>319</v>
      </c>
      <c r="C93" s="1" t="s">
        <v>203</v>
      </c>
      <c r="D93" t="s">
        <v>206</v>
      </c>
      <c r="E93" t="s">
        <v>24</v>
      </c>
      <c r="F93" s="40">
        <v>21206</v>
      </c>
    </row>
    <row r="94" spans="1:6" x14ac:dyDescent="0.25">
      <c r="A94" s="20">
        <v>2010</v>
      </c>
      <c r="B94" s="19" t="s">
        <v>319</v>
      </c>
      <c r="C94" s="1" t="s">
        <v>203</v>
      </c>
      <c r="D94" t="s">
        <v>206</v>
      </c>
      <c r="E94" t="s">
        <v>204</v>
      </c>
      <c r="F94" s="40">
        <v>23698</v>
      </c>
    </row>
    <row r="95" spans="1:6" x14ac:dyDescent="0.25">
      <c r="A95" s="20">
        <v>2010</v>
      </c>
      <c r="B95" s="19" t="s">
        <v>319</v>
      </c>
      <c r="C95" s="1" t="s">
        <v>203</v>
      </c>
      <c r="D95" t="s">
        <v>175</v>
      </c>
      <c r="E95" t="s">
        <v>2</v>
      </c>
      <c r="F95" s="40">
        <v>4400</v>
      </c>
    </row>
    <row r="96" spans="1:6" x14ac:dyDescent="0.25">
      <c r="A96" s="20">
        <v>2010</v>
      </c>
      <c r="B96" s="19" t="s">
        <v>319</v>
      </c>
      <c r="C96" s="1" t="s">
        <v>203</v>
      </c>
      <c r="D96" t="s">
        <v>175</v>
      </c>
      <c r="E96" t="s">
        <v>24</v>
      </c>
      <c r="F96" s="40">
        <v>17416</v>
      </c>
    </row>
    <row r="97" spans="1:6" x14ac:dyDescent="0.25">
      <c r="A97" s="20">
        <v>2010</v>
      </c>
      <c r="B97" s="19" t="s">
        <v>319</v>
      </c>
      <c r="C97" s="1" t="s">
        <v>203</v>
      </c>
      <c r="D97" t="s">
        <v>175</v>
      </c>
      <c r="E97" t="s">
        <v>204</v>
      </c>
      <c r="F97" s="40">
        <v>9160</v>
      </c>
    </row>
    <row r="98" spans="1:6" x14ac:dyDescent="0.25">
      <c r="A98" s="20">
        <v>2010</v>
      </c>
      <c r="B98" s="19" t="s">
        <v>319</v>
      </c>
      <c r="C98" s="1" t="s">
        <v>207</v>
      </c>
      <c r="D98" t="s">
        <v>208</v>
      </c>
      <c r="E98" t="s">
        <v>2</v>
      </c>
      <c r="F98" s="40">
        <v>13752</v>
      </c>
    </row>
    <row r="99" spans="1:6" x14ac:dyDescent="0.25">
      <c r="A99" s="20">
        <v>2010</v>
      </c>
      <c r="B99" s="19" t="s">
        <v>319</v>
      </c>
      <c r="C99" s="1" t="s">
        <v>207</v>
      </c>
      <c r="D99" t="s">
        <v>208</v>
      </c>
      <c r="E99" t="s">
        <v>24</v>
      </c>
      <c r="F99" s="40">
        <v>19618</v>
      </c>
    </row>
    <row r="100" spans="1:6" x14ac:dyDescent="0.25">
      <c r="A100" s="20">
        <v>2010</v>
      </c>
      <c r="B100" s="19" t="s">
        <v>319</v>
      </c>
      <c r="C100" s="1" t="s">
        <v>207</v>
      </c>
      <c r="D100" t="s">
        <v>208</v>
      </c>
      <c r="E100" t="s">
        <v>204</v>
      </c>
      <c r="F100" s="40">
        <v>374049</v>
      </c>
    </row>
    <row r="101" spans="1:6" x14ac:dyDescent="0.25">
      <c r="A101" s="20">
        <v>2010</v>
      </c>
      <c r="B101" s="19" t="s">
        <v>319</v>
      </c>
      <c r="C101" s="1" t="s">
        <v>207</v>
      </c>
      <c r="D101" t="s">
        <v>209</v>
      </c>
      <c r="E101" t="s">
        <v>2</v>
      </c>
      <c r="F101" s="40">
        <v>0</v>
      </c>
    </row>
    <row r="102" spans="1:6" x14ac:dyDescent="0.25">
      <c r="A102" s="20">
        <v>2010</v>
      </c>
      <c r="B102" s="19" t="s">
        <v>319</v>
      </c>
      <c r="C102" s="1" t="s">
        <v>207</v>
      </c>
      <c r="D102" t="s">
        <v>209</v>
      </c>
      <c r="E102" t="s">
        <v>24</v>
      </c>
      <c r="F102" s="40">
        <v>6924</v>
      </c>
    </row>
    <row r="103" spans="1:6" x14ac:dyDescent="0.25">
      <c r="A103" s="20">
        <v>2010</v>
      </c>
      <c r="B103" s="19" t="s">
        <v>319</v>
      </c>
      <c r="C103" s="1" t="s">
        <v>207</v>
      </c>
      <c r="D103" t="s">
        <v>209</v>
      </c>
      <c r="E103" t="s">
        <v>204</v>
      </c>
      <c r="F103" s="40">
        <v>52200</v>
      </c>
    </row>
    <row r="104" spans="1:6" x14ac:dyDescent="0.25">
      <c r="A104" s="20">
        <v>2010</v>
      </c>
      <c r="B104" s="19" t="s">
        <v>319</v>
      </c>
      <c r="C104" s="1" t="s">
        <v>207</v>
      </c>
      <c r="D104" t="s">
        <v>210</v>
      </c>
      <c r="E104" t="s">
        <v>2</v>
      </c>
      <c r="F104" s="40">
        <v>11180</v>
      </c>
    </row>
    <row r="105" spans="1:6" x14ac:dyDescent="0.25">
      <c r="A105" s="20">
        <v>2010</v>
      </c>
      <c r="B105" s="19" t="s">
        <v>319</v>
      </c>
      <c r="C105" s="1" t="s">
        <v>207</v>
      </c>
      <c r="D105" t="s">
        <v>210</v>
      </c>
      <c r="E105" t="s">
        <v>24</v>
      </c>
      <c r="F105" s="40">
        <v>15755</v>
      </c>
    </row>
    <row r="106" spans="1:6" x14ac:dyDescent="0.25">
      <c r="A106" s="20">
        <v>2010</v>
      </c>
      <c r="B106" s="19" t="s">
        <v>319</v>
      </c>
      <c r="C106" s="1" t="s">
        <v>207</v>
      </c>
      <c r="D106" t="s">
        <v>210</v>
      </c>
      <c r="E106" t="s">
        <v>204</v>
      </c>
      <c r="F106" s="48">
        <v>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34" sqref="B34"/>
    </sheetView>
  </sheetViews>
  <sheetFormatPr defaultRowHeight="15" x14ac:dyDescent="0.25"/>
  <cols>
    <col min="1" max="1" width="51.42578125" customWidth="1"/>
    <col min="2" max="2" width="22.7109375" customWidth="1"/>
    <col min="3" max="3" width="25.140625" customWidth="1"/>
    <col min="4" max="4" width="26.28515625" bestFit="1" customWidth="1"/>
    <col min="5" max="5" width="26.28515625" style="24" bestFit="1" customWidth="1"/>
    <col min="6" max="6" width="26.28515625" style="18" bestFit="1" customWidth="1"/>
  </cols>
  <sheetData>
    <row r="1" spans="1:10" x14ac:dyDescent="0.25">
      <c r="A1" s="57" t="s">
        <v>39</v>
      </c>
      <c r="B1" s="55" t="s">
        <v>496</v>
      </c>
    </row>
    <row r="2" spans="1:10" x14ac:dyDescent="0.25">
      <c r="A2" s="57" t="s">
        <v>18</v>
      </c>
      <c r="B2" s="55" t="s">
        <v>496</v>
      </c>
    </row>
    <row r="4" spans="1:10" x14ac:dyDescent="0.25">
      <c r="A4" s="55" t="s">
        <v>237</v>
      </c>
      <c r="B4" s="55" t="s">
        <v>238</v>
      </c>
      <c r="C4" s="55" t="s">
        <v>242</v>
      </c>
    </row>
    <row r="5" spans="1:10" x14ac:dyDescent="0.25">
      <c r="A5" s="58">
        <v>1.3498902277424656</v>
      </c>
      <c r="B5" s="58">
        <v>167874</v>
      </c>
      <c r="C5" s="58">
        <v>4094.4878048780488</v>
      </c>
    </row>
    <row r="7" spans="1:10" x14ac:dyDescent="0.25">
      <c r="C7" s="24" t="s">
        <v>239</v>
      </c>
      <c r="D7" s="18" t="s">
        <v>240</v>
      </c>
      <c r="E7" t="s">
        <v>241</v>
      </c>
    </row>
    <row r="8" spans="1:10" x14ac:dyDescent="0.25">
      <c r="A8" s="22" t="s">
        <v>149</v>
      </c>
      <c r="B8" s="22" t="s">
        <v>150</v>
      </c>
      <c r="C8" s="25">
        <v>7.71</v>
      </c>
      <c r="D8" s="21">
        <v>595044</v>
      </c>
      <c r="E8" s="21">
        <v>4220.17</v>
      </c>
      <c r="J8" s="18"/>
    </row>
    <row r="9" spans="1:10" s="12" customFormat="1" x14ac:dyDescent="0.25">
      <c r="A9" s="22" t="s">
        <v>149</v>
      </c>
      <c r="B9" s="22" t="s">
        <v>2</v>
      </c>
      <c r="C9" s="25">
        <v>1.9750000000000001</v>
      </c>
      <c r="D9" s="21">
        <v>64317</v>
      </c>
      <c r="E9" s="21">
        <v>2923.5</v>
      </c>
    </row>
    <row r="10" spans="1:10" x14ac:dyDescent="0.25">
      <c r="A10" s="22" t="s">
        <v>149</v>
      </c>
      <c r="B10" s="22" t="s">
        <v>24</v>
      </c>
      <c r="C10" s="25">
        <v>7.1879999999999997</v>
      </c>
      <c r="D10" s="21">
        <v>358878</v>
      </c>
      <c r="E10" s="21">
        <v>4078.15</v>
      </c>
    </row>
    <row r="11" spans="1:10" x14ac:dyDescent="0.25">
      <c r="A11" s="22" t="s">
        <v>149</v>
      </c>
      <c r="B11" s="22" t="s">
        <v>204</v>
      </c>
      <c r="C11" s="25">
        <v>13.279</v>
      </c>
      <c r="D11" s="21">
        <v>171849</v>
      </c>
      <c r="E11" s="21">
        <v>5543.5</v>
      </c>
    </row>
    <row r="12" spans="1:10" x14ac:dyDescent="0.25">
      <c r="A12" s="16" t="s">
        <v>174</v>
      </c>
      <c r="B12" s="16" t="s">
        <v>2</v>
      </c>
      <c r="C12" s="25">
        <v>2.77</v>
      </c>
      <c r="D12" s="21">
        <v>29946</v>
      </c>
      <c r="E12" s="21">
        <v>4278</v>
      </c>
    </row>
    <row r="13" spans="1:10" x14ac:dyDescent="0.25">
      <c r="A13" s="16" t="s">
        <v>174</v>
      </c>
      <c r="B13" s="16" t="s">
        <v>24</v>
      </c>
      <c r="C13" s="25">
        <v>1.38</v>
      </c>
      <c r="D13" s="21">
        <v>85973</v>
      </c>
      <c r="E13" s="21">
        <v>5057</v>
      </c>
    </row>
    <row r="14" spans="1:10" x14ac:dyDescent="0.25">
      <c r="A14" s="16" t="s">
        <v>174</v>
      </c>
      <c r="B14" s="16" t="s">
        <v>204</v>
      </c>
      <c r="C14" s="25">
        <v>0</v>
      </c>
      <c r="D14" s="21">
        <v>0</v>
      </c>
      <c r="E14" s="21">
        <v>0</v>
      </c>
    </row>
    <row r="15" spans="1:10" x14ac:dyDescent="0.25">
      <c r="A15" s="16" t="s">
        <v>220</v>
      </c>
      <c r="B15" s="16" t="s">
        <v>2</v>
      </c>
      <c r="C15" s="25">
        <v>1.5</v>
      </c>
      <c r="D15" s="21">
        <v>8238</v>
      </c>
      <c r="E15" s="21">
        <v>2059.5</v>
      </c>
    </row>
    <row r="16" spans="1:10" x14ac:dyDescent="0.25">
      <c r="A16" s="16" t="s">
        <v>220</v>
      </c>
      <c r="B16" s="16" t="s">
        <v>24</v>
      </c>
      <c r="C16" s="25">
        <v>1.51</v>
      </c>
      <c r="D16" s="21">
        <v>86856</v>
      </c>
      <c r="E16" s="21">
        <v>9650.6</v>
      </c>
    </row>
    <row r="17" spans="1:5" x14ac:dyDescent="0.25">
      <c r="A17" s="16" t="s">
        <v>220</v>
      </c>
      <c r="B17" s="16" t="s">
        <v>204</v>
      </c>
      <c r="C17" s="25">
        <v>0</v>
      </c>
      <c r="D17" s="21">
        <v>0</v>
      </c>
      <c r="E17" s="21">
        <v>0</v>
      </c>
    </row>
    <row r="18" spans="1:5" x14ac:dyDescent="0.25">
      <c r="A18" s="16" t="s">
        <v>206</v>
      </c>
      <c r="B18" s="16" t="s">
        <v>2</v>
      </c>
      <c r="C18" s="25">
        <v>1.9550000000000001</v>
      </c>
      <c r="D18" s="21">
        <v>3000</v>
      </c>
      <c r="E18" s="21">
        <v>1500</v>
      </c>
    </row>
    <row r="19" spans="1:5" x14ac:dyDescent="0.25">
      <c r="A19" s="16" t="s">
        <v>206</v>
      </c>
      <c r="B19" s="16" t="s">
        <v>24</v>
      </c>
      <c r="C19" s="25">
        <v>26.9</v>
      </c>
      <c r="D19" s="21">
        <v>16575</v>
      </c>
      <c r="E19" s="21">
        <v>828.75</v>
      </c>
    </row>
    <row r="20" spans="1:5" x14ac:dyDescent="0.25">
      <c r="A20" s="16" t="s">
        <v>206</v>
      </c>
      <c r="B20" s="16" t="s">
        <v>204</v>
      </c>
      <c r="C20" s="25">
        <v>127.64</v>
      </c>
      <c r="D20" s="21">
        <v>11565</v>
      </c>
      <c r="E20" s="21">
        <v>3855</v>
      </c>
    </row>
    <row r="21" spans="1:5" x14ac:dyDescent="0.25">
      <c r="A21" s="16" t="s">
        <v>175</v>
      </c>
      <c r="B21" s="16" t="s">
        <v>2</v>
      </c>
      <c r="C21" s="25">
        <v>0</v>
      </c>
      <c r="D21" s="21">
        <v>0</v>
      </c>
      <c r="E21" s="21">
        <v>0</v>
      </c>
    </row>
    <row r="22" spans="1:5" x14ac:dyDescent="0.25">
      <c r="A22" s="16" t="s">
        <v>175</v>
      </c>
      <c r="B22" s="16" t="s">
        <v>24</v>
      </c>
      <c r="C22" s="25">
        <v>1.6</v>
      </c>
      <c r="D22" s="21">
        <v>1600</v>
      </c>
      <c r="E22" s="21">
        <v>1600</v>
      </c>
    </row>
    <row r="23" spans="1:5" x14ac:dyDescent="0.25">
      <c r="A23" s="16" t="s">
        <v>175</v>
      </c>
      <c r="B23" s="16" t="s">
        <v>204</v>
      </c>
      <c r="C23" s="25">
        <v>0</v>
      </c>
      <c r="D23" s="21">
        <v>0</v>
      </c>
      <c r="E23" s="21">
        <v>0</v>
      </c>
    </row>
    <row r="24" spans="1:5" x14ac:dyDescent="0.25">
      <c r="A24" s="16" t="s">
        <v>208</v>
      </c>
      <c r="B24" s="16" t="s">
        <v>2</v>
      </c>
      <c r="C24" s="25">
        <v>1.38</v>
      </c>
      <c r="D24" s="21">
        <v>5618</v>
      </c>
      <c r="E24" s="21">
        <v>1872.6</v>
      </c>
    </row>
    <row r="25" spans="1:5" x14ac:dyDescent="0.25">
      <c r="A25" s="16" t="s">
        <v>208</v>
      </c>
      <c r="B25" s="16" t="s">
        <v>24</v>
      </c>
      <c r="C25" s="25">
        <v>1.22</v>
      </c>
      <c r="D25" s="21">
        <v>63573</v>
      </c>
      <c r="E25" s="21">
        <v>5297.75</v>
      </c>
    </row>
    <row r="26" spans="1:5" x14ac:dyDescent="0.25">
      <c r="A26" s="16" t="s">
        <v>208</v>
      </c>
      <c r="B26" s="16" t="s">
        <v>204</v>
      </c>
      <c r="C26" s="25">
        <v>0.87490000000000001</v>
      </c>
      <c r="D26" s="21">
        <v>108086</v>
      </c>
      <c r="E26" s="21">
        <v>8314.2999999999993</v>
      </c>
    </row>
    <row r="27" spans="1:5" x14ac:dyDescent="0.25">
      <c r="A27" s="16" t="s">
        <v>209</v>
      </c>
      <c r="B27" s="16" t="s">
        <v>2</v>
      </c>
      <c r="C27" s="25">
        <v>0</v>
      </c>
      <c r="D27" s="21">
        <v>0</v>
      </c>
      <c r="E27" s="21">
        <v>0</v>
      </c>
    </row>
    <row r="28" spans="1:5" x14ac:dyDescent="0.25">
      <c r="A28" s="16" t="s">
        <v>209</v>
      </c>
      <c r="B28" s="16" t="s">
        <v>24</v>
      </c>
      <c r="C28" s="25">
        <v>0.91400000000000003</v>
      </c>
      <c r="D28" s="21">
        <v>70557</v>
      </c>
      <c r="E28" s="21">
        <v>7055.7</v>
      </c>
    </row>
    <row r="29" spans="1:5" x14ac:dyDescent="0.25">
      <c r="A29" s="16" t="s">
        <v>209</v>
      </c>
      <c r="B29" s="16" t="s">
        <v>204</v>
      </c>
      <c r="C29" s="25">
        <v>0.88</v>
      </c>
      <c r="D29" s="21">
        <v>40081</v>
      </c>
      <c r="E29" s="21">
        <v>5725.857</v>
      </c>
    </row>
    <row r="30" spans="1:5" x14ac:dyDescent="0.25">
      <c r="A30" s="16" t="s">
        <v>210</v>
      </c>
      <c r="B30" s="16" t="s">
        <v>2</v>
      </c>
      <c r="C30" s="25">
        <v>1.665</v>
      </c>
      <c r="D30" s="21">
        <v>17515</v>
      </c>
      <c r="E30" s="21">
        <v>2919.16</v>
      </c>
    </row>
    <row r="31" spans="1:5" x14ac:dyDescent="0.25">
      <c r="A31" s="16" t="s">
        <v>210</v>
      </c>
      <c r="B31" s="16" t="s">
        <v>24</v>
      </c>
      <c r="C31" s="27">
        <v>1.6579999999999999</v>
      </c>
      <c r="D31" s="26">
        <v>33744</v>
      </c>
      <c r="E31" s="21">
        <v>1776</v>
      </c>
    </row>
    <row r="32" spans="1:5" x14ac:dyDescent="0.25">
      <c r="A32" s="16" t="s">
        <v>210</v>
      </c>
      <c r="B32" s="16" t="s">
        <v>204</v>
      </c>
      <c r="C32" s="25">
        <v>1.5960000000000001</v>
      </c>
      <c r="D32" s="21">
        <v>63376</v>
      </c>
      <c r="E32" s="21">
        <v>1920.48</v>
      </c>
    </row>
  </sheetData>
  <pageMargins left="0.7" right="0.7" top="0.75" bottom="0.75" header="0.3" footer="0.3"/>
  <pageSetup orientation="portrait" horizontalDpi="1200" verticalDpi="12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"/>
  <sheetViews>
    <sheetView topLeftCell="A136" zoomScale="73" zoomScaleNormal="73" workbookViewId="0">
      <selection activeCell="L80" sqref="L80"/>
    </sheetView>
  </sheetViews>
  <sheetFormatPr defaultColWidth="18" defaultRowHeight="15" x14ac:dyDescent="0.25"/>
  <cols>
    <col min="1" max="3" width="18" style="1"/>
    <col min="4" max="4" width="16" style="1" customWidth="1"/>
    <col min="5" max="5" width="14.7109375" style="1" customWidth="1"/>
    <col min="6" max="6" width="8.42578125" style="1" customWidth="1"/>
    <col min="7" max="7" width="12.28515625" style="1" customWidth="1"/>
    <col min="8" max="8" width="11.7109375" style="1" customWidth="1"/>
    <col min="9" max="16384" width="18" style="1"/>
  </cols>
  <sheetData>
    <row r="1" spans="1:21" ht="45" x14ac:dyDescent="0.25">
      <c r="A1" s="13" t="s">
        <v>80</v>
      </c>
      <c r="B1" s="13" t="s">
        <v>39</v>
      </c>
      <c r="C1" s="13" t="s">
        <v>19</v>
      </c>
      <c r="D1" s="13" t="s">
        <v>164</v>
      </c>
      <c r="E1" s="13" t="s">
        <v>136</v>
      </c>
      <c r="F1" s="13" t="s">
        <v>137</v>
      </c>
      <c r="G1" s="13" t="s">
        <v>138</v>
      </c>
      <c r="H1" s="13" t="s">
        <v>18</v>
      </c>
      <c r="I1" s="13" t="s">
        <v>23</v>
      </c>
      <c r="J1" s="14" t="s">
        <v>16</v>
      </c>
      <c r="K1" s="17" t="s">
        <v>29</v>
      </c>
      <c r="L1" s="13" t="s">
        <v>15</v>
      </c>
      <c r="M1" s="13" t="s">
        <v>14</v>
      </c>
      <c r="N1" s="13" t="s">
        <v>13</v>
      </c>
      <c r="O1" s="13" t="s">
        <v>67</v>
      </c>
      <c r="P1" s="13" t="s">
        <v>12</v>
      </c>
      <c r="Q1" s="13" t="s">
        <v>22</v>
      </c>
      <c r="R1" s="15" t="s">
        <v>147</v>
      </c>
    </row>
    <row r="2" spans="1:21" s="75" customFormat="1" ht="90" x14ac:dyDescent="0.25">
      <c r="A2" s="81" t="s">
        <v>82</v>
      </c>
      <c r="B2" s="81" t="s">
        <v>83</v>
      </c>
      <c r="C2" s="81">
        <v>831</v>
      </c>
      <c r="D2" s="81" t="s">
        <v>193</v>
      </c>
      <c r="E2" s="81" t="s">
        <v>139</v>
      </c>
      <c r="F2" s="81" t="s">
        <v>140</v>
      </c>
      <c r="G2" s="81">
        <v>95060</v>
      </c>
      <c r="H2" s="81" t="s">
        <v>84</v>
      </c>
      <c r="I2" s="81"/>
      <c r="J2" s="82">
        <v>44825</v>
      </c>
      <c r="K2" s="83">
        <v>1</v>
      </c>
      <c r="L2" s="81" t="s">
        <v>5</v>
      </c>
      <c r="M2" s="81" t="s">
        <v>25</v>
      </c>
      <c r="N2" s="81" t="s">
        <v>113</v>
      </c>
      <c r="O2" s="81" t="s">
        <v>17</v>
      </c>
      <c r="P2" s="84" t="s">
        <v>86</v>
      </c>
      <c r="Q2" s="81"/>
      <c r="R2" s="84">
        <f>K2</f>
        <v>1</v>
      </c>
      <c r="S2" s="81">
        <v>36.960563659667997</v>
      </c>
      <c r="T2" s="81">
        <v>-122.044227600098</v>
      </c>
      <c r="U2" s="81" t="s">
        <v>289</v>
      </c>
    </row>
    <row r="3" spans="1:21" s="81" customFormat="1" ht="90" x14ac:dyDescent="0.25">
      <c r="A3" s="81" t="s">
        <v>415</v>
      </c>
      <c r="B3" s="81" t="s">
        <v>83</v>
      </c>
      <c r="C3" s="81">
        <v>849</v>
      </c>
      <c r="D3" s="81" t="s">
        <v>193</v>
      </c>
      <c r="E3" s="81" t="s">
        <v>139</v>
      </c>
      <c r="F3" s="81" t="s">
        <v>140</v>
      </c>
      <c r="G3" s="81">
        <v>95060</v>
      </c>
      <c r="H3" s="81" t="s">
        <v>2</v>
      </c>
      <c r="I3" s="81" t="s">
        <v>50</v>
      </c>
      <c r="J3" s="82">
        <v>1920</v>
      </c>
      <c r="K3" s="83">
        <v>0</v>
      </c>
      <c r="L3" s="81" t="s">
        <v>5</v>
      </c>
      <c r="M3" s="81" t="s">
        <v>92</v>
      </c>
      <c r="N3" s="81" t="s">
        <v>93</v>
      </c>
      <c r="O3" s="81" t="s">
        <v>9</v>
      </c>
      <c r="P3" s="81" t="s">
        <v>195</v>
      </c>
      <c r="R3" s="84">
        <f>K3</f>
        <v>0</v>
      </c>
      <c r="S3" s="81">
        <v>36.961211040616</v>
      </c>
      <c r="T3" s="81">
        <v>-122.043668478727</v>
      </c>
      <c r="U3" s="81" t="s">
        <v>290</v>
      </c>
    </row>
    <row r="4" spans="1:21" s="81" customFormat="1" ht="75" x14ac:dyDescent="0.25">
      <c r="A4" s="81" t="s">
        <v>81</v>
      </c>
      <c r="B4" s="81" t="s">
        <v>47</v>
      </c>
      <c r="C4" s="81">
        <v>227</v>
      </c>
      <c r="D4" s="81" t="s">
        <v>306</v>
      </c>
      <c r="E4" s="81" t="s">
        <v>139</v>
      </c>
      <c r="F4" s="81" t="s">
        <v>140</v>
      </c>
      <c r="G4" s="81">
        <v>95060</v>
      </c>
      <c r="H4" s="81" t="s">
        <v>7</v>
      </c>
      <c r="J4" s="82">
        <v>1000</v>
      </c>
      <c r="K4" s="83">
        <v>2160</v>
      </c>
      <c r="L4" s="81" t="s">
        <v>6</v>
      </c>
      <c r="M4" s="81" t="s">
        <v>331</v>
      </c>
      <c r="N4" s="81" t="s">
        <v>332</v>
      </c>
      <c r="R4" s="84">
        <v>2.16</v>
      </c>
      <c r="S4" s="81">
        <v>36.971589177846901</v>
      </c>
      <c r="T4" s="81">
        <v>-122.025692984461</v>
      </c>
      <c r="U4" s="81" t="s">
        <v>338</v>
      </c>
    </row>
    <row r="5" spans="1:21" s="81" customFormat="1" ht="66" customHeight="1" x14ac:dyDescent="0.25">
      <c r="A5" s="81" t="s">
        <v>81</v>
      </c>
      <c r="B5" s="81" t="s">
        <v>47</v>
      </c>
      <c r="C5" s="81">
        <v>411</v>
      </c>
      <c r="D5" s="81" t="s">
        <v>168</v>
      </c>
      <c r="E5" s="81" t="s">
        <v>139</v>
      </c>
      <c r="F5" s="81" t="s">
        <v>140</v>
      </c>
      <c r="G5" s="81">
        <v>95060</v>
      </c>
      <c r="H5" s="81" t="s">
        <v>24</v>
      </c>
      <c r="I5" s="81" t="s">
        <v>49</v>
      </c>
      <c r="J5" s="82">
        <v>500</v>
      </c>
      <c r="K5" s="83">
        <v>700</v>
      </c>
      <c r="M5" s="81" t="s">
        <v>416</v>
      </c>
      <c r="N5" s="81" t="s">
        <v>417</v>
      </c>
      <c r="O5" s="78" t="s">
        <v>418</v>
      </c>
      <c r="P5" s="81" t="s">
        <v>419</v>
      </c>
      <c r="R5" s="84">
        <v>1.4</v>
      </c>
      <c r="S5" s="81">
        <v>36.970354999999998</v>
      </c>
      <c r="T5" s="81">
        <v>-122.02685200000001</v>
      </c>
      <c r="U5" s="81" t="s">
        <v>422</v>
      </c>
    </row>
    <row r="6" spans="1:21" s="81" customFormat="1" ht="75" x14ac:dyDescent="0.25">
      <c r="A6" s="81" t="s">
        <v>81</v>
      </c>
      <c r="B6" s="81" t="s">
        <v>47</v>
      </c>
      <c r="C6" s="81">
        <v>827</v>
      </c>
      <c r="D6" s="81" t="s">
        <v>168</v>
      </c>
      <c r="E6" s="81" t="s">
        <v>139</v>
      </c>
      <c r="F6" s="81" t="s">
        <v>140</v>
      </c>
      <c r="G6" s="81">
        <v>95060</v>
      </c>
      <c r="H6" s="81" t="s">
        <v>24</v>
      </c>
      <c r="I6" s="81" t="s">
        <v>156</v>
      </c>
      <c r="J6" s="82">
        <v>450</v>
      </c>
      <c r="K6" s="83">
        <v>900</v>
      </c>
      <c r="L6" s="81" t="s">
        <v>6</v>
      </c>
      <c r="M6" s="81" t="s">
        <v>58</v>
      </c>
      <c r="N6" s="81" t="s">
        <v>59</v>
      </c>
      <c r="O6" s="81" t="s">
        <v>60</v>
      </c>
      <c r="R6" s="84">
        <f>K6/J6</f>
        <v>2</v>
      </c>
      <c r="S6" s="81">
        <v>36.973668560385697</v>
      </c>
      <c r="T6" s="81">
        <v>-122.027319744229</v>
      </c>
      <c r="U6" s="81" t="s">
        <v>250</v>
      </c>
    </row>
    <row r="7" spans="1:21" s="81" customFormat="1" ht="75" x14ac:dyDescent="0.25">
      <c r="A7" s="81" t="s">
        <v>81</v>
      </c>
      <c r="B7" s="81" t="s">
        <v>47</v>
      </c>
      <c r="C7" s="81">
        <v>427</v>
      </c>
      <c r="D7" s="81" t="s">
        <v>199</v>
      </c>
      <c r="E7" s="81" t="s">
        <v>139</v>
      </c>
      <c r="F7" s="81" t="s">
        <v>140</v>
      </c>
      <c r="G7" s="81">
        <v>95060</v>
      </c>
      <c r="H7" s="81" t="s">
        <v>8</v>
      </c>
      <c r="J7" s="82">
        <v>450</v>
      </c>
      <c r="K7" s="83">
        <v>2</v>
      </c>
      <c r="L7" s="81" t="s">
        <v>6</v>
      </c>
      <c r="M7" s="81" t="s">
        <v>58</v>
      </c>
      <c r="N7" s="81" t="s">
        <v>59</v>
      </c>
      <c r="O7" s="81" t="s">
        <v>60</v>
      </c>
      <c r="P7" s="81" t="s">
        <v>225</v>
      </c>
      <c r="R7" s="84">
        <f>K7</f>
        <v>2</v>
      </c>
      <c r="S7" s="81">
        <v>36.970274224877301</v>
      </c>
      <c r="T7" s="81">
        <v>-122.02656134963</v>
      </c>
      <c r="U7" s="81" t="s">
        <v>251</v>
      </c>
    </row>
    <row r="8" spans="1:21" s="81" customFormat="1" ht="90" x14ac:dyDescent="0.25">
      <c r="A8" s="81" t="s">
        <v>81</v>
      </c>
      <c r="B8" s="81" t="s">
        <v>47</v>
      </c>
      <c r="C8" s="81">
        <v>1001</v>
      </c>
      <c r="D8" s="81" t="s">
        <v>477</v>
      </c>
      <c r="E8" s="81" t="s">
        <v>139</v>
      </c>
      <c r="F8" s="81" t="s">
        <v>140</v>
      </c>
      <c r="G8" s="81">
        <v>95060</v>
      </c>
      <c r="H8" s="81" t="s">
        <v>24</v>
      </c>
      <c r="I8" s="81">
        <v>2</v>
      </c>
      <c r="J8" s="82">
        <v>486</v>
      </c>
      <c r="K8" s="83">
        <v>650</v>
      </c>
      <c r="L8" s="81" t="s">
        <v>5</v>
      </c>
      <c r="M8" s="81" t="s">
        <v>20</v>
      </c>
      <c r="N8" s="81" t="s">
        <v>21</v>
      </c>
      <c r="O8" s="81" t="s">
        <v>135</v>
      </c>
      <c r="P8" s="81" t="s">
        <v>478</v>
      </c>
      <c r="R8" s="84">
        <v>0.45</v>
      </c>
      <c r="S8" s="81">
        <v>36.976108000000004</v>
      </c>
      <c r="T8" s="81">
        <v>-122.028775</v>
      </c>
      <c r="U8" s="81" t="s">
        <v>479</v>
      </c>
    </row>
    <row r="9" spans="1:21" s="81" customFormat="1" ht="90" x14ac:dyDescent="0.25">
      <c r="A9" s="85" t="s">
        <v>81</v>
      </c>
      <c r="B9" s="85" t="s">
        <v>47</v>
      </c>
      <c r="C9" s="85">
        <v>500</v>
      </c>
      <c r="D9" s="85" t="s">
        <v>361</v>
      </c>
      <c r="E9" s="85" t="s">
        <v>139</v>
      </c>
      <c r="F9" s="85" t="s">
        <v>140</v>
      </c>
      <c r="G9" s="85">
        <v>95060</v>
      </c>
      <c r="H9" s="85" t="s">
        <v>24</v>
      </c>
      <c r="I9" s="85" t="s">
        <v>362</v>
      </c>
      <c r="J9" s="86">
        <v>156</v>
      </c>
      <c r="K9" s="87">
        <v>400</v>
      </c>
      <c r="L9" s="85" t="s">
        <v>6</v>
      </c>
      <c r="M9" s="85" t="s">
        <v>363</v>
      </c>
      <c r="N9" s="85" t="s">
        <v>364</v>
      </c>
      <c r="O9" s="88"/>
      <c r="P9" s="85" t="s">
        <v>365</v>
      </c>
      <c r="Q9" s="85"/>
      <c r="R9" s="89">
        <v>2.56</v>
      </c>
      <c r="S9" s="85">
        <v>36.972887</v>
      </c>
      <c r="T9" s="89">
        <v>-122.030607</v>
      </c>
      <c r="U9" s="81" t="s">
        <v>366</v>
      </c>
    </row>
    <row r="10" spans="1:21" s="79" customFormat="1" ht="75" x14ac:dyDescent="0.25">
      <c r="A10" s="81" t="s">
        <v>81</v>
      </c>
      <c r="B10" s="81" t="s">
        <v>40</v>
      </c>
      <c r="C10" s="81">
        <v>110</v>
      </c>
      <c r="D10" s="81" t="s">
        <v>165</v>
      </c>
      <c r="E10" s="81" t="s">
        <v>139</v>
      </c>
      <c r="F10" s="81" t="s">
        <v>140</v>
      </c>
      <c r="G10" s="81">
        <v>95060</v>
      </c>
      <c r="H10" s="81" t="s">
        <v>24</v>
      </c>
      <c r="I10" s="81" t="s">
        <v>156</v>
      </c>
      <c r="J10" s="82">
        <v>23451</v>
      </c>
      <c r="K10" s="83">
        <v>1.65</v>
      </c>
      <c r="L10" s="81" t="s">
        <v>5</v>
      </c>
      <c r="M10" s="81" t="s">
        <v>448</v>
      </c>
      <c r="N10" s="81" t="s">
        <v>4</v>
      </c>
      <c r="O10" s="81" t="s">
        <v>449</v>
      </c>
      <c r="P10" s="81" t="s">
        <v>142</v>
      </c>
      <c r="Q10" s="81"/>
      <c r="R10" s="84">
        <f>K10</f>
        <v>1.65</v>
      </c>
      <c r="S10" s="75">
        <v>36.974845886230398</v>
      </c>
      <c r="T10" s="75">
        <v>-122.026008605957</v>
      </c>
      <c r="U10" s="75" t="s">
        <v>247</v>
      </c>
    </row>
    <row r="11" spans="1:21" s="79" customFormat="1" ht="75" x14ac:dyDescent="0.25">
      <c r="A11" s="81" t="s">
        <v>81</v>
      </c>
      <c r="B11" s="81" t="s">
        <v>40</v>
      </c>
      <c r="C11" s="81">
        <v>110</v>
      </c>
      <c r="D11" s="81" t="s">
        <v>165</v>
      </c>
      <c r="E11" s="81" t="s">
        <v>139</v>
      </c>
      <c r="F11" s="81" t="s">
        <v>140</v>
      </c>
      <c r="G11" s="81">
        <v>95060</v>
      </c>
      <c r="H11" s="81" t="s">
        <v>24</v>
      </c>
      <c r="I11" s="81" t="s">
        <v>157</v>
      </c>
      <c r="J11" s="82">
        <v>23153</v>
      </c>
      <c r="K11" s="83">
        <v>1.65</v>
      </c>
      <c r="L11" s="81" t="s">
        <v>5</v>
      </c>
      <c r="M11" s="81" t="s">
        <v>450</v>
      </c>
      <c r="N11" s="81" t="s">
        <v>4</v>
      </c>
      <c r="O11" s="81" t="s">
        <v>449</v>
      </c>
      <c r="P11" s="81" t="s">
        <v>34</v>
      </c>
      <c r="Q11" s="81"/>
      <c r="R11" s="84">
        <f>K11</f>
        <v>1.65</v>
      </c>
      <c r="S11" s="81">
        <v>36.974845886230497</v>
      </c>
      <c r="T11" s="81">
        <v>-122.026008605957</v>
      </c>
      <c r="U11" s="81" t="s">
        <v>247</v>
      </c>
    </row>
    <row r="12" spans="1:21" s="81" customFormat="1" ht="75" x14ac:dyDescent="0.25">
      <c r="A12" s="81" t="s">
        <v>81</v>
      </c>
      <c r="B12" s="81" t="s">
        <v>40</v>
      </c>
      <c r="C12" s="81">
        <v>110</v>
      </c>
      <c r="D12" s="81" t="s">
        <v>165</v>
      </c>
      <c r="E12" s="81" t="s">
        <v>139</v>
      </c>
      <c r="F12" s="81" t="s">
        <v>140</v>
      </c>
      <c r="G12" s="81">
        <v>95060</v>
      </c>
      <c r="H12" s="81" t="s">
        <v>24</v>
      </c>
      <c r="I12" s="81" t="s">
        <v>155</v>
      </c>
      <c r="J12" s="82">
        <v>17880</v>
      </c>
      <c r="K12" s="83">
        <v>1.65</v>
      </c>
      <c r="L12" s="81" t="s">
        <v>5</v>
      </c>
      <c r="M12" s="81" t="s">
        <v>450</v>
      </c>
      <c r="N12" s="81" t="s">
        <v>4</v>
      </c>
      <c r="O12" s="81" t="s">
        <v>449</v>
      </c>
      <c r="P12" s="81" t="s">
        <v>34</v>
      </c>
      <c r="R12" s="84">
        <f>K12</f>
        <v>1.65</v>
      </c>
      <c r="S12" s="81">
        <v>36.974845886230398</v>
      </c>
      <c r="T12" s="81">
        <v>-122.026008605957</v>
      </c>
      <c r="U12" s="81" t="s">
        <v>247</v>
      </c>
    </row>
    <row r="13" spans="1:21" s="81" customFormat="1" ht="90.75" customHeight="1" x14ac:dyDescent="0.25">
      <c r="A13" s="81" t="s">
        <v>81</v>
      </c>
      <c r="B13" s="81" t="s">
        <v>40</v>
      </c>
      <c r="C13" s="81">
        <v>110</v>
      </c>
      <c r="D13" s="81" t="s">
        <v>165</v>
      </c>
      <c r="E13" s="81" t="s">
        <v>139</v>
      </c>
      <c r="F13" s="81" t="s">
        <v>140</v>
      </c>
      <c r="G13" s="81">
        <v>95060</v>
      </c>
      <c r="H13" s="81" t="s">
        <v>24</v>
      </c>
      <c r="I13" s="81" t="s">
        <v>154</v>
      </c>
      <c r="J13" s="82">
        <v>14669</v>
      </c>
      <c r="K13" s="83">
        <v>1.65</v>
      </c>
      <c r="L13" s="81" t="s">
        <v>5</v>
      </c>
      <c r="M13" s="81" t="s">
        <v>450</v>
      </c>
      <c r="N13" s="81" t="s">
        <v>4</v>
      </c>
      <c r="O13" s="81" t="s">
        <v>449</v>
      </c>
      <c r="P13" s="81" t="s">
        <v>34</v>
      </c>
      <c r="R13" s="84">
        <f>K13</f>
        <v>1.65</v>
      </c>
      <c r="S13" s="81">
        <v>36.974845886230398</v>
      </c>
      <c r="T13" s="81">
        <v>-122.026008605957</v>
      </c>
      <c r="U13" s="81" t="s">
        <v>247</v>
      </c>
    </row>
    <row r="14" spans="1:21" s="81" customFormat="1" ht="75" x14ac:dyDescent="0.25">
      <c r="A14" s="81" t="s">
        <v>81</v>
      </c>
      <c r="B14" s="81" t="s">
        <v>40</v>
      </c>
      <c r="C14" s="81">
        <v>110</v>
      </c>
      <c r="D14" s="81" t="s">
        <v>166</v>
      </c>
      <c r="E14" s="81" t="s">
        <v>139</v>
      </c>
      <c r="F14" s="81" t="s">
        <v>140</v>
      </c>
      <c r="G14" s="81">
        <v>95060</v>
      </c>
      <c r="H14" s="81" t="s">
        <v>7</v>
      </c>
      <c r="J14" s="82">
        <v>1873</v>
      </c>
      <c r="K14" s="83">
        <v>2</v>
      </c>
      <c r="L14" s="81" t="s">
        <v>5</v>
      </c>
      <c r="M14" s="81" t="s">
        <v>450</v>
      </c>
      <c r="N14" s="81" t="s">
        <v>4</v>
      </c>
      <c r="O14" s="81" t="s">
        <v>449</v>
      </c>
      <c r="P14" s="81" t="s">
        <v>34</v>
      </c>
      <c r="R14" s="84">
        <v>2</v>
      </c>
      <c r="S14" s="81">
        <v>36.974845886230398</v>
      </c>
      <c r="T14" s="81">
        <v>-122.026008605957</v>
      </c>
      <c r="U14" s="81" t="s">
        <v>247</v>
      </c>
    </row>
    <row r="15" spans="1:21" s="81" customFormat="1" ht="60" x14ac:dyDescent="0.25">
      <c r="A15" s="81" t="s">
        <v>415</v>
      </c>
      <c r="B15" s="81" t="s">
        <v>106</v>
      </c>
      <c r="C15" s="81">
        <v>350</v>
      </c>
      <c r="D15" s="81" t="s">
        <v>183</v>
      </c>
      <c r="E15" s="81" t="s">
        <v>139</v>
      </c>
      <c r="F15" s="81" t="s">
        <v>140</v>
      </c>
      <c r="G15" s="81">
        <v>95060</v>
      </c>
      <c r="H15" s="81" t="s">
        <v>24</v>
      </c>
      <c r="J15" s="82">
        <v>650</v>
      </c>
      <c r="K15" s="83">
        <v>750</v>
      </c>
      <c r="M15" s="81" t="s">
        <v>102</v>
      </c>
      <c r="N15" s="81" t="s">
        <v>93</v>
      </c>
      <c r="O15" s="81" t="s">
        <v>9</v>
      </c>
      <c r="R15" s="84">
        <f>K15/J15</f>
        <v>1.1538461538461537</v>
      </c>
      <c r="S15" s="81">
        <v>36.982200622558601</v>
      </c>
      <c r="T15" s="81">
        <v>-122.033401489258</v>
      </c>
      <c r="U15" s="81" t="s">
        <v>272</v>
      </c>
    </row>
    <row r="16" spans="1:21" s="81" customFormat="1" ht="60" x14ac:dyDescent="0.25">
      <c r="A16" s="81" t="s">
        <v>82</v>
      </c>
      <c r="B16" s="81" t="s">
        <v>106</v>
      </c>
      <c r="C16" s="81">
        <v>375</v>
      </c>
      <c r="D16" s="81" t="s">
        <v>183</v>
      </c>
      <c r="E16" s="81" t="s">
        <v>139</v>
      </c>
      <c r="F16" s="81" t="s">
        <v>140</v>
      </c>
      <c r="G16" s="81">
        <v>95060</v>
      </c>
      <c r="H16" s="81" t="s">
        <v>69</v>
      </c>
      <c r="J16" s="82">
        <v>1112</v>
      </c>
      <c r="K16" s="83">
        <v>0.95</v>
      </c>
      <c r="L16" s="81" t="s">
        <v>5</v>
      </c>
      <c r="M16" s="81" t="s">
        <v>333</v>
      </c>
      <c r="N16" s="81" t="s">
        <v>375</v>
      </c>
      <c r="O16" s="81" t="s">
        <v>374</v>
      </c>
      <c r="P16" s="81" t="s">
        <v>370</v>
      </c>
      <c r="R16" s="84">
        <v>1.03</v>
      </c>
      <c r="S16" s="81">
        <v>36.980936</v>
      </c>
      <c r="T16" s="81">
        <v>-122.033213</v>
      </c>
      <c r="U16" s="81" t="s">
        <v>390</v>
      </c>
    </row>
    <row r="17" spans="1:21" s="81" customFormat="1" ht="60" x14ac:dyDescent="0.25">
      <c r="A17" s="81" t="s">
        <v>415</v>
      </c>
      <c r="B17" s="81" t="s">
        <v>106</v>
      </c>
      <c r="C17" s="81">
        <v>379</v>
      </c>
      <c r="D17" s="81" t="s">
        <v>183</v>
      </c>
      <c r="E17" s="81" t="s">
        <v>139</v>
      </c>
      <c r="F17" s="81" t="s">
        <v>140</v>
      </c>
      <c r="G17" s="81">
        <v>95060</v>
      </c>
      <c r="H17" s="81" t="s">
        <v>24</v>
      </c>
      <c r="I17" s="81" t="s">
        <v>41</v>
      </c>
      <c r="J17" s="82">
        <v>775</v>
      </c>
      <c r="K17" s="83">
        <v>0.85</v>
      </c>
      <c r="L17" s="81" t="s">
        <v>5</v>
      </c>
      <c r="M17" s="81" t="s">
        <v>333</v>
      </c>
      <c r="N17" s="81" t="s">
        <v>375</v>
      </c>
      <c r="O17" s="81" t="s">
        <v>374</v>
      </c>
      <c r="R17" s="84">
        <v>0.85</v>
      </c>
      <c r="S17" s="81">
        <v>36.9820940494537</v>
      </c>
      <c r="T17" s="84">
        <v>-122.032829672098</v>
      </c>
      <c r="U17" s="81" t="s">
        <v>340</v>
      </c>
    </row>
    <row r="18" spans="1:21" s="81" customFormat="1" ht="60" x14ac:dyDescent="0.25">
      <c r="A18" s="81" t="s">
        <v>82</v>
      </c>
      <c r="B18" s="81" t="s">
        <v>106</v>
      </c>
      <c r="C18" s="81">
        <v>397</v>
      </c>
      <c r="D18" s="81" t="s">
        <v>183</v>
      </c>
      <c r="E18" s="81" t="s">
        <v>139</v>
      </c>
      <c r="F18" s="81" t="s">
        <v>140</v>
      </c>
      <c r="G18" s="81">
        <v>95060</v>
      </c>
      <c r="H18" s="81" t="s">
        <v>69</v>
      </c>
      <c r="I18" s="81" t="s">
        <v>50</v>
      </c>
      <c r="J18" s="82">
        <v>775</v>
      </c>
      <c r="K18" s="83" t="s">
        <v>371</v>
      </c>
      <c r="L18" s="81" t="s">
        <v>5</v>
      </c>
      <c r="M18" s="81" t="s">
        <v>333</v>
      </c>
      <c r="N18" s="81" t="s">
        <v>375</v>
      </c>
      <c r="O18" s="81" t="s">
        <v>374</v>
      </c>
      <c r="P18" s="81" t="s">
        <v>373</v>
      </c>
      <c r="R18" s="84">
        <v>0</v>
      </c>
      <c r="S18" s="81">
        <v>36.980673000000003</v>
      </c>
      <c r="T18" s="84">
        <v>-122.033317</v>
      </c>
      <c r="U18" s="81" t="s">
        <v>391</v>
      </c>
    </row>
    <row r="19" spans="1:21" s="81" customFormat="1" ht="60" x14ac:dyDescent="0.25">
      <c r="A19" s="81" t="s">
        <v>415</v>
      </c>
      <c r="B19" s="81" t="s">
        <v>106</v>
      </c>
      <c r="C19" s="81">
        <v>397</v>
      </c>
      <c r="D19" s="81" t="s">
        <v>183</v>
      </c>
      <c r="E19" s="81" t="s">
        <v>139</v>
      </c>
      <c r="F19" s="81" t="s">
        <v>140</v>
      </c>
      <c r="G19" s="81">
        <v>95060</v>
      </c>
      <c r="H19" s="81" t="s">
        <v>24</v>
      </c>
      <c r="I19" s="81" t="s">
        <v>41</v>
      </c>
      <c r="J19" s="82">
        <v>775</v>
      </c>
      <c r="K19" s="83">
        <v>0.85</v>
      </c>
      <c r="L19" s="81" t="s">
        <v>5</v>
      </c>
      <c r="M19" s="81" t="s">
        <v>333</v>
      </c>
      <c r="N19" s="81" t="s">
        <v>375</v>
      </c>
      <c r="O19" s="81" t="s">
        <v>374</v>
      </c>
      <c r="P19" s="81" t="s">
        <v>372</v>
      </c>
      <c r="R19" s="84">
        <v>0.85</v>
      </c>
      <c r="S19" s="81">
        <v>36.980673000000003</v>
      </c>
      <c r="T19" s="84">
        <v>-122.033317</v>
      </c>
      <c r="U19" s="81" t="s">
        <v>391</v>
      </c>
    </row>
    <row r="20" spans="1:21" s="81" customFormat="1" ht="90" x14ac:dyDescent="0.25">
      <c r="A20" s="81" t="s">
        <v>415</v>
      </c>
      <c r="B20" s="81" t="s">
        <v>83</v>
      </c>
      <c r="C20" s="81">
        <v>2117</v>
      </c>
      <c r="D20" s="81" t="s">
        <v>189</v>
      </c>
      <c r="E20" s="81" t="s">
        <v>139</v>
      </c>
      <c r="F20" s="81" t="s">
        <v>140</v>
      </c>
      <c r="G20" s="81">
        <v>95060</v>
      </c>
      <c r="H20" s="81" t="s">
        <v>8</v>
      </c>
      <c r="I20" s="81" t="s">
        <v>41</v>
      </c>
      <c r="J20" s="82">
        <v>3600</v>
      </c>
      <c r="K20" s="83">
        <v>0.9</v>
      </c>
      <c r="L20" s="81" t="s">
        <v>5</v>
      </c>
      <c r="M20" s="81" t="s">
        <v>95</v>
      </c>
      <c r="N20" s="80" t="s">
        <v>243</v>
      </c>
      <c r="O20" s="81" t="s">
        <v>94</v>
      </c>
      <c r="R20" s="84">
        <f>K20</f>
        <v>0.9</v>
      </c>
      <c r="S20" s="81">
        <v>36.9551391601562</v>
      </c>
      <c r="T20" s="81">
        <v>-122.04953765869099</v>
      </c>
      <c r="U20" s="81" t="s">
        <v>291</v>
      </c>
    </row>
    <row r="21" spans="1:21" s="81" customFormat="1" ht="90" x14ac:dyDescent="0.25">
      <c r="A21" s="81" t="s">
        <v>82</v>
      </c>
      <c r="B21" s="81" t="s">
        <v>83</v>
      </c>
      <c r="C21" s="81">
        <v>2119</v>
      </c>
      <c r="D21" s="81" t="s">
        <v>189</v>
      </c>
      <c r="E21" s="81" t="s">
        <v>139</v>
      </c>
      <c r="F21" s="81" t="s">
        <v>140</v>
      </c>
      <c r="G21" s="81">
        <v>95060</v>
      </c>
      <c r="H21" s="81" t="s">
        <v>51</v>
      </c>
      <c r="J21" s="82">
        <v>10800</v>
      </c>
      <c r="K21" s="83">
        <v>0.8</v>
      </c>
      <c r="L21" s="81" t="s">
        <v>5</v>
      </c>
      <c r="M21" s="81" t="s">
        <v>95</v>
      </c>
      <c r="N21" s="80" t="s">
        <v>243</v>
      </c>
      <c r="O21" s="81" t="s">
        <v>94</v>
      </c>
      <c r="R21" s="84">
        <f>K21</f>
        <v>0.8</v>
      </c>
      <c r="S21" s="81">
        <v>36.955477818846703</v>
      </c>
      <c r="T21" s="81">
        <v>-122.049738317728</v>
      </c>
      <c r="U21" s="81" t="s">
        <v>293</v>
      </c>
    </row>
    <row r="22" spans="1:21" s="81" customFormat="1" ht="90" x14ac:dyDescent="0.25">
      <c r="A22" s="81" t="s">
        <v>415</v>
      </c>
      <c r="B22" s="81" t="s">
        <v>83</v>
      </c>
      <c r="C22" s="81">
        <v>2155</v>
      </c>
      <c r="D22" s="81" t="s">
        <v>189</v>
      </c>
      <c r="E22" s="81" t="s">
        <v>139</v>
      </c>
      <c r="F22" s="81" t="s">
        <v>140</v>
      </c>
      <c r="G22" s="81">
        <v>95060</v>
      </c>
      <c r="H22" s="81" t="s">
        <v>24</v>
      </c>
      <c r="I22" s="81" t="s">
        <v>355</v>
      </c>
      <c r="J22" s="82">
        <v>9654</v>
      </c>
      <c r="K22" s="83">
        <v>1.1499999999999999</v>
      </c>
      <c r="L22" s="81" t="s">
        <v>5</v>
      </c>
      <c r="M22" s="81" t="s">
        <v>308</v>
      </c>
      <c r="N22" s="81" t="s">
        <v>356</v>
      </c>
      <c r="O22" s="81" t="s">
        <v>9</v>
      </c>
      <c r="P22" s="81" t="s">
        <v>426</v>
      </c>
      <c r="R22" s="84">
        <v>1.1499999999999999</v>
      </c>
      <c r="S22" s="81">
        <v>36.955129999999997</v>
      </c>
      <c r="T22" s="81">
        <v>-122.053029</v>
      </c>
      <c r="U22" s="81" t="s">
        <v>358</v>
      </c>
    </row>
    <row r="23" spans="1:21" s="81" customFormat="1" ht="90" x14ac:dyDescent="0.25">
      <c r="A23" s="81" t="s">
        <v>415</v>
      </c>
      <c r="B23" s="81" t="s">
        <v>106</v>
      </c>
      <c r="C23" s="81">
        <v>150</v>
      </c>
      <c r="D23" s="81" t="s">
        <v>180</v>
      </c>
      <c r="E23" s="81" t="s">
        <v>139</v>
      </c>
      <c r="F23" s="81" t="s">
        <v>140</v>
      </c>
      <c r="G23" s="81">
        <v>95060</v>
      </c>
      <c r="H23" s="81" t="s">
        <v>69</v>
      </c>
      <c r="I23" s="81" t="s">
        <v>70</v>
      </c>
      <c r="J23" s="82">
        <v>1700</v>
      </c>
      <c r="K23" s="83">
        <v>1800</v>
      </c>
      <c r="M23" s="81" t="s">
        <v>460</v>
      </c>
      <c r="N23" s="81" t="s">
        <v>461</v>
      </c>
      <c r="O23" s="78" t="s">
        <v>462</v>
      </c>
      <c r="P23" s="81" t="s">
        <v>463</v>
      </c>
      <c r="R23" s="84">
        <f>K23/J23</f>
        <v>1.0588235294117647</v>
      </c>
      <c r="S23" s="81">
        <v>36.986491999999998</v>
      </c>
      <c r="T23" s="81">
        <v>-122.038882</v>
      </c>
      <c r="U23" s="81" t="s">
        <v>464</v>
      </c>
    </row>
    <row r="24" spans="1:21" s="81" customFormat="1" ht="75" x14ac:dyDescent="0.25">
      <c r="A24" s="81" t="s">
        <v>415</v>
      </c>
      <c r="B24" s="81" t="s">
        <v>106</v>
      </c>
      <c r="C24" s="81">
        <v>155</v>
      </c>
      <c r="D24" s="81" t="s">
        <v>180</v>
      </c>
      <c r="E24" s="81" t="s">
        <v>139</v>
      </c>
      <c r="F24" s="81" t="s">
        <v>140</v>
      </c>
      <c r="G24" s="81">
        <v>95060</v>
      </c>
      <c r="H24" s="81" t="s">
        <v>24</v>
      </c>
      <c r="J24" s="82">
        <v>14700</v>
      </c>
      <c r="K24" s="83">
        <v>1</v>
      </c>
      <c r="L24" s="81" t="s">
        <v>5</v>
      </c>
      <c r="M24" s="81" t="s">
        <v>221</v>
      </c>
      <c r="N24" s="81" t="s">
        <v>222</v>
      </c>
      <c r="O24" s="81" t="s">
        <v>223</v>
      </c>
      <c r="R24" s="84">
        <f>K24</f>
        <v>1</v>
      </c>
      <c r="S24" s="81">
        <v>36.987018585205099</v>
      </c>
      <c r="T24" s="81">
        <v>-122.03952789306599</v>
      </c>
      <c r="U24" s="81" t="s">
        <v>273</v>
      </c>
    </row>
    <row r="25" spans="1:21" s="81" customFormat="1" ht="75" x14ac:dyDescent="0.25">
      <c r="A25" s="81" t="s">
        <v>415</v>
      </c>
      <c r="B25" s="81" t="s">
        <v>106</v>
      </c>
      <c r="C25" s="81">
        <v>165</v>
      </c>
      <c r="D25" s="81" t="s">
        <v>180</v>
      </c>
      <c r="E25" s="81" t="s">
        <v>139</v>
      </c>
      <c r="F25" s="81" t="s">
        <v>140</v>
      </c>
      <c r="G25" s="81">
        <v>95060</v>
      </c>
      <c r="H25" s="81" t="s">
        <v>24</v>
      </c>
      <c r="J25" s="82">
        <v>18700</v>
      </c>
      <c r="K25" s="83">
        <v>1</v>
      </c>
      <c r="L25" s="81" t="s">
        <v>5</v>
      </c>
      <c r="M25" s="81" t="s">
        <v>221</v>
      </c>
      <c r="N25" s="81" t="s">
        <v>222</v>
      </c>
      <c r="O25" s="81" t="s">
        <v>223</v>
      </c>
      <c r="R25" s="84">
        <f>K25</f>
        <v>1</v>
      </c>
      <c r="S25" s="81">
        <v>36.986603513360002</v>
      </c>
      <c r="T25" s="81">
        <v>-122.0390933007</v>
      </c>
      <c r="U25" s="81" t="s">
        <v>274</v>
      </c>
    </row>
    <row r="26" spans="1:21" s="81" customFormat="1" ht="75" x14ac:dyDescent="0.25">
      <c r="A26" s="81" t="s">
        <v>415</v>
      </c>
      <c r="B26" s="81" t="s">
        <v>106</v>
      </c>
      <c r="C26" s="81">
        <v>229</v>
      </c>
      <c r="D26" s="81" t="s">
        <v>182</v>
      </c>
      <c r="E26" s="81" t="s">
        <v>139</v>
      </c>
      <c r="F26" s="81" t="s">
        <v>140</v>
      </c>
      <c r="G26" s="81">
        <v>95060</v>
      </c>
      <c r="H26" s="81" t="s">
        <v>24</v>
      </c>
      <c r="I26" s="81" t="s">
        <v>156</v>
      </c>
      <c r="J26" s="82">
        <v>2800</v>
      </c>
      <c r="K26" s="83">
        <v>0.85</v>
      </c>
      <c r="M26" s="81" t="s">
        <v>110</v>
      </c>
      <c r="N26" s="81" t="s">
        <v>111</v>
      </c>
      <c r="O26" s="76" t="s">
        <v>112</v>
      </c>
      <c r="R26" s="84">
        <f>K26</f>
        <v>0.85</v>
      </c>
      <c r="S26" s="81">
        <v>36.986419677734297</v>
      </c>
      <c r="T26" s="81">
        <v>-122.033546447753</v>
      </c>
      <c r="U26" s="81" t="s">
        <v>275</v>
      </c>
    </row>
    <row r="27" spans="1:21" s="81" customFormat="1" ht="74.25" customHeight="1" x14ac:dyDescent="0.25">
      <c r="A27" s="81" t="s">
        <v>415</v>
      </c>
      <c r="B27" s="81" t="s">
        <v>106</v>
      </c>
      <c r="C27" s="81">
        <v>320</v>
      </c>
      <c r="D27" s="81" t="s">
        <v>182</v>
      </c>
      <c r="E27" s="81" t="s">
        <v>139</v>
      </c>
      <c r="F27" s="81" t="s">
        <v>140</v>
      </c>
      <c r="G27" s="81">
        <v>95060</v>
      </c>
      <c r="H27" s="81" t="s">
        <v>48</v>
      </c>
      <c r="J27" s="82">
        <v>7594</v>
      </c>
      <c r="K27" s="83">
        <v>1.1499999999999999</v>
      </c>
      <c r="L27" s="81" t="s">
        <v>5</v>
      </c>
      <c r="M27" s="81" t="s">
        <v>99</v>
      </c>
      <c r="N27" s="81" t="s">
        <v>93</v>
      </c>
      <c r="O27" s="81" t="s">
        <v>9</v>
      </c>
      <c r="P27" s="81" t="s">
        <v>432</v>
      </c>
      <c r="R27" s="84">
        <f>K27</f>
        <v>1.1499999999999999</v>
      </c>
      <c r="S27" s="81">
        <v>36.987392</v>
      </c>
      <c r="T27" s="81">
        <v>-122.03482200000001</v>
      </c>
      <c r="U27" s="81" t="s">
        <v>433</v>
      </c>
    </row>
    <row r="28" spans="1:21" s="81" customFormat="1" ht="90" x14ac:dyDescent="0.25">
      <c r="A28" s="81" t="s">
        <v>415</v>
      </c>
      <c r="B28" s="81" t="s">
        <v>106</v>
      </c>
      <c r="C28" s="81">
        <v>380</v>
      </c>
      <c r="D28" s="81" t="s">
        <v>182</v>
      </c>
      <c r="E28" s="81" t="s">
        <v>139</v>
      </c>
      <c r="F28" s="81" t="s">
        <v>140</v>
      </c>
      <c r="G28" s="81">
        <v>95060</v>
      </c>
      <c r="H28" s="81" t="s">
        <v>24</v>
      </c>
      <c r="I28" s="81">
        <v>200</v>
      </c>
      <c r="J28" s="82">
        <v>18250</v>
      </c>
      <c r="K28" s="83">
        <v>0.99</v>
      </c>
      <c r="L28" s="81" t="s">
        <v>5</v>
      </c>
      <c r="M28" s="81" t="s">
        <v>383</v>
      </c>
      <c r="N28" s="81" t="s">
        <v>400</v>
      </c>
      <c r="O28" s="76" t="s">
        <v>401</v>
      </c>
      <c r="P28" s="81" t="s">
        <v>447</v>
      </c>
      <c r="R28" s="84">
        <v>0.14000000000000001</v>
      </c>
      <c r="S28" s="81">
        <v>36.981347999999997</v>
      </c>
      <c r="T28" s="81">
        <v>-122.033142</v>
      </c>
      <c r="U28" s="81" t="s">
        <v>431</v>
      </c>
    </row>
    <row r="29" spans="1:21" s="81" customFormat="1" ht="45" x14ac:dyDescent="0.25">
      <c r="A29" s="81" t="s">
        <v>415</v>
      </c>
      <c r="B29" s="81" t="s">
        <v>83</v>
      </c>
      <c r="C29" s="81">
        <v>1010</v>
      </c>
      <c r="D29" s="81" t="s">
        <v>187</v>
      </c>
      <c r="E29" s="81" t="s">
        <v>139</v>
      </c>
      <c r="F29" s="81" t="s">
        <v>140</v>
      </c>
      <c r="G29" s="81">
        <v>95060</v>
      </c>
      <c r="H29" s="81" t="s">
        <v>24</v>
      </c>
      <c r="I29" s="81" t="s">
        <v>42</v>
      </c>
      <c r="J29" s="82">
        <v>983</v>
      </c>
      <c r="K29" s="83">
        <v>1.39</v>
      </c>
      <c r="L29" s="81" t="s">
        <v>5</v>
      </c>
      <c r="M29" s="81" t="s">
        <v>0</v>
      </c>
      <c r="N29" s="81" t="s">
        <v>1</v>
      </c>
      <c r="O29" s="81" t="s">
        <v>46</v>
      </c>
      <c r="P29" s="81" t="s">
        <v>233</v>
      </c>
      <c r="Q29" s="81">
        <v>0.3</v>
      </c>
      <c r="R29" s="84">
        <v>1.39</v>
      </c>
      <c r="S29" s="81">
        <v>36.958946228027301</v>
      </c>
      <c r="T29" s="81">
        <v>-122.04522705078099</v>
      </c>
      <c r="U29" s="81" t="s">
        <v>292</v>
      </c>
    </row>
    <row r="30" spans="1:21" s="81" customFormat="1" ht="60" x14ac:dyDescent="0.25">
      <c r="A30" s="81" t="s">
        <v>81</v>
      </c>
      <c r="B30" s="81" t="s">
        <v>40</v>
      </c>
      <c r="C30" s="81">
        <v>428</v>
      </c>
      <c r="D30" s="81" t="s">
        <v>167</v>
      </c>
      <c r="E30" s="81" t="s">
        <v>139</v>
      </c>
      <c r="F30" s="81" t="s">
        <v>140</v>
      </c>
      <c r="G30" s="81">
        <v>96060</v>
      </c>
      <c r="H30" s="81" t="s">
        <v>2</v>
      </c>
      <c r="I30" s="81" t="s">
        <v>41</v>
      </c>
      <c r="J30" s="82">
        <v>2080</v>
      </c>
      <c r="K30" s="83">
        <v>1.25</v>
      </c>
      <c r="L30" s="81" t="s">
        <v>5</v>
      </c>
      <c r="M30" s="81" t="s">
        <v>159</v>
      </c>
      <c r="N30" s="81" t="s">
        <v>153</v>
      </c>
      <c r="O30" s="76" t="s">
        <v>160</v>
      </c>
      <c r="P30" s="81" t="s">
        <v>334</v>
      </c>
      <c r="R30" s="84">
        <f>K30</f>
        <v>1.25</v>
      </c>
      <c r="S30" s="81">
        <v>36.971389770507798</v>
      </c>
      <c r="T30" s="81">
        <v>-122.023887634277</v>
      </c>
      <c r="U30" s="81" t="s">
        <v>248</v>
      </c>
    </row>
    <row r="31" spans="1:21" s="81" customFormat="1" ht="60" x14ac:dyDescent="0.25">
      <c r="A31" s="81" t="s">
        <v>81</v>
      </c>
      <c r="B31" s="81" t="s">
        <v>40</v>
      </c>
      <c r="C31" s="81">
        <v>428</v>
      </c>
      <c r="D31" s="81" t="s">
        <v>167</v>
      </c>
      <c r="E31" s="81" t="s">
        <v>139</v>
      </c>
      <c r="F31" s="81" t="s">
        <v>140</v>
      </c>
      <c r="G31" s="81">
        <v>96060</v>
      </c>
      <c r="H31" s="81" t="s">
        <v>2</v>
      </c>
      <c r="I31" s="81" t="s">
        <v>50</v>
      </c>
      <c r="J31" s="82">
        <v>3170</v>
      </c>
      <c r="K31" s="83">
        <v>1.25</v>
      </c>
      <c r="L31" s="81" t="s">
        <v>5</v>
      </c>
      <c r="M31" s="81" t="s">
        <v>159</v>
      </c>
      <c r="N31" s="81" t="s">
        <v>153</v>
      </c>
      <c r="O31" s="76" t="s">
        <v>160</v>
      </c>
      <c r="P31" s="81" t="s">
        <v>335</v>
      </c>
      <c r="R31" s="84">
        <f>K31</f>
        <v>1.25</v>
      </c>
      <c r="S31" s="81">
        <v>36.971389770507798</v>
      </c>
      <c r="T31" s="81">
        <v>-122.023887634277</v>
      </c>
      <c r="U31" s="81" t="s">
        <v>248</v>
      </c>
    </row>
    <row r="32" spans="1:21" s="81" customFormat="1" ht="75" x14ac:dyDescent="0.25">
      <c r="A32" s="81" t="s">
        <v>81</v>
      </c>
      <c r="B32" s="81" t="s">
        <v>47</v>
      </c>
      <c r="C32" s="81">
        <v>514</v>
      </c>
      <c r="D32" s="81" t="s">
        <v>167</v>
      </c>
      <c r="E32" s="81" t="s">
        <v>139</v>
      </c>
      <c r="F32" s="81" t="s">
        <v>140</v>
      </c>
      <c r="G32" s="81">
        <v>95060</v>
      </c>
      <c r="H32" s="81" t="s">
        <v>2</v>
      </c>
      <c r="J32" s="82">
        <v>2000</v>
      </c>
      <c r="K32" s="83">
        <v>1.75</v>
      </c>
      <c r="L32" s="81" t="s">
        <v>5</v>
      </c>
      <c r="M32" s="81" t="s">
        <v>31</v>
      </c>
      <c r="N32" s="81" t="s">
        <v>32</v>
      </c>
      <c r="O32" s="76" t="s">
        <v>313</v>
      </c>
      <c r="P32" s="81" t="s">
        <v>470</v>
      </c>
      <c r="R32" s="84">
        <v>1.75</v>
      </c>
      <c r="S32" s="81">
        <v>36.972520000000003</v>
      </c>
      <c r="T32" s="81">
        <v>-122.024036</v>
      </c>
      <c r="U32" s="81" t="s">
        <v>471</v>
      </c>
    </row>
    <row r="33" spans="1:21" s="81" customFormat="1" ht="60" x14ac:dyDescent="0.25">
      <c r="A33" s="81" t="s">
        <v>81</v>
      </c>
      <c r="B33" s="81" t="s">
        <v>40</v>
      </c>
      <c r="C33" s="81">
        <v>740</v>
      </c>
      <c r="D33" s="81" t="s">
        <v>167</v>
      </c>
      <c r="E33" s="81" t="s">
        <v>139</v>
      </c>
      <c r="F33" s="81" t="s">
        <v>140</v>
      </c>
      <c r="G33" s="81">
        <v>95060</v>
      </c>
      <c r="H33" s="81" t="s">
        <v>24</v>
      </c>
      <c r="I33" s="81">
        <v>125</v>
      </c>
      <c r="J33" s="82">
        <v>888</v>
      </c>
      <c r="K33" s="83">
        <v>1.4</v>
      </c>
      <c r="L33" s="81" t="s">
        <v>162</v>
      </c>
      <c r="M33" s="81" t="s">
        <v>31</v>
      </c>
      <c r="N33" s="81" t="s">
        <v>32</v>
      </c>
      <c r="O33" s="76" t="s">
        <v>313</v>
      </c>
      <c r="P33" s="81" t="s">
        <v>225</v>
      </c>
      <c r="R33" s="84">
        <v>1.4</v>
      </c>
      <c r="S33" s="81">
        <v>36.975505828857401</v>
      </c>
      <c r="T33" s="81">
        <v>-122.024932861328</v>
      </c>
      <c r="U33" s="81" t="s">
        <v>249</v>
      </c>
    </row>
    <row r="34" spans="1:21" s="81" customFormat="1" ht="60" x14ac:dyDescent="0.25">
      <c r="A34" s="81" t="s">
        <v>81</v>
      </c>
      <c r="B34" s="81" t="s">
        <v>40</v>
      </c>
      <c r="C34" s="81">
        <v>740</v>
      </c>
      <c r="D34" s="81" t="s">
        <v>167</v>
      </c>
      <c r="E34" s="81" t="s">
        <v>139</v>
      </c>
      <c r="F34" s="81" t="s">
        <v>140</v>
      </c>
      <c r="G34" s="81">
        <v>95060</v>
      </c>
      <c r="H34" s="81" t="s">
        <v>24</v>
      </c>
      <c r="I34" s="81">
        <v>155</v>
      </c>
      <c r="J34" s="82">
        <v>1484</v>
      </c>
      <c r="K34" s="83">
        <v>1.4</v>
      </c>
      <c r="L34" s="81" t="s">
        <v>162</v>
      </c>
      <c r="M34" s="81" t="s">
        <v>31</v>
      </c>
      <c r="N34" s="81" t="s">
        <v>32</v>
      </c>
      <c r="O34" s="76" t="s">
        <v>313</v>
      </c>
      <c r="P34" s="81" t="s">
        <v>225</v>
      </c>
      <c r="R34" s="84">
        <v>1.4</v>
      </c>
      <c r="S34" s="81">
        <v>36.975505828857401</v>
      </c>
      <c r="T34" s="81">
        <v>-122.024932861328</v>
      </c>
      <c r="U34" s="81" t="s">
        <v>249</v>
      </c>
    </row>
    <row r="35" spans="1:21" s="81" customFormat="1" ht="60" x14ac:dyDescent="0.25">
      <c r="A35" s="81" t="s">
        <v>81</v>
      </c>
      <c r="B35" s="81" t="s">
        <v>40</v>
      </c>
      <c r="C35" s="81">
        <v>740</v>
      </c>
      <c r="D35" s="81" t="s">
        <v>167</v>
      </c>
      <c r="E35" s="81" t="s">
        <v>139</v>
      </c>
      <c r="F35" s="81" t="s">
        <v>140</v>
      </c>
      <c r="G35" s="81">
        <v>95060</v>
      </c>
      <c r="H35" s="81" t="s">
        <v>24</v>
      </c>
      <c r="I35" s="81">
        <v>160</v>
      </c>
      <c r="J35" s="82">
        <v>1235</v>
      </c>
      <c r="K35" s="83">
        <v>1.4</v>
      </c>
      <c r="L35" s="81" t="s">
        <v>162</v>
      </c>
      <c r="M35" s="81" t="s">
        <v>31</v>
      </c>
      <c r="N35" s="81" t="s">
        <v>32</v>
      </c>
      <c r="O35" s="76" t="s">
        <v>313</v>
      </c>
      <c r="P35" s="81" t="s">
        <v>225</v>
      </c>
      <c r="R35" s="84">
        <v>1.4</v>
      </c>
      <c r="S35" s="81">
        <v>36.975505828857401</v>
      </c>
      <c r="T35" s="81">
        <v>-122.024932861328</v>
      </c>
      <c r="U35" s="81" t="s">
        <v>249</v>
      </c>
    </row>
    <row r="36" spans="1:21" s="81" customFormat="1" ht="60" x14ac:dyDescent="0.25">
      <c r="A36" s="81" t="s">
        <v>81</v>
      </c>
      <c r="B36" s="81" t="s">
        <v>40</v>
      </c>
      <c r="C36" s="81">
        <v>740</v>
      </c>
      <c r="D36" s="81" t="s">
        <v>167</v>
      </c>
      <c r="E36" s="81" t="s">
        <v>139</v>
      </c>
      <c r="F36" s="81" t="s">
        <v>140</v>
      </c>
      <c r="G36" s="81">
        <v>95060</v>
      </c>
      <c r="H36" s="81" t="s">
        <v>8</v>
      </c>
      <c r="I36" s="81">
        <v>170</v>
      </c>
      <c r="J36" s="82">
        <v>966</v>
      </c>
      <c r="K36" s="83">
        <v>1.4</v>
      </c>
      <c r="L36" s="81" t="s">
        <v>162</v>
      </c>
      <c r="M36" s="81" t="s">
        <v>31</v>
      </c>
      <c r="N36" s="81" t="s">
        <v>32</v>
      </c>
      <c r="O36" s="78" t="s">
        <v>313</v>
      </c>
      <c r="R36" s="84">
        <f>K36</f>
        <v>1.4</v>
      </c>
      <c r="S36" s="81">
        <v>36.975505828857401</v>
      </c>
      <c r="T36" s="81">
        <v>-122.024932861328</v>
      </c>
      <c r="U36" s="81" t="s">
        <v>249</v>
      </c>
    </row>
    <row r="37" spans="1:21" s="81" customFormat="1" ht="60" x14ac:dyDescent="0.25">
      <c r="A37" s="81" t="s">
        <v>81</v>
      </c>
      <c r="B37" s="81" t="s">
        <v>40</v>
      </c>
      <c r="C37" s="81">
        <v>740</v>
      </c>
      <c r="D37" s="81" t="s">
        <v>167</v>
      </c>
      <c r="E37" s="81" t="s">
        <v>139</v>
      </c>
      <c r="F37" s="81" t="s">
        <v>140</v>
      </c>
      <c r="G37" s="81">
        <v>95060</v>
      </c>
      <c r="H37" s="81" t="s">
        <v>24</v>
      </c>
      <c r="I37" s="81">
        <v>240</v>
      </c>
      <c r="J37" s="82">
        <v>3130</v>
      </c>
      <c r="K37" s="83">
        <v>1.8</v>
      </c>
      <c r="L37" s="81" t="s">
        <v>162</v>
      </c>
      <c r="M37" s="81" t="s">
        <v>31</v>
      </c>
      <c r="N37" s="81" t="s">
        <v>32</v>
      </c>
      <c r="O37" s="78" t="s">
        <v>313</v>
      </c>
      <c r="P37" s="81" t="s">
        <v>469</v>
      </c>
      <c r="R37" s="84">
        <v>1.4</v>
      </c>
      <c r="S37" s="81">
        <v>36.975505828857401</v>
      </c>
      <c r="T37" s="81">
        <v>-122.024932861328</v>
      </c>
      <c r="U37" s="81" t="s">
        <v>249</v>
      </c>
    </row>
    <row r="38" spans="1:21" s="81" customFormat="1" ht="60" x14ac:dyDescent="0.25">
      <c r="A38" s="85" t="s">
        <v>81</v>
      </c>
      <c r="B38" s="85" t="s">
        <v>40</v>
      </c>
      <c r="C38" s="85">
        <v>835</v>
      </c>
      <c r="D38" s="85" t="s">
        <v>167</v>
      </c>
      <c r="E38" s="85" t="s">
        <v>139</v>
      </c>
      <c r="F38" s="85" t="s">
        <v>140</v>
      </c>
      <c r="G38" s="85">
        <v>95060</v>
      </c>
      <c r="H38" s="85" t="s">
        <v>2</v>
      </c>
      <c r="I38" s="85"/>
      <c r="J38" s="86">
        <v>1115</v>
      </c>
      <c r="K38" s="87">
        <v>1.5</v>
      </c>
      <c r="L38" s="85" t="s">
        <v>5</v>
      </c>
      <c r="M38" s="85" t="s">
        <v>31</v>
      </c>
      <c r="N38" s="85" t="s">
        <v>32</v>
      </c>
      <c r="O38" s="88" t="s">
        <v>313</v>
      </c>
      <c r="P38" s="85" t="s">
        <v>336</v>
      </c>
      <c r="Q38" s="85"/>
      <c r="R38" s="89">
        <v>1.5</v>
      </c>
      <c r="S38" s="85">
        <v>36.975925639271701</v>
      </c>
      <c r="T38" s="89">
        <v>-122.02612079679901</v>
      </c>
      <c r="U38" s="81" t="s">
        <v>339</v>
      </c>
    </row>
    <row r="39" spans="1:21" s="81" customFormat="1" ht="60" x14ac:dyDescent="0.25">
      <c r="A39" s="81" t="s">
        <v>415</v>
      </c>
      <c r="B39" s="81" t="s">
        <v>115</v>
      </c>
      <c r="C39" s="81">
        <v>347</v>
      </c>
      <c r="D39" s="81" t="s">
        <v>217</v>
      </c>
      <c r="E39" s="81" t="s">
        <v>139</v>
      </c>
      <c r="F39" s="81" t="s">
        <v>140</v>
      </c>
      <c r="G39" s="81">
        <v>95062</v>
      </c>
      <c r="H39" s="81" t="s">
        <v>24</v>
      </c>
      <c r="J39" s="82">
        <v>1000</v>
      </c>
      <c r="K39" s="83">
        <v>1500</v>
      </c>
      <c r="L39" s="81" t="s">
        <v>6</v>
      </c>
      <c r="M39" s="81" t="s">
        <v>218</v>
      </c>
      <c r="N39" s="81" t="s">
        <v>93</v>
      </c>
      <c r="O39" s="81" t="s">
        <v>9</v>
      </c>
      <c r="R39" s="84">
        <f>K39/J39</f>
        <v>1.5</v>
      </c>
      <c r="S39" s="81">
        <v>36.979878544807399</v>
      </c>
      <c r="T39" s="81">
        <v>-122.00568839907601</v>
      </c>
      <c r="U39" s="81" t="s">
        <v>281</v>
      </c>
    </row>
    <row r="40" spans="1:21" s="81" customFormat="1" ht="45" x14ac:dyDescent="0.25">
      <c r="A40" s="81" t="s">
        <v>82</v>
      </c>
      <c r="B40" s="81" t="s">
        <v>106</v>
      </c>
      <c r="C40" s="81">
        <v>115</v>
      </c>
      <c r="D40" s="81" t="s">
        <v>179</v>
      </c>
      <c r="E40" s="81" t="s">
        <v>139</v>
      </c>
      <c r="F40" s="81" t="s">
        <v>140</v>
      </c>
      <c r="G40" s="81">
        <v>95060</v>
      </c>
      <c r="H40" s="81" t="s">
        <v>48</v>
      </c>
      <c r="J40" s="82">
        <v>4200</v>
      </c>
      <c r="K40" s="83">
        <v>1</v>
      </c>
      <c r="L40" s="81" t="s">
        <v>10</v>
      </c>
      <c r="M40" s="81" t="s">
        <v>61</v>
      </c>
      <c r="N40" s="81" t="s">
        <v>134</v>
      </c>
      <c r="O40" s="81" t="s">
        <v>133</v>
      </c>
      <c r="R40" s="84">
        <f>K40</f>
        <v>1</v>
      </c>
      <c r="S40" s="81">
        <v>36.983203887939503</v>
      </c>
      <c r="T40" s="81">
        <v>-122.03359985351599</v>
      </c>
      <c r="U40" s="81" t="s">
        <v>276</v>
      </c>
    </row>
    <row r="41" spans="1:21" s="81" customFormat="1" ht="105" x14ac:dyDescent="0.25">
      <c r="A41" s="81" t="s">
        <v>82</v>
      </c>
      <c r="B41" s="81" t="s">
        <v>106</v>
      </c>
      <c r="C41" s="81">
        <v>151</v>
      </c>
      <c r="D41" s="81" t="s">
        <v>179</v>
      </c>
      <c r="E41" s="81" t="s">
        <v>139</v>
      </c>
      <c r="F41" s="81" t="s">
        <v>140</v>
      </c>
      <c r="G41" s="81">
        <v>95060</v>
      </c>
      <c r="H41" s="81" t="s">
        <v>69</v>
      </c>
      <c r="J41" s="82">
        <v>14000</v>
      </c>
      <c r="K41" s="83">
        <v>1</v>
      </c>
      <c r="L41" s="81" t="s">
        <v>88</v>
      </c>
      <c r="M41" s="81" t="s">
        <v>25</v>
      </c>
      <c r="N41" s="81" t="s">
        <v>113</v>
      </c>
      <c r="O41" s="81" t="s">
        <v>17</v>
      </c>
      <c r="R41" s="84">
        <f>K41</f>
        <v>1</v>
      </c>
      <c r="S41" s="81">
        <v>36.983207702636697</v>
      </c>
      <c r="T41" s="81">
        <v>-122.0341796875</v>
      </c>
      <c r="U41" s="81" t="s">
        <v>277</v>
      </c>
    </row>
    <row r="42" spans="1:21" s="81" customFormat="1" ht="90" x14ac:dyDescent="0.25">
      <c r="A42" s="81" t="s">
        <v>415</v>
      </c>
      <c r="B42" s="81" t="s">
        <v>106</v>
      </c>
      <c r="C42" s="81">
        <v>191</v>
      </c>
      <c r="D42" s="81" t="s">
        <v>179</v>
      </c>
      <c r="E42" s="81" t="s">
        <v>139</v>
      </c>
      <c r="F42" s="81" t="s">
        <v>140</v>
      </c>
      <c r="G42" s="81">
        <v>95060</v>
      </c>
      <c r="H42" s="81" t="s">
        <v>24</v>
      </c>
      <c r="I42" s="81" t="s">
        <v>41</v>
      </c>
      <c r="J42" s="82">
        <v>3607</v>
      </c>
      <c r="K42" s="83">
        <v>1.2</v>
      </c>
      <c r="L42" s="81" t="s">
        <v>5</v>
      </c>
      <c r="M42" s="81" t="s">
        <v>348</v>
      </c>
      <c r="N42" s="81" t="s">
        <v>349</v>
      </c>
      <c r="O42" s="81" t="s">
        <v>350</v>
      </c>
      <c r="R42" s="84">
        <f>K42</f>
        <v>1.2</v>
      </c>
      <c r="S42" s="81">
        <v>36.984020000000001</v>
      </c>
      <c r="T42" s="81">
        <v>-122.03554</v>
      </c>
      <c r="U42" s="81" t="s">
        <v>392</v>
      </c>
    </row>
    <row r="43" spans="1:21" s="81" customFormat="1" ht="105" x14ac:dyDescent="0.25">
      <c r="A43" s="81" t="s">
        <v>82</v>
      </c>
      <c r="B43" s="81" t="s">
        <v>106</v>
      </c>
      <c r="C43" s="81">
        <v>298</v>
      </c>
      <c r="D43" s="81" t="s">
        <v>179</v>
      </c>
      <c r="E43" s="81" t="s">
        <v>139</v>
      </c>
      <c r="F43" s="81" t="s">
        <v>140</v>
      </c>
      <c r="G43" s="81">
        <v>95060</v>
      </c>
      <c r="H43" s="81" t="s">
        <v>69</v>
      </c>
      <c r="J43" s="82">
        <v>10700</v>
      </c>
      <c r="K43" s="83">
        <v>0.95</v>
      </c>
      <c r="L43" s="84" t="s">
        <v>5</v>
      </c>
      <c r="M43" s="81" t="s">
        <v>99</v>
      </c>
      <c r="N43" s="81" t="s">
        <v>93</v>
      </c>
      <c r="O43" s="81" t="s">
        <v>9</v>
      </c>
      <c r="P43" s="81" t="s">
        <v>446</v>
      </c>
      <c r="R43" s="84">
        <f>K43</f>
        <v>0.95</v>
      </c>
      <c r="S43" s="81">
        <v>36.985080718994098</v>
      </c>
      <c r="T43" s="81">
        <v>-122.039009094238</v>
      </c>
      <c r="U43" s="81" t="s">
        <v>279</v>
      </c>
    </row>
    <row r="44" spans="1:21" s="81" customFormat="1" ht="90" x14ac:dyDescent="0.25">
      <c r="A44" s="81" t="s">
        <v>415</v>
      </c>
      <c r="B44" s="81" t="s">
        <v>115</v>
      </c>
      <c r="C44" s="81">
        <v>149</v>
      </c>
      <c r="D44" s="81" t="s">
        <v>197</v>
      </c>
      <c r="E44" s="81" t="s">
        <v>139</v>
      </c>
      <c r="F44" s="81" t="s">
        <v>140</v>
      </c>
      <c r="G44" s="81">
        <v>95060</v>
      </c>
      <c r="H44" s="81" t="s">
        <v>8</v>
      </c>
      <c r="I44" s="81" t="s">
        <v>50</v>
      </c>
      <c r="J44" s="82">
        <v>625</v>
      </c>
      <c r="K44" s="83">
        <v>1.5</v>
      </c>
      <c r="L44" s="81" t="s">
        <v>10</v>
      </c>
      <c r="M44" s="81" t="s">
        <v>43</v>
      </c>
      <c r="N44" s="81" t="s">
        <v>152</v>
      </c>
      <c r="O44" s="76" t="s">
        <v>160</v>
      </c>
      <c r="R44" s="84">
        <f t="shared" ref="R44:R51" si="0">K44</f>
        <v>1.5</v>
      </c>
      <c r="S44" s="81">
        <v>36.9817924499512</v>
      </c>
      <c r="T44" s="81">
        <v>-122.02857208252</v>
      </c>
      <c r="U44" s="81" t="s">
        <v>269</v>
      </c>
    </row>
    <row r="45" spans="1:21" s="81" customFormat="1" ht="75" x14ac:dyDescent="0.25">
      <c r="A45" s="81" t="s">
        <v>81</v>
      </c>
      <c r="B45" s="81" t="s">
        <v>47</v>
      </c>
      <c r="C45" s="81">
        <v>212</v>
      </c>
      <c r="D45" s="81" t="s">
        <v>173</v>
      </c>
      <c r="E45" s="81" t="s">
        <v>139</v>
      </c>
      <c r="F45" s="81" t="s">
        <v>140</v>
      </c>
      <c r="G45" s="81">
        <v>95060</v>
      </c>
      <c r="H45" s="81" t="s">
        <v>8</v>
      </c>
      <c r="I45" s="81">
        <v>200</v>
      </c>
      <c r="J45" s="82">
        <v>520</v>
      </c>
      <c r="K45" s="83">
        <v>1.54</v>
      </c>
      <c r="L45" s="81" t="s">
        <v>6</v>
      </c>
      <c r="M45" s="81" t="s">
        <v>62</v>
      </c>
      <c r="N45" s="81" t="s">
        <v>63</v>
      </c>
      <c r="O45" s="81" t="s">
        <v>64</v>
      </c>
      <c r="R45" s="84">
        <f t="shared" si="0"/>
        <v>1.54</v>
      </c>
      <c r="S45" s="81">
        <v>36.969216763973201</v>
      </c>
      <c r="T45" s="81">
        <v>-122.025084793567</v>
      </c>
      <c r="U45" s="81" t="s">
        <v>252</v>
      </c>
    </row>
    <row r="46" spans="1:21" s="81" customFormat="1" ht="75" x14ac:dyDescent="0.25">
      <c r="A46" s="81" t="s">
        <v>81</v>
      </c>
      <c r="B46" s="81" t="s">
        <v>47</v>
      </c>
      <c r="C46" s="81">
        <v>212</v>
      </c>
      <c r="D46" s="81" t="s">
        <v>173</v>
      </c>
      <c r="E46" s="81" t="s">
        <v>139</v>
      </c>
      <c r="F46" s="81" t="s">
        <v>140</v>
      </c>
      <c r="G46" s="81">
        <v>95060</v>
      </c>
      <c r="H46" s="81" t="s">
        <v>24</v>
      </c>
      <c r="I46" s="81">
        <v>202</v>
      </c>
      <c r="J46" s="82">
        <v>320</v>
      </c>
      <c r="K46" s="83">
        <v>1.58</v>
      </c>
      <c r="L46" s="81" t="s">
        <v>6</v>
      </c>
      <c r="M46" s="81" t="s">
        <v>62</v>
      </c>
      <c r="N46" s="81" t="s">
        <v>63</v>
      </c>
      <c r="O46" s="81" t="s">
        <v>64</v>
      </c>
      <c r="R46" s="84">
        <f t="shared" si="0"/>
        <v>1.58</v>
      </c>
      <c r="S46" s="81">
        <v>36.969216763973201</v>
      </c>
      <c r="T46" s="81">
        <v>-122.025084793567</v>
      </c>
      <c r="U46" s="81" t="s">
        <v>252</v>
      </c>
    </row>
    <row r="47" spans="1:21" s="81" customFormat="1" ht="75" x14ac:dyDescent="0.25">
      <c r="A47" s="81" t="s">
        <v>81</v>
      </c>
      <c r="B47" s="81" t="s">
        <v>47</v>
      </c>
      <c r="C47" s="81">
        <v>212</v>
      </c>
      <c r="D47" s="81" t="s">
        <v>173</v>
      </c>
      <c r="E47" s="81" t="s">
        <v>139</v>
      </c>
      <c r="F47" s="81" t="s">
        <v>140</v>
      </c>
      <c r="G47" s="81">
        <v>95060</v>
      </c>
      <c r="H47" s="81" t="s">
        <v>24</v>
      </c>
      <c r="I47" s="81">
        <v>203</v>
      </c>
      <c r="J47" s="82">
        <v>85</v>
      </c>
      <c r="K47" s="83">
        <v>3.59</v>
      </c>
      <c r="L47" s="81" t="s">
        <v>6</v>
      </c>
      <c r="M47" s="81" t="s">
        <v>62</v>
      </c>
      <c r="N47" s="81" t="s">
        <v>63</v>
      </c>
      <c r="O47" s="81" t="s">
        <v>64</v>
      </c>
      <c r="R47" s="84">
        <f t="shared" si="0"/>
        <v>3.59</v>
      </c>
      <c r="S47" s="81">
        <v>36.969216763973201</v>
      </c>
      <c r="T47" s="81">
        <v>-122.025084793567</v>
      </c>
      <c r="U47" s="81" t="s">
        <v>252</v>
      </c>
    </row>
    <row r="48" spans="1:21" s="81" customFormat="1" ht="75" x14ac:dyDescent="0.25">
      <c r="A48" s="81" t="s">
        <v>81</v>
      </c>
      <c r="B48" s="81" t="s">
        <v>47</v>
      </c>
      <c r="C48" s="81">
        <v>212</v>
      </c>
      <c r="D48" s="81" t="s">
        <v>173</v>
      </c>
      <c r="E48" s="81" t="s">
        <v>139</v>
      </c>
      <c r="F48" s="81" t="s">
        <v>140</v>
      </c>
      <c r="G48" s="81">
        <v>95060</v>
      </c>
      <c r="H48" s="81" t="s">
        <v>24</v>
      </c>
      <c r="I48" s="81">
        <v>204</v>
      </c>
      <c r="J48" s="82">
        <v>250</v>
      </c>
      <c r="K48" s="83">
        <v>2</v>
      </c>
      <c r="L48" s="81" t="s">
        <v>6</v>
      </c>
      <c r="M48" s="81" t="s">
        <v>62</v>
      </c>
      <c r="N48" s="81" t="s">
        <v>63</v>
      </c>
      <c r="O48" s="81" t="s">
        <v>64</v>
      </c>
      <c r="R48" s="84">
        <f>K48</f>
        <v>2</v>
      </c>
      <c r="S48" s="81">
        <v>36.969216763973201</v>
      </c>
      <c r="T48" s="81">
        <v>-122.025084793567</v>
      </c>
      <c r="U48" s="81" t="s">
        <v>252</v>
      </c>
    </row>
    <row r="49" spans="1:21" s="81" customFormat="1" ht="75" x14ac:dyDescent="0.25">
      <c r="A49" s="81" t="s">
        <v>81</v>
      </c>
      <c r="B49" s="81" t="s">
        <v>47</v>
      </c>
      <c r="C49" s="81">
        <v>212</v>
      </c>
      <c r="D49" s="81" t="s">
        <v>173</v>
      </c>
      <c r="E49" s="81" t="s">
        <v>139</v>
      </c>
      <c r="F49" s="81" t="s">
        <v>140</v>
      </c>
      <c r="G49" s="81">
        <v>95060</v>
      </c>
      <c r="H49" s="81" t="s">
        <v>24</v>
      </c>
      <c r="I49" s="81">
        <v>205</v>
      </c>
      <c r="J49" s="82">
        <v>85</v>
      </c>
      <c r="K49" s="83">
        <v>3.59</v>
      </c>
      <c r="L49" s="81" t="s">
        <v>6</v>
      </c>
      <c r="M49" s="81" t="s">
        <v>62</v>
      </c>
      <c r="N49" s="81" t="s">
        <v>63</v>
      </c>
      <c r="O49" s="81" t="s">
        <v>64</v>
      </c>
      <c r="R49" s="84">
        <f t="shared" si="0"/>
        <v>3.59</v>
      </c>
      <c r="S49" s="81">
        <v>36.969216763973201</v>
      </c>
      <c r="T49" s="81">
        <v>-122.025084793567</v>
      </c>
      <c r="U49" s="81" t="s">
        <v>252</v>
      </c>
    </row>
    <row r="50" spans="1:21" s="81" customFormat="1" ht="75" x14ac:dyDescent="0.25">
      <c r="A50" s="81" t="s">
        <v>81</v>
      </c>
      <c r="B50" s="81" t="s">
        <v>47</v>
      </c>
      <c r="C50" s="81">
        <v>212</v>
      </c>
      <c r="D50" s="81" t="s">
        <v>173</v>
      </c>
      <c r="E50" s="81" t="s">
        <v>139</v>
      </c>
      <c r="F50" s="81" t="s">
        <v>140</v>
      </c>
      <c r="G50" s="81">
        <v>95060</v>
      </c>
      <c r="H50" s="81" t="s">
        <v>24</v>
      </c>
      <c r="I50" s="81">
        <v>207</v>
      </c>
      <c r="J50" s="82">
        <v>85</v>
      </c>
      <c r="K50" s="83">
        <v>3.59</v>
      </c>
      <c r="L50" s="81" t="s">
        <v>6</v>
      </c>
      <c r="M50" s="81" t="s">
        <v>62</v>
      </c>
      <c r="N50" s="81" t="s">
        <v>63</v>
      </c>
      <c r="O50" s="81" t="s">
        <v>64</v>
      </c>
      <c r="R50" s="84">
        <f t="shared" si="0"/>
        <v>3.59</v>
      </c>
      <c r="S50" s="81">
        <v>36.969216763973201</v>
      </c>
      <c r="T50" s="81">
        <v>-122.025084793567</v>
      </c>
      <c r="U50" s="81" t="s">
        <v>252</v>
      </c>
    </row>
    <row r="51" spans="1:21" s="81" customFormat="1" ht="75" x14ac:dyDescent="0.25">
      <c r="A51" s="81" t="s">
        <v>81</v>
      </c>
      <c r="B51" s="81" t="s">
        <v>47</v>
      </c>
      <c r="C51" s="81">
        <v>212</v>
      </c>
      <c r="D51" s="81" t="s">
        <v>173</v>
      </c>
      <c r="E51" s="81" t="s">
        <v>139</v>
      </c>
      <c r="F51" s="81" t="s">
        <v>140</v>
      </c>
      <c r="G51" s="81">
        <v>95060</v>
      </c>
      <c r="H51" s="81" t="s">
        <v>24</v>
      </c>
      <c r="I51" s="81">
        <v>209</v>
      </c>
      <c r="J51" s="82">
        <v>105</v>
      </c>
      <c r="K51" s="83">
        <v>3.14</v>
      </c>
      <c r="L51" s="81" t="s">
        <v>6</v>
      </c>
      <c r="M51" s="81" t="s">
        <v>62</v>
      </c>
      <c r="N51" s="81" t="s">
        <v>63</v>
      </c>
      <c r="O51" s="81" t="s">
        <v>64</v>
      </c>
      <c r="R51" s="84">
        <f t="shared" si="0"/>
        <v>3.14</v>
      </c>
      <c r="S51" s="81">
        <v>36.969216763973201</v>
      </c>
      <c r="T51" s="81">
        <v>-122.025084793567</v>
      </c>
      <c r="U51" s="81" t="s">
        <v>252</v>
      </c>
    </row>
    <row r="52" spans="1:21" s="81" customFormat="1" ht="90" x14ac:dyDescent="0.25">
      <c r="A52" s="81" t="s">
        <v>81</v>
      </c>
      <c r="B52" s="81" t="s">
        <v>47</v>
      </c>
      <c r="C52" s="81">
        <v>220</v>
      </c>
      <c r="D52" s="81" t="s">
        <v>173</v>
      </c>
      <c r="E52" s="81" t="s">
        <v>139</v>
      </c>
      <c r="F52" s="81" t="s">
        <v>140</v>
      </c>
      <c r="G52" s="81">
        <v>95060</v>
      </c>
      <c r="H52" s="81" t="s">
        <v>454</v>
      </c>
      <c r="I52" s="81">
        <v>101</v>
      </c>
      <c r="J52" s="82">
        <v>1050</v>
      </c>
      <c r="K52" s="83">
        <v>399000</v>
      </c>
      <c r="M52" s="81" t="s">
        <v>455</v>
      </c>
      <c r="N52" s="81" t="s">
        <v>456</v>
      </c>
      <c r="O52" s="81" t="s">
        <v>457</v>
      </c>
      <c r="P52" s="81" t="s">
        <v>458</v>
      </c>
      <c r="R52" s="84">
        <f>K52/J52</f>
        <v>380</v>
      </c>
      <c r="S52" s="81">
        <v>36.969352999999998</v>
      </c>
      <c r="T52" s="81">
        <v>-122.025811</v>
      </c>
      <c r="U52" s="81" t="s">
        <v>459</v>
      </c>
    </row>
    <row r="53" spans="1:21" s="81" customFormat="1" ht="75" x14ac:dyDescent="0.25">
      <c r="A53" s="81" t="s">
        <v>415</v>
      </c>
      <c r="B53" s="81" t="s">
        <v>106</v>
      </c>
      <c r="C53" s="81">
        <v>115</v>
      </c>
      <c r="D53" s="81" t="s">
        <v>191</v>
      </c>
      <c r="E53" s="81" t="s">
        <v>139</v>
      </c>
      <c r="F53" s="81" t="s">
        <v>140</v>
      </c>
      <c r="G53" s="81">
        <v>95060</v>
      </c>
      <c r="H53" s="81" t="s">
        <v>8</v>
      </c>
      <c r="J53" s="82">
        <v>3800</v>
      </c>
      <c r="K53" s="83">
        <v>4000</v>
      </c>
      <c r="L53" s="81" t="s">
        <v>10</v>
      </c>
      <c r="M53" s="81" t="s">
        <v>434</v>
      </c>
      <c r="N53" s="81" t="s">
        <v>93</v>
      </c>
      <c r="O53" s="81" t="s">
        <v>9</v>
      </c>
      <c r="P53" s="81" t="s">
        <v>109</v>
      </c>
      <c r="R53" s="84">
        <v>1</v>
      </c>
      <c r="S53" s="81">
        <v>36.985387131571699</v>
      </c>
      <c r="T53" s="81">
        <v>-122.032301276922</v>
      </c>
      <c r="U53" s="81" t="s">
        <v>280</v>
      </c>
    </row>
    <row r="54" spans="1:21" s="81" customFormat="1" ht="75" x14ac:dyDescent="0.25">
      <c r="A54" s="81" t="s">
        <v>81</v>
      </c>
      <c r="B54" s="81" t="s">
        <v>47</v>
      </c>
      <c r="C54" s="81">
        <v>312</v>
      </c>
      <c r="D54" s="81" t="s">
        <v>196</v>
      </c>
      <c r="E54" s="81" t="s">
        <v>139</v>
      </c>
      <c r="F54" s="81" t="s">
        <v>140</v>
      </c>
      <c r="G54" s="81">
        <v>95060</v>
      </c>
      <c r="H54" s="81" t="s">
        <v>8</v>
      </c>
      <c r="I54" s="81" t="s">
        <v>70</v>
      </c>
      <c r="J54" s="82">
        <v>280</v>
      </c>
      <c r="K54" s="83">
        <v>500</v>
      </c>
      <c r="L54" s="81" t="s">
        <v>10</v>
      </c>
      <c r="M54" s="81" t="s">
        <v>20</v>
      </c>
      <c r="N54" s="81" t="s">
        <v>21</v>
      </c>
      <c r="O54" s="77" t="s">
        <v>135</v>
      </c>
      <c r="R54" s="84">
        <f>K54</f>
        <v>500</v>
      </c>
      <c r="S54" s="81">
        <v>36.972412109375</v>
      </c>
      <c r="T54" s="81">
        <v>-122.028610229492</v>
      </c>
      <c r="U54" s="81" t="s">
        <v>253</v>
      </c>
    </row>
    <row r="55" spans="1:21" s="81" customFormat="1" ht="75" x14ac:dyDescent="0.25">
      <c r="A55" s="81" t="s">
        <v>81</v>
      </c>
      <c r="B55" s="81" t="s">
        <v>47</v>
      </c>
      <c r="C55" s="81">
        <v>312</v>
      </c>
      <c r="D55" s="81" t="s">
        <v>196</v>
      </c>
      <c r="E55" s="81" t="s">
        <v>139</v>
      </c>
      <c r="F55" s="81" t="s">
        <v>140</v>
      </c>
      <c r="G55" s="81">
        <v>95060</v>
      </c>
      <c r="H55" s="81" t="s">
        <v>8</v>
      </c>
      <c r="J55" s="82">
        <v>3000</v>
      </c>
      <c r="K55" s="83">
        <v>3850</v>
      </c>
      <c r="L55" s="81" t="s">
        <v>10</v>
      </c>
      <c r="M55" s="81" t="s">
        <v>20</v>
      </c>
      <c r="N55" s="81" t="s">
        <v>21</v>
      </c>
      <c r="O55" s="77" t="s">
        <v>135</v>
      </c>
      <c r="P55" s="81" t="s">
        <v>473</v>
      </c>
      <c r="R55" s="84">
        <v>1.28</v>
      </c>
      <c r="S55" s="81">
        <v>36.972412109375</v>
      </c>
      <c r="T55" s="81">
        <v>-122.028610229492</v>
      </c>
      <c r="U55" s="81" t="s">
        <v>253</v>
      </c>
    </row>
    <row r="56" spans="1:21" s="81" customFormat="1" ht="90" x14ac:dyDescent="0.25">
      <c r="A56" s="81" t="s">
        <v>81</v>
      </c>
      <c r="B56" s="81" t="s">
        <v>47</v>
      </c>
      <c r="C56" s="81">
        <v>115</v>
      </c>
      <c r="D56" s="81" t="s">
        <v>342</v>
      </c>
      <c r="E56" s="81" t="s">
        <v>139</v>
      </c>
      <c r="F56" s="81" t="s">
        <v>312</v>
      </c>
      <c r="G56" s="81">
        <v>95060</v>
      </c>
      <c r="H56" s="81" t="s">
        <v>116</v>
      </c>
      <c r="J56" s="82">
        <v>5245</v>
      </c>
      <c r="K56" s="83">
        <v>1.55</v>
      </c>
      <c r="L56" s="81" t="s">
        <v>5</v>
      </c>
      <c r="M56" s="81" t="s">
        <v>92</v>
      </c>
      <c r="N56" s="81" t="s">
        <v>93</v>
      </c>
      <c r="O56" s="78" t="s">
        <v>344</v>
      </c>
      <c r="P56" s="81" t="s">
        <v>465</v>
      </c>
      <c r="R56" s="84">
        <v>1.55</v>
      </c>
      <c r="S56" s="81">
        <v>36.975088999999997</v>
      </c>
      <c r="T56" s="81">
        <v>-122.02728999999999</v>
      </c>
      <c r="U56" s="81" t="s">
        <v>409</v>
      </c>
    </row>
    <row r="57" spans="1:21" s="81" customFormat="1" ht="90" x14ac:dyDescent="0.25">
      <c r="A57" s="81" t="s">
        <v>82</v>
      </c>
      <c r="B57" s="81" t="s">
        <v>83</v>
      </c>
      <c r="C57" s="81">
        <v>125</v>
      </c>
      <c r="D57" s="81" t="s">
        <v>188</v>
      </c>
      <c r="E57" s="81" t="s">
        <v>139</v>
      </c>
      <c r="F57" s="81" t="s">
        <v>140</v>
      </c>
      <c r="G57" s="81">
        <v>95060</v>
      </c>
      <c r="H57" s="81" t="s">
        <v>82</v>
      </c>
      <c r="J57" s="82">
        <v>10500</v>
      </c>
      <c r="K57" s="83">
        <v>1.25</v>
      </c>
      <c r="L57" s="81" t="s">
        <v>5</v>
      </c>
      <c r="M57" s="81" t="s">
        <v>95</v>
      </c>
      <c r="N57" s="80" t="s">
        <v>243</v>
      </c>
      <c r="O57" s="81" t="s">
        <v>94</v>
      </c>
      <c r="R57" s="84">
        <f>K57</f>
        <v>1.25</v>
      </c>
      <c r="S57" s="81">
        <v>36.959987640380803</v>
      </c>
      <c r="T57" s="81">
        <v>-122.04728698730401</v>
      </c>
      <c r="U57" s="81" t="s">
        <v>295</v>
      </c>
    </row>
    <row r="58" spans="1:21" s="81" customFormat="1" ht="105" x14ac:dyDescent="0.25">
      <c r="A58" s="81" t="s">
        <v>415</v>
      </c>
      <c r="B58" s="81" t="s">
        <v>83</v>
      </c>
      <c r="C58" s="81">
        <v>207</v>
      </c>
      <c r="D58" s="81" t="s">
        <v>188</v>
      </c>
      <c r="E58" s="81" t="s">
        <v>139</v>
      </c>
      <c r="F58" s="81" t="s">
        <v>140</v>
      </c>
      <c r="G58" s="81">
        <v>95060</v>
      </c>
      <c r="H58" s="81" t="s">
        <v>24</v>
      </c>
      <c r="I58" s="81" t="s">
        <v>70</v>
      </c>
      <c r="J58" s="82">
        <v>3273</v>
      </c>
      <c r="K58" s="83">
        <v>1.1499999999999999</v>
      </c>
      <c r="L58" s="81" t="s">
        <v>5</v>
      </c>
      <c r="M58" s="81" t="s">
        <v>308</v>
      </c>
      <c r="N58" s="81" t="s">
        <v>356</v>
      </c>
      <c r="O58" s="81" t="s">
        <v>9</v>
      </c>
      <c r="P58" s="81" t="s">
        <v>360</v>
      </c>
      <c r="R58" s="84">
        <f>K58</f>
        <v>1.1499999999999999</v>
      </c>
      <c r="S58" s="81">
        <v>36.959922790527301</v>
      </c>
      <c r="T58" s="81">
        <v>-122.04775238037099</v>
      </c>
      <c r="U58" s="81" t="s">
        <v>294</v>
      </c>
    </row>
    <row r="59" spans="1:21" s="81" customFormat="1" ht="105" x14ac:dyDescent="0.25">
      <c r="A59" s="81" t="s">
        <v>415</v>
      </c>
      <c r="B59" s="81" t="s">
        <v>83</v>
      </c>
      <c r="C59" s="81">
        <v>207</v>
      </c>
      <c r="D59" s="81" t="s">
        <v>188</v>
      </c>
      <c r="E59" s="81" t="s">
        <v>139</v>
      </c>
      <c r="F59" s="81" t="s">
        <v>140</v>
      </c>
      <c r="G59" s="81">
        <v>95060</v>
      </c>
      <c r="H59" s="81" t="s">
        <v>24</v>
      </c>
      <c r="I59" s="81" t="s">
        <v>359</v>
      </c>
      <c r="J59" s="82">
        <v>1976</v>
      </c>
      <c r="K59" s="83">
        <v>1.1499999999999999</v>
      </c>
      <c r="L59" s="81" t="s">
        <v>5</v>
      </c>
      <c r="M59" s="81" t="s">
        <v>308</v>
      </c>
      <c r="N59" s="81" t="s">
        <v>356</v>
      </c>
      <c r="O59" s="81" t="s">
        <v>9</v>
      </c>
      <c r="P59" s="81" t="s">
        <v>360</v>
      </c>
      <c r="R59" s="84">
        <v>1.1499999999999999</v>
      </c>
      <c r="S59" s="81">
        <v>36.960129999999999</v>
      </c>
      <c r="T59" s="81">
        <v>-122.047844</v>
      </c>
      <c r="U59" s="81" t="s">
        <v>294</v>
      </c>
    </row>
    <row r="60" spans="1:21" s="81" customFormat="1" ht="90" x14ac:dyDescent="0.25">
      <c r="A60" s="81" t="s">
        <v>415</v>
      </c>
      <c r="B60" s="81" t="s">
        <v>115</v>
      </c>
      <c r="C60" s="81">
        <v>133</v>
      </c>
      <c r="D60" s="81" t="s">
        <v>169</v>
      </c>
      <c r="E60" s="81" t="s">
        <v>139</v>
      </c>
      <c r="F60" s="81" t="s">
        <v>140</v>
      </c>
      <c r="G60" s="81">
        <v>95060</v>
      </c>
      <c r="H60" s="81" t="s">
        <v>24</v>
      </c>
      <c r="I60" s="81">
        <v>101</v>
      </c>
      <c r="J60" s="82">
        <v>1950</v>
      </c>
      <c r="K60" s="83">
        <v>1.7</v>
      </c>
      <c r="L60" s="81" t="s">
        <v>162</v>
      </c>
      <c r="M60" s="81" t="s">
        <v>77</v>
      </c>
      <c r="N60" s="81" t="s">
        <v>78</v>
      </c>
      <c r="O60" s="78" t="s">
        <v>79</v>
      </c>
      <c r="P60" s="81" t="s">
        <v>403</v>
      </c>
      <c r="R60" s="84">
        <v>1.7</v>
      </c>
      <c r="S60" s="81">
        <v>36.976922000000002</v>
      </c>
      <c r="T60" s="81">
        <v>-122.029225</v>
      </c>
      <c r="U60" s="81" t="s">
        <v>354</v>
      </c>
    </row>
    <row r="61" spans="1:21" s="81" customFormat="1" ht="45" x14ac:dyDescent="0.25">
      <c r="A61" s="81" t="s">
        <v>415</v>
      </c>
      <c r="B61" s="81" t="s">
        <v>83</v>
      </c>
      <c r="C61" s="81">
        <v>406</v>
      </c>
      <c r="D61" s="81" t="s">
        <v>169</v>
      </c>
      <c r="E61" s="81" t="s">
        <v>139</v>
      </c>
      <c r="F61" s="81" t="s">
        <v>140</v>
      </c>
      <c r="G61" s="81">
        <v>95060</v>
      </c>
      <c r="H61" s="81" t="s">
        <v>24</v>
      </c>
      <c r="J61" s="82">
        <v>1100</v>
      </c>
      <c r="K61" s="83" t="s">
        <v>371</v>
      </c>
      <c r="M61" s="81" t="s">
        <v>61</v>
      </c>
      <c r="N61" s="81" t="s">
        <v>134</v>
      </c>
      <c r="O61" s="81" t="s">
        <v>133</v>
      </c>
      <c r="P61" s="81" t="s">
        <v>314</v>
      </c>
      <c r="R61" s="84">
        <v>0</v>
      </c>
      <c r="S61" s="81">
        <v>36.976146697997997</v>
      </c>
      <c r="T61" s="81">
        <v>-122.033096313477</v>
      </c>
      <c r="U61" s="81" t="s">
        <v>296</v>
      </c>
    </row>
    <row r="62" spans="1:21" s="81" customFormat="1" ht="75" x14ac:dyDescent="0.25">
      <c r="A62" s="81" t="s">
        <v>415</v>
      </c>
      <c r="B62" s="81" t="s">
        <v>83</v>
      </c>
      <c r="C62" s="81">
        <v>701</v>
      </c>
      <c r="D62" s="81" t="s">
        <v>169</v>
      </c>
      <c r="E62" s="81" t="s">
        <v>139</v>
      </c>
      <c r="F62" s="81" t="s">
        <v>140</v>
      </c>
      <c r="G62" s="81">
        <v>95060</v>
      </c>
      <c r="H62" s="81" t="s">
        <v>24</v>
      </c>
      <c r="J62" s="82">
        <v>2279</v>
      </c>
      <c r="K62" s="83">
        <v>2</v>
      </c>
      <c r="L62" s="81" t="s">
        <v>6</v>
      </c>
      <c r="M62" s="81" t="s">
        <v>99</v>
      </c>
      <c r="N62" s="81" t="s">
        <v>93</v>
      </c>
      <c r="O62" s="81" t="s">
        <v>9</v>
      </c>
      <c r="R62" s="84">
        <v>2</v>
      </c>
      <c r="S62" s="81">
        <v>36.973873138427699</v>
      </c>
      <c r="T62" s="81">
        <v>-122.034118652343</v>
      </c>
      <c r="U62" s="81" t="s">
        <v>297</v>
      </c>
    </row>
    <row r="63" spans="1:21" s="81" customFormat="1" ht="75" x14ac:dyDescent="0.25">
      <c r="A63" s="81" t="s">
        <v>415</v>
      </c>
      <c r="B63" s="81" t="s">
        <v>83</v>
      </c>
      <c r="C63" s="81">
        <v>730</v>
      </c>
      <c r="D63" s="81" t="s">
        <v>169</v>
      </c>
      <c r="E63" s="81" t="s">
        <v>139</v>
      </c>
      <c r="F63" s="81" t="s">
        <v>140</v>
      </c>
      <c r="G63" s="81">
        <v>95060</v>
      </c>
      <c r="H63" s="81" t="s">
        <v>24</v>
      </c>
      <c r="J63" s="82">
        <v>2400</v>
      </c>
      <c r="K63" s="83">
        <v>1.25</v>
      </c>
      <c r="L63" s="81" t="s">
        <v>5</v>
      </c>
      <c r="M63" s="81" t="s">
        <v>95</v>
      </c>
      <c r="N63" s="80" t="s">
        <v>243</v>
      </c>
      <c r="O63" s="81" t="s">
        <v>94</v>
      </c>
      <c r="P63" s="81" t="s">
        <v>163</v>
      </c>
      <c r="R63" s="84">
        <f>K63</f>
        <v>1.25</v>
      </c>
      <c r="S63" s="81">
        <v>36.973289489746101</v>
      </c>
      <c r="T63" s="81">
        <v>-122.03522491455099</v>
      </c>
      <c r="U63" s="81" t="s">
        <v>298</v>
      </c>
    </row>
    <row r="64" spans="1:21" s="81" customFormat="1" ht="75" x14ac:dyDescent="0.25">
      <c r="A64" s="81" t="s">
        <v>415</v>
      </c>
      <c r="B64" s="81" t="s">
        <v>83</v>
      </c>
      <c r="C64" s="81">
        <v>1515</v>
      </c>
      <c r="D64" s="81" t="s">
        <v>169</v>
      </c>
      <c r="E64" s="81" t="s">
        <v>139</v>
      </c>
      <c r="F64" s="81" t="s">
        <v>140</v>
      </c>
      <c r="G64" s="81">
        <v>95060</v>
      </c>
      <c r="H64" s="81" t="s">
        <v>2</v>
      </c>
      <c r="J64" s="82">
        <v>1845</v>
      </c>
      <c r="K64" s="83">
        <v>2125</v>
      </c>
      <c r="L64" s="81" t="s">
        <v>5</v>
      </c>
      <c r="M64" s="81" t="s">
        <v>77</v>
      </c>
      <c r="N64" s="81" t="s">
        <v>78</v>
      </c>
      <c r="O64" s="76" t="s">
        <v>79</v>
      </c>
      <c r="P64" s="81" t="s">
        <v>405</v>
      </c>
      <c r="R64" s="84">
        <f>K64/J64</f>
        <v>1.1517615176151761</v>
      </c>
      <c r="S64" s="81">
        <v>36.966609954833999</v>
      </c>
      <c r="T64" s="84">
        <v>-122.03981781005901</v>
      </c>
      <c r="U64" s="81" t="s">
        <v>341</v>
      </c>
    </row>
    <row r="65" spans="1:21" s="81" customFormat="1" ht="75" x14ac:dyDescent="0.25">
      <c r="A65" s="81" t="s">
        <v>415</v>
      </c>
      <c r="B65" s="81" t="s">
        <v>83</v>
      </c>
      <c r="C65" s="81">
        <v>2117</v>
      </c>
      <c r="D65" s="81" t="s">
        <v>169</v>
      </c>
      <c r="E65" s="81" t="s">
        <v>139</v>
      </c>
      <c r="F65" s="81" t="s">
        <v>140</v>
      </c>
      <c r="G65" s="81">
        <v>95060</v>
      </c>
      <c r="H65" s="81" t="s">
        <v>7</v>
      </c>
      <c r="J65" s="82">
        <v>1853</v>
      </c>
      <c r="K65" s="83">
        <v>3</v>
      </c>
      <c r="L65" s="81" t="s">
        <v>5</v>
      </c>
      <c r="M65" s="81" t="s">
        <v>92</v>
      </c>
      <c r="N65" s="81" t="s">
        <v>93</v>
      </c>
      <c r="O65" s="81" t="s">
        <v>9</v>
      </c>
      <c r="P65" s="81" t="s">
        <v>141</v>
      </c>
      <c r="R65" s="84">
        <f>K65</f>
        <v>3</v>
      </c>
      <c r="S65" s="81">
        <v>36.962454244494403</v>
      </c>
      <c r="T65" s="81">
        <v>-122.044017836451</v>
      </c>
      <c r="U65" s="81" t="s">
        <v>299</v>
      </c>
    </row>
    <row r="66" spans="1:21" s="81" customFormat="1" ht="75" x14ac:dyDescent="0.25">
      <c r="A66" s="81" t="s">
        <v>82</v>
      </c>
      <c r="B66" s="81" t="s">
        <v>83</v>
      </c>
      <c r="C66" s="81">
        <v>2521</v>
      </c>
      <c r="D66" s="81" t="s">
        <v>169</v>
      </c>
      <c r="E66" s="81" t="s">
        <v>139</v>
      </c>
      <c r="F66" s="81" t="s">
        <v>140</v>
      </c>
      <c r="G66" s="81">
        <v>95060</v>
      </c>
      <c r="H66" s="81" t="s">
        <v>85</v>
      </c>
      <c r="J66" s="82">
        <v>7912</v>
      </c>
      <c r="K66" s="83">
        <v>5625</v>
      </c>
      <c r="M66" s="81" t="s">
        <v>95</v>
      </c>
      <c r="N66" s="80" t="s">
        <v>243</v>
      </c>
      <c r="O66" s="81" t="s">
        <v>94</v>
      </c>
      <c r="R66" s="84">
        <f>K66/J66</f>
        <v>0.71094539939332657</v>
      </c>
      <c r="S66" s="81">
        <v>36.960086524486499</v>
      </c>
      <c r="T66" s="81">
        <v>-122.05117598176</v>
      </c>
      <c r="U66" s="81" t="s">
        <v>300</v>
      </c>
    </row>
    <row r="67" spans="1:21" s="81" customFormat="1" ht="75" x14ac:dyDescent="0.25">
      <c r="A67" s="81" t="s">
        <v>82</v>
      </c>
      <c r="B67" s="81" t="s">
        <v>83</v>
      </c>
      <c r="C67" s="81">
        <v>2801</v>
      </c>
      <c r="D67" s="81" t="s">
        <v>169</v>
      </c>
      <c r="E67" s="81" t="s">
        <v>139</v>
      </c>
      <c r="F67" s="81" t="s">
        <v>140</v>
      </c>
      <c r="G67" s="81">
        <v>95060</v>
      </c>
      <c r="H67" s="81" t="s">
        <v>82</v>
      </c>
      <c r="J67" s="82">
        <v>805</v>
      </c>
      <c r="K67" s="83">
        <v>1</v>
      </c>
      <c r="L67" s="81" t="s">
        <v>162</v>
      </c>
      <c r="M67" s="81" t="s">
        <v>100</v>
      </c>
      <c r="N67" s="81" t="s">
        <v>114</v>
      </c>
      <c r="O67" s="81" t="s">
        <v>101</v>
      </c>
      <c r="P67" s="81" t="s">
        <v>467</v>
      </c>
      <c r="R67" s="84">
        <f t="shared" ref="R67:R72" si="1">K67</f>
        <v>1</v>
      </c>
      <c r="S67" s="81">
        <v>36.960258483886697</v>
      </c>
      <c r="T67" s="81">
        <v>-122.057312011718</v>
      </c>
      <c r="U67" s="81" t="s">
        <v>301</v>
      </c>
    </row>
    <row r="68" spans="1:21" s="81" customFormat="1" ht="75" x14ac:dyDescent="0.25">
      <c r="A68" s="81" t="s">
        <v>82</v>
      </c>
      <c r="B68" s="81" t="s">
        <v>83</v>
      </c>
      <c r="C68" s="81">
        <v>2801</v>
      </c>
      <c r="D68" s="81" t="s">
        <v>169</v>
      </c>
      <c r="E68" s="81" t="s">
        <v>139</v>
      </c>
      <c r="F68" s="81" t="s">
        <v>140</v>
      </c>
      <c r="G68" s="81">
        <v>95060</v>
      </c>
      <c r="H68" s="81" t="s">
        <v>82</v>
      </c>
      <c r="J68" s="82">
        <v>1610</v>
      </c>
      <c r="K68" s="83">
        <v>0.95</v>
      </c>
      <c r="L68" s="81" t="s">
        <v>162</v>
      </c>
      <c r="M68" s="81" t="s">
        <v>100</v>
      </c>
      <c r="N68" s="81" t="s">
        <v>114</v>
      </c>
      <c r="O68" s="81" t="s">
        <v>101</v>
      </c>
      <c r="P68" s="81" t="s">
        <v>467</v>
      </c>
      <c r="R68" s="84">
        <f t="shared" si="1"/>
        <v>0.95</v>
      </c>
      <c r="S68" s="81">
        <v>36.960258483886697</v>
      </c>
      <c r="T68" s="81">
        <v>-122.05731201171901</v>
      </c>
      <c r="U68" s="81" t="s">
        <v>301</v>
      </c>
    </row>
    <row r="69" spans="1:21" s="81" customFormat="1" ht="75" x14ac:dyDescent="0.25">
      <c r="A69" s="81" t="s">
        <v>82</v>
      </c>
      <c r="B69" s="81" t="s">
        <v>83</v>
      </c>
      <c r="C69" s="81">
        <v>2801</v>
      </c>
      <c r="D69" s="81" t="s">
        <v>169</v>
      </c>
      <c r="E69" s="81" t="s">
        <v>139</v>
      </c>
      <c r="F69" s="81" t="s">
        <v>140</v>
      </c>
      <c r="G69" s="81">
        <v>95060</v>
      </c>
      <c r="H69" s="81" t="s">
        <v>82</v>
      </c>
      <c r="J69" s="82">
        <v>2185</v>
      </c>
      <c r="K69" s="83">
        <v>0.9</v>
      </c>
      <c r="L69" s="81" t="s">
        <v>162</v>
      </c>
      <c r="M69" s="81" t="s">
        <v>100</v>
      </c>
      <c r="N69" s="81" t="s">
        <v>114</v>
      </c>
      <c r="O69" s="81" t="s">
        <v>101</v>
      </c>
      <c r="P69" s="81" t="s">
        <v>467</v>
      </c>
      <c r="R69" s="84">
        <f t="shared" si="1"/>
        <v>0.9</v>
      </c>
      <c r="S69" s="81">
        <v>36.960258483886697</v>
      </c>
      <c r="T69" s="81">
        <v>-122.05731201171901</v>
      </c>
      <c r="U69" s="81" t="s">
        <v>301</v>
      </c>
    </row>
    <row r="70" spans="1:21" s="81" customFormat="1" ht="75" x14ac:dyDescent="0.25">
      <c r="A70" s="81" t="s">
        <v>82</v>
      </c>
      <c r="B70" s="81" t="s">
        <v>83</v>
      </c>
      <c r="C70" s="81">
        <v>2801</v>
      </c>
      <c r="D70" s="81" t="s">
        <v>169</v>
      </c>
      <c r="E70" s="81" t="s">
        <v>139</v>
      </c>
      <c r="F70" s="81" t="s">
        <v>140</v>
      </c>
      <c r="G70" s="81">
        <v>95060</v>
      </c>
      <c r="H70" s="81" t="s">
        <v>82</v>
      </c>
      <c r="J70" s="82">
        <v>4370</v>
      </c>
      <c r="K70" s="83">
        <v>0.9</v>
      </c>
      <c r="L70" s="81" t="s">
        <v>162</v>
      </c>
      <c r="M70" s="81" t="s">
        <v>100</v>
      </c>
      <c r="N70" s="81" t="s">
        <v>114</v>
      </c>
      <c r="O70" s="81" t="s">
        <v>101</v>
      </c>
      <c r="P70" s="81" t="s">
        <v>468</v>
      </c>
      <c r="R70" s="84">
        <f t="shared" si="1"/>
        <v>0.9</v>
      </c>
      <c r="S70" s="81">
        <v>36.960258483886697</v>
      </c>
      <c r="T70" s="81">
        <v>-122.057312011718</v>
      </c>
      <c r="U70" s="81" t="s">
        <v>301</v>
      </c>
    </row>
    <row r="71" spans="1:21" s="81" customFormat="1" ht="75" x14ac:dyDescent="0.25">
      <c r="A71" s="81" t="s">
        <v>82</v>
      </c>
      <c r="B71" s="81" t="s">
        <v>83</v>
      </c>
      <c r="C71" s="81">
        <v>2801</v>
      </c>
      <c r="D71" s="81" t="s">
        <v>169</v>
      </c>
      <c r="E71" s="81" t="s">
        <v>139</v>
      </c>
      <c r="F71" s="81" t="s">
        <v>140</v>
      </c>
      <c r="G71" s="81">
        <v>95060</v>
      </c>
      <c r="H71" s="81" t="s">
        <v>82</v>
      </c>
      <c r="J71" s="82">
        <v>6555</v>
      </c>
      <c r="K71" s="83">
        <v>0.9</v>
      </c>
      <c r="L71" s="81" t="s">
        <v>162</v>
      </c>
      <c r="M71" s="81" t="s">
        <v>100</v>
      </c>
      <c r="N71" s="81" t="s">
        <v>114</v>
      </c>
      <c r="O71" s="81" t="s">
        <v>101</v>
      </c>
      <c r="P71" s="81" t="s">
        <v>468</v>
      </c>
      <c r="R71" s="84">
        <f t="shared" si="1"/>
        <v>0.9</v>
      </c>
      <c r="S71" s="81">
        <v>36.960258483886697</v>
      </c>
      <c r="T71" s="81">
        <v>-122.057312011718</v>
      </c>
      <c r="U71" s="81" t="s">
        <v>301</v>
      </c>
    </row>
    <row r="72" spans="1:21" s="81" customFormat="1" ht="42.75" customHeight="1" x14ac:dyDescent="0.25">
      <c r="A72" s="81" t="s">
        <v>415</v>
      </c>
      <c r="B72" s="81" t="s">
        <v>83</v>
      </c>
      <c r="C72" s="81">
        <v>2901</v>
      </c>
      <c r="D72" s="81" t="s">
        <v>169</v>
      </c>
      <c r="E72" s="81" t="s">
        <v>139</v>
      </c>
      <c r="F72" s="81" t="s">
        <v>140</v>
      </c>
      <c r="G72" s="81">
        <v>95060</v>
      </c>
      <c r="H72" s="81" t="s">
        <v>24</v>
      </c>
      <c r="J72" s="82">
        <v>16408</v>
      </c>
      <c r="K72" s="83">
        <v>1.25</v>
      </c>
      <c r="L72" s="81" t="s">
        <v>5</v>
      </c>
      <c r="M72" s="81" t="s">
        <v>351</v>
      </c>
      <c r="N72" s="81" t="s">
        <v>222</v>
      </c>
      <c r="O72" s="81" t="s">
        <v>223</v>
      </c>
      <c r="P72" s="81" t="s">
        <v>352</v>
      </c>
      <c r="R72" s="84">
        <f t="shared" si="1"/>
        <v>1.25</v>
      </c>
      <c r="S72" s="81">
        <v>36.959712000000003</v>
      </c>
      <c r="T72" s="81">
        <v>-122.057743</v>
      </c>
      <c r="U72" s="81" t="s">
        <v>353</v>
      </c>
    </row>
    <row r="73" spans="1:21" s="81" customFormat="1" ht="75" x14ac:dyDescent="0.25">
      <c r="A73" s="81" t="s">
        <v>82</v>
      </c>
      <c r="B73" s="81" t="s">
        <v>83</v>
      </c>
      <c r="C73" s="81">
        <v>2931</v>
      </c>
      <c r="D73" s="81" t="s">
        <v>169</v>
      </c>
      <c r="E73" s="81" t="s">
        <v>139</v>
      </c>
      <c r="F73" s="81" t="s">
        <v>140</v>
      </c>
      <c r="G73" s="81">
        <v>95060</v>
      </c>
      <c r="H73" s="81" t="s">
        <v>85</v>
      </c>
      <c r="J73" s="82">
        <v>9000</v>
      </c>
      <c r="K73" s="83" t="s">
        <v>371</v>
      </c>
      <c r="M73" s="81" t="s">
        <v>102</v>
      </c>
      <c r="N73" s="81" t="s">
        <v>93</v>
      </c>
      <c r="O73" s="81" t="s">
        <v>9</v>
      </c>
      <c r="P73" s="81" t="s">
        <v>315</v>
      </c>
      <c r="R73" s="84">
        <v>0</v>
      </c>
      <c r="S73" s="81">
        <v>36.959117889404297</v>
      </c>
      <c r="T73" s="81">
        <v>-122.05856323242099</v>
      </c>
      <c r="U73" s="81" t="s">
        <v>303</v>
      </c>
    </row>
    <row r="74" spans="1:21" s="81" customFormat="1" ht="75" x14ac:dyDescent="0.25">
      <c r="A74" s="81" t="s">
        <v>415</v>
      </c>
      <c r="B74" s="81" t="s">
        <v>83</v>
      </c>
      <c r="C74" s="81">
        <v>3004</v>
      </c>
      <c r="D74" s="81" t="s">
        <v>169</v>
      </c>
      <c r="E74" s="81" t="s">
        <v>139</v>
      </c>
      <c r="F74" s="81" t="s">
        <v>140</v>
      </c>
      <c r="G74" s="81">
        <v>95060</v>
      </c>
      <c r="H74" s="81" t="s">
        <v>24</v>
      </c>
      <c r="I74" s="81">
        <v>150</v>
      </c>
      <c r="J74" s="82">
        <v>6500</v>
      </c>
      <c r="K74" s="83">
        <v>1.7</v>
      </c>
      <c r="L74" s="81" t="s">
        <v>162</v>
      </c>
      <c r="M74" s="81" t="s">
        <v>35</v>
      </c>
      <c r="N74" s="81" t="s">
        <v>36</v>
      </c>
      <c r="O74" s="81" t="s">
        <v>37</v>
      </c>
      <c r="R74" s="84">
        <f>K74</f>
        <v>1.7</v>
      </c>
      <c r="S74" s="81">
        <v>36.960361480712798</v>
      </c>
      <c r="T74" s="81">
        <v>-122.05954742431599</v>
      </c>
      <c r="U74" s="81" t="s">
        <v>302</v>
      </c>
    </row>
    <row r="75" spans="1:21" s="81" customFormat="1" ht="73.5" customHeight="1" x14ac:dyDescent="0.25">
      <c r="A75" s="81" t="s">
        <v>415</v>
      </c>
      <c r="B75" s="75" t="s">
        <v>83</v>
      </c>
      <c r="C75" s="75">
        <v>3004</v>
      </c>
      <c r="D75" s="75" t="s">
        <v>169</v>
      </c>
      <c r="E75" s="75" t="s">
        <v>139</v>
      </c>
      <c r="F75" s="75" t="s">
        <v>140</v>
      </c>
      <c r="G75" s="75">
        <v>95060</v>
      </c>
      <c r="H75" s="75" t="s">
        <v>8</v>
      </c>
      <c r="I75" s="75">
        <v>220</v>
      </c>
      <c r="J75" s="90">
        <v>14000</v>
      </c>
      <c r="K75" s="91">
        <v>1.05</v>
      </c>
      <c r="L75" s="75" t="s">
        <v>162</v>
      </c>
      <c r="M75" s="75" t="s">
        <v>35</v>
      </c>
      <c r="N75" s="75" t="s">
        <v>36</v>
      </c>
      <c r="O75" s="75" t="s">
        <v>37</v>
      </c>
      <c r="P75" s="75"/>
      <c r="Q75" s="75"/>
      <c r="R75" s="92">
        <f>K75</f>
        <v>1.05</v>
      </c>
      <c r="S75" s="75">
        <v>36.960361480712898</v>
      </c>
      <c r="T75" s="75">
        <v>-122.05954742431599</v>
      </c>
      <c r="U75" s="75" t="s">
        <v>302</v>
      </c>
    </row>
    <row r="76" spans="1:21" s="81" customFormat="1" ht="75" x14ac:dyDescent="0.25">
      <c r="A76" s="81" t="s">
        <v>415</v>
      </c>
      <c r="B76" s="81" t="s">
        <v>83</v>
      </c>
      <c r="C76" s="81">
        <v>3004</v>
      </c>
      <c r="D76" s="81" t="s">
        <v>169</v>
      </c>
      <c r="E76" s="81" t="s">
        <v>139</v>
      </c>
      <c r="F76" s="81" t="s">
        <v>140</v>
      </c>
      <c r="G76" s="81">
        <v>95060</v>
      </c>
      <c r="H76" s="81" t="s">
        <v>8</v>
      </c>
      <c r="I76" s="81">
        <v>230</v>
      </c>
      <c r="J76" s="82">
        <v>1400</v>
      </c>
      <c r="K76" s="83">
        <v>1.7</v>
      </c>
      <c r="L76" s="81" t="s">
        <v>162</v>
      </c>
      <c r="M76" s="81" t="s">
        <v>35</v>
      </c>
      <c r="N76" s="81" t="s">
        <v>36</v>
      </c>
      <c r="O76" s="81" t="s">
        <v>37</v>
      </c>
      <c r="R76" s="84">
        <f>K76</f>
        <v>1.7</v>
      </c>
      <c r="S76" s="81">
        <v>36.960361480712898</v>
      </c>
      <c r="T76" s="81">
        <v>-122.05954742431599</v>
      </c>
      <c r="U76" s="81" t="s">
        <v>302</v>
      </c>
    </row>
    <row r="77" spans="1:21" s="81" customFormat="1" ht="45" x14ac:dyDescent="0.25">
      <c r="A77" s="81" t="s">
        <v>81</v>
      </c>
      <c r="B77" s="81" t="s">
        <v>38</v>
      </c>
      <c r="C77" s="81">
        <v>805</v>
      </c>
      <c r="D77" s="81" t="s">
        <v>174</v>
      </c>
      <c r="E77" s="81" t="s">
        <v>139</v>
      </c>
      <c r="F77" s="81" t="s">
        <v>140</v>
      </c>
      <c r="G77" s="81">
        <v>95060</v>
      </c>
      <c r="H77" s="81" t="s">
        <v>7</v>
      </c>
      <c r="J77" s="82">
        <v>640</v>
      </c>
      <c r="K77" s="83">
        <v>1000</v>
      </c>
      <c r="L77" s="81" t="s">
        <v>6</v>
      </c>
      <c r="M77" s="81" t="s">
        <v>323</v>
      </c>
      <c r="N77" s="81" t="s">
        <v>324</v>
      </c>
      <c r="O77" s="78" t="s">
        <v>325</v>
      </c>
      <c r="P77" s="81" t="s">
        <v>328</v>
      </c>
      <c r="R77" s="84">
        <f>K77/J77</f>
        <v>1.5625</v>
      </c>
      <c r="S77" s="81">
        <v>36.969466879963797</v>
      </c>
      <c r="T77" s="81">
        <v>-122.024885639548</v>
      </c>
      <c r="U77" s="81" t="s">
        <v>327</v>
      </c>
    </row>
    <row r="78" spans="1:21" s="81" customFormat="1" ht="75" x14ac:dyDescent="0.25">
      <c r="A78" s="81" t="s">
        <v>81</v>
      </c>
      <c r="B78" s="81" t="s">
        <v>38</v>
      </c>
      <c r="C78" s="81">
        <v>819</v>
      </c>
      <c r="D78" s="81" t="s">
        <v>174</v>
      </c>
      <c r="E78" s="81" t="s">
        <v>139</v>
      </c>
      <c r="F78" s="81" t="s">
        <v>140</v>
      </c>
      <c r="G78" s="81">
        <v>95060</v>
      </c>
      <c r="H78" s="81" t="s">
        <v>24</v>
      </c>
      <c r="I78" s="81">
        <v>1</v>
      </c>
      <c r="J78" s="82">
        <v>1385</v>
      </c>
      <c r="K78" s="83">
        <v>1.44</v>
      </c>
      <c r="L78" s="81" t="s">
        <v>6</v>
      </c>
      <c r="M78" s="81" t="s">
        <v>378</v>
      </c>
      <c r="N78" s="81" t="s">
        <v>243</v>
      </c>
      <c r="O78" s="76" t="s">
        <v>94</v>
      </c>
      <c r="P78" s="81" t="s">
        <v>330</v>
      </c>
      <c r="R78" s="84">
        <v>1.44</v>
      </c>
      <c r="S78" s="81">
        <v>36.969888657331403</v>
      </c>
      <c r="T78" s="81">
        <v>-122.024984881281</v>
      </c>
      <c r="U78" s="81" t="s">
        <v>258</v>
      </c>
    </row>
    <row r="79" spans="1:21" s="81" customFormat="1" ht="75" x14ac:dyDescent="0.25">
      <c r="A79" s="81" t="s">
        <v>81</v>
      </c>
      <c r="B79" s="81" t="s">
        <v>38</v>
      </c>
      <c r="C79" s="81">
        <v>903</v>
      </c>
      <c r="D79" s="81" t="s">
        <v>174</v>
      </c>
      <c r="E79" s="81" t="s">
        <v>139</v>
      </c>
      <c r="F79" s="81" t="s">
        <v>140</v>
      </c>
      <c r="G79" s="81">
        <v>95060</v>
      </c>
      <c r="H79" s="81" t="s">
        <v>24</v>
      </c>
      <c r="J79" s="82">
        <v>4000</v>
      </c>
      <c r="K79" s="83">
        <v>1.5</v>
      </c>
      <c r="L79" s="81" t="s">
        <v>6</v>
      </c>
      <c r="M79" s="81" t="s">
        <v>443</v>
      </c>
      <c r="N79" s="81" t="s">
        <v>93</v>
      </c>
      <c r="O79" s="81" t="s">
        <v>9</v>
      </c>
      <c r="P79" s="81" t="s">
        <v>444</v>
      </c>
      <c r="R79" s="84">
        <v>0</v>
      </c>
      <c r="S79" s="81">
        <v>36.970433999999997</v>
      </c>
      <c r="T79" s="81">
        <v>-122.025454</v>
      </c>
      <c r="U79" s="81" t="s">
        <v>445</v>
      </c>
    </row>
    <row r="80" spans="1:21" s="81" customFormat="1" ht="45" x14ac:dyDescent="0.25">
      <c r="A80" s="81" t="s">
        <v>81</v>
      </c>
      <c r="B80" s="81" t="s">
        <v>38</v>
      </c>
      <c r="C80" s="81">
        <v>1013</v>
      </c>
      <c r="D80" s="81" t="s">
        <v>174</v>
      </c>
      <c r="E80" s="81" t="s">
        <v>139</v>
      </c>
      <c r="F80" s="81" t="s">
        <v>140</v>
      </c>
      <c r="G80" s="81">
        <v>95060</v>
      </c>
      <c r="H80" s="81" t="s">
        <v>2</v>
      </c>
      <c r="J80" s="82">
        <v>4500</v>
      </c>
      <c r="K80" s="83">
        <v>3</v>
      </c>
      <c r="L80" s="81" t="s">
        <v>5</v>
      </c>
      <c r="M80" s="81" t="s">
        <v>3</v>
      </c>
      <c r="N80" s="81" t="s">
        <v>4</v>
      </c>
      <c r="O80" s="81" t="s">
        <v>28</v>
      </c>
      <c r="P80" s="81" t="s">
        <v>161</v>
      </c>
      <c r="R80" s="84">
        <f t="shared" ref="R80:R91" si="2">K80</f>
        <v>3</v>
      </c>
      <c r="S80" s="81">
        <v>36.971420288085902</v>
      </c>
      <c r="T80" s="81">
        <v>-122.02579498291</v>
      </c>
      <c r="U80" s="81" t="s">
        <v>260</v>
      </c>
    </row>
    <row r="81" spans="1:21" s="81" customFormat="1" ht="45" x14ac:dyDescent="0.25">
      <c r="A81" s="81" t="s">
        <v>81</v>
      </c>
      <c r="B81" s="81" t="s">
        <v>38</v>
      </c>
      <c r="C81" s="81">
        <v>1101</v>
      </c>
      <c r="D81" s="81" t="s">
        <v>174</v>
      </c>
      <c r="E81" s="81" t="s">
        <v>139</v>
      </c>
      <c r="F81" s="81" t="s">
        <v>140</v>
      </c>
      <c r="G81" s="81">
        <v>95060</v>
      </c>
      <c r="H81" s="81" t="s">
        <v>8</v>
      </c>
      <c r="I81" s="81">
        <v>210</v>
      </c>
      <c r="J81" s="82">
        <v>1484</v>
      </c>
      <c r="K81" s="83">
        <v>1.25</v>
      </c>
      <c r="L81" s="81" t="s">
        <v>5</v>
      </c>
      <c r="M81" s="81" t="s">
        <v>202</v>
      </c>
      <c r="N81" s="81" t="s">
        <v>113</v>
      </c>
      <c r="O81" s="81" t="s">
        <v>17</v>
      </c>
      <c r="P81" s="81" t="s">
        <v>11</v>
      </c>
      <c r="R81" s="84">
        <f t="shared" si="2"/>
        <v>1.25</v>
      </c>
      <c r="S81" s="81">
        <v>36.971908569335902</v>
      </c>
      <c r="T81" s="81">
        <v>-122.02589416503901</v>
      </c>
      <c r="U81" s="81" t="s">
        <v>261</v>
      </c>
    </row>
    <row r="82" spans="1:21" s="81" customFormat="1" ht="45" x14ac:dyDescent="0.25">
      <c r="A82" s="81" t="s">
        <v>81</v>
      </c>
      <c r="B82" s="81" t="s">
        <v>38</v>
      </c>
      <c r="C82" s="81">
        <v>1101</v>
      </c>
      <c r="D82" s="81" t="s">
        <v>174</v>
      </c>
      <c r="E82" s="81" t="s">
        <v>139</v>
      </c>
      <c r="F82" s="81" t="s">
        <v>140</v>
      </c>
      <c r="G82" s="81">
        <v>95060</v>
      </c>
      <c r="H82" s="81" t="s">
        <v>8</v>
      </c>
      <c r="I82" s="81">
        <v>300</v>
      </c>
      <c r="J82" s="82">
        <v>3323</v>
      </c>
      <c r="K82" s="83">
        <v>1.25</v>
      </c>
      <c r="L82" s="81" t="s">
        <v>5</v>
      </c>
      <c r="M82" s="81" t="s">
        <v>202</v>
      </c>
      <c r="N82" s="81" t="s">
        <v>113</v>
      </c>
      <c r="O82" s="81" t="s">
        <v>17</v>
      </c>
      <c r="P82" s="81" t="s">
        <v>11</v>
      </c>
      <c r="R82" s="84">
        <f t="shared" si="2"/>
        <v>1.25</v>
      </c>
      <c r="S82" s="81">
        <v>36.971908569335902</v>
      </c>
      <c r="T82" s="81">
        <v>-122.02589416503901</v>
      </c>
      <c r="U82" s="81" t="s">
        <v>261</v>
      </c>
    </row>
    <row r="83" spans="1:21" s="81" customFormat="1" ht="45" x14ac:dyDescent="0.25">
      <c r="A83" s="81" t="s">
        <v>81</v>
      </c>
      <c r="B83" s="81" t="s">
        <v>38</v>
      </c>
      <c r="C83" s="81">
        <v>1101</v>
      </c>
      <c r="D83" s="81" t="s">
        <v>174</v>
      </c>
      <c r="E83" s="81" t="s">
        <v>139</v>
      </c>
      <c r="F83" s="81" t="s">
        <v>140</v>
      </c>
      <c r="G83" s="81">
        <v>95060</v>
      </c>
      <c r="H83" s="81" t="s">
        <v>8</v>
      </c>
      <c r="I83" s="81">
        <v>308</v>
      </c>
      <c r="J83" s="82">
        <v>1525</v>
      </c>
      <c r="K83" s="83">
        <v>1.25</v>
      </c>
      <c r="L83" s="81" t="s">
        <v>5</v>
      </c>
      <c r="M83" s="81" t="s">
        <v>202</v>
      </c>
      <c r="N83" s="81" t="s">
        <v>113</v>
      </c>
      <c r="O83" s="81" t="s">
        <v>17</v>
      </c>
      <c r="P83" s="81" t="s">
        <v>11</v>
      </c>
      <c r="R83" s="84">
        <f t="shared" si="2"/>
        <v>1.25</v>
      </c>
      <c r="S83" s="81">
        <v>36.971908569335902</v>
      </c>
      <c r="T83" s="81">
        <v>-122.02589416503901</v>
      </c>
      <c r="U83" s="81" t="s">
        <v>261</v>
      </c>
    </row>
    <row r="84" spans="1:21" s="81" customFormat="1" ht="45" x14ac:dyDescent="0.25">
      <c r="A84" s="81" t="s">
        <v>81</v>
      </c>
      <c r="B84" s="81" t="s">
        <v>38</v>
      </c>
      <c r="C84" s="81">
        <v>1101</v>
      </c>
      <c r="D84" s="81" t="s">
        <v>174</v>
      </c>
      <c r="E84" s="81" t="s">
        <v>139</v>
      </c>
      <c r="F84" s="81" t="s">
        <v>140</v>
      </c>
      <c r="G84" s="81">
        <v>95060</v>
      </c>
      <c r="H84" s="81" t="s">
        <v>8</v>
      </c>
      <c r="I84" s="81">
        <v>320</v>
      </c>
      <c r="J84" s="82">
        <v>5178</v>
      </c>
      <c r="K84" s="83">
        <v>1.25</v>
      </c>
      <c r="L84" s="81" t="s">
        <v>5</v>
      </c>
      <c r="M84" s="81" t="s">
        <v>202</v>
      </c>
      <c r="N84" s="81" t="s">
        <v>113</v>
      </c>
      <c r="O84" s="81" t="s">
        <v>17</v>
      </c>
      <c r="P84" s="81" t="s">
        <v>11</v>
      </c>
      <c r="R84" s="84">
        <f t="shared" si="2"/>
        <v>1.25</v>
      </c>
      <c r="S84" s="81">
        <v>36.971908569335902</v>
      </c>
      <c r="T84" s="81">
        <v>-122.02589416503901</v>
      </c>
      <c r="U84" s="81" t="s">
        <v>261</v>
      </c>
    </row>
    <row r="85" spans="1:21" s="81" customFormat="1" ht="45" x14ac:dyDescent="0.25">
      <c r="A85" s="81" t="s">
        <v>81</v>
      </c>
      <c r="B85" s="81" t="s">
        <v>38</v>
      </c>
      <c r="C85" s="81">
        <v>1101</v>
      </c>
      <c r="D85" s="81" t="s">
        <v>174</v>
      </c>
      <c r="E85" s="81" t="s">
        <v>139</v>
      </c>
      <c r="F85" s="81" t="s">
        <v>140</v>
      </c>
      <c r="G85" s="81">
        <v>95060</v>
      </c>
      <c r="H85" s="81" t="s">
        <v>2</v>
      </c>
      <c r="I85" s="81" t="s">
        <v>70</v>
      </c>
      <c r="J85" s="82">
        <v>1561</v>
      </c>
      <c r="K85" s="83">
        <v>2.75</v>
      </c>
      <c r="L85" s="81" t="s">
        <v>5</v>
      </c>
      <c r="M85" s="81" t="s">
        <v>202</v>
      </c>
      <c r="N85" s="81" t="s">
        <v>113</v>
      </c>
      <c r="O85" s="81" t="s">
        <v>17</v>
      </c>
      <c r="P85" s="81" t="s">
        <v>11</v>
      </c>
      <c r="R85" s="84">
        <f t="shared" si="2"/>
        <v>2.75</v>
      </c>
      <c r="S85" s="81">
        <v>36.971908569335902</v>
      </c>
      <c r="T85" s="81">
        <v>-122.02589416503901</v>
      </c>
      <c r="U85" s="81" t="s">
        <v>261</v>
      </c>
    </row>
    <row r="86" spans="1:21" s="81" customFormat="1" ht="48" customHeight="1" x14ac:dyDescent="0.25">
      <c r="A86" s="81" t="s">
        <v>81</v>
      </c>
      <c r="B86" s="81" t="s">
        <v>38</v>
      </c>
      <c r="C86" s="81">
        <v>1119</v>
      </c>
      <c r="D86" s="81" t="s">
        <v>174</v>
      </c>
      <c r="E86" s="81" t="s">
        <v>139</v>
      </c>
      <c r="F86" s="81" t="s">
        <v>140</v>
      </c>
      <c r="G86" s="81">
        <v>95060</v>
      </c>
      <c r="H86" s="81" t="s">
        <v>8</v>
      </c>
      <c r="I86" s="81" t="s">
        <v>474</v>
      </c>
      <c r="J86" s="82">
        <v>6200</v>
      </c>
      <c r="K86" s="83">
        <v>0.89</v>
      </c>
      <c r="L86" s="81" t="s">
        <v>5</v>
      </c>
      <c r="M86" s="81" t="s">
        <v>20</v>
      </c>
      <c r="N86" s="81" t="s">
        <v>21</v>
      </c>
      <c r="O86" s="77" t="s">
        <v>135</v>
      </c>
      <c r="P86" s="81" t="s">
        <v>475</v>
      </c>
      <c r="Q86" s="81">
        <v>0.52</v>
      </c>
      <c r="R86" s="84">
        <f t="shared" si="2"/>
        <v>0.89</v>
      </c>
      <c r="S86" s="81">
        <v>36.972224190831099</v>
      </c>
      <c r="T86" s="81">
        <v>-122.025650739669</v>
      </c>
      <c r="U86" s="81" t="s">
        <v>267</v>
      </c>
    </row>
    <row r="87" spans="1:21" s="81" customFormat="1" ht="45.75" customHeight="1" x14ac:dyDescent="0.25">
      <c r="A87" s="81" t="s">
        <v>81</v>
      </c>
      <c r="B87" s="81" t="s">
        <v>38</v>
      </c>
      <c r="C87" s="81">
        <v>1200</v>
      </c>
      <c r="D87" s="81" t="s">
        <v>174</v>
      </c>
      <c r="E87" s="81" t="s">
        <v>139</v>
      </c>
      <c r="F87" s="81" t="s">
        <v>140</v>
      </c>
      <c r="G87" s="81">
        <v>95060</v>
      </c>
      <c r="H87" s="81" t="s">
        <v>8</v>
      </c>
      <c r="I87" s="81">
        <v>250</v>
      </c>
      <c r="J87" s="82">
        <v>3463</v>
      </c>
      <c r="K87" s="83">
        <v>1.75</v>
      </c>
      <c r="L87" s="81" t="s">
        <v>5</v>
      </c>
      <c r="M87" s="81" t="s">
        <v>25</v>
      </c>
      <c r="N87" s="81" t="s">
        <v>113</v>
      </c>
      <c r="O87" s="81" t="s">
        <v>17</v>
      </c>
      <c r="P87" s="81" t="s">
        <v>216</v>
      </c>
      <c r="R87" s="84">
        <f t="shared" si="2"/>
        <v>1.75</v>
      </c>
      <c r="S87" s="81">
        <v>36.973400115966797</v>
      </c>
      <c r="T87" s="81">
        <v>-122.025550842285</v>
      </c>
      <c r="U87" s="81" t="s">
        <v>263</v>
      </c>
    </row>
    <row r="88" spans="1:21" s="81" customFormat="1" ht="45" customHeight="1" x14ac:dyDescent="0.25">
      <c r="A88" s="81" t="s">
        <v>81</v>
      </c>
      <c r="B88" s="81" t="s">
        <v>38</v>
      </c>
      <c r="C88" s="81">
        <v>1200</v>
      </c>
      <c r="D88" s="81" t="s">
        <v>174</v>
      </c>
      <c r="E88" s="81" t="s">
        <v>139</v>
      </c>
      <c r="F88" s="81" t="s">
        <v>140</v>
      </c>
      <c r="G88" s="81">
        <v>95060</v>
      </c>
      <c r="H88" s="81" t="s">
        <v>24</v>
      </c>
      <c r="I88" s="81">
        <v>270</v>
      </c>
      <c r="J88" s="82">
        <v>3589</v>
      </c>
      <c r="K88" s="83">
        <v>1.75</v>
      </c>
      <c r="L88" s="81" t="s">
        <v>5</v>
      </c>
      <c r="M88" s="81" t="s">
        <v>25</v>
      </c>
      <c r="N88" s="81" t="s">
        <v>113</v>
      </c>
      <c r="O88" s="81" t="s">
        <v>17</v>
      </c>
      <c r="P88" s="81" t="s">
        <v>216</v>
      </c>
      <c r="R88" s="84">
        <f t="shared" si="2"/>
        <v>1.75</v>
      </c>
      <c r="S88" s="81">
        <v>36.973400115966797</v>
      </c>
      <c r="T88" s="81">
        <v>-122.025550842285</v>
      </c>
      <c r="U88" s="81" t="s">
        <v>263</v>
      </c>
    </row>
    <row r="89" spans="1:21" s="81" customFormat="1" ht="45" customHeight="1" x14ac:dyDescent="0.25">
      <c r="A89" s="81" t="s">
        <v>81</v>
      </c>
      <c r="B89" s="81" t="s">
        <v>38</v>
      </c>
      <c r="C89" s="81">
        <v>1200</v>
      </c>
      <c r="D89" s="81" t="s">
        <v>174</v>
      </c>
      <c r="E89" s="81" t="s">
        <v>139</v>
      </c>
      <c r="F89" s="81" t="s">
        <v>140</v>
      </c>
      <c r="G89" s="81">
        <v>95060</v>
      </c>
      <c r="H89" s="81" t="s">
        <v>8</v>
      </c>
      <c r="I89" s="81">
        <v>290</v>
      </c>
      <c r="J89" s="82">
        <v>1542</v>
      </c>
      <c r="K89" s="83">
        <v>1.75</v>
      </c>
      <c r="L89" s="81" t="s">
        <v>5</v>
      </c>
      <c r="M89" s="81" t="s">
        <v>25</v>
      </c>
      <c r="N89" s="81" t="s">
        <v>113</v>
      </c>
      <c r="O89" s="81" t="s">
        <v>17</v>
      </c>
      <c r="P89" s="81" t="s">
        <v>231</v>
      </c>
      <c r="R89" s="84">
        <f t="shared" si="2"/>
        <v>1.75</v>
      </c>
      <c r="S89" s="81">
        <v>36.973400115966797</v>
      </c>
      <c r="T89" s="81">
        <v>-122.025550842285</v>
      </c>
      <c r="U89" s="81" t="s">
        <v>263</v>
      </c>
    </row>
    <row r="90" spans="1:21" s="81" customFormat="1" ht="45" customHeight="1" x14ac:dyDescent="0.25">
      <c r="A90" s="81" t="s">
        <v>81</v>
      </c>
      <c r="B90" s="81" t="s">
        <v>38</v>
      </c>
      <c r="C90" s="81">
        <v>1200</v>
      </c>
      <c r="D90" s="81" t="s">
        <v>174</v>
      </c>
      <c r="E90" s="81" t="s">
        <v>139</v>
      </c>
      <c r="F90" s="81" t="s">
        <v>140</v>
      </c>
      <c r="G90" s="81">
        <v>95060</v>
      </c>
      <c r="H90" s="81" t="s">
        <v>8</v>
      </c>
      <c r="I90" s="81">
        <v>310</v>
      </c>
      <c r="J90" s="82">
        <v>2295</v>
      </c>
      <c r="K90" s="83">
        <v>1.75</v>
      </c>
      <c r="L90" s="81" t="s">
        <v>5</v>
      </c>
      <c r="M90" s="81" t="s">
        <v>25</v>
      </c>
      <c r="N90" s="81" t="s">
        <v>113</v>
      </c>
      <c r="O90" s="81" t="s">
        <v>17</v>
      </c>
      <c r="P90" s="81" t="s">
        <v>231</v>
      </c>
      <c r="R90" s="84">
        <f t="shared" si="2"/>
        <v>1.75</v>
      </c>
      <c r="S90" s="81">
        <v>36.973400115966797</v>
      </c>
      <c r="T90" s="81">
        <v>-122.025550842285</v>
      </c>
      <c r="U90" s="81" t="s">
        <v>263</v>
      </c>
    </row>
    <row r="91" spans="1:21" s="81" customFormat="1" ht="45" customHeight="1" x14ac:dyDescent="0.25">
      <c r="A91" s="81" t="s">
        <v>81</v>
      </c>
      <c r="B91" s="81" t="s">
        <v>38</v>
      </c>
      <c r="C91" s="81">
        <v>1205</v>
      </c>
      <c r="D91" s="81" t="s">
        <v>174</v>
      </c>
      <c r="E91" s="81" t="s">
        <v>139</v>
      </c>
      <c r="F91" s="81" t="s">
        <v>140</v>
      </c>
      <c r="G91" s="81">
        <v>95060</v>
      </c>
      <c r="H91" s="81" t="s">
        <v>24</v>
      </c>
      <c r="J91" s="82">
        <v>510</v>
      </c>
      <c r="K91" s="83">
        <v>1.5</v>
      </c>
      <c r="L91" s="81" t="s">
        <v>5</v>
      </c>
      <c r="M91" s="81" t="s">
        <v>26</v>
      </c>
      <c r="N91" s="81" t="s">
        <v>377</v>
      </c>
      <c r="O91" s="81" t="s">
        <v>376</v>
      </c>
      <c r="P91" s="81" t="s">
        <v>427</v>
      </c>
      <c r="R91" s="84">
        <f t="shared" si="2"/>
        <v>1.5</v>
      </c>
      <c r="S91" s="81">
        <v>36.972884999999998</v>
      </c>
      <c r="T91" s="81">
        <v>-122.02594000000001</v>
      </c>
      <c r="U91" s="81" t="s">
        <v>428</v>
      </c>
    </row>
    <row r="92" spans="1:21" s="81" customFormat="1" ht="71.25" customHeight="1" x14ac:dyDescent="0.25">
      <c r="A92" s="81" t="s">
        <v>81</v>
      </c>
      <c r="B92" s="81" t="s">
        <v>38</v>
      </c>
      <c r="C92" s="81">
        <v>1339</v>
      </c>
      <c r="D92" s="81" t="s">
        <v>174</v>
      </c>
      <c r="E92" s="81" t="s">
        <v>139</v>
      </c>
      <c r="F92" s="81" t="s">
        <v>140</v>
      </c>
      <c r="G92" s="81">
        <v>95060</v>
      </c>
      <c r="H92" s="81" t="s">
        <v>2</v>
      </c>
      <c r="J92" s="82">
        <v>5000</v>
      </c>
      <c r="K92" s="83">
        <v>2.35</v>
      </c>
      <c r="L92" s="81" t="s">
        <v>6</v>
      </c>
      <c r="M92" s="81" t="s">
        <v>234</v>
      </c>
      <c r="N92" s="81" t="s">
        <v>235</v>
      </c>
      <c r="Q92" s="81">
        <v>0.16</v>
      </c>
      <c r="R92" s="84">
        <v>2.35</v>
      </c>
      <c r="S92" s="81">
        <v>36.973987579345703</v>
      </c>
      <c r="T92" s="81">
        <v>-122.02642822265599</v>
      </c>
      <c r="U92" s="81" t="s">
        <v>264</v>
      </c>
    </row>
    <row r="93" spans="1:21" s="81" customFormat="1" ht="78" customHeight="1" x14ac:dyDescent="0.25">
      <c r="A93" s="81" t="s">
        <v>81</v>
      </c>
      <c r="B93" s="81" t="s">
        <v>38</v>
      </c>
      <c r="C93" s="81">
        <v>1349</v>
      </c>
      <c r="D93" s="81" t="s">
        <v>174</v>
      </c>
      <c r="E93" s="81" t="s">
        <v>139</v>
      </c>
      <c r="F93" s="81" t="s">
        <v>140</v>
      </c>
      <c r="G93" s="81">
        <v>95060</v>
      </c>
      <c r="H93" s="81" t="s">
        <v>7</v>
      </c>
      <c r="J93" s="82">
        <v>1800</v>
      </c>
      <c r="K93" s="83">
        <v>2.75</v>
      </c>
      <c r="L93" s="81" t="s">
        <v>5</v>
      </c>
      <c r="M93" s="81" t="s">
        <v>110</v>
      </c>
      <c r="N93" s="81" t="s">
        <v>111</v>
      </c>
      <c r="O93" s="76" t="s">
        <v>112</v>
      </c>
      <c r="R93" s="84">
        <f>K93</f>
        <v>2.75</v>
      </c>
      <c r="S93" s="81">
        <v>36.974097999999998</v>
      </c>
      <c r="T93" s="81">
        <v>-122.026535</v>
      </c>
      <c r="U93" s="81" t="s">
        <v>262</v>
      </c>
    </row>
    <row r="94" spans="1:21" s="81" customFormat="1" ht="78" customHeight="1" x14ac:dyDescent="0.25">
      <c r="A94" s="81" t="s">
        <v>81</v>
      </c>
      <c r="B94" s="81" t="s">
        <v>38</v>
      </c>
      <c r="C94" s="81">
        <v>1364</v>
      </c>
      <c r="D94" s="81" t="s">
        <v>174</v>
      </c>
      <c r="E94" s="81" t="s">
        <v>139</v>
      </c>
      <c r="F94" s="81" t="s">
        <v>140</v>
      </c>
      <c r="G94" s="81">
        <v>95060</v>
      </c>
      <c r="H94" s="81" t="s">
        <v>2</v>
      </c>
      <c r="J94" s="82">
        <v>1500</v>
      </c>
      <c r="K94" s="83">
        <v>3</v>
      </c>
      <c r="L94" s="81" t="s">
        <v>5</v>
      </c>
      <c r="M94" s="81" t="s">
        <v>92</v>
      </c>
      <c r="N94" s="81" t="s">
        <v>93</v>
      </c>
      <c r="O94" s="81" t="s">
        <v>9</v>
      </c>
      <c r="R94" s="84">
        <f>K94</f>
        <v>3</v>
      </c>
      <c r="S94" s="81">
        <v>36.974674</v>
      </c>
      <c r="T94" s="81">
        <v>-122.026335</v>
      </c>
      <c r="U94" s="81" t="s">
        <v>429</v>
      </c>
    </row>
    <row r="95" spans="1:21" s="81" customFormat="1" ht="60" x14ac:dyDescent="0.25">
      <c r="A95" s="81" t="s">
        <v>81</v>
      </c>
      <c r="B95" s="81" t="s">
        <v>38</v>
      </c>
      <c r="C95" s="81">
        <v>1367</v>
      </c>
      <c r="D95" s="81" t="s">
        <v>174</v>
      </c>
      <c r="E95" s="81" t="s">
        <v>139</v>
      </c>
      <c r="F95" s="81" t="s">
        <v>140</v>
      </c>
      <c r="G95" s="81">
        <v>95060</v>
      </c>
      <c r="H95" s="81" t="s">
        <v>7</v>
      </c>
      <c r="I95" s="81" t="s">
        <v>158</v>
      </c>
      <c r="J95" s="82">
        <v>14945</v>
      </c>
      <c r="K95" s="83">
        <v>4</v>
      </c>
      <c r="L95" s="81" t="s">
        <v>5</v>
      </c>
      <c r="M95" s="81" t="s">
        <v>132</v>
      </c>
      <c r="N95" s="81" t="s">
        <v>27</v>
      </c>
      <c r="O95" s="81" t="s">
        <v>28</v>
      </c>
      <c r="P95" s="81" t="s">
        <v>143</v>
      </c>
      <c r="R95" s="84">
        <v>4</v>
      </c>
      <c r="S95" s="81">
        <v>36.974271386861801</v>
      </c>
      <c r="T95" s="81">
        <v>-122.026277035474</v>
      </c>
      <c r="U95" s="81" t="s">
        <v>265</v>
      </c>
    </row>
    <row r="96" spans="1:21" s="81" customFormat="1" ht="60" x14ac:dyDescent="0.25">
      <c r="A96" s="81" t="s">
        <v>81</v>
      </c>
      <c r="B96" s="81" t="s">
        <v>38</v>
      </c>
      <c r="C96" s="81">
        <v>1367</v>
      </c>
      <c r="D96" s="81" t="s">
        <v>174</v>
      </c>
      <c r="E96" s="81" t="s">
        <v>139</v>
      </c>
      <c r="F96" s="81" t="s">
        <v>140</v>
      </c>
      <c r="G96" s="81">
        <v>95060</v>
      </c>
      <c r="H96" s="81" t="s">
        <v>24</v>
      </c>
      <c r="I96" s="81" t="s">
        <v>156</v>
      </c>
      <c r="J96" s="82">
        <v>16815</v>
      </c>
      <c r="K96" s="83">
        <v>1.65</v>
      </c>
      <c r="L96" s="81" t="s">
        <v>5</v>
      </c>
      <c r="M96" s="81" t="s">
        <v>26</v>
      </c>
      <c r="N96" s="81" t="s">
        <v>377</v>
      </c>
      <c r="O96" s="81" t="s">
        <v>376</v>
      </c>
      <c r="P96" s="81" t="s">
        <v>30</v>
      </c>
      <c r="R96" s="84">
        <f>K96</f>
        <v>1.65</v>
      </c>
      <c r="S96" s="81">
        <v>36.974271386861801</v>
      </c>
      <c r="T96" s="81">
        <v>-122.026277035474</v>
      </c>
      <c r="U96" s="81" t="s">
        <v>265</v>
      </c>
    </row>
    <row r="97" spans="1:21" s="81" customFormat="1" ht="60" customHeight="1" x14ac:dyDescent="0.25">
      <c r="A97" s="81" t="s">
        <v>81</v>
      </c>
      <c r="B97" s="81" t="s">
        <v>38</v>
      </c>
      <c r="C97" s="81">
        <v>1367</v>
      </c>
      <c r="D97" s="81" t="s">
        <v>174</v>
      </c>
      <c r="E97" s="81" t="s">
        <v>139</v>
      </c>
      <c r="F97" s="81" t="s">
        <v>140</v>
      </c>
      <c r="G97" s="81">
        <v>95060</v>
      </c>
      <c r="H97" s="81" t="s">
        <v>24</v>
      </c>
      <c r="I97" s="81" t="s">
        <v>157</v>
      </c>
      <c r="J97" s="82">
        <v>17746</v>
      </c>
      <c r="K97" s="83">
        <v>1.65</v>
      </c>
      <c r="L97" s="81" t="s">
        <v>5</v>
      </c>
      <c r="M97" s="81" t="s">
        <v>26</v>
      </c>
      <c r="N97" s="81" t="s">
        <v>377</v>
      </c>
      <c r="O97" s="81" t="s">
        <v>376</v>
      </c>
      <c r="P97" s="81" t="s">
        <v>30</v>
      </c>
      <c r="R97" s="84">
        <f>K97</f>
        <v>1.65</v>
      </c>
      <c r="S97" s="81">
        <v>36.974271386861801</v>
      </c>
      <c r="T97" s="81">
        <v>-122.026277035474</v>
      </c>
      <c r="U97" s="81" t="s">
        <v>265</v>
      </c>
    </row>
    <row r="98" spans="1:21" s="81" customFormat="1" ht="60" x14ac:dyDescent="0.25">
      <c r="A98" s="81" t="s">
        <v>81</v>
      </c>
      <c r="B98" s="81" t="s">
        <v>38</v>
      </c>
      <c r="C98" s="81">
        <v>1367</v>
      </c>
      <c r="D98" s="81" t="s">
        <v>174</v>
      </c>
      <c r="E98" s="81" t="s">
        <v>139</v>
      </c>
      <c r="F98" s="81" t="s">
        <v>140</v>
      </c>
      <c r="G98" s="81">
        <v>95060</v>
      </c>
      <c r="H98" s="81" t="s">
        <v>24</v>
      </c>
      <c r="I98" s="81" t="s">
        <v>155</v>
      </c>
      <c r="J98" s="82">
        <v>12675</v>
      </c>
      <c r="K98" s="83">
        <v>1.65</v>
      </c>
      <c r="L98" s="81" t="s">
        <v>5</v>
      </c>
      <c r="M98" s="81" t="s">
        <v>26</v>
      </c>
      <c r="N98" s="81" t="s">
        <v>377</v>
      </c>
      <c r="O98" s="81" t="s">
        <v>376</v>
      </c>
      <c r="P98" s="81" t="s">
        <v>30</v>
      </c>
      <c r="R98" s="84">
        <f>K98</f>
        <v>1.65</v>
      </c>
      <c r="S98" s="81">
        <v>36.974271386861801</v>
      </c>
      <c r="T98" s="81">
        <v>-122.026277035474</v>
      </c>
      <c r="U98" s="81" t="s">
        <v>265</v>
      </c>
    </row>
    <row r="99" spans="1:21" s="81" customFormat="1" ht="30" x14ac:dyDescent="0.25">
      <c r="A99" s="81" t="s">
        <v>81</v>
      </c>
      <c r="B99" s="81" t="s">
        <v>38</v>
      </c>
      <c r="C99" s="81">
        <v>1521</v>
      </c>
      <c r="D99" s="81" t="s">
        <v>174</v>
      </c>
      <c r="E99" s="81" t="s">
        <v>139</v>
      </c>
      <c r="F99" s="81" t="s">
        <v>140</v>
      </c>
      <c r="G99" s="81">
        <v>95060</v>
      </c>
      <c r="H99" s="81" t="s">
        <v>8</v>
      </c>
      <c r="I99" s="81" t="s">
        <v>156</v>
      </c>
      <c r="J99" s="82">
        <v>2863</v>
      </c>
      <c r="K99" s="83">
        <v>1.4</v>
      </c>
      <c r="L99" s="81" t="s">
        <v>10</v>
      </c>
      <c r="M99" s="81" t="s">
        <v>35</v>
      </c>
      <c r="N99" s="81" t="s">
        <v>36</v>
      </c>
      <c r="O99" s="81" t="s">
        <v>37</v>
      </c>
      <c r="R99" s="84">
        <v>1.4</v>
      </c>
      <c r="S99" s="81">
        <v>36.9740180969238</v>
      </c>
      <c r="T99" s="81">
        <v>-122.030952453613</v>
      </c>
      <c r="U99" s="81" t="s">
        <v>259</v>
      </c>
    </row>
    <row r="100" spans="1:21" s="81" customFormat="1" ht="45" x14ac:dyDescent="0.25">
      <c r="A100" s="81" t="s">
        <v>81</v>
      </c>
      <c r="B100" s="81" t="s">
        <v>38</v>
      </c>
      <c r="C100" s="81">
        <v>1319</v>
      </c>
      <c r="D100" s="81" t="s">
        <v>151</v>
      </c>
      <c r="E100" s="81" t="s">
        <v>139</v>
      </c>
      <c r="F100" s="81" t="s">
        <v>140</v>
      </c>
      <c r="G100" s="81">
        <v>95060</v>
      </c>
      <c r="H100" s="81" t="s">
        <v>8</v>
      </c>
      <c r="I100" s="81" t="s">
        <v>156</v>
      </c>
      <c r="J100" s="82">
        <v>1380</v>
      </c>
      <c r="K100" s="83">
        <v>1.35</v>
      </c>
      <c r="L100" s="81" t="s">
        <v>5</v>
      </c>
      <c r="M100" s="81" t="s">
        <v>159</v>
      </c>
      <c r="N100" s="81" t="s">
        <v>153</v>
      </c>
      <c r="O100" s="76" t="s">
        <v>160</v>
      </c>
      <c r="R100" s="84">
        <v>1.35</v>
      </c>
      <c r="S100" s="81">
        <v>36.973777770996101</v>
      </c>
      <c r="T100" s="81">
        <v>-122.02630615234401</v>
      </c>
      <c r="U100" s="81" t="s">
        <v>266</v>
      </c>
    </row>
    <row r="101" spans="1:21" s="81" customFormat="1" ht="45" x14ac:dyDescent="0.25">
      <c r="A101" s="81" t="s">
        <v>415</v>
      </c>
      <c r="B101" s="81" t="s">
        <v>106</v>
      </c>
      <c r="C101" s="81">
        <v>100</v>
      </c>
      <c r="D101" s="81" t="s">
        <v>178</v>
      </c>
      <c r="E101" s="81" t="s">
        <v>139</v>
      </c>
      <c r="F101" s="81" t="s">
        <v>140</v>
      </c>
      <c r="G101" s="81">
        <v>95060</v>
      </c>
      <c r="H101" s="81" t="s">
        <v>24</v>
      </c>
      <c r="J101" s="82">
        <v>6500</v>
      </c>
      <c r="K101" s="83">
        <v>1.1000000000000001</v>
      </c>
      <c r="L101" s="81" t="s">
        <v>88</v>
      </c>
      <c r="M101" s="81" t="s">
        <v>100</v>
      </c>
      <c r="N101" s="81" t="s">
        <v>114</v>
      </c>
      <c r="O101" s="81" t="s">
        <v>101</v>
      </c>
      <c r="P101" s="81" t="s">
        <v>145</v>
      </c>
      <c r="R101" s="84">
        <f>K101</f>
        <v>1.1000000000000001</v>
      </c>
      <c r="S101" s="81">
        <v>36.988189697265597</v>
      </c>
      <c r="T101" s="81">
        <v>-122.03366851806599</v>
      </c>
      <c r="U101" s="81" t="s">
        <v>278</v>
      </c>
    </row>
    <row r="102" spans="1:21" s="81" customFormat="1" ht="45" x14ac:dyDescent="0.25">
      <c r="A102" s="81" t="s">
        <v>415</v>
      </c>
      <c r="B102" s="81" t="s">
        <v>115</v>
      </c>
      <c r="C102" s="81">
        <v>303</v>
      </c>
      <c r="D102" s="81" t="s">
        <v>176</v>
      </c>
      <c r="E102" s="81" t="s">
        <v>139</v>
      </c>
      <c r="F102" s="81" t="s">
        <v>140</v>
      </c>
      <c r="G102" s="81">
        <v>95060</v>
      </c>
      <c r="H102" s="81" t="s">
        <v>24</v>
      </c>
      <c r="J102" s="82">
        <v>0</v>
      </c>
      <c r="K102" s="83">
        <v>0.99</v>
      </c>
      <c r="L102" s="81" t="s">
        <v>5</v>
      </c>
      <c r="M102" s="81" t="s">
        <v>71</v>
      </c>
      <c r="N102" s="81" t="s">
        <v>72</v>
      </c>
      <c r="O102" s="76" t="s">
        <v>73</v>
      </c>
      <c r="P102" s="81" t="s">
        <v>423</v>
      </c>
      <c r="R102" s="84">
        <f>K102</f>
        <v>0.99</v>
      </c>
      <c r="S102" s="81">
        <v>36.981174468994098</v>
      </c>
      <c r="T102" s="81">
        <v>-122.031280517578</v>
      </c>
      <c r="U102" s="81" t="s">
        <v>270</v>
      </c>
    </row>
    <row r="103" spans="1:21" s="81" customFormat="1" ht="94.5" customHeight="1" x14ac:dyDescent="0.25">
      <c r="A103" s="81" t="s">
        <v>81</v>
      </c>
      <c r="B103" s="81" t="s">
        <v>175</v>
      </c>
      <c r="C103" s="81">
        <v>55</v>
      </c>
      <c r="D103" s="81" t="s">
        <v>175</v>
      </c>
      <c r="E103" s="81" t="s">
        <v>139</v>
      </c>
      <c r="F103" s="81" t="s">
        <v>140</v>
      </c>
      <c r="G103" s="81">
        <v>95060</v>
      </c>
      <c r="H103" s="81" t="s">
        <v>8</v>
      </c>
      <c r="I103" s="82">
        <v>230</v>
      </c>
      <c r="J103" s="82">
        <v>1600</v>
      </c>
      <c r="K103" s="83">
        <v>1.6</v>
      </c>
      <c r="L103" s="81" t="s">
        <v>5</v>
      </c>
      <c r="M103" s="81" t="s">
        <v>44</v>
      </c>
      <c r="N103" s="81" t="s">
        <v>45</v>
      </c>
      <c r="O103" s="81" t="s">
        <v>46</v>
      </c>
      <c r="P103" s="81" t="s">
        <v>127</v>
      </c>
      <c r="R103" s="84">
        <f>K103</f>
        <v>1.6</v>
      </c>
      <c r="S103" s="81">
        <v>36.976634979247997</v>
      </c>
      <c r="T103" s="81">
        <v>-122.025634765625</v>
      </c>
      <c r="U103" s="81" t="s">
        <v>268</v>
      </c>
    </row>
    <row r="104" spans="1:21" s="81" customFormat="1" ht="94.5" customHeight="1" x14ac:dyDescent="0.25">
      <c r="A104" s="81" t="s">
        <v>415</v>
      </c>
      <c r="B104" s="81" t="s">
        <v>115</v>
      </c>
      <c r="C104" s="81">
        <v>201</v>
      </c>
      <c r="D104" s="81" t="s">
        <v>177</v>
      </c>
      <c r="E104" s="81" t="s">
        <v>139</v>
      </c>
      <c r="F104" s="81" t="s">
        <v>140</v>
      </c>
      <c r="G104" s="81">
        <v>95060</v>
      </c>
      <c r="H104" s="81" t="s">
        <v>8</v>
      </c>
      <c r="I104" s="82"/>
      <c r="J104" s="82">
        <v>5628</v>
      </c>
      <c r="K104" s="83">
        <v>1.25</v>
      </c>
      <c r="L104" s="81" t="s">
        <v>5</v>
      </c>
      <c r="M104" s="81" t="s">
        <v>3</v>
      </c>
      <c r="N104" s="81" t="s">
        <v>4</v>
      </c>
      <c r="O104" s="81" t="s">
        <v>451</v>
      </c>
      <c r="P104" s="81" t="s">
        <v>452</v>
      </c>
      <c r="Q104" s="81">
        <v>0.35</v>
      </c>
      <c r="R104" s="84">
        <v>1.25</v>
      </c>
      <c r="S104" s="81">
        <v>36.978706359999997</v>
      </c>
      <c r="T104" s="81">
        <v>-122.0272751</v>
      </c>
      <c r="U104" s="81" t="s">
        <v>453</v>
      </c>
    </row>
    <row r="105" spans="1:21" s="81" customFormat="1" ht="75" x14ac:dyDescent="0.25">
      <c r="A105" s="81" t="s">
        <v>415</v>
      </c>
      <c r="B105" s="81" t="s">
        <v>115</v>
      </c>
      <c r="C105" s="81">
        <v>415</v>
      </c>
      <c r="D105" s="81" t="s">
        <v>175</v>
      </c>
      <c r="E105" s="81" t="s">
        <v>139</v>
      </c>
      <c r="F105" s="81" t="s">
        <v>140</v>
      </c>
      <c r="G105" s="81">
        <v>95060</v>
      </c>
      <c r="H105" s="81" t="s">
        <v>2</v>
      </c>
      <c r="I105" s="82" t="s">
        <v>50</v>
      </c>
      <c r="J105" s="82">
        <v>3558</v>
      </c>
      <c r="K105" s="83" t="s">
        <v>371</v>
      </c>
      <c r="M105" s="81" t="s">
        <v>71</v>
      </c>
      <c r="N105" s="81" t="s">
        <v>72</v>
      </c>
      <c r="O105" s="76" t="s">
        <v>73</v>
      </c>
      <c r="P105" s="81" t="s">
        <v>420</v>
      </c>
      <c r="R105" s="84">
        <v>0</v>
      </c>
      <c r="S105" s="81">
        <v>36.981493999999998</v>
      </c>
      <c r="T105" s="81">
        <v>-122.029691</v>
      </c>
      <c r="U105" s="81" t="s">
        <v>421</v>
      </c>
    </row>
    <row r="106" spans="1:21" s="81" customFormat="1" ht="75" x14ac:dyDescent="0.25">
      <c r="A106" s="81" t="s">
        <v>415</v>
      </c>
      <c r="B106" s="81" t="s">
        <v>115</v>
      </c>
      <c r="C106" s="81">
        <v>505</v>
      </c>
      <c r="D106" s="81" t="s">
        <v>175</v>
      </c>
      <c r="E106" s="81" t="s">
        <v>139</v>
      </c>
      <c r="F106" s="81" t="s">
        <v>140</v>
      </c>
      <c r="G106" s="81">
        <v>95060</v>
      </c>
      <c r="H106" s="81" t="s">
        <v>24</v>
      </c>
      <c r="I106" s="81" t="s">
        <v>41</v>
      </c>
      <c r="J106" s="82">
        <v>850</v>
      </c>
      <c r="K106" s="83">
        <v>1495</v>
      </c>
      <c r="M106" s="81" t="s">
        <v>0</v>
      </c>
      <c r="N106" s="81" t="s">
        <v>1</v>
      </c>
      <c r="O106" s="78" t="s">
        <v>406</v>
      </c>
      <c r="P106" s="81" t="s">
        <v>407</v>
      </c>
      <c r="R106" s="84">
        <f>K106/J106</f>
        <v>1.7588235294117647</v>
      </c>
      <c r="S106" s="81">
        <v>36.982567000000003</v>
      </c>
      <c r="T106" s="81">
        <v>-122.02986300000001</v>
      </c>
      <c r="U106" s="81" t="s">
        <v>408</v>
      </c>
    </row>
    <row r="107" spans="1:21" s="81" customFormat="1" ht="165" x14ac:dyDescent="0.25">
      <c r="A107" s="81" t="s">
        <v>415</v>
      </c>
      <c r="B107" s="81" t="s">
        <v>115</v>
      </c>
      <c r="C107" s="81">
        <v>710</v>
      </c>
      <c r="D107" s="81" t="s">
        <v>175</v>
      </c>
      <c r="E107" s="81" t="s">
        <v>139</v>
      </c>
      <c r="F107" s="81" t="s">
        <v>140</v>
      </c>
      <c r="G107" s="81">
        <v>95060</v>
      </c>
      <c r="H107" s="81" t="s">
        <v>24</v>
      </c>
      <c r="J107" s="82">
        <v>726</v>
      </c>
      <c r="K107" s="83">
        <v>2</v>
      </c>
      <c r="L107" s="81" t="s">
        <v>6</v>
      </c>
      <c r="M107" s="81" t="s">
        <v>397</v>
      </c>
      <c r="N107" s="81" t="s">
        <v>398</v>
      </c>
      <c r="O107" s="76" t="s">
        <v>399</v>
      </c>
      <c r="P107" s="81" t="s">
        <v>414</v>
      </c>
      <c r="R107" s="84">
        <v>2</v>
      </c>
      <c r="S107" s="81">
        <v>36.984310000000001</v>
      </c>
      <c r="T107" s="81">
        <v>-122.029658</v>
      </c>
      <c r="U107" s="81" t="s">
        <v>389</v>
      </c>
    </row>
    <row r="108" spans="1:21" s="81" customFormat="1" ht="30" x14ac:dyDescent="0.25">
      <c r="A108" s="81" t="s">
        <v>415</v>
      </c>
      <c r="B108" s="81" t="s">
        <v>115</v>
      </c>
      <c r="C108" s="81">
        <v>211</v>
      </c>
      <c r="D108" s="81" t="s">
        <v>177</v>
      </c>
      <c r="E108" s="81" t="s">
        <v>139</v>
      </c>
      <c r="F108" s="81" t="s">
        <v>140</v>
      </c>
      <c r="G108" s="81">
        <v>95060</v>
      </c>
      <c r="H108" s="81" t="s">
        <v>8</v>
      </c>
      <c r="I108" s="82"/>
      <c r="J108" s="82">
        <v>6000</v>
      </c>
      <c r="K108" s="83">
        <v>1.25</v>
      </c>
      <c r="L108" s="81" t="s">
        <v>5</v>
      </c>
      <c r="M108" s="81" t="s">
        <v>44</v>
      </c>
      <c r="N108" s="81" t="s">
        <v>45</v>
      </c>
      <c r="O108" s="81" t="s">
        <v>46</v>
      </c>
      <c r="P108" s="81" t="s">
        <v>310</v>
      </c>
      <c r="Q108" s="81">
        <v>0.35</v>
      </c>
      <c r="R108" s="84">
        <f>K108</f>
        <v>1.25</v>
      </c>
      <c r="S108" s="81">
        <v>36.978706359863303</v>
      </c>
      <c r="T108" s="81">
        <v>-122.02727508544901</v>
      </c>
      <c r="U108" s="81" t="s">
        <v>321</v>
      </c>
    </row>
    <row r="109" spans="1:21" s="81" customFormat="1" ht="30" x14ac:dyDescent="0.25">
      <c r="A109" s="81" t="s">
        <v>415</v>
      </c>
      <c r="B109" s="81" t="s">
        <v>115</v>
      </c>
      <c r="C109" s="81">
        <v>415</v>
      </c>
      <c r="D109" s="81" t="s">
        <v>177</v>
      </c>
      <c r="E109" s="81" t="s">
        <v>139</v>
      </c>
      <c r="F109" s="81" t="s">
        <v>312</v>
      </c>
      <c r="G109" s="81">
        <v>95060</v>
      </c>
      <c r="H109" s="81" t="s">
        <v>7</v>
      </c>
      <c r="I109" s="81" t="s">
        <v>50</v>
      </c>
      <c r="J109" s="82">
        <v>7727</v>
      </c>
      <c r="K109" s="83">
        <v>2.4900000000000002</v>
      </c>
      <c r="L109" s="81" t="s">
        <v>5</v>
      </c>
      <c r="M109" s="81" t="s">
        <v>25</v>
      </c>
      <c r="N109" s="81" t="s">
        <v>113</v>
      </c>
      <c r="O109" s="81" t="s">
        <v>17</v>
      </c>
      <c r="R109" s="84">
        <v>2.4900000000000002</v>
      </c>
      <c r="S109" s="81">
        <v>36.981571197509702</v>
      </c>
      <c r="T109" s="81">
        <v>-122.029693603515</v>
      </c>
      <c r="U109" s="81" t="s">
        <v>322</v>
      </c>
    </row>
    <row r="110" spans="1:21" s="81" customFormat="1" ht="30" x14ac:dyDescent="0.25">
      <c r="A110" s="81" t="s">
        <v>415</v>
      </c>
      <c r="B110" s="81" t="s">
        <v>115</v>
      </c>
      <c r="C110" s="81">
        <v>600</v>
      </c>
      <c r="D110" s="81" t="s">
        <v>177</v>
      </c>
      <c r="E110" s="81" t="s">
        <v>139</v>
      </c>
      <c r="F110" s="81" t="s">
        <v>140</v>
      </c>
      <c r="G110" s="81">
        <v>95060</v>
      </c>
      <c r="H110" s="81" t="s">
        <v>7</v>
      </c>
      <c r="J110" s="82">
        <v>1150</v>
      </c>
      <c r="K110" s="83">
        <v>3.25</v>
      </c>
      <c r="M110" s="81" t="s">
        <v>75</v>
      </c>
      <c r="N110" s="81" t="s">
        <v>76</v>
      </c>
      <c r="O110" s="81" t="s">
        <v>74</v>
      </c>
      <c r="R110" s="84">
        <v>3.25</v>
      </c>
      <c r="S110" s="81">
        <v>36.982784047722802</v>
      </c>
      <c r="T110" s="81">
        <v>-122.029639855027</v>
      </c>
      <c r="U110" s="81" t="s">
        <v>271</v>
      </c>
    </row>
    <row r="111" spans="1:21" s="81" customFormat="1" ht="30" x14ac:dyDescent="0.25">
      <c r="A111" s="81" t="s">
        <v>415</v>
      </c>
      <c r="B111" s="81" t="s">
        <v>115</v>
      </c>
      <c r="C111" s="81">
        <v>600</v>
      </c>
      <c r="D111" s="81" t="s">
        <v>177</v>
      </c>
      <c r="E111" s="81" t="s">
        <v>139</v>
      </c>
      <c r="F111" s="81" t="s">
        <v>140</v>
      </c>
      <c r="G111" s="81">
        <v>95060</v>
      </c>
      <c r="H111" s="81" t="s">
        <v>7</v>
      </c>
      <c r="J111" s="82">
        <v>2880</v>
      </c>
      <c r="K111" s="83">
        <v>3.25</v>
      </c>
      <c r="M111" s="81" t="s">
        <v>75</v>
      </c>
      <c r="N111" s="81" t="s">
        <v>76</v>
      </c>
      <c r="O111" s="81" t="s">
        <v>74</v>
      </c>
      <c r="P111" s="81" t="s">
        <v>194</v>
      </c>
      <c r="R111" s="84">
        <v>3.25</v>
      </c>
      <c r="S111" s="81">
        <v>36.982784047722802</v>
      </c>
      <c r="T111" s="81">
        <v>-122.029639855027</v>
      </c>
      <c r="U111" s="81" t="s">
        <v>271</v>
      </c>
    </row>
    <row r="112" spans="1:21" s="81" customFormat="1" ht="150" x14ac:dyDescent="0.25">
      <c r="A112" s="81" t="s">
        <v>415</v>
      </c>
      <c r="B112" s="81" t="s">
        <v>115</v>
      </c>
      <c r="C112" s="81">
        <v>710</v>
      </c>
      <c r="D112" s="81" t="s">
        <v>175</v>
      </c>
      <c r="E112" s="81" t="s">
        <v>139</v>
      </c>
      <c r="F112" s="81" t="s">
        <v>140</v>
      </c>
      <c r="G112" s="81">
        <v>95060</v>
      </c>
      <c r="H112" s="81" t="s">
        <v>24</v>
      </c>
      <c r="J112" s="82">
        <v>327</v>
      </c>
      <c r="K112" s="83">
        <v>2</v>
      </c>
      <c r="L112" s="81" t="s">
        <v>6</v>
      </c>
      <c r="M112" s="81" t="s">
        <v>397</v>
      </c>
      <c r="N112" s="81" t="s">
        <v>398</v>
      </c>
      <c r="O112" s="81" t="s">
        <v>399</v>
      </c>
      <c r="P112" s="81" t="s">
        <v>476</v>
      </c>
      <c r="R112" s="84">
        <v>2</v>
      </c>
      <c r="S112" s="81">
        <v>36.984310000000001</v>
      </c>
      <c r="T112" s="81">
        <v>-122.029658</v>
      </c>
      <c r="U112" s="81" t="s">
        <v>389</v>
      </c>
    </row>
    <row r="113" spans="1:21" s="81" customFormat="1" ht="30" x14ac:dyDescent="0.25">
      <c r="A113" s="81" t="s">
        <v>82</v>
      </c>
      <c r="B113" s="81" t="s">
        <v>115</v>
      </c>
      <c r="C113" s="81">
        <v>1319</v>
      </c>
      <c r="D113" s="81" t="s">
        <v>177</v>
      </c>
      <c r="E113" s="81" t="s">
        <v>139</v>
      </c>
      <c r="F113" s="81" t="s">
        <v>312</v>
      </c>
      <c r="G113" s="81">
        <v>95060</v>
      </c>
      <c r="H113" s="81" t="s">
        <v>84</v>
      </c>
      <c r="J113" s="82">
        <v>1500</v>
      </c>
      <c r="K113" s="83">
        <v>1.25</v>
      </c>
      <c r="L113" s="81" t="s">
        <v>6</v>
      </c>
      <c r="M113" s="81" t="s">
        <v>44</v>
      </c>
      <c r="N113" s="81" t="s">
        <v>45</v>
      </c>
      <c r="O113" s="81" t="s">
        <v>346</v>
      </c>
      <c r="P113" s="81" t="s">
        <v>347</v>
      </c>
      <c r="R113" s="84">
        <v>1.25</v>
      </c>
      <c r="S113" s="81">
        <v>36.991219000000001</v>
      </c>
      <c r="T113" s="81">
        <v>-122.032591</v>
      </c>
      <c r="U113" s="81" t="s">
        <v>393</v>
      </c>
    </row>
    <row r="114" spans="1:21" s="81" customFormat="1" ht="30" x14ac:dyDescent="0.25">
      <c r="A114" s="81" t="s">
        <v>82</v>
      </c>
      <c r="B114" s="81" t="s">
        <v>115</v>
      </c>
      <c r="C114" s="81">
        <v>1321</v>
      </c>
      <c r="D114" s="81" t="s">
        <v>177</v>
      </c>
      <c r="E114" s="81" t="s">
        <v>139</v>
      </c>
      <c r="F114" s="81" t="s">
        <v>312</v>
      </c>
      <c r="G114" s="81">
        <v>95060</v>
      </c>
      <c r="H114" s="81" t="s">
        <v>84</v>
      </c>
      <c r="J114" s="82">
        <v>1500</v>
      </c>
      <c r="K114" s="83">
        <v>1.25</v>
      </c>
      <c r="L114" s="81" t="s">
        <v>6</v>
      </c>
      <c r="M114" s="81" t="s">
        <v>44</v>
      </c>
      <c r="N114" s="81" t="s">
        <v>45</v>
      </c>
      <c r="O114" s="81" t="s">
        <v>346</v>
      </c>
      <c r="P114" s="81" t="s">
        <v>347</v>
      </c>
      <c r="R114" s="84">
        <v>1.25</v>
      </c>
      <c r="S114" s="81">
        <v>36.991059</v>
      </c>
      <c r="T114" s="81">
        <v>-122.03300400000001</v>
      </c>
      <c r="U114" s="81" t="s">
        <v>394</v>
      </c>
    </row>
    <row r="115" spans="1:21" s="81" customFormat="1" ht="30" x14ac:dyDescent="0.25">
      <c r="A115" s="81" t="s">
        <v>82</v>
      </c>
      <c r="B115" s="81" t="s">
        <v>115</v>
      </c>
      <c r="C115" s="81">
        <v>1323</v>
      </c>
      <c r="D115" s="81" t="s">
        <v>177</v>
      </c>
      <c r="E115" s="81" t="s">
        <v>139</v>
      </c>
      <c r="F115" s="81" t="s">
        <v>312</v>
      </c>
      <c r="G115" s="81">
        <v>95060</v>
      </c>
      <c r="H115" s="81" t="s">
        <v>84</v>
      </c>
      <c r="J115" s="82">
        <v>1500</v>
      </c>
      <c r="K115" s="83">
        <v>1.25</v>
      </c>
      <c r="L115" s="81" t="s">
        <v>6</v>
      </c>
      <c r="M115" s="81" t="s">
        <v>44</v>
      </c>
      <c r="N115" s="81" t="s">
        <v>45</v>
      </c>
      <c r="O115" s="81" t="s">
        <v>346</v>
      </c>
      <c r="P115" s="81" t="s">
        <v>347</v>
      </c>
      <c r="R115" s="84">
        <v>1.25</v>
      </c>
      <c r="S115" s="81">
        <v>36.991301999999997</v>
      </c>
      <c r="T115" s="81">
        <v>-122.032663</v>
      </c>
      <c r="U115" s="81" t="s">
        <v>395</v>
      </c>
    </row>
    <row r="116" spans="1:21" s="81" customFormat="1" ht="105" x14ac:dyDescent="0.25">
      <c r="A116" s="81" t="s">
        <v>415</v>
      </c>
      <c r="B116" s="81" t="s">
        <v>115</v>
      </c>
      <c r="C116" s="81">
        <v>500</v>
      </c>
      <c r="D116" s="81" t="s">
        <v>186</v>
      </c>
      <c r="E116" s="81" t="s">
        <v>139</v>
      </c>
      <c r="F116" s="81" t="s">
        <v>140</v>
      </c>
      <c r="G116" s="81">
        <v>95062</v>
      </c>
      <c r="H116" s="81" t="s">
        <v>24</v>
      </c>
      <c r="I116" s="81">
        <v>105</v>
      </c>
      <c r="J116" s="82">
        <v>2497</v>
      </c>
      <c r="K116" s="83">
        <v>1.35</v>
      </c>
      <c r="L116" s="81" t="s">
        <v>88</v>
      </c>
      <c r="M116" s="81" t="s">
        <v>26</v>
      </c>
      <c r="N116" s="81" t="s">
        <v>377</v>
      </c>
      <c r="O116" s="81" t="s">
        <v>376</v>
      </c>
      <c r="P116" s="81" t="s">
        <v>430</v>
      </c>
      <c r="R116" s="84">
        <f>K116</f>
        <v>1.35</v>
      </c>
      <c r="S116" s="81">
        <v>36.967067718505803</v>
      </c>
      <c r="T116" s="81">
        <v>-122.00749969482401</v>
      </c>
      <c r="U116" s="81" t="s">
        <v>282</v>
      </c>
    </row>
    <row r="117" spans="1:21" s="81" customFormat="1" ht="45" x14ac:dyDescent="0.25">
      <c r="A117" s="81" t="s">
        <v>415</v>
      </c>
      <c r="B117" s="81" t="s">
        <v>115</v>
      </c>
      <c r="C117" s="81">
        <v>1726</v>
      </c>
      <c r="D117" s="81" t="s">
        <v>186</v>
      </c>
      <c r="E117" s="81" t="s">
        <v>139</v>
      </c>
      <c r="F117" s="81" t="s">
        <v>140</v>
      </c>
      <c r="G117" s="81">
        <v>95062</v>
      </c>
      <c r="H117" s="81" t="s">
        <v>24</v>
      </c>
      <c r="J117" s="82">
        <v>1360</v>
      </c>
      <c r="K117" s="83">
        <v>2750</v>
      </c>
      <c r="L117" s="81" t="s">
        <v>6</v>
      </c>
      <c r="M117" s="81" t="s">
        <v>410</v>
      </c>
      <c r="N117" s="81" t="s">
        <v>411</v>
      </c>
      <c r="O117" s="81" t="s">
        <v>223</v>
      </c>
      <c r="P117" s="81" t="s">
        <v>412</v>
      </c>
      <c r="R117" s="84">
        <f>K117/J117</f>
        <v>2.0220588235294117</v>
      </c>
      <c r="S117" s="81">
        <v>36.980705</v>
      </c>
      <c r="T117" s="81">
        <v>-122.010445</v>
      </c>
      <c r="U117" s="81" t="s">
        <v>413</v>
      </c>
    </row>
    <row r="118" spans="1:21" s="81" customFormat="1" ht="45" x14ac:dyDescent="0.25">
      <c r="A118" s="81" t="s">
        <v>82</v>
      </c>
      <c r="B118" s="81" t="s">
        <v>83</v>
      </c>
      <c r="C118" s="81">
        <v>1201</v>
      </c>
      <c r="D118" s="81" t="s">
        <v>192</v>
      </c>
      <c r="E118" s="81" t="s">
        <v>139</v>
      </c>
      <c r="F118" s="81" t="s">
        <v>140</v>
      </c>
      <c r="G118" s="81">
        <v>95060</v>
      </c>
      <c r="H118" s="81" t="s">
        <v>85</v>
      </c>
      <c r="J118" s="82">
        <v>4099</v>
      </c>
      <c r="K118" s="83">
        <v>0.8</v>
      </c>
      <c r="L118" s="81" t="s">
        <v>88</v>
      </c>
      <c r="M118" s="81" t="s">
        <v>31</v>
      </c>
      <c r="N118" s="81" t="s">
        <v>32</v>
      </c>
      <c r="O118" s="81" t="s">
        <v>313</v>
      </c>
      <c r="P118" s="81" t="s">
        <v>472</v>
      </c>
      <c r="R118" s="84">
        <v>0.8</v>
      </c>
      <c r="S118" s="81">
        <v>36.95854568</v>
      </c>
      <c r="T118" s="81">
        <v>-122.06385040000001</v>
      </c>
      <c r="U118" s="81" t="s">
        <v>305</v>
      </c>
    </row>
    <row r="119" spans="1:21" s="81" customFormat="1" ht="45" x14ac:dyDescent="0.25">
      <c r="A119" s="81" t="s">
        <v>415</v>
      </c>
      <c r="B119" s="81" t="s">
        <v>115</v>
      </c>
      <c r="C119" s="81">
        <v>305</v>
      </c>
      <c r="D119" s="81" t="s">
        <v>185</v>
      </c>
      <c r="E119" s="81" t="s">
        <v>139</v>
      </c>
      <c r="F119" s="81" t="s">
        <v>140</v>
      </c>
      <c r="G119" s="81">
        <v>95060</v>
      </c>
      <c r="H119" s="81" t="s">
        <v>24</v>
      </c>
      <c r="I119" s="81" t="s">
        <v>52</v>
      </c>
      <c r="J119" s="82">
        <v>670</v>
      </c>
      <c r="K119" s="83">
        <v>1100</v>
      </c>
      <c r="L119" s="81" t="s">
        <v>6</v>
      </c>
      <c r="M119" s="81" t="s">
        <v>35</v>
      </c>
      <c r="N119" s="81" t="s">
        <v>36</v>
      </c>
      <c r="O119" s="81" t="s">
        <v>37</v>
      </c>
      <c r="P119" s="81" t="s">
        <v>123</v>
      </c>
      <c r="R119" s="84">
        <f>K119/J119</f>
        <v>1.6417910447761195</v>
      </c>
      <c r="S119" s="81">
        <v>36.9740138947963</v>
      </c>
      <c r="T119" s="81">
        <v>-122.021104395389</v>
      </c>
      <c r="U119" s="81" t="s">
        <v>283</v>
      </c>
    </row>
    <row r="120" spans="1:21" s="81" customFormat="1" ht="45" x14ac:dyDescent="0.25">
      <c r="A120" s="81" t="s">
        <v>415</v>
      </c>
      <c r="B120" s="81" t="s">
        <v>115</v>
      </c>
      <c r="C120" s="81">
        <v>345</v>
      </c>
      <c r="D120" s="81" t="s">
        <v>185</v>
      </c>
      <c r="E120" s="81" t="s">
        <v>139</v>
      </c>
      <c r="F120" s="81" t="s">
        <v>140</v>
      </c>
      <c r="G120" s="81">
        <v>95062</v>
      </c>
      <c r="H120" s="81" t="s">
        <v>7</v>
      </c>
      <c r="J120" s="82">
        <v>1050</v>
      </c>
      <c r="K120" s="83"/>
      <c r="M120" s="81" t="s">
        <v>226</v>
      </c>
      <c r="N120" s="81" t="s">
        <v>227</v>
      </c>
      <c r="O120" s="81" t="s">
        <v>228</v>
      </c>
      <c r="R120" s="84">
        <v>0</v>
      </c>
      <c r="S120" s="81">
        <v>36.974405497312503</v>
      </c>
      <c r="T120" s="81">
        <v>-122.019561454653</v>
      </c>
      <c r="U120" s="81" t="s">
        <v>284</v>
      </c>
    </row>
    <row r="121" spans="1:21" s="81" customFormat="1" ht="107.25" customHeight="1" x14ac:dyDescent="0.25">
      <c r="A121" s="81" t="s">
        <v>415</v>
      </c>
      <c r="B121" s="81" t="s">
        <v>115</v>
      </c>
      <c r="C121" s="81">
        <v>1414</v>
      </c>
      <c r="D121" s="81" t="s">
        <v>185</v>
      </c>
      <c r="E121" s="81" t="s">
        <v>139</v>
      </c>
      <c r="F121" s="81" t="s">
        <v>140</v>
      </c>
      <c r="G121" s="81">
        <v>95062</v>
      </c>
      <c r="H121" s="81" t="s">
        <v>24</v>
      </c>
      <c r="I121" s="81">
        <v>105</v>
      </c>
      <c r="J121" s="82">
        <v>1586</v>
      </c>
      <c r="K121" s="83">
        <v>3200</v>
      </c>
      <c r="L121" s="81" t="s">
        <v>6</v>
      </c>
      <c r="M121" s="81" t="s">
        <v>124</v>
      </c>
      <c r="N121" s="81" t="s">
        <v>125</v>
      </c>
      <c r="O121" s="81" t="s">
        <v>232</v>
      </c>
      <c r="R121" s="84">
        <f t="shared" ref="R121:R126" si="3">K121/J121</f>
        <v>2.0176544766708702</v>
      </c>
      <c r="S121" s="81">
        <v>36.980815887451101</v>
      </c>
      <c r="T121" s="81">
        <v>-122.005744934082</v>
      </c>
      <c r="U121" s="81" t="s">
        <v>285</v>
      </c>
    </row>
    <row r="122" spans="1:21" s="81" customFormat="1" ht="45" x14ac:dyDescent="0.25">
      <c r="A122" s="81" t="s">
        <v>415</v>
      </c>
      <c r="B122" s="81" t="s">
        <v>115</v>
      </c>
      <c r="C122" s="81">
        <v>1414</v>
      </c>
      <c r="D122" s="81" t="s">
        <v>185</v>
      </c>
      <c r="E122" s="81" t="s">
        <v>139</v>
      </c>
      <c r="F122" s="81" t="s">
        <v>140</v>
      </c>
      <c r="G122" s="81">
        <v>95062</v>
      </c>
      <c r="H122" s="81" t="s">
        <v>24</v>
      </c>
      <c r="I122" s="81">
        <v>211</v>
      </c>
      <c r="J122" s="82">
        <v>1366</v>
      </c>
      <c r="K122" s="83">
        <v>2730</v>
      </c>
      <c r="L122" s="81" t="s">
        <v>6</v>
      </c>
      <c r="M122" s="81" t="s">
        <v>124</v>
      </c>
      <c r="N122" s="81" t="s">
        <v>125</v>
      </c>
      <c r="O122" s="81" t="s">
        <v>232</v>
      </c>
      <c r="R122" s="84">
        <f t="shared" si="3"/>
        <v>1.9985358711566619</v>
      </c>
      <c r="S122" s="81">
        <v>36.980815887451101</v>
      </c>
      <c r="T122" s="81">
        <v>-122.005744934082</v>
      </c>
      <c r="U122" s="81" t="s">
        <v>285</v>
      </c>
    </row>
    <row r="123" spans="1:21" s="81" customFormat="1" ht="45" x14ac:dyDescent="0.25">
      <c r="A123" s="81" t="s">
        <v>415</v>
      </c>
      <c r="B123" s="81" t="s">
        <v>115</v>
      </c>
      <c r="C123" s="81">
        <v>1414</v>
      </c>
      <c r="D123" s="81" t="s">
        <v>185</v>
      </c>
      <c r="E123" s="81" t="s">
        <v>139</v>
      </c>
      <c r="F123" s="81" t="s">
        <v>140</v>
      </c>
      <c r="G123" s="81">
        <v>95062</v>
      </c>
      <c r="H123" s="81" t="s">
        <v>24</v>
      </c>
      <c r="I123" s="81">
        <v>214</v>
      </c>
      <c r="J123" s="82">
        <v>422</v>
      </c>
      <c r="K123" s="83">
        <v>850</v>
      </c>
      <c r="L123" s="81" t="s">
        <v>6</v>
      </c>
      <c r="M123" s="81" t="s">
        <v>124</v>
      </c>
      <c r="N123" s="81" t="s">
        <v>125</v>
      </c>
      <c r="O123" s="81" t="s">
        <v>232</v>
      </c>
      <c r="R123" s="84">
        <f t="shared" si="3"/>
        <v>2.014218009478673</v>
      </c>
      <c r="S123" s="81">
        <v>36.9808158874512</v>
      </c>
      <c r="T123" s="81">
        <v>-122.005744934082</v>
      </c>
      <c r="U123" s="81" t="s">
        <v>285</v>
      </c>
    </row>
    <row r="124" spans="1:21" s="81" customFormat="1" ht="45" x14ac:dyDescent="0.25">
      <c r="A124" s="81" t="s">
        <v>415</v>
      </c>
      <c r="B124" s="81" t="s">
        <v>115</v>
      </c>
      <c r="C124" s="81">
        <v>1414</v>
      </c>
      <c r="D124" s="81" t="s">
        <v>185</v>
      </c>
      <c r="E124" s="81" t="s">
        <v>139</v>
      </c>
      <c r="F124" s="81" t="s">
        <v>140</v>
      </c>
      <c r="G124" s="81">
        <v>95062</v>
      </c>
      <c r="H124" s="81" t="s">
        <v>24</v>
      </c>
      <c r="I124" s="81">
        <v>218</v>
      </c>
      <c r="J124" s="82">
        <v>142</v>
      </c>
      <c r="K124" s="83">
        <v>375</v>
      </c>
      <c r="L124" s="81" t="s">
        <v>162</v>
      </c>
      <c r="M124" s="81" t="s">
        <v>124</v>
      </c>
      <c r="N124" s="81" t="s">
        <v>125</v>
      </c>
      <c r="O124" s="81" t="s">
        <v>232</v>
      </c>
      <c r="P124" s="81" t="s">
        <v>466</v>
      </c>
      <c r="R124" s="84">
        <v>2.64</v>
      </c>
      <c r="S124" s="81">
        <v>36.980815890000002</v>
      </c>
      <c r="T124" s="81">
        <v>-122.0057449</v>
      </c>
      <c r="U124" s="81" t="s">
        <v>285</v>
      </c>
    </row>
    <row r="125" spans="1:21" s="81" customFormat="1" ht="45" x14ac:dyDescent="0.25">
      <c r="A125" s="81" t="s">
        <v>415</v>
      </c>
      <c r="B125" s="81" t="s">
        <v>115</v>
      </c>
      <c r="C125" s="81">
        <v>1414</v>
      </c>
      <c r="D125" s="81" t="s">
        <v>185</v>
      </c>
      <c r="E125" s="81" t="s">
        <v>139</v>
      </c>
      <c r="F125" s="81" t="s">
        <v>140</v>
      </c>
      <c r="G125" s="81">
        <v>95062</v>
      </c>
      <c r="H125" s="81" t="s">
        <v>24</v>
      </c>
      <c r="I125" s="81">
        <v>228</v>
      </c>
      <c r="J125" s="82">
        <v>175</v>
      </c>
      <c r="K125" s="83">
        <v>425</v>
      </c>
      <c r="L125" s="81" t="s">
        <v>162</v>
      </c>
      <c r="M125" s="81" t="s">
        <v>124</v>
      </c>
      <c r="N125" s="81" t="s">
        <v>125</v>
      </c>
      <c r="O125" s="81" t="s">
        <v>232</v>
      </c>
      <c r="P125" s="81" t="s">
        <v>402</v>
      </c>
      <c r="R125" s="84">
        <f t="shared" si="3"/>
        <v>2.4285714285714284</v>
      </c>
      <c r="S125" s="81">
        <v>36.9808158874512</v>
      </c>
      <c r="T125" s="81">
        <v>-122.005744934082</v>
      </c>
      <c r="U125" s="81" t="s">
        <v>285</v>
      </c>
    </row>
    <row r="126" spans="1:21" s="81" customFormat="1" ht="150" x14ac:dyDescent="0.25">
      <c r="A126" s="81" t="s">
        <v>415</v>
      </c>
      <c r="B126" s="81" t="s">
        <v>115</v>
      </c>
      <c r="C126" s="81">
        <v>1800</v>
      </c>
      <c r="D126" s="81" t="s">
        <v>185</v>
      </c>
      <c r="E126" s="81" t="s">
        <v>139</v>
      </c>
      <c r="F126" s="81" t="s">
        <v>140</v>
      </c>
      <c r="G126" s="81">
        <v>95062</v>
      </c>
      <c r="H126" s="81" t="s">
        <v>24</v>
      </c>
      <c r="J126" s="82">
        <v>7600</v>
      </c>
      <c r="K126" s="83">
        <v>0</v>
      </c>
      <c r="M126" s="81" t="s">
        <v>345</v>
      </c>
      <c r="N126" s="81" t="s">
        <v>93</v>
      </c>
      <c r="O126" s="81" t="s">
        <v>9</v>
      </c>
      <c r="P126" s="81" t="s">
        <v>424</v>
      </c>
      <c r="R126" s="84">
        <f t="shared" si="3"/>
        <v>0</v>
      </c>
      <c r="S126" s="81">
        <v>36.981107999999999</v>
      </c>
      <c r="T126" s="81">
        <v>-122.001496</v>
      </c>
      <c r="U126" s="81" t="s">
        <v>425</v>
      </c>
    </row>
    <row r="127" spans="1:21" s="81" customFormat="1" ht="30" x14ac:dyDescent="0.25">
      <c r="A127" s="81" t="s">
        <v>82</v>
      </c>
      <c r="B127" s="81" t="s">
        <v>83</v>
      </c>
      <c r="C127" s="81">
        <v>511</v>
      </c>
      <c r="D127" s="81" t="s">
        <v>190</v>
      </c>
      <c r="E127" s="81" t="s">
        <v>139</v>
      </c>
      <c r="F127" s="81" t="s">
        <v>140</v>
      </c>
      <c r="G127" s="81">
        <v>95060</v>
      </c>
      <c r="H127" s="81" t="s">
        <v>51</v>
      </c>
      <c r="J127" s="82">
        <v>1425</v>
      </c>
      <c r="K127" s="83">
        <v>1800</v>
      </c>
      <c r="L127" s="81" t="s">
        <v>5</v>
      </c>
      <c r="M127" s="81" t="s">
        <v>103</v>
      </c>
      <c r="N127" s="81" t="s">
        <v>104</v>
      </c>
      <c r="O127" s="76" t="s">
        <v>105</v>
      </c>
      <c r="P127" s="81" t="s">
        <v>91</v>
      </c>
      <c r="R127" s="84">
        <f>K127/J127</f>
        <v>1.263157894736842</v>
      </c>
      <c r="S127" s="81">
        <v>36.956935882568402</v>
      </c>
      <c r="T127" s="81">
        <v>-122.049362182617</v>
      </c>
      <c r="U127" s="81" t="s">
        <v>304</v>
      </c>
    </row>
    <row r="128" spans="1:21" s="81" customFormat="1" ht="60" x14ac:dyDescent="0.25">
      <c r="A128" s="81" t="s">
        <v>82</v>
      </c>
      <c r="B128" s="81" t="s">
        <v>83</v>
      </c>
      <c r="C128" s="81">
        <v>820</v>
      </c>
      <c r="D128" s="81" t="s">
        <v>190</v>
      </c>
      <c r="E128" s="81" t="s">
        <v>139</v>
      </c>
      <c r="F128" s="81" t="s">
        <v>140</v>
      </c>
      <c r="G128" s="81">
        <v>95060</v>
      </c>
      <c r="H128" s="81" t="s">
        <v>82</v>
      </c>
      <c r="J128" s="82">
        <v>4000</v>
      </c>
      <c r="K128" s="83">
        <v>0.9</v>
      </c>
      <c r="M128" s="81" t="s">
        <v>378</v>
      </c>
      <c r="N128" s="81" t="s">
        <v>243</v>
      </c>
      <c r="O128" s="76" t="s">
        <v>94</v>
      </c>
      <c r="P128" s="81" t="s">
        <v>379</v>
      </c>
      <c r="R128" s="84">
        <v>0.9</v>
      </c>
      <c r="S128" s="81">
        <v>36.959769000000001</v>
      </c>
      <c r="T128" s="81">
        <v>-122.048873</v>
      </c>
      <c r="U128" s="81" t="s">
        <v>396</v>
      </c>
    </row>
    <row r="129" spans="1:21" s="81" customFormat="1" ht="45" x14ac:dyDescent="0.25">
      <c r="A129" s="81" t="s">
        <v>81</v>
      </c>
      <c r="B129" s="81" t="s">
        <v>47</v>
      </c>
      <c r="C129" s="81">
        <v>150</v>
      </c>
      <c r="D129" s="81" t="s">
        <v>171</v>
      </c>
      <c r="E129" s="81" t="s">
        <v>139</v>
      </c>
      <c r="F129" s="81" t="s">
        <v>140</v>
      </c>
      <c r="G129" s="81">
        <v>95060</v>
      </c>
      <c r="H129" s="81" t="s">
        <v>24</v>
      </c>
      <c r="I129" s="81" t="s">
        <v>367</v>
      </c>
      <c r="J129" s="82">
        <v>750</v>
      </c>
      <c r="K129" s="83">
        <v>1400</v>
      </c>
      <c r="L129" s="81" t="s">
        <v>6</v>
      </c>
      <c r="M129" s="81" t="s">
        <v>58</v>
      </c>
      <c r="N129" s="81" t="s">
        <v>59</v>
      </c>
      <c r="O129" s="76" t="s">
        <v>60</v>
      </c>
      <c r="R129" s="84">
        <v>1.87</v>
      </c>
      <c r="S129" s="81">
        <v>36.973145000000002</v>
      </c>
      <c r="T129" s="81">
        <v>-122.02803299999999</v>
      </c>
      <c r="U129" s="81" t="s">
        <v>388</v>
      </c>
    </row>
    <row r="130" spans="1:21" s="81" customFormat="1" ht="45" x14ac:dyDescent="0.25">
      <c r="A130" s="81" t="s">
        <v>81</v>
      </c>
      <c r="B130" s="81" t="s">
        <v>47</v>
      </c>
      <c r="C130" s="81">
        <v>175</v>
      </c>
      <c r="D130" s="81" t="s">
        <v>171</v>
      </c>
      <c r="E130" s="81" t="s">
        <v>139</v>
      </c>
      <c r="F130" s="81" t="s">
        <v>140</v>
      </c>
      <c r="G130" s="81">
        <v>95060</v>
      </c>
      <c r="H130" s="81" t="s">
        <v>24</v>
      </c>
      <c r="I130" s="81" t="s">
        <v>56</v>
      </c>
      <c r="J130" s="82">
        <v>1900</v>
      </c>
      <c r="K130" s="83">
        <v>1.25</v>
      </c>
      <c r="L130" s="81" t="s">
        <v>6</v>
      </c>
      <c r="M130" s="81" t="s">
        <v>77</v>
      </c>
      <c r="N130" s="81" t="s">
        <v>78</v>
      </c>
      <c r="O130" s="76" t="s">
        <v>224</v>
      </c>
      <c r="R130" s="84">
        <f t="shared" ref="R130:R136" si="4">K130</f>
        <v>1.25</v>
      </c>
      <c r="S130" s="81">
        <v>36.972885131835902</v>
      </c>
      <c r="T130" s="81">
        <v>-122.02792358398401</v>
      </c>
      <c r="U130" s="81" t="s">
        <v>254</v>
      </c>
    </row>
    <row r="131" spans="1:21" s="81" customFormat="1" ht="45" x14ac:dyDescent="0.25">
      <c r="A131" s="81" t="s">
        <v>81</v>
      </c>
      <c r="B131" s="81" t="s">
        <v>47</v>
      </c>
      <c r="C131" s="81">
        <v>175</v>
      </c>
      <c r="D131" s="81" t="s">
        <v>171</v>
      </c>
      <c r="E131" s="81" t="s">
        <v>139</v>
      </c>
      <c r="F131" s="81" t="s">
        <v>140</v>
      </c>
      <c r="G131" s="81">
        <v>95060</v>
      </c>
      <c r="H131" s="81" t="s">
        <v>24</v>
      </c>
      <c r="I131" s="81" t="s">
        <v>57</v>
      </c>
      <c r="J131" s="82">
        <v>1400</v>
      </c>
      <c r="K131" s="83">
        <v>1.25</v>
      </c>
      <c r="L131" s="81" t="s">
        <v>6</v>
      </c>
      <c r="M131" s="81" t="s">
        <v>77</v>
      </c>
      <c r="N131" s="81" t="s">
        <v>78</v>
      </c>
      <c r="O131" s="76" t="s">
        <v>224</v>
      </c>
      <c r="P131" s="81" t="s">
        <v>404</v>
      </c>
      <c r="R131" s="84">
        <f t="shared" si="4"/>
        <v>1.25</v>
      </c>
      <c r="S131" s="81">
        <v>36.972885131835902</v>
      </c>
      <c r="T131" s="81">
        <v>-122.02792358398401</v>
      </c>
      <c r="U131" s="81" t="s">
        <v>254</v>
      </c>
    </row>
    <row r="132" spans="1:21" s="81" customFormat="1" ht="45" x14ac:dyDescent="0.25">
      <c r="A132" s="81" t="s">
        <v>81</v>
      </c>
      <c r="B132" s="81" t="s">
        <v>47</v>
      </c>
      <c r="C132" s="81">
        <v>189</v>
      </c>
      <c r="D132" s="81" t="s">
        <v>171</v>
      </c>
      <c r="E132" s="81" t="s">
        <v>139</v>
      </c>
      <c r="F132" s="81" t="s">
        <v>140</v>
      </c>
      <c r="G132" s="81">
        <v>95060</v>
      </c>
      <c r="H132" s="81" t="s">
        <v>51</v>
      </c>
      <c r="I132" s="81" t="s">
        <v>229</v>
      </c>
      <c r="J132" s="82">
        <v>5270</v>
      </c>
      <c r="K132" s="83">
        <v>1.38</v>
      </c>
      <c r="L132" s="81" t="s">
        <v>6</v>
      </c>
      <c r="M132" s="81" t="s">
        <v>77</v>
      </c>
      <c r="N132" s="81" t="s">
        <v>78</v>
      </c>
      <c r="O132" s="76" t="s">
        <v>224</v>
      </c>
      <c r="P132" s="81" t="s">
        <v>404</v>
      </c>
      <c r="R132" s="84">
        <f t="shared" si="4"/>
        <v>1.38</v>
      </c>
      <c r="S132" s="81">
        <v>36.973083168268197</v>
      </c>
      <c r="T132" s="81">
        <v>-122.028014436364</v>
      </c>
      <c r="U132" s="81" t="s">
        <v>255</v>
      </c>
    </row>
    <row r="133" spans="1:21" s="81" customFormat="1" ht="45" x14ac:dyDescent="0.25">
      <c r="A133" s="81" t="s">
        <v>415</v>
      </c>
      <c r="B133" s="81" t="s">
        <v>115</v>
      </c>
      <c r="C133" s="81">
        <v>200</v>
      </c>
      <c r="D133" s="81" t="s">
        <v>172</v>
      </c>
      <c r="E133" s="81" t="s">
        <v>139</v>
      </c>
      <c r="F133" s="81" t="s">
        <v>140</v>
      </c>
      <c r="G133" s="81">
        <v>95060</v>
      </c>
      <c r="H133" s="81" t="s">
        <v>8</v>
      </c>
      <c r="I133" s="81">
        <v>201</v>
      </c>
      <c r="J133" s="82">
        <v>820</v>
      </c>
      <c r="K133" s="83">
        <v>1.45</v>
      </c>
      <c r="L133" s="81" t="s">
        <v>5</v>
      </c>
      <c r="M133" s="81" t="s">
        <v>65</v>
      </c>
      <c r="N133" s="81" t="s">
        <v>200</v>
      </c>
      <c r="O133" s="76" t="s">
        <v>66</v>
      </c>
      <c r="R133" s="84">
        <f t="shared" si="4"/>
        <v>1.45</v>
      </c>
      <c r="S133" s="81">
        <v>36.966487884521399</v>
      </c>
      <c r="T133" s="81">
        <v>-122.02743530273401</v>
      </c>
      <c r="U133" s="81" t="s">
        <v>256</v>
      </c>
    </row>
    <row r="134" spans="1:21" s="81" customFormat="1" ht="45" x14ac:dyDescent="0.25">
      <c r="A134" s="81" t="s">
        <v>81</v>
      </c>
      <c r="B134" s="81" t="s">
        <v>47</v>
      </c>
      <c r="C134" s="81">
        <v>125</v>
      </c>
      <c r="D134" s="81" t="s">
        <v>170</v>
      </c>
      <c r="E134" s="81" t="s">
        <v>139</v>
      </c>
      <c r="F134" s="81" t="s">
        <v>140</v>
      </c>
      <c r="G134" s="81">
        <v>95060</v>
      </c>
      <c r="H134" s="81" t="s">
        <v>8</v>
      </c>
      <c r="I134" s="81" t="s">
        <v>53</v>
      </c>
      <c r="J134" s="82">
        <v>2252</v>
      </c>
      <c r="K134" s="83">
        <v>1.8</v>
      </c>
      <c r="L134" s="81" t="s">
        <v>10</v>
      </c>
      <c r="M134" s="81" t="s">
        <v>308</v>
      </c>
      <c r="N134" s="81" t="s">
        <v>93</v>
      </c>
      <c r="O134" s="78" t="s">
        <v>309</v>
      </c>
      <c r="R134" s="84">
        <f t="shared" si="4"/>
        <v>1.8</v>
      </c>
      <c r="S134" s="81">
        <v>36.977577209472699</v>
      </c>
      <c r="T134" s="81">
        <v>-122.026313781738</v>
      </c>
      <c r="U134" s="81" t="s">
        <v>257</v>
      </c>
    </row>
    <row r="135" spans="1:21" s="81" customFormat="1" ht="45" x14ac:dyDescent="0.25">
      <c r="A135" s="81" t="s">
        <v>81</v>
      </c>
      <c r="B135" s="81" t="s">
        <v>47</v>
      </c>
      <c r="C135" s="81">
        <v>125</v>
      </c>
      <c r="D135" s="81" t="s">
        <v>170</v>
      </c>
      <c r="E135" s="81" t="s">
        <v>139</v>
      </c>
      <c r="F135" s="81" t="s">
        <v>140</v>
      </c>
      <c r="G135" s="81">
        <v>95060</v>
      </c>
      <c r="H135" s="81" t="s">
        <v>8</v>
      </c>
      <c r="I135" s="81" t="s">
        <v>54</v>
      </c>
      <c r="J135" s="82">
        <v>1286</v>
      </c>
      <c r="K135" s="83">
        <v>1.8</v>
      </c>
      <c r="L135" s="81" t="s">
        <v>6</v>
      </c>
      <c r="M135" s="81" t="s">
        <v>308</v>
      </c>
      <c r="N135" s="81" t="s">
        <v>93</v>
      </c>
      <c r="O135" s="78" t="s">
        <v>309</v>
      </c>
      <c r="R135" s="84">
        <f t="shared" si="4"/>
        <v>1.8</v>
      </c>
      <c r="S135" s="81">
        <v>36.977577209472699</v>
      </c>
      <c r="T135" s="81">
        <v>-122.026313781738</v>
      </c>
      <c r="U135" s="81" t="s">
        <v>257</v>
      </c>
    </row>
    <row r="136" spans="1:21" s="81" customFormat="1" ht="45" x14ac:dyDescent="0.25">
      <c r="A136" s="81" t="s">
        <v>81</v>
      </c>
      <c r="B136" s="81" t="s">
        <v>47</v>
      </c>
      <c r="C136" s="81">
        <v>125</v>
      </c>
      <c r="D136" s="81" t="s">
        <v>170</v>
      </c>
      <c r="E136" s="81" t="s">
        <v>139</v>
      </c>
      <c r="F136" s="81" t="s">
        <v>140</v>
      </c>
      <c r="G136" s="81">
        <v>95060</v>
      </c>
      <c r="H136" s="81" t="s">
        <v>24</v>
      </c>
      <c r="I136" s="81" t="s">
        <v>55</v>
      </c>
      <c r="J136" s="82">
        <v>2215</v>
      </c>
      <c r="K136" s="83">
        <v>1.8</v>
      </c>
      <c r="L136" s="81" t="s">
        <v>10</v>
      </c>
      <c r="M136" s="81" t="s">
        <v>308</v>
      </c>
      <c r="N136" s="81" t="s">
        <v>93</v>
      </c>
      <c r="O136" s="78" t="s">
        <v>309</v>
      </c>
      <c r="R136" s="84">
        <f t="shared" si="4"/>
        <v>1.8</v>
      </c>
      <c r="S136" s="81">
        <v>36.977577209472599</v>
      </c>
      <c r="T136" s="81">
        <v>-122.026313781738</v>
      </c>
      <c r="U136" s="81" t="s">
        <v>257</v>
      </c>
    </row>
    <row r="137" spans="1:21" s="81" customFormat="1" ht="45" x14ac:dyDescent="0.25">
      <c r="A137" s="81" t="s">
        <v>415</v>
      </c>
      <c r="B137" s="81" t="s">
        <v>115</v>
      </c>
      <c r="C137" s="81">
        <v>420</v>
      </c>
      <c r="D137" s="81" t="s">
        <v>170</v>
      </c>
      <c r="E137" s="81" t="s">
        <v>139</v>
      </c>
      <c r="F137" s="81" t="s">
        <v>140</v>
      </c>
      <c r="G137" s="81">
        <v>95060</v>
      </c>
      <c r="H137" s="81" t="s">
        <v>7</v>
      </c>
      <c r="J137" s="82">
        <v>1150</v>
      </c>
      <c r="K137" s="83">
        <v>1</v>
      </c>
      <c r="L137" s="81" t="s">
        <v>6</v>
      </c>
      <c r="M137" s="81" t="s">
        <v>128</v>
      </c>
      <c r="N137" s="81" t="s">
        <v>129</v>
      </c>
      <c r="O137" s="81" t="s">
        <v>130</v>
      </c>
      <c r="P137" s="81" t="s">
        <v>148</v>
      </c>
      <c r="R137" s="84">
        <f>K137</f>
        <v>1</v>
      </c>
      <c r="S137" s="81">
        <v>36.979545593261697</v>
      </c>
      <c r="T137" s="81">
        <v>-122.02036285400401</v>
      </c>
      <c r="U137" s="81" t="s">
        <v>286</v>
      </c>
    </row>
    <row r="138" spans="1:21" s="81" customFormat="1" ht="45" x14ac:dyDescent="0.25">
      <c r="A138" s="81" t="s">
        <v>415</v>
      </c>
      <c r="B138" s="81" t="s">
        <v>115</v>
      </c>
      <c r="C138" s="81">
        <v>525</v>
      </c>
      <c r="D138" s="81" t="s">
        <v>170</v>
      </c>
      <c r="E138" s="81" t="s">
        <v>139</v>
      </c>
      <c r="F138" s="81" t="s">
        <v>140</v>
      </c>
      <c r="G138" s="81">
        <v>95060</v>
      </c>
      <c r="H138" s="81" t="s">
        <v>117</v>
      </c>
      <c r="J138" s="82">
        <v>3000</v>
      </c>
      <c r="K138" s="83">
        <v>1.25</v>
      </c>
      <c r="L138" s="81" t="s">
        <v>6</v>
      </c>
      <c r="M138" s="81" t="s">
        <v>95</v>
      </c>
      <c r="N138" s="80" t="s">
        <v>243</v>
      </c>
      <c r="O138" s="81" t="s">
        <v>94</v>
      </c>
      <c r="R138" s="84">
        <f>K138</f>
        <v>1.25</v>
      </c>
      <c r="S138" s="81">
        <v>36.980499267578097</v>
      </c>
      <c r="T138" s="81">
        <v>-122.01950073242099</v>
      </c>
      <c r="U138" s="81" t="s">
        <v>288</v>
      </c>
    </row>
    <row r="139" spans="1:21" s="75" customFormat="1" ht="45" x14ac:dyDescent="0.25">
      <c r="A139" s="81" t="s">
        <v>415</v>
      </c>
      <c r="B139" s="81" t="s">
        <v>115</v>
      </c>
      <c r="C139" s="81">
        <v>550</v>
      </c>
      <c r="D139" s="81" t="s">
        <v>170</v>
      </c>
      <c r="E139" s="81" t="s">
        <v>139</v>
      </c>
      <c r="F139" s="81" t="s">
        <v>140</v>
      </c>
      <c r="G139" s="81">
        <v>95060</v>
      </c>
      <c r="H139" s="81" t="s">
        <v>116</v>
      </c>
      <c r="I139" s="81" t="s">
        <v>118</v>
      </c>
      <c r="J139" s="82">
        <v>890</v>
      </c>
      <c r="K139" s="83">
        <v>820</v>
      </c>
      <c r="L139" s="81" t="s">
        <v>6</v>
      </c>
      <c r="M139" s="81" t="s">
        <v>44</v>
      </c>
      <c r="N139" s="81" t="s">
        <v>45</v>
      </c>
      <c r="O139" s="81" t="s">
        <v>121</v>
      </c>
      <c r="P139" s="81"/>
      <c r="Q139" s="81"/>
      <c r="R139" s="84">
        <f>K139/J139</f>
        <v>0.9213483146067416</v>
      </c>
      <c r="S139" s="81">
        <v>36.979640960693402</v>
      </c>
      <c r="T139" s="81">
        <v>-122.01912689209</v>
      </c>
      <c r="U139" s="81" t="s">
        <v>287</v>
      </c>
    </row>
    <row r="140" spans="1:21" s="81" customFormat="1" ht="60" x14ac:dyDescent="0.25">
      <c r="A140" s="81" t="s">
        <v>415</v>
      </c>
      <c r="B140" s="81" t="s">
        <v>115</v>
      </c>
      <c r="C140" s="81">
        <v>550</v>
      </c>
      <c r="D140" s="81" t="s">
        <v>170</v>
      </c>
      <c r="E140" s="81" t="s">
        <v>139</v>
      </c>
      <c r="F140" s="81" t="s">
        <v>140</v>
      </c>
      <c r="G140" s="81">
        <v>95060</v>
      </c>
      <c r="H140" s="81" t="s">
        <v>119</v>
      </c>
      <c r="I140" s="81" t="s">
        <v>435</v>
      </c>
      <c r="J140" s="82">
        <v>1756</v>
      </c>
      <c r="K140" s="83">
        <v>1.75</v>
      </c>
      <c r="L140" s="81" t="s">
        <v>5</v>
      </c>
      <c r="M140" s="81" t="s">
        <v>131</v>
      </c>
      <c r="N140" s="81" t="s">
        <v>93</v>
      </c>
      <c r="O140" s="81" t="s">
        <v>9</v>
      </c>
      <c r="P140" s="81" t="s">
        <v>439</v>
      </c>
      <c r="R140" s="84">
        <v>1.75</v>
      </c>
      <c r="S140" s="81">
        <v>36.979133605957003</v>
      </c>
      <c r="T140" s="81">
        <v>-122.01880645751901</v>
      </c>
      <c r="U140" s="81" t="s">
        <v>442</v>
      </c>
    </row>
    <row r="141" spans="1:21" s="81" customFormat="1" ht="60" x14ac:dyDescent="0.25">
      <c r="A141" s="81" t="s">
        <v>415</v>
      </c>
      <c r="B141" s="81" t="s">
        <v>115</v>
      </c>
      <c r="C141" s="81">
        <v>550</v>
      </c>
      <c r="D141" s="81" t="s">
        <v>170</v>
      </c>
      <c r="E141" s="81" t="s">
        <v>139</v>
      </c>
      <c r="F141" s="81" t="s">
        <v>140</v>
      </c>
      <c r="G141" s="81">
        <v>95060</v>
      </c>
      <c r="H141" s="81" t="s">
        <v>119</v>
      </c>
      <c r="I141" s="81" t="s">
        <v>437</v>
      </c>
      <c r="J141" s="82">
        <v>885</v>
      </c>
      <c r="K141" s="83">
        <v>1.75</v>
      </c>
      <c r="L141" s="81" t="s">
        <v>5</v>
      </c>
      <c r="M141" s="81" t="s">
        <v>436</v>
      </c>
      <c r="N141" s="81" t="s">
        <v>93</v>
      </c>
      <c r="O141" s="81" t="s">
        <v>9</v>
      </c>
      <c r="P141" s="81" t="s">
        <v>439</v>
      </c>
      <c r="R141" s="84">
        <v>1.75</v>
      </c>
      <c r="S141" s="81">
        <v>36.979133605957003</v>
      </c>
      <c r="T141" s="81">
        <v>-122.01880645751901</v>
      </c>
      <c r="U141" s="81" t="s">
        <v>441</v>
      </c>
    </row>
    <row r="142" spans="1:21" s="81" customFormat="1" ht="60" x14ac:dyDescent="0.25">
      <c r="A142" s="81" t="s">
        <v>415</v>
      </c>
      <c r="B142" s="81" t="s">
        <v>115</v>
      </c>
      <c r="C142" s="81">
        <v>550</v>
      </c>
      <c r="D142" s="81" t="s">
        <v>170</v>
      </c>
      <c r="E142" s="81" t="s">
        <v>139</v>
      </c>
      <c r="F142" s="81" t="s">
        <v>140</v>
      </c>
      <c r="G142" s="81">
        <v>95060</v>
      </c>
      <c r="H142" s="81" t="s">
        <v>119</v>
      </c>
      <c r="I142" s="81" t="s">
        <v>438</v>
      </c>
      <c r="J142" s="82">
        <v>1086</v>
      </c>
      <c r="K142" s="83">
        <v>1.75</v>
      </c>
      <c r="L142" s="81" t="s">
        <v>5</v>
      </c>
      <c r="M142" s="81" t="s">
        <v>436</v>
      </c>
      <c r="N142" s="81" t="s">
        <v>93</v>
      </c>
      <c r="O142" s="81" t="s">
        <v>9</v>
      </c>
      <c r="P142" s="81" t="s">
        <v>439</v>
      </c>
      <c r="R142" s="84">
        <v>1.75</v>
      </c>
      <c r="S142" s="81">
        <v>36.979133605957003</v>
      </c>
      <c r="T142" s="81">
        <v>-122.01880645751901</v>
      </c>
      <c r="U142" s="81" t="s">
        <v>440</v>
      </c>
    </row>
    <row r="143" spans="1:21" x14ac:dyDescent="0.25">
      <c r="J143" s="2"/>
      <c r="K143" s="7"/>
    </row>
    <row r="144" spans="1:21" x14ac:dyDescent="0.25">
      <c r="J144" s="2"/>
      <c r="K144" s="7"/>
    </row>
    <row r="145" spans="10:11" x14ac:dyDescent="0.25">
      <c r="J145" s="2"/>
      <c r="K145" s="7"/>
    </row>
    <row r="146" spans="10:11" x14ac:dyDescent="0.25">
      <c r="J146" s="2"/>
      <c r="K146" s="7"/>
    </row>
    <row r="147" spans="10:11" x14ac:dyDescent="0.25">
      <c r="J147" s="2"/>
      <c r="K147" s="7"/>
    </row>
    <row r="148" spans="10:11" x14ac:dyDescent="0.25">
      <c r="J148" s="2"/>
      <c r="K148" s="7"/>
    </row>
  </sheetData>
  <hyperlinks>
    <hyperlink ref="O26" display="rick_melrose@yahoo.com"/>
    <hyperlink ref="O127" display="wreed@jsco.net"/>
    <hyperlink ref="O133" display="davidcury@yahoo.com"/>
    <hyperlink ref="O119:O125" display="russellgross.com"/>
    <hyperlink ref="O100" display="tracy@cifpm.com"/>
    <hyperlink ref="O102" display="Rentalinfo@lemarco.com"/>
    <hyperlink ref="O131" display="dbrentals@gmail.com"/>
    <hyperlink ref="O130" display="dbrentals@gmail.com"/>
    <hyperlink ref="O132" display="dbrentals@gmail.com"/>
    <hyperlink ref="O93" display="rick_melrose@yahoo.com"/>
    <hyperlink ref="O134" r:id="rId1"/>
    <hyperlink ref="O135" r:id="rId2"/>
    <hyperlink ref="O136" r:id="rId3"/>
    <hyperlink ref="O36" r:id="rId4"/>
    <hyperlink ref="O61:O63" display="Rentalinfo@lemarco.com"/>
    <hyperlink ref="O63:O64" display="Rentalinfo@lemarco.com"/>
    <hyperlink ref="O38" r:id="rId5"/>
    <hyperlink ref="O107" display="sue@andersonchristie.com"/>
    <hyperlink ref="O64" display="sue@andersonchristie.com"/>
    <hyperlink ref="O56" r:id="rId6"/>
    <hyperlink ref="O60" r:id="rId7"/>
    <hyperlink ref="O106" r:id="rId8"/>
    <hyperlink ref="O5" r:id="rId9"/>
    <hyperlink ref="O105" display="Rentalinfo@lemarco.com"/>
    <hyperlink ref="O23" r:id="rId1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6"/>
  <sheetViews>
    <sheetView topLeftCell="A1121" workbookViewId="0">
      <selection activeCell="H1139" sqref="H1139"/>
    </sheetView>
  </sheetViews>
  <sheetFormatPr defaultRowHeight="15" x14ac:dyDescent="0.25"/>
  <cols>
    <col min="2" max="2" width="10" customWidth="1"/>
    <col min="6" max="6" width="9.140625" style="18"/>
  </cols>
  <sheetData>
    <row r="1" spans="1:6" x14ac:dyDescent="0.25">
      <c r="A1" s="37">
        <v>2004</v>
      </c>
      <c r="B1" s="38" t="s">
        <v>316</v>
      </c>
      <c r="C1" s="38" t="s">
        <v>203</v>
      </c>
      <c r="D1" s="39" t="s">
        <v>174</v>
      </c>
      <c r="E1" s="32" t="s">
        <v>2</v>
      </c>
      <c r="F1" s="40">
        <v>58326</v>
      </c>
    </row>
    <row r="2" spans="1:6" x14ac:dyDescent="0.25">
      <c r="A2" s="37">
        <v>2004</v>
      </c>
      <c r="B2" s="38" t="s">
        <v>316</v>
      </c>
      <c r="C2" s="38" t="s">
        <v>203</v>
      </c>
      <c r="D2" s="39" t="s">
        <v>174</v>
      </c>
      <c r="E2" s="32" t="s">
        <v>24</v>
      </c>
      <c r="F2" s="40">
        <v>88040</v>
      </c>
    </row>
    <row r="3" spans="1:6" x14ac:dyDescent="0.25">
      <c r="A3" s="37">
        <v>2004</v>
      </c>
      <c r="B3" s="38" t="s">
        <v>316</v>
      </c>
      <c r="C3" s="38" t="s">
        <v>203</v>
      </c>
      <c r="D3" s="39" t="s">
        <v>174</v>
      </c>
      <c r="E3" s="32" t="s">
        <v>204</v>
      </c>
      <c r="F3" s="40">
        <v>0</v>
      </c>
    </row>
    <row r="4" spans="1:6" x14ac:dyDescent="0.25">
      <c r="A4" s="37">
        <v>2004</v>
      </c>
      <c r="B4" s="38" t="s">
        <v>316</v>
      </c>
      <c r="C4" s="38" t="s">
        <v>203</v>
      </c>
      <c r="D4" s="41" t="s">
        <v>205</v>
      </c>
      <c r="E4" s="32" t="s">
        <v>2</v>
      </c>
      <c r="F4" s="40">
        <v>12175</v>
      </c>
    </row>
    <row r="5" spans="1:6" x14ac:dyDescent="0.25">
      <c r="A5" s="37">
        <v>2004</v>
      </c>
      <c r="B5" s="38" t="s">
        <v>316</v>
      </c>
      <c r="C5" s="38" t="s">
        <v>203</v>
      </c>
      <c r="D5" s="41" t="s">
        <v>205</v>
      </c>
      <c r="E5" s="32" t="s">
        <v>24</v>
      </c>
      <c r="F5" s="40">
        <v>9807</v>
      </c>
    </row>
    <row r="6" spans="1:6" x14ac:dyDescent="0.25">
      <c r="A6" s="37">
        <v>2004</v>
      </c>
      <c r="B6" s="38" t="s">
        <v>316</v>
      </c>
      <c r="C6" s="38" t="s">
        <v>203</v>
      </c>
      <c r="D6" s="41" t="s">
        <v>205</v>
      </c>
      <c r="E6" s="32" t="s">
        <v>204</v>
      </c>
      <c r="F6" s="40">
        <v>2624</v>
      </c>
    </row>
    <row r="7" spans="1:6" x14ac:dyDescent="0.25">
      <c r="A7" s="37">
        <v>2004</v>
      </c>
      <c r="B7" s="38" t="s">
        <v>316</v>
      </c>
      <c r="C7" s="38" t="s">
        <v>203</v>
      </c>
      <c r="D7" s="42" t="s">
        <v>206</v>
      </c>
      <c r="E7" s="32" t="s">
        <v>2</v>
      </c>
      <c r="F7" s="40">
        <v>3431</v>
      </c>
    </row>
    <row r="8" spans="1:6" x14ac:dyDescent="0.25">
      <c r="A8" s="37">
        <v>2004</v>
      </c>
      <c r="B8" s="38" t="s">
        <v>316</v>
      </c>
      <c r="C8" s="38" t="s">
        <v>203</v>
      </c>
      <c r="D8" s="42" t="s">
        <v>206</v>
      </c>
      <c r="E8" s="32" t="s">
        <v>24</v>
      </c>
      <c r="F8" s="40">
        <v>17128</v>
      </c>
    </row>
    <row r="9" spans="1:6" x14ac:dyDescent="0.25">
      <c r="A9" s="37">
        <v>2004</v>
      </c>
      <c r="B9" s="38" t="s">
        <v>316</v>
      </c>
      <c r="C9" s="38" t="s">
        <v>203</v>
      </c>
      <c r="D9" s="42" t="s">
        <v>206</v>
      </c>
      <c r="E9" s="32" t="s">
        <v>204</v>
      </c>
      <c r="F9" s="40">
        <v>1502</v>
      </c>
    </row>
    <row r="10" spans="1:6" x14ac:dyDescent="0.25">
      <c r="A10" s="37">
        <v>2004</v>
      </c>
      <c r="B10" s="38" t="s">
        <v>316</v>
      </c>
      <c r="C10" s="38" t="s">
        <v>203</v>
      </c>
      <c r="D10" s="43" t="s">
        <v>175</v>
      </c>
      <c r="E10" s="32" t="s">
        <v>2</v>
      </c>
      <c r="F10" s="40">
        <v>4400</v>
      </c>
    </row>
    <row r="11" spans="1:6" x14ac:dyDescent="0.25">
      <c r="A11" s="37">
        <v>2004</v>
      </c>
      <c r="B11" s="38" t="s">
        <v>316</v>
      </c>
      <c r="C11" s="38" t="s">
        <v>203</v>
      </c>
      <c r="D11" s="43" t="s">
        <v>175</v>
      </c>
      <c r="E11" s="32" t="s">
        <v>24</v>
      </c>
      <c r="F11" s="40">
        <v>5700</v>
      </c>
    </row>
    <row r="12" spans="1:6" x14ac:dyDescent="0.25">
      <c r="A12" s="37">
        <v>2004</v>
      </c>
      <c r="B12" s="38" t="s">
        <v>316</v>
      </c>
      <c r="C12" s="38" t="s">
        <v>203</v>
      </c>
      <c r="D12" s="43" t="s">
        <v>175</v>
      </c>
      <c r="E12" s="32" t="s">
        <v>204</v>
      </c>
      <c r="F12" s="40">
        <v>1540</v>
      </c>
    </row>
    <row r="13" spans="1:6" x14ac:dyDescent="0.25">
      <c r="A13" s="37">
        <v>2004</v>
      </c>
      <c r="B13" s="38" t="s">
        <v>316</v>
      </c>
      <c r="C13" s="38" t="s">
        <v>207</v>
      </c>
      <c r="D13" s="39" t="s">
        <v>208</v>
      </c>
      <c r="E13" s="32" t="s">
        <v>2</v>
      </c>
      <c r="F13" s="40">
        <v>0</v>
      </c>
    </row>
    <row r="14" spans="1:6" x14ac:dyDescent="0.25">
      <c r="A14" s="37">
        <v>2004</v>
      </c>
      <c r="B14" s="38" t="s">
        <v>316</v>
      </c>
      <c r="C14" s="38" t="s">
        <v>207</v>
      </c>
      <c r="D14" s="39" t="s">
        <v>208</v>
      </c>
      <c r="E14" s="32" t="s">
        <v>24</v>
      </c>
      <c r="F14" s="40">
        <v>15921</v>
      </c>
    </row>
    <row r="15" spans="1:6" x14ac:dyDescent="0.25">
      <c r="A15" s="37">
        <v>2004</v>
      </c>
      <c r="B15" s="38" t="s">
        <v>316</v>
      </c>
      <c r="C15" s="38" t="s">
        <v>207</v>
      </c>
      <c r="D15" s="39" t="s">
        <v>208</v>
      </c>
      <c r="E15" s="32" t="s">
        <v>204</v>
      </c>
      <c r="F15" s="40">
        <v>398150</v>
      </c>
    </row>
    <row r="16" spans="1:6" x14ac:dyDescent="0.25">
      <c r="A16" s="37">
        <v>2004</v>
      </c>
      <c r="B16" s="38" t="s">
        <v>316</v>
      </c>
      <c r="C16" s="38" t="s">
        <v>207</v>
      </c>
      <c r="D16" s="43" t="s">
        <v>209</v>
      </c>
      <c r="E16" s="32" t="s">
        <v>2</v>
      </c>
      <c r="F16" s="40">
        <v>0</v>
      </c>
    </row>
    <row r="17" spans="1:6" x14ac:dyDescent="0.25">
      <c r="A17" s="37">
        <v>2004</v>
      </c>
      <c r="B17" s="38" t="s">
        <v>316</v>
      </c>
      <c r="C17" s="38" t="s">
        <v>207</v>
      </c>
      <c r="D17" s="43" t="s">
        <v>209</v>
      </c>
      <c r="E17" s="32" t="s">
        <v>24</v>
      </c>
      <c r="F17" s="40">
        <v>3607</v>
      </c>
    </row>
    <row r="18" spans="1:6" x14ac:dyDescent="0.25">
      <c r="A18" s="37">
        <v>2004</v>
      </c>
      <c r="B18" s="38" t="s">
        <v>316</v>
      </c>
      <c r="C18" s="38" t="s">
        <v>207</v>
      </c>
      <c r="D18" s="43" t="s">
        <v>209</v>
      </c>
      <c r="E18" s="32" t="s">
        <v>204</v>
      </c>
      <c r="F18" s="40">
        <v>182939</v>
      </c>
    </row>
    <row r="19" spans="1:6" x14ac:dyDescent="0.25">
      <c r="A19" s="37">
        <v>2004</v>
      </c>
      <c r="B19" s="38" t="s">
        <v>316</v>
      </c>
      <c r="C19" s="38" t="s">
        <v>207</v>
      </c>
      <c r="D19" s="44" t="s">
        <v>210</v>
      </c>
      <c r="E19" s="32" t="s">
        <v>2</v>
      </c>
      <c r="F19" s="40">
        <v>0</v>
      </c>
    </row>
    <row r="20" spans="1:6" x14ac:dyDescent="0.25">
      <c r="A20" s="37">
        <v>2004</v>
      </c>
      <c r="B20" s="38" t="s">
        <v>316</v>
      </c>
      <c r="C20" s="38" t="s">
        <v>207</v>
      </c>
      <c r="D20" s="44" t="s">
        <v>210</v>
      </c>
      <c r="E20" s="32" t="s">
        <v>24</v>
      </c>
      <c r="F20" s="40">
        <v>0</v>
      </c>
    </row>
    <row r="21" spans="1:6" x14ac:dyDescent="0.25">
      <c r="A21" s="45">
        <v>2004</v>
      </c>
      <c r="B21" s="46" t="s">
        <v>316</v>
      </c>
      <c r="C21" s="46" t="s">
        <v>207</v>
      </c>
      <c r="D21" s="47" t="s">
        <v>210</v>
      </c>
      <c r="E21" s="33" t="s">
        <v>204</v>
      </c>
      <c r="F21" s="48">
        <v>0</v>
      </c>
    </row>
    <row r="22" spans="1:6" x14ac:dyDescent="0.25">
      <c r="A22" s="37">
        <v>2005</v>
      </c>
      <c r="B22" s="38" t="s">
        <v>317</v>
      </c>
      <c r="C22" s="38" t="s">
        <v>203</v>
      </c>
      <c r="D22" s="39" t="s">
        <v>174</v>
      </c>
      <c r="E22" s="32" t="s">
        <v>2</v>
      </c>
      <c r="F22" s="40">
        <v>62038</v>
      </c>
    </row>
    <row r="23" spans="1:6" x14ac:dyDescent="0.25">
      <c r="A23" s="37">
        <v>2005</v>
      </c>
      <c r="B23" s="38" t="s">
        <v>317</v>
      </c>
      <c r="C23" s="38" t="s">
        <v>203</v>
      </c>
      <c r="D23" s="39" t="s">
        <v>174</v>
      </c>
      <c r="E23" s="32" t="s">
        <v>24</v>
      </c>
      <c r="F23" s="40">
        <v>69481</v>
      </c>
    </row>
    <row r="24" spans="1:6" x14ac:dyDescent="0.25">
      <c r="A24" s="37">
        <v>2005</v>
      </c>
      <c r="B24" s="38" t="s">
        <v>317</v>
      </c>
      <c r="C24" s="38" t="s">
        <v>203</v>
      </c>
      <c r="D24" s="39" t="s">
        <v>174</v>
      </c>
      <c r="E24" s="32" t="s">
        <v>204</v>
      </c>
      <c r="F24" s="40">
        <v>0</v>
      </c>
    </row>
    <row r="25" spans="1:6" x14ac:dyDescent="0.25">
      <c r="A25" s="37">
        <v>2005</v>
      </c>
      <c r="B25" s="38" t="s">
        <v>317</v>
      </c>
      <c r="C25" s="38" t="s">
        <v>203</v>
      </c>
      <c r="D25" s="41" t="s">
        <v>205</v>
      </c>
      <c r="E25" s="32" t="s">
        <v>2</v>
      </c>
      <c r="F25" s="40">
        <v>13445</v>
      </c>
    </row>
    <row r="26" spans="1:6" x14ac:dyDescent="0.25">
      <c r="A26" s="37">
        <v>2005</v>
      </c>
      <c r="B26" s="38" t="s">
        <v>317</v>
      </c>
      <c r="C26" s="38" t="s">
        <v>203</v>
      </c>
      <c r="D26" s="41" t="s">
        <v>205</v>
      </c>
      <c r="E26" s="32" t="s">
        <v>24</v>
      </c>
      <c r="F26" s="40">
        <v>11908</v>
      </c>
    </row>
    <row r="27" spans="1:6" x14ac:dyDescent="0.25">
      <c r="A27" s="37">
        <v>2005</v>
      </c>
      <c r="B27" s="38" t="s">
        <v>317</v>
      </c>
      <c r="C27" s="38" t="s">
        <v>203</v>
      </c>
      <c r="D27" s="41" t="s">
        <v>205</v>
      </c>
      <c r="E27" s="32" t="s">
        <v>204</v>
      </c>
      <c r="F27" s="40">
        <v>8239</v>
      </c>
    </row>
    <row r="28" spans="1:6" x14ac:dyDescent="0.25">
      <c r="A28" s="37">
        <v>2005</v>
      </c>
      <c r="B28" s="38" t="s">
        <v>317</v>
      </c>
      <c r="C28" s="38" t="s">
        <v>203</v>
      </c>
      <c r="D28" s="42" t="s">
        <v>206</v>
      </c>
      <c r="E28" s="32" t="s">
        <v>2</v>
      </c>
      <c r="F28" s="40">
        <v>1428</v>
      </c>
    </row>
    <row r="29" spans="1:6" x14ac:dyDescent="0.25">
      <c r="A29" s="37">
        <v>2005</v>
      </c>
      <c r="B29" s="38" t="s">
        <v>317</v>
      </c>
      <c r="C29" s="38" t="s">
        <v>203</v>
      </c>
      <c r="D29" s="42" t="s">
        <v>206</v>
      </c>
      <c r="E29" s="32" t="s">
        <v>24</v>
      </c>
      <c r="F29" s="40">
        <v>10900</v>
      </c>
    </row>
    <row r="30" spans="1:6" x14ac:dyDescent="0.25">
      <c r="A30" s="37">
        <v>2005</v>
      </c>
      <c r="B30" s="38" t="s">
        <v>317</v>
      </c>
      <c r="C30" s="38" t="s">
        <v>203</v>
      </c>
      <c r="D30" s="42" t="s">
        <v>206</v>
      </c>
      <c r="E30" s="32" t="s">
        <v>204</v>
      </c>
      <c r="F30" s="40">
        <v>320</v>
      </c>
    </row>
    <row r="31" spans="1:6" x14ac:dyDescent="0.25">
      <c r="A31" s="37">
        <v>2005</v>
      </c>
      <c r="B31" s="38" t="s">
        <v>317</v>
      </c>
      <c r="C31" s="38" t="s">
        <v>203</v>
      </c>
      <c r="D31" s="43" t="s">
        <v>175</v>
      </c>
      <c r="E31" s="32" t="s">
        <v>2</v>
      </c>
      <c r="F31" s="40">
        <v>4400</v>
      </c>
    </row>
    <row r="32" spans="1:6" x14ac:dyDescent="0.25">
      <c r="A32" s="37">
        <v>2005</v>
      </c>
      <c r="B32" s="38" t="s">
        <v>317</v>
      </c>
      <c r="C32" s="38" t="s">
        <v>203</v>
      </c>
      <c r="D32" s="43" t="s">
        <v>175</v>
      </c>
      <c r="E32" s="32" t="s">
        <v>24</v>
      </c>
      <c r="F32" s="40">
        <v>11700</v>
      </c>
    </row>
    <row r="33" spans="1:6" x14ac:dyDescent="0.25">
      <c r="A33" s="37">
        <v>2005</v>
      </c>
      <c r="B33" s="38" t="s">
        <v>317</v>
      </c>
      <c r="C33" s="38" t="s">
        <v>203</v>
      </c>
      <c r="D33" s="43" t="s">
        <v>175</v>
      </c>
      <c r="E33" s="32" t="s">
        <v>204</v>
      </c>
      <c r="F33" s="40">
        <v>1540</v>
      </c>
    </row>
    <row r="34" spans="1:6" x14ac:dyDescent="0.25">
      <c r="A34" s="37">
        <v>2005</v>
      </c>
      <c r="B34" s="38" t="s">
        <v>317</v>
      </c>
      <c r="C34" s="38" t="s">
        <v>207</v>
      </c>
      <c r="D34" s="39" t="s">
        <v>208</v>
      </c>
      <c r="E34" s="32" t="s">
        <v>2</v>
      </c>
      <c r="F34" s="40">
        <v>0</v>
      </c>
    </row>
    <row r="35" spans="1:6" x14ac:dyDescent="0.25">
      <c r="A35" s="37">
        <v>2005</v>
      </c>
      <c r="B35" s="38" t="s">
        <v>317</v>
      </c>
      <c r="C35" s="38" t="s">
        <v>207</v>
      </c>
      <c r="D35" s="39" t="s">
        <v>208</v>
      </c>
      <c r="E35" s="32" t="s">
        <v>24</v>
      </c>
      <c r="F35" s="40">
        <v>4921</v>
      </c>
    </row>
    <row r="36" spans="1:6" x14ac:dyDescent="0.25">
      <c r="A36" s="37">
        <v>2005</v>
      </c>
      <c r="B36" s="38" t="s">
        <v>317</v>
      </c>
      <c r="C36" s="38" t="s">
        <v>207</v>
      </c>
      <c r="D36" s="39" t="s">
        <v>208</v>
      </c>
      <c r="E36" s="32" t="s">
        <v>204</v>
      </c>
      <c r="F36" s="40">
        <v>414650</v>
      </c>
    </row>
    <row r="37" spans="1:6" x14ac:dyDescent="0.25">
      <c r="A37" s="37">
        <v>2005</v>
      </c>
      <c r="B37" s="38" t="s">
        <v>317</v>
      </c>
      <c r="C37" s="38" t="s">
        <v>207</v>
      </c>
      <c r="D37" s="43" t="s">
        <v>209</v>
      </c>
      <c r="E37" s="32" t="s">
        <v>2</v>
      </c>
      <c r="F37" s="40">
        <v>0</v>
      </c>
    </row>
    <row r="38" spans="1:6" x14ac:dyDescent="0.25">
      <c r="A38" s="37">
        <v>2005</v>
      </c>
      <c r="B38" s="38" t="s">
        <v>317</v>
      </c>
      <c r="C38" s="38" t="s">
        <v>207</v>
      </c>
      <c r="D38" s="43" t="s">
        <v>209</v>
      </c>
      <c r="E38" s="32" t="s">
        <v>24</v>
      </c>
      <c r="F38" s="40">
        <v>3607</v>
      </c>
    </row>
    <row r="39" spans="1:6" x14ac:dyDescent="0.25">
      <c r="A39" s="37">
        <v>2005</v>
      </c>
      <c r="B39" s="38" t="s">
        <v>317</v>
      </c>
      <c r="C39" s="38" t="s">
        <v>207</v>
      </c>
      <c r="D39" s="43" t="s">
        <v>209</v>
      </c>
      <c r="E39" s="32" t="s">
        <v>204</v>
      </c>
      <c r="F39" s="40">
        <v>168290</v>
      </c>
    </row>
    <row r="40" spans="1:6" x14ac:dyDescent="0.25">
      <c r="A40" s="37">
        <v>2005</v>
      </c>
      <c r="B40" s="38" t="s">
        <v>317</v>
      </c>
      <c r="C40" s="38" t="s">
        <v>207</v>
      </c>
      <c r="D40" s="44" t="s">
        <v>210</v>
      </c>
      <c r="E40" s="32" t="s">
        <v>2</v>
      </c>
      <c r="F40" s="40">
        <v>0</v>
      </c>
    </row>
    <row r="41" spans="1:6" x14ac:dyDescent="0.25">
      <c r="A41" s="37">
        <v>2005</v>
      </c>
      <c r="B41" s="38" t="s">
        <v>317</v>
      </c>
      <c r="C41" s="38" t="s">
        <v>207</v>
      </c>
      <c r="D41" s="44" t="s">
        <v>210</v>
      </c>
      <c r="E41" s="32" t="s">
        <v>24</v>
      </c>
      <c r="F41" s="40">
        <v>0</v>
      </c>
    </row>
    <row r="42" spans="1:6" x14ac:dyDescent="0.25">
      <c r="A42" s="45">
        <v>2005</v>
      </c>
      <c r="B42" s="46" t="s">
        <v>317</v>
      </c>
      <c r="C42" s="46" t="s">
        <v>207</v>
      </c>
      <c r="D42" s="47" t="s">
        <v>210</v>
      </c>
      <c r="E42" s="33" t="s">
        <v>204</v>
      </c>
      <c r="F42" s="40">
        <v>0</v>
      </c>
    </row>
    <row r="43" spans="1:6" x14ac:dyDescent="0.25">
      <c r="A43" s="37">
        <v>2005</v>
      </c>
      <c r="B43" s="38" t="s">
        <v>307</v>
      </c>
      <c r="C43" s="38" t="s">
        <v>203</v>
      </c>
      <c r="D43" s="39" t="s">
        <v>174</v>
      </c>
      <c r="E43" s="32" t="s">
        <v>2</v>
      </c>
      <c r="F43" s="40">
        <v>65480</v>
      </c>
    </row>
    <row r="44" spans="1:6" x14ac:dyDescent="0.25">
      <c r="A44" s="37">
        <v>2005</v>
      </c>
      <c r="B44" s="38" t="s">
        <v>307</v>
      </c>
      <c r="C44" s="38" t="s">
        <v>203</v>
      </c>
      <c r="D44" s="39" t="s">
        <v>174</v>
      </c>
      <c r="E44" s="32" t="s">
        <v>24</v>
      </c>
      <c r="F44" s="40">
        <v>66852</v>
      </c>
    </row>
    <row r="45" spans="1:6" x14ac:dyDescent="0.25">
      <c r="A45" s="37">
        <v>2005</v>
      </c>
      <c r="B45" s="38" t="s">
        <v>307</v>
      </c>
      <c r="C45" s="38" t="s">
        <v>203</v>
      </c>
      <c r="D45" s="39" t="s">
        <v>174</v>
      </c>
      <c r="E45" s="32" t="s">
        <v>204</v>
      </c>
      <c r="F45" s="40">
        <v>0</v>
      </c>
    </row>
    <row r="46" spans="1:6" x14ac:dyDescent="0.25">
      <c r="A46" s="37">
        <v>2005</v>
      </c>
      <c r="B46" s="38" t="s">
        <v>307</v>
      </c>
      <c r="C46" s="38" t="s">
        <v>203</v>
      </c>
      <c r="D46" s="41" t="s">
        <v>205</v>
      </c>
      <c r="E46" s="32" t="s">
        <v>2</v>
      </c>
      <c r="F46" s="40">
        <v>12945</v>
      </c>
    </row>
    <row r="47" spans="1:6" x14ac:dyDescent="0.25">
      <c r="A47" s="37">
        <v>2005</v>
      </c>
      <c r="B47" s="38" t="s">
        <v>307</v>
      </c>
      <c r="C47" s="38" t="s">
        <v>203</v>
      </c>
      <c r="D47" s="41" t="s">
        <v>205</v>
      </c>
      <c r="E47" s="32" t="s">
        <v>24</v>
      </c>
      <c r="F47" s="40">
        <v>10686</v>
      </c>
    </row>
    <row r="48" spans="1:6" x14ac:dyDescent="0.25">
      <c r="A48" s="37">
        <v>2005</v>
      </c>
      <c r="B48" s="38" t="s">
        <v>307</v>
      </c>
      <c r="C48" s="38" t="s">
        <v>203</v>
      </c>
      <c r="D48" s="41" t="s">
        <v>205</v>
      </c>
      <c r="E48" s="32" t="s">
        <v>204</v>
      </c>
      <c r="F48" s="40">
        <v>8239</v>
      </c>
    </row>
    <row r="49" spans="1:6" x14ac:dyDescent="0.25">
      <c r="A49" s="37">
        <v>2005</v>
      </c>
      <c r="B49" s="38" t="s">
        <v>307</v>
      </c>
      <c r="C49" s="38" t="s">
        <v>203</v>
      </c>
      <c r="D49" s="42" t="s">
        <v>206</v>
      </c>
      <c r="E49" s="32" t="s">
        <v>2</v>
      </c>
      <c r="F49" s="40">
        <v>0</v>
      </c>
    </row>
    <row r="50" spans="1:6" x14ac:dyDescent="0.25">
      <c r="A50" s="37">
        <v>2005</v>
      </c>
      <c r="B50" s="38" t="s">
        <v>307</v>
      </c>
      <c r="C50" s="38" t="s">
        <v>203</v>
      </c>
      <c r="D50" s="42" t="s">
        <v>206</v>
      </c>
      <c r="E50" s="32" t="s">
        <v>24</v>
      </c>
      <c r="F50" s="40">
        <v>10000</v>
      </c>
    </row>
    <row r="51" spans="1:6" x14ac:dyDescent="0.25">
      <c r="A51" s="37">
        <v>2005</v>
      </c>
      <c r="B51" s="38" t="s">
        <v>307</v>
      </c>
      <c r="C51" s="38" t="s">
        <v>203</v>
      </c>
      <c r="D51" s="42" t="s">
        <v>206</v>
      </c>
      <c r="E51" s="32" t="s">
        <v>204</v>
      </c>
      <c r="F51" s="40">
        <v>2700</v>
      </c>
    </row>
    <row r="52" spans="1:6" x14ac:dyDescent="0.25">
      <c r="A52" s="37">
        <v>2005</v>
      </c>
      <c r="B52" s="38" t="s">
        <v>307</v>
      </c>
      <c r="C52" s="38" t="s">
        <v>203</v>
      </c>
      <c r="D52" s="43" t="s">
        <v>175</v>
      </c>
      <c r="E52" s="32" t="s">
        <v>2</v>
      </c>
      <c r="F52" s="40">
        <v>7460</v>
      </c>
    </row>
    <row r="53" spans="1:6" x14ac:dyDescent="0.25">
      <c r="A53" s="37">
        <v>2005</v>
      </c>
      <c r="B53" s="38" t="s">
        <v>307</v>
      </c>
      <c r="C53" s="38" t="s">
        <v>203</v>
      </c>
      <c r="D53" s="43" t="s">
        <v>175</v>
      </c>
      <c r="E53" s="32" t="s">
        <v>24</v>
      </c>
      <c r="F53" s="40">
        <v>11100</v>
      </c>
    </row>
    <row r="54" spans="1:6" x14ac:dyDescent="0.25">
      <c r="A54" s="37">
        <v>2005</v>
      </c>
      <c r="B54" s="38" t="s">
        <v>307</v>
      </c>
      <c r="C54" s="38" t="s">
        <v>203</v>
      </c>
      <c r="D54" s="43" t="s">
        <v>175</v>
      </c>
      <c r="E54" s="32" t="s">
        <v>204</v>
      </c>
      <c r="F54" s="40">
        <v>1540</v>
      </c>
    </row>
    <row r="55" spans="1:6" x14ac:dyDescent="0.25">
      <c r="A55" s="37">
        <v>2005</v>
      </c>
      <c r="B55" s="38" t="s">
        <v>307</v>
      </c>
      <c r="C55" s="38" t="s">
        <v>207</v>
      </c>
      <c r="D55" s="39" t="s">
        <v>208</v>
      </c>
      <c r="E55" s="32" t="s">
        <v>2</v>
      </c>
      <c r="F55" s="40">
        <v>0</v>
      </c>
    </row>
    <row r="56" spans="1:6" x14ac:dyDescent="0.25">
      <c r="A56" s="37">
        <v>2005</v>
      </c>
      <c r="B56" s="38" t="s">
        <v>307</v>
      </c>
      <c r="C56" s="38" t="s">
        <v>207</v>
      </c>
      <c r="D56" s="39" t="s">
        <v>208</v>
      </c>
      <c r="E56" s="32" t="s">
        <v>24</v>
      </c>
      <c r="F56" s="40">
        <v>24422</v>
      </c>
    </row>
    <row r="57" spans="1:6" x14ac:dyDescent="0.25">
      <c r="A57" s="37">
        <v>2005</v>
      </c>
      <c r="B57" s="38" t="s">
        <v>307</v>
      </c>
      <c r="C57" s="38" t="s">
        <v>207</v>
      </c>
      <c r="D57" s="39" t="s">
        <v>208</v>
      </c>
      <c r="E57" s="32" t="s">
        <v>204</v>
      </c>
      <c r="F57" s="40">
        <v>400550</v>
      </c>
    </row>
    <row r="58" spans="1:6" x14ac:dyDescent="0.25">
      <c r="A58" s="37">
        <v>2005</v>
      </c>
      <c r="B58" s="38" t="s">
        <v>307</v>
      </c>
      <c r="C58" s="38" t="s">
        <v>207</v>
      </c>
      <c r="D58" s="43" t="s">
        <v>209</v>
      </c>
      <c r="E58" s="32" t="s">
        <v>2</v>
      </c>
      <c r="F58" s="40">
        <v>0</v>
      </c>
    </row>
    <row r="59" spans="1:6" x14ac:dyDescent="0.25">
      <c r="A59" s="37">
        <v>2005</v>
      </c>
      <c r="B59" s="38" t="s">
        <v>307</v>
      </c>
      <c r="C59" s="38" t="s">
        <v>207</v>
      </c>
      <c r="D59" s="43" t="s">
        <v>209</v>
      </c>
      <c r="E59" s="32" t="s">
        <v>24</v>
      </c>
      <c r="F59" s="40">
        <v>3607</v>
      </c>
    </row>
    <row r="60" spans="1:6" x14ac:dyDescent="0.25">
      <c r="A60" s="37">
        <v>2005</v>
      </c>
      <c r="B60" s="38" t="s">
        <v>307</v>
      </c>
      <c r="C60" s="38" t="s">
        <v>207</v>
      </c>
      <c r="D60" s="43" t="s">
        <v>209</v>
      </c>
      <c r="E60" s="32" t="s">
        <v>204</v>
      </c>
      <c r="F60" s="40">
        <v>150469</v>
      </c>
    </row>
    <row r="61" spans="1:6" x14ac:dyDescent="0.25">
      <c r="A61" s="37">
        <v>2005</v>
      </c>
      <c r="B61" s="38" t="s">
        <v>307</v>
      </c>
      <c r="C61" s="38" t="s">
        <v>207</v>
      </c>
      <c r="D61" s="44" t="s">
        <v>210</v>
      </c>
      <c r="E61" s="32" t="s">
        <v>2</v>
      </c>
      <c r="F61" s="40">
        <v>0</v>
      </c>
    </row>
    <row r="62" spans="1:6" x14ac:dyDescent="0.25">
      <c r="A62" s="37">
        <v>2005</v>
      </c>
      <c r="B62" s="38" t="s">
        <v>307</v>
      </c>
      <c r="C62" s="38" t="s">
        <v>207</v>
      </c>
      <c r="D62" s="44" t="s">
        <v>210</v>
      </c>
      <c r="E62" s="32" t="s">
        <v>24</v>
      </c>
      <c r="F62" s="40">
        <v>0</v>
      </c>
    </row>
    <row r="63" spans="1:6" x14ac:dyDescent="0.25">
      <c r="A63" s="45">
        <v>2005</v>
      </c>
      <c r="B63" s="46" t="s">
        <v>307</v>
      </c>
      <c r="C63" s="46" t="s">
        <v>207</v>
      </c>
      <c r="D63" s="47" t="s">
        <v>210</v>
      </c>
      <c r="E63" s="33" t="s">
        <v>204</v>
      </c>
      <c r="F63" s="48">
        <v>5000</v>
      </c>
    </row>
    <row r="64" spans="1:6" x14ac:dyDescent="0.25">
      <c r="A64" s="37">
        <v>2005</v>
      </c>
      <c r="B64" s="38" t="s">
        <v>318</v>
      </c>
      <c r="C64" s="38" t="s">
        <v>203</v>
      </c>
      <c r="D64" s="39" t="s">
        <v>174</v>
      </c>
      <c r="E64" s="32" t="s">
        <v>2</v>
      </c>
      <c r="F64" s="40">
        <v>61820</v>
      </c>
    </row>
    <row r="65" spans="1:6" x14ac:dyDescent="0.25">
      <c r="A65" s="37">
        <v>2005</v>
      </c>
      <c r="B65" s="38" t="s">
        <v>318</v>
      </c>
      <c r="C65" s="38" t="s">
        <v>203</v>
      </c>
      <c r="D65" s="39" t="s">
        <v>174</v>
      </c>
      <c r="E65" s="32" t="s">
        <v>24</v>
      </c>
      <c r="F65" s="40">
        <v>64528</v>
      </c>
    </row>
    <row r="66" spans="1:6" x14ac:dyDescent="0.25">
      <c r="A66" s="37">
        <v>2005</v>
      </c>
      <c r="B66" s="38" t="s">
        <v>318</v>
      </c>
      <c r="C66" s="38" t="s">
        <v>203</v>
      </c>
      <c r="D66" s="39" t="s">
        <v>174</v>
      </c>
      <c r="E66" s="32" t="s">
        <v>204</v>
      </c>
      <c r="F66" s="40">
        <v>0</v>
      </c>
    </row>
    <row r="67" spans="1:6" x14ac:dyDescent="0.25">
      <c r="A67" s="37">
        <v>2005</v>
      </c>
      <c r="B67" s="38" t="s">
        <v>318</v>
      </c>
      <c r="C67" s="38" t="s">
        <v>203</v>
      </c>
      <c r="D67" s="41" t="s">
        <v>205</v>
      </c>
      <c r="E67" s="32" t="s">
        <v>2</v>
      </c>
      <c r="F67" s="40">
        <v>8894</v>
      </c>
    </row>
    <row r="68" spans="1:6" x14ac:dyDescent="0.25">
      <c r="A68" s="37">
        <v>2005</v>
      </c>
      <c r="B68" s="38" t="s">
        <v>318</v>
      </c>
      <c r="C68" s="38" t="s">
        <v>203</v>
      </c>
      <c r="D68" s="41" t="s">
        <v>205</v>
      </c>
      <c r="E68" s="32" t="s">
        <v>24</v>
      </c>
      <c r="F68" s="40">
        <v>10686</v>
      </c>
    </row>
    <row r="69" spans="1:6" x14ac:dyDescent="0.25">
      <c r="A69" s="37">
        <v>2005</v>
      </c>
      <c r="B69" s="38" t="s">
        <v>318</v>
      </c>
      <c r="C69" s="38" t="s">
        <v>203</v>
      </c>
      <c r="D69" s="41" t="s">
        <v>205</v>
      </c>
      <c r="E69" s="32" t="s">
        <v>204</v>
      </c>
      <c r="F69" s="40">
        <v>8239</v>
      </c>
    </row>
    <row r="70" spans="1:6" x14ac:dyDescent="0.25">
      <c r="A70" s="37">
        <v>2005</v>
      </c>
      <c r="B70" s="38" t="s">
        <v>318</v>
      </c>
      <c r="C70" s="38" t="s">
        <v>203</v>
      </c>
      <c r="D70" s="42" t="s">
        <v>206</v>
      </c>
      <c r="E70" s="32" t="s">
        <v>2</v>
      </c>
      <c r="F70" s="40">
        <v>0</v>
      </c>
    </row>
    <row r="71" spans="1:6" x14ac:dyDescent="0.25">
      <c r="A71" s="37">
        <v>2005</v>
      </c>
      <c r="B71" s="38" t="s">
        <v>318</v>
      </c>
      <c r="C71" s="38" t="s">
        <v>203</v>
      </c>
      <c r="D71" s="42" t="s">
        <v>206</v>
      </c>
      <c r="E71" s="32" t="s">
        <v>24</v>
      </c>
      <c r="F71" s="40">
        <v>10625</v>
      </c>
    </row>
    <row r="72" spans="1:6" x14ac:dyDescent="0.25">
      <c r="A72" s="37">
        <v>2005</v>
      </c>
      <c r="B72" s="38" t="s">
        <v>318</v>
      </c>
      <c r="C72" s="38" t="s">
        <v>203</v>
      </c>
      <c r="D72" s="42" t="s">
        <v>206</v>
      </c>
      <c r="E72" s="32" t="s">
        <v>204</v>
      </c>
      <c r="F72" s="40">
        <v>2700</v>
      </c>
    </row>
    <row r="73" spans="1:6" x14ac:dyDescent="0.25">
      <c r="A73" s="37">
        <v>2005</v>
      </c>
      <c r="B73" s="38" t="s">
        <v>318</v>
      </c>
      <c r="C73" s="38" t="s">
        <v>203</v>
      </c>
      <c r="D73" s="43" t="s">
        <v>175</v>
      </c>
      <c r="E73" s="32" t="s">
        <v>2</v>
      </c>
      <c r="F73" s="40">
        <v>8060</v>
      </c>
    </row>
    <row r="74" spans="1:6" x14ac:dyDescent="0.25">
      <c r="A74" s="37">
        <v>2005</v>
      </c>
      <c r="B74" s="38" t="s">
        <v>318</v>
      </c>
      <c r="C74" s="38" t="s">
        <v>203</v>
      </c>
      <c r="D74" s="43" t="s">
        <v>175</v>
      </c>
      <c r="E74" s="32" t="s">
        <v>24</v>
      </c>
      <c r="F74" s="40">
        <v>12056</v>
      </c>
    </row>
    <row r="75" spans="1:6" x14ac:dyDescent="0.25">
      <c r="A75" s="37">
        <v>2005</v>
      </c>
      <c r="B75" s="38" t="s">
        <v>318</v>
      </c>
      <c r="C75" s="38" t="s">
        <v>203</v>
      </c>
      <c r="D75" s="43" t="s">
        <v>175</v>
      </c>
      <c r="E75" s="32" t="s">
        <v>204</v>
      </c>
      <c r="F75" s="40">
        <v>4290</v>
      </c>
    </row>
    <row r="76" spans="1:6" x14ac:dyDescent="0.25">
      <c r="A76" s="37">
        <v>2005</v>
      </c>
      <c r="B76" s="38" t="s">
        <v>318</v>
      </c>
      <c r="C76" s="38" t="s">
        <v>207</v>
      </c>
      <c r="D76" s="39" t="s">
        <v>208</v>
      </c>
      <c r="E76" s="32" t="s">
        <v>2</v>
      </c>
      <c r="F76" s="40">
        <v>0</v>
      </c>
    </row>
    <row r="77" spans="1:6" x14ac:dyDescent="0.25">
      <c r="A77" s="37">
        <v>2005</v>
      </c>
      <c r="B77" s="38" t="s">
        <v>318</v>
      </c>
      <c r="C77" s="38" t="s">
        <v>207</v>
      </c>
      <c r="D77" s="39" t="s">
        <v>208</v>
      </c>
      <c r="E77" s="32" t="s">
        <v>24</v>
      </c>
      <c r="F77" s="40">
        <v>6122</v>
      </c>
    </row>
    <row r="78" spans="1:6" x14ac:dyDescent="0.25">
      <c r="A78" s="37">
        <v>2005</v>
      </c>
      <c r="B78" s="38" t="s">
        <v>318</v>
      </c>
      <c r="C78" s="38" t="s">
        <v>207</v>
      </c>
      <c r="D78" s="39" t="s">
        <v>208</v>
      </c>
      <c r="E78" s="32" t="s">
        <v>204</v>
      </c>
      <c r="F78" s="40">
        <v>444811</v>
      </c>
    </row>
    <row r="79" spans="1:6" x14ac:dyDescent="0.25">
      <c r="A79" s="37">
        <v>2005</v>
      </c>
      <c r="B79" s="38" t="s">
        <v>318</v>
      </c>
      <c r="C79" s="38" t="s">
        <v>207</v>
      </c>
      <c r="D79" s="43" t="s">
        <v>209</v>
      </c>
      <c r="E79" s="32" t="s">
        <v>2</v>
      </c>
      <c r="F79" s="40">
        <v>0</v>
      </c>
    </row>
    <row r="80" spans="1:6" x14ac:dyDescent="0.25">
      <c r="A80" s="37">
        <v>2005</v>
      </c>
      <c r="B80" s="38" t="s">
        <v>318</v>
      </c>
      <c r="C80" s="38" t="s">
        <v>207</v>
      </c>
      <c r="D80" s="43" t="s">
        <v>209</v>
      </c>
      <c r="E80" s="32" t="s">
        <v>24</v>
      </c>
      <c r="F80" s="40">
        <v>3607</v>
      </c>
    </row>
    <row r="81" spans="1:6" x14ac:dyDescent="0.25">
      <c r="A81" s="37">
        <v>2005</v>
      </c>
      <c r="B81" s="38" t="s">
        <v>318</v>
      </c>
      <c r="C81" s="38" t="s">
        <v>207</v>
      </c>
      <c r="D81" s="43" t="s">
        <v>209</v>
      </c>
      <c r="E81" s="32" t="s">
        <v>204</v>
      </c>
      <c r="F81" s="40">
        <v>130599</v>
      </c>
    </row>
    <row r="82" spans="1:6" x14ac:dyDescent="0.25">
      <c r="A82" s="37">
        <v>2005</v>
      </c>
      <c r="B82" s="38" t="s">
        <v>318</v>
      </c>
      <c r="C82" s="38" t="s">
        <v>207</v>
      </c>
      <c r="D82" s="44" t="s">
        <v>210</v>
      </c>
      <c r="E82" s="32" t="s">
        <v>2</v>
      </c>
      <c r="F82" s="40">
        <v>0</v>
      </c>
    </row>
    <row r="83" spans="1:6" x14ac:dyDescent="0.25">
      <c r="A83" s="37">
        <v>2005</v>
      </c>
      <c r="B83" s="38" t="s">
        <v>318</v>
      </c>
      <c r="C83" s="38" t="s">
        <v>207</v>
      </c>
      <c r="D83" s="44" t="s">
        <v>210</v>
      </c>
      <c r="E83" s="32" t="s">
        <v>24</v>
      </c>
      <c r="F83" s="40">
        <v>0</v>
      </c>
    </row>
    <row r="84" spans="1:6" x14ac:dyDescent="0.25">
      <c r="A84" s="45">
        <v>2005</v>
      </c>
      <c r="B84" s="46" t="s">
        <v>318</v>
      </c>
      <c r="C84" s="46" t="s">
        <v>207</v>
      </c>
      <c r="D84" s="47" t="s">
        <v>210</v>
      </c>
      <c r="E84" s="33" t="s">
        <v>204</v>
      </c>
      <c r="F84" s="48">
        <v>5000</v>
      </c>
    </row>
    <row r="85" spans="1:6" x14ac:dyDescent="0.25">
      <c r="A85" s="37">
        <v>2005</v>
      </c>
      <c r="B85" s="38" t="s">
        <v>319</v>
      </c>
      <c r="C85" s="38" t="s">
        <v>203</v>
      </c>
      <c r="D85" s="39" t="s">
        <v>174</v>
      </c>
      <c r="E85" s="32" t="s">
        <v>2</v>
      </c>
      <c r="F85" s="40">
        <v>56964</v>
      </c>
    </row>
    <row r="86" spans="1:6" x14ac:dyDescent="0.25">
      <c r="A86" s="37">
        <v>2005</v>
      </c>
      <c r="B86" s="38" t="s">
        <v>319</v>
      </c>
      <c r="C86" s="38" t="s">
        <v>203</v>
      </c>
      <c r="D86" s="39" t="s">
        <v>174</v>
      </c>
      <c r="E86" s="32" t="s">
        <v>24</v>
      </c>
      <c r="F86" s="40">
        <v>64528</v>
      </c>
    </row>
    <row r="87" spans="1:6" x14ac:dyDescent="0.25">
      <c r="A87" s="37">
        <v>2005</v>
      </c>
      <c r="B87" s="38" t="s">
        <v>319</v>
      </c>
      <c r="C87" s="38" t="s">
        <v>203</v>
      </c>
      <c r="D87" s="39" t="s">
        <v>174</v>
      </c>
      <c r="E87" s="32" t="s">
        <v>204</v>
      </c>
      <c r="F87" s="40">
        <v>0</v>
      </c>
    </row>
    <row r="88" spans="1:6" x14ac:dyDescent="0.25">
      <c r="A88" s="37">
        <v>2005</v>
      </c>
      <c r="B88" s="38" t="s">
        <v>319</v>
      </c>
      <c r="C88" s="38" t="s">
        <v>203</v>
      </c>
      <c r="D88" s="41" t="s">
        <v>205</v>
      </c>
      <c r="E88" s="32" t="s">
        <v>2</v>
      </c>
      <c r="F88" s="40">
        <v>8894</v>
      </c>
    </row>
    <row r="89" spans="1:6" x14ac:dyDescent="0.25">
      <c r="A89" s="37">
        <v>2005</v>
      </c>
      <c r="B89" s="38" t="s">
        <v>319</v>
      </c>
      <c r="C89" s="38" t="s">
        <v>203</v>
      </c>
      <c r="D89" s="41" t="s">
        <v>205</v>
      </c>
      <c r="E89" s="32" t="s">
        <v>24</v>
      </c>
      <c r="F89" s="40">
        <v>10686</v>
      </c>
    </row>
    <row r="90" spans="1:6" x14ac:dyDescent="0.25">
      <c r="A90" s="37">
        <v>2005</v>
      </c>
      <c r="B90" s="38" t="s">
        <v>319</v>
      </c>
      <c r="C90" s="38" t="s">
        <v>203</v>
      </c>
      <c r="D90" s="41" t="s">
        <v>205</v>
      </c>
      <c r="E90" s="32" t="s">
        <v>204</v>
      </c>
      <c r="F90" s="40">
        <v>5864</v>
      </c>
    </row>
    <row r="91" spans="1:6" x14ac:dyDescent="0.25">
      <c r="A91" s="37">
        <v>2005</v>
      </c>
      <c r="B91" s="38" t="s">
        <v>319</v>
      </c>
      <c r="C91" s="38" t="s">
        <v>203</v>
      </c>
      <c r="D91" s="42" t="s">
        <v>206</v>
      </c>
      <c r="E91" s="32" t="s">
        <v>2</v>
      </c>
      <c r="F91" s="40">
        <v>1260</v>
      </c>
    </row>
    <row r="92" spans="1:6" x14ac:dyDescent="0.25">
      <c r="A92" s="37">
        <v>2005</v>
      </c>
      <c r="B92" s="38" t="s">
        <v>319</v>
      </c>
      <c r="C92" s="38" t="s">
        <v>203</v>
      </c>
      <c r="D92" s="42" t="s">
        <v>206</v>
      </c>
      <c r="E92" s="32" t="s">
        <v>24</v>
      </c>
      <c r="F92" s="40">
        <v>8625</v>
      </c>
    </row>
    <row r="93" spans="1:6" x14ac:dyDescent="0.25">
      <c r="A93" s="37">
        <v>2005</v>
      </c>
      <c r="B93" s="38" t="s">
        <v>319</v>
      </c>
      <c r="C93" s="38" t="s">
        <v>203</v>
      </c>
      <c r="D93" s="42" t="s">
        <v>206</v>
      </c>
      <c r="E93" s="32" t="s">
        <v>204</v>
      </c>
      <c r="F93" s="40">
        <v>2700</v>
      </c>
    </row>
    <row r="94" spans="1:6" x14ac:dyDescent="0.25">
      <c r="A94" s="37">
        <v>2005</v>
      </c>
      <c r="B94" s="38" t="s">
        <v>319</v>
      </c>
      <c r="C94" s="38" t="s">
        <v>203</v>
      </c>
      <c r="D94" s="43" t="s">
        <v>175</v>
      </c>
      <c r="E94" s="32" t="s">
        <v>2</v>
      </c>
      <c r="F94" s="40">
        <v>4400</v>
      </c>
    </row>
    <row r="95" spans="1:6" x14ac:dyDescent="0.25">
      <c r="A95" s="37">
        <v>2005</v>
      </c>
      <c r="B95" s="38" t="s">
        <v>319</v>
      </c>
      <c r="C95" s="38" t="s">
        <v>203</v>
      </c>
      <c r="D95" s="43" t="s">
        <v>175</v>
      </c>
      <c r="E95" s="32" t="s">
        <v>24</v>
      </c>
      <c r="F95" s="40">
        <v>8625</v>
      </c>
    </row>
    <row r="96" spans="1:6" x14ac:dyDescent="0.25">
      <c r="A96" s="37">
        <v>2005</v>
      </c>
      <c r="B96" s="38" t="s">
        <v>319</v>
      </c>
      <c r="C96" s="38" t="s">
        <v>203</v>
      </c>
      <c r="D96" s="43" t="s">
        <v>175</v>
      </c>
      <c r="E96" s="32" t="s">
        <v>204</v>
      </c>
      <c r="F96" s="40">
        <v>2700</v>
      </c>
    </row>
    <row r="97" spans="1:6" x14ac:dyDescent="0.25">
      <c r="A97" s="37">
        <v>2005</v>
      </c>
      <c r="B97" s="38" t="s">
        <v>319</v>
      </c>
      <c r="C97" s="38" t="s">
        <v>207</v>
      </c>
      <c r="D97" s="39" t="s">
        <v>208</v>
      </c>
      <c r="E97" s="32" t="s">
        <v>2</v>
      </c>
      <c r="F97" s="40">
        <v>0</v>
      </c>
    </row>
    <row r="98" spans="1:6" x14ac:dyDescent="0.25">
      <c r="A98" s="37">
        <v>2005</v>
      </c>
      <c r="B98" s="38" t="s">
        <v>319</v>
      </c>
      <c r="C98" s="38" t="s">
        <v>207</v>
      </c>
      <c r="D98" s="39" t="s">
        <v>208</v>
      </c>
      <c r="E98" s="32" t="s">
        <v>24</v>
      </c>
      <c r="F98" s="40">
        <v>2501</v>
      </c>
    </row>
    <row r="99" spans="1:6" x14ac:dyDescent="0.25">
      <c r="A99" s="37">
        <v>2005</v>
      </c>
      <c r="B99" s="38" t="s">
        <v>319</v>
      </c>
      <c r="C99" s="38" t="s">
        <v>207</v>
      </c>
      <c r="D99" s="39" t="s">
        <v>208</v>
      </c>
      <c r="E99" s="32" t="s">
        <v>204</v>
      </c>
      <c r="F99" s="40">
        <v>413503</v>
      </c>
    </row>
    <row r="100" spans="1:6" x14ac:dyDescent="0.25">
      <c r="A100" s="37">
        <v>2005</v>
      </c>
      <c r="B100" s="38" t="s">
        <v>319</v>
      </c>
      <c r="C100" s="38" t="s">
        <v>207</v>
      </c>
      <c r="D100" s="43" t="s">
        <v>209</v>
      </c>
      <c r="E100" s="32" t="s">
        <v>2</v>
      </c>
      <c r="F100" s="40">
        <v>0</v>
      </c>
    </row>
    <row r="101" spans="1:6" x14ac:dyDescent="0.25">
      <c r="A101" s="37">
        <v>2005</v>
      </c>
      <c r="B101" s="38" t="s">
        <v>319</v>
      </c>
      <c r="C101" s="38" t="s">
        <v>207</v>
      </c>
      <c r="D101" s="43" t="s">
        <v>209</v>
      </c>
      <c r="E101" s="32" t="s">
        <v>24</v>
      </c>
      <c r="F101" s="40">
        <v>3607</v>
      </c>
    </row>
    <row r="102" spans="1:6" x14ac:dyDescent="0.25">
      <c r="A102" s="37">
        <v>2005</v>
      </c>
      <c r="B102" s="38" t="s">
        <v>319</v>
      </c>
      <c r="C102" s="38" t="s">
        <v>207</v>
      </c>
      <c r="D102" s="43" t="s">
        <v>209</v>
      </c>
      <c r="E102" s="32" t="s">
        <v>204</v>
      </c>
      <c r="F102" s="40">
        <v>179268</v>
      </c>
    </row>
    <row r="103" spans="1:6" x14ac:dyDescent="0.25">
      <c r="A103" s="37">
        <v>2005</v>
      </c>
      <c r="B103" s="38" t="s">
        <v>319</v>
      </c>
      <c r="C103" s="38" t="s">
        <v>207</v>
      </c>
      <c r="D103" s="44" t="s">
        <v>210</v>
      </c>
      <c r="E103" s="32" t="s">
        <v>2</v>
      </c>
      <c r="F103" s="40">
        <v>0</v>
      </c>
    </row>
    <row r="104" spans="1:6" x14ac:dyDescent="0.25">
      <c r="A104" s="37">
        <v>2005</v>
      </c>
      <c r="B104" s="38" t="s">
        <v>319</v>
      </c>
      <c r="C104" s="38" t="s">
        <v>207</v>
      </c>
      <c r="D104" s="44" t="s">
        <v>210</v>
      </c>
      <c r="E104" s="32" t="s">
        <v>24</v>
      </c>
      <c r="F104" s="40">
        <v>0</v>
      </c>
    </row>
    <row r="105" spans="1:6" x14ac:dyDescent="0.25">
      <c r="A105" s="45">
        <v>2005</v>
      </c>
      <c r="B105" s="46" t="s">
        <v>319</v>
      </c>
      <c r="C105" s="46" t="s">
        <v>207</v>
      </c>
      <c r="D105" s="47" t="s">
        <v>210</v>
      </c>
      <c r="E105" s="33" t="s">
        <v>204</v>
      </c>
      <c r="F105" s="48">
        <v>0</v>
      </c>
    </row>
    <row r="106" spans="1:6" x14ac:dyDescent="0.25">
      <c r="A106" s="37">
        <v>2005</v>
      </c>
      <c r="B106" s="38" t="s">
        <v>320</v>
      </c>
      <c r="C106" s="38" t="s">
        <v>203</v>
      </c>
      <c r="D106" s="39" t="s">
        <v>174</v>
      </c>
      <c r="E106" s="32" t="s">
        <v>2</v>
      </c>
      <c r="F106" s="40">
        <v>57580</v>
      </c>
    </row>
    <row r="107" spans="1:6" x14ac:dyDescent="0.25">
      <c r="A107" s="37">
        <v>2005</v>
      </c>
      <c r="B107" s="38" t="s">
        <v>320</v>
      </c>
      <c r="C107" s="38" t="s">
        <v>203</v>
      </c>
      <c r="D107" s="39" t="s">
        <v>174</v>
      </c>
      <c r="E107" s="32" t="s">
        <v>24</v>
      </c>
      <c r="F107" s="40">
        <v>65868</v>
      </c>
    </row>
    <row r="108" spans="1:6" x14ac:dyDescent="0.25">
      <c r="A108" s="37">
        <v>2005</v>
      </c>
      <c r="B108" s="38" t="s">
        <v>320</v>
      </c>
      <c r="C108" s="38" t="s">
        <v>203</v>
      </c>
      <c r="D108" s="39" t="s">
        <v>174</v>
      </c>
      <c r="E108" s="32" t="s">
        <v>204</v>
      </c>
      <c r="F108" s="40">
        <v>0</v>
      </c>
    </row>
    <row r="109" spans="1:6" x14ac:dyDescent="0.25">
      <c r="A109" s="37">
        <v>2005</v>
      </c>
      <c r="B109" s="38" t="s">
        <v>320</v>
      </c>
      <c r="C109" s="38" t="s">
        <v>203</v>
      </c>
      <c r="D109" s="41" t="s">
        <v>205</v>
      </c>
      <c r="E109" s="32" t="s">
        <v>2</v>
      </c>
      <c r="F109" s="40">
        <v>5725</v>
      </c>
    </row>
    <row r="110" spans="1:6" x14ac:dyDescent="0.25">
      <c r="A110" s="37">
        <v>2005</v>
      </c>
      <c r="B110" s="38" t="s">
        <v>320</v>
      </c>
      <c r="C110" s="38" t="s">
        <v>203</v>
      </c>
      <c r="D110" s="41" t="s">
        <v>205</v>
      </c>
      <c r="E110" s="32" t="s">
        <v>24</v>
      </c>
      <c r="F110" s="40">
        <v>10686</v>
      </c>
    </row>
    <row r="111" spans="1:6" x14ac:dyDescent="0.25">
      <c r="A111" s="37">
        <v>2005</v>
      </c>
      <c r="B111" s="38" t="s">
        <v>320</v>
      </c>
      <c r="C111" s="38" t="s">
        <v>203</v>
      </c>
      <c r="D111" s="41" t="s">
        <v>205</v>
      </c>
      <c r="E111" s="32" t="s">
        <v>204</v>
      </c>
      <c r="F111" s="40">
        <v>5864</v>
      </c>
    </row>
    <row r="112" spans="1:6" x14ac:dyDescent="0.25">
      <c r="A112" s="37">
        <v>2005</v>
      </c>
      <c r="B112" s="38" t="s">
        <v>320</v>
      </c>
      <c r="C112" s="38" t="s">
        <v>203</v>
      </c>
      <c r="D112" s="42" t="s">
        <v>206</v>
      </c>
      <c r="E112" s="32" t="s">
        <v>2</v>
      </c>
      <c r="F112" s="40">
        <v>0</v>
      </c>
    </row>
    <row r="113" spans="1:6" x14ac:dyDescent="0.25">
      <c r="A113" s="37">
        <v>2005</v>
      </c>
      <c r="B113" s="38" t="s">
        <v>320</v>
      </c>
      <c r="C113" s="38" t="s">
        <v>203</v>
      </c>
      <c r="D113" s="42" t="s">
        <v>206</v>
      </c>
      <c r="E113" s="32" t="s">
        <v>24</v>
      </c>
      <c r="F113" s="40">
        <v>1637</v>
      </c>
    </row>
    <row r="114" spans="1:6" x14ac:dyDescent="0.25">
      <c r="A114" s="37">
        <v>2005</v>
      </c>
      <c r="B114" s="38" t="s">
        <v>320</v>
      </c>
      <c r="C114" s="38" t="s">
        <v>203</v>
      </c>
      <c r="D114" s="42" t="s">
        <v>206</v>
      </c>
      <c r="E114" s="32" t="s">
        <v>204</v>
      </c>
      <c r="F114" s="40">
        <v>3960</v>
      </c>
    </row>
    <row r="115" spans="1:6" x14ac:dyDescent="0.25">
      <c r="A115" s="37">
        <v>2005</v>
      </c>
      <c r="B115" s="38" t="s">
        <v>320</v>
      </c>
      <c r="C115" s="38" t="s">
        <v>203</v>
      </c>
      <c r="D115" s="43" t="s">
        <v>175</v>
      </c>
      <c r="E115" s="32" t="s">
        <v>2</v>
      </c>
      <c r="F115" s="40">
        <v>0</v>
      </c>
    </row>
    <row r="116" spans="1:6" x14ac:dyDescent="0.25">
      <c r="A116" s="37">
        <v>2005</v>
      </c>
      <c r="B116" s="38" t="s">
        <v>320</v>
      </c>
      <c r="C116" s="38" t="s">
        <v>203</v>
      </c>
      <c r="D116" s="43" t="s">
        <v>175</v>
      </c>
      <c r="E116" s="32" t="s">
        <v>24</v>
      </c>
      <c r="F116" s="40">
        <v>7012</v>
      </c>
    </row>
    <row r="117" spans="1:6" x14ac:dyDescent="0.25">
      <c r="A117" s="37">
        <v>2005</v>
      </c>
      <c r="B117" s="38" t="s">
        <v>320</v>
      </c>
      <c r="C117" s="38" t="s">
        <v>203</v>
      </c>
      <c r="D117" s="43" t="s">
        <v>175</v>
      </c>
      <c r="E117" s="32" t="s">
        <v>204</v>
      </c>
      <c r="F117" s="40">
        <v>4290</v>
      </c>
    </row>
    <row r="118" spans="1:6" x14ac:dyDescent="0.25">
      <c r="A118" s="37">
        <v>2005</v>
      </c>
      <c r="B118" s="38" t="s">
        <v>320</v>
      </c>
      <c r="C118" s="38" t="s">
        <v>207</v>
      </c>
      <c r="D118" s="39" t="s">
        <v>208</v>
      </c>
      <c r="E118" s="32" t="s">
        <v>2</v>
      </c>
      <c r="F118" s="40">
        <v>0</v>
      </c>
    </row>
    <row r="119" spans="1:6" x14ac:dyDescent="0.25">
      <c r="A119" s="37">
        <v>2005</v>
      </c>
      <c r="B119" s="38" t="s">
        <v>320</v>
      </c>
      <c r="C119" s="38" t="s">
        <v>207</v>
      </c>
      <c r="D119" s="39" t="s">
        <v>208</v>
      </c>
      <c r="E119" s="32" t="s">
        <v>24</v>
      </c>
      <c r="F119" s="40">
        <v>31904</v>
      </c>
    </row>
    <row r="120" spans="1:6" x14ac:dyDescent="0.25">
      <c r="A120" s="37">
        <v>2005</v>
      </c>
      <c r="B120" s="38" t="s">
        <v>320</v>
      </c>
      <c r="C120" s="38" t="s">
        <v>207</v>
      </c>
      <c r="D120" s="39" t="s">
        <v>208</v>
      </c>
      <c r="E120" s="32" t="s">
        <v>204</v>
      </c>
      <c r="F120" s="40">
        <v>399332</v>
      </c>
    </row>
    <row r="121" spans="1:6" x14ac:dyDescent="0.25">
      <c r="A121" s="37">
        <v>2005</v>
      </c>
      <c r="B121" s="38" t="s">
        <v>320</v>
      </c>
      <c r="C121" s="38" t="s">
        <v>207</v>
      </c>
      <c r="D121" s="43" t="s">
        <v>209</v>
      </c>
      <c r="E121" s="32" t="s">
        <v>2</v>
      </c>
      <c r="F121" s="40">
        <v>0</v>
      </c>
    </row>
    <row r="122" spans="1:6" x14ac:dyDescent="0.25">
      <c r="A122" s="37">
        <v>2005</v>
      </c>
      <c r="B122" s="38" t="s">
        <v>320</v>
      </c>
      <c r="C122" s="38" t="s">
        <v>207</v>
      </c>
      <c r="D122" s="43" t="s">
        <v>209</v>
      </c>
      <c r="E122" s="32" t="s">
        <v>24</v>
      </c>
      <c r="F122" s="40">
        <v>51607</v>
      </c>
    </row>
    <row r="123" spans="1:6" x14ac:dyDescent="0.25">
      <c r="A123" s="37">
        <v>2005</v>
      </c>
      <c r="B123" s="38" t="s">
        <v>320</v>
      </c>
      <c r="C123" s="38" t="s">
        <v>207</v>
      </c>
      <c r="D123" s="43" t="s">
        <v>209</v>
      </c>
      <c r="E123" s="32" t="s">
        <v>204</v>
      </c>
      <c r="F123" s="40">
        <v>121918</v>
      </c>
    </row>
    <row r="124" spans="1:6" x14ac:dyDescent="0.25">
      <c r="A124" s="37">
        <v>2005</v>
      </c>
      <c r="B124" s="38" t="s">
        <v>320</v>
      </c>
      <c r="C124" s="38" t="s">
        <v>207</v>
      </c>
      <c r="D124" s="44" t="s">
        <v>210</v>
      </c>
      <c r="E124" s="32" t="s">
        <v>2</v>
      </c>
      <c r="F124" s="40">
        <v>0</v>
      </c>
    </row>
    <row r="125" spans="1:6" x14ac:dyDescent="0.25">
      <c r="A125" s="37">
        <v>2005</v>
      </c>
      <c r="B125" s="38" t="s">
        <v>320</v>
      </c>
      <c r="C125" s="38" t="s">
        <v>207</v>
      </c>
      <c r="D125" s="44" t="s">
        <v>210</v>
      </c>
      <c r="E125" s="32" t="s">
        <v>24</v>
      </c>
      <c r="F125" s="40">
        <v>0</v>
      </c>
    </row>
    <row r="126" spans="1:6" x14ac:dyDescent="0.25">
      <c r="A126" s="45">
        <v>2005</v>
      </c>
      <c r="B126" s="46" t="s">
        <v>320</v>
      </c>
      <c r="C126" s="46" t="s">
        <v>207</v>
      </c>
      <c r="D126" s="47" t="s">
        <v>210</v>
      </c>
      <c r="E126" s="33" t="s">
        <v>204</v>
      </c>
      <c r="F126" s="48">
        <v>0</v>
      </c>
    </row>
    <row r="127" spans="1:6" x14ac:dyDescent="0.25">
      <c r="A127" s="37">
        <v>2005</v>
      </c>
      <c r="B127" s="38" t="s">
        <v>316</v>
      </c>
      <c r="C127" s="38" t="s">
        <v>203</v>
      </c>
      <c r="D127" s="39" t="s">
        <v>174</v>
      </c>
      <c r="E127" s="32" t="s">
        <v>2</v>
      </c>
      <c r="F127" s="40">
        <v>85501</v>
      </c>
    </row>
    <row r="128" spans="1:6" x14ac:dyDescent="0.25">
      <c r="A128" s="37">
        <v>2005</v>
      </c>
      <c r="B128" s="38" t="s">
        <v>316</v>
      </c>
      <c r="C128" s="38" t="s">
        <v>203</v>
      </c>
      <c r="D128" s="39" t="s">
        <v>174</v>
      </c>
      <c r="E128" s="32" t="s">
        <v>24</v>
      </c>
      <c r="F128" s="40">
        <v>13191</v>
      </c>
    </row>
    <row r="129" spans="1:6" x14ac:dyDescent="0.25">
      <c r="A129" s="37">
        <v>2005</v>
      </c>
      <c r="B129" s="38" t="s">
        <v>316</v>
      </c>
      <c r="C129" s="38" t="s">
        <v>203</v>
      </c>
      <c r="D129" s="39" t="s">
        <v>174</v>
      </c>
      <c r="E129" s="32" t="s">
        <v>204</v>
      </c>
      <c r="F129" s="40">
        <v>0</v>
      </c>
    </row>
    <row r="130" spans="1:6" x14ac:dyDescent="0.25">
      <c r="A130" s="37">
        <v>2005</v>
      </c>
      <c r="B130" s="38" t="s">
        <v>316</v>
      </c>
      <c r="C130" s="38" t="s">
        <v>203</v>
      </c>
      <c r="D130" s="41" t="s">
        <v>205</v>
      </c>
      <c r="E130" s="32" t="s">
        <v>2</v>
      </c>
      <c r="F130" s="40">
        <v>5725</v>
      </c>
    </row>
    <row r="131" spans="1:6" x14ac:dyDescent="0.25">
      <c r="A131" s="37">
        <v>2005</v>
      </c>
      <c r="B131" s="38" t="s">
        <v>316</v>
      </c>
      <c r="C131" s="38" t="s">
        <v>203</v>
      </c>
      <c r="D131" s="41" t="s">
        <v>205</v>
      </c>
      <c r="E131" s="32" t="s">
        <v>24</v>
      </c>
      <c r="F131" s="40">
        <v>9435</v>
      </c>
    </row>
    <row r="132" spans="1:6" x14ac:dyDescent="0.25">
      <c r="A132" s="37">
        <v>2005</v>
      </c>
      <c r="B132" s="38" t="s">
        <v>316</v>
      </c>
      <c r="C132" s="38" t="s">
        <v>203</v>
      </c>
      <c r="D132" s="41" t="s">
        <v>205</v>
      </c>
      <c r="E132" s="32" t="s">
        <v>204</v>
      </c>
      <c r="F132" s="40">
        <v>4461</v>
      </c>
    </row>
    <row r="133" spans="1:6" x14ac:dyDescent="0.25">
      <c r="A133" s="37">
        <v>2005</v>
      </c>
      <c r="B133" s="38" t="s">
        <v>316</v>
      </c>
      <c r="C133" s="38" t="s">
        <v>203</v>
      </c>
      <c r="D133" s="42" t="s">
        <v>206</v>
      </c>
      <c r="E133" s="32" t="s">
        <v>2</v>
      </c>
      <c r="F133" s="40">
        <v>1260</v>
      </c>
    </row>
    <row r="134" spans="1:6" x14ac:dyDescent="0.25">
      <c r="A134" s="37">
        <v>2005</v>
      </c>
      <c r="B134" s="38" t="s">
        <v>316</v>
      </c>
      <c r="C134" s="38" t="s">
        <v>203</v>
      </c>
      <c r="D134" s="42" t="s">
        <v>206</v>
      </c>
      <c r="E134" s="32" t="s">
        <v>24</v>
      </c>
      <c r="F134" s="40">
        <v>9105</v>
      </c>
    </row>
    <row r="135" spans="1:6" x14ac:dyDescent="0.25">
      <c r="A135" s="37">
        <v>2005</v>
      </c>
      <c r="B135" s="38" t="s">
        <v>316</v>
      </c>
      <c r="C135" s="38" t="s">
        <v>203</v>
      </c>
      <c r="D135" s="42" t="s">
        <v>206</v>
      </c>
      <c r="E135" s="32" t="s">
        <v>204</v>
      </c>
      <c r="F135" s="40">
        <v>5100</v>
      </c>
    </row>
    <row r="136" spans="1:6" x14ac:dyDescent="0.25">
      <c r="A136" s="37">
        <v>2005</v>
      </c>
      <c r="B136" s="38" t="s">
        <v>316</v>
      </c>
      <c r="C136" s="38" t="s">
        <v>203</v>
      </c>
      <c r="D136" s="43" t="s">
        <v>175</v>
      </c>
      <c r="E136" s="32" t="s">
        <v>2</v>
      </c>
      <c r="F136" s="40">
        <v>0</v>
      </c>
    </row>
    <row r="137" spans="1:6" x14ac:dyDescent="0.25">
      <c r="A137" s="37">
        <v>2005</v>
      </c>
      <c r="B137" s="38" t="s">
        <v>316</v>
      </c>
      <c r="C137" s="38" t="s">
        <v>203</v>
      </c>
      <c r="D137" s="43" t="s">
        <v>175</v>
      </c>
      <c r="E137" s="32" t="s">
        <v>24</v>
      </c>
      <c r="F137" s="40">
        <v>9105</v>
      </c>
    </row>
    <row r="138" spans="1:6" x14ac:dyDescent="0.25">
      <c r="A138" s="37">
        <v>2005</v>
      </c>
      <c r="B138" s="38" t="s">
        <v>316</v>
      </c>
      <c r="C138" s="38" t="s">
        <v>203</v>
      </c>
      <c r="D138" s="43" t="s">
        <v>175</v>
      </c>
      <c r="E138" s="32" t="s">
        <v>204</v>
      </c>
      <c r="F138" s="40">
        <v>5100</v>
      </c>
    </row>
    <row r="139" spans="1:6" x14ac:dyDescent="0.25">
      <c r="A139" s="37">
        <v>2005</v>
      </c>
      <c r="B139" s="38" t="s">
        <v>316</v>
      </c>
      <c r="C139" s="38" t="s">
        <v>207</v>
      </c>
      <c r="D139" s="39" t="s">
        <v>208</v>
      </c>
      <c r="E139" s="32" t="s">
        <v>2</v>
      </c>
      <c r="F139" s="40">
        <v>1325</v>
      </c>
    </row>
    <row r="140" spans="1:6" x14ac:dyDescent="0.25">
      <c r="A140" s="37">
        <v>2005</v>
      </c>
      <c r="B140" s="38" t="s">
        <v>316</v>
      </c>
      <c r="C140" s="38" t="s">
        <v>207</v>
      </c>
      <c r="D140" s="39" t="s">
        <v>208</v>
      </c>
      <c r="E140" s="32" t="s">
        <v>24</v>
      </c>
      <c r="F140" s="40">
        <v>29899</v>
      </c>
    </row>
    <row r="141" spans="1:6" x14ac:dyDescent="0.25">
      <c r="A141" s="37">
        <v>2005</v>
      </c>
      <c r="B141" s="38" t="s">
        <v>316</v>
      </c>
      <c r="C141" s="38" t="s">
        <v>207</v>
      </c>
      <c r="D141" s="39" t="s">
        <v>208</v>
      </c>
      <c r="E141" s="32" t="s">
        <v>204</v>
      </c>
      <c r="F141" s="40">
        <v>392967</v>
      </c>
    </row>
    <row r="142" spans="1:6" x14ac:dyDescent="0.25">
      <c r="A142" s="37">
        <v>2005</v>
      </c>
      <c r="B142" s="38" t="s">
        <v>316</v>
      </c>
      <c r="C142" s="38" t="s">
        <v>207</v>
      </c>
      <c r="D142" s="43" t="s">
        <v>209</v>
      </c>
      <c r="E142" s="32" t="s">
        <v>2</v>
      </c>
      <c r="F142" s="40">
        <v>0</v>
      </c>
    </row>
    <row r="143" spans="1:6" x14ac:dyDescent="0.25">
      <c r="A143" s="37">
        <v>2005</v>
      </c>
      <c r="B143" s="38" t="s">
        <v>316</v>
      </c>
      <c r="C143" s="38" t="s">
        <v>207</v>
      </c>
      <c r="D143" s="43" t="s">
        <v>209</v>
      </c>
      <c r="E143" s="32" t="s">
        <v>24</v>
      </c>
      <c r="F143" s="40">
        <v>51607</v>
      </c>
    </row>
    <row r="144" spans="1:6" x14ac:dyDescent="0.25">
      <c r="A144" s="37">
        <v>2005</v>
      </c>
      <c r="B144" s="38" t="s">
        <v>316</v>
      </c>
      <c r="C144" s="38" t="s">
        <v>207</v>
      </c>
      <c r="D144" s="43" t="s">
        <v>209</v>
      </c>
      <c r="E144" s="32" t="s">
        <v>204</v>
      </c>
      <c r="F144" s="40">
        <v>137148</v>
      </c>
    </row>
    <row r="145" spans="1:6" x14ac:dyDescent="0.25">
      <c r="A145" s="37">
        <v>2005</v>
      </c>
      <c r="B145" s="38" t="s">
        <v>316</v>
      </c>
      <c r="C145" s="38" t="s">
        <v>207</v>
      </c>
      <c r="D145" s="44" t="s">
        <v>210</v>
      </c>
      <c r="E145" s="32" t="s">
        <v>2</v>
      </c>
      <c r="F145" s="40">
        <v>0</v>
      </c>
    </row>
    <row r="146" spans="1:6" x14ac:dyDescent="0.25">
      <c r="A146" s="37">
        <v>2005</v>
      </c>
      <c r="B146" s="38" t="s">
        <v>316</v>
      </c>
      <c r="C146" s="38" t="s">
        <v>207</v>
      </c>
      <c r="D146" s="44" t="s">
        <v>210</v>
      </c>
      <c r="E146" s="32" t="s">
        <v>24</v>
      </c>
      <c r="F146" s="40">
        <v>0</v>
      </c>
    </row>
    <row r="147" spans="1:6" x14ac:dyDescent="0.25">
      <c r="A147" s="45">
        <v>2005</v>
      </c>
      <c r="B147" s="46" t="s">
        <v>316</v>
      </c>
      <c r="C147" s="46" t="s">
        <v>207</v>
      </c>
      <c r="D147" s="47" t="s">
        <v>210</v>
      </c>
      <c r="E147" s="33" t="s">
        <v>204</v>
      </c>
      <c r="F147" s="48">
        <v>0</v>
      </c>
    </row>
    <row r="148" spans="1:6" x14ac:dyDescent="0.25">
      <c r="A148" s="37">
        <v>2006</v>
      </c>
      <c r="B148" s="38" t="s">
        <v>317</v>
      </c>
      <c r="C148" s="38" t="s">
        <v>203</v>
      </c>
      <c r="D148" s="39" t="s">
        <v>174</v>
      </c>
      <c r="E148" s="32" t="s">
        <v>2</v>
      </c>
      <c r="F148" s="40">
        <v>52758</v>
      </c>
    </row>
    <row r="149" spans="1:6" x14ac:dyDescent="0.25">
      <c r="A149" s="37">
        <v>2006</v>
      </c>
      <c r="B149" s="38" t="s">
        <v>317</v>
      </c>
      <c r="C149" s="38" t="s">
        <v>203</v>
      </c>
      <c r="D149" s="39" t="s">
        <v>174</v>
      </c>
      <c r="E149" s="32" t="s">
        <v>24</v>
      </c>
      <c r="F149" s="40">
        <v>35763</v>
      </c>
    </row>
    <row r="150" spans="1:6" x14ac:dyDescent="0.25">
      <c r="A150" s="37">
        <v>2006</v>
      </c>
      <c r="B150" s="38" t="s">
        <v>317</v>
      </c>
      <c r="C150" s="38" t="s">
        <v>203</v>
      </c>
      <c r="D150" s="39" t="s">
        <v>174</v>
      </c>
      <c r="E150" s="32" t="s">
        <v>204</v>
      </c>
      <c r="F150" s="40">
        <v>0</v>
      </c>
    </row>
    <row r="151" spans="1:6" x14ac:dyDescent="0.25">
      <c r="A151" s="37">
        <v>2006</v>
      </c>
      <c r="B151" s="38" t="s">
        <v>317</v>
      </c>
      <c r="C151" s="38" t="s">
        <v>203</v>
      </c>
      <c r="D151" s="41" t="s">
        <v>205</v>
      </c>
      <c r="E151" s="32" t="s">
        <v>2</v>
      </c>
      <c r="F151" s="40">
        <v>5725</v>
      </c>
    </row>
    <row r="152" spans="1:6" x14ac:dyDescent="0.25">
      <c r="A152" s="37">
        <v>2006</v>
      </c>
      <c r="B152" s="38" t="s">
        <v>317</v>
      </c>
      <c r="C152" s="38" t="s">
        <v>203</v>
      </c>
      <c r="D152" s="41" t="s">
        <v>205</v>
      </c>
      <c r="E152" s="32" t="s">
        <v>24</v>
      </c>
      <c r="F152" s="40">
        <v>11435</v>
      </c>
    </row>
    <row r="153" spans="1:6" x14ac:dyDescent="0.25">
      <c r="A153" s="37">
        <v>2006</v>
      </c>
      <c r="B153" s="38" t="s">
        <v>317</v>
      </c>
      <c r="C153" s="38" t="s">
        <v>203</v>
      </c>
      <c r="D153" s="41" t="s">
        <v>205</v>
      </c>
      <c r="E153" s="32" t="s">
        <v>204</v>
      </c>
      <c r="F153" s="40">
        <v>1556</v>
      </c>
    </row>
    <row r="154" spans="1:6" x14ac:dyDescent="0.25">
      <c r="A154" s="37">
        <v>2006</v>
      </c>
      <c r="B154" s="38" t="s">
        <v>317</v>
      </c>
      <c r="C154" s="38" t="s">
        <v>203</v>
      </c>
      <c r="D154" s="42" t="s">
        <v>206</v>
      </c>
      <c r="E154" s="32" t="s">
        <v>2</v>
      </c>
      <c r="F154" s="40">
        <v>1260</v>
      </c>
    </row>
    <row r="155" spans="1:6" x14ac:dyDescent="0.25">
      <c r="A155" s="37">
        <v>2006</v>
      </c>
      <c r="B155" s="38" t="s">
        <v>317</v>
      </c>
      <c r="C155" s="38" t="s">
        <v>203</v>
      </c>
      <c r="D155" s="42" t="s">
        <v>206</v>
      </c>
      <c r="E155" s="32" t="s">
        <v>24</v>
      </c>
      <c r="F155" s="40">
        <v>9778</v>
      </c>
    </row>
    <row r="156" spans="1:6" x14ac:dyDescent="0.25">
      <c r="A156" s="37">
        <v>2006</v>
      </c>
      <c r="B156" s="38" t="s">
        <v>317</v>
      </c>
      <c r="C156" s="38" t="s">
        <v>203</v>
      </c>
      <c r="D156" s="42" t="s">
        <v>206</v>
      </c>
      <c r="E156" s="32" t="s">
        <v>204</v>
      </c>
      <c r="F156" s="40">
        <v>2100</v>
      </c>
    </row>
    <row r="157" spans="1:6" x14ac:dyDescent="0.25">
      <c r="A157" s="37">
        <v>2006</v>
      </c>
      <c r="B157" s="38" t="s">
        <v>317</v>
      </c>
      <c r="C157" s="38" t="s">
        <v>203</v>
      </c>
      <c r="D157" s="43" t="s">
        <v>175</v>
      </c>
      <c r="E157" s="32" t="s">
        <v>2</v>
      </c>
      <c r="F157" s="40">
        <v>0</v>
      </c>
    </row>
    <row r="158" spans="1:6" x14ac:dyDescent="0.25">
      <c r="A158" s="37">
        <v>2006</v>
      </c>
      <c r="B158" s="38" t="s">
        <v>317</v>
      </c>
      <c r="C158" s="38" t="s">
        <v>203</v>
      </c>
      <c r="D158" s="43" t="s">
        <v>175</v>
      </c>
      <c r="E158" s="32" t="s">
        <v>24</v>
      </c>
      <c r="F158" s="40">
        <v>7012</v>
      </c>
    </row>
    <row r="159" spans="1:6" x14ac:dyDescent="0.25">
      <c r="A159" s="37">
        <v>2006</v>
      </c>
      <c r="B159" s="38" t="s">
        <v>317</v>
      </c>
      <c r="C159" s="38" t="s">
        <v>203</v>
      </c>
      <c r="D159" s="43" t="s">
        <v>175</v>
      </c>
      <c r="E159" s="32" t="s">
        <v>204</v>
      </c>
      <c r="F159" s="40">
        <v>1540</v>
      </c>
    </row>
    <row r="160" spans="1:6" x14ac:dyDescent="0.25">
      <c r="A160" s="37">
        <v>2006</v>
      </c>
      <c r="B160" s="38" t="s">
        <v>317</v>
      </c>
      <c r="C160" s="38" t="s">
        <v>207</v>
      </c>
      <c r="D160" s="39" t="s">
        <v>208</v>
      </c>
      <c r="E160" s="32" t="s">
        <v>2</v>
      </c>
      <c r="F160" s="40">
        <v>0</v>
      </c>
    </row>
    <row r="161" spans="1:6" x14ac:dyDescent="0.25">
      <c r="A161" s="37">
        <v>2006</v>
      </c>
      <c r="B161" s="38" t="s">
        <v>317</v>
      </c>
      <c r="C161" s="38" t="s">
        <v>207</v>
      </c>
      <c r="D161" s="39" t="s">
        <v>208</v>
      </c>
      <c r="E161" s="32" t="s">
        <v>24</v>
      </c>
      <c r="F161" s="40">
        <v>29899</v>
      </c>
    </row>
    <row r="162" spans="1:6" x14ac:dyDescent="0.25">
      <c r="A162" s="37">
        <v>2006</v>
      </c>
      <c r="B162" s="38" t="s">
        <v>317</v>
      </c>
      <c r="C162" s="38" t="s">
        <v>207</v>
      </c>
      <c r="D162" s="39" t="s">
        <v>208</v>
      </c>
      <c r="E162" s="32" t="s">
        <v>204</v>
      </c>
      <c r="F162" s="40">
        <v>389546</v>
      </c>
    </row>
    <row r="163" spans="1:6" x14ac:dyDescent="0.25">
      <c r="A163" s="37">
        <v>2006</v>
      </c>
      <c r="B163" s="38" t="s">
        <v>317</v>
      </c>
      <c r="C163" s="38" t="s">
        <v>207</v>
      </c>
      <c r="D163" s="43" t="s">
        <v>209</v>
      </c>
      <c r="E163" s="32" t="s">
        <v>2</v>
      </c>
      <c r="F163" s="40">
        <v>0</v>
      </c>
    </row>
    <row r="164" spans="1:6" x14ac:dyDescent="0.25">
      <c r="A164" s="37">
        <v>2006</v>
      </c>
      <c r="B164" s="38" t="s">
        <v>317</v>
      </c>
      <c r="C164" s="38" t="s">
        <v>207</v>
      </c>
      <c r="D164" s="43" t="s">
        <v>209</v>
      </c>
      <c r="E164" s="32" t="s">
        <v>24</v>
      </c>
      <c r="F164" s="40">
        <v>51607</v>
      </c>
    </row>
    <row r="165" spans="1:6" x14ac:dyDescent="0.25">
      <c r="A165" s="37">
        <v>2006</v>
      </c>
      <c r="B165" s="38" t="s">
        <v>317</v>
      </c>
      <c r="C165" s="38" t="s">
        <v>207</v>
      </c>
      <c r="D165" s="43" t="s">
        <v>209</v>
      </c>
      <c r="E165" s="32" t="s">
        <v>204</v>
      </c>
      <c r="F165" s="40">
        <v>103111</v>
      </c>
    </row>
    <row r="166" spans="1:6" x14ac:dyDescent="0.25">
      <c r="A166" s="37">
        <v>2006</v>
      </c>
      <c r="B166" s="38" t="s">
        <v>317</v>
      </c>
      <c r="C166" s="38" t="s">
        <v>207</v>
      </c>
      <c r="D166" s="44" t="s">
        <v>210</v>
      </c>
      <c r="E166" s="32" t="s">
        <v>2</v>
      </c>
      <c r="F166" s="40">
        <v>0</v>
      </c>
    </row>
    <row r="167" spans="1:6" x14ac:dyDescent="0.25">
      <c r="A167" s="37">
        <v>2006</v>
      </c>
      <c r="B167" s="38" t="s">
        <v>317</v>
      </c>
      <c r="C167" s="38" t="s">
        <v>207</v>
      </c>
      <c r="D167" s="44" t="s">
        <v>210</v>
      </c>
      <c r="E167" s="32" t="s">
        <v>24</v>
      </c>
      <c r="F167" s="40">
        <v>0</v>
      </c>
    </row>
    <row r="168" spans="1:6" x14ac:dyDescent="0.25">
      <c r="A168" s="45">
        <v>2006</v>
      </c>
      <c r="B168" s="46" t="s">
        <v>317</v>
      </c>
      <c r="C168" s="46" t="s">
        <v>207</v>
      </c>
      <c r="D168" s="47" t="s">
        <v>210</v>
      </c>
      <c r="E168" s="33" t="s">
        <v>204</v>
      </c>
      <c r="F168" s="48">
        <v>0</v>
      </c>
    </row>
    <row r="169" spans="1:6" x14ac:dyDescent="0.25">
      <c r="A169" s="37">
        <v>2006</v>
      </c>
      <c r="B169" s="38" t="s">
        <v>307</v>
      </c>
      <c r="C169" s="38" t="s">
        <v>203</v>
      </c>
      <c r="D169" s="39" t="s">
        <v>174</v>
      </c>
      <c r="E169" s="32" t="s">
        <v>2</v>
      </c>
      <c r="F169" s="40">
        <v>52758</v>
      </c>
    </row>
    <row r="170" spans="1:6" x14ac:dyDescent="0.25">
      <c r="A170" s="37">
        <v>2006</v>
      </c>
      <c r="B170" s="38" t="s">
        <v>307</v>
      </c>
      <c r="C170" s="38" t="s">
        <v>203</v>
      </c>
      <c r="D170" s="39" t="s">
        <v>174</v>
      </c>
      <c r="E170" s="32" t="s">
        <v>24</v>
      </c>
      <c r="F170" s="40">
        <v>38155</v>
      </c>
    </row>
    <row r="171" spans="1:6" x14ac:dyDescent="0.25">
      <c r="A171" s="37">
        <v>2006</v>
      </c>
      <c r="B171" s="38" t="s">
        <v>307</v>
      </c>
      <c r="C171" s="38" t="s">
        <v>203</v>
      </c>
      <c r="D171" s="39" t="s">
        <v>174</v>
      </c>
      <c r="E171" s="32" t="s">
        <v>204</v>
      </c>
      <c r="F171" s="40">
        <v>0</v>
      </c>
    </row>
    <row r="172" spans="1:6" x14ac:dyDescent="0.25">
      <c r="A172" s="37">
        <v>2006</v>
      </c>
      <c r="B172" s="38" t="s">
        <v>307</v>
      </c>
      <c r="C172" s="38" t="s">
        <v>203</v>
      </c>
      <c r="D172" s="41" t="s">
        <v>205</v>
      </c>
      <c r="E172" s="32" t="s">
        <v>2</v>
      </c>
      <c r="F172" s="40">
        <v>4700</v>
      </c>
    </row>
    <row r="173" spans="1:6" x14ac:dyDescent="0.25">
      <c r="A173" s="37">
        <v>2006</v>
      </c>
      <c r="B173" s="38" t="s">
        <v>307</v>
      </c>
      <c r="C173" s="38" t="s">
        <v>203</v>
      </c>
      <c r="D173" s="41" t="s">
        <v>205</v>
      </c>
      <c r="E173" s="32" t="s">
        <v>24</v>
      </c>
      <c r="F173" s="40">
        <v>12435</v>
      </c>
    </row>
    <row r="174" spans="1:6" x14ac:dyDescent="0.25">
      <c r="A174" s="37">
        <v>2006</v>
      </c>
      <c r="B174" s="38" t="s">
        <v>307</v>
      </c>
      <c r="C174" s="38" t="s">
        <v>203</v>
      </c>
      <c r="D174" s="41" t="s">
        <v>205</v>
      </c>
      <c r="E174" s="32" t="s">
        <v>204</v>
      </c>
      <c r="F174" s="40">
        <v>1556</v>
      </c>
    </row>
    <row r="175" spans="1:6" x14ac:dyDescent="0.25">
      <c r="A175" s="37">
        <v>2006</v>
      </c>
      <c r="B175" s="38" t="s">
        <v>307</v>
      </c>
      <c r="C175" s="38" t="s">
        <v>203</v>
      </c>
      <c r="D175" s="42" t="s">
        <v>206</v>
      </c>
      <c r="E175" s="32" t="s">
        <v>2</v>
      </c>
      <c r="F175" s="40">
        <v>1031</v>
      </c>
    </row>
    <row r="176" spans="1:6" x14ac:dyDescent="0.25">
      <c r="A176" s="37">
        <v>2006</v>
      </c>
      <c r="B176" s="38" t="s">
        <v>307</v>
      </c>
      <c r="C176" s="38" t="s">
        <v>203</v>
      </c>
      <c r="D176" s="42" t="s">
        <v>206</v>
      </c>
      <c r="E176" s="32" t="s">
        <v>24</v>
      </c>
      <c r="F176" s="40">
        <v>8217</v>
      </c>
    </row>
    <row r="177" spans="1:6" x14ac:dyDescent="0.25">
      <c r="A177" s="37">
        <v>2006</v>
      </c>
      <c r="B177" s="38" t="s">
        <v>307</v>
      </c>
      <c r="C177" s="38" t="s">
        <v>203</v>
      </c>
      <c r="D177" s="42" t="s">
        <v>206</v>
      </c>
      <c r="E177" s="32" t="s">
        <v>204</v>
      </c>
      <c r="F177" s="40">
        <v>0</v>
      </c>
    </row>
    <row r="178" spans="1:6" x14ac:dyDescent="0.25">
      <c r="A178" s="37">
        <v>2006</v>
      </c>
      <c r="B178" s="38" t="s">
        <v>307</v>
      </c>
      <c r="C178" s="38" t="s">
        <v>203</v>
      </c>
      <c r="D178" s="43" t="s">
        <v>175</v>
      </c>
      <c r="E178" s="32" t="s">
        <v>2</v>
      </c>
      <c r="F178" s="40">
        <v>0</v>
      </c>
    </row>
    <row r="179" spans="1:6" x14ac:dyDescent="0.25">
      <c r="A179" s="37">
        <v>2006</v>
      </c>
      <c r="B179" s="38" t="s">
        <v>307</v>
      </c>
      <c r="C179" s="38" t="s">
        <v>203</v>
      </c>
      <c r="D179" s="43" t="s">
        <v>175</v>
      </c>
      <c r="E179" s="32" t="s">
        <v>24</v>
      </c>
      <c r="F179" s="40">
        <v>7262</v>
      </c>
    </row>
    <row r="180" spans="1:6" x14ac:dyDescent="0.25">
      <c r="A180" s="37">
        <v>2006</v>
      </c>
      <c r="B180" s="38" t="s">
        <v>307</v>
      </c>
      <c r="C180" s="38" t="s">
        <v>203</v>
      </c>
      <c r="D180" s="43" t="s">
        <v>175</v>
      </c>
      <c r="E180" s="32" t="s">
        <v>204</v>
      </c>
      <c r="F180" s="40">
        <v>0</v>
      </c>
    </row>
    <row r="181" spans="1:6" x14ac:dyDescent="0.25">
      <c r="A181" s="37">
        <v>2006</v>
      </c>
      <c r="B181" s="38" t="s">
        <v>307</v>
      </c>
      <c r="C181" s="38" t="s">
        <v>207</v>
      </c>
      <c r="D181" s="39" t="s">
        <v>208</v>
      </c>
      <c r="E181" s="32" t="s">
        <v>2</v>
      </c>
      <c r="F181" s="40">
        <v>2400</v>
      </c>
    </row>
    <row r="182" spans="1:6" x14ac:dyDescent="0.25">
      <c r="A182" s="37">
        <v>2006</v>
      </c>
      <c r="B182" s="38" t="s">
        <v>307</v>
      </c>
      <c r="C182" s="38" t="s">
        <v>207</v>
      </c>
      <c r="D182" s="39" t="s">
        <v>208</v>
      </c>
      <c r="E182" s="32" t="s">
        <v>24</v>
      </c>
      <c r="F182" s="40">
        <v>29312</v>
      </c>
    </row>
    <row r="183" spans="1:6" x14ac:dyDescent="0.25">
      <c r="A183" s="37">
        <v>2006</v>
      </c>
      <c r="B183" s="38" t="s">
        <v>307</v>
      </c>
      <c r="C183" s="38" t="s">
        <v>207</v>
      </c>
      <c r="D183" s="39" t="s">
        <v>208</v>
      </c>
      <c r="E183" s="32" t="s">
        <v>204</v>
      </c>
      <c r="F183" s="40">
        <v>389361</v>
      </c>
    </row>
    <row r="184" spans="1:6" x14ac:dyDescent="0.25">
      <c r="A184" s="37">
        <v>2006</v>
      </c>
      <c r="B184" s="38" t="s">
        <v>307</v>
      </c>
      <c r="C184" s="38" t="s">
        <v>207</v>
      </c>
      <c r="D184" s="43" t="s">
        <v>209</v>
      </c>
      <c r="E184" s="32" t="s">
        <v>2</v>
      </c>
      <c r="F184" s="40">
        <v>0</v>
      </c>
    </row>
    <row r="185" spans="1:6" x14ac:dyDescent="0.25">
      <c r="A185" s="37">
        <v>2006</v>
      </c>
      <c r="B185" s="38" t="s">
        <v>307</v>
      </c>
      <c r="C185" s="38" t="s">
        <v>207</v>
      </c>
      <c r="D185" s="43" t="s">
        <v>209</v>
      </c>
      <c r="E185" s="32" t="s">
        <v>24</v>
      </c>
      <c r="F185" s="40">
        <v>49607</v>
      </c>
    </row>
    <row r="186" spans="1:6" x14ac:dyDescent="0.25">
      <c r="A186" s="37">
        <v>2006</v>
      </c>
      <c r="B186" s="38" t="s">
        <v>307</v>
      </c>
      <c r="C186" s="38" t="s">
        <v>207</v>
      </c>
      <c r="D186" s="43" t="s">
        <v>209</v>
      </c>
      <c r="E186" s="32" t="s">
        <v>204</v>
      </c>
      <c r="F186" s="40">
        <v>139826</v>
      </c>
    </row>
    <row r="187" spans="1:6" x14ac:dyDescent="0.25">
      <c r="A187" s="37">
        <v>2006</v>
      </c>
      <c r="B187" s="38" t="s">
        <v>307</v>
      </c>
      <c r="C187" s="38" t="s">
        <v>207</v>
      </c>
      <c r="D187" s="44" t="s">
        <v>210</v>
      </c>
      <c r="E187" s="32" t="s">
        <v>2</v>
      </c>
      <c r="F187" s="40">
        <v>0</v>
      </c>
    </row>
    <row r="188" spans="1:6" x14ac:dyDescent="0.25">
      <c r="A188" s="37">
        <v>2006</v>
      </c>
      <c r="B188" s="38" t="s">
        <v>307</v>
      </c>
      <c r="C188" s="38" t="s">
        <v>207</v>
      </c>
      <c r="D188" s="44" t="s">
        <v>210</v>
      </c>
      <c r="E188" s="32" t="s">
        <v>24</v>
      </c>
      <c r="F188" s="40">
        <v>0</v>
      </c>
    </row>
    <row r="189" spans="1:6" x14ac:dyDescent="0.25">
      <c r="A189" s="45">
        <v>2006</v>
      </c>
      <c r="B189" s="46" t="s">
        <v>307</v>
      </c>
      <c r="C189" s="46" t="s">
        <v>207</v>
      </c>
      <c r="D189" s="47" t="s">
        <v>210</v>
      </c>
      <c r="E189" s="33" t="s">
        <v>204</v>
      </c>
      <c r="F189" s="48">
        <v>0</v>
      </c>
    </row>
    <row r="190" spans="1:6" x14ac:dyDescent="0.25">
      <c r="A190" s="37">
        <v>2006</v>
      </c>
      <c r="B190" s="38" t="s">
        <v>318</v>
      </c>
      <c r="C190" s="38" t="s">
        <v>203</v>
      </c>
      <c r="D190" s="39" t="s">
        <v>174</v>
      </c>
      <c r="E190" s="32" t="s">
        <v>2</v>
      </c>
      <c r="F190" s="40">
        <v>52758</v>
      </c>
    </row>
    <row r="191" spans="1:6" x14ac:dyDescent="0.25">
      <c r="A191" s="37">
        <v>2006</v>
      </c>
      <c r="B191" s="38" t="s">
        <v>318</v>
      </c>
      <c r="C191" s="38" t="s">
        <v>203</v>
      </c>
      <c r="D191" s="39" t="s">
        <v>174</v>
      </c>
      <c r="E191" s="32" t="s">
        <v>24</v>
      </c>
      <c r="F191" s="40">
        <v>37389</v>
      </c>
    </row>
    <row r="192" spans="1:6" x14ac:dyDescent="0.25">
      <c r="A192" s="37">
        <v>2006</v>
      </c>
      <c r="B192" s="38" t="s">
        <v>318</v>
      </c>
      <c r="C192" s="38" t="s">
        <v>203</v>
      </c>
      <c r="D192" s="39" t="s">
        <v>174</v>
      </c>
      <c r="E192" s="32" t="s">
        <v>204</v>
      </c>
      <c r="F192" s="40">
        <v>0</v>
      </c>
    </row>
    <row r="193" spans="1:6" x14ac:dyDescent="0.25">
      <c r="A193" s="37">
        <v>2006</v>
      </c>
      <c r="B193" s="38" t="s">
        <v>318</v>
      </c>
      <c r="C193" s="38" t="s">
        <v>203</v>
      </c>
      <c r="D193" s="41" t="s">
        <v>205</v>
      </c>
      <c r="E193" s="32" t="s">
        <v>2</v>
      </c>
      <c r="F193" s="40">
        <v>4700</v>
      </c>
    </row>
    <row r="194" spans="1:6" x14ac:dyDescent="0.25">
      <c r="A194" s="37">
        <v>2006</v>
      </c>
      <c r="B194" s="38" t="s">
        <v>318</v>
      </c>
      <c r="C194" s="38" t="s">
        <v>203</v>
      </c>
      <c r="D194" s="41" t="s">
        <v>205</v>
      </c>
      <c r="E194" s="32" t="s">
        <v>24</v>
      </c>
      <c r="F194" s="40">
        <v>12415</v>
      </c>
    </row>
    <row r="195" spans="1:6" x14ac:dyDescent="0.25">
      <c r="A195" s="37">
        <v>2006</v>
      </c>
      <c r="B195" s="38" t="s">
        <v>318</v>
      </c>
      <c r="C195" s="38" t="s">
        <v>203</v>
      </c>
      <c r="D195" s="41" t="s">
        <v>205</v>
      </c>
      <c r="E195" s="32" t="s">
        <v>204</v>
      </c>
      <c r="F195" s="40">
        <v>1556</v>
      </c>
    </row>
    <row r="196" spans="1:6" x14ac:dyDescent="0.25">
      <c r="A196" s="37">
        <v>2006</v>
      </c>
      <c r="B196" s="38" t="s">
        <v>318</v>
      </c>
      <c r="C196" s="38" t="s">
        <v>203</v>
      </c>
      <c r="D196" s="42" t="s">
        <v>206</v>
      </c>
      <c r="E196" s="32" t="s">
        <v>2</v>
      </c>
      <c r="F196" s="40">
        <v>0</v>
      </c>
    </row>
    <row r="197" spans="1:6" x14ac:dyDescent="0.25">
      <c r="A197" s="37">
        <v>2006</v>
      </c>
      <c r="B197" s="38" t="s">
        <v>318</v>
      </c>
      <c r="C197" s="38" t="s">
        <v>203</v>
      </c>
      <c r="D197" s="42" t="s">
        <v>206</v>
      </c>
      <c r="E197" s="32" t="s">
        <v>24</v>
      </c>
      <c r="F197" s="40">
        <v>9082</v>
      </c>
    </row>
    <row r="198" spans="1:6" x14ac:dyDescent="0.25">
      <c r="A198" s="37">
        <v>2006</v>
      </c>
      <c r="B198" s="38" t="s">
        <v>318</v>
      </c>
      <c r="C198" s="38" t="s">
        <v>203</v>
      </c>
      <c r="D198" s="42" t="s">
        <v>206</v>
      </c>
      <c r="E198" s="32" t="s">
        <v>204</v>
      </c>
      <c r="F198" s="40">
        <v>1857</v>
      </c>
    </row>
    <row r="199" spans="1:6" x14ac:dyDescent="0.25">
      <c r="A199" s="37">
        <v>2006</v>
      </c>
      <c r="B199" s="38" t="s">
        <v>318</v>
      </c>
      <c r="C199" s="38" t="s">
        <v>203</v>
      </c>
      <c r="D199" s="43" t="s">
        <v>175</v>
      </c>
      <c r="E199" s="32" t="s">
        <v>2</v>
      </c>
      <c r="F199" s="40">
        <v>0</v>
      </c>
    </row>
    <row r="200" spans="1:6" x14ac:dyDescent="0.25">
      <c r="A200" s="37">
        <v>2006</v>
      </c>
      <c r="B200" s="38" t="s">
        <v>318</v>
      </c>
      <c r="C200" s="38" t="s">
        <v>203</v>
      </c>
      <c r="D200" s="43" t="s">
        <v>175</v>
      </c>
      <c r="E200" s="32" t="s">
        <v>24</v>
      </c>
      <c r="F200" s="40">
        <v>4806</v>
      </c>
    </row>
    <row r="201" spans="1:6" x14ac:dyDescent="0.25">
      <c r="A201" s="37">
        <v>2006</v>
      </c>
      <c r="B201" s="38" t="s">
        <v>318</v>
      </c>
      <c r="C201" s="38" t="s">
        <v>203</v>
      </c>
      <c r="D201" s="43" t="s">
        <v>175</v>
      </c>
      <c r="E201" s="32" t="s">
        <v>204</v>
      </c>
      <c r="F201" s="40">
        <v>0</v>
      </c>
    </row>
    <row r="202" spans="1:6" x14ac:dyDescent="0.25">
      <c r="A202" s="37">
        <v>2006</v>
      </c>
      <c r="B202" s="38" t="s">
        <v>318</v>
      </c>
      <c r="C202" s="38" t="s">
        <v>207</v>
      </c>
      <c r="D202" s="39" t="s">
        <v>208</v>
      </c>
      <c r="E202" s="32" t="s">
        <v>2</v>
      </c>
      <c r="F202" s="40">
        <v>2400</v>
      </c>
    </row>
    <row r="203" spans="1:6" x14ac:dyDescent="0.25">
      <c r="A203" s="37">
        <v>2006</v>
      </c>
      <c r="B203" s="38" t="s">
        <v>318</v>
      </c>
      <c r="C203" s="38" t="s">
        <v>207</v>
      </c>
      <c r="D203" s="39" t="s">
        <v>208</v>
      </c>
      <c r="E203" s="32" t="s">
        <v>24</v>
      </c>
      <c r="F203" s="40">
        <v>27519</v>
      </c>
    </row>
    <row r="204" spans="1:6" x14ac:dyDescent="0.25">
      <c r="A204" s="37">
        <v>2006</v>
      </c>
      <c r="B204" s="38" t="s">
        <v>318</v>
      </c>
      <c r="C204" s="38" t="s">
        <v>207</v>
      </c>
      <c r="D204" s="39" t="s">
        <v>208</v>
      </c>
      <c r="E204" s="32" t="s">
        <v>204</v>
      </c>
      <c r="F204" s="40">
        <v>398698</v>
      </c>
    </row>
    <row r="205" spans="1:6" x14ac:dyDescent="0.25">
      <c r="A205" s="37">
        <v>2006</v>
      </c>
      <c r="B205" s="38" t="s">
        <v>318</v>
      </c>
      <c r="C205" s="38" t="s">
        <v>207</v>
      </c>
      <c r="D205" s="43" t="s">
        <v>209</v>
      </c>
      <c r="E205" s="32" t="s">
        <v>2</v>
      </c>
      <c r="F205" s="40">
        <v>0</v>
      </c>
    </row>
    <row r="206" spans="1:6" x14ac:dyDescent="0.25">
      <c r="A206" s="37">
        <v>2006</v>
      </c>
      <c r="B206" s="38" t="s">
        <v>318</v>
      </c>
      <c r="C206" s="38" t="s">
        <v>207</v>
      </c>
      <c r="D206" s="43" t="s">
        <v>209</v>
      </c>
      <c r="E206" s="32" t="s">
        <v>24</v>
      </c>
      <c r="F206" s="40">
        <v>49607</v>
      </c>
    </row>
    <row r="207" spans="1:6" x14ac:dyDescent="0.25">
      <c r="A207" s="37">
        <v>2006</v>
      </c>
      <c r="B207" s="38" t="s">
        <v>318</v>
      </c>
      <c r="C207" s="38" t="s">
        <v>207</v>
      </c>
      <c r="D207" s="43" t="s">
        <v>209</v>
      </c>
      <c r="E207" s="32" t="s">
        <v>204</v>
      </c>
      <c r="F207" s="40">
        <v>147386</v>
      </c>
    </row>
    <row r="208" spans="1:6" x14ac:dyDescent="0.25">
      <c r="A208" s="37">
        <v>2006</v>
      </c>
      <c r="B208" s="38" t="s">
        <v>318</v>
      </c>
      <c r="C208" s="38" t="s">
        <v>207</v>
      </c>
      <c r="D208" s="44" t="s">
        <v>210</v>
      </c>
      <c r="E208" s="32" t="s">
        <v>2</v>
      </c>
      <c r="F208" s="40">
        <v>0</v>
      </c>
    </row>
    <row r="209" spans="1:6" x14ac:dyDescent="0.25">
      <c r="A209" s="37">
        <v>2006</v>
      </c>
      <c r="B209" s="38" t="s">
        <v>318</v>
      </c>
      <c r="C209" s="38" t="s">
        <v>207</v>
      </c>
      <c r="D209" s="44" t="s">
        <v>210</v>
      </c>
      <c r="E209" s="32" t="s">
        <v>24</v>
      </c>
      <c r="F209" s="40">
        <v>0</v>
      </c>
    </row>
    <row r="210" spans="1:6" x14ac:dyDescent="0.25">
      <c r="A210" s="45">
        <v>2006</v>
      </c>
      <c r="B210" s="46" t="s">
        <v>318</v>
      </c>
      <c r="C210" s="46" t="s">
        <v>207</v>
      </c>
      <c r="D210" s="47" t="s">
        <v>210</v>
      </c>
      <c r="E210" s="33" t="s">
        <v>204</v>
      </c>
      <c r="F210" s="48">
        <v>0</v>
      </c>
    </row>
    <row r="211" spans="1:6" x14ac:dyDescent="0.25">
      <c r="A211" s="37">
        <v>2006</v>
      </c>
      <c r="B211" s="38" t="s">
        <v>319</v>
      </c>
      <c r="C211" s="38" t="s">
        <v>203</v>
      </c>
      <c r="D211" s="39" t="s">
        <v>174</v>
      </c>
      <c r="E211" s="32" t="s">
        <v>2</v>
      </c>
      <c r="F211" s="40">
        <v>56509</v>
      </c>
    </row>
    <row r="212" spans="1:6" x14ac:dyDescent="0.25">
      <c r="A212" s="37">
        <v>2006</v>
      </c>
      <c r="B212" s="38" t="s">
        <v>319</v>
      </c>
      <c r="C212" s="38" t="s">
        <v>203</v>
      </c>
      <c r="D212" s="39" t="s">
        <v>174</v>
      </c>
      <c r="E212" s="32" t="s">
        <v>24</v>
      </c>
      <c r="F212" s="40">
        <v>35012</v>
      </c>
    </row>
    <row r="213" spans="1:6" x14ac:dyDescent="0.25">
      <c r="A213" s="37">
        <v>2006</v>
      </c>
      <c r="B213" s="38" t="s">
        <v>319</v>
      </c>
      <c r="C213" s="38" t="s">
        <v>203</v>
      </c>
      <c r="D213" s="39" t="s">
        <v>174</v>
      </c>
      <c r="E213" s="32" t="s">
        <v>204</v>
      </c>
      <c r="F213" s="40">
        <v>0</v>
      </c>
    </row>
    <row r="214" spans="1:6" x14ac:dyDescent="0.25">
      <c r="A214" s="37">
        <v>2006</v>
      </c>
      <c r="B214" s="38" t="s">
        <v>319</v>
      </c>
      <c r="C214" s="38" t="s">
        <v>203</v>
      </c>
      <c r="D214" s="41" t="s">
        <v>205</v>
      </c>
      <c r="E214" s="32" t="s">
        <v>2</v>
      </c>
      <c r="F214" s="40">
        <v>0</v>
      </c>
    </row>
    <row r="215" spans="1:6" x14ac:dyDescent="0.25">
      <c r="A215" s="37">
        <v>2006</v>
      </c>
      <c r="B215" s="38" t="s">
        <v>319</v>
      </c>
      <c r="C215" s="38" t="s">
        <v>203</v>
      </c>
      <c r="D215" s="41" t="s">
        <v>205</v>
      </c>
      <c r="E215" s="32" t="s">
        <v>24</v>
      </c>
      <c r="F215" s="40">
        <v>23405</v>
      </c>
    </row>
    <row r="216" spans="1:6" x14ac:dyDescent="0.25">
      <c r="A216" s="37">
        <v>2006</v>
      </c>
      <c r="B216" s="38" t="s">
        <v>319</v>
      </c>
      <c r="C216" s="38" t="s">
        <v>203</v>
      </c>
      <c r="D216" s="41" t="s">
        <v>205</v>
      </c>
      <c r="E216" s="32" t="s">
        <v>204</v>
      </c>
      <c r="F216" s="40">
        <v>0</v>
      </c>
    </row>
    <row r="217" spans="1:6" x14ac:dyDescent="0.25">
      <c r="A217" s="37">
        <v>2006</v>
      </c>
      <c r="B217" s="38" t="s">
        <v>319</v>
      </c>
      <c r="C217" s="38" t="s">
        <v>203</v>
      </c>
      <c r="D217" s="42" t="s">
        <v>206</v>
      </c>
      <c r="E217" s="32" t="s">
        <v>2</v>
      </c>
      <c r="F217" s="40">
        <v>0</v>
      </c>
    </row>
    <row r="218" spans="1:6" x14ac:dyDescent="0.25">
      <c r="A218" s="37">
        <v>2006</v>
      </c>
      <c r="B218" s="38" t="s">
        <v>319</v>
      </c>
      <c r="C218" s="38" t="s">
        <v>203</v>
      </c>
      <c r="D218" s="42" t="s">
        <v>206</v>
      </c>
      <c r="E218" s="32" t="s">
        <v>24</v>
      </c>
      <c r="F218" s="40">
        <v>7890</v>
      </c>
    </row>
    <row r="219" spans="1:6" x14ac:dyDescent="0.25">
      <c r="A219" s="37">
        <v>2006</v>
      </c>
      <c r="B219" s="38" t="s">
        <v>319</v>
      </c>
      <c r="C219" s="38" t="s">
        <v>203</v>
      </c>
      <c r="D219" s="42" t="s">
        <v>206</v>
      </c>
      <c r="E219" s="32" t="s">
        <v>204</v>
      </c>
      <c r="F219" s="40">
        <v>1923</v>
      </c>
    </row>
    <row r="220" spans="1:6" x14ac:dyDescent="0.25">
      <c r="A220" s="37">
        <v>2006</v>
      </c>
      <c r="B220" s="38" t="s">
        <v>319</v>
      </c>
      <c r="C220" s="38" t="s">
        <v>203</v>
      </c>
      <c r="D220" s="43" t="s">
        <v>175</v>
      </c>
      <c r="E220" s="32" t="s">
        <v>2</v>
      </c>
      <c r="F220" s="40">
        <v>1464</v>
      </c>
    </row>
    <row r="221" spans="1:6" x14ac:dyDescent="0.25">
      <c r="A221" s="37">
        <v>2006</v>
      </c>
      <c r="B221" s="38" t="s">
        <v>319</v>
      </c>
      <c r="C221" s="38" t="s">
        <v>203</v>
      </c>
      <c r="D221" s="43" t="s">
        <v>175</v>
      </c>
      <c r="E221" s="32" t="s">
        <v>24</v>
      </c>
      <c r="F221" s="40">
        <v>4806</v>
      </c>
    </row>
    <row r="222" spans="1:6" x14ac:dyDescent="0.25">
      <c r="A222" s="37">
        <v>2006</v>
      </c>
      <c r="B222" s="38" t="s">
        <v>319</v>
      </c>
      <c r="C222" s="38" t="s">
        <v>203</v>
      </c>
      <c r="D222" s="43" t="s">
        <v>175</v>
      </c>
      <c r="E222" s="32" t="s">
        <v>204</v>
      </c>
      <c r="F222" s="40">
        <v>0</v>
      </c>
    </row>
    <row r="223" spans="1:6" x14ac:dyDescent="0.25">
      <c r="A223" s="37">
        <v>2006</v>
      </c>
      <c r="B223" s="38" t="s">
        <v>319</v>
      </c>
      <c r="C223" s="38" t="s">
        <v>207</v>
      </c>
      <c r="D223" s="39" t="s">
        <v>208</v>
      </c>
      <c r="E223" s="32" t="s">
        <v>2</v>
      </c>
      <c r="F223" s="40">
        <v>3688</v>
      </c>
    </row>
    <row r="224" spans="1:6" x14ac:dyDescent="0.25">
      <c r="A224" s="37">
        <v>2006</v>
      </c>
      <c r="B224" s="38" t="s">
        <v>319</v>
      </c>
      <c r="C224" s="38" t="s">
        <v>207</v>
      </c>
      <c r="D224" s="39" t="s">
        <v>208</v>
      </c>
      <c r="E224" s="32" t="s">
        <v>24</v>
      </c>
      <c r="F224" s="40">
        <v>27519</v>
      </c>
    </row>
    <row r="225" spans="1:6" x14ac:dyDescent="0.25">
      <c r="A225" s="37">
        <v>2006</v>
      </c>
      <c r="B225" s="38" t="s">
        <v>319</v>
      </c>
      <c r="C225" s="38" t="s">
        <v>207</v>
      </c>
      <c r="D225" s="39" t="s">
        <v>208</v>
      </c>
      <c r="E225" s="32" t="s">
        <v>204</v>
      </c>
      <c r="F225" s="40">
        <v>487218</v>
      </c>
    </row>
    <row r="226" spans="1:6" x14ac:dyDescent="0.25">
      <c r="A226" s="37">
        <v>2006</v>
      </c>
      <c r="B226" s="38" t="s">
        <v>319</v>
      </c>
      <c r="C226" s="38" t="s">
        <v>207</v>
      </c>
      <c r="D226" s="43" t="s">
        <v>209</v>
      </c>
      <c r="E226" s="32" t="s">
        <v>2</v>
      </c>
      <c r="F226" s="40">
        <v>0</v>
      </c>
    </row>
    <row r="227" spans="1:6" x14ac:dyDescent="0.25">
      <c r="A227" s="37">
        <v>2006</v>
      </c>
      <c r="B227" s="38" t="s">
        <v>319</v>
      </c>
      <c r="C227" s="38" t="s">
        <v>207</v>
      </c>
      <c r="D227" s="43" t="s">
        <v>209</v>
      </c>
      <c r="E227" s="32" t="s">
        <v>24</v>
      </c>
      <c r="F227" s="40">
        <v>54250</v>
      </c>
    </row>
    <row r="228" spans="1:6" x14ac:dyDescent="0.25">
      <c r="A228" s="37">
        <v>2006</v>
      </c>
      <c r="B228" s="38" t="s">
        <v>319</v>
      </c>
      <c r="C228" s="38" t="s">
        <v>207</v>
      </c>
      <c r="D228" s="43" t="s">
        <v>209</v>
      </c>
      <c r="E228" s="32" t="s">
        <v>204</v>
      </c>
      <c r="F228" s="40">
        <v>86963</v>
      </c>
    </row>
    <row r="229" spans="1:6" x14ac:dyDescent="0.25">
      <c r="A229" s="37">
        <v>2006</v>
      </c>
      <c r="B229" s="38" t="s">
        <v>319</v>
      </c>
      <c r="C229" s="38" t="s">
        <v>207</v>
      </c>
      <c r="D229" s="44" t="s">
        <v>210</v>
      </c>
      <c r="E229" s="32" t="s">
        <v>2</v>
      </c>
      <c r="F229" s="40">
        <v>0</v>
      </c>
    </row>
    <row r="230" spans="1:6" x14ac:dyDescent="0.25">
      <c r="A230" s="37">
        <v>2006</v>
      </c>
      <c r="B230" s="38" t="s">
        <v>319</v>
      </c>
      <c r="C230" s="38" t="s">
        <v>207</v>
      </c>
      <c r="D230" s="44" t="s">
        <v>210</v>
      </c>
      <c r="E230" s="32" t="s">
        <v>24</v>
      </c>
      <c r="F230" s="40">
        <v>0</v>
      </c>
    </row>
    <row r="231" spans="1:6" x14ac:dyDescent="0.25">
      <c r="A231" s="45">
        <v>2006</v>
      </c>
      <c r="B231" s="46" t="s">
        <v>319</v>
      </c>
      <c r="C231" s="46" t="s">
        <v>207</v>
      </c>
      <c r="D231" s="47" t="s">
        <v>210</v>
      </c>
      <c r="E231" s="33" t="s">
        <v>204</v>
      </c>
      <c r="F231" s="48">
        <v>0</v>
      </c>
    </row>
    <row r="232" spans="1:6" x14ac:dyDescent="0.25">
      <c r="A232" s="37">
        <v>2006</v>
      </c>
      <c r="B232" s="38" t="s">
        <v>320</v>
      </c>
      <c r="C232" s="38" t="s">
        <v>203</v>
      </c>
      <c r="D232" s="39" t="s">
        <v>174</v>
      </c>
      <c r="E232" s="32" t="s">
        <v>2</v>
      </c>
      <c r="F232" s="40">
        <v>18696</v>
      </c>
    </row>
    <row r="233" spans="1:6" x14ac:dyDescent="0.25">
      <c r="A233" s="37">
        <v>2006</v>
      </c>
      <c r="B233" s="38" t="s">
        <v>320</v>
      </c>
      <c r="C233" s="38" t="s">
        <v>203</v>
      </c>
      <c r="D233" s="39" t="s">
        <v>174</v>
      </c>
      <c r="E233" s="32" t="s">
        <v>24</v>
      </c>
      <c r="F233" s="40">
        <v>51827</v>
      </c>
    </row>
    <row r="234" spans="1:6" x14ac:dyDescent="0.25">
      <c r="A234" s="37">
        <v>2006</v>
      </c>
      <c r="B234" s="38" t="s">
        <v>320</v>
      </c>
      <c r="C234" s="38" t="s">
        <v>203</v>
      </c>
      <c r="D234" s="39" t="s">
        <v>174</v>
      </c>
      <c r="E234" s="32" t="s">
        <v>204</v>
      </c>
      <c r="F234" s="40">
        <v>0</v>
      </c>
    </row>
    <row r="235" spans="1:6" x14ac:dyDescent="0.25">
      <c r="A235" s="37">
        <v>2006</v>
      </c>
      <c r="B235" s="38" t="s">
        <v>320</v>
      </c>
      <c r="C235" s="38" t="s">
        <v>203</v>
      </c>
      <c r="D235" s="41" t="s">
        <v>205</v>
      </c>
      <c r="E235" s="32" t="s">
        <v>2</v>
      </c>
      <c r="F235" s="40">
        <v>0</v>
      </c>
    </row>
    <row r="236" spans="1:6" x14ac:dyDescent="0.25">
      <c r="A236" s="37">
        <v>2006</v>
      </c>
      <c r="B236" s="38" t="s">
        <v>320</v>
      </c>
      <c r="C236" s="38" t="s">
        <v>203</v>
      </c>
      <c r="D236" s="41" t="s">
        <v>205</v>
      </c>
      <c r="E236" s="32" t="s">
        <v>24</v>
      </c>
      <c r="F236" s="40">
        <v>17063</v>
      </c>
    </row>
    <row r="237" spans="1:6" x14ac:dyDescent="0.25">
      <c r="A237" s="37">
        <v>2006</v>
      </c>
      <c r="B237" s="38" t="s">
        <v>320</v>
      </c>
      <c r="C237" s="38" t="s">
        <v>203</v>
      </c>
      <c r="D237" s="41" t="s">
        <v>205</v>
      </c>
      <c r="E237" s="32" t="s">
        <v>204</v>
      </c>
      <c r="F237" s="40">
        <v>0</v>
      </c>
    </row>
    <row r="238" spans="1:6" x14ac:dyDescent="0.25">
      <c r="A238" s="37">
        <v>2006</v>
      </c>
      <c r="B238" s="38" t="s">
        <v>320</v>
      </c>
      <c r="C238" s="38" t="s">
        <v>203</v>
      </c>
      <c r="D238" s="42" t="s">
        <v>206</v>
      </c>
      <c r="E238" s="32" t="s">
        <v>2</v>
      </c>
      <c r="F238" s="40">
        <v>0</v>
      </c>
    </row>
    <row r="239" spans="1:6" x14ac:dyDescent="0.25">
      <c r="A239" s="37">
        <v>2006</v>
      </c>
      <c r="B239" s="38" t="s">
        <v>320</v>
      </c>
      <c r="C239" s="38" t="s">
        <v>203</v>
      </c>
      <c r="D239" s="42" t="s">
        <v>206</v>
      </c>
      <c r="E239" s="32" t="s">
        <v>24</v>
      </c>
      <c r="F239" s="40">
        <v>6865</v>
      </c>
    </row>
    <row r="240" spans="1:6" x14ac:dyDescent="0.25">
      <c r="A240" s="37">
        <v>2006</v>
      </c>
      <c r="B240" s="38" t="s">
        <v>320</v>
      </c>
      <c r="C240" s="38" t="s">
        <v>203</v>
      </c>
      <c r="D240" s="42" t="s">
        <v>206</v>
      </c>
      <c r="E240" s="32" t="s">
        <v>204</v>
      </c>
      <c r="F240" s="40">
        <v>2409</v>
      </c>
    </row>
    <row r="241" spans="1:6" x14ac:dyDescent="0.25">
      <c r="A241" s="37">
        <v>2006</v>
      </c>
      <c r="B241" s="38" t="s">
        <v>320</v>
      </c>
      <c r="C241" s="38" t="s">
        <v>203</v>
      </c>
      <c r="D241" s="43" t="s">
        <v>175</v>
      </c>
      <c r="E241" s="32" t="s">
        <v>2</v>
      </c>
      <c r="F241" s="40">
        <v>1464</v>
      </c>
    </row>
    <row r="242" spans="1:6" x14ac:dyDescent="0.25">
      <c r="A242" s="37">
        <v>2006</v>
      </c>
      <c r="B242" s="38" t="s">
        <v>320</v>
      </c>
      <c r="C242" s="38" t="s">
        <v>203</v>
      </c>
      <c r="D242" s="43" t="s">
        <v>175</v>
      </c>
      <c r="E242" s="32" t="s">
        <v>24</v>
      </c>
      <c r="F242" s="40">
        <v>3606</v>
      </c>
    </row>
    <row r="243" spans="1:6" x14ac:dyDescent="0.25">
      <c r="A243" s="37">
        <v>2006</v>
      </c>
      <c r="B243" s="38" t="s">
        <v>320</v>
      </c>
      <c r="C243" s="38" t="s">
        <v>203</v>
      </c>
      <c r="D243" s="43" t="s">
        <v>175</v>
      </c>
      <c r="E243" s="32" t="s">
        <v>204</v>
      </c>
      <c r="F243" s="40">
        <v>0</v>
      </c>
    </row>
    <row r="244" spans="1:6" x14ac:dyDescent="0.25">
      <c r="A244" s="37">
        <v>2006</v>
      </c>
      <c r="B244" s="38" t="s">
        <v>320</v>
      </c>
      <c r="C244" s="38" t="s">
        <v>207</v>
      </c>
      <c r="D244" s="39" t="s">
        <v>208</v>
      </c>
      <c r="E244" s="32" t="s">
        <v>2</v>
      </c>
      <c r="F244" s="40">
        <v>3688</v>
      </c>
    </row>
    <row r="245" spans="1:6" x14ac:dyDescent="0.25">
      <c r="A245" s="37">
        <v>2006</v>
      </c>
      <c r="B245" s="38" t="s">
        <v>320</v>
      </c>
      <c r="C245" s="38" t="s">
        <v>207</v>
      </c>
      <c r="D245" s="39" t="s">
        <v>208</v>
      </c>
      <c r="E245" s="32" t="s">
        <v>24</v>
      </c>
      <c r="F245" s="40">
        <v>24342</v>
      </c>
    </row>
    <row r="246" spans="1:6" x14ac:dyDescent="0.25">
      <c r="A246" s="37">
        <v>2006</v>
      </c>
      <c r="B246" s="38" t="s">
        <v>320</v>
      </c>
      <c r="C246" s="38" t="s">
        <v>207</v>
      </c>
      <c r="D246" s="39" t="s">
        <v>208</v>
      </c>
      <c r="E246" s="32" t="s">
        <v>204</v>
      </c>
      <c r="F246" s="40">
        <v>488051</v>
      </c>
    </row>
    <row r="247" spans="1:6" x14ac:dyDescent="0.25">
      <c r="A247" s="37">
        <v>2006</v>
      </c>
      <c r="B247" s="38" t="s">
        <v>320</v>
      </c>
      <c r="C247" s="38" t="s">
        <v>207</v>
      </c>
      <c r="D247" s="43" t="s">
        <v>209</v>
      </c>
      <c r="E247" s="32" t="s">
        <v>2</v>
      </c>
      <c r="F247" s="40">
        <v>0</v>
      </c>
    </row>
    <row r="248" spans="1:6" x14ac:dyDescent="0.25">
      <c r="A248" s="37">
        <v>2006</v>
      </c>
      <c r="B248" s="38" t="s">
        <v>320</v>
      </c>
      <c r="C248" s="38" t="s">
        <v>207</v>
      </c>
      <c r="D248" s="43" t="s">
        <v>209</v>
      </c>
      <c r="E248" s="32" t="s">
        <v>24</v>
      </c>
      <c r="F248" s="40">
        <v>8250</v>
      </c>
    </row>
    <row r="249" spans="1:6" x14ac:dyDescent="0.25">
      <c r="A249" s="37">
        <v>2006</v>
      </c>
      <c r="B249" s="38" t="s">
        <v>320</v>
      </c>
      <c r="C249" s="38" t="s">
        <v>207</v>
      </c>
      <c r="D249" s="43" t="s">
        <v>209</v>
      </c>
      <c r="E249" s="32" t="s">
        <v>204</v>
      </c>
      <c r="F249" s="40">
        <v>132963</v>
      </c>
    </row>
    <row r="250" spans="1:6" x14ac:dyDescent="0.25">
      <c r="A250" s="37">
        <v>2006</v>
      </c>
      <c r="B250" s="38" t="s">
        <v>320</v>
      </c>
      <c r="C250" s="38" t="s">
        <v>207</v>
      </c>
      <c r="D250" s="44" t="s">
        <v>210</v>
      </c>
      <c r="E250" s="32" t="s">
        <v>2</v>
      </c>
      <c r="F250" s="40">
        <v>0</v>
      </c>
    </row>
    <row r="251" spans="1:6" x14ac:dyDescent="0.25">
      <c r="A251" s="37">
        <v>2006</v>
      </c>
      <c r="B251" s="38" t="s">
        <v>320</v>
      </c>
      <c r="C251" s="38" t="s">
        <v>207</v>
      </c>
      <c r="D251" s="44" t="s">
        <v>210</v>
      </c>
      <c r="E251" s="32" t="s">
        <v>24</v>
      </c>
      <c r="F251" s="40">
        <v>0</v>
      </c>
    </row>
    <row r="252" spans="1:6" x14ac:dyDescent="0.25">
      <c r="A252" s="45">
        <v>2006</v>
      </c>
      <c r="B252" s="46" t="s">
        <v>320</v>
      </c>
      <c r="C252" s="46" t="s">
        <v>207</v>
      </c>
      <c r="D252" s="47" t="s">
        <v>210</v>
      </c>
      <c r="E252" s="33" t="s">
        <v>204</v>
      </c>
      <c r="F252" s="48">
        <v>0</v>
      </c>
    </row>
    <row r="253" spans="1:6" x14ac:dyDescent="0.25">
      <c r="A253" s="37">
        <v>2006</v>
      </c>
      <c r="B253" s="38" t="s">
        <v>316</v>
      </c>
      <c r="C253" s="38" t="s">
        <v>203</v>
      </c>
      <c r="D253" s="39" t="s">
        <v>174</v>
      </c>
      <c r="E253" s="32" t="s">
        <v>2</v>
      </c>
      <c r="F253" s="40">
        <v>18696</v>
      </c>
    </row>
    <row r="254" spans="1:6" x14ac:dyDescent="0.25">
      <c r="A254" s="37">
        <v>2006</v>
      </c>
      <c r="B254" s="38" t="s">
        <v>316</v>
      </c>
      <c r="C254" s="38" t="s">
        <v>203</v>
      </c>
      <c r="D254" s="39" t="s">
        <v>174</v>
      </c>
      <c r="E254" s="32" t="s">
        <v>24</v>
      </c>
      <c r="F254" s="40">
        <v>48964</v>
      </c>
    </row>
    <row r="255" spans="1:6" x14ac:dyDescent="0.25">
      <c r="A255" s="37">
        <v>2006</v>
      </c>
      <c r="B255" s="38" t="s">
        <v>316</v>
      </c>
      <c r="C255" s="38" t="s">
        <v>203</v>
      </c>
      <c r="D255" s="39" t="s">
        <v>174</v>
      </c>
      <c r="E255" s="32" t="s">
        <v>204</v>
      </c>
      <c r="F255" s="40">
        <v>0</v>
      </c>
    </row>
    <row r="256" spans="1:6" x14ac:dyDescent="0.25">
      <c r="A256" s="37">
        <v>2006</v>
      </c>
      <c r="B256" s="38" t="s">
        <v>316</v>
      </c>
      <c r="C256" s="38" t="s">
        <v>203</v>
      </c>
      <c r="D256" s="41" t="s">
        <v>205</v>
      </c>
      <c r="E256" s="32" t="s">
        <v>2</v>
      </c>
      <c r="F256" s="40">
        <v>5160</v>
      </c>
    </row>
    <row r="257" spans="1:6" x14ac:dyDescent="0.25">
      <c r="A257" s="37">
        <v>2006</v>
      </c>
      <c r="B257" s="38" t="s">
        <v>316</v>
      </c>
      <c r="C257" s="38" t="s">
        <v>203</v>
      </c>
      <c r="D257" s="41" t="s">
        <v>205</v>
      </c>
      <c r="E257" s="32" t="s">
        <v>24</v>
      </c>
      <c r="F257" s="40">
        <v>4713</v>
      </c>
    </row>
    <row r="258" spans="1:6" x14ac:dyDescent="0.25">
      <c r="A258" s="37">
        <v>2006</v>
      </c>
      <c r="B258" s="38" t="s">
        <v>316</v>
      </c>
      <c r="C258" s="38" t="s">
        <v>203</v>
      </c>
      <c r="D258" s="41" t="s">
        <v>205</v>
      </c>
      <c r="E258" s="32" t="s">
        <v>204</v>
      </c>
      <c r="F258" s="40">
        <v>0</v>
      </c>
    </row>
    <row r="259" spans="1:6" x14ac:dyDescent="0.25">
      <c r="A259" s="37">
        <v>2006</v>
      </c>
      <c r="B259" s="38" t="s">
        <v>316</v>
      </c>
      <c r="C259" s="38" t="s">
        <v>203</v>
      </c>
      <c r="D259" s="42" t="s">
        <v>206</v>
      </c>
      <c r="E259" s="32" t="s">
        <v>2</v>
      </c>
      <c r="F259" s="40">
        <v>0</v>
      </c>
    </row>
    <row r="260" spans="1:6" x14ac:dyDescent="0.25">
      <c r="A260" s="37">
        <v>2006</v>
      </c>
      <c r="B260" s="38" t="s">
        <v>316</v>
      </c>
      <c r="C260" s="38" t="s">
        <v>203</v>
      </c>
      <c r="D260" s="42" t="s">
        <v>206</v>
      </c>
      <c r="E260" s="32" t="s">
        <v>24</v>
      </c>
      <c r="F260" s="40">
        <v>5865</v>
      </c>
    </row>
    <row r="261" spans="1:6" x14ac:dyDescent="0.25">
      <c r="A261" s="37">
        <v>2006</v>
      </c>
      <c r="B261" s="38" t="s">
        <v>316</v>
      </c>
      <c r="C261" s="38" t="s">
        <v>203</v>
      </c>
      <c r="D261" s="42" t="s">
        <v>206</v>
      </c>
      <c r="E261" s="32" t="s">
        <v>204</v>
      </c>
      <c r="F261" s="40">
        <v>1968</v>
      </c>
    </row>
    <row r="262" spans="1:6" x14ac:dyDescent="0.25">
      <c r="A262" s="37">
        <v>2006</v>
      </c>
      <c r="B262" s="38" t="s">
        <v>316</v>
      </c>
      <c r="C262" s="38" t="s">
        <v>203</v>
      </c>
      <c r="D262" s="43" t="s">
        <v>175</v>
      </c>
      <c r="E262" s="32" t="s">
        <v>2</v>
      </c>
      <c r="F262" s="40">
        <v>1464</v>
      </c>
    </row>
    <row r="263" spans="1:6" x14ac:dyDescent="0.25">
      <c r="A263" s="37">
        <v>2006</v>
      </c>
      <c r="B263" s="38" t="s">
        <v>316</v>
      </c>
      <c r="C263" s="38" t="s">
        <v>203</v>
      </c>
      <c r="D263" s="43" t="s">
        <v>175</v>
      </c>
      <c r="E263" s="32" t="s">
        <v>24</v>
      </c>
      <c r="F263" s="40">
        <v>3606</v>
      </c>
    </row>
    <row r="264" spans="1:6" x14ac:dyDescent="0.25">
      <c r="A264" s="37">
        <v>2006</v>
      </c>
      <c r="B264" s="38" t="s">
        <v>316</v>
      </c>
      <c r="C264" s="38" t="s">
        <v>203</v>
      </c>
      <c r="D264" s="43" t="s">
        <v>175</v>
      </c>
      <c r="E264" s="32" t="s">
        <v>204</v>
      </c>
      <c r="F264" s="40">
        <v>0</v>
      </c>
    </row>
    <row r="265" spans="1:6" x14ac:dyDescent="0.25">
      <c r="A265" s="37">
        <v>2006</v>
      </c>
      <c r="B265" s="38" t="s">
        <v>316</v>
      </c>
      <c r="C265" s="38" t="s">
        <v>207</v>
      </c>
      <c r="D265" s="39" t="s">
        <v>208</v>
      </c>
      <c r="E265" s="32" t="s">
        <v>2</v>
      </c>
      <c r="F265" s="40">
        <v>3688</v>
      </c>
    </row>
    <row r="266" spans="1:6" x14ac:dyDescent="0.25">
      <c r="A266" s="37">
        <v>2006</v>
      </c>
      <c r="B266" s="38" t="s">
        <v>316</v>
      </c>
      <c r="C266" s="38" t="s">
        <v>207</v>
      </c>
      <c r="D266" s="39" t="s">
        <v>208</v>
      </c>
      <c r="E266" s="32" t="s">
        <v>24</v>
      </c>
      <c r="F266" s="40">
        <v>0</v>
      </c>
    </row>
    <row r="267" spans="1:6" x14ac:dyDescent="0.25">
      <c r="A267" s="37">
        <v>2006</v>
      </c>
      <c r="B267" s="38" t="s">
        <v>316</v>
      </c>
      <c r="C267" s="38" t="s">
        <v>207</v>
      </c>
      <c r="D267" s="39" t="s">
        <v>208</v>
      </c>
      <c r="E267" s="32" t="s">
        <v>204</v>
      </c>
      <c r="F267" s="40">
        <v>505759</v>
      </c>
    </row>
    <row r="268" spans="1:6" x14ac:dyDescent="0.25">
      <c r="A268" s="37">
        <v>2006</v>
      </c>
      <c r="B268" s="38" t="s">
        <v>316</v>
      </c>
      <c r="C268" s="38" t="s">
        <v>207</v>
      </c>
      <c r="D268" s="43" t="s">
        <v>209</v>
      </c>
      <c r="E268" s="32" t="s">
        <v>2</v>
      </c>
      <c r="F268" s="40">
        <v>0</v>
      </c>
    </row>
    <row r="269" spans="1:6" x14ac:dyDescent="0.25">
      <c r="A269" s="37">
        <v>2006</v>
      </c>
      <c r="B269" s="38" t="s">
        <v>316</v>
      </c>
      <c r="C269" s="38" t="s">
        <v>207</v>
      </c>
      <c r="D269" s="43" t="s">
        <v>209</v>
      </c>
      <c r="E269" s="32" t="s">
        <v>24</v>
      </c>
      <c r="F269" s="40">
        <v>54175</v>
      </c>
    </row>
    <row r="270" spans="1:6" x14ac:dyDescent="0.25">
      <c r="A270" s="37">
        <v>2006</v>
      </c>
      <c r="B270" s="38" t="s">
        <v>316</v>
      </c>
      <c r="C270" s="38" t="s">
        <v>207</v>
      </c>
      <c r="D270" s="43" t="s">
        <v>209</v>
      </c>
      <c r="E270" s="32" t="s">
        <v>204</v>
      </c>
      <c r="F270" s="40">
        <v>87038</v>
      </c>
    </row>
    <row r="271" spans="1:6" x14ac:dyDescent="0.25">
      <c r="A271" s="37">
        <v>2006</v>
      </c>
      <c r="B271" s="38" t="s">
        <v>316</v>
      </c>
      <c r="C271" s="38" t="s">
        <v>207</v>
      </c>
      <c r="D271" s="44" t="s">
        <v>210</v>
      </c>
      <c r="E271" s="32" t="s">
        <v>2</v>
      </c>
      <c r="F271" s="40">
        <v>0</v>
      </c>
    </row>
    <row r="272" spans="1:6" x14ac:dyDescent="0.25">
      <c r="A272" s="37">
        <v>2006</v>
      </c>
      <c r="B272" s="38" t="s">
        <v>316</v>
      </c>
      <c r="C272" s="38" t="s">
        <v>207</v>
      </c>
      <c r="D272" s="44" t="s">
        <v>210</v>
      </c>
      <c r="E272" s="32" t="s">
        <v>24</v>
      </c>
      <c r="F272" s="40">
        <v>0</v>
      </c>
    </row>
    <row r="273" spans="1:6" x14ac:dyDescent="0.25">
      <c r="A273" s="45">
        <v>2006</v>
      </c>
      <c r="B273" s="46" t="s">
        <v>316</v>
      </c>
      <c r="C273" s="46" t="s">
        <v>207</v>
      </c>
      <c r="D273" s="47" t="s">
        <v>210</v>
      </c>
      <c r="E273" s="33" t="s">
        <v>204</v>
      </c>
      <c r="F273" s="48">
        <v>0</v>
      </c>
    </row>
    <row r="274" spans="1:6" x14ac:dyDescent="0.25">
      <c r="A274" s="37">
        <v>2007</v>
      </c>
      <c r="B274" s="38" t="s">
        <v>317</v>
      </c>
      <c r="C274" s="38" t="s">
        <v>203</v>
      </c>
      <c r="D274" s="39" t="s">
        <v>174</v>
      </c>
      <c r="E274" s="32" t="s">
        <v>2</v>
      </c>
      <c r="F274" s="40">
        <v>16808</v>
      </c>
    </row>
    <row r="275" spans="1:6" x14ac:dyDescent="0.25">
      <c r="A275" s="37">
        <v>2007</v>
      </c>
      <c r="B275" s="38" t="s">
        <v>317</v>
      </c>
      <c r="C275" s="38" t="s">
        <v>203</v>
      </c>
      <c r="D275" s="39" t="s">
        <v>174</v>
      </c>
      <c r="E275" s="32" t="s">
        <v>24</v>
      </c>
      <c r="F275" s="40">
        <v>48964</v>
      </c>
    </row>
    <row r="276" spans="1:6" x14ac:dyDescent="0.25">
      <c r="A276" s="37">
        <v>2007</v>
      </c>
      <c r="B276" s="38" t="s">
        <v>317</v>
      </c>
      <c r="C276" s="38" t="s">
        <v>203</v>
      </c>
      <c r="D276" s="39" t="s">
        <v>174</v>
      </c>
      <c r="E276" s="32" t="s">
        <v>204</v>
      </c>
      <c r="F276" s="40">
        <v>1600</v>
      </c>
    </row>
    <row r="277" spans="1:6" x14ac:dyDescent="0.25">
      <c r="A277" s="37">
        <v>2007</v>
      </c>
      <c r="B277" s="38" t="s">
        <v>317</v>
      </c>
      <c r="C277" s="38" t="s">
        <v>203</v>
      </c>
      <c r="D277" s="41" t="s">
        <v>205</v>
      </c>
      <c r="E277" s="32" t="s">
        <v>2</v>
      </c>
      <c r="F277" s="40">
        <v>10360</v>
      </c>
    </row>
    <row r="278" spans="1:6" x14ac:dyDescent="0.25">
      <c r="A278" s="37">
        <v>2007</v>
      </c>
      <c r="B278" s="38" t="s">
        <v>317</v>
      </c>
      <c r="C278" s="38" t="s">
        <v>203</v>
      </c>
      <c r="D278" s="41" t="s">
        <v>205</v>
      </c>
      <c r="E278" s="32" t="s">
        <v>24</v>
      </c>
      <c r="F278" s="40">
        <v>5403</v>
      </c>
    </row>
    <row r="279" spans="1:6" x14ac:dyDescent="0.25">
      <c r="A279" s="37">
        <v>2007</v>
      </c>
      <c r="B279" s="38" t="s">
        <v>317</v>
      </c>
      <c r="C279" s="38" t="s">
        <v>203</v>
      </c>
      <c r="D279" s="41" t="s">
        <v>205</v>
      </c>
      <c r="E279" s="32" t="s">
        <v>204</v>
      </c>
      <c r="F279" s="40">
        <v>26326</v>
      </c>
    </row>
    <row r="280" spans="1:6" x14ac:dyDescent="0.25">
      <c r="A280" s="37">
        <v>2007</v>
      </c>
      <c r="B280" s="38" t="s">
        <v>317</v>
      </c>
      <c r="C280" s="38" t="s">
        <v>203</v>
      </c>
      <c r="D280" s="42" t="s">
        <v>206</v>
      </c>
      <c r="E280" s="32" t="s">
        <v>2</v>
      </c>
      <c r="F280" s="40">
        <v>0</v>
      </c>
    </row>
    <row r="281" spans="1:6" x14ac:dyDescent="0.25">
      <c r="A281" s="37">
        <v>2007</v>
      </c>
      <c r="B281" s="38" t="s">
        <v>317</v>
      </c>
      <c r="C281" s="38" t="s">
        <v>203</v>
      </c>
      <c r="D281" s="42" t="s">
        <v>206</v>
      </c>
      <c r="E281" s="32" t="s">
        <v>24</v>
      </c>
      <c r="F281" s="40">
        <v>5000</v>
      </c>
    </row>
    <row r="282" spans="1:6" x14ac:dyDescent="0.25">
      <c r="A282" s="37">
        <v>2007</v>
      </c>
      <c r="B282" s="38" t="s">
        <v>317</v>
      </c>
      <c r="C282" s="38" t="s">
        <v>203</v>
      </c>
      <c r="D282" s="42" t="s">
        <v>206</v>
      </c>
      <c r="E282" s="32" t="s">
        <v>204</v>
      </c>
      <c r="F282" s="40">
        <v>306</v>
      </c>
    </row>
    <row r="283" spans="1:6" x14ac:dyDescent="0.25">
      <c r="A283" s="37">
        <v>2007</v>
      </c>
      <c r="B283" s="38" t="s">
        <v>317</v>
      </c>
      <c r="C283" s="38" t="s">
        <v>203</v>
      </c>
      <c r="D283" s="43" t="s">
        <v>175</v>
      </c>
      <c r="E283" s="32" t="s">
        <v>2</v>
      </c>
      <c r="F283" s="40">
        <v>0</v>
      </c>
    </row>
    <row r="284" spans="1:6" x14ac:dyDescent="0.25">
      <c r="A284" s="37">
        <v>2007</v>
      </c>
      <c r="B284" s="38" t="s">
        <v>317</v>
      </c>
      <c r="C284" s="38" t="s">
        <v>203</v>
      </c>
      <c r="D284" s="43" t="s">
        <v>175</v>
      </c>
      <c r="E284" s="32" t="s">
        <v>24</v>
      </c>
      <c r="F284" s="40">
        <v>5256</v>
      </c>
    </row>
    <row r="285" spans="1:6" x14ac:dyDescent="0.25">
      <c r="A285" s="37">
        <v>2007</v>
      </c>
      <c r="B285" s="38" t="s">
        <v>317</v>
      </c>
      <c r="C285" s="38" t="s">
        <v>203</v>
      </c>
      <c r="D285" s="43" t="s">
        <v>175</v>
      </c>
      <c r="E285" s="32" t="s">
        <v>204</v>
      </c>
      <c r="F285" s="40">
        <v>0</v>
      </c>
    </row>
    <row r="286" spans="1:6" x14ac:dyDescent="0.25">
      <c r="A286" s="37">
        <v>2007</v>
      </c>
      <c r="B286" s="38" t="s">
        <v>317</v>
      </c>
      <c r="C286" s="38" t="s">
        <v>207</v>
      </c>
      <c r="D286" s="39" t="s">
        <v>208</v>
      </c>
      <c r="E286" s="32" t="s">
        <v>2</v>
      </c>
      <c r="F286" s="40">
        <v>3688</v>
      </c>
    </row>
    <row r="287" spans="1:6" x14ac:dyDescent="0.25">
      <c r="A287" s="37">
        <v>2007</v>
      </c>
      <c r="B287" s="38" t="s">
        <v>317</v>
      </c>
      <c r="C287" s="38" t="s">
        <v>207</v>
      </c>
      <c r="D287" s="39" t="s">
        <v>208</v>
      </c>
      <c r="E287" s="32" t="s">
        <v>24</v>
      </c>
      <c r="F287" s="40">
        <v>0</v>
      </c>
    </row>
    <row r="288" spans="1:6" x14ac:dyDescent="0.25">
      <c r="A288" s="37">
        <v>2007</v>
      </c>
      <c r="B288" s="38" t="s">
        <v>317</v>
      </c>
      <c r="C288" s="38" t="s">
        <v>207</v>
      </c>
      <c r="D288" s="39" t="s">
        <v>208</v>
      </c>
      <c r="E288" s="32" t="s">
        <v>204</v>
      </c>
      <c r="F288" s="40">
        <v>499022</v>
      </c>
    </row>
    <row r="289" spans="1:6" x14ac:dyDescent="0.25">
      <c r="A289" s="37">
        <v>2007</v>
      </c>
      <c r="B289" s="38" t="s">
        <v>317</v>
      </c>
      <c r="C289" s="38" t="s">
        <v>207</v>
      </c>
      <c r="D289" s="43" t="s">
        <v>209</v>
      </c>
      <c r="E289" s="32" t="s">
        <v>2</v>
      </c>
      <c r="F289" s="40">
        <v>0</v>
      </c>
    </row>
    <row r="290" spans="1:6" x14ac:dyDescent="0.25">
      <c r="A290" s="37">
        <v>2007</v>
      </c>
      <c r="B290" s="38" t="s">
        <v>317</v>
      </c>
      <c r="C290" s="38" t="s">
        <v>207</v>
      </c>
      <c r="D290" s="43" t="s">
        <v>209</v>
      </c>
      <c r="E290" s="32" t="s">
        <v>24</v>
      </c>
      <c r="F290" s="40">
        <v>1515</v>
      </c>
    </row>
    <row r="291" spans="1:6" x14ac:dyDescent="0.25">
      <c r="A291" s="37">
        <v>2007</v>
      </c>
      <c r="B291" s="38" t="s">
        <v>317</v>
      </c>
      <c r="C291" s="38" t="s">
        <v>207</v>
      </c>
      <c r="D291" s="43" t="s">
        <v>209</v>
      </c>
      <c r="E291" s="32" t="s">
        <v>204</v>
      </c>
      <c r="F291" s="40">
        <v>132963</v>
      </c>
    </row>
    <row r="292" spans="1:6" x14ac:dyDescent="0.25">
      <c r="A292" s="37">
        <v>2007</v>
      </c>
      <c r="B292" s="38" t="s">
        <v>317</v>
      </c>
      <c r="C292" s="38" t="s">
        <v>207</v>
      </c>
      <c r="D292" s="44" t="s">
        <v>210</v>
      </c>
      <c r="E292" s="32" t="s">
        <v>2</v>
      </c>
      <c r="F292" s="40">
        <v>0</v>
      </c>
    </row>
    <row r="293" spans="1:6" x14ac:dyDescent="0.25">
      <c r="A293" s="37">
        <v>2007</v>
      </c>
      <c r="B293" s="38" t="s">
        <v>317</v>
      </c>
      <c r="C293" s="38" t="s">
        <v>207</v>
      </c>
      <c r="D293" s="44" t="s">
        <v>210</v>
      </c>
      <c r="E293" s="32" t="s">
        <v>24</v>
      </c>
      <c r="F293" s="40">
        <v>0</v>
      </c>
    </row>
    <row r="294" spans="1:6" x14ac:dyDescent="0.25">
      <c r="A294" s="45">
        <v>2007</v>
      </c>
      <c r="B294" s="46" t="s">
        <v>317</v>
      </c>
      <c r="C294" s="46" t="s">
        <v>207</v>
      </c>
      <c r="D294" s="47" t="s">
        <v>210</v>
      </c>
      <c r="E294" s="33" t="s">
        <v>204</v>
      </c>
      <c r="F294" s="48">
        <v>0</v>
      </c>
    </row>
    <row r="295" spans="1:6" x14ac:dyDescent="0.25">
      <c r="A295" s="37">
        <v>2007</v>
      </c>
      <c r="B295" s="38" t="s">
        <v>307</v>
      </c>
      <c r="C295" s="38" t="s">
        <v>203</v>
      </c>
      <c r="D295" s="39" t="s">
        <v>174</v>
      </c>
      <c r="E295" s="32" t="s">
        <v>2</v>
      </c>
      <c r="F295" s="40">
        <v>16821</v>
      </c>
    </row>
    <row r="296" spans="1:6" x14ac:dyDescent="0.25">
      <c r="A296" s="37">
        <v>2007</v>
      </c>
      <c r="B296" s="38" t="s">
        <v>307</v>
      </c>
      <c r="C296" s="38" t="s">
        <v>203</v>
      </c>
      <c r="D296" s="39" t="s">
        <v>174</v>
      </c>
      <c r="E296" s="32" t="s">
        <v>24</v>
      </c>
      <c r="F296" s="40">
        <v>47564</v>
      </c>
    </row>
    <row r="297" spans="1:6" x14ac:dyDescent="0.25">
      <c r="A297" s="37">
        <v>2007</v>
      </c>
      <c r="B297" s="38" t="s">
        <v>307</v>
      </c>
      <c r="C297" s="38" t="s">
        <v>203</v>
      </c>
      <c r="D297" s="39" t="s">
        <v>174</v>
      </c>
      <c r="E297" s="32" t="s">
        <v>204</v>
      </c>
      <c r="F297" s="40">
        <v>1600</v>
      </c>
    </row>
    <row r="298" spans="1:6" x14ac:dyDescent="0.25">
      <c r="A298" s="37">
        <v>2007</v>
      </c>
      <c r="B298" s="38" t="s">
        <v>307</v>
      </c>
      <c r="C298" s="38" t="s">
        <v>203</v>
      </c>
      <c r="D298" s="41" t="s">
        <v>205</v>
      </c>
      <c r="E298" s="32" t="s">
        <v>2</v>
      </c>
      <c r="F298" s="40">
        <v>10360</v>
      </c>
    </row>
    <row r="299" spans="1:6" x14ac:dyDescent="0.25">
      <c r="A299" s="37">
        <v>2007</v>
      </c>
      <c r="B299" s="38" t="s">
        <v>307</v>
      </c>
      <c r="C299" s="38" t="s">
        <v>203</v>
      </c>
      <c r="D299" s="41" t="s">
        <v>205</v>
      </c>
      <c r="E299" s="32" t="s">
        <v>24</v>
      </c>
      <c r="F299" s="40">
        <v>28859</v>
      </c>
    </row>
    <row r="300" spans="1:6" x14ac:dyDescent="0.25">
      <c r="A300" s="37">
        <v>2007</v>
      </c>
      <c r="B300" s="38" t="s">
        <v>307</v>
      </c>
      <c r="C300" s="38" t="s">
        <v>203</v>
      </c>
      <c r="D300" s="41" t="s">
        <v>205</v>
      </c>
      <c r="E300" s="32" t="s">
        <v>204</v>
      </c>
      <c r="F300" s="40">
        <v>0</v>
      </c>
    </row>
    <row r="301" spans="1:6" x14ac:dyDescent="0.25">
      <c r="A301" s="37">
        <v>2007</v>
      </c>
      <c r="B301" s="38" t="s">
        <v>307</v>
      </c>
      <c r="C301" s="38" t="s">
        <v>203</v>
      </c>
      <c r="D301" s="42" t="s">
        <v>206</v>
      </c>
      <c r="E301" s="32" t="s">
        <v>2</v>
      </c>
      <c r="F301" s="40">
        <v>0</v>
      </c>
    </row>
    <row r="302" spans="1:6" x14ac:dyDescent="0.25">
      <c r="A302" s="37">
        <v>2007</v>
      </c>
      <c r="B302" s="38" t="s">
        <v>307</v>
      </c>
      <c r="C302" s="38" t="s">
        <v>203</v>
      </c>
      <c r="D302" s="42" t="s">
        <v>206</v>
      </c>
      <c r="E302" s="32" t="s">
        <v>24</v>
      </c>
      <c r="F302" s="40">
        <v>5000</v>
      </c>
    </row>
    <row r="303" spans="1:6" x14ac:dyDescent="0.25">
      <c r="A303" s="37">
        <v>2007</v>
      </c>
      <c r="B303" s="38" t="s">
        <v>307</v>
      </c>
      <c r="C303" s="38" t="s">
        <v>203</v>
      </c>
      <c r="D303" s="42" t="s">
        <v>206</v>
      </c>
      <c r="E303" s="32" t="s">
        <v>204</v>
      </c>
      <c r="F303" s="40">
        <v>306</v>
      </c>
    </row>
    <row r="304" spans="1:6" x14ac:dyDescent="0.25">
      <c r="A304" s="37">
        <v>2007</v>
      </c>
      <c r="B304" s="38" t="s">
        <v>307</v>
      </c>
      <c r="C304" s="38" t="s">
        <v>203</v>
      </c>
      <c r="D304" s="43" t="s">
        <v>175</v>
      </c>
      <c r="E304" s="32" t="s">
        <v>2</v>
      </c>
      <c r="F304" s="40">
        <v>0</v>
      </c>
    </row>
    <row r="305" spans="1:6" x14ac:dyDescent="0.25">
      <c r="A305" s="37">
        <v>2007</v>
      </c>
      <c r="B305" s="38" t="s">
        <v>307</v>
      </c>
      <c r="C305" s="38" t="s">
        <v>203</v>
      </c>
      <c r="D305" s="43" t="s">
        <v>175</v>
      </c>
      <c r="E305" s="32" t="s">
        <v>24</v>
      </c>
      <c r="F305" s="40">
        <v>5256</v>
      </c>
    </row>
    <row r="306" spans="1:6" x14ac:dyDescent="0.25">
      <c r="A306" s="37">
        <v>2007</v>
      </c>
      <c r="B306" s="38" t="s">
        <v>307</v>
      </c>
      <c r="C306" s="38" t="s">
        <v>203</v>
      </c>
      <c r="D306" s="43" t="s">
        <v>175</v>
      </c>
      <c r="E306" s="32" t="s">
        <v>204</v>
      </c>
      <c r="F306" s="40">
        <v>0</v>
      </c>
    </row>
    <row r="307" spans="1:6" x14ac:dyDescent="0.25">
      <c r="A307" s="37">
        <v>2007</v>
      </c>
      <c r="B307" s="38" t="s">
        <v>307</v>
      </c>
      <c r="C307" s="38" t="s">
        <v>207</v>
      </c>
      <c r="D307" s="39" t="s">
        <v>208</v>
      </c>
      <c r="E307" s="32" t="s">
        <v>2</v>
      </c>
      <c r="F307" s="40">
        <v>3688</v>
      </c>
    </row>
    <row r="308" spans="1:6" x14ac:dyDescent="0.25">
      <c r="A308" s="37">
        <v>2007</v>
      </c>
      <c r="B308" s="38" t="s">
        <v>307</v>
      </c>
      <c r="C308" s="38" t="s">
        <v>207</v>
      </c>
      <c r="D308" s="39" t="s">
        <v>208</v>
      </c>
      <c r="E308" s="32" t="s">
        <v>24</v>
      </c>
      <c r="F308" s="40">
        <v>25000</v>
      </c>
    </row>
    <row r="309" spans="1:6" x14ac:dyDescent="0.25">
      <c r="A309" s="37">
        <v>2007</v>
      </c>
      <c r="B309" s="38" t="s">
        <v>307</v>
      </c>
      <c r="C309" s="38" t="s">
        <v>207</v>
      </c>
      <c r="D309" s="39" t="s">
        <v>208</v>
      </c>
      <c r="E309" s="32" t="s">
        <v>204</v>
      </c>
      <c r="F309" s="40">
        <v>351784</v>
      </c>
    </row>
    <row r="310" spans="1:6" x14ac:dyDescent="0.25">
      <c r="A310" s="37">
        <v>2007</v>
      </c>
      <c r="B310" s="38" t="s">
        <v>307</v>
      </c>
      <c r="C310" s="38" t="s">
        <v>207</v>
      </c>
      <c r="D310" s="43" t="s">
        <v>209</v>
      </c>
      <c r="E310" s="32" t="s">
        <v>2</v>
      </c>
      <c r="F310" s="40">
        <v>0</v>
      </c>
    </row>
    <row r="311" spans="1:6" x14ac:dyDescent="0.25">
      <c r="A311" s="37">
        <v>2007</v>
      </c>
      <c r="B311" s="38" t="s">
        <v>307</v>
      </c>
      <c r="C311" s="38" t="s">
        <v>207</v>
      </c>
      <c r="D311" s="43" t="s">
        <v>209</v>
      </c>
      <c r="E311" s="32" t="s">
        <v>24</v>
      </c>
      <c r="F311" s="40">
        <v>1515</v>
      </c>
    </row>
    <row r="312" spans="1:6" x14ac:dyDescent="0.25">
      <c r="A312" s="37">
        <v>2007</v>
      </c>
      <c r="B312" s="38" t="s">
        <v>307</v>
      </c>
      <c r="C312" s="38" t="s">
        <v>207</v>
      </c>
      <c r="D312" s="43" t="s">
        <v>209</v>
      </c>
      <c r="E312" s="32" t="s">
        <v>204</v>
      </c>
      <c r="F312" s="40">
        <v>118963</v>
      </c>
    </row>
    <row r="313" spans="1:6" x14ac:dyDescent="0.25">
      <c r="A313" s="37">
        <v>2007</v>
      </c>
      <c r="B313" s="38" t="s">
        <v>307</v>
      </c>
      <c r="C313" s="38" t="s">
        <v>207</v>
      </c>
      <c r="D313" s="44" t="s">
        <v>210</v>
      </c>
      <c r="E313" s="32" t="s">
        <v>2</v>
      </c>
      <c r="F313" s="40">
        <v>0</v>
      </c>
    </row>
    <row r="314" spans="1:6" x14ac:dyDescent="0.25">
      <c r="A314" s="37">
        <v>2007</v>
      </c>
      <c r="B314" s="38" t="s">
        <v>307</v>
      </c>
      <c r="C314" s="38" t="s">
        <v>207</v>
      </c>
      <c r="D314" s="44" t="s">
        <v>210</v>
      </c>
      <c r="E314" s="32" t="s">
        <v>24</v>
      </c>
      <c r="F314" s="40">
        <v>0</v>
      </c>
    </row>
    <row r="315" spans="1:6" x14ac:dyDescent="0.25">
      <c r="A315" s="45">
        <v>2007</v>
      </c>
      <c r="B315" s="46" t="s">
        <v>307</v>
      </c>
      <c r="C315" s="46" t="s">
        <v>207</v>
      </c>
      <c r="D315" s="47" t="s">
        <v>210</v>
      </c>
      <c r="E315" s="33" t="s">
        <v>204</v>
      </c>
      <c r="F315" s="48">
        <v>0</v>
      </c>
    </row>
    <row r="316" spans="1:6" x14ac:dyDescent="0.25">
      <c r="A316" s="37">
        <v>2007</v>
      </c>
      <c r="B316" s="38" t="s">
        <v>318</v>
      </c>
      <c r="C316" s="38" t="s">
        <v>203</v>
      </c>
      <c r="D316" s="39" t="s">
        <v>174</v>
      </c>
      <c r="E316" s="32" t="s">
        <v>2</v>
      </c>
      <c r="F316" s="40">
        <v>19221</v>
      </c>
    </row>
    <row r="317" spans="1:6" x14ac:dyDescent="0.25">
      <c r="A317" s="37">
        <v>2007</v>
      </c>
      <c r="B317" s="38" t="s">
        <v>318</v>
      </c>
      <c r="C317" s="38" t="s">
        <v>203</v>
      </c>
      <c r="D317" s="39" t="s">
        <v>174</v>
      </c>
      <c r="E317" s="32" t="s">
        <v>24</v>
      </c>
      <c r="F317" s="40">
        <v>48964</v>
      </c>
    </row>
    <row r="318" spans="1:6" x14ac:dyDescent="0.25">
      <c r="A318" s="37">
        <v>2007</v>
      </c>
      <c r="B318" s="38" t="s">
        <v>318</v>
      </c>
      <c r="C318" s="38" t="s">
        <v>203</v>
      </c>
      <c r="D318" s="39" t="s">
        <v>174</v>
      </c>
      <c r="E318" s="32" t="s">
        <v>204</v>
      </c>
      <c r="F318" s="40">
        <v>1600</v>
      </c>
    </row>
    <row r="319" spans="1:6" x14ac:dyDescent="0.25">
      <c r="A319" s="37">
        <v>2007</v>
      </c>
      <c r="B319" s="38" t="s">
        <v>318</v>
      </c>
      <c r="C319" s="38" t="s">
        <v>203</v>
      </c>
      <c r="D319" s="41" t="s">
        <v>205</v>
      </c>
      <c r="E319" s="32" t="s">
        <v>2</v>
      </c>
      <c r="F319" s="40">
        <v>5200</v>
      </c>
    </row>
    <row r="320" spans="1:6" x14ac:dyDescent="0.25">
      <c r="A320" s="37">
        <v>2007</v>
      </c>
      <c r="B320" s="38" t="s">
        <v>318</v>
      </c>
      <c r="C320" s="38" t="s">
        <v>203</v>
      </c>
      <c r="D320" s="41" t="s">
        <v>205</v>
      </c>
      <c r="E320" s="32" t="s">
        <v>24</v>
      </c>
      <c r="F320" s="40">
        <v>28859</v>
      </c>
    </row>
    <row r="321" spans="1:6" x14ac:dyDescent="0.25">
      <c r="A321" s="37">
        <v>2007</v>
      </c>
      <c r="B321" s="38" t="s">
        <v>318</v>
      </c>
      <c r="C321" s="38" t="s">
        <v>203</v>
      </c>
      <c r="D321" s="41" t="s">
        <v>205</v>
      </c>
      <c r="E321" s="32" t="s">
        <v>204</v>
      </c>
      <c r="F321" s="40">
        <v>5160</v>
      </c>
    </row>
    <row r="322" spans="1:6" x14ac:dyDescent="0.25">
      <c r="A322" s="37">
        <v>2007</v>
      </c>
      <c r="B322" s="38" t="s">
        <v>318</v>
      </c>
      <c r="C322" s="38" t="s">
        <v>203</v>
      </c>
      <c r="D322" s="42" t="s">
        <v>206</v>
      </c>
      <c r="E322" s="32" t="s">
        <v>2</v>
      </c>
      <c r="F322" s="40">
        <v>1400</v>
      </c>
    </row>
    <row r="323" spans="1:6" x14ac:dyDescent="0.25">
      <c r="A323" s="37">
        <v>2007</v>
      </c>
      <c r="B323" s="38" t="s">
        <v>318</v>
      </c>
      <c r="C323" s="38" t="s">
        <v>203</v>
      </c>
      <c r="D323" s="42" t="s">
        <v>206</v>
      </c>
      <c r="E323" s="32" t="s">
        <v>24</v>
      </c>
      <c r="F323" s="40">
        <v>10711</v>
      </c>
    </row>
    <row r="324" spans="1:6" x14ac:dyDescent="0.25">
      <c r="A324" s="37">
        <v>2007</v>
      </c>
      <c r="B324" s="38" t="s">
        <v>318</v>
      </c>
      <c r="C324" s="38" t="s">
        <v>203</v>
      </c>
      <c r="D324" s="42" t="s">
        <v>206</v>
      </c>
      <c r="E324" s="32" t="s">
        <v>204</v>
      </c>
      <c r="F324" s="40">
        <v>4293</v>
      </c>
    </row>
    <row r="325" spans="1:6" x14ac:dyDescent="0.25">
      <c r="A325" s="37">
        <v>2007</v>
      </c>
      <c r="B325" s="38" t="s">
        <v>318</v>
      </c>
      <c r="C325" s="38" t="s">
        <v>203</v>
      </c>
      <c r="D325" s="43" t="s">
        <v>175</v>
      </c>
      <c r="E325" s="32" t="s">
        <v>2</v>
      </c>
      <c r="F325" s="40">
        <v>0</v>
      </c>
    </row>
    <row r="326" spans="1:6" x14ac:dyDescent="0.25">
      <c r="A326" s="37">
        <v>2007</v>
      </c>
      <c r="B326" s="38" t="s">
        <v>318</v>
      </c>
      <c r="C326" s="38" t="s">
        <v>203</v>
      </c>
      <c r="D326" s="43" t="s">
        <v>175</v>
      </c>
      <c r="E326" s="32" t="s">
        <v>24</v>
      </c>
      <c r="F326" s="40">
        <v>5006</v>
      </c>
    </row>
    <row r="327" spans="1:6" x14ac:dyDescent="0.25">
      <c r="A327" s="37">
        <v>2007</v>
      </c>
      <c r="B327" s="38" t="s">
        <v>318</v>
      </c>
      <c r="C327" s="38" t="s">
        <v>203</v>
      </c>
      <c r="D327" s="43" t="s">
        <v>175</v>
      </c>
      <c r="E327" s="32" t="s">
        <v>204</v>
      </c>
      <c r="F327" s="40">
        <v>0</v>
      </c>
    </row>
    <row r="328" spans="1:6" x14ac:dyDescent="0.25">
      <c r="A328" s="37">
        <v>2007</v>
      </c>
      <c r="B328" s="38" t="s">
        <v>318</v>
      </c>
      <c r="C328" s="38" t="s">
        <v>207</v>
      </c>
      <c r="D328" s="39" t="s">
        <v>208</v>
      </c>
      <c r="E328" s="32" t="s">
        <v>2</v>
      </c>
      <c r="F328" s="40">
        <v>3688</v>
      </c>
    </row>
    <row r="329" spans="1:6" x14ac:dyDescent="0.25">
      <c r="A329" s="37">
        <v>2007</v>
      </c>
      <c r="B329" s="38" t="s">
        <v>318</v>
      </c>
      <c r="C329" s="38" t="s">
        <v>207</v>
      </c>
      <c r="D329" s="39" t="s">
        <v>208</v>
      </c>
      <c r="E329" s="32" t="s">
        <v>24</v>
      </c>
      <c r="F329" s="40">
        <v>47060</v>
      </c>
    </row>
    <row r="330" spans="1:6" x14ac:dyDescent="0.25">
      <c r="A330" s="37">
        <v>2007</v>
      </c>
      <c r="B330" s="38" t="s">
        <v>318</v>
      </c>
      <c r="C330" s="38" t="s">
        <v>207</v>
      </c>
      <c r="D330" s="39" t="s">
        <v>208</v>
      </c>
      <c r="E330" s="32" t="s">
        <v>204</v>
      </c>
      <c r="F330" s="40">
        <v>356384</v>
      </c>
    </row>
    <row r="331" spans="1:6" x14ac:dyDescent="0.25">
      <c r="A331" s="37">
        <v>2007</v>
      </c>
      <c r="B331" s="38" t="s">
        <v>318</v>
      </c>
      <c r="C331" s="38" t="s">
        <v>207</v>
      </c>
      <c r="D331" s="43" t="s">
        <v>209</v>
      </c>
      <c r="E331" s="32" t="s">
        <v>2</v>
      </c>
      <c r="F331" s="40">
        <v>0</v>
      </c>
    </row>
    <row r="332" spans="1:6" x14ac:dyDescent="0.25">
      <c r="A332" s="37">
        <v>2007</v>
      </c>
      <c r="B332" s="38" t="s">
        <v>318</v>
      </c>
      <c r="C332" s="38" t="s">
        <v>207</v>
      </c>
      <c r="D332" s="43" t="s">
        <v>209</v>
      </c>
      <c r="E332" s="32" t="s">
        <v>24</v>
      </c>
      <c r="F332" s="40">
        <v>1515</v>
      </c>
    </row>
    <row r="333" spans="1:6" x14ac:dyDescent="0.25">
      <c r="A333" s="37">
        <v>2007</v>
      </c>
      <c r="B333" s="38" t="s">
        <v>318</v>
      </c>
      <c r="C333" s="38" t="s">
        <v>207</v>
      </c>
      <c r="D333" s="43" t="s">
        <v>209</v>
      </c>
      <c r="E333" s="32" t="s">
        <v>204</v>
      </c>
      <c r="F333" s="40">
        <v>71493</v>
      </c>
    </row>
    <row r="334" spans="1:6" x14ac:dyDescent="0.25">
      <c r="A334" s="37">
        <v>2007</v>
      </c>
      <c r="B334" s="38" t="s">
        <v>318</v>
      </c>
      <c r="C334" s="38" t="s">
        <v>207</v>
      </c>
      <c r="D334" s="44" t="s">
        <v>210</v>
      </c>
      <c r="E334" s="32" t="s">
        <v>2</v>
      </c>
      <c r="F334" s="40">
        <v>0</v>
      </c>
    </row>
    <row r="335" spans="1:6" x14ac:dyDescent="0.25">
      <c r="A335" s="37">
        <v>2007</v>
      </c>
      <c r="B335" s="38" t="s">
        <v>318</v>
      </c>
      <c r="C335" s="38" t="s">
        <v>207</v>
      </c>
      <c r="D335" s="44" t="s">
        <v>210</v>
      </c>
      <c r="E335" s="32" t="s">
        <v>24</v>
      </c>
      <c r="F335" s="40">
        <v>0</v>
      </c>
    </row>
    <row r="336" spans="1:6" x14ac:dyDescent="0.25">
      <c r="A336" s="45">
        <v>2007</v>
      </c>
      <c r="B336" s="46" t="s">
        <v>318</v>
      </c>
      <c r="C336" s="46" t="s">
        <v>207</v>
      </c>
      <c r="D336" s="47" t="s">
        <v>210</v>
      </c>
      <c r="E336" s="33" t="s">
        <v>204</v>
      </c>
      <c r="F336" s="48">
        <v>0</v>
      </c>
    </row>
    <row r="337" spans="1:6" x14ac:dyDescent="0.25">
      <c r="A337" s="37">
        <v>2007</v>
      </c>
      <c r="B337" s="38" t="s">
        <v>319</v>
      </c>
      <c r="C337" s="38" t="s">
        <v>203</v>
      </c>
      <c r="D337" s="39" t="s">
        <v>174</v>
      </c>
      <c r="E337" s="32" t="s">
        <v>2</v>
      </c>
      <c r="F337" s="40">
        <v>19505</v>
      </c>
    </row>
    <row r="338" spans="1:6" x14ac:dyDescent="0.25">
      <c r="A338" s="37">
        <v>2007</v>
      </c>
      <c r="B338" s="38" t="s">
        <v>319</v>
      </c>
      <c r="C338" s="38" t="s">
        <v>203</v>
      </c>
      <c r="D338" s="39" t="s">
        <v>174</v>
      </c>
      <c r="E338" s="32" t="s">
        <v>24</v>
      </c>
      <c r="F338" s="40">
        <v>53809</v>
      </c>
    </row>
    <row r="339" spans="1:6" x14ac:dyDescent="0.25">
      <c r="A339" s="37">
        <v>2007</v>
      </c>
      <c r="B339" s="38" t="s">
        <v>319</v>
      </c>
      <c r="C339" s="38" t="s">
        <v>203</v>
      </c>
      <c r="D339" s="39" t="s">
        <v>174</v>
      </c>
      <c r="E339" s="32" t="s">
        <v>204</v>
      </c>
      <c r="F339" s="40">
        <v>0</v>
      </c>
    </row>
    <row r="340" spans="1:6" x14ac:dyDescent="0.25">
      <c r="A340" s="37">
        <v>2007</v>
      </c>
      <c r="B340" s="38" t="s">
        <v>319</v>
      </c>
      <c r="C340" s="38" t="s">
        <v>203</v>
      </c>
      <c r="D340" s="41" t="s">
        <v>205</v>
      </c>
      <c r="E340" s="32" t="s">
        <v>2</v>
      </c>
      <c r="F340" s="40">
        <v>9200</v>
      </c>
    </row>
    <row r="341" spans="1:6" x14ac:dyDescent="0.25">
      <c r="A341" s="37">
        <v>2007</v>
      </c>
      <c r="B341" s="38" t="s">
        <v>319</v>
      </c>
      <c r="C341" s="38" t="s">
        <v>203</v>
      </c>
      <c r="D341" s="41" t="s">
        <v>205</v>
      </c>
      <c r="E341" s="32" t="s">
        <v>24</v>
      </c>
      <c r="F341" s="40">
        <v>24169</v>
      </c>
    </row>
    <row r="342" spans="1:6" x14ac:dyDescent="0.25">
      <c r="A342" s="37">
        <v>2007</v>
      </c>
      <c r="B342" s="38" t="s">
        <v>319</v>
      </c>
      <c r="C342" s="38" t="s">
        <v>203</v>
      </c>
      <c r="D342" s="41" t="s">
        <v>205</v>
      </c>
      <c r="E342" s="32" t="s">
        <v>204</v>
      </c>
      <c r="F342" s="40">
        <v>9980</v>
      </c>
    </row>
    <row r="343" spans="1:6" x14ac:dyDescent="0.25">
      <c r="A343" s="37">
        <v>2007</v>
      </c>
      <c r="B343" s="38" t="s">
        <v>319</v>
      </c>
      <c r="C343" s="38" t="s">
        <v>203</v>
      </c>
      <c r="D343" s="42" t="s">
        <v>206</v>
      </c>
      <c r="E343" s="32" t="s">
        <v>2</v>
      </c>
      <c r="F343" s="40">
        <v>0</v>
      </c>
    </row>
    <row r="344" spans="1:6" x14ac:dyDescent="0.25">
      <c r="A344" s="37">
        <v>2007</v>
      </c>
      <c r="B344" s="38" t="s">
        <v>319</v>
      </c>
      <c r="C344" s="38" t="s">
        <v>203</v>
      </c>
      <c r="D344" s="42" t="s">
        <v>206</v>
      </c>
      <c r="E344" s="32" t="s">
        <v>24</v>
      </c>
      <c r="F344" s="40">
        <v>11415</v>
      </c>
    </row>
    <row r="345" spans="1:6" x14ac:dyDescent="0.25">
      <c r="A345" s="37">
        <v>2007</v>
      </c>
      <c r="B345" s="38" t="s">
        <v>319</v>
      </c>
      <c r="C345" s="38" t="s">
        <v>203</v>
      </c>
      <c r="D345" s="42" t="s">
        <v>206</v>
      </c>
      <c r="E345" s="32" t="s">
        <v>204</v>
      </c>
      <c r="F345" s="40">
        <v>4293</v>
      </c>
    </row>
    <row r="346" spans="1:6" x14ac:dyDescent="0.25">
      <c r="A346" s="37">
        <v>2007</v>
      </c>
      <c r="B346" s="38" t="s">
        <v>319</v>
      </c>
      <c r="C346" s="38" t="s">
        <v>203</v>
      </c>
      <c r="D346" s="43" t="s">
        <v>175</v>
      </c>
      <c r="E346" s="32" t="s">
        <v>2</v>
      </c>
      <c r="F346" s="40">
        <v>0</v>
      </c>
    </row>
    <row r="347" spans="1:6" x14ac:dyDescent="0.25">
      <c r="A347" s="37">
        <v>2007</v>
      </c>
      <c r="B347" s="38" t="s">
        <v>319</v>
      </c>
      <c r="C347" s="38" t="s">
        <v>203</v>
      </c>
      <c r="D347" s="43" t="s">
        <v>175</v>
      </c>
      <c r="E347" s="32" t="s">
        <v>24</v>
      </c>
      <c r="F347" s="40">
        <v>3631</v>
      </c>
    </row>
    <row r="348" spans="1:6" x14ac:dyDescent="0.25">
      <c r="A348" s="37">
        <v>2007</v>
      </c>
      <c r="B348" s="38" t="s">
        <v>319</v>
      </c>
      <c r="C348" s="38" t="s">
        <v>203</v>
      </c>
      <c r="D348" s="43" t="s">
        <v>175</v>
      </c>
      <c r="E348" s="32" t="s">
        <v>204</v>
      </c>
      <c r="F348" s="40">
        <v>2700</v>
      </c>
    </row>
    <row r="349" spans="1:6" x14ac:dyDescent="0.25">
      <c r="A349" s="37">
        <v>2007</v>
      </c>
      <c r="B349" s="38" t="s">
        <v>319</v>
      </c>
      <c r="C349" s="38" t="s">
        <v>207</v>
      </c>
      <c r="D349" s="39" t="s">
        <v>208</v>
      </c>
      <c r="E349" s="32" t="s">
        <v>2</v>
      </c>
      <c r="F349" s="40">
        <v>3560</v>
      </c>
    </row>
    <row r="350" spans="1:6" x14ac:dyDescent="0.25">
      <c r="A350" s="37">
        <v>2007</v>
      </c>
      <c r="B350" s="38" t="s">
        <v>319</v>
      </c>
      <c r="C350" s="38" t="s">
        <v>207</v>
      </c>
      <c r="D350" s="39" t="s">
        <v>208</v>
      </c>
      <c r="E350" s="32" t="s">
        <v>24</v>
      </c>
      <c r="F350" s="40">
        <v>55260</v>
      </c>
    </row>
    <row r="351" spans="1:6" x14ac:dyDescent="0.25">
      <c r="A351" s="37">
        <v>2007</v>
      </c>
      <c r="B351" s="38" t="s">
        <v>319</v>
      </c>
      <c r="C351" s="38" t="s">
        <v>207</v>
      </c>
      <c r="D351" s="39" t="s">
        <v>208</v>
      </c>
      <c r="E351" s="32" t="s">
        <v>204</v>
      </c>
      <c r="F351" s="40">
        <v>368676</v>
      </c>
    </row>
    <row r="352" spans="1:6" x14ac:dyDescent="0.25">
      <c r="A352" s="37">
        <v>2007</v>
      </c>
      <c r="B352" s="38" t="s">
        <v>319</v>
      </c>
      <c r="C352" s="38" t="s">
        <v>207</v>
      </c>
      <c r="D352" s="43" t="s">
        <v>209</v>
      </c>
      <c r="E352" s="32" t="s">
        <v>2</v>
      </c>
      <c r="F352" s="40">
        <v>0</v>
      </c>
    </row>
    <row r="353" spans="1:6" x14ac:dyDescent="0.25">
      <c r="A353" s="37">
        <v>2007</v>
      </c>
      <c r="B353" s="38" t="s">
        <v>319</v>
      </c>
      <c r="C353" s="38" t="s">
        <v>207</v>
      </c>
      <c r="D353" s="43" t="s">
        <v>209</v>
      </c>
      <c r="E353" s="32" t="s">
        <v>24</v>
      </c>
      <c r="F353" s="40">
        <v>1515</v>
      </c>
    </row>
    <row r="354" spans="1:6" x14ac:dyDescent="0.25">
      <c r="A354" s="37">
        <v>2007</v>
      </c>
      <c r="B354" s="38" t="s">
        <v>319</v>
      </c>
      <c r="C354" s="38" t="s">
        <v>207</v>
      </c>
      <c r="D354" s="43" t="s">
        <v>209</v>
      </c>
      <c r="E354" s="32" t="s">
        <v>204</v>
      </c>
      <c r="F354" s="40">
        <v>36118</v>
      </c>
    </row>
    <row r="355" spans="1:6" x14ac:dyDescent="0.25">
      <c r="A355" s="37">
        <v>2007</v>
      </c>
      <c r="B355" s="38" t="s">
        <v>319</v>
      </c>
      <c r="C355" s="38" t="s">
        <v>207</v>
      </c>
      <c r="D355" s="44" t="s">
        <v>210</v>
      </c>
      <c r="E355" s="32" t="s">
        <v>2</v>
      </c>
      <c r="F355" s="40">
        <v>0</v>
      </c>
    </row>
    <row r="356" spans="1:6" x14ac:dyDescent="0.25">
      <c r="A356" s="37">
        <v>2007</v>
      </c>
      <c r="B356" s="38" t="s">
        <v>319</v>
      </c>
      <c r="C356" s="38" t="s">
        <v>207</v>
      </c>
      <c r="D356" s="44" t="s">
        <v>210</v>
      </c>
      <c r="E356" s="32" t="s">
        <v>24</v>
      </c>
      <c r="F356" s="40">
        <v>0</v>
      </c>
    </row>
    <row r="357" spans="1:6" x14ac:dyDescent="0.25">
      <c r="A357" s="45">
        <v>2007</v>
      </c>
      <c r="B357" s="46" t="s">
        <v>319</v>
      </c>
      <c r="C357" s="46" t="s">
        <v>207</v>
      </c>
      <c r="D357" s="47" t="s">
        <v>210</v>
      </c>
      <c r="E357" s="33" t="s">
        <v>204</v>
      </c>
      <c r="F357" s="48">
        <v>0</v>
      </c>
    </row>
    <row r="358" spans="1:6" x14ac:dyDescent="0.25">
      <c r="A358" s="37">
        <v>2007</v>
      </c>
      <c r="B358" s="38" t="s">
        <v>320</v>
      </c>
      <c r="C358" s="38" t="s">
        <v>203</v>
      </c>
      <c r="D358" s="39" t="s">
        <v>174</v>
      </c>
      <c r="E358" s="32" t="s">
        <v>2</v>
      </c>
      <c r="F358" s="40">
        <v>19371</v>
      </c>
    </row>
    <row r="359" spans="1:6" x14ac:dyDescent="0.25">
      <c r="A359" s="37">
        <v>2007</v>
      </c>
      <c r="B359" s="38" t="s">
        <v>320</v>
      </c>
      <c r="C359" s="38" t="s">
        <v>203</v>
      </c>
      <c r="D359" s="39" t="s">
        <v>174</v>
      </c>
      <c r="E359" s="32" t="s">
        <v>24</v>
      </c>
      <c r="F359" s="40">
        <v>55609</v>
      </c>
    </row>
    <row r="360" spans="1:6" x14ac:dyDescent="0.25">
      <c r="A360" s="37">
        <v>2007</v>
      </c>
      <c r="B360" s="38" t="s">
        <v>320</v>
      </c>
      <c r="C360" s="38" t="s">
        <v>203</v>
      </c>
      <c r="D360" s="39" t="s">
        <v>174</v>
      </c>
      <c r="E360" s="32" t="s">
        <v>204</v>
      </c>
      <c r="F360" s="40">
        <v>0</v>
      </c>
    </row>
    <row r="361" spans="1:6" x14ac:dyDescent="0.25">
      <c r="A361" s="37">
        <v>2007</v>
      </c>
      <c r="B361" s="38" t="s">
        <v>320</v>
      </c>
      <c r="C361" s="38" t="s">
        <v>203</v>
      </c>
      <c r="D361" s="41" t="s">
        <v>205</v>
      </c>
      <c r="E361" s="32" t="s">
        <v>2</v>
      </c>
      <c r="F361" s="40">
        <v>7575</v>
      </c>
    </row>
    <row r="362" spans="1:6" x14ac:dyDescent="0.25">
      <c r="A362" s="37">
        <v>2007</v>
      </c>
      <c r="B362" s="38" t="s">
        <v>320</v>
      </c>
      <c r="C362" s="38" t="s">
        <v>203</v>
      </c>
      <c r="D362" s="41" t="s">
        <v>205</v>
      </c>
      <c r="E362" s="32" t="s">
        <v>24</v>
      </c>
      <c r="F362" s="40">
        <v>26169</v>
      </c>
    </row>
    <row r="363" spans="1:6" x14ac:dyDescent="0.25">
      <c r="A363" s="37">
        <v>2007</v>
      </c>
      <c r="B363" s="38" t="s">
        <v>320</v>
      </c>
      <c r="C363" s="38" t="s">
        <v>203</v>
      </c>
      <c r="D363" s="41" t="s">
        <v>205</v>
      </c>
      <c r="E363" s="32" t="s">
        <v>204</v>
      </c>
      <c r="F363" s="40">
        <v>9980</v>
      </c>
    </row>
    <row r="364" spans="1:6" x14ac:dyDescent="0.25">
      <c r="A364" s="37">
        <v>2007</v>
      </c>
      <c r="B364" s="38" t="s">
        <v>320</v>
      </c>
      <c r="C364" s="38" t="s">
        <v>203</v>
      </c>
      <c r="D364" s="42" t="s">
        <v>206</v>
      </c>
      <c r="E364" s="32" t="s">
        <v>2</v>
      </c>
      <c r="F364" s="40">
        <v>1200</v>
      </c>
    </row>
    <row r="365" spans="1:6" x14ac:dyDescent="0.25">
      <c r="A365" s="37">
        <v>2007</v>
      </c>
      <c r="B365" s="38" t="s">
        <v>320</v>
      </c>
      <c r="C365" s="38" t="s">
        <v>203</v>
      </c>
      <c r="D365" s="42" t="s">
        <v>206</v>
      </c>
      <c r="E365" s="32" t="s">
        <v>24</v>
      </c>
      <c r="F365" s="40">
        <v>5940</v>
      </c>
    </row>
    <row r="366" spans="1:6" x14ac:dyDescent="0.25">
      <c r="A366" s="37">
        <v>2007</v>
      </c>
      <c r="B366" s="38" t="s">
        <v>320</v>
      </c>
      <c r="C366" s="38" t="s">
        <v>203</v>
      </c>
      <c r="D366" s="42" t="s">
        <v>206</v>
      </c>
      <c r="E366" s="32" t="s">
        <v>204</v>
      </c>
      <c r="F366" s="40">
        <v>0</v>
      </c>
    </row>
    <row r="367" spans="1:6" x14ac:dyDescent="0.25">
      <c r="A367" s="37">
        <v>2007</v>
      </c>
      <c r="B367" s="38" t="s">
        <v>320</v>
      </c>
      <c r="C367" s="38" t="s">
        <v>203</v>
      </c>
      <c r="D367" s="43" t="s">
        <v>175</v>
      </c>
      <c r="E367" s="32" t="s">
        <v>2</v>
      </c>
      <c r="F367" s="40">
        <v>0</v>
      </c>
    </row>
    <row r="368" spans="1:6" x14ac:dyDescent="0.25">
      <c r="A368" s="37">
        <v>2007</v>
      </c>
      <c r="B368" s="38" t="s">
        <v>320</v>
      </c>
      <c r="C368" s="38" t="s">
        <v>203</v>
      </c>
      <c r="D368" s="43" t="s">
        <v>175</v>
      </c>
      <c r="E368" s="32" t="s">
        <v>24</v>
      </c>
      <c r="F368" s="40">
        <v>4527</v>
      </c>
    </row>
    <row r="369" spans="1:6" x14ac:dyDescent="0.25">
      <c r="A369" s="37">
        <v>2007</v>
      </c>
      <c r="B369" s="38" t="s">
        <v>320</v>
      </c>
      <c r="C369" s="38" t="s">
        <v>203</v>
      </c>
      <c r="D369" s="43" t="s">
        <v>175</v>
      </c>
      <c r="E369" s="32" t="s">
        <v>204</v>
      </c>
      <c r="F369" s="40">
        <v>2700</v>
      </c>
    </row>
    <row r="370" spans="1:6" x14ac:dyDescent="0.25">
      <c r="A370" s="37">
        <v>2007</v>
      </c>
      <c r="B370" s="38" t="s">
        <v>320</v>
      </c>
      <c r="C370" s="38" t="s">
        <v>207</v>
      </c>
      <c r="D370" s="39" t="s">
        <v>208</v>
      </c>
      <c r="E370" s="32" t="s">
        <v>2</v>
      </c>
      <c r="F370" s="40">
        <v>3560</v>
      </c>
    </row>
    <row r="371" spans="1:6" x14ac:dyDescent="0.25">
      <c r="A371" s="37">
        <v>2007</v>
      </c>
      <c r="B371" s="38" t="s">
        <v>320</v>
      </c>
      <c r="C371" s="38" t="s">
        <v>207</v>
      </c>
      <c r="D371" s="39" t="s">
        <v>208</v>
      </c>
      <c r="E371" s="32" t="s">
        <v>24</v>
      </c>
      <c r="F371" s="40">
        <v>101840</v>
      </c>
    </row>
    <row r="372" spans="1:6" x14ac:dyDescent="0.25">
      <c r="A372" s="37">
        <v>2007</v>
      </c>
      <c r="B372" s="38" t="s">
        <v>320</v>
      </c>
      <c r="C372" s="38" t="s">
        <v>207</v>
      </c>
      <c r="D372" s="39" t="s">
        <v>208</v>
      </c>
      <c r="E372" s="32" t="s">
        <v>204</v>
      </c>
      <c r="F372" s="40">
        <v>308918</v>
      </c>
    </row>
    <row r="373" spans="1:6" x14ac:dyDescent="0.25">
      <c r="A373" s="37">
        <v>2007</v>
      </c>
      <c r="B373" s="38" t="s">
        <v>320</v>
      </c>
      <c r="C373" s="38" t="s">
        <v>207</v>
      </c>
      <c r="D373" s="43" t="s">
        <v>209</v>
      </c>
      <c r="E373" s="32" t="s">
        <v>2</v>
      </c>
      <c r="F373" s="40">
        <v>0</v>
      </c>
    </row>
    <row r="374" spans="1:6" x14ac:dyDescent="0.25">
      <c r="A374" s="37">
        <v>2007</v>
      </c>
      <c r="B374" s="38" t="s">
        <v>320</v>
      </c>
      <c r="C374" s="38" t="s">
        <v>207</v>
      </c>
      <c r="D374" s="43" t="s">
        <v>209</v>
      </c>
      <c r="E374" s="32" t="s">
        <v>24</v>
      </c>
      <c r="F374" s="40">
        <v>6411</v>
      </c>
    </row>
    <row r="375" spans="1:6" x14ac:dyDescent="0.25">
      <c r="A375" s="37">
        <v>2007</v>
      </c>
      <c r="B375" s="38" t="s">
        <v>320</v>
      </c>
      <c r="C375" s="38" t="s">
        <v>207</v>
      </c>
      <c r="D375" s="43" t="s">
        <v>209</v>
      </c>
      <c r="E375" s="32" t="s">
        <v>204</v>
      </c>
      <c r="F375" s="40">
        <v>31250</v>
      </c>
    </row>
    <row r="376" spans="1:6" x14ac:dyDescent="0.25">
      <c r="A376" s="37">
        <v>2007</v>
      </c>
      <c r="B376" s="38" t="s">
        <v>320</v>
      </c>
      <c r="C376" s="38" t="s">
        <v>207</v>
      </c>
      <c r="D376" s="44" t="s">
        <v>210</v>
      </c>
      <c r="E376" s="32" t="s">
        <v>2</v>
      </c>
      <c r="F376" s="40">
        <v>0</v>
      </c>
    </row>
    <row r="377" spans="1:6" x14ac:dyDescent="0.25">
      <c r="A377" s="37">
        <v>2007</v>
      </c>
      <c r="B377" s="38" t="s">
        <v>320</v>
      </c>
      <c r="C377" s="38" t="s">
        <v>207</v>
      </c>
      <c r="D377" s="44" t="s">
        <v>210</v>
      </c>
      <c r="E377" s="32" t="s">
        <v>24</v>
      </c>
      <c r="F377" s="40">
        <v>0</v>
      </c>
    </row>
    <row r="378" spans="1:6" x14ac:dyDescent="0.25">
      <c r="A378" s="45">
        <v>2007</v>
      </c>
      <c r="B378" s="46" t="s">
        <v>320</v>
      </c>
      <c r="C378" s="46" t="s">
        <v>207</v>
      </c>
      <c r="D378" s="47" t="s">
        <v>210</v>
      </c>
      <c r="E378" s="33" t="s">
        <v>204</v>
      </c>
      <c r="F378" s="48">
        <v>0</v>
      </c>
    </row>
    <row r="379" spans="1:6" x14ac:dyDescent="0.25">
      <c r="A379" s="37">
        <v>2007</v>
      </c>
      <c r="B379" s="38" t="s">
        <v>316</v>
      </c>
      <c r="C379" s="38" t="s">
        <v>203</v>
      </c>
      <c r="D379" s="39" t="s">
        <v>174</v>
      </c>
      <c r="E379" s="32" t="s">
        <v>2</v>
      </c>
      <c r="F379" s="40">
        <v>17811</v>
      </c>
    </row>
    <row r="380" spans="1:6" x14ac:dyDescent="0.25">
      <c r="A380" s="37">
        <v>2007</v>
      </c>
      <c r="B380" s="38" t="s">
        <v>316</v>
      </c>
      <c r="C380" s="38" t="s">
        <v>203</v>
      </c>
      <c r="D380" s="39" t="s">
        <v>174</v>
      </c>
      <c r="E380" s="32" t="s">
        <v>24</v>
      </c>
      <c r="F380" s="40">
        <v>74869</v>
      </c>
    </row>
    <row r="381" spans="1:6" x14ac:dyDescent="0.25">
      <c r="A381" s="37">
        <v>2007</v>
      </c>
      <c r="B381" s="38" t="s">
        <v>316</v>
      </c>
      <c r="C381" s="38" t="s">
        <v>203</v>
      </c>
      <c r="D381" s="39" t="s">
        <v>174</v>
      </c>
      <c r="E381" s="32" t="s">
        <v>204</v>
      </c>
      <c r="F381" s="40">
        <v>0</v>
      </c>
    </row>
    <row r="382" spans="1:6" x14ac:dyDescent="0.25">
      <c r="A382" s="37">
        <v>2007</v>
      </c>
      <c r="B382" s="38" t="s">
        <v>316</v>
      </c>
      <c r="C382" s="38" t="s">
        <v>203</v>
      </c>
      <c r="D382" s="41" t="s">
        <v>205</v>
      </c>
      <c r="E382" s="32" t="s">
        <v>2</v>
      </c>
      <c r="F382" s="40">
        <v>32844</v>
      </c>
    </row>
    <row r="383" spans="1:6" x14ac:dyDescent="0.25">
      <c r="A383" s="37">
        <v>2007</v>
      </c>
      <c r="B383" s="38" t="s">
        <v>316</v>
      </c>
      <c r="C383" s="38" t="s">
        <v>203</v>
      </c>
      <c r="D383" s="41" t="s">
        <v>205</v>
      </c>
      <c r="E383" s="32" t="s">
        <v>24</v>
      </c>
      <c r="F383" s="40">
        <v>6107</v>
      </c>
    </row>
    <row r="384" spans="1:6" x14ac:dyDescent="0.25">
      <c r="A384" s="37">
        <v>2007</v>
      </c>
      <c r="B384" s="38" t="s">
        <v>316</v>
      </c>
      <c r="C384" s="38" t="s">
        <v>203</v>
      </c>
      <c r="D384" s="41" t="s">
        <v>205</v>
      </c>
      <c r="E384" s="32" t="s">
        <v>204</v>
      </c>
      <c r="F384" s="40">
        <v>9980</v>
      </c>
    </row>
    <row r="385" spans="1:6" x14ac:dyDescent="0.25">
      <c r="A385" s="37">
        <v>2007</v>
      </c>
      <c r="B385" s="38" t="s">
        <v>316</v>
      </c>
      <c r="C385" s="38" t="s">
        <v>203</v>
      </c>
      <c r="D385" s="42" t="s">
        <v>206</v>
      </c>
      <c r="E385" s="32" t="s">
        <v>2</v>
      </c>
      <c r="F385" s="40">
        <v>30562</v>
      </c>
    </row>
    <row r="386" spans="1:6" x14ac:dyDescent="0.25">
      <c r="A386" s="37">
        <v>2007</v>
      </c>
      <c r="B386" s="38" t="s">
        <v>316</v>
      </c>
      <c r="C386" s="38" t="s">
        <v>203</v>
      </c>
      <c r="D386" s="42" t="s">
        <v>206</v>
      </c>
      <c r="E386" s="32" t="s">
        <v>24</v>
      </c>
      <c r="F386" s="40">
        <v>25688</v>
      </c>
    </row>
    <row r="387" spans="1:6" x14ac:dyDescent="0.25">
      <c r="A387" s="37">
        <v>2007</v>
      </c>
      <c r="B387" s="38" t="s">
        <v>316</v>
      </c>
      <c r="C387" s="38" t="s">
        <v>203</v>
      </c>
      <c r="D387" s="42" t="s">
        <v>206</v>
      </c>
      <c r="E387" s="32" t="s">
        <v>204</v>
      </c>
      <c r="F387" s="40">
        <v>0</v>
      </c>
    </row>
    <row r="388" spans="1:6" x14ac:dyDescent="0.25">
      <c r="A388" s="37">
        <v>2007</v>
      </c>
      <c r="B388" s="38" t="s">
        <v>316</v>
      </c>
      <c r="C388" s="38" t="s">
        <v>203</v>
      </c>
      <c r="D388" s="43" t="s">
        <v>175</v>
      </c>
      <c r="E388" s="32" t="s">
        <v>2</v>
      </c>
      <c r="F388" s="40">
        <v>0</v>
      </c>
    </row>
    <row r="389" spans="1:6" x14ac:dyDescent="0.25">
      <c r="A389" s="37">
        <v>2007</v>
      </c>
      <c r="B389" s="38" t="s">
        <v>316</v>
      </c>
      <c r="C389" s="38" t="s">
        <v>203</v>
      </c>
      <c r="D389" s="43" t="s">
        <v>175</v>
      </c>
      <c r="E389" s="32" t="s">
        <v>24</v>
      </c>
      <c r="F389" s="40">
        <v>4515</v>
      </c>
    </row>
    <row r="390" spans="1:6" x14ac:dyDescent="0.25">
      <c r="A390" s="37">
        <v>2007</v>
      </c>
      <c r="B390" s="38" t="s">
        <v>316</v>
      </c>
      <c r="C390" s="38" t="s">
        <v>203</v>
      </c>
      <c r="D390" s="43" t="s">
        <v>175</v>
      </c>
      <c r="E390" s="32" t="s">
        <v>204</v>
      </c>
      <c r="F390" s="40">
        <v>2700</v>
      </c>
    </row>
    <row r="391" spans="1:6" x14ac:dyDescent="0.25">
      <c r="A391" s="37">
        <v>2007</v>
      </c>
      <c r="B391" s="38" t="s">
        <v>316</v>
      </c>
      <c r="C391" s="38" t="s">
        <v>207</v>
      </c>
      <c r="D391" s="39" t="s">
        <v>208</v>
      </c>
      <c r="E391" s="32" t="s">
        <v>2</v>
      </c>
      <c r="F391" s="40">
        <v>3560</v>
      </c>
    </row>
    <row r="392" spans="1:6" x14ac:dyDescent="0.25">
      <c r="A392" s="37">
        <v>2007</v>
      </c>
      <c r="B392" s="38" t="s">
        <v>316</v>
      </c>
      <c r="C392" s="38" t="s">
        <v>207</v>
      </c>
      <c r="D392" s="39" t="s">
        <v>208</v>
      </c>
      <c r="E392" s="32" t="s">
        <v>24</v>
      </c>
      <c r="F392" s="40">
        <v>48951</v>
      </c>
    </row>
    <row r="393" spans="1:6" x14ac:dyDescent="0.25">
      <c r="A393" s="37">
        <v>2007</v>
      </c>
      <c r="B393" s="38" t="s">
        <v>316</v>
      </c>
      <c r="C393" s="38" t="s">
        <v>207</v>
      </c>
      <c r="D393" s="39" t="s">
        <v>208</v>
      </c>
      <c r="E393" s="32" t="s">
        <v>204</v>
      </c>
      <c r="F393" s="40">
        <v>473039</v>
      </c>
    </row>
    <row r="394" spans="1:6" x14ac:dyDescent="0.25">
      <c r="A394" s="37">
        <v>2007</v>
      </c>
      <c r="B394" s="38" t="s">
        <v>316</v>
      </c>
      <c r="C394" s="38" t="s">
        <v>207</v>
      </c>
      <c r="D394" s="43" t="s">
        <v>209</v>
      </c>
      <c r="E394" s="32" t="s">
        <v>2</v>
      </c>
      <c r="F394" s="40">
        <v>0</v>
      </c>
    </row>
    <row r="395" spans="1:6" x14ac:dyDescent="0.25">
      <c r="A395" s="37">
        <v>2007</v>
      </c>
      <c r="B395" s="38" t="s">
        <v>316</v>
      </c>
      <c r="C395" s="38" t="s">
        <v>207</v>
      </c>
      <c r="D395" s="43" t="s">
        <v>209</v>
      </c>
      <c r="E395" s="32" t="s">
        <v>24</v>
      </c>
      <c r="F395" s="40">
        <v>0</v>
      </c>
    </row>
    <row r="396" spans="1:6" x14ac:dyDescent="0.25">
      <c r="A396" s="37">
        <v>2007</v>
      </c>
      <c r="B396" s="38" t="s">
        <v>316</v>
      </c>
      <c r="C396" s="38" t="s">
        <v>207</v>
      </c>
      <c r="D396" s="43" t="s">
        <v>209</v>
      </c>
      <c r="E396" s="32" t="s">
        <v>204</v>
      </c>
      <c r="F396" s="40">
        <v>41522</v>
      </c>
    </row>
    <row r="397" spans="1:6" x14ac:dyDescent="0.25">
      <c r="A397" s="37">
        <v>2007</v>
      </c>
      <c r="B397" s="38" t="s">
        <v>316</v>
      </c>
      <c r="C397" s="38" t="s">
        <v>207</v>
      </c>
      <c r="D397" s="44" t="s">
        <v>210</v>
      </c>
      <c r="E397" s="32" t="s">
        <v>2</v>
      </c>
      <c r="F397" s="40">
        <v>0</v>
      </c>
    </row>
    <row r="398" spans="1:6" x14ac:dyDescent="0.25">
      <c r="A398" s="37">
        <v>2007</v>
      </c>
      <c r="B398" s="38" t="s">
        <v>316</v>
      </c>
      <c r="C398" s="38" t="s">
        <v>207</v>
      </c>
      <c r="D398" s="44" t="s">
        <v>210</v>
      </c>
      <c r="E398" s="32" t="s">
        <v>24</v>
      </c>
      <c r="F398" s="40">
        <v>0</v>
      </c>
    </row>
    <row r="399" spans="1:6" x14ac:dyDescent="0.25">
      <c r="A399" s="45">
        <v>2007</v>
      </c>
      <c r="B399" s="46" t="s">
        <v>316</v>
      </c>
      <c r="C399" s="46" t="s">
        <v>207</v>
      </c>
      <c r="D399" s="47" t="s">
        <v>210</v>
      </c>
      <c r="E399" s="33" t="s">
        <v>204</v>
      </c>
      <c r="F399" s="48">
        <v>0</v>
      </c>
    </row>
    <row r="400" spans="1:6" x14ac:dyDescent="0.25">
      <c r="A400" s="37">
        <v>2008</v>
      </c>
      <c r="B400" s="38" t="s">
        <v>317</v>
      </c>
      <c r="C400" s="38" t="s">
        <v>203</v>
      </c>
      <c r="D400" s="39" t="s">
        <v>174</v>
      </c>
      <c r="E400" s="32" t="s">
        <v>2</v>
      </c>
      <c r="F400" s="40">
        <v>27757</v>
      </c>
    </row>
    <row r="401" spans="1:6" x14ac:dyDescent="0.25">
      <c r="A401" s="37">
        <v>2008</v>
      </c>
      <c r="B401" s="38" t="s">
        <v>317</v>
      </c>
      <c r="C401" s="38" t="s">
        <v>203</v>
      </c>
      <c r="D401" s="39" t="s">
        <v>174</v>
      </c>
      <c r="E401" s="32" t="s">
        <v>24</v>
      </c>
      <c r="F401" s="40">
        <v>73609</v>
      </c>
    </row>
    <row r="402" spans="1:6" x14ac:dyDescent="0.25">
      <c r="A402" s="37">
        <v>2008</v>
      </c>
      <c r="B402" s="38" t="s">
        <v>317</v>
      </c>
      <c r="C402" s="38" t="s">
        <v>203</v>
      </c>
      <c r="D402" s="39" t="s">
        <v>174</v>
      </c>
      <c r="E402" s="32" t="s">
        <v>204</v>
      </c>
      <c r="F402" s="40">
        <v>1600</v>
      </c>
    </row>
    <row r="403" spans="1:6" x14ac:dyDescent="0.25">
      <c r="A403" s="37">
        <v>2008</v>
      </c>
      <c r="B403" s="38" t="s">
        <v>317</v>
      </c>
      <c r="C403" s="38" t="s">
        <v>203</v>
      </c>
      <c r="D403" s="41" t="s">
        <v>205</v>
      </c>
      <c r="E403" s="32" t="s">
        <v>2</v>
      </c>
      <c r="F403" s="40">
        <v>8675</v>
      </c>
    </row>
    <row r="404" spans="1:6" x14ac:dyDescent="0.25">
      <c r="A404" s="37">
        <v>2008</v>
      </c>
      <c r="B404" s="38" t="s">
        <v>317</v>
      </c>
      <c r="C404" s="38" t="s">
        <v>203</v>
      </c>
      <c r="D404" s="41" t="s">
        <v>205</v>
      </c>
      <c r="E404" s="32" t="s">
        <v>24</v>
      </c>
      <c r="F404" s="40">
        <v>33976</v>
      </c>
    </row>
    <row r="405" spans="1:6" x14ac:dyDescent="0.25">
      <c r="A405" s="37">
        <v>2008</v>
      </c>
      <c r="B405" s="38" t="s">
        <v>317</v>
      </c>
      <c r="C405" s="38" t="s">
        <v>203</v>
      </c>
      <c r="D405" s="41" t="s">
        <v>205</v>
      </c>
      <c r="E405" s="32" t="s">
        <v>204</v>
      </c>
      <c r="F405" s="40">
        <v>820</v>
      </c>
    </row>
    <row r="406" spans="1:6" x14ac:dyDescent="0.25">
      <c r="A406" s="37">
        <v>2008</v>
      </c>
      <c r="B406" s="38" t="s">
        <v>317</v>
      </c>
      <c r="C406" s="38" t="s">
        <v>203</v>
      </c>
      <c r="D406" s="42" t="s">
        <v>206</v>
      </c>
      <c r="E406" s="32" t="s">
        <v>2</v>
      </c>
      <c r="F406" s="40">
        <v>29362</v>
      </c>
    </row>
    <row r="407" spans="1:6" x14ac:dyDescent="0.25">
      <c r="A407" s="37">
        <v>2008</v>
      </c>
      <c r="B407" s="38" t="s">
        <v>317</v>
      </c>
      <c r="C407" s="38" t="s">
        <v>203</v>
      </c>
      <c r="D407" s="42" t="s">
        <v>206</v>
      </c>
      <c r="E407" s="32" t="s">
        <v>24</v>
      </c>
      <c r="F407" s="40">
        <v>31888</v>
      </c>
    </row>
    <row r="408" spans="1:6" x14ac:dyDescent="0.25">
      <c r="A408" s="37">
        <v>2008</v>
      </c>
      <c r="B408" s="38" t="s">
        <v>317</v>
      </c>
      <c r="C408" s="38" t="s">
        <v>203</v>
      </c>
      <c r="D408" s="42" t="s">
        <v>206</v>
      </c>
      <c r="E408" s="32" t="s">
        <v>204</v>
      </c>
      <c r="F408" s="40">
        <v>1380</v>
      </c>
    </row>
    <row r="409" spans="1:6" x14ac:dyDescent="0.25">
      <c r="A409" s="37">
        <v>2008</v>
      </c>
      <c r="B409" s="38" t="s">
        <v>317</v>
      </c>
      <c r="C409" s="38" t="s">
        <v>203</v>
      </c>
      <c r="D409" s="43" t="s">
        <v>175</v>
      </c>
      <c r="E409" s="32" t="s">
        <v>2</v>
      </c>
      <c r="F409" s="40">
        <v>1837</v>
      </c>
    </row>
    <row r="410" spans="1:6" x14ac:dyDescent="0.25">
      <c r="A410" s="37">
        <v>2008</v>
      </c>
      <c r="B410" s="38" t="s">
        <v>317</v>
      </c>
      <c r="C410" s="38" t="s">
        <v>203</v>
      </c>
      <c r="D410" s="43" t="s">
        <v>175</v>
      </c>
      <c r="E410" s="32" t="s">
        <v>24</v>
      </c>
      <c r="F410" s="40">
        <v>4515</v>
      </c>
    </row>
    <row r="411" spans="1:6" x14ac:dyDescent="0.25">
      <c r="A411" s="37">
        <v>2008</v>
      </c>
      <c r="B411" s="38" t="s">
        <v>317</v>
      </c>
      <c r="C411" s="38" t="s">
        <v>203</v>
      </c>
      <c r="D411" s="43" t="s">
        <v>175</v>
      </c>
      <c r="E411" s="32" t="s">
        <v>204</v>
      </c>
      <c r="F411" s="40">
        <v>2700</v>
      </c>
    </row>
    <row r="412" spans="1:6" x14ac:dyDescent="0.25">
      <c r="A412" s="37">
        <v>2008</v>
      </c>
      <c r="B412" s="38" t="s">
        <v>317</v>
      </c>
      <c r="C412" s="38" t="s">
        <v>207</v>
      </c>
      <c r="D412" s="39" t="s">
        <v>208</v>
      </c>
      <c r="E412" s="32" t="s">
        <v>2</v>
      </c>
      <c r="F412" s="40">
        <v>1800</v>
      </c>
    </row>
    <row r="413" spans="1:6" x14ac:dyDescent="0.25">
      <c r="A413" s="37">
        <v>2008</v>
      </c>
      <c r="B413" s="38" t="s">
        <v>317</v>
      </c>
      <c r="C413" s="38" t="s">
        <v>207</v>
      </c>
      <c r="D413" s="39" t="s">
        <v>208</v>
      </c>
      <c r="E413" s="32" t="s">
        <v>24</v>
      </c>
      <c r="F413" s="40">
        <v>109120</v>
      </c>
    </row>
    <row r="414" spans="1:6" x14ac:dyDescent="0.25">
      <c r="A414" s="37">
        <v>2008</v>
      </c>
      <c r="B414" s="38" t="s">
        <v>317</v>
      </c>
      <c r="C414" s="38" t="s">
        <v>207</v>
      </c>
      <c r="D414" s="39" t="s">
        <v>208</v>
      </c>
      <c r="E414" s="32" t="s">
        <v>204</v>
      </c>
      <c r="F414" s="40">
        <v>409157</v>
      </c>
    </row>
    <row r="415" spans="1:6" x14ac:dyDescent="0.25">
      <c r="A415" s="37">
        <v>2008</v>
      </c>
      <c r="B415" s="38" t="s">
        <v>317</v>
      </c>
      <c r="C415" s="38" t="s">
        <v>207</v>
      </c>
      <c r="D415" s="43" t="s">
        <v>209</v>
      </c>
      <c r="E415" s="32" t="s">
        <v>2</v>
      </c>
      <c r="F415" s="40">
        <v>0</v>
      </c>
    </row>
    <row r="416" spans="1:6" x14ac:dyDescent="0.25">
      <c r="A416" s="37">
        <v>2008</v>
      </c>
      <c r="B416" s="38" t="s">
        <v>317</v>
      </c>
      <c r="C416" s="38" t="s">
        <v>207</v>
      </c>
      <c r="D416" s="43" t="s">
        <v>209</v>
      </c>
      <c r="E416" s="32" t="s">
        <v>24</v>
      </c>
      <c r="F416" s="40">
        <v>109120</v>
      </c>
    </row>
    <row r="417" spans="1:6" x14ac:dyDescent="0.25">
      <c r="A417" s="37">
        <v>2008</v>
      </c>
      <c r="B417" s="38" t="s">
        <v>317</v>
      </c>
      <c r="C417" s="38" t="s">
        <v>207</v>
      </c>
      <c r="D417" s="43" t="s">
        <v>209</v>
      </c>
      <c r="E417" s="32" t="s">
        <v>204</v>
      </c>
      <c r="F417" s="40">
        <v>409157</v>
      </c>
    </row>
    <row r="418" spans="1:6" x14ac:dyDescent="0.25">
      <c r="A418" s="37">
        <v>2008</v>
      </c>
      <c r="B418" s="38" t="s">
        <v>317</v>
      </c>
      <c r="C418" s="38" t="s">
        <v>207</v>
      </c>
      <c r="D418" s="44" t="s">
        <v>210</v>
      </c>
      <c r="E418" s="32" t="s">
        <v>2</v>
      </c>
      <c r="F418" s="40">
        <v>0</v>
      </c>
    </row>
    <row r="419" spans="1:6" x14ac:dyDescent="0.25">
      <c r="A419" s="37">
        <v>2008</v>
      </c>
      <c r="B419" s="38" t="s">
        <v>317</v>
      </c>
      <c r="C419" s="38" t="s">
        <v>207</v>
      </c>
      <c r="D419" s="44" t="s">
        <v>210</v>
      </c>
      <c r="E419" s="32" t="s">
        <v>24</v>
      </c>
      <c r="F419" s="40">
        <v>975</v>
      </c>
    </row>
    <row r="420" spans="1:6" x14ac:dyDescent="0.25">
      <c r="A420" s="45">
        <v>2008</v>
      </c>
      <c r="B420" s="46" t="s">
        <v>317</v>
      </c>
      <c r="C420" s="46" t="s">
        <v>207</v>
      </c>
      <c r="D420" s="47" t="s">
        <v>210</v>
      </c>
      <c r="E420" s="33" t="s">
        <v>204</v>
      </c>
      <c r="F420" s="48">
        <v>7727</v>
      </c>
    </row>
    <row r="421" spans="1:6" x14ac:dyDescent="0.25">
      <c r="A421" s="37">
        <v>2008</v>
      </c>
      <c r="B421" s="38" t="s">
        <v>307</v>
      </c>
      <c r="C421" s="38" t="s">
        <v>203</v>
      </c>
      <c r="D421" s="39" t="s">
        <v>174</v>
      </c>
      <c r="E421" s="32" t="s">
        <v>2</v>
      </c>
      <c r="F421" s="40">
        <v>27757</v>
      </c>
    </row>
    <row r="422" spans="1:6" x14ac:dyDescent="0.25">
      <c r="A422" s="37">
        <v>2008</v>
      </c>
      <c r="B422" s="38" t="s">
        <v>307</v>
      </c>
      <c r="C422" s="38" t="s">
        <v>203</v>
      </c>
      <c r="D422" s="39" t="s">
        <v>174</v>
      </c>
      <c r="E422" s="32" t="s">
        <v>24</v>
      </c>
      <c r="F422" s="40">
        <v>73609</v>
      </c>
    </row>
    <row r="423" spans="1:6" x14ac:dyDescent="0.25">
      <c r="A423" s="37">
        <v>2008</v>
      </c>
      <c r="B423" s="38" t="s">
        <v>307</v>
      </c>
      <c r="C423" s="38" t="s">
        <v>203</v>
      </c>
      <c r="D423" s="39" t="s">
        <v>174</v>
      </c>
      <c r="E423" s="32" t="s">
        <v>204</v>
      </c>
      <c r="F423" s="40">
        <v>1600</v>
      </c>
    </row>
    <row r="424" spans="1:6" x14ac:dyDescent="0.25">
      <c r="A424" s="37">
        <v>2008</v>
      </c>
      <c r="B424" s="38" t="s">
        <v>307</v>
      </c>
      <c r="C424" s="38" t="s">
        <v>203</v>
      </c>
      <c r="D424" s="41" t="s">
        <v>205</v>
      </c>
      <c r="E424" s="32" t="s">
        <v>2</v>
      </c>
      <c r="F424" s="40">
        <v>20145</v>
      </c>
    </row>
    <row r="425" spans="1:6" x14ac:dyDescent="0.25">
      <c r="A425" s="37">
        <v>2008</v>
      </c>
      <c r="B425" s="38" t="s">
        <v>307</v>
      </c>
      <c r="C425" s="38" t="s">
        <v>203</v>
      </c>
      <c r="D425" s="41" t="s">
        <v>205</v>
      </c>
      <c r="E425" s="32" t="s">
        <v>24</v>
      </c>
      <c r="F425" s="40">
        <v>81344</v>
      </c>
    </row>
    <row r="426" spans="1:6" x14ac:dyDescent="0.25">
      <c r="A426" s="37">
        <v>2008</v>
      </c>
      <c r="B426" s="38" t="s">
        <v>307</v>
      </c>
      <c r="C426" s="38" t="s">
        <v>203</v>
      </c>
      <c r="D426" s="41" t="s">
        <v>205</v>
      </c>
      <c r="E426" s="32" t="s">
        <v>204</v>
      </c>
      <c r="F426" s="40">
        <v>4264</v>
      </c>
    </row>
    <row r="427" spans="1:6" x14ac:dyDescent="0.25">
      <c r="A427" s="37">
        <v>2008</v>
      </c>
      <c r="B427" s="38" t="s">
        <v>307</v>
      </c>
      <c r="C427" s="38" t="s">
        <v>203</v>
      </c>
      <c r="D427" s="42" t="s">
        <v>206</v>
      </c>
      <c r="E427" s="32" t="s">
        <v>2</v>
      </c>
      <c r="F427" s="40">
        <v>29362</v>
      </c>
    </row>
    <row r="428" spans="1:6" x14ac:dyDescent="0.25">
      <c r="A428" s="37">
        <v>2008</v>
      </c>
      <c r="B428" s="38" t="s">
        <v>307</v>
      </c>
      <c r="C428" s="38" t="s">
        <v>203</v>
      </c>
      <c r="D428" s="42" t="s">
        <v>206</v>
      </c>
      <c r="E428" s="32" t="s">
        <v>24</v>
      </c>
      <c r="F428" s="40">
        <v>31566</v>
      </c>
    </row>
    <row r="429" spans="1:6" x14ac:dyDescent="0.25">
      <c r="A429" s="37">
        <v>2008</v>
      </c>
      <c r="B429" s="38" t="s">
        <v>307</v>
      </c>
      <c r="C429" s="38" t="s">
        <v>203</v>
      </c>
      <c r="D429" s="42" t="s">
        <v>206</v>
      </c>
      <c r="E429" s="32" t="s">
        <v>204</v>
      </c>
      <c r="F429" s="40">
        <v>0</v>
      </c>
    </row>
    <row r="430" spans="1:6" x14ac:dyDescent="0.25">
      <c r="A430" s="37">
        <v>2008</v>
      </c>
      <c r="B430" s="38" t="s">
        <v>307</v>
      </c>
      <c r="C430" s="38" t="s">
        <v>203</v>
      </c>
      <c r="D430" s="43" t="s">
        <v>175</v>
      </c>
      <c r="E430" s="32" t="s">
        <v>2</v>
      </c>
      <c r="F430" s="40">
        <v>1837</v>
      </c>
    </row>
    <row r="431" spans="1:6" x14ac:dyDescent="0.25">
      <c r="A431" s="37">
        <v>2008</v>
      </c>
      <c r="B431" s="38" t="s">
        <v>307</v>
      </c>
      <c r="C431" s="38" t="s">
        <v>203</v>
      </c>
      <c r="D431" s="43" t="s">
        <v>175</v>
      </c>
      <c r="E431" s="32" t="s">
        <v>24</v>
      </c>
      <c r="F431" s="40">
        <v>4527</v>
      </c>
    </row>
    <row r="432" spans="1:6" x14ac:dyDescent="0.25">
      <c r="A432" s="37">
        <v>2008</v>
      </c>
      <c r="B432" s="38" t="s">
        <v>307</v>
      </c>
      <c r="C432" s="38" t="s">
        <v>203</v>
      </c>
      <c r="D432" s="43" t="s">
        <v>175</v>
      </c>
      <c r="E432" s="32" t="s">
        <v>204</v>
      </c>
      <c r="F432" s="40">
        <v>2700</v>
      </c>
    </row>
    <row r="433" spans="1:6" x14ac:dyDescent="0.25">
      <c r="A433" s="37">
        <v>2008</v>
      </c>
      <c r="B433" s="38" t="s">
        <v>307</v>
      </c>
      <c r="C433" s="38" t="s">
        <v>207</v>
      </c>
      <c r="D433" s="39" t="s">
        <v>208</v>
      </c>
      <c r="E433" s="32" t="s">
        <v>2</v>
      </c>
      <c r="F433" s="40">
        <v>1800</v>
      </c>
    </row>
    <row r="434" spans="1:6" x14ac:dyDescent="0.25">
      <c r="A434" s="37">
        <v>2008</v>
      </c>
      <c r="B434" s="38" t="s">
        <v>307</v>
      </c>
      <c r="C434" s="38" t="s">
        <v>207</v>
      </c>
      <c r="D434" s="39" t="s">
        <v>208</v>
      </c>
      <c r="E434" s="32" t="s">
        <v>24</v>
      </c>
      <c r="F434" s="40">
        <v>45629</v>
      </c>
    </row>
    <row r="435" spans="1:6" x14ac:dyDescent="0.25">
      <c r="A435" s="37">
        <v>2008</v>
      </c>
      <c r="B435" s="38" t="s">
        <v>307</v>
      </c>
      <c r="C435" s="38" t="s">
        <v>207</v>
      </c>
      <c r="D435" s="39" t="s">
        <v>208</v>
      </c>
      <c r="E435" s="32" t="s">
        <v>204</v>
      </c>
      <c r="F435" s="40">
        <v>457123</v>
      </c>
    </row>
    <row r="436" spans="1:6" x14ac:dyDescent="0.25">
      <c r="A436" s="37">
        <v>2008</v>
      </c>
      <c r="B436" s="38" t="s">
        <v>307</v>
      </c>
      <c r="C436" s="38" t="s">
        <v>207</v>
      </c>
      <c r="D436" s="43" t="s">
        <v>209</v>
      </c>
      <c r="E436" s="32" t="s">
        <v>2</v>
      </c>
      <c r="F436" s="40">
        <v>0</v>
      </c>
    </row>
    <row r="437" spans="1:6" x14ac:dyDescent="0.25">
      <c r="A437" s="37">
        <v>2008</v>
      </c>
      <c r="B437" s="38" t="s">
        <v>307</v>
      </c>
      <c r="C437" s="38" t="s">
        <v>207</v>
      </c>
      <c r="D437" s="43" t="s">
        <v>209</v>
      </c>
      <c r="E437" s="32" t="s">
        <v>24</v>
      </c>
      <c r="F437" s="40">
        <v>0</v>
      </c>
    </row>
    <row r="438" spans="1:6" x14ac:dyDescent="0.25">
      <c r="A438" s="37">
        <v>2008</v>
      </c>
      <c r="B438" s="38" t="s">
        <v>307</v>
      </c>
      <c r="C438" s="38" t="s">
        <v>207</v>
      </c>
      <c r="D438" s="43" t="s">
        <v>209</v>
      </c>
      <c r="E438" s="32" t="s">
        <v>204</v>
      </c>
      <c r="F438" s="40">
        <v>41522</v>
      </c>
    </row>
    <row r="439" spans="1:6" x14ac:dyDescent="0.25">
      <c r="A439" s="37">
        <v>2008</v>
      </c>
      <c r="B439" s="38" t="s">
        <v>307</v>
      </c>
      <c r="C439" s="38" t="s">
        <v>207</v>
      </c>
      <c r="D439" s="44" t="s">
        <v>210</v>
      </c>
      <c r="E439" s="32" t="s">
        <v>2</v>
      </c>
      <c r="F439" s="40">
        <v>0</v>
      </c>
    </row>
    <row r="440" spans="1:6" x14ac:dyDescent="0.25">
      <c r="A440" s="37">
        <v>2008</v>
      </c>
      <c r="B440" s="38" t="s">
        <v>307</v>
      </c>
      <c r="C440" s="38" t="s">
        <v>207</v>
      </c>
      <c r="D440" s="44" t="s">
        <v>210</v>
      </c>
      <c r="E440" s="32" t="s">
        <v>24</v>
      </c>
      <c r="F440" s="40">
        <v>2650</v>
      </c>
    </row>
    <row r="441" spans="1:6" x14ac:dyDescent="0.25">
      <c r="A441" s="45">
        <v>2008</v>
      </c>
      <c r="B441" s="46" t="s">
        <v>307</v>
      </c>
      <c r="C441" s="46" t="s">
        <v>207</v>
      </c>
      <c r="D441" s="47" t="s">
        <v>210</v>
      </c>
      <c r="E441" s="33" t="s">
        <v>204</v>
      </c>
      <c r="F441" s="48">
        <v>8812</v>
      </c>
    </row>
    <row r="442" spans="1:6" x14ac:dyDescent="0.25">
      <c r="A442" s="37">
        <v>2008</v>
      </c>
      <c r="B442" s="38" t="s">
        <v>318</v>
      </c>
      <c r="C442" s="38" t="s">
        <v>203</v>
      </c>
      <c r="D442" s="39" t="s">
        <v>174</v>
      </c>
      <c r="E442" s="32" t="s">
        <v>2</v>
      </c>
      <c r="F442" s="40">
        <v>34721</v>
      </c>
    </row>
    <row r="443" spans="1:6" x14ac:dyDescent="0.25">
      <c r="A443" s="37">
        <v>2008</v>
      </c>
      <c r="B443" s="38" t="s">
        <v>318</v>
      </c>
      <c r="C443" s="38" t="s">
        <v>203</v>
      </c>
      <c r="D443" s="39" t="s">
        <v>174</v>
      </c>
      <c r="E443" s="32" t="s">
        <v>24</v>
      </c>
      <c r="F443" s="40">
        <v>75533</v>
      </c>
    </row>
    <row r="444" spans="1:6" x14ac:dyDescent="0.25">
      <c r="A444" s="37">
        <v>2008</v>
      </c>
      <c r="B444" s="38" t="s">
        <v>318</v>
      </c>
      <c r="C444" s="38" t="s">
        <v>203</v>
      </c>
      <c r="D444" s="39" t="s">
        <v>174</v>
      </c>
      <c r="E444" s="32" t="s">
        <v>204</v>
      </c>
      <c r="F444" s="40">
        <v>1600</v>
      </c>
    </row>
    <row r="445" spans="1:6" x14ac:dyDescent="0.25">
      <c r="A445" s="37">
        <v>2008</v>
      </c>
      <c r="B445" s="38" t="s">
        <v>318</v>
      </c>
      <c r="C445" s="38" t="s">
        <v>203</v>
      </c>
      <c r="D445" s="41" t="s">
        <v>205</v>
      </c>
      <c r="E445" s="32" t="s">
        <v>2</v>
      </c>
      <c r="F445" s="40">
        <v>6600</v>
      </c>
    </row>
    <row r="446" spans="1:6" x14ac:dyDescent="0.25">
      <c r="A446" s="37">
        <v>2008</v>
      </c>
      <c r="B446" s="38" t="s">
        <v>318</v>
      </c>
      <c r="C446" s="38" t="s">
        <v>203</v>
      </c>
      <c r="D446" s="41" t="s">
        <v>205</v>
      </c>
      <c r="E446" s="32" t="s">
        <v>24</v>
      </c>
      <c r="F446" s="40">
        <v>58284</v>
      </c>
    </row>
    <row r="447" spans="1:6" x14ac:dyDescent="0.25">
      <c r="A447" s="37">
        <v>2008</v>
      </c>
      <c r="B447" s="38" t="s">
        <v>318</v>
      </c>
      <c r="C447" s="38" t="s">
        <v>203</v>
      </c>
      <c r="D447" s="41" t="s">
        <v>205</v>
      </c>
      <c r="E447" s="32" t="s">
        <v>204</v>
      </c>
      <c r="F447" s="40">
        <v>3252</v>
      </c>
    </row>
    <row r="448" spans="1:6" x14ac:dyDescent="0.25">
      <c r="A448" s="37">
        <v>2008</v>
      </c>
      <c r="B448" s="38" t="s">
        <v>318</v>
      </c>
      <c r="C448" s="38" t="s">
        <v>203</v>
      </c>
      <c r="D448" s="42" t="s">
        <v>206</v>
      </c>
      <c r="E448" s="32" t="s">
        <v>2</v>
      </c>
      <c r="F448" s="40">
        <v>31974</v>
      </c>
    </row>
    <row r="449" spans="1:6" x14ac:dyDescent="0.25">
      <c r="A449" s="37">
        <v>2008</v>
      </c>
      <c r="B449" s="38" t="s">
        <v>318</v>
      </c>
      <c r="C449" s="38" t="s">
        <v>203</v>
      </c>
      <c r="D449" s="42" t="s">
        <v>206</v>
      </c>
      <c r="E449" s="32" t="s">
        <v>24</v>
      </c>
      <c r="F449" s="40">
        <v>24048</v>
      </c>
    </row>
    <row r="450" spans="1:6" x14ac:dyDescent="0.25">
      <c r="A450" s="37">
        <v>2008</v>
      </c>
      <c r="B450" s="38" t="s">
        <v>318</v>
      </c>
      <c r="C450" s="38" t="s">
        <v>203</v>
      </c>
      <c r="D450" s="42" t="s">
        <v>206</v>
      </c>
      <c r="E450" s="32" t="s">
        <v>204</v>
      </c>
      <c r="F450" s="40">
        <v>0</v>
      </c>
    </row>
    <row r="451" spans="1:6" x14ac:dyDescent="0.25">
      <c r="A451" s="37">
        <v>2008</v>
      </c>
      <c r="B451" s="38" t="s">
        <v>318</v>
      </c>
      <c r="C451" s="38" t="s">
        <v>203</v>
      </c>
      <c r="D451" s="43" t="s">
        <v>175</v>
      </c>
      <c r="E451" s="32" t="s">
        <v>2</v>
      </c>
      <c r="F451" s="40">
        <v>1837</v>
      </c>
    </row>
    <row r="452" spans="1:6" x14ac:dyDescent="0.25">
      <c r="A452" s="37">
        <v>2008</v>
      </c>
      <c r="B452" s="38" t="s">
        <v>318</v>
      </c>
      <c r="C452" s="38" t="s">
        <v>203</v>
      </c>
      <c r="D452" s="43" t="s">
        <v>175</v>
      </c>
      <c r="E452" s="32" t="s">
        <v>24</v>
      </c>
      <c r="F452" s="40">
        <v>4527</v>
      </c>
    </row>
    <row r="453" spans="1:6" x14ac:dyDescent="0.25">
      <c r="A453" s="37">
        <v>2008</v>
      </c>
      <c r="B453" s="38" t="s">
        <v>318</v>
      </c>
      <c r="C453" s="38" t="s">
        <v>203</v>
      </c>
      <c r="D453" s="43" t="s">
        <v>175</v>
      </c>
      <c r="E453" s="32" t="s">
        <v>204</v>
      </c>
      <c r="F453" s="40">
        <v>2700</v>
      </c>
    </row>
    <row r="454" spans="1:6" x14ac:dyDescent="0.25">
      <c r="A454" s="37">
        <v>2008</v>
      </c>
      <c r="B454" s="38" t="s">
        <v>318</v>
      </c>
      <c r="C454" s="38" t="s">
        <v>207</v>
      </c>
      <c r="D454" s="39" t="s">
        <v>208</v>
      </c>
      <c r="E454" s="32" t="s">
        <v>2</v>
      </c>
      <c r="F454" s="40">
        <v>10840</v>
      </c>
    </row>
    <row r="455" spans="1:6" x14ac:dyDescent="0.25">
      <c r="A455" s="37">
        <v>2008</v>
      </c>
      <c r="B455" s="38" t="s">
        <v>318</v>
      </c>
      <c r="C455" s="38" t="s">
        <v>207</v>
      </c>
      <c r="D455" s="39" t="s">
        <v>208</v>
      </c>
      <c r="E455" s="32" t="s">
        <v>24</v>
      </c>
      <c r="F455" s="40">
        <v>37429</v>
      </c>
    </row>
    <row r="456" spans="1:6" x14ac:dyDescent="0.25">
      <c r="A456" s="37">
        <v>2008</v>
      </c>
      <c r="B456" s="38" t="s">
        <v>318</v>
      </c>
      <c r="C456" s="38" t="s">
        <v>207</v>
      </c>
      <c r="D456" s="39" t="s">
        <v>208</v>
      </c>
      <c r="E456" s="32" t="s">
        <v>204</v>
      </c>
      <c r="F456" s="40">
        <v>362247</v>
      </c>
    </row>
    <row r="457" spans="1:6" x14ac:dyDescent="0.25">
      <c r="A457" s="37">
        <v>2008</v>
      </c>
      <c r="B457" s="38" t="s">
        <v>318</v>
      </c>
      <c r="C457" s="38" t="s">
        <v>207</v>
      </c>
      <c r="D457" s="43" t="s">
        <v>209</v>
      </c>
      <c r="E457" s="32" t="s">
        <v>2</v>
      </c>
      <c r="F457" s="40">
        <v>0</v>
      </c>
    </row>
    <row r="458" spans="1:6" x14ac:dyDescent="0.25">
      <c r="A458" s="37">
        <v>2008</v>
      </c>
      <c r="B458" s="38" t="s">
        <v>318</v>
      </c>
      <c r="C458" s="38" t="s">
        <v>207</v>
      </c>
      <c r="D458" s="43" t="s">
        <v>209</v>
      </c>
      <c r="E458" s="32" t="s">
        <v>24</v>
      </c>
      <c r="F458" s="40">
        <v>44446</v>
      </c>
    </row>
    <row r="459" spans="1:6" x14ac:dyDescent="0.25">
      <c r="A459" s="37">
        <v>2008</v>
      </c>
      <c r="B459" s="38" t="s">
        <v>318</v>
      </c>
      <c r="C459" s="38" t="s">
        <v>207</v>
      </c>
      <c r="D459" s="43" t="s">
        <v>209</v>
      </c>
      <c r="E459" s="32" t="s">
        <v>204</v>
      </c>
      <c r="F459" s="40">
        <v>9376</v>
      </c>
    </row>
    <row r="460" spans="1:6" x14ac:dyDescent="0.25">
      <c r="A460" s="37">
        <v>2008</v>
      </c>
      <c r="B460" s="38" t="s">
        <v>318</v>
      </c>
      <c r="C460" s="38" t="s">
        <v>207</v>
      </c>
      <c r="D460" s="44" t="s">
        <v>210</v>
      </c>
      <c r="E460" s="32" t="s">
        <v>2</v>
      </c>
      <c r="F460" s="40">
        <v>0</v>
      </c>
    </row>
    <row r="461" spans="1:6" x14ac:dyDescent="0.25">
      <c r="A461" s="37">
        <v>2008</v>
      </c>
      <c r="B461" s="38" t="s">
        <v>318</v>
      </c>
      <c r="C461" s="38" t="s">
        <v>207</v>
      </c>
      <c r="D461" s="44" t="s">
        <v>210</v>
      </c>
      <c r="E461" s="32" t="s">
        <v>24</v>
      </c>
      <c r="F461" s="40">
        <v>3388</v>
      </c>
    </row>
    <row r="462" spans="1:6" x14ac:dyDescent="0.25">
      <c r="A462" s="45">
        <v>2008</v>
      </c>
      <c r="B462" s="46" t="s">
        <v>318</v>
      </c>
      <c r="C462" s="46" t="s">
        <v>207</v>
      </c>
      <c r="D462" s="47" t="s">
        <v>210</v>
      </c>
      <c r="E462" s="33" t="s">
        <v>204</v>
      </c>
      <c r="F462" s="48">
        <v>4412</v>
      </c>
    </row>
    <row r="463" spans="1:6" x14ac:dyDescent="0.25">
      <c r="A463" s="37">
        <v>2008</v>
      </c>
      <c r="B463" s="38" t="s">
        <v>319</v>
      </c>
      <c r="C463" s="38" t="s">
        <v>203</v>
      </c>
      <c r="D463" s="39" t="s">
        <v>174</v>
      </c>
      <c r="E463" s="32" t="s">
        <v>2</v>
      </c>
      <c r="F463" s="40">
        <v>43283</v>
      </c>
    </row>
    <row r="464" spans="1:6" x14ac:dyDescent="0.25">
      <c r="A464" s="37">
        <v>2008</v>
      </c>
      <c r="B464" s="38" t="s">
        <v>319</v>
      </c>
      <c r="C464" s="38" t="s">
        <v>203</v>
      </c>
      <c r="D464" s="39" t="s">
        <v>174</v>
      </c>
      <c r="E464" s="32" t="s">
        <v>24</v>
      </c>
      <c r="F464" s="40">
        <v>67831</v>
      </c>
    </row>
    <row r="465" spans="1:6" x14ac:dyDescent="0.25">
      <c r="A465" s="37">
        <v>2008</v>
      </c>
      <c r="B465" s="38" t="s">
        <v>319</v>
      </c>
      <c r="C465" s="38" t="s">
        <v>203</v>
      </c>
      <c r="D465" s="39" t="s">
        <v>174</v>
      </c>
      <c r="E465" s="32" t="s">
        <v>204</v>
      </c>
      <c r="F465" s="40">
        <v>5000</v>
      </c>
    </row>
    <row r="466" spans="1:6" x14ac:dyDescent="0.25">
      <c r="A466" s="37">
        <v>2008</v>
      </c>
      <c r="B466" s="38" t="s">
        <v>319</v>
      </c>
      <c r="C466" s="38" t="s">
        <v>203</v>
      </c>
      <c r="D466" s="41" t="s">
        <v>205</v>
      </c>
      <c r="E466" s="32" t="s">
        <v>2</v>
      </c>
      <c r="F466" s="40">
        <v>6600</v>
      </c>
    </row>
    <row r="467" spans="1:6" x14ac:dyDescent="0.25">
      <c r="A467" s="37">
        <v>2008</v>
      </c>
      <c r="B467" s="38" t="s">
        <v>319</v>
      </c>
      <c r="C467" s="38" t="s">
        <v>203</v>
      </c>
      <c r="D467" s="41" t="s">
        <v>205</v>
      </c>
      <c r="E467" s="32" t="s">
        <v>24</v>
      </c>
      <c r="F467" s="40">
        <v>58284</v>
      </c>
    </row>
    <row r="468" spans="1:6" x14ac:dyDescent="0.25">
      <c r="A468" s="37">
        <v>2008</v>
      </c>
      <c r="B468" s="38" t="s">
        <v>319</v>
      </c>
      <c r="C468" s="38" t="s">
        <v>203</v>
      </c>
      <c r="D468" s="41" t="s">
        <v>205</v>
      </c>
      <c r="E468" s="32" t="s">
        <v>204</v>
      </c>
      <c r="F468" s="40">
        <v>1708</v>
      </c>
    </row>
    <row r="469" spans="1:6" x14ac:dyDescent="0.25">
      <c r="A469" s="37">
        <v>2008</v>
      </c>
      <c r="B469" s="38" t="s">
        <v>319</v>
      </c>
      <c r="C469" s="38" t="s">
        <v>203</v>
      </c>
      <c r="D469" s="42" t="s">
        <v>206</v>
      </c>
      <c r="E469" s="32" t="s">
        <v>2</v>
      </c>
      <c r="F469" s="40">
        <v>32237</v>
      </c>
    </row>
    <row r="470" spans="1:6" x14ac:dyDescent="0.25">
      <c r="A470" s="37">
        <v>2008</v>
      </c>
      <c r="B470" s="38" t="s">
        <v>319</v>
      </c>
      <c r="C470" s="38" t="s">
        <v>203</v>
      </c>
      <c r="D470" s="42" t="s">
        <v>206</v>
      </c>
      <c r="E470" s="32" t="s">
        <v>24</v>
      </c>
      <c r="F470" s="40">
        <v>39379</v>
      </c>
    </row>
    <row r="471" spans="1:6" x14ac:dyDescent="0.25">
      <c r="A471" s="37">
        <v>2008</v>
      </c>
      <c r="B471" s="38" t="s">
        <v>319</v>
      </c>
      <c r="C471" s="38" t="s">
        <v>203</v>
      </c>
      <c r="D471" s="42" t="s">
        <v>206</v>
      </c>
      <c r="E471" s="32" t="s">
        <v>204</v>
      </c>
      <c r="F471" s="40">
        <v>1390</v>
      </c>
    </row>
    <row r="472" spans="1:6" x14ac:dyDescent="0.25">
      <c r="A472" s="37">
        <v>2008</v>
      </c>
      <c r="B472" s="38" t="s">
        <v>319</v>
      </c>
      <c r="C472" s="38" t="s">
        <v>203</v>
      </c>
      <c r="D472" s="43" t="s">
        <v>175</v>
      </c>
      <c r="E472" s="32" t="s">
        <v>2</v>
      </c>
      <c r="F472" s="40">
        <v>0</v>
      </c>
    </row>
    <row r="473" spans="1:6" x14ac:dyDescent="0.25">
      <c r="A473" s="37">
        <v>2008</v>
      </c>
      <c r="B473" s="38" t="s">
        <v>319</v>
      </c>
      <c r="C473" s="38" t="s">
        <v>203</v>
      </c>
      <c r="D473" s="43" t="s">
        <v>175</v>
      </c>
      <c r="E473" s="32" t="s">
        <v>24</v>
      </c>
      <c r="F473" s="40">
        <v>4527</v>
      </c>
    </row>
    <row r="474" spans="1:6" x14ac:dyDescent="0.25">
      <c r="A474" s="37">
        <v>2008</v>
      </c>
      <c r="B474" s="38" t="s">
        <v>319</v>
      </c>
      <c r="C474" s="38" t="s">
        <v>203</v>
      </c>
      <c r="D474" s="43" t="s">
        <v>175</v>
      </c>
      <c r="E474" s="32" t="s">
        <v>204</v>
      </c>
      <c r="F474" s="40">
        <v>3531</v>
      </c>
    </row>
    <row r="475" spans="1:6" x14ac:dyDescent="0.25">
      <c r="A475" s="37">
        <v>2008</v>
      </c>
      <c r="B475" s="38" t="s">
        <v>319</v>
      </c>
      <c r="C475" s="38" t="s">
        <v>207</v>
      </c>
      <c r="D475" s="39" t="s">
        <v>208</v>
      </c>
      <c r="E475" s="32" t="s">
        <v>2</v>
      </c>
      <c r="F475" s="40">
        <v>10840</v>
      </c>
    </row>
    <row r="476" spans="1:6" x14ac:dyDescent="0.25">
      <c r="A476" s="37">
        <v>2008</v>
      </c>
      <c r="B476" s="38" t="s">
        <v>319</v>
      </c>
      <c r="C476" s="38" t="s">
        <v>207</v>
      </c>
      <c r="D476" s="39" t="s">
        <v>208</v>
      </c>
      <c r="E476" s="32" t="s">
        <v>24</v>
      </c>
      <c r="F476" s="40">
        <v>69070</v>
      </c>
    </row>
    <row r="477" spans="1:6" x14ac:dyDescent="0.25">
      <c r="A477" s="37">
        <v>2008</v>
      </c>
      <c r="B477" s="38" t="s">
        <v>319</v>
      </c>
      <c r="C477" s="38" t="s">
        <v>207</v>
      </c>
      <c r="D477" s="39" t="s">
        <v>208</v>
      </c>
      <c r="E477" s="32" t="s">
        <v>204</v>
      </c>
      <c r="F477" s="40">
        <v>333900</v>
      </c>
    </row>
    <row r="478" spans="1:6" x14ac:dyDescent="0.25">
      <c r="A478" s="37">
        <v>2008</v>
      </c>
      <c r="B478" s="38" t="s">
        <v>319</v>
      </c>
      <c r="C478" s="38" t="s">
        <v>207</v>
      </c>
      <c r="D478" s="43" t="s">
        <v>209</v>
      </c>
      <c r="E478" s="32" t="s">
        <v>2</v>
      </c>
      <c r="F478" s="40">
        <v>0</v>
      </c>
    </row>
    <row r="479" spans="1:6" x14ac:dyDescent="0.25">
      <c r="A479" s="37">
        <v>2008</v>
      </c>
      <c r="B479" s="38" t="s">
        <v>319</v>
      </c>
      <c r="C479" s="38" t="s">
        <v>207</v>
      </c>
      <c r="D479" s="43" t="s">
        <v>209</v>
      </c>
      <c r="E479" s="32" t="s">
        <v>24</v>
      </c>
      <c r="F479" s="40">
        <v>46474</v>
      </c>
    </row>
    <row r="480" spans="1:6" x14ac:dyDescent="0.25">
      <c r="A480" s="37">
        <v>2008</v>
      </c>
      <c r="B480" s="38" t="s">
        <v>319</v>
      </c>
      <c r="C480" s="38" t="s">
        <v>207</v>
      </c>
      <c r="D480" s="43" t="s">
        <v>209</v>
      </c>
      <c r="E480" s="32" t="s">
        <v>204</v>
      </c>
      <c r="F480" s="40">
        <v>9376</v>
      </c>
    </row>
    <row r="481" spans="1:6" x14ac:dyDescent="0.25">
      <c r="A481" s="37">
        <v>2008</v>
      </c>
      <c r="B481" s="38" t="s">
        <v>319</v>
      </c>
      <c r="C481" s="38" t="s">
        <v>207</v>
      </c>
      <c r="D481" s="44" t="s">
        <v>210</v>
      </c>
      <c r="E481" s="32" t="s">
        <v>2</v>
      </c>
      <c r="F481" s="40">
        <v>0</v>
      </c>
    </row>
    <row r="482" spans="1:6" x14ac:dyDescent="0.25">
      <c r="A482" s="37">
        <v>2008</v>
      </c>
      <c r="B482" s="38" t="s">
        <v>319</v>
      </c>
      <c r="C482" s="38" t="s">
        <v>207</v>
      </c>
      <c r="D482" s="44" t="s">
        <v>210</v>
      </c>
      <c r="E482" s="32" t="s">
        <v>24</v>
      </c>
      <c r="F482" s="40">
        <v>3388</v>
      </c>
    </row>
    <row r="483" spans="1:6" x14ac:dyDescent="0.25">
      <c r="A483" s="45">
        <v>2008</v>
      </c>
      <c r="B483" s="46" t="s">
        <v>319</v>
      </c>
      <c r="C483" s="46" t="s">
        <v>207</v>
      </c>
      <c r="D483" s="47" t="s">
        <v>210</v>
      </c>
      <c r="E483" s="33" t="s">
        <v>204</v>
      </c>
      <c r="F483" s="48">
        <v>0</v>
      </c>
    </row>
    <row r="484" spans="1:6" x14ac:dyDescent="0.25">
      <c r="A484" s="37">
        <v>2008</v>
      </c>
      <c r="B484" s="38" t="s">
        <v>320</v>
      </c>
      <c r="C484" s="38" t="s">
        <v>203</v>
      </c>
      <c r="D484" s="39" t="s">
        <v>174</v>
      </c>
      <c r="E484" s="32" t="s">
        <v>2</v>
      </c>
      <c r="F484" s="40">
        <v>14059</v>
      </c>
    </row>
    <row r="485" spans="1:6" x14ac:dyDescent="0.25">
      <c r="A485" s="37">
        <v>2008</v>
      </c>
      <c r="B485" s="38" t="s">
        <v>320</v>
      </c>
      <c r="C485" s="38" t="s">
        <v>203</v>
      </c>
      <c r="D485" s="39" t="s">
        <v>174</v>
      </c>
      <c r="E485" s="32" t="s">
        <v>24</v>
      </c>
      <c r="F485" s="40">
        <v>48925</v>
      </c>
    </row>
    <row r="486" spans="1:6" x14ac:dyDescent="0.25">
      <c r="A486" s="37">
        <v>2008</v>
      </c>
      <c r="B486" s="38" t="s">
        <v>320</v>
      </c>
      <c r="C486" s="38" t="s">
        <v>203</v>
      </c>
      <c r="D486" s="39" t="s">
        <v>174</v>
      </c>
      <c r="E486" s="32" t="s">
        <v>204</v>
      </c>
      <c r="F486" s="40">
        <v>25725</v>
      </c>
    </row>
    <row r="487" spans="1:6" x14ac:dyDescent="0.25">
      <c r="A487" s="37">
        <v>2008</v>
      </c>
      <c r="B487" s="38" t="s">
        <v>320</v>
      </c>
      <c r="C487" s="38" t="s">
        <v>203</v>
      </c>
      <c r="D487" s="41" t="s">
        <v>205</v>
      </c>
      <c r="E487" s="32" t="s">
        <v>2</v>
      </c>
      <c r="F487" s="40">
        <v>1400</v>
      </c>
    </row>
    <row r="488" spans="1:6" x14ac:dyDescent="0.25">
      <c r="A488" s="37">
        <v>2008</v>
      </c>
      <c r="B488" s="38" t="s">
        <v>320</v>
      </c>
      <c r="C488" s="38" t="s">
        <v>203</v>
      </c>
      <c r="D488" s="41" t="s">
        <v>205</v>
      </c>
      <c r="E488" s="32" t="s">
        <v>24</v>
      </c>
      <c r="F488" s="40">
        <v>44901</v>
      </c>
    </row>
    <row r="489" spans="1:6" x14ac:dyDescent="0.25">
      <c r="A489" s="37">
        <v>2008</v>
      </c>
      <c r="B489" s="38" t="s">
        <v>320</v>
      </c>
      <c r="C489" s="38" t="s">
        <v>203</v>
      </c>
      <c r="D489" s="41" t="s">
        <v>205</v>
      </c>
      <c r="E489" s="32" t="s">
        <v>204</v>
      </c>
      <c r="F489" s="40">
        <v>1249</v>
      </c>
    </row>
    <row r="490" spans="1:6" x14ac:dyDescent="0.25">
      <c r="A490" s="37">
        <v>2008</v>
      </c>
      <c r="B490" s="38" t="s">
        <v>320</v>
      </c>
      <c r="C490" s="38" t="s">
        <v>203</v>
      </c>
      <c r="D490" s="42" t="s">
        <v>206</v>
      </c>
      <c r="E490" s="32" t="s">
        <v>2</v>
      </c>
      <c r="F490" s="40">
        <v>30362</v>
      </c>
    </row>
    <row r="491" spans="1:6" x14ac:dyDescent="0.25">
      <c r="A491" s="37">
        <v>2008</v>
      </c>
      <c r="B491" s="38" t="s">
        <v>320</v>
      </c>
      <c r="C491" s="38" t="s">
        <v>203</v>
      </c>
      <c r="D491" s="42" t="s">
        <v>206</v>
      </c>
      <c r="E491" s="32" t="s">
        <v>24</v>
      </c>
      <c r="F491" s="40">
        <v>32337</v>
      </c>
    </row>
    <row r="492" spans="1:6" x14ac:dyDescent="0.25">
      <c r="A492" s="37">
        <v>2008</v>
      </c>
      <c r="B492" s="38" t="s">
        <v>320</v>
      </c>
      <c r="C492" s="38" t="s">
        <v>203</v>
      </c>
      <c r="D492" s="42" t="s">
        <v>206</v>
      </c>
      <c r="E492" s="32" t="s">
        <v>204</v>
      </c>
      <c r="F492" s="40">
        <v>2402</v>
      </c>
    </row>
    <row r="493" spans="1:6" x14ac:dyDescent="0.25">
      <c r="A493" s="37">
        <v>2008</v>
      </c>
      <c r="B493" s="38" t="s">
        <v>320</v>
      </c>
      <c r="C493" s="38" t="s">
        <v>203</v>
      </c>
      <c r="D493" s="43" t="s">
        <v>175</v>
      </c>
      <c r="E493" s="32" t="s">
        <v>2</v>
      </c>
      <c r="F493" s="40">
        <v>0</v>
      </c>
    </row>
    <row r="494" spans="1:6" x14ac:dyDescent="0.25">
      <c r="A494" s="37">
        <v>2008</v>
      </c>
      <c r="B494" s="38" t="s">
        <v>320</v>
      </c>
      <c r="C494" s="38" t="s">
        <v>203</v>
      </c>
      <c r="D494" s="43" t="s">
        <v>175</v>
      </c>
      <c r="E494" s="32" t="s">
        <v>24</v>
      </c>
      <c r="F494" s="40">
        <v>4527</v>
      </c>
    </row>
    <row r="495" spans="1:6" x14ac:dyDescent="0.25">
      <c r="A495" s="37">
        <v>2008</v>
      </c>
      <c r="B495" s="38" t="s">
        <v>320</v>
      </c>
      <c r="C495" s="38" t="s">
        <v>203</v>
      </c>
      <c r="D495" s="43" t="s">
        <v>175</v>
      </c>
      <c r="E495" s="32" t="s">
        <v>204</v>
      </c>
      <c r="F495" s="40">
        <v>3531</v>
      </c>
    </row>
    <row r="496" spans="1:6" x14ac:dyDescent="0.25">
      <c r="A496" s="37">
        <v>2008</v>
      </c>
      <c r="B496" s="38" t="s">
        <v>320</v>
      </c>
      <c r="C496" s="38" t="s">
        <v>207</v>
      </c>
      <c r="D496" s="39" t="s">
        <v>208</v>
      </c>
      <c r="E496" s="32" t="s">
        <v>2</v>
      </c>
      <c r="F496" s="40">
        <v>10840</v>
      </c>
    </row>
    <row r="497" spans="1:6" x14ac:dyDescent="0.25">
      <c r="A497" s="37">
        <v>2008</v>
      </c>
      <c r="B497" s="38" t="s">
        <v>320</v>
      </c>
      <c r="C497" s="38" t="s">
        <v>207</v>
      </c>
      <c r="D497" s="39" t="s">
        <v>208</v>
      </c>
      <c r="E497" s="32" t="s">
        <v>24</v>
      </c>
      <c r="F497" s="40">
        <v>83390</v>
      </c>
    </row>
    <row r="498" spans="1:6" x14ac:dyDescent="0.25">
      <c r="A498" s="37">
        <v>2008</v>
      </c>
      <c r="B498" s="38" t="s">
        <v>320</v>
      </c>
      <c r="C498" s="38" t="s">
        <v>207</v>
      </c>
      <c r="D498" s="39" t="s">
        <v>208</v>
      </c>
      <c r="E498" s="32" t="s">
        <v>204</v>
      </c>
      <c r="F498" s="40">
        <v>125000</v>
      </c>
    </row>
    <row r="499" spans="1:6" x14ac:dyDescent="0.25">
      <c r="A499" s="37">
        <v>2008</v>
      </c>
      <c r="B499" s="38" t="s">
        <v>320</v>
      </c>
      <c r="C499" s="38" t="s">
        <v>207</v>
      </c>
      <c r="D499" s="43" t="s">
        <v>209</v>
      </c>
      <c r="E499" s="32" t="s">
        <v>2</v>
      </c>
      <c r="F499" s="40">
        <v>0</v>
      </c>
    </row>
    <row r="500" spans="1:6" x14ac:dyDescent="0.25">
      <c r="A500" s="37">
        <v>2008</v>
      </c>
      <c r="B500" s="38" t="s">
        <v>320</v>
      </c>
      <c r="C500" s="38" t="s">
        <v>207</v>
      </c>
      <c r="D500" s="43" t="s">
        <v>209</v>
      </c>
      <c r="E500" s="32" t="s">
        <v>24</v>
      </c>
      <c r="F500" s="40">
        <v>17224</v>
      </c>
    </row>
    <row r="501" spans="1:6" x14ac:dyDescent="0.25">
      <c r="A501" s="37">
        <v>2008</v>
      </c>
      <c r="B501" s="38" t="s">
        <v>320</v>
      </c>
      <c r="C501" s="38" t="s">
        <v>207</v>
      </c>
      <c r="D501" s="43" t="s">
        <v>209</v>
      </c>
      <c r="E501" s="32" t="s">
        <v>204</v>
      </c>
      <c r="F501" s="40">
        <v>35476</v>
      </c>
    </row>
    <row r="502" spans="1:6" x14ac:dyDescent="0.25">
      <c r="A502" s="37">
        <v>2008</v>
      </c>
      <c r="B502" s="38" t="s">
        <v>320</v>
      </c>
      <c r="C502" s="38" t="s">
        <v>207</v>
      </c>
      <c r="D502" s="44" t="s">
        <v>210</v>
      </c>
      <c r="E502" s="32" t="s">
        <v>2</v>
      </c>
      <c r="F502" s="40">
        <v>0</v>
      </c>
    </row>
    <row r="503" spans="1:6" x14ac:dyDescent="0.25">
      <c r="A503" s="37">
        <v>2008</v>
      </c>
      <c r="B503" s="38" t="s">
        <v>320</v>
      </c>
      <c r="C503" s="38" t="s">
        <v>207</v>
      </c>
      <c r="D503" s="44" t="s">
        <v>210</v>
      </c>
      <c r="E503" s="32" t="s">
        <v>24</v>
      </c>
      <c r="F503" s="40">
        <v>6780</v>
      </c>
    </row>
    <row r="504" spans="1:6" x14ac:dyDescent="0.25">
      <c r="A504" s="45">
        <v>2008</v>
      </c>
      <c r="B504" s="46" t="s">
        <v>320</v>
      </c>
      <c r="C504" s="46" t="s">
        <v>207</v>
      </c>
      <c r="D504" s="47" t="s">
        <v>210</v>
      </c>
      <c r="E504" s="33" t="s">
        <v>204</v>
      </c>
      <c r="F504" s="48">
        <v>18012</v>
      </c>
    </row>
    <row r="505" spans="1:6" x14ac:dyDescent="0.25">
      <c r="A505" s="37">
        <v>2008</v>
      </c>
      <c r="B505" s="38" t="s">
        <v>316</v>
      </c>
      <c r="C505" s="38" t="s">
        <v>203</v>
      </c>
      <c r="D505" s="39" t="s">
        <v>174</v>
      </c>
      <c r="E505" s="32" t="s">
        <v>2</v>
      </c>
      <c r="F505" s="40">
        <v>36105</v>
      </c>
    </row>
    <row r="506" spans="1:6" x14ac:dyDescent="0.25">
      <c r="A506" s="37">
        <v>2008</v>
      </c>
      <c r="B506" s="38" t="s">
        <v>316</v>
      </c>
      <c r="C506" s="38" t="s">
        <v>203</v>
      </c>
      <c r="D506" s="39" t="s">
        <v>174</v>
      </c>
      <c r="E506" s="32" t="s">
        <v>24</v>
      </c>
      <c r="F506" s="40">
        <v>73223</v>
      </c>
    </row>
    <row r="507" spans="1:6" x14ac:dyDescent="0.25">
      <c r="A507" s="37">
        <v>2008</v>
      </c>
      <c r="B507" s="38" t="s">
        <v>316</v>
      </c>
      <c r="C507" s="38" t="s">
        <v>203</v>
      </c>
      <c r="D507" s="39" t="s">
        <v>174</v>
      </c>
      <c r="E507" s="32" t="s">
        <v>204</v>
      </c>
      <c r="F507" s="40">
        <v>5000</v>
      </c>
    </row>
    <row r="508" spans="1:6" x14ac:dyDescent="0.25">
      <c r="A508" s="37">
        <v>2008</v>
      </c>
      <c r="B508" s="38" t="s">
        <v>316</v>
      </c>
      <c r="C508" s="38" t="s">
        <v>203</v>
      </c>
      <c r="D508" s="41" t="s">
        <v>205</v>
      </c>
      <c r="E508" s="32" t="s">
        <v>2</v>
      </c>
      <c r="F508" s="40">
        <v>6600</v>
      </c>
    </row>
    <row r="509" spans="1:6" x14ac:dyDescent="0.25">
      <c r="A509" s="37">
        <v>2008</v>
      </c>
      <c r="B509" s="38" t="s">
        <v>316</v>
      </c>
      <c r="C509" s="38" t="s">
        <v>203</v>
      </c>
      <c r="D509" s="41" t="s">
        <v>205</v>
      </c>
      <c r="E509" s="32" t="s">
        <v>24</v>
      </c>
      <c r="F509" s="40">
        <v>50353</v>
      </c>
    </row>
    <row r="510" spans="1:6" x14ac:dyDescent="0.25">
      <c r="A510" s="37">
        <v>2008</v>
      </c>
      <c r="B510" s="38" t="s">
        <v>316</v>
      </c>
      <c r="C510" s="38" t="s">
        <v>203</v>
      </c>
      <c r="D510" s="41" t="s">
        <v>205</v>
      </c>
      <c r="E510" s="32" t="s">
        <v>204</v>
      </c>
      <c r="F510" s="40">
        <v>2831</v>
      </c>
    </row>
    <row r="511" spans="1:6" x14ac:dyDescent="0.25">
      <c r="A511" s="37">
        <v>2008</v>
      </c>
      <c r="B511" s="38" t="s">
        <v>316</v>
      </c>
      <c r="C511" s="38" t="s">
        <v>203</v>
      </c>
      <c r="D511" s="42" t="s">
        <v>206</v>
      </c>
      <c r="E511" s="32" t="s">
        <v>2</v>
      </c>
      <c r="F511" s="40">
        <v>40575</v>
      </c>
    </row>
    <row r="512" spans="1:6" x14ac:dyDescent="0.25">
      <c r="A512" s="37">
        <v>2008</v>
      </c>
      <c r="B512" s="38" t="s">
        <v>316</v>
      </c>
      <c r="C512" s="38" t="s">
        <v>203</v>
      </c>
      <c r="D512" s="42" t="s">
        <v>206</v>
      </c>
      <c r="E512" s="32" t="s">
        <v>24</v>
      </c>
      <c r="F512" s="40">
        <v>21799</v>
      </c>
    </row>
    <row r="513" spans="1:6" x14ac:dyDescent="0.25">
      <c r="A513" s="37">
        <v>2008</v>
      </c>
      <c r="B513" s="38" t="s">
        <v>316</v>
      </c>
      <c r="C513" s="38" t="s">
        <v>203</v>
      </c>
      <c r="D513" s="42" t="s">
        <v>206</v>
      </c>
      <c r="E513" s="32" t="s">
        <v>204</v>
      </c>
      <c r="F513" s="40">
        <v>1475</v>
      </c>
    </row>
    <row r="514" spans="1:6" x14ac:dyDescent="0.25">
      <c r="A514" s="37">
        <v>2008</v>
      </c>
      <c r="B514" s="38" t="s">
        <v>316</v>
      </c>
      <c r="C514" s="38" t="s">
        <v>203</v>
      </c>
      <c r="D514" s="43" t="s">
        <v>175</v>
      </c>
      <c r="E514" s="32" t="s">
        <v>2</v>
      </c>
      <c r="F514" s="40">
        <v>0</v>
      </c>
    </row>
    <row r="515" spans="1:6" x14ac:dyDescent="0.25">
      <c r="A515" s="37">
        <v>2008</v>
      </c>
      <c r="B515" s="38" t="s">
        <v>316</v>
      </c>
      <c r="C515" s="38" t="s">
        <v>203</v>
      </c>
      <c r="D515" s="43" t="s">
        <v>175</v>
      </c>
      <c r="E515" s="32" t="s">
        <v>24</v>
      </c>
      <c r="F515" s="40">
        <v>4827</v>
      </c>
    </row>
    <row r="516" spans="1:6" x14ac:dyDescent="0.25">
      <c r="A516" s="37">
        <v>2008</v>
      </c>
      <c r="B516" s="38" t="s">
        <v>316</v>
      </c>
      <c r="C516" s="38" t="s">
        <v>203</v>
      </c>
      <c r="D516" s="43" t="s">
        <v>175</v>
      </c>
      <c r="E516" s="32" t="s">
        <v>204</v>
      </c>
      <c r="F516" s="40">
        <v>3531</v>
      </c>
    </row>
    <row r="517" spans="1:6" x14ac:dyDescent="0.25">
      <c r="A517" s="37">
        <v>2008</v>
      </c>
      <c r="B517" s="38" t="s">
        <v>316</v>
      </c>
      <c r="C517" s="38" t="s">
        <v>207</v>
      </c>
      <c r="D517" s="39" t="s">
        <v>208</v>
      </c>
      <c r="E517" s="32" t="s">
        <v>2</v>
      </c>
      <c r="F517" s="40">
        <v>10840</v>
      </c>
    </row>
    <row r="518" spans="1:6" x14ac:dyDescent="0.25">
      <c r="A518" s="37">
        <v>2008</v>
      </c>
      <c r="B518" s="38" t="s">
        <v>316</v>
      </c>
      <c r="C518" s="38" t="s">
        <v>207</v>
      </c>
      <c r="D518" s="39" t="s">
        <v>208</v>
      </c>
      <c r="E518" s="32" t="s">
        <v>24</v>
      </c>
      <c r="F518" s="40">
        <v>333933</v>
      </c>
    </row>
    <row r="519" spans="1:6" x14ac:dyDescent="0.25">
      <c r="A519" s="37">
        <v>2008</v>
      </c>
      <c r="B519" s="38" t="s">
        <v>316</v>
      </c>
      <c r="C519" s="38" t="s">
        <v>207</v>
      </c>
      <c r="D519" s="39" t="s">
        <v>208</v>
      </c>
      <c r="E519" s="32" t="s">
        <v>204</v>
      </c>
      <c r="F519" s="40">
        <v>132593</v>
      </c>
    </row>
    <row r="520" spans="1:6" x14ac:dyDescent="0.25">
      <c r="A520" s="37">
        <v>2008</v>
      </c>
      <c r="B520" s="38" t="s">
        <v>316</v>
      </c>
      <c r="C520" s="38" t="s">
        <v>207</v>
      </c>
      <c r="D520" s="43" t="s">
        <v>209</v>
      </c>
      <c r="E520" s="32" t="s">
        <v>2</v>
      </c>
      <c r="F520" s="40">
        <v>0</v>
      </c>
    </row>
    <row r="521" spans="1:6" x14ac:dyDescent="0.25">
      <c r="A521" s="37">
        <v>2008</v>
      </c>
      <c r="B521" s="38" t="s">
        <v>316</v>
      </c>
      <c r="C521" s="38" t="s">
        <v>207</v>
      </c>
      <c r="D521" s="43" t="s">
        <v>209</v>
      </c>
      <c r="E521" s="32" t="s">
        <v>24</v>
      </c>
      <c r="F521" s="40">
        <v>17224</v>
      </c>
    </row>
    <row r="522" spans="1:6" x14ac:dyDescent="0.25">
      <c r="A522" s="37">
        <v>2008</v>
      </c>
      <c r="B522" s="38" t="s">
        <v>316</v>
      </c>
      <c r="C522" s="38" t="s">
        <v>207</v>
      </c>
      <c r="D522" s="43" t="s">
        <v>209</v>
      </c>
      <c r="E522" s="32" t="s">
        <v>204</v>
      </c>
      <c r="F522" s="40">
        <v>35476</v>
      </c>
    </row>
    <row r="523" spans="1:6" x14ac:dyDescent="0.25">
      <c r="A523" s="37">
        <v>2008</v>
      </c>
      <c r="B523" s="38" t="s">
        <v>316</v>
      </c>
      <c r="C523" s="38" t="s">
        <v>207</v>
      </c>
      <c r="D523" s="44" t="s">
        <v>210</v>
      </c>
      <c r="E523" s="32" t="s">
        <v>2</v>
      </c>
      <c r="F523" s="40">
        <v>1400</v>
      </c>
    </row>
    <row r="524" spans="1:6" x14ac:dyDescent="0.25">
      <c r="A524" s="37">
        <v>2008</v>
      </c>
      <c r="B524" s="38" t="s">
        <v>316</v>
      </c>
      <c r="C524" s="38" t="s">
        <v>207</v>
      </c>
      <c r="D524" s="44" t="s">
        <v>210</v>
      </c>
      <c r="E524" s="32" t="s">
        <v>24</v>
      </c>
      <c r="F524" s="40">
        <v>8765</v>
      </c>
    </row>
    <row r="525" spans="1:6" x14ac:dyDescent="0.25">
      <c r="A525" s="45">
        <v>2008</v>
      </c>
      <c r="B525" s="46" t="s">
        <v>316</v>
      </c>
      <c r="C525" s="46" t="s">
        <v>207</v>
      </c>
      <c r="D525" s="47" t="s">
        <v>210</v>
      </c>
      <c r="E525" s="33" t="s">
        <v>204</v>
      </c>
      <c r="F525" s="48">
        <v>16612</v>
      </c>
    </row>
    <row r="526" spans="1:6" x14ac:dyDescent="0.25">
      <c r="A526" s="37">
        <v>2009</v>
      </c>
      <c r="B526" s="38" t="s">
        <v>317</v>
      </c>
      <c r="C526" s="38" t="s">
        <v>203</v>
      </c>
      <c r="D526" s="39" t="s">
        <v>174</v>
      </c>
      <c r="E526" s="32" t="s">
        <v>2</v>
      </c>
      <c r="F526" s="40">
        <v>37379</v>
      </c>
    </row>
    <row r="527" spans="1:6" x14ac:dyDescent="0.25">
      <c r="A527" s="37">
        <v>2009</v>
      </c>
      <c r="B527" s="38" t="s">
        <v>317</v>
      </c>
      <c r="C527" s="38" t="s">
        <v>203</v>
      </c>
      <c r="D527" s="39" t="s">
        <v>174</v>
      </c>
      <c r="E527" s="32" t="s">
        <v>24</v>
      </c>
      <c r="F527" s="40">
        <v>78724</v>
      </c>
    </row>
    <row r="528" spans="1:6" x14ac:dyDescent="0.25">
      <c r="A528" s="37">
        <v>2009</v>
      </c>
      <c r="B528" s="38" t="s">
        <v>317</v>
      </c>
      <c r="C528" s="38" t="s">
        <v>203</v>
      </c>
      <c r="D528" s="39" t="s">
        <v>174</v>
      </c>
      <c r="E528" s="32" t="s">
        <v>204</v>
      </c>
      <c r="F528" s="40">
        <v>1600</v>
      </c>
    </row>
    <row r="529" spans="1:6" x14ac:dyDescent="0.25">
      <c r="A529" s="37">
        <v>2009</v>
      </c>
      <c r="B529" s="38" t="s">
        <v>317</v>
      </c>
      <c r="C529" s="38" t="s">
        <v>203</v>
      </c>
      <c r="D529" s="41" t="s">
        <v>205</v>
      </c>
      <c r="E529" s="32" t="s">
        <v>2</v>
      </c>
      <c r="F529" s="40">
        <v>6600</v>
      </c>
    </row>
    <row r="530" spans="1:6" x14ac:dyDescent="0.25">
      <c r="A530" s="37">
        <v>2009</v>
      </c>
      <c r="B530" s="38" t="s">
        <v>317</v>
      </c>
      <c r="C530" s="38" t="s">
        <v>203</v>
      </c>
      <c r="D530" s="41" t="s">
        <v>205</v>
      </c>
      <c r="E530" s="32" t="s">
        <v>24</v>
      </c>
      <c r="F530" s="40">
        <v>68233</v>
      </c>
    </row>
    <row r="531" spans="1:6" x14ac:dyDescent="0.25">
      <c r="A531" s="37">
        <v>2009</v>
      </c>
      <c r="B531" s="38" t="s">
        <v>317</v>
      </c>
      <c r="C531" s="38" t="s">
        <v>203</v>
      </c>
      <c r="D531" s="41" t="s">
        <v>205</v>
      </c>
      <c r="E531" s="32" t="s">
        <v>204</v>
      </c>
      <c r="F531" s="40">
        <v>6831</v>
      </c>
    </row>
    <row r="532" spans="1:6" x14ac:dyDescent="0.25">
      <c r="A532" s="37">
        <v>2009</v>
      </c>
      <c r="B532" s="38" t="s">
        <v>317</v>
      </c>
      <c r="C532" s="38" t="s">
        <v>203</v>
      </c>
      <c r="D532" s="42" t="s">
        <v>206</v>
      </c>
      <c r="E532" s="32" t="s">
        <v>2</v>
      </c>
      <c r="F532" s="40">
        <v>30262</v>
      </c>
    </row>
    <row r="533" spans="1:6" x14ac:dyDescent="0.25">
      <c r="A533" s="37">
        <v>2009</v>
      </c>
      <c r="B533" s="38" t="s">
        <v>317</v>
      </c>
      <c r="C533" s="38" t="s">
        <v>203</v>
      </c>
      <c r="D533" s="42" t="s">
        <v>206</v>
      </c>
      <c r="E533" s="32" t="s">
        <v>24</v>
      </c>
      <c r="F533" s="40">
        <v>35159</v>
      </c>
    </row>
    <row r="534" spans="1:6" x14ac:dyDescent="0.25">
      <c r="A534" s="37">
        <v>2009</v>
      </c>
      <c r="B534" s="38" t="s">
        <v>317</v>
      </c>
      <c r="C534" s="38" t="s">
        <v>203</v>
      </c>
      <c r="D534" s="42" t="s">
        <v>206</v>
      </c>
      <c r="E534" s="32" t="s">
        <v>204</v>
      </c>
      <c r="F534" s="40">
        <v>336</v>
      </c>
    </row>
    <row r="535" spans="1:6" x14ac:dyDescent="0.25">
      <c r="A535" s="37">
        <v>2009</v>
      </c>
      <c r="B535" s="38" t="s">
        <v>317</v>
      </c>
      <c r="C535" s="38" t="s">
        <v>203</v>
      </c>
      <c r="D535" s="43" t="s">
        <v>175</v>
      </c>
      <c r="E535" s="32" t="s">
        <v>2</v>
      </c>
      <c r="F535" s="40">
        <v>2000</v>
      </c>
    </row>
    <row r="536" spans="1:6" x14ac:dyDescent="0.25">
      <c r="A536" s="37">
        <v>2009</v>
      </c>
      <c r="B536" s="38" t="s">
        <v>317</v>
      </c>
      <c r="C536" s="38" t="s">
        <v>203</v>
      </c>
      <c r="D536" s="43" t="s">
        <v>175</v>
      </c>
      <c r="E536" s="32" t="s">
        <v>24</v>
      </c>
      <c r="F536" s="40">
        <v>10481</v>
      </c>
    </row>
    <row r="537" spans="1:6" x14ac:dyDescent="0.25">
      <c r="A537" s="37">
        <v>2009</v>
      </c>
      <c r="B537" s="38" t="s">
        <v>317</v>
      </c>
      <c r="C537" s="38" t="s">
        <v>203</v>
      </c>
      <c r="D537" s="43" t="s">
        <v>175</v>
      </c>
      <c r="E537" s="32" t="s">
        <v>204</v>
      </c>
      <c r="F537" s="40">
        <v>3531</v>
      </c>
    </row>
    <row r="538" spans="1:6" x14ac:dyDescent="0.25">
      <c r="A538" s="37">
        <v>2009</v>
      </c>
      <c r="B538" s="38" t="s">
        <v>317</v>
      </c>
      <c r="C538" s="38" t="s">
        <v>207</v>
      </c>
      <c r="D538" s="39" t="s">
        <v>208</v>
      </c>
      <c r="E538" s="32" t="s">
        <v>2</v>
      </c>
      <c r="F538" s="40">
        <v>17240</v>
      </c>
    </row>
    <row r="539" spans="1:6" x14ac:dyDescent="0.25">
      <c r="A539" s="37">
        <v>2009</v>
      </c>
      <c r="B539" s="38" t="s">
        <v>317</v>
      </c>
      <c r="C539" s="38" t="s">
        <v>207</v>
      </c>
      <c r="D539" s="39" t="s">
        <v>208</v>
      </c>
      <c r="E539" s="32" t="s">
        <v>24</v>
      </c>
      <c r="F539" s="40">
        <v>223913</v>
      </c>
    </row>
    <row r="540" spans="1:6" x14ac:dyDescent="0.25">
      <c r="A540" s="37">
        <v>2009</v>
      </c>
      <c r="B540" s="38" t="s">
        <v>317</v>
      </c>
      <c r="C540" s="38" t="s">
        <v>207</v>
      </c>
      <c r="D540" s="39" t="s">
        <v>208</v>
      </c>
      <c r="E540" s="32" t="s">
        <v>204</v>
      </c>
      <c r="F540" s="40">
        <v>216825</v>
      </c>
    </row>
    <row r="541" spans="1:6" x14ac:dyDescent="0.25">
      <c r="A541" s="37">
        <v>2009</v>
      </c>
      <c r="B541" s="38" t="s">
        <v>317</v>
      </c>
      <c r="C541" s="38" t="s">
        <v>207</v>
      </c>
      <c r="D541" s="43" t="s">
        <v>209</v>
      </c>
      <c r="E541" s="32" t="s">
        <v>2</v>
      </c>
      <c r="F541" s="40">
        <v>0</v>
      </c>
    </row>
    <row r="542" spans="1:6" x14ac:dyDescent="0.25">
      <c r="A542" s="37">
        <v>2009</v>
      </c>
      <c r="B542" s="38" t="s">
        <v>317</v>
      </c>
      <c r="C542" s="38" t="s">
        <v>207</v>
      </c>
      <c r="D542" s="43" t="s">
        <v>209</v>
      </c>
      <c r="E542" s="32" t="s">
        <v>24</v>
      </c>
      <c r="F542" s="40">
        <v>17224</v>
      </c>
    </row>
    <row r="543" spans="1:6" x14ac:dyDescent="0.25">
      <c r="A543" s="37">
        <v>2009</v>
      </c>
      <c r="B543" s="38" t="s">
        <v>317</v>
      </c>
      <c r="C543" s="38" t="s">
        <v>207</v>
      </c>
      <c r="D543" s="43" t="s">
        <v>209</v>
      </c>
      <c r="E543" s="32" t="s">
        <v>204</v>
      </c>
      <c r="F543" s="40">
        <v>46376</v>
      </c>
    </row>
    <row r="544" spans="1:6" x14ac:dyDescent="0.25">
      <c r="A544" s="37">
        <v>2009</v>
      </c>
      <c r="B544" s="38" t="s">
        <v>317</v>
      </c>
      <c r="C544" s="38" t="s">
        <v>207</v>
      </c>
      <c r="D544" s="44" t="s">
        <v>210</v>
      </c>
      <c r="E544" s="32" t="s">
        <v>2</v>
      </c>
      <c r="F544" s="40">
        <v>0</v>
      </c>
    </row>
    <row r="545" spans="1:6" x14ac:dyDescent="0.25">
      <c r="A545" s="37">
        <v>2009</v>
      </c>
      <c r="B545" s="38" t="s">
        <v>317</v>
      </c>
      <c r="C545" s="38" t="s">
        <v>207</v>
      </c>
      <c r="D545" s="44" t="s">
        <v>210</v>
      </c>
      <c r="E545" s="32" t="s">
        <v>24</v>
      </c>
      <c r="F545" s="40">
        <v>5965</v>
      </c>
    </row>
    <row r="546" spans="1:6" x14ac:dyDescent="0.25">
      <c r="A546" s="45">
        <v>2009</v>
      </c>
      <c r="B546" s="46" t="s">
        <v>317</v>
      </c>
      <c r="C546" s="46" t="s">
        <v>207</v>
      </c>
      <c r="D546" s="47" t="s">
        <v>210</v>
      </c>
      <c r="E546" s="33" t="s">
        <v>204</v>
      </c>
      <c r="F546" s="48">
        <v>16852</v>
      </c>
    </row>
    <row r="547" spans="1:6" x14ac:dyDescent="0.25">
      <c r="A547" s="37">
        <v>2009</v>
      </c>
      <c r="B547" s="38" t="s">
        <v>307</v>
      </c>
      <c r="C547" s="38" t="s">
        <v>203</v>
      </c>
      <c r="D547" s="39" t="s">
        <v>174</v>
      </c>
      <c r="E547" s="32" t="s">
        <v>2</v>
      </c>
      <c r="F547" s="40">
        <v>32686</v>
      </c>
    </row>
    <row r="548" spans="1:6" x14ac:dyDescent="0.25">
      <c r="A548" s="37">
        <v>2009</v>
      </c>
      <c r="B548" s="38" t="s">
        <v>307</v>
      </c>
      <c r="C548" s="38" t="s">
        <v>203</v>
      </c>
      <c r="D548" s="39" t="s">
        <v>174</v>
      </c>
      <c r="E548" s="32" t="s">
        <v>24</v>
      </c>
      <c r="F548" s="40">
        <v>81482</v>
      </c>
    </row>
    <row r="549" spans="1:6" x14ac:dyDescent="0.25">
      <c r="A549" s="37">
        <v>2009</v>
      </c>
      <c r="B549" s="38" t="s">
        <v>307</v>
      </c>
      <c r="C549" s="38" t="s">
        <v>203</v>
      </c>
      <c r="D549" s="39" t="s">
        <v>174</v>
      </c>
      <c r="E549" s="32" t="s">
        <v>204</v>
      </c>
      <c r="F549" s="40">
        <v>1600</v>
      </c>
    </row>
    <row r="550" spans="1:6" x14ac:dyDescent="0.25">
      <c r="A550" s="37">
        <v>2009</v>
      </c>
      <c r="B550" s="38" t="s">
        <v>307</v>
      </c>
      <c r="C550" s="38" t="s">
        <v>203</v>
      </c>
      <c r="D550" s="41" t="s">
        <v>205</v>
      </c>
      <c r="E550" s="32" t="s">
        <v>2</v>
      </c>
      <c r="F550" s="40">
        <v>6600</v>
      </c>
    </row>
    <row r="551" spans="1:6" x14ac:dyDescent="0.25">
      <c r="A551" s="37">
        <v>2009</v>
      </c>
      <c r="B551" s="38" t="s">
        <v>307</v>
      </c>
      <c r="C551" s="38" t="s">
        <v>203</v>
      </c>
      <c r="D551" s="41" t="s">
        <v>205</v>
      </c>
      <c r="E551" s="32" t="s">
        <v>24</v>
      </c>
      <c r="F551" s="40">
        <v>65382</v>
      </c>
    </row>
    <row r="552" spans="1:6" x14ac:dyDescent="0.25">
      <c r="A552" s="37">
        <v>2009</v>
      </c>
      <c r="B552" s="38" t="s">
        <v>307</v>
      </c>
      <c r="C552" s="38" t="s">
        <v>203</v>
      </c>
      <c r="D552" s="41" t="s">
        <v>205</v>
      </c>
      <c r="E552" s="32" t="s">
        <v>204</v>
      </c>
      <c r="F552" s="40">
        <v>4000</v>
      </c>
    </row>
    <row r="553" spans="1:6" x14ac:dyDescent="0.25">
      <c r="A553" s="37">
        <v>2009</v>
      </c>
      <c r="B553" s="38" t="s">
        <v>307</v>
      </c>
      <c r="C553" s="38" t="s">
        <v>203</v>
      </c>
      <c r="D553" s="42" t="s">
        <v>206</v>
      </c>
      <c r="E553" s="32" t="s">
        <v>2</v>
      </c>
      <c r="F553" s="40">
        <v>28262</v>
      </c>
    </row>
    <row r="554" spans="1:6" x14ac:dyDescent="0.25">
      <c r="A554" s="37">
        <v>2009</v>
      </c>
      <c r="B554" s="38" t="s">
        <v>307</v>
      </c>
      <c r="C554" s="38" t="s">
        <v>203</v>
      </c>
      <c r="D554" s="42" t="s">
        <v>206</v>
      </c>
      <c r="E554" s="32" t="s">
        <v>24</v>
      </c>
      <c r="F554" s="40">
        <v>40799</v>
      </c>
    </row>
    <row r="555" spans="1:6" x14ac:dyDescent="0.25">
      <c r="A555" s="37">
        <v>2009</v>
      </c>
      <c r="B555" s="38" t="s">
        <v>307</v>
      </c>
      <c r="C555" s="38" t="s">
        <v>203</v>
      </c>
      <c r="D555" s="42" t="s">
        <v>206</v>
      </c>
      <c r="E555" s="32" t="s">
        <v>204</v>
      </c>
      <c r="F555" s="40">
        <v>2264</v>
      </c>
    </row>
    <row r="556" spans="1:6" x14ac:dyDescent="0.25">
      <c r="A556" s="37">
        <v>2009</v>
      </c>
      <c r="B556" s="38" t="s">
        <v>307</v>
      </c>
      <c r="C556" s="38" t="s">
        <v>203</v>
      </c>
      <c r="D556" s="43" t="s">
        <v>175</v>
      </c>
      <c r="E556" s="32" t="s">
        <v>2</v>
      </c>
      <c r="F556" s="40">
        <v>2000</v>
      </c>
    </row>
    <row r="557" spans="1:6" x14ac:dyDescent="0.25">
      <c r="A557" s="37">
        <v>2009</v>
      </c>
      <c r="B557" s="38" t="s">
        <v>307</v>
      </c>
      <c r="C557" s="38" t="s">
        <v>203</v>
      </c>
      <c r="D557" s="43" t="s">
        <v>175</v>
      </c>
      <c r="E557" s="32" t="s">
        <v>24</v>
      </c>
      <c r="F557" s="40">
        <v>7075</v>
      </c>
    </row>
    <row r="558" spans="1:6" x14ac:dyDescent="0.25">
      <c r="A558" s="37">
        <v>2009</v>
      </c>
      <c r="B558" s="38" t="s">
        <v>307</v>
      </c>
      <c r="C558" s="38" t="s">
        <v>203</v>
      </c>
      <c r="D558" s="43" t="s">
        <v>175</v>
      </c>
      <c r="E558" s="32" t="s">
        <v>204</v>
      </c>
      <c r="F558" s="40">
        <v>5354</v>
      </c>
    </row>
    <row r="559" spans="1:6" x14ac:dyDescent="0.25">
      <c r="A559" s="37">
        <v>2009</v>
      </c>
      <c r="B559" s="38" t="s">
        <v>307</v>
      </c>
      <c r="C559" s="38" t="s">
        <v>207</v>
      </c>
      <c r="D559" s="39" t="s">
        <v>208</v>
      </c>
      <c r="E559" s="32" t="s">
        <v>2</v>
      </c>
      <c r="F559" s="40">
        <v>17240</v>
      </c>
    </row>
    <row r="560" spans="1:6" x14ac:dyDescent="0.25">
      <c r="A560" s="37">
        <v>2009</v>
      </c>
      <c r="B560" s="38" t="s">
        <v>307</v>
      </c>
      <c r="C560" s="38" t="s">
        <v>207</v>
      </c>
      <c r="D560" s="39" t="s">
        <v>208</v>
      </c>
      <c r="E560" s="32" t="s">
        <v>24</v>
      </c>
      <c r="F560" s="40">
        <v>29813</v>
      </c>
    </row>
    <row r="561" spans="1:6" x14ac:dyDescent="0.25">
      <c r="A561" s="37">
        <v>2009</v>
      </c>
      <c r="B561" s="38" t="s">
        <v>307</v>
      </c>
      <c r="C561" s="38" t="s">
        <v>207</v>
      </c>
      <c r="D561" s="39" t="s">
        <v>208</v>
      </c>
      <c r="E561" s="32" t="s">
        <v>204</v>
      </c>
      <c r="F561" s="40">
        <v>410026</v>
      </c>
    </row>
    <row r="562" spans="1:6" x14ac:dyDescent="0.25">
      <c r="A562" s="37">
        <v>2009</v>
      </c>
      <c r="B562" s="38" t="s">
        <v>307</v>
      </c>
      <c r="C562" s="38" t="s">
        <v>207</v>
      </c>
      <c r="D562" s="43" t="s">
        <v>209</v>
      </c>
      <c r="E562" s="32" t="s">
        <v>2</v>
      </c>
      <c r="F562" s="40">
        <v>0</v>
      </c>
    </row>
    <row r="563" spans="1:6" x14ac:dyDescent="0.25">
      <c r="A563" s="37">
        <v>2009</v>
      </c>
      <c r="B563" s="38" t="s">
        <v>307</v>
      </c>
      <c r="C563" s="38" t="s">
        <v>207</v>
      </c>
      <c r="D563" s="43" t="s">
        <v>209</v>
      </c>
      <c r="E563" s="32" t="s">
        <v>24</v>
      </c>
      <c r="F563" s="40">
        <v>8924</v>
      </c>
    </row>
    <row r="564" spans="1:6" x14ac:dyDescent="0.25">
      <c r="A564" s="37">
        <v>2009</v>
      </c>
      <c r="B564" s="38" t="s">
        <v>307</v>
      </c>
      <c r="C564" s="38" t="s">
        <v>207</v>
      </c>
      <c r="D564" s="43" t="s">
        <v>209</v>
      </c>
      <c r="E564" s="32" t="s">
        <v>204</v>
      </c>
      <c r="F564" s="40">
        <v>48500</v>
      </c>
    </row>
    <row r="565" spans="1:6" x14ac:dyDescent="0.25">
      <c r="A565" s="37">
        <v>2009</v>
      </c>
      <c r="B565" s="38" t="s">
        <v>307</v>
      </c>
      <c r="C565" s="38" t="s">
        <v>207</v>
      </c>
      <c r="D565" s="44" t="s">
        <v>210</v>
      </c>
      <c r="E565" s="32" t="s">
        <v>2</v>
      </c>
      <c r="F565" s="40">
        <v>0</v>
      </c>
    </row>
    <row r="566" spans="1:6" x14ac:dyDescent="0.25">
      <c r="A566" s="37">
        <v>2009</v>
      </c>
      <c r="B566" s="38" t="s">
        <v>307</v>
      </c>
      <c r="C566" s="38" t="s">
        <v>207</v>
      </c>
      <c r="D566" s="44" t="s">
        <v>210</v>
      </c>
      <c r="E566" s="32" t="s">
        <v>24</v>
      </c>
      <c r="F566" s="40">
        <v>6214</v>
      </c>
    </row>
    <row r="567" spans="1:6" x14ac:dyDescent="0.25">
      <c r="A567" s="45">
        <v>2009</v>
      </c>
      <c r="B567" s="46" t="s">
        <v>307</v>
      </c>
      <c r="C567" s="46" t="s">
        <v>207</v>
      </c>
      <c r="D567" s="47" t="s">
        <v>210</v>
      </c>
      <c r="E567" s="33" t="s">
        <v>204</v>
      </c>
      <c r="F567" s="48">
        <v>13341</v>
      </c>
    </row>
    <row r="568" spans="1:6" x14ac:dyDescent="0.25">
      <c r="A568" s="37">
        <v>2009</v>
      </c>
      <c r="B568" s="38" t="s">
        <v>318</v>
      </c>
      <c r="C568" s="38" t="s">
        <v>203</v>
      </c>
      <c r="D568" s="39" t="s">
        <v>174</v>
      </c>
      <c r="E568" s="32" t="s">
        <v>2</v>
      </c>
      <c r="F568" s="40">
        <v>28515</v>
      </c>
    </row>
    <row r="569" spans="1:6" x14ac:dyDescent="0.25">
      <c r="A569" s="37">
        <v>2009</v>
      </c>
      <c r="B569" s="38" t="s">
        <v>318</v>
      </c>
      <c r="C569" s="38" t="s">
        <v>203</v>
      </c>
      <c r="D569" s="39" t="s">
        <v>174</v>
      </c>
      <c r="E569" s="32" t="s">
        <v>24</v>
      </c>
      <c r="F569" s="40">
        <v>80449</v>
      </c>
    </row>
    <row r="570" spans="1:6" x14ac:dyDescent="0.25">
      <c r="A570" s="37">
        <v>2009</v>
      </c>
      <c r="B570" s="38" t="s">
        <v>318</v>
      </c>
      <c r="C570" s="38" t="s">
        <v>203</v>
      </c>
      <c r="D570" s="39" t="s">
        <v>174</v>
      </c>
      <c r="E570" s="32" t="s">
        <v>204</v>
      </c>
      <c r="F570" s="40">
        <v>5000</v>
      </c>
    </row>
    <row r="571" spans="1:6" x14ac:dyDescent="0.25">
      <c r="A571" s="37">
        <v>2009</v>
      </c>
      <c r="B571" s="38" t="s">
        <v>318</v>
      </c>
      <c r="C571" s="38" t="s">
        <v>203</v>
      </c>
      <c r="D571" s="41" t="s">
        <v>205</v>
      </c>
      <c r="E571" s="32" t="s">
        <v>2</v>
      </c>
      <c r="F571" s="40">
        <v>6257</v>
      </c>
    </row>
    <row r="572" spans="1:6" x14ac:dyDescent="0.25">
      <c r="A572" s="37">
        <v>2009</v>
      </c>
      <c r="B572" s="38" t="s">
        <v>318</v>
      </c>
      <c r="C572" s="38" t="s">
        <v>203</v>
      </c>
      <c r="D572" s="41" t="s">
        <v>205</v>
      </c>
      <c r="E572" s="32" t="s">
        <v>24</v>
      </c>
      <c r="F572" s="40">
        <v>88872</v>
      </c>
    </row>
    <row r="573" spans="1:6" x14ac:dyDescent="0.25">
      <c r="A573" s="37">
        <v>2009</v>
      </c>
      <c r="B573" s="38" t="s">
        <v>318</v>
      </c>
      <c r="C573" s="38" t="s">
        <v>203</v>
      </c>
      <c r="D573" s="41" t="s">
        <v>205</v>
      </c>
      <c r="E573" s="32" t="s">
        <v>204</v>
      </c>
      <c r="F573" s="40">
        <v>4000</v>
      </c>
    </row>
    <row r="574" spans="1:6" x14ac:dyDescent="0.25">
      <c r="A574" s="37">
        <v>2009</v>
      </c>
      <c r="B574" s="38" t="s">
        <v>318</v>
      </c>
      <c r="C574" s="38" t="s">
        <v>203</v>
      </c>
      <c r="D574" s="42" t="s">
        <v>206</v>
      </c>
      <c r="E574" s="32" t="s">
        <v>2</v>
      </c>
      <c r="F574" s="40">
        <v>28262</v>
      </c>
    </row>
    <row r="575" spans="1:6" x14ac:dyDescent="0.25">
      <c r="A575" s="37">
        <v>2009</v>
      </c>
      <c r="B575" s="38" t="s">
        <v>318</v>
      </c>
      <c r="C575" s="38" t="s">
        <v>203</v>
      </c>
      <c r="D575" s="42" t="s">
        <v>206</v>
      </c>
      <c r="E575" s="32" t="s">
        <v>24</v>
      </c>
      <c r="F575" s="40">
        <v>41759</v>
      </c>
    </row>
    <row r="576" spans="1:6" x14ac:dyDescent="0.25">
      <c r="A576" s="37">
        <v>2009</v>
      </c>
      <c r="B576" s="38" t="s">
        <v>318</v>
      </c>
      <c r="C576" s="38" t="s">
        <v>203</v>
      </c>
      <c r="D576" s="42" t="s">
        <v>206</v>
      </c>
      <c r="E576" s="32" t="s">
        <v>204</v>
      </c>
      <c r="F576" s="40">
        <v>1400</v>
      </c>
    </row>
    <row r="577" spans="1:6" x14ac:dyDescent="0.25">
      <c r="A577" s="37">
        <v>2009</v>
      </c>
      <c r="B577" s="38" t="s">
        <v>318</v>
      </c>
      <c r="C577" s="38" t="s">
        <v>203</v>
      </c>
      <c r="D577" s="43" t="s">
        <v>175</v>
      </c>
      <c r="E577" s="32" t="s">
        <v>2</v>
      </c>
      <c r="F577" s="40">
        <v>0</v>
      </c>
    </row>
    <row r="578" spans="1:6" x14ac:dyDescent="0.25">
      <c r="A578" s="37">
        <v>2009</v>
      </c>
      <c r="B578" s="38" t="s">
        <v>318</v>
      </c>
      <c r="C578" s="38" t="s">
        <v>203</v>
      </c>
      <c r="D578" s="43" t="s">
        <v>175</v>
      </c>
      <c r="E578" s="32" t="s">
        <v>24</v>
      </c>
      <c r="F578" s="40">
        <v>6875</v>
      </c>
    </row>
    <row r="579" spans="1:6" x14ac:dyDescent="0.25">
      <c r="A579" s="37">
        <v>2009</v>
      </c>
      <c r="B579" s="38" t="s">
        <v>318</v>
      </c>
      <c r="C579" s="38" t="s">
        <v>203</v>
      </c>
      <c r="D579" s="43" t="s">
        <v>175</v>
      </c>
      <c r="E579" s="32" t="s">
        <v>204</v>
      </c>
      <c r="F579" s="40">
        <v>4240</v>
      </c>
    </row>
    <row r="580" spans="1:6" x14ac:dyDescent="0.25">
      <c r="A580" s="37">
        <v>2009</v>
      </c>
      <c r="B580" s="38" t="s">
        <v>318</v>
      </c>
      <c r="C580" s="38" t="s">
        <v>207</v>
      </c>
      <c r="D580" s="39" t="s">
        <v>208</v>
      </c>
      <c r="E580" s="32" t="s">
        <v>2</v>
      </c>
      <c r="F580" s="40">
        <v>17240</v>
      </c>
    </row>
    <row r="581" spans="1:6" x14ac:dyDescent="0.25">
      <c r="A581" s="37">
        <v>2009</v>
      </c>
      <c r="B581" s="38" t="s">
        <v>318</v>
      </c>
      <c r="C581" s="38" t="s">
        <v>207</v>
      </c>
      <c r="D581" s="39" t="s">
        <v>208</v>
      </c>
      <c r="E581" s="32" t="s">
        <v>24</v>
      </c>
      <c r="F581" s="40">
        <v>4813</v>
      </c>
    </row>
    <row r="582" spans="1:6" x14ac:dyDescent="0.25">
      <c r="A582" s="37">
        <v>2009</v>
      </c>
      <c r="B582" s="38" t="s">
        <v>318</v>
      </c>
      <c r="C582" s="38" t="s">
        <v>207</v>
      </c>
      <c r="D582" s="39" t="s">
        <v>208</v>
      </c>
      <c r="E582" s="32" t="s">
        <v>204</v>
      </c>
      <c r="F582" s="40">
        <v>304565</v>
      </c>
    </row>
    <row r="583" spans="1:6" x14ac:dyDescent="0.25">
      <c r="A583" s="37">
        <v>2009</v>
      </c>
      <c r="B583" s="38" t="s">
        <v>318</v>
      </c>
      <c r="C583" s="38" t="s">
        <v>207</v>
      </c>
      <c r="D583" s="43" t="s">
        <v>209</v>
      </c>
      <c r="E583" s="32" t="s">
        <v>2</v>
      </c>
      <c r="F583" s="40">
        <v>0</v>
      </c>
    </row>
    <row r="584" spans="1:6" x14ac:dyDescent="0.25">
      <c r="A584" s="37">
        <v>2009</v>
      </c>
      <c r="B584" s="38" t="s">
        <v>318</v>
      </c>
      <c r="C584" s="38" t="s">
        <v>207</v>
      </c>
      <c r="D584" s="43" t="s">
        <v>209</v>
      </c>
      <c r="E584" s="32" t="s">
        <v>24</v>
      </c>
      <c r="F584" s="40">
        <v>6896</v>
      </c>
    </row>
    <row r="585" spans="1:6" x14ac:dyDescent="0.25">
      <c r="A585" s="37">
        <v>2009</v>
      </c>
      <c r="B585" s="38" t="s">
        <v>318</v>
      </c>
      <c r="C585" s="38" t="s">
        <v>207</v>
      </c>
      <c r="D585" s="43" t="s">
        <v>209</v>
      </c>
      <c r="E585" s="32" t="s">
        <v>204</v>
      </c>
      <c r="F585" s="40">
        <v>101890</v>
      </c>
    </row>
    <row r="586" spans="1:6" x14ac:dyDescent="0.25">
      <c r="A586" s="37">
        <v>2009</v>
      </c>
      <c r="B586" s="38" t="s">
        <v>318</v>
      </c>
      <c r="C586" s="38" t="s">
        <v>207</v>
      </c>
      <c r="D586" s="44" t="s">
        <v>210</v>
      </c>
      <c r="E586" s="32" t="s">
        <v>2</v>
      </c>
      <c r="F586" s="40">
        <v>0</v>
      </c>
    </row>
    <row r="587" spans="1:6" x14ac:dyDescent="0.25">
      <c r="A587" s="37">
        <v>2009</v>
      </c>
      <c r="B587" s="38" t="s">
        <v>318</v>
      </c>
      <c r="C587" s="38" t="s">
        <v>207</v>
      </c>
      <c r="D587" s="44" t="s">
        <v>210</v>
      </c>
      <c r="E587" s="32" t="s">
        <v>24</v>
      </c>
      <c r="F587" s="40">
        <v>9162</v>
      </c>
    </row>
    <row r="588" spans="1:6" x14ac:dyDescent="0.25">
      <c r="A588" s="45">
        <v>2009</v>
      </c>
      <c r="B588" s="46" t="s">
        <v>318</v>
      </c>
      <c r="C588" s="46" t="s">
        <v>207</v>
      </c>
      <c r="D588" s="47" t="s">
        <v>210</v>
      </c>
      <c r="E588" s="33" t="s">
        <v>204</v>
      </c>
      <c r="F588" s="48">
        <v>20840</v>
      </c>
    </row>
    <row r="589" spans="1:6" x14ac:dyDescent="0.25">
      <c r="A589" s="37">
        <v>2009</v>
      </c>
      <c r="B589" s="38" t="s">
        <v>319</v>
      </c>
      <c r="C589" s="38" t="s">
        <v>203</v>
      </c>
      <c r="D589" s="39" t="s">
        <v>174</v>
      </c>
      <c r="E589" s="32" t="s">
        <v>2</v>
      </c>
      <c r="F589" s="40">
        <v>31275</v>
      </c>
    </row>
    <row r="590" spans="1:6" x14ac:dyDescent="0.25">
      <c r="A590" s="37">
        <v>2009</v>
      </c>
      <c r="B590" s="38" t="s">
        <v>319</v>
      </c>
      <c r="C590" s="38" t="s">
        <v>203</v>
      </c>
      <c r="D590" s="39" t="s">
        <v>174</v>
      </c>
      <c r="E590" s="32" t="s">
        <v>24</v>
      </c>
      <c r="F590" s="40">
        <v>86649</v>
      </c>
    </row>
    <row r="591" spans="1:6" x14ac:dyDescent="0.25">
      <c r="A591" s="37">
        <v>2009</v>
      </c>
      <c r="B591" s="38" t="s">
        <v>319</v>
      </c>
      <c r="C591" s="38" t="s">
        <v>203</v>
      </c>
      <c r="D591" s="39" t="s">
        <v>174</v>
      </c>
      <c r="E591" s="32" t="s">
        <v>204</v>
      </c>
      <c r="F591" s="40">
        <v>1600</v>
      </c>
    </row>
    <row r="592" spans="1:6" x14ac:dyDescent="0.25">
      <c r="A592" s="37">
        <v>2009</v>
      </c>
      <c r="B592" s="38" t="s">
        <v>319</v>
      </c>
      <c r="C592" s="38" t="s">
        <v>203</v>
      </c>
      <c r="D592" s="41" t="s">
        <v>205</v>
      </c>
      <c r="E592" s="32" t="s">
        <v>2</v>
      </c>
      <c r="F592" s="40">
        <v>6257</v>
      </c>
    </row>
    <row r="593" spans="1:6" x14ac:dyDescent="0.25">
      <c r="A593" s="37">
        <v>2009</v>
      </c>
      <c r="B593" s="38" t="s">
        <v>319</v>
      </c>
      <c r="C593" s="38" t="s">
        <v>203</v>
      </c>
      <c r="D593" s="41" t="s">
        <v>205</v>
      </c>
      <c r="E593" s="32" t="s">
        <v>24</v>
      </c>
      <c r="F593" s="40">
        <v>91437</v>
      </c>
    </row>
    <row r="594" spans="1:6" x14ac:dyDescent="0.25">
      <c r="A594" s="37">
        <v>2009</v>
      </c>
      <c r="B594" s="38" t="s">
        <v>319</v>
      </c>
      <c r="C594" s="38" t="s">
        <v>203</v>
      </c>
      <c r="D594" s="41" t="s">
        <v>205</v>
      </c>
      <c r="E594" s="32" t="s">
        <v>204</v>
      </c>
      <c r="F594" s="40">
        <v>6200</v>
      </c>
    </row>
    <row r="595" spans="1:6" x14ac:dyDescent="0.25">
      <c r="A595" s="37">
        <v>2009</v>
      </c>
      <c r="B595" s="38" t="s">
        <v>319</v>
      </c>
      <c r="C595" s="38" t="s">
        <v>203</v>
      </c>
      <c r="D595" s="42" t="s">
        <v>206</v>
      </c>
      <c r="E595" s="32" t="s">
        <v>2</v>
      </c>
      <c r="F595" s="40">
        <v>28262</v>
      </c>
    </row>
    <row r="596" spans="1:6" x14ac:dyDescent="0.25">
      <c r="A596" s="37">
        <v>2009</v>
      </c>
      <c r="B596" s="38" t="s">
        <v>319</v>
      </c>
      <c r="C596" s="38" t="s">
        <v>203</v>
      </c>
      <c r="D596" s="42" t="s">
        <v>206</v>
      </c>
      <c r="E596" s="32" t="s">
        <v>24</v>
      </c>
      <c r="F596" s="40">
        <v>30076</v>
      </c>
    </row>
    <row r="597" spans="1:6" x14ac:dyDescent="0.25">
      <c r="A597" s="37">
        <v>2009</v>
      </c>
      <c r="B597" s="38" t="s">
        <v>319</v>
      </c>
      <c r="C597" s="38" t="s">
        <v>203</v>
      </c>
      <c r="D597" s="42" t="s">
        <v>206</v>
      </c>
      <c r="E597" s="32" t="s">
        <v>204</v>
      </c>
      <c r="F597" s="40">
        <v>13000</v>
      </c>
    </row>
    <row r="598" spans="1:6" x14ac:dyDescent="0.25">
      <c r="A598" s="37">
        <v>2009</v>
      </c>
      <c r="B598" s="38" t="s">
        <v>319</v>
      </c>
      <c r="C598" s="38" t="s">
        <v>203</v>
      </c>
      <c r="D598" s="43" t="s">
        <v>175</v>
      </c>
      <c r="E598" s="32" t="s">
        <v>2</v>
      </c>
      <c r="F598" s="40">
        <v>2000</v>
      </c>
    </row>
    <row r="599" spans="1:6" x14ac:dyDescent="0.25">
      <c r="A599" s="37">
        <v>2009</v>
      </c>
      <c r="B599" s="38" t="s">
        <v>319</v>
      </c>
      <c r="C599" s="38" t="s">
        <v>203</v>
      </c>
      <c r="D599" s="43" t="s">
        <v>175</v>
      </c>
      <c r="E599" s="32" t="s">
        <v>24</v>
      </c>
      <c r="F599" s="40">
        <v>6875</v>
      </c>
    </row>
    <row r="600" spans="1:6" x14ac:dyDescent="0.25">
      <c r="A600" s="37">
        <v>2009</v>
      </c>
      <c r="B600" s="38" t="s">
        <v>319</v>
      </c>
      <c r="C600" s="38" t="s">
        <v>203</v>
      </c>
      <c r="D600" s="43" t="s">
        <v>175</v>
      </c>
      <c r="E600" s="32" t="s">
        <v>204</v>
      </c>
      <c r="F600" s="40">
        <v>5640</v>
      </c>
    </row>
    <row r="601" spans="1:6" x14ac:dyDescent="0.25">
      <c r="A601" s="37">
        <v>2009</v>
      </c>
      <c r="B601" s="38" t="s">
        <v>319</v>
      </c>
      <c r="C601" s="38" t="s">
        <v>207</v>
      </c>
      <c r="D601" s="39" t="s">
        <v>208</v>
      </c>
      <c r="E601" s="32" t="s">
        <v>2</v>
      </c>
      <c r="F601" s="40">
        <v>17240</v>
      </c>
    </row>
    <row r="602" spans="1:6" x14ac:dyDescent="0.25">
      <c r="A602" s="37">
        <v>2009</v>
      </c>
      <c r="B602" s="38" t="s">
        <v>319</v>
      </c>
      <c r="C602" s="38" t="s">
        <v>207</v>
      </c>
      <c r="D602" s="39" t="s">
        <v>208</v>
      </c>
      <c r="E602" s="32" t="s">
        <v>24</v>
      </c>
      <c r="F602" s="40">
        <v>4813</v>
      </c>
    </row>
    <row r="603" spans="1:6" x14ac:dyDescent="0.25">
      <c r="A603" s="37">
        <v>2009</v>
      </c>
      <c r="B603" s="38" t="s">
        <v>319</v>
      </c>
      <c r="C603" s="38" t="s">
        <v>207</v>
      </c>
      <c r="D603" s="39" t="s">
        <v>208</v>
      </c>
      <c r="E603" s="32" t="s">
        <v>204</v>
      </c>
      <c r="F603" s="40">
        <v>302745</v>
      </c>
    </row>
    <row r="604" spans="1:6" x14ac:dyDescent="0.25">
      <c r="A604" s="37">
        <v>2009</v>
      </c>
      <c r="B604" s="38" t="s">
        <v>319</v>
      </c>
      <c r="C604" s="38" t="s">
        <v>207</v>
      </c>
      <c r="D604" s="43" t="s">
        <v>209</v>
      </c>
      <c r="E604" s="32" t="s">
        <v>2</v>
      </c>
      <c r="F604" s="40">
        <v>0</v>
      </c>
    </row>
    <row r="605" spans="1:6" x14ac:dyDescent="0.25">
      <c r="A605" s="37">
        <v>2009</v>
      </c>
      <c r="B605" s="38" t="s">
        <v>319</v>
      </c>
      <c r="C605" s="38" t="s">
        <v>207</v>
      </c>
      <c r="D605" s="43" t="s">
        <v>209</v>
      </c>
      <c r="E605" s="32" t="s">
        <v>24</v>
      </c>
      <c r="F605" s="40">
        <v>6896</v>
      </c>
    </row>
    <row r="606" spans="1:6" x14ac:dyDescent="0.25">
      <c r="A606" s="37">
        <v>2009</v>
      </c>
      <c r="B606" s="38" t="s">
        <v>319</v>
      </c>
      <c r="C606" s="38" t="s">
        <v>207</v>
      </c>
      <c r="D606" s="43" t="s">
        <v>209</v>
      </c>
      <c r="E606" s="32" t="s">
        <v>204</v>
      </c>
      <c r="F606" s="40">
        <v>103390</v>
      </c>
    </row>
    <row r="607" spans="1:6" x14ac:dyDescent="0.25">
      <c r="A607" s="37">
        <v>2009</v>
      </c>
      <c r="B607" s="38" t="s">
        <v>319</v>
      </c>
      <c r="C607" s="38" t="s">
        <v>207</v>
      </c>
      <c r="D607" s="44" t="s">
        <v>210</v>
      </c>
      <c r="E607" s="32" t="s">
        <v>2</v>
      </c>
      <c r="F607" s="40">
        <v>0</v>
      </c>
    </row>
    <row r="608" spans="1:6" x14ac:dyDescent="0.25">
      <c r="A608" s="37">
        <v>2009</v>
      </c>
      <c r="B608" s="38" t="s">
        <v>319</v>
      </c>
      <c r="C608" s="38" t="s">
        <v>207</v>
      </c>
      <c r="D608" s="44" t="s">
        <v>210</v>
      </c>
      <c r="E608" s="32" t="s">
        <v>24</v>
      </c>
      <c r="F608" s="40">
        <v>8208</v>
      </c>
    </row>
    <row r="609" spans="1:6" x14ac:dyDescent="0.25">
      <c r="A609" s="45">
        <v>2009</v>
      </c>
      <c r="B609" s="46" t="s">
        <v>319</v>
      </c>
      <c r="C609" s="46" t="s">
        <v>207</v>
      </c>
      <c r="D609" s="47" t="s">
        <v>210</v>
      </c>
      <c r="E609" s="33" t="s">
        <v>204</v>
      </c>
      <c r="F609" s="48">
        <v>33440</v>
      </c>
    </row>
    <row r="610" spans="1:6" x14ac:dyDescent="0.25">
      <c r="A610" s="37">
        <v>2009</v>
      </c>
      <c r="B610" s="38" t="s">
        <v>320</v>
      </c>
      <c r="C610" s="38" t="s">
        <v>203</v>
      </c>
      <c r="D610" s="39" t="s">
        <v>174</v>
      </c>
      <c r="E610" s="32" t="s">
        <v>2</v>
      </c>
      <c r="F610" s="40">
        <v>28152</v>
      </c>
    </row>
    <row r="611" spans="1:6" x14ac:dyDescent="0.25">
      <c r="A611" s="37">
        <v>2009</v>
      </c>
      <c r="B611" s="38" t="s">
        <v>320</v>
      </c>
      <c r="C611" s="38" t="s">
        <v>203</v>
      </c>
      <c r="D611" s="39" t="s">
        <v>174</v>
      </c>
      <c r="E611" s="32" t="s">
        <v>24</v>
      </c>
      <c r="F611" s="40">
        <v>69058</v>
      </c>
    </row>
    <row r="612" spans="1:6" x14ac:dyDescent="0.25">
      <c r="A612" s="37">
        <v>2009</v>
      </c>
      <c r="B612" s="38" t="s">
        <v>320</v>
      </c>
      <c r="C612" s="38" t="s">
        <v>203</v>
      </c>
      <c r="D612" s="39" t="s">
        <v>174</v>
      </c>
      <c r="E612" s="32" t="s">
        <v>204</v>
      </c>
      <c r="F612" s="40">
        <v>5000</v>
      </c>
    </row>
    <row r="613" spans="1:6" x14ac:dyDescent="0.25">
      <c r="A613" s="37">
        <v>2009</v>
      </c>
      <c r="B613" s="38" t="s">
        <v>320</v>
      </c>
      <c r="C613" s="38" t="s">
        <v>203</v>
      </c>
      <c r="D613" s="41" t="s">
        <v>205</v>
      </c>
      <c r="E613" s="32" t="s">
        <v>2</v>
      </c>
      <c r="F613" s="40">
        <v>2550</v>
      </c>
    </row>
    <row r="614" spans="1:6" x14ac:dyDescent="0.25">
      <c r="A614" s="37">
        <v>2009</v>
      </c>
      <c r="B614" s="38" t="s">
        <v>320</v>
      </c>
      <c r="C614" s="38" t="s">
        <v>203</v>
      </c>
      <c r="D614" s="41" t="s">
        <v>205</v>
      </c>
      <c r="E614" s="32" t="s">
        <v>24</v>
      </c>
      <c r="F614" s="40">
        <v>65263</v>
      </c>
    </row>
    <row r="615" spans="1:6" x14ac:dyDescent="0.25">
      <c r="A615" s="37">
        <v>2009</v>
      </c>
      <c r="B615" s="38" t="s">
        <v>320</v>
      </c>
      <c r="C615" s="38" t="s">
        <v>203</v>
      </c>
      <c r="D615" s="41" t="s">
        <v>205</v>
      </c>
      <c r="E615" s="32" t="s">
        <v>204</v>
      </c>
      <c r="F615" s="40">
        <v>9850</v>
      </c>
    </row>
    <row r="616" spans="1:6" x14ac:dyDescent="0.25">
      <c r="A616" s="37">
        <v>2009</v>
      </c>
      <c r="B616" s="38" t="s">
        <v>320</v>
      </c>
      <c r="C616" s="38" t="s">
        <v>203</v>
      </c>
      <c r="D616" s="42" t="s">
        <v>206</v>
      </c>
      <c r="E616" s="32" t="s">
        <v>2</v>
      </c>
      <c r="F616" s="40">
        <v>8960</v>
      </c>
    </row>
    <row r="617" spans="1:6" x14ac:dyDescent="0.25">
      <c r="A617" s="37">
        <v>2009</v>
      </c>
      <c r="B617" s="38" t="s">
        <v>320</v>
      </c>
      <c r="C617" s="38" t="s">
        <v>203</v>
      </c>
      <c r="D617" s="42" t="s">
        <v>206</v>
      </c>
      <c r="E617" s="32" t="s">
        <v>24</v>
      </c>
      <c r="F617" s="40">
        <v>12453</v>
      </c>
    </row>
    <row r="618" spans="1:6" x14ac:dyDescent="0.25">
      <c r="A618" s="37">
        <v>2009</v>
      </c>
      <c r="B618" s="38" t="s">
        <v>320</v>
      </c>
      <c r="C618" s="38" t="s">
        <v>203</v>
      </c>
      <c r="D618" s="42" t="s">
        <v>206</v>
      </c>
      <c r="E618" s="32" t="s">
        <v>204</v>
      </c>
      <c r="F618" s="40">
        <v>19500</v>
      </c>
    </row>
    <row r="619" spans="1:6" x14ac:dyDescent="0.25">
      <c r="A619" s="37">
        <v>2009</v>
      </c>
      <c r="B619" s="38" t="s">
        <v>320</v>
      </c>
      <c r="C619" s="38" t="s">
        <v>203</v>
      </c>
      <c r="D619" s="43" t="s">
        <v>175</v>
      </c>
      <c r="E619" s="32" t="s">
        <v>2</v>
      </c>
      <c r="F619" s="40">
        <v>2000</v>
      </c>
    </row>
    <row r="620" spans="1:6" x14ac:dyDescent="0.25">
      <c r="A620" s="37">
        <v>2009</v>
      </c>
      <c r="B620" s="38" t="s">
        <v>320</v>
      </c>
      <c r="C620" s="38" t="s">
        <v>203</v>
      </c>
      <c r="D620" s="43" t="s">
        <v>175</v>
      </c>
      <c r="E620" s="32" t="s">
        <v>24</v>
      </c>
      <c r="F620" s="40">
        <v>6875</v>
      </c>
    </row>
    <row r="621" spans="1:6" x14ac:dyDescent="0.25">
      <c r="A621" s="37">
        <v>2009</v>
      </c>
      <c r="B621" s="38" t="s">
        <v>320</v>
      </c>
      <c r="C621" s="38" t="s">
        <v>203</v>
      </c>
      <c r="D621" s="43" t="s">
        <v>175</v>
      </c>
      <c r="E621" s="32" t="s">
        <v>204</v>
      </c>
      <c r="F621" s="40">
        <v>5640</v>
      </c>
    </row>
    <row r="622" spans="1:6" x14ac:dyDescent="0.25">
      <c r="A622" s="37">
        <v>2009</v>
      </c>
      <c r="B622" s="38" t="s">
        <v>320</v>
      </c>
      <c r="C622" s="38" t="s">
        <v>207</v>
      </c>
      <c r="D622" s="39" t="s">
        <v>208</v>
      </c>
      <c r="E622" s="32" t="s">
        <v>2</v>
      </c>
      <c r="F622" s="40">
        <v>6888</v>
      </c>
    </row>
    <row r="623" spans="1:6" x14ac:dyDescent="0.25">
      <c r="A623" s="37">
        <v>2009</v>
      </c>
      <c r="B623" s="38" t="s">
        <v>320</v>
      </c>
      <c r="C623" s="38" t="s">
        <v>207</v>
      </c>
      <c r="D623" s="39" t="s">
        <v>208</v>
      </c>
      <c r="E623" s="32" t="s">
        <v>24</v>
      </c>
      <c r="F623" s="40">
        <v>0</v>
      </c>
    </row>
    <row r="624" spans="1:6" x14ac:dyDescent="0.25">
      <c r="A624" s="37">
        <v>2009</v>
      </c>
      <c r="B624" s="38" t="s">
        <v>320</v>
      </c>
      <c r="C624" s="38" t="s">
        <v>207</v>
      </c>
      <c r="D624" s="39" t="s">
        <v>208</v>
      </c>
      <c r="E624" s="32" t="s">
        <v>204</v>
      </c>
      <c r="F624" s="40">
        <v>220391</v>
      </c>
    </row>
    <row r="625" spans="1:6" x14ac:dyDescent="0.25">
      <c r="A625" s="37">
        <v>2009</v>
      </c>
      <c r="B625" s="38" t="s">
        <v>320</v>
      </c>
      <c r="C625" s="38" t="s">
        <v>207</v>
      </c>
      <c r="D625" s="43" t="s">
        <v>209</v>
      </c>
      <c r="E625" s="32" t="s">
        <v>2</v>
      </c>
      <c r="F625" s="40">
        <v>0</v>
      </c>
    </row>
    <row r="626" spans="1:6" x14ac:dyDescent="0.25">
      <c r="A626" s="37">
        <v>2009</v>
      </c>
      <c r="B626" s="38" t="s">
        <v>320</v>
      </c>
      <c r="C626" s="38" t="s">
        <v>207</v>
      </c>
      <c r="D626" s="43" t="s">
        <v>209</v>
      </c>
      <c r="E626" s="32" t="s">
        <v>24</v>
      </c>
      <c r="F626" s="40">
        <v>6896</v>
      </c>
    </row>
    <row r="627" spans="1:6" x14ac:dyDescent="0.25">
      <c r="A627" s="37">
        <v>2009</v>
      </c>
      <c r="B627" s="38" t="s">
        <v>320</v>
      </c>
      <c r="C627" s="38" t="s">
        <v>207</v>
      </c>
      <c r="D627" s="43" t="s">
        <v>209</v>
      </c>
      <c r="E627" s="32" t="s">
        <v>204</v>
      </c>
      <c r="F627" s="40">
        <v>74590</v>
      </c>
    </row>
    <row r="628" spans="1:6" x14ac:dyDescent="0.25">
      <c r="A628" s="37">
        <v>2009</v>
      </c>
      <c r="B628" s="38" t="s">
        <v>320</v>
      </c>
      <c r="C628" s="38" t="s">
        <v>207</v>
      </c>
      <c r="D628" s="44" t="s">
        <v>210</v>
      </c>
      <c r="E628" s="32" t="s">
        <v>2</v>
      </c>
      <c r="F628" s="40">
        <v>1850</v>
      </c>
    </row>
    <row r="629" spans="1:6" x14ac:dyDescent="0.25">
      <c r="A629" s="37">
        <v>2009</v>
      </c>
      <c r="B629" s="38" t="s">
        <v>320</v>
      </c>
      <c r="C629" s="38" t="s">
        <v>207</v>
      </c>
      <c r="D629" s="44" t="s">
        <v>210</v>
      </c>
      <c r="E629" s="32" t="s">
        <v>24</v>
      </c>
      <c r="F629" s="40">
        <v>10710</v>
      </c>
    </row>
    <row r="630" spans="1:6" x14ac:dyDescent="0.25">
      <c r="A630" s="45">
        <v>2009</v>
      </c>
      <c r="B630" s="46" t="s">
        <v>320</v>
      </c>
      <c r="C630" s="46" t="s">
        <v>207</v>
      </c>
      <c r="D630" s="47" t="s">
        <v>210</v>
      </c>
      <c r="E630" s="33" t="s">
        <v>204</v>
      </c>
      <c r="F630" s="48">
        <v>65945</v>
      </c>
    </row>
    <row r="631" spans="1:6" x14ac:dyDescent="0.25">
      <c r="A631" s="37">
        <v>2009</v>
      </c>
      <c r="B631" s="38" t="s">
        <v>316</v>
      </c>
      <c r="C631" s="38" t="s">
        <v>203</v>
      </c>
      <c r="D631" s="39" t="s">
        <v>174</v>
      </c>
      <c r="E631" s="32" t="s">
        <v>2</v>
      </c>
      <c r="F631" s="40">
        <v>28152</v>
      </c>
    </row>
    <row r="632" spans="1:6" x14ac:dyDescent="0.25">
      <c r="A632" s="37">
        <v>2009</v>
      </c>
      <c r="B632" s="38" t="s">
        <v>316</v>
      </c>
      <c r="C632" s="38" t="s">
        <v>203</v>
      </c>
      <c r="D632" s="39" t="s">
        <v>174</v>
      </c>
      <c r="E632" s="32" t="s">
        <v>24</v>
      </c>
      <c r="F632" s="40">
        <v>86447</v>
      </c>
    </row>
    <row r="633" spans="1:6" x14ac:dyDescent="0.25">
      <c r="A633" s="37">
        <v>2009</v>
      </c>
      <c r="B633" s="38" t="s">
        <v>316</v>
      </c>
      <c r="C633" s="38" t="s">
        <v>203</v>
      </c>
      <c r="D633" s="39" t="s">
        <v>174</v>
      </c>
      <c r="E633" s="32" t="s">
        <v>204</v>
      </c>
      <c r="F633" s="40">
        <v>5000</v>
      </c>
    </row>
    <row r="634" spans="1:6" x14ac:dyDescent="0.25">
      <c r="A634" s="37">
        <v>2009</v>
      </c>
      <c r="B634" s="38" t="s">
        <v>316</v>
      </c>
      <c r="C634" s="38" t="s">
        <v>203</v>
      </c>
      <c r="D634" s="41" t="s">
        <v>205</v>
      </c>
      <c r="E634" s="32" t="s">
        <v>2</v>
      </c>
      <c r="F634" s="40">
        <v>7750</v>
      </c>
    </row>
    <row r="635" spans="1:6" x14ac:dyDescent="0.25">
      <c r="A635" s="37">
        <v>2009</v>
      </c>
      <c r="B635" s="38" t="s">
        <v>316</v>
      </c>
      <c r="C635" s="38" t="s">
        <v>203</v>
      </c>
      <c r="D635" s="41" t="s">
        <v>205</v>
      </c>
      <c r="E635" s="32" t="s">
        <v>24</v>
      </c>
      <c r="F635" s="40">
        <v>66113</v>
      </c>
    </row>
    <row r="636" spans="1:6" x14ac:dyDescent="0.25">
      <c r="A636" s="37">
        <v>2009</v>
      </c>
      <c r="B636" s="38" t="s">
        <v>316</v>
      </c>
      <c r="C636" s="38" t="s">
        <v>203</v>
      </c>
      <c r="D636" s="41" t="s">
        <v>205</v>
      </c>
      <c r="E636" s="32" t="s">
        <v>204</v>
      </c>
      <c r="F636" s="40">
        <v>6900</v>
      </c>
    </row>
    <row r="637" spans="1:6" x14ac:dyDescent="0.25">
      <c r="A637" s="37">
        <v>2009</v>
      </c>
      <c r="B637" s="38" t="s">
        <v>316</v>
      </c>
      <c r="C637" s="38" t="s">
        <v>203</v>
      </c>
      <c r="D637" s="42" t="s">
        <v>206</v>
      </c>
      <c r="E637" s="32" t="s">
        <v>2</v>
      </c>
      <c r="F637" s="40">
        <v>11760</v>
      </c>
    </row>
    <row r="638" spans="1:6" x14ac:dyDescent="0.25">
      <c r="A638" s="37">
        <v>2009</v>
      </c>
      <c r="B638" s="38" t="s">
        <v>316</v>
      </c>
      <c r="C638" s="38" t="s">
        <v>203</v>
      </c>
      <c r="D638" s="42" t="s">
        <v>206</v>
      </c>
      <c r="E638" s="32" t="s">
        <v>24</v>
      </c>
      <c r="F638" s="40">
        <v>15278</v>
      </c>
    </row>
    <row r="639" spans="1:6" x14ac:dyDescent="0.25">
      <c r="A639" s="37">
        <v>2009</v>
      </c>
      <c r="B639" s="38" t="s">
        <v>316</v>
      </c>
      <c r="C639" s="38" t="s">
        <v>203</v>
      </c>
      <c r="D639" s="42" t="s">
        <v>206</v>
      </c>
      <c r="E639" s="32" t="s">
        <v>204</v>
      </c>
      <c r="F639" s="40">
        <v>13000</v>
      </c>
    </row>
    <row r="640" spans="1:6" x14ac:dyDescent="0.25">
      <c r="A640" s="37">
        <v>2009</v>
      </c>
      <c r="B640" s="38" t="s">
        <v>316</v>
      </c>
      <c r="C640" s="38" t="s">
        <v>203</v>
      </c>
      <c r="D640" s="43" t="s">
        <v>175</v>
      </c>
      <c r="E640" s="32" t="s">
        <v>2</v>
      </c>
      <c r="F640" s="40">
        <v>2000</v>
      </c>
    </row>
    <row r="641" spans="1:6" x14ac:dyDescent="0.25">
      <c r="A641" s="37">
        <v>2009</v>
      </c>
      <c r="B641" s="38" t="s">
        <v>316</v>
      </c>
      <c r="C641" s="38" t="s">
        <v>203</v>
      </c>
      <c r="D641" s="43" t="s">
        <v>175</v>
      </c>
      <c r="E641" s="32" t="s">
        <v>24</v>
      </c>
      <c r="F641" s="40">
        <v>6875</v>
      </c>
    </row>
    <row r="642" spans="1:6" x14ac:dyDescent="0.25">
      <c r="A642" s="37">
        <v>2009</v>
      </c>
      <c r="B642" s="38" t="s">
        <v>316</v>
      </c>
      <c r="C642" s="38" t="s">
        <v>203</v>
      </c>
      <c r="D642" s="43" t="s">
        <v>175</v>
      </c>
      <c r="E642" s="32" t="s">
        <v>204</v>
      </c>
      <c r="F642" s="40">
        <v>7290</v>
      </c>
    </row>
    <row r="643" spans="1:6" x14ac:dyDescent="0.25">
      <c r="A643" s="37">
        <v>2009</v>
      </c>
      <c r="B643" s="38" t="s">
        <v>316</v>
      </c>
      <c r="C643" s="38" t="s">
        <v>207</v>
      </c>
      <c r="D643" s="39" t="s">
        <v>208</v>
      </c>
      <c r="E643" s="32" t="s">
        <v>2</v>
      </c>
      <c r="F643" s="40">
        <v>6888</v>
      </c>
    </row>
    <row r="644" spans="1:6" x14ac:dyDescent="0.25">
      <c r="A644" s="37">
        <v>2009</v>
      </c>
      <c r="B644" s="38" t="s">
        <v>316</v>
      </c>
      <c r="C644" s="38" t="s">
        <v>207</v>
      </c>
      <c r="D644" s="39" t="s">
        <v>208</v>
      </c>
      <c r="E644" s="32" t="s">
        <v>24</v>
      </c>
      <c r="F644" s="40">
        <v>2870</v>
      </c>
    </row>
    <row r="645" spans="1:6" x14ac:dyDescent="0.25">
      <c r="A645" s="37">
        <v>2009</v>
      </c>
      <c r="B645" s="38" t="s">
        <v>316</v>
      </c>
      <c r="C645" s="38" t="s">
        <v>207</v>
      </c>
      <c r="D645" s="39" t="s">
        <v>208</v>
      </c>
      <c r="E645" s="32" t="s">
        <v>204</v>
      </c>
      <c r="F645" s="40">
        <v>307982</v>
      </c>
    </row>
    <row r="646" spans="1:6" x14ac:dyDescent="0.25">
      <c r="A646" s="37">
        <v>2009</v>
      </c>
      <c r="B646" s="38" t="s">
        <v>316</v>
      </c>
      <c r="C646" s="38" t="s">
        <v>207</v>
      </c>
      <c r="D646" s="43" t="s">
        <v>209</v>
      </c>
      <c r="E646" s="32" t="s">
        <v>2</v>
      </c>
      <c r="F646" s="40">
        <v>0</v>
      </c>
    </row>
    <row r="647" spans="1:6" x14ac:dyDescent="0.25">
      <c r="A647" s="37">
        <v>2009</v>
      </c>
      <c r="B647" s="38" t="s">
        <v>316</v>
      </c>
      <c r="C647" s="38" t="s">
        <v>207</v>
      </c>
      <c r="D647" s="43" t="s">
        <v>209</v>
      </c>
      <c r="E647" s="32" t="s">
        <v>24</v>
      </c>
      <c r="F647" s="40">
        <v>8924</v>
      </c>
    </row>
    <row r="648" spans="1:6" x14ac:dyDescent="0.25">
      <c r="A648" s="37">
        <v>2009</v>
      </c>
      <c r="B648" s="38" t="s">
        <v>316</v>
      </c>
      <c r="C648" s="38" t="s">
        <v>207</v>
      </c>
      <c r="D648" s="43" t="s">
        <v>209</v>
      </c>
      <c r="E648" s="32" t="s">
        <v>204</v>
      </c>
      <c r="F648" s="40">
        <v>70462</v>
      </c>
    </row>
    <row r="649" spans="1:6" x14ac:dyDescent="0.25">
      <c r="A649" s="37">
        <v>2009</v>
      </c>
      <c r="B649" s="38" t="s">
        <v>316</v>
      </c>
      <c r="C649" s="38" t="s">
        <v>207</v>
      </c>
      <c r="D649" s="44" t="s">
        <v>210</v>
      </c>
      <c r="E649" s="32" t="s">
        <v>2</v>
      </c>
      <c r="F649" s="40">
        <v>1850</v>
      </c>
    </row>
    <row r="650" spans="1:6" x14ac:dyDescent="0.25">
      <c r="A650" s="37">
        <v>2009</v>
      </c>
      <c r="B650" s="38" t="s">
        <v>316</v>
      </c>
      <c r="C650" s="38" t="s">
        <v>207</v>
      </c>
      <c r="D650" s="44" t="s">
        <v>210</v>
      </c>
      <c r="E650" s="32" t="s">
        <v>24</v>
      </c>
      <c r="F650" s="40">
        <v>8808</v>
      </c>
    </row>
    <row r="651" spans="1:6" x14ac:dyDescent="0.25">
      <c r="A651" s="45">
        <v>2009</v>
      </c>
      <c r="B651" s="46" t="s">
        <v>316</v>
      </c>
      <c r="C651" s="46" t="s">
        <v>207</v>
      </c>
      <c r="D651" s="47" t="s">
        <v>210</v>
      </c>
      <c r="E651" s="33" t="s">
        <v>204</v>
      </c>
      <c r="F651" s="48">
        <v>77830</v>
      </c>
    </row>
    <row r="652" spans="1:6" x14ac:dyDescent="0.25">
      <c r="A652" s="37">
        <v>2010</v>
      </c>
      <c r="B652" s="38" t="s">
        <v>317</v>
      </c>
      <c r="C652" s="38" t="s">
        <v>203</v>
      </c>
      <c r="D652" s="39" t="s">
        <v>174</v>
      </c>
      <c r="E652" s="32" t="s">
        <v>2</v>
      </c>
      <c r="F652" s="40">
        <v>27856</v>
      </c>
    </row>
    <row r="653" spans="1:6" x14ac:dyDescent="0.25">
      <c r="A653" s="37">
        <v>2010</v>
      </c>
      <c r="B653" s="38" t="s">
        <v>317</v>
      </c>
      <c r="C653" s="38" t="s">
        <v>203</v>
      </c>
      <c r="D653" s="39" t="s">
        <v>174</v>
      </c>
      <c r="E653" s="32" t="s">
        <v>24</v>
      </c>
      <c r="F653" s="40">
        <v>90342</v>
      </c>
    </row>
    <row r="654" spans="1:6" x14ac:dyDescent="0.25">
      <c r="A654" s="37">
        <v>2010</v>
      </c>
      <c r="B654" s="38" t="s">
        <v>317</v>
      </c>
      <c r="C654" s="38" t="s">
        <v>203</v>
      </c>
      <c r="D654" s="39" t="s">
        <v>174</v>
      </c>
      <c r="E654" s="32" t="s">
        <v>204</v>
      </c>
      <c r="F654" s="40">
        <v>1600</v>
      </c>
    </row>
    <row r="655" spans="1:6" x14ac:dyDescent="0.25">
      <c r="A655" s="37">
        <v>2010</v>
      </c>
      <c r="B655" s="38" t="s">
        <v>317</v>
      </c>
      <c r="C655" s="38" t="s">
        <v>203</v>
      </c>
      <c r="D655" s="41" t="s">
        <v>205</v>
      </c>
      <c r="E655" s="32" t="s">
        <v>2</v>
      </c>
      <c r="F655" s="40">
        <v>5200</v>
      </c>
    </row>
    <row r="656" spans="1:6" x14ac:dyDescent="0.25">
      <c r="A656" s="37">
        <v>2010</v>
      </c>
      <c r="B656" s="38" t="s">
        <v>317</v>
      </c>
      <c r="C656" s="38" t="s">
        <v>203</v>
      </c>
      <c r="D656" s="41" t="s">
        <v>205</v>
      </c>
      <c r="E656" s="32" t="s">
        <v>24</v>
      </c>
      <c r="F656" s="40">
        <v>76839</v>
      </c>
    </row>
    <row r="657" spans="1:6" x14ac:dyDescent="0.25">
      <c r="A657" s="37">
        <v>2010</v>
      </c>
      <c r="B657" s="38" t="s">
        <v>317</v>
      </c>
      <c r="C657" s="38" t="s">
        <v>203</v>
      </c>
      <c r="D657" s="41" t="s">
        <v>205</v>
      </c>
      <c r="E657" s="32" t="s">
        <v>204</v>
      </c>
      <c r="F657" s="40">
        <v>7850</v>
      </c>
    </row>
    <row r="658" spans="1:6" x14ac:dyDescent="0.25">
      <c r="A658" s="37">
        <v>2010</v>
      </c>
      <c r="B658" s="38" t="s">
        <v>317</v>
      </c>
      <c r="C658" s="38" t="s">
        <v>203</v>
      </c>
      <c r="D658" s="42" t="s">
        <v>206</v>
      </c>
      <c r="E658" s="32" t="s">
        <v>2</v>
      </c>
      <c r="F658" s="40">
        <v>3812</v>
      </c>
    </row>
    <row r="659" spans="1:6" x14ac:dyDescent="0.25">
      <c r="A659" s="37">
        <v>2010</v>
      </c>
      <c r="B659" s="38" t="s">
        <v>317</v>
      </c>
      <c r="C659" s="38" t="s">
        <v>203</v>
      </c>
      <c r="D659" s="42" t="s">
        <v>206</v>
      </c>
      <c r="E659" s="32" t="s">
        <v>24</v>
      </c>
      <c r="F659" s="40">
        <v>12488</v>
      </c>
    </row>
    <row r="660" spans="1:6" x14ac:dyDescent="0.25">
      <c r="A660" s="37">
        <v>2010</v>
      </c>
      <c r="B660" s="38" t="s">
        <v>317</v>
      </c>
      <c r="C660" s="38" t="s">
        <v>203</v>
      </c>
      <c r="D660" s="42" t="s">
        <v>206</v>
      </c>
      <c r="E660" s="32" t="s">
        <v>204</v>
      </c>
      <c r="F660" s="40">
        <v>39041</v>
      </c>
    </row>
    <row r="661" spans="1:6" x14ac:dyDescent="0.25">
      <c r="A661" s="37">
        <v>2010</v>
      </c>
      <c r="B661" s="38" t="s">
        <v>317</v>
      </c>
      <c r="C661" s="38" t="s">
        <v>203</v>
      </c>
      <c r="D661" s="43" t="s">
        <v>175</v>
      </c>
      <c r="E661" s="32" t="s">
        <v>2</v>
      </c>
      <c r="F661" s="40">
        <v>2000</v>
      </c>
    </row>
    <row r="662" spans="1:6" x14ac:dyDescent="0.25">
      <c r="A662" s="37">
        <v>2010</v>
      </c>
      <c r="B662" s="38" t="s">
        <v>317</v>
      </c>
      <c r="C662" s="38" t="s">
        <v>203</v>
      </c>
      <c r="D662" s="43" t="s">
        <v>175</v>
      </c>
      <c r="E662" s="32" t="s">
        <v>24</v>
      </c>
      <c r="F662" s="40">
        <v>11435</v>
      </c>
    </row>
    <row r="663" spans="1:6" x14ac:dyDescent="0.25">
      <c r="A663" s="37">
        <v>2010</v>
      </c>
      <c r="B663" s="38" t="s">
        <v>317</v>
      </c>
      <c r="C663" s="38" t="s">
        <v>203</v>
      </c>
      <c r="D663" s="43" t="s">
        <v>175</v>
      </c>
      <c r="E663" s="32" t="s">
        <v>204</v>
      </c>
      <c r="F663" s="40">
        <v>7290</v>
      </c>
    </row>
    <row r="664" spans="1:6" x14ac:dyDescent="0.25">
      <c r="A664" s="37">
        <v>2010</v>
      </c>
      <c r="B664" s="38" t="s">
        <v>317</v>
      </c>
      <c r="C664" s="38" t="s">
        <v>207</v>
      </c>
      <c r="D664" s="39" t="s">
        <v>208</v>
      </c>
      <c r="E664" s="32" t="s">
        <v>2</v>
      </c>
      <c r="F664" s="40">
        <v>6888</v>
      </c>
    </row>
    <row r="665" spans="1:6" x14ac:dyDescent="0.25">
      <c r="A665" s="37">
        <v>2010</v>
      </c>
      <c r="B665" s="38" t="s">
        <v>317</v>
      </c>
      <c r="C665" s="38" t="s">
        <v>207</v>
      </c>
      <c r="D665" s="39" t="s">
        <v>208</v>
      </c>
      <c r="E665" s="32" t="s">
        <v>24</v>
      </c>
      <c r="F665" s="40">
        <v>2870</v>
      </c>
    </row>
    <row r="666" spans="1:6" x14ac:dyDescent="0.25">
      <c r="A666" s="37">
        <v>2010</v>
      </c>
      <c r="B666" s="38" t="s">
        <v>317</v>
      </c>
      <c r="C666" s="38" t="s">
        <v>207</v>
      </c>
      <c r="D666" s="39" t="s">
        <v>208</v>
      </c>
      <c r="E666" s="32" t="s">
        <v>204</v>
      </c>
      <c r="F666" s="40">
        <v>310357</v>
      </c>
    </row>
    <row r="667" spans="1:6" x14ac:dyDescent="0.25">
      <c r="A667" s="37">
        <v>2010</v>
      </c>
      <c r="B667" s="38" t="s">
        <v>317</v>
      </c>
      <c r="C667" s="38" t="s">
        <v>207</v>
      </c>
      <c r="D667" s="43" t="s">
        <v>209</v>
      </c>
      <c r="E667" s="32" t="s">
        <v>2</v>
      </c>
      <c r="F667" s="40">
        <v>0</v>
      </c>
    </row>
    <row r="668" spans="1:6" x14ac:dyDescent="0.25">
      <c r="A668" s="37">
        <v>2010</v>
      </c>
      <c r="B668" s="38" t="s">
        <v>317</v>
      </c>
      <c r="C668" s="38" t="s">
        <v>207</v>
      </c>
      <c r="D668" s="43" t="s">
        <v>209</v>
      </c>
      <c r="E668" s="32" t="s">
        <v>24</v>
      </c>
      <c r="F668" s="40">
        <v>0</v>
      </c>
    </row>
    <row r="669" spans="1:6" x14ac:dyDescent="0.25">
      <c r="A669" s="37">
        <v>2010</v>
      </c>
      <c r="B669" s="38" t="s">
        <v>317</v>
      </c>
      <c r="C669" s="38" t="s">
        <v>207</v>
      </c>
      <c r="D669" s="43" t="s">
        <v>209</v>
      </c>
      <c r="E669" s="32" t="s">
        <v>204</v>
      </c>
      <c r="F669" s="40">
        <v>70986</v>
      </c>
    </row>
    <row r="670" spans="1:6" x14ac:dyDescent="0.25">
      <c r="A670" s="37">
        <v>2010</v>
      </c>
      <c r="B670" s="38" t="s">
        <v>317</v>
      </c>
      <c r="C670" s="38" t="s">
        <v>207</v>
      </c>
      <c r="D670" s="44" t="s">
        <v>210</v>
      </c>
      <c r="E670" s="32" t="s">
        <v>2</v>
      </c>
      <c r="F670" s="40">
        <v>1850</v>
      </c>
    </row>
    <row r="671" spans="1:6" x14ac:dyDescent="0.25">
      <c r="A671" s="37">
        <v>2010</v>
      </c>
      <c r="B671" s="38" t="s">
        <v>317</v>
      </c>
      <c r="C671" s="38" t="s">
        <v>207</v>
      </c>
      <c r="D671" s="44" t="s">
        <v>210</v>
      </c>
      <c r="E671" s="32" t="s">
        <v>24</v>
      </c>
      <c r="F671" s="40">
        <v>10564</v>
      </c>
    </row>
    <row r="672" spans="1:6" x14ac:dyDescent="0.25">
      <c r="A672" s="45">
        <v>2010</v>
      </c>
      <c r="B672" s="46" t="s">
        <v>317</v>
      </c>
      <c r="C672" s="46" t="s">
        <v>207</v>
      </c>
      <c r="D672" s="47" t="s">
        <v>210</v>
      </c>
      <c r="E672" s="33" t="s">
        <v>204</v>
      </c>
      <c r="F672" s="48">
        <v>30980</v>
      </c>
    </row>
    <row r="673" spans="1:6" x14ac:dyDescent="0.25">
      <c r="A673" s="37">
        <v>2010</v>
      </c>
      <c r="B673" s="38" t="s">
        <v>307</v>
      </c>
      <c r="C673" s="38" t="s">
        <v>203</v>
      </c>
      <c r="D673" s="39" t="s">
        <v>174</v>
      </c>
      <c r="E673" s="32" t="s">
        <v>2</v>
      </c>
      <c r="F673" s="40">
        <v>21005</v>
      </c>
    </row>
    <row r="674" spans="1:6" x14ac:dyDescent="0.25">
      <c r="A674" s="37">
        <v>2010</v>
      </c>
      <c r="B674" s="38" t="s">
        <v>307</v>
      </c>
      <c r="C674" s="38" t="s">
        <v>203</v>
      </c>
      <c r="D674" s="39" t="s">
        <v>174</v>
      </c>
      <c r="E674" s="32" t="s">
        <v>24</v>
      </c>
      <c r="F674" s="40">
        <v>96344</v>
      </c>
    </row>
    <row r="675" spans="1:6" x14ac:dyDescent="0.25">
      <c r="A675" s="37">
        <v>2010</v>
      </c>
      <c r="B675" s="38" t="s">
        <v>307</v>
      </c>
      <c r="C675" s="38" t="s">
        <v>203</v>
      </c>
      <c r="D675" s="39" t="s">
        <v>174</v>
      </c>
      <c r="E675" s="32" t="s">
        <v>204</v>
      </c>
      <c r="F675" s="40">
        <v>4350</v>
      </c>
    </row>
    <row r="676" spans="1:6" x14ac:dyDescent="0.25">
      <c r="A676" s="37">
        <v>2010</v>
      </c>
      <c r="B676" s="38" t="s">
        <v>307</v>
      </c>
      <c r="C676" s="38" t="s">
        <v>203</v>
      </c>
      <c r="D676" s="41" t="s">
        <v>205</v>
      </c>
      <c r="E676" s="32" t="s">
        <v>2</v>
      </c>
      <c r="F676" s="40">
        <v>7433</v>
      </c>
    </row>
    <row r="677" spans="1:6" x14ac:dyDescent="0.25">
      <c r="A677" s="37">
        <v>2010</v>
      </c>
      <c r="B677" s="38" t="s">
        <v>307</v>
      </c>
      <c r="C677" s="38" t="s">
        <v>203</v>
      </c>
      <c r="D677" s="41" t="s">
        <v>205</v>
      </c>
      <c r="E677" s="32" t="s">
        <v>24</v>
      </c>
      <c r="F677" s="40">
        <v>76923</v>
      </c>
    </row>
    <row r="678" spans="1:6" x14ac:dyDescent="0.25">
      <c r="A678" s="37">
        <v>2010</v>
      </c>
      <c r="B678" s="38" t="s">
        <v>307</v>
      </c>
      <c r="C678" s="38" t="s">
        <v>203</v>
      </c>
      <c r="D678" s="41" t="s">
        <v>205</v>
      </c>
      <c r="E678" s="32" t="s">
        <v>204</v>
      </c>
      <c r="F678" s="40">
        <v>9170</v>
      </c>
    </row>
    <row r="679" spans="1:6" x14ac:dyDescent="0.25">
      <c r="A679" s="37">
        <v>2010</v>
      </c>
      <c r="B679" s="38" t="s">
        <v>307</v>
      </c>
      <c r="C679" s="38" t="s">
        <v>203</v>
      </c>
      <c r="D679" s="42" t="s">
        <v>206</v>
      </c>
      <c r="E679" s="32" t="s">
        <v>2</v>
      </c>
      <c r="F679" s="40">
        <v>3812</v>
      </c>
    </row>
    <row r="680" spans="1:6" x14ac:dyDescent="0.25">
      <c r="A680" s="37">
        <v>2010</v>
      </c>
      <c r="B680" s="38" t="s">
        <v>307</v>
      </c>
      <c r="C680" s="38" t="s">
        <v>203</v>
      </c>
      <c r="D680" s="42" t="s">
        <v>206</v>
      </c>
      <c r="E680" s="32" t="s">
        <v>24</v>
      </c>
      <c r="F680" s="40">
        <v>13588</v>
      </c>
    </row>
    <row r="681" spans="1:6" x14ac:dyDescent="0.25">
      <c r="A681" s="37">
        <v>2010</v>
      </c>
      <c r="B681" s="38" t="s">
        <v>307</v>
      </c>
      <c r="C681" s="38" t="s">
        <v>203</v>
      </c>
      <c r="D681" s="42" t="s">
        <v>206</v>
      </c>
      <c r="E681" s="32" t="s">
        <v>204</v>
      </c>
      <c r="F681" s="40">
        <v>38500</v>
      </c>
    </row>
    <row r="682" spans="1:6" x14ac:dyDescent="0.25">
      <c r="A682" s="37">
        <v>2010</v>
      </c>
      <c r="B682" s="38" t="s">
        <v>307</v>
      </c>
      <c r="C682" s="38" t="s">
        <v>203</v>
      </c>
      <c r="D682" s="43" t="s">
        <v>175</v>
      </c>
      <c r="E682" s="32" t="s">
        <v>2</v>
      </c>
      <c r="F682" s="40">
        <v>2000</v>
      </c>
    </row>
    <row r="683" spans="1:6" x14ac:dyDescent="0.25">
      <c r="A683" s="37">
        <v>2010</v>
      </c>
      <c r="B683" s="38" t="s">
        <v>307</v>
      </c>
      <c r="C683" s="38" t="s">
        <v>203</v>
      </c>
      <c r="D683" s="43" t="s">
        <v>175</v>
      </c>
      <c r="E683" s="32" t="s">
        <v>24</v>
      </c>
      <c r="F683" s="40">
        <v>12691</v>
      </c>
    </row>
    <row r="684" spans="1:6" x14ac:dyDescent="0.25">
      <c r="A684" s="37">
        <v>2010</v>
      </c>
      <c r="B684" s="38" t="s">
        <v>307</v>
      </c>
      <c r="C684" s="38" t="s">
        <v>203</v>
      </c>
      <c r="D684" s="43" t="s">
        <v>175</v>
      </c>
      <c r="E684" s="32" t="s">
        <v>204</v>
      </c>
      <c r="F684" s="40">
        <v>8890</v>
      </c>
    </row>
    <row r="685" spans="1:6" x14ac:dyDescent="0.25">
      <c r="A685" s="37">
        <v>2010</v>
      </c>
      <c r="B685" s="38" t="s">
        <v>307</v>
      </c>
      <c r="C685" s="38" t="s">
        <v>207</v>
      </c>
      <c r="D685" s="39" t="s">
        <v>208</v>
      </c>
      <c r="E685" s="32" t="s">
        <v>2</v>
      </c>
      <c r="F685" s="40">
        <v>9739</v>
      </c>
    </row>
    <row r="686" spans="1:6" x14ac:dyDescent="0.25">
      <c r="A686" s="37">
        <v>2010</v>
      </c>
      <c r="B686" s="38" t="s">
        <v>307</v>
      </c>
      <c r="C686" s="38" t="s">
        <v>207</v>
      </c>
      <c r="D686" s="39" t="s">
        <v>208</v>
      </c>
      <c r="E686" s="32" t="s">
        <v>24</v>
      </c>
      <c r="F686" s="40">
        <v>5035</v>
      </c>
    </row>
    <row r="687" spans="1:6" x14ac:dyDescent="0.25">
      <c r="A687" s="37">
        <v>2010</v>
      </c>
      <c r="B687" s="38" t="s">
        <v>307</v>
      </c>
      <c r="C687" s="38" t="s">
        <v>207</v>
      </c>
      <c r="D687" s="39" t="s">
        <v>208</v>
      </c>
      <c r="E687" s="32" t="s">
        <v>204</v>
      </c>
      <c r="F687" s="40">
        <v>309797</v>
      </c>
    </row>
    <row r="688" spans="1:6" x14ac:dyDescent="0.25">
      <c r="A688" s="37">
        <v>2010</v>
      </c>
      <c r="B688" s="38" t="s">
        <v>307</v>
      </c>
      <c r="C688" s="38" t="s">
        <v>207</v>
      </c>
      <c r="D688" s="43" t="s">
        <v>209</v>
      </c>
      <c r="E688" s="32" t="s">
        <v>2</v>
      </c>
      <c r="F688" s="40">
        <v>0</v>
      </c>
    </row>
    <row r="689" spans="1:6" x14ac:dyDescent="0.25">
      <c r="A689" s="37">
        <v>2010</v>
      </c>
      <c r="B689" s="38" t="s">
        <v>307</v>
      </c>
      <c r="C689" s="38" t="s">
        <v>207</v>
      </c>
      <c r="D689" s="43" t="s">
        <v>209</v>
      </c>
      <c r="E689" s="32" t="s">
        <v>24</v>
      </c>
      <c r="F689" s="40">
        <v>6924</v>
      </c>
    </row>
    <row r="690" spans="1:6" x14ac:dyDescent="0.25">
      <c r="A690" s="37">
        <v>2010</v>
      </c>
      <c r="B690" s="38" t="s">
        <v>307</v>
      </c>
      <c r="C690" s="38" t="s">
        <v>207</v>
      </c>
      <c r="D690" s="43" t="s">
        <v>209</v>
      </c>
      <c r="E690" s="32" t="s">
        <v>204</v>
      </c>
      <c r="F690" s="40">
        <v>62652</v>
      </c>
    </row>
    <row r="691" spans="1:6" x14ac:dyDescent="0.25">
      <c r="A691" s="37">
        <v>2010</v>
      </c>
      <c r="B691" s="38" t="s">
        <v>307</v>
      </c>
      <c r="C691" s="38" t="s">
        <v>207</v>
      </c>
      <c r="D691" s="44" t="s">
        <v>210</v>
      </c>
      <c r="E691" s="32" t="s">
        <v>2</v>
      </c>
      <c r="F691" s="40">
        <v>1850</v>
      </c>
    </row>
    <row r="692" spans="1:6" x14ac:dyDescent="0.25">
      <c r="A692" s="37">
        <v>2010</v>
      </c>
      <c r="B692" s="38" t="s">
        <v>307</v>
      </c>
      <c r="C692" s="38" t="s">
        <v>207</v>
      </c>
      <c r="D692" s="44" t="s">
        <v>210</v>
      </c>
      <c r="E692" s="32" t="s">
        <v>24</v>
      </c>
      <c r="F692" s="40">
        <v>14748</v>
      </c>
    </row>
    <row r="693" spans="1:6" x14ac:dyDescent="0.25">
      <c r="A693" s="45">
        <v>2010</v>
      </c>
      <c r="B693" s="46" t="s">
        <v>307</v>
      </c>
      <c r="C693" s="46" t="s">
        <v>207</v>
      </c>
      <c r="D693" s="47" t="s">
        <v>210</v>
      </c>
      <c r="E693" s="33" t="s">
        <v>204</v>
      </c>
      <c r="F693" s="48">
        <v>47365</v>
      </c>
    </row>
    <row r="694" spans="1:6" x14ac:dyDescent="0.25">
      <c r="A694" s="37">
        <v>2010</v>
      </c>
      <c r="B694" s="38" t="s">
        <v>318</v>
      </c>
      <c r="C694" s="38" t="s">
        <v>203</v>
      </c>
      <c r="D694" s="39" t="s">
        <v>174</v>
      </c>
      <c r="E694" s="32" t="s">
        <v>2</v>
      </c>
      <c r="F694" s="40">
        <v>30063</v>
      </c>
    </row>
    <row r="695" spans="1:6" x14ac:dyDescent="0.25">
      <c r="A695" s="37">
        <v>2010</v>
      </c>
      <c r="B695" s="38" t="s">
        <v>318</v>
      </c>
      <c r="C695" s="38" t="s">
        <v>203</v>
      </c>
      <c r="D695" s="39" t="s">
        <v>174</v>
      </c>
      <c r="E695" s="32" t="s">
        <v>24</v>
      </c>
      <c r="F695" s="40">
        <v>92998</v>
      </c>
    </row>
    <row r="696" spans="1:6" x14ac:dyDescent="0.25">
      <c r="A696" s="37">
        <v>2010</v>
      </c>
      <c r="B696" s="38" t="s">
        <v>318</v>
      </c>
      <c r="C696" s="38" t="s">
        <v>203</v>
      </c>
      <c r="D696" s="39" t="s">
        <v>174</v>
      </c>
      <c r="E696" s="32" t="s">
        <v>204</v>
      </c>
      <c r="F696" s="40">
        <v>1600</v>
      </c>
    </row>
    <row r="697" spans="1:6" x14ac:dyDescent="0.25">
      <c r="A697" s="37">
        <v>2010</v>
      </c>
      <c r="B697" s="38" t="s">
        <v>318</v>
      </c>
      <c r="C697" s="38" t="s">
        <v>203</v>
      </c>
      <c r="D697" s="41" t="s">
        <v>205</v>
      </c>
      <c r="E697" s="32" t="s">
        <v>2</v>
      </c>
      <c r="F697" s="40">
        <v>2940</v>
      </c>
    </row>
    <row r="698" spans="1:6" x14ac:dyDescent="0.25">
      <c r="A698" s="37">
        <v>2010</v>
      </c>
      <c r="B698" s="38" t="s">
        <v>318</v>
      </c>
      <c r="C698" s="38" t="s">
        <v>203</v>
      </c>
      <c r="D698" s="41" t="s">
        <v>205</v>
      </c>
      <c r="E698" s="32" t="s">
        <v>24</v>
      </c>
      <c r="F698" s="40">
        <v>89730</v>
      </c>
    </row>
    <row r="699" spans="1:6" x14ac:dyDescent="0.25">
      <c r="A699" s="37">
        <v>2010</v>
      </c>
      <c r="B699" s="38" t="s">
        <v>318</v>
      </c>
      <c r="C699" s="38" t="s">
        <v>203</v>
      </c>
      <c r="D699" s="41" t="s">
        <v>205</v>
      </c>
      <c r="E699" s="32" t="s">
        <v>204</v>
      </c>
      <c r="F699" s="40">
        <v>9170</v>
      </c>
    </row>
    <row r="700" spans="1:6" x14ac:dyDescent="0.25">
      <c r="A700" s="37">
        <v>2010</v>
      </c>
      <c r="B700" s="38" t="s">
        <v>318</v>
      </c>
      <c r="C700" s="38" t="s">
        <v>203</v>
      </c>
      <c r="D700" s="42" t="s">
        <v>206</v>
      </c>
      <c r="E700" s="32" t="s">
        <v>2</v>
      </c>
      <c r="F700" s="40">
        <v>10312</v>
      </c>
    </row>
    <row r="701" spans="1:6" x14ac:dyDescent="0.25">
      <c r="A701" s="37">
        <v>2010</v>
      </c>
      <c r="B701" s="38" t="s">
        <v>318</v>
      </c>
      <c r="C701" s="38" t="s">
        <v>203</v>
      </c>
      <c r="D701" s="42" t="s">
        <v>206</v>
      </c>
      <c r="E701" s="32" t="s">
        <v>24</v>
      </c>
      <c r="F701" s="40">
        <v>14279</v>
      </c>
    </row>
    <row r="702" spans="1:6" x14ac:dyDescent="0.25">
      <c r="A702" s="37">
        <v>2010</v>
      </c>
      <c r="B702" s="38" t="s">
        <v>318</v>
      </c>
      <c r="C702" s="38" t="s">
        <v>203</v>
      </c>
      <c r="D702" s="42" t="s">
        <v>206</v>
      </c>
      <c r="E702" s="32" t="s">
        <v>204</v>
      </c>
      <c r="F702" s="40">
        <v>40238</v>
      </c>
    </row>
    <row r="703" spans="1:6" x14ac:dyDescent="0.25">
      <c r="A703" s="37">
        <v>2010</v>
      </c>
      <c r="B703" s="38" t="s">
        <v>318</v>
      </c>
      <c r="C703" s="38" t="s">
        <v>203</v>
      </c>
      <c r="D703" s="43" t="s">
        <v>175</v>
      </c>
      <c r="E703" s="32" t="s">
        <v>2</v>
      </c>
      <c r="F703" s="40">
        <v>2000</v>
      </c>
    </row>
    <row r="704" spans="1:6" x14ac:dyDescent="0.25">
      <c r="A704" s="37">
        <v>2010</v>
      </c>
      <c r="B704" s="38" t="s">
        <v>318</v>
      </c>
      <c r="C704" s="38" t="s">
        <v>203</v>
      </c>
      <c r="D704" s="43" t="s">
        <v>175</v>
      </c>
      <c r="E704" s="32" t="s">
        <v>24</v>
      </c>
      <c r="F704" s="40">
        <v>11231</v>
      </c>
    </row>
    <row r="705" spans="1:6" x14ac:dyDescent="0.25">
      <c r="A705" s="37">
        <v>2010</v>
      </c>
      <c r="B705" s="38" t="s">
        <v>318</v>
      </c>
      <c r="C705" s="38" t="s">
        <v>203</v>
      </c>
      <c r="D705" s="43" t="s">
        <v>175</v>
      </c>
      <c r="E705" s="32" t="s">
        <v>204</v>
      </c>
      <c r="F705" s="40">
        <v>12150</v>
      </c>
    </row>
    <row r="706" spans="1:6" x14ac:dyDescent="0.25">
      <c r="A706" s="37">
        <v>2010</v>
      </c>
      <c r="B706" s="38" t="s">
        <v>318</v>
      </c>
      <c r="C706" s="38" t="s">
        <v>207</v>
      </c>
      <c r="D706" s="39" t="s">
        <v>208</v>
      </c>
      <c r="E706" s="32" t="s">
        <v>2</v>
      </c>
      <c r="F706" s="40">
        <v>9252</v>
      </c>
    </row>
    <row r="707" spans="1:6" x14ac:dyDescent="0.25">
      <c r="A707" s="37">
        <v>2010</v>
      </c>
      <c r="B707" s="38" t="s">
        <v>318</v>
      </c>
      <c r="C707" s="38" t="s">
        <v>207</v>
      </c>
      <c r="D707" s="39" t="s">
        <v>208</v>
      </c>
      <c r="E707" s="32" t="s">
        <v>24</v>
      </c>
      <c r="F707" s="40">
        <v>3665</v>
      </c>
    </row>
    <row r="708" spans="1:6" x14ac:dyDescent="0.25">
      <c r="A708" s="37">
        <v>2010</v>
      </c>
      <c r="B708" s="38" t="s">
        <v>318</v>
      </c>
      <c r="C708" s="38" t="s">
        <v>207</v>
      </c>
      <c r="D708" s="39" t="s">
        <v>208</v>
      </c>
      <c r="E708" s="32" t="s">
        <v>204</v>
      </c>
      <c r="F708" s="40">
        <v>380143</v>
      </c>
    </row>
    <row r="709" spans="1:6" x14ac:dyDescent="0.25">
      <c r="A709" s="37">
        <v>2010</v>
      </c>
      <c r="B709" s="38" t="s">
        <v>318</v>
      </c>
      <c r="C709" s="38" t="s">
        <v>207</v>
      </c>
      <c r="D709" s="43" t="s">
        <v>209</v>
      </c>
      <c r="E709" s="32" t="s">
        <v>2</v>
      </c>
      <c r="F709" s="40">
        <v>0</v>
      </c>
    </row>
    <row r="710" spans="1:6" x14ac:dyDescent="0.25">
      <c r="A710" s="37">
        <v>2010</v>
      </c>
      <c r="B710" s="38" t="s">
        <v>318</v>
      </c>
      <c r="C710" s="38" t="s">
        <v>207</v>
      </c>
      <c r="D710" s="43" t="s">
        <v>209</v>
      </c>
      <c r="E710" s="32" t="s">
        <v>24</v>
      </c>
      <c r="F710" s="40">
        <v>6924</v>
      </c>
    </row>
    <row r="711" spans="1:6" x14ac:dyDescent="0.25">
      <c r="A711" s="37">
        <v>2010</v>
      </c>
      <c r="B711" s="38" t="s">
        <v>318</v>
      </c>
      <c r="C711" s="38" t="s">
        <v>207</v>
      </c>
      <c r="D711" s="43" t="s">
        <v>209</v>
      </c>
      <c r="E711" s="32" t="s">
        <v>204</v>
      </c>
      <c r="F711" s="40">
        <v>67452</v>
      </c>
    </row>
    <row r="712" spans="1:6" x14ac:dyDescent="0.25">
      <c r="A712" s="37">
        <v>2010</v>
      </c>
      <c r="B712" s="38" t="s">
        <v>318</v>
      </c>
      <c r="C712" s="38" t="s">
        <v>207</v>
      </c>
      <c r="D712" s="44" t="s">
        <v>210</v>
      </c>
      <c r="E712" s="32" t="s">
        <v>2</v>
      </c>
      <c r="F712" s="40">
        <v>1850</v>
      </c>
    </row>
    <row r="713" spans="1:6" x14ac:dyDescent="0.25">
      <c r="A713" s="37">
        <v>2010</v>
      </c>
      <c r="B713" s="38" t="s">
        <v>318</v>
      </c>
      <c r="C713" s="38" t="s">
        <v>207</v>
      </c>
      <c r="D713" s="44" t="s">
        <v>210</v>
      </c>
      <c r="E713" s="32" t="s">
        <v>24</v>
      </c>
      <c r="F713" s="40">
        <v>15560</v>
      </c>
    </row>
    <row r="714" spans="1:6" x14ac:dyDescent="0.25">
      <c r="A714" s="45">
        <v>2010</v>
      </c>
      <c r="B714" s="46" t="s">
        <v>318</v>
      </c>
      <c r="C714" s="46" t="s">
        <v>207</v>
      </c>
      <c r="D714" s="47" t="s">
        <v>210</v>
      </c>
      <c r="E714" s="33" t="s">
        <v>204</v>
      </c>
      <c r="F714" s="48">
        <v>48408</v>
      </c>
    </row>
    <row r="715" spans="1:6" x14ac:dyDescent="0.25">
      <c r="A715" s="37">
        <v>2010</v>
      </c>
      <c r="B715" s="38" t="s">
        <v>319</v>
      </c>
      <c r="C715" s="38" t="s">
        <v>203</v>
      </c>
      <c r="D715" s="39" t="s">
        <v>174</v>
      </c>
      <c r="E715" s="32" t="s">
        <v>2</v>
      </c>
      <c r="F715" s="40">
        <v>28176</v>
      </c>
    </row>
    <row r="716" spans="1:6" x14ac:dyDescent="0.25">
      <c r="A716" s="37">
        <v>2010</v>
      </c>
      <c r="B716" s="38" t="s">
        <v>319</v>
      </c>
      <c r="C716" s="38" t="s">
        <v>203</v>
      </c>
      <c r="D716" s="39" t="s">
        <v>174</v>
      </c>
      <c r="E716" s="32" t="s">
        <v>24</v>
      </c>
      <c r="F716" s="40">
        <v>91198</v>
      </c>
    </row>
    <row r="717" spans="1:6" x14ac:dyDescent="0.25">
      <c r="A717" s="37">
        <v>2010</v>
      </c>
      <c r="B717" s="38" t="s">
        <v>319</v>
      </c>
      <c r="C717" s="38" t="s">
        <v>203</v>
      </c>
      <c r="D717" s="39" t="s">
        <v>174</v>
      </c>
      <c r="E717" s="32" t="s">
        <v>204</v>
      </c>
      <c r="F717" s="40">
        <v>4350</v>
      </c>
    </row>
    <row r="718" spans="1:6" x14ac:dyDescent="0.25">
      <c r="A718" s="37">
        <v>2010</v>
      </c>
      <c r="B718" s="38" t="s">
        <v>319</v>
      </c>
      <c r="C718" s="38" t="s">
        <v>203</v>
      </c>
      <c r="D718" s="41" t="s">
        <v>205</v>
      </c>
      <c r="E718" s="32" t="s">
        <v>2</v>
      </c>
      <c r="F718" s="40">
        <v>5077</v>
      </c>
    </row>
    <row r="719" spans="1:6" x14ac:dyDescent="0.25">
      <c r="A719" s="37">
        <v>2010</v>
      </c>
      <c r="B719" s="38" t="s">
        <v>319</v>
      </c>
      <c r="C719" s="38" t="s">
        <v>203</v>
      </c>
      <c r="D719" s="41" t="s">
        <v>205</v>
      </c>
      <c r="E719" s="32" t="s">
        <v>24</v>
      </c>
      <c r="F719" s="40">
        <v>90829</v>
      </c>
    </row>
    <row r="720" spans="1:6" x14ac:dyDescent="0.25">
      <c r="A720" s="37">
        <v>2010</v>
      </c>
      <c r="B720" s="38" t="s">
        <v>319</v>
      </c>
      <c r="C720" s="38" t="s">
        <v>203</v>
      </c>
      <c r="D720" s="41" t="s">
        <v>205</v>
      </c>
      <c r="E720" s="32" t="s">
        <v>204</v>
      </c>
      <c r="F720" s="40">
        <v>11709</v>
      </c>
    </row>
    <row r="721" spans="1:6" x14ac:dyDescent="0.25">
      <c r="A721" s="37">
        <v>2010</v>
      </c>
      <c r="B721" s="38" t="s">
        <v>319</v>
      </c>
      <c r="C721" s="38" t="s">
        <v>203</v>
      </c>
      <c r="D721" s="42" t="s">
        <v>206</v>
      </c>
      <c r="E721" s="32" t="s">
        <v>2</v>
      </c>
      <c r="F721" s="40">
        <v>10312</v>
      </c>
    </row>
    <row r="722" spans="1:6" x14ac:dyDescent="0.25">
      <c r="A722" s="37">
        <v>2010</v>
      </c>
      <c r="B722" s="38" t="s">
        <v>319</v>
      </c>
      <c r="C722" s="38" t="s">
        <v>203</v>
      </c>
      <c r="D722" s="42" t="s">
        <v>206</v>
      </c>
      <c r="E722" s="32" t="s">
        <v>24</v>
      </c>
      <c r="F722" s="40">
        <v>21898</v>
      </c>
    </row>
    <row r="723" spans="1:6" x14ac:dyDescent="0.25">
      <c r="A723" s="37">
        <v>2010</v>
      </c>
      <c r="B723" s="38" t="s">
        <v>319</v>
      </c>
      <c r="C723" s="38" t="s">
        <v>203</v>
      </c>
      <c r="D723" s="42" t="s">
        <v>206</v>
      </c>
      <c r="E723" s="32" t="s">
        <v>204</v>
      </c>
      <c r="F723" s="40">
        <v>40238</v>
      </c>
    </row>
    <row r="724" spans="1:6" x14ac:dyDescent="0.25">
      <c r="A724" s="37">
        <v>2010</v>
      </c>
      <c r="B724" s="38" t="s">
        <v>319</v>
      </c>
      <c r="C724" s="38" t="s">
        <v>203</v>
      </c>
      <c r="D724" s="43" t="s">
        <v>175</v>
      </c>
      <c r="E724" s="32" t="s">
        <v>2</v>
      </c>
      <c r="F724" s="40">
        <v>2000</v>
      </c>
    </row>
    <row r="725" spans="1:6" x14ac:dyDescent="0.25">
      <c r="A725" s="37">
        <v>2010</v>
      </c>
      <c r="B725" s="38" t="s">
        <v>319</v>
      </c>
      <c r="C725" s="38" t="s">
        <v>203</v>
      </c>
      <c r="D725" s="43" t="s">
        <v>175</v>
      </c>
      <c r="E725" s="32" t="s">
        <v>24</v>
      </c>
      <c r="F725" s="40">
        <v>11231</v>
      </c>
    </row>
    <row r="726" spans="1:6" x14ac:dyDescent="0.25">
      <c r="A726" s="37">
        <v>2010</v>
      </c>
      <c r="B726" s="38" t="s">
        <v>319</v>
      </c>
      <c r="C726" s="38" t="s">
        <v>203</v>
      </c>
      <c r="D726" s="43" t="s">
        <v>175</v>
      </c>
      <c r="E726" s="32" t="s">
        <v>204</v>
      </c>
      <c r="F726" s="40">
        <v>15350</v>
      </c>
    </row>
    <row r="727" spans="1:6" x14ac:dyDescent="0.25">
      <c r="A727" s="37">
        <v>2010</v>
      </c>
      <c r="B727" s="38" t="s">
        <v>319</v>
      </c>
      <c r="C727" s="38" t="s">
        <v>207</v>
      </c>
      <c r="D727" s="39" t="s">
        <v>208</v>
      </c>
      <c r="E727" s="32" t="s">
        <v>2</v>
      </c>
      <c r="F727" s="40">
        <v>13752</v>
      </c>
    </row>
    <row r="728" spans="1:6" x14ac:dyDescent="0.25">
      <c r="A728" s="37">
        <v>2010</v>
      </c>
      <c r="B728" s="38" t="s">
        <v>319</v>
      </c>
      <c r="C728" s="38" t="s">
        <v>207</v>
      </c>
      <c r="D728" s="39" t="s">
        <v>208</v>
      </c>
      <c r="E728" s="32" t="s">
        <v>24</v>
      </c>
      <c r="F728" s="40">
        <v>5902</v>
      </c>
    </row>
    <row r="729" spans="1:6" x14ac:dyDescent="0.25">
      <c r="A729" s="37">
        <v>2010</v>
      </c>
      <c r="B729" s="38" t="s">
        <v>319</v>
      </c>
      <c r="C729" s="38" t="s">
        <v>207</v>
      </c>
      <c r="D729" s="39" t="s">
        <v>208</v>
      </c>
      <c r="E729" s="32" t="s">
        <v>204</v>
      </c>
      <c r="F729" s="40">
        <v>379108</v>
      </c>
    </row>
    <row r="730" spans="1:6" x14ac:dyDescent="0.25">
      <c r="A730" s="37">
        <v>2010</v>
      </c>
      <c r="B730" s="38" t="s">
        <v>319</v>
      </c>
      <c r="C730" s="38" t="s">
        <v>207</v>
      </c>
      <c r="D730" s="43" t="s">
        <v>209</v>
      </c>
      <c r="E730" s="32" t="s">
        <v>2</v>
      </c>
      <c r="F730" s="40">
        <v>0</v>
      </c>
    </row>
    <row r="731" spans="1:6" x14ac:dyDescent="0.25">
      <c r="A731" s="37">
        <v>2010</v>
      </c>
      <c r="B731" s="38" t="s">
        <v>319</v>
      </c>
      <c r="C731" s="38" t="s">
        <v>207</v>
      </c>
      <c r="D731" s="43" t="s">
        <v>209</v>
      </c>
      <c r="E731" s="32" t="s">
        <v>24</v>
      </c>
      <c r="F731" s="40">
        <v>6924</v>
      </c>
    </row>
    <row r="732" spans="1:6" x14ac:dyDescent="0.25">
      <c r="A732" s="37">
        <v>2010</v>
      </c>
      <c r="B732" s="38" t="s">
        <v>319</v>
      </c>
      <c r="C732" s="38" t="s">
        <v>207</v>
      </c>
      <c r="D732" s="43" t="s">
        <v>209</v>
      </c>
      <c r="E732" s="32" t="s">
        <v>204</v>
      </c>
      <c r="F732" s="40">
        <v>64940</v>
      </c>
    </row>
    <row r="733" spans="1:6" x14ac:dyDescent="0.25">
      <c r="A733" s="37">
        <v>2010</v>
      </c>
      <c r="B733" s="38" t="s">
        <v>319</v>
      </c>
      <c r="C733" s="38" t="s">
        <v>207</v>
      </c>
      <c r="D733" s="44" t="s">
        <v>210</v>
      </c>
      <c r="E733" s="32" t="s">
        <v>2</v>
      </c>
      <c r="F733" s="40">
        <v>5980</v>
      </c>
    </row>
    <row r="734" spans="1:6" x14ac:dyDescent="0.25">
      <c r="A734" s="37">
        <v>2010</v>
      </c>
      <c r="B734" s="38" t="s">
        <v>319</v>
      </c>
      <c r="C734" s="38" t="s">
        <v>207</v>
      </c>
      <c r="D734" s="44" t="s">
        <v>210</v>
      </c>
      <c r="E734" s="32" t="s">
        <v>24</v>
      </c>
      <c r="F734" s="40">
        <v>15999</v>
      </c>
    </row>
    <row r="735" spans="1:6" x14ac:dyDescent="0.25">
      <c r="A735" s="45">
        <v>2010</v>
      </c>
      <c r="B735" s="46" t="s">
        <v>319</v>
      </c>
      <c r="C735" s="46" t="s">
        <v>207</v>
      </c>
      <c r="D735" s="47" t="s">
        <v>210</v>
      </c>
      <c r="E735" s="33" t="s">
        <v>204</v>
      </c>
      <c r="F735" s="48">
        <v>46768</v>
      </c>
    </row>
    <row r="736" spans="1:6" x14ac:dyDescent="0.25">
      <c r="A736" s="37">
        <v>2010</v>
      </c>
      <c r="B736" s="38" t="s">
        <v>320</v>
      </c>
      <c r="C736" s="38" t="s">
        <v>203</v>
      </c>
      <c r="D736" s="39" t="s">
        <v>174</v>
      </c>
      <c r="E736" s="32" t="s">
        <v>2</v>
      </c>
      <c r="F736" s="34">
        <v>25988</v>
      </c>
    </row>
    <row r="737" spans="1:6" x14ac:dyDescent="0.25">
      <c r="A737" s="37">
        <v>2010</v>
      </c>
      <c r="B737" s="38" t="s">
        <v>320</v>
      </c>
      <c r="C737" s="38" t="s">
        <v>203</v>
      </c>
      <c r="D737" s="39" t="s">
        <v>174</v>
      </c>
      <c r="E737" s="32" t="s">
        <v>24</v>
      </c>
      <c r="F737" s="49">
        <v>90793</v>
      </c>
    </row>
    <row r="738" spans="1:6" x14ac:dyDescent="0.25">
      <c r="A738" s="37">
        <v>2010</v>
      </c>
      <c r="B738" s="38" t="s">
        <v>320</v>
      </c>
      <c r="C738" s="38" t="s">
        <v>203</v>
      </c>
      <c r="D738" s="39" t="s">
        <v>174</v>
      </c>
      <c r="E738" s="32" t="s">
        <v>204</v>
      </c>
      <c r="F738" s="50">
        <v>1600</v>
      </c>
    </row>
    <row r="739" spans="1:6" x14ac:dyDescent="0.25">
      <c r="A739" s="37">
        <v>2010</v>
      </c>
      <c r="B739" s="38" t="s">
        <v>320</v>
      </c>
      <c r="C739" s="38" t="s">
        <v>203</v>
      </c>
      <c r="D739" s="41" t="s">
        <v>205</v>
      </c>
      <c r="E739" s="32" t="s">
        <v>2</v>
      </c>
      <c r="F739" s="50">
        <v>5077</v>
      </c>
    </row>
    <row r="740" spans="1:6" x14ac:dyDescent="0.25">
      <c r="A740" s="37">
        <v>2010</v>
      </c>
      <c r="B740" s="38" t="s">
        <v>320</v>
      </c>
      <c r="C740" s="38" t="s">
        <v>203</v>
      </c>
      <c r="D740" s="41" t="s">
        <v>205</v>
      </c>
      <c r="E740" s="32" t="s">
        <v>24</v>
      </c>
      <c r="F740" s="50">
        <v>96079</v>
      </c>
    </row>
    <row r="741" spans="1:6" x14ac:dyDescent="0.25">
      <c r="A741" s="37">
        <v>2010</v>
      </c>
      <c r="B741" s="38" t="s">
        <v>320</v>
      </c>
      <c r="C741" s="38" t="s">
        <v>203</v>
      </c>
      <c r="D741" s="41" t="s">
        <v>205</v>
      </c>
      <c r="E741" s="32" t="s">
        <v>204</v>
      </c>
      <c r="F741" s="50">
        <v>8539</v>
      </c>
    </row>
    <row r="742" spans="1:6" x14ac:dyDescent="0.25">
      <c r="A742" s="37">
        <v>2010</v>
      </c>
      <c r="B742" s="38" t="s">
        <v>320</v>
      </c>
      <c r="C742" s="38" t="s">
        <v>203</v>
      </c>
      <c r="D742" s="42" t="s">
        <v>206</v>
      </c>
      <c r="E742" s="32" t="s">
        <v>2</v>
      </c>
      <c r="F742" s="50">
        <v>10728</v>
      </c>
    </row>
    <row r="743" spans="1:6" x14ac:dyDescent="0.25">
      <c r="A743" s="37">
        <v>2010</v>
      </c>
      <c r="B743" s="38" t="s">
        <v>320</v>
      </c>
      <c r="C743" s="38" t="s">
        <v>203</v>
      </c>
      <c r="D743" s="42" t="s">
        <v>206</v>
      </c>
      <c r="E743" s="32" t="s">
        <v>24</v>
      </c>
      <c r="F743" s="50">
        <v>21206</v>
      </c>
    </row>
    <row r="744" spans="1:6" x14ac:dyDescent="0.25">
      <c r="A744" s="37">
        <v>2010</v>
      </c>
      <c r="B744" s="38" t="s">
        <v>320</v>
      </c>
      <c r="C744" s="38" t="s">
        <v>203</v>
      </c>
      <c r="D744" s="42" t="s">
        <v>206</v>
      </c>
      <c r="E744" s="32" t="s">
        <v>204</v>
      </c>
      <c r="F744" s="50">
        <v>40238</v>
      </c>
    </row>
    <row r="745" spans="1:6" x14ac:dyDescent="0.25">
      <c r="A745" s="37">
        <v>2010</v>
      </c>
      <c r="B745" s="38" t="s">
        <v>320</v>
      </c>
      <c r="C745" s="38" t="s">
        <v>203</v>
      </c>
      <c r="D745" s="43" t="s">
        <v>175</v>
      </c>
      <c r="E745" s="32" t="s">
        <v>2</v>
      </c>
      <c r="F745" s="50">
        <v>2000</v>
      </c>
    </row>
    <row r="746" spans="1:6" x14ac:dyDescent="0.25">
      <c r="A746" s="37">
        <v>2010</v>
      </c>
      <c r="B746" s="38" t="s">
        <v>320</v>
      </c>
      <c r="C746" s="38" t="s">
        <v>203</v>
      </c>
      <c r="D746" s="43" t="s">
        <v>175</v>
      </c>
      <c r="E746" s="32" t="s">
        <v>24</v>
      </c>
      <c r="F746" s="50">
        <v>14156</v>
      </c>
    </row>
    <row r="747" spans="1:6" x14ac:dyDescent="0.25">
      <c r="A747" s="37">
        <v>2010</v>
      </c>
      <c r="B747" s="38" t="s">
        <v>320</v>
      </c>
      <c r="C747" s="38" t="s">
        <v>203</v>
      </c>
      <c r="D747" s="43" t="s">
        <v>175</v>
      </c>
      <c r="E747" s="32" t="s">
        <v>204</v>
      </c>
      <c r="F747" s="50">
        <v>10810</v>
      </c>
    </row>
    <row r="748" spans="1:6" x14ac:dyDescent="0.25">
      <c r="A748" s="37">
        <v>2010</v>
      </c>
      <c r="B748" s="38" t="s">
        <v>320</v>
      </c>
      <c r="C748" s="38" t="s">
        <v>207</v>
      </c>
      <c r="D748" s="39" t="s">
        <v>208</v>
      </c>
      <c r="E748" s="32" t="s">
        <v>2</v>
      </c>
      <c r="F748" s="50">
        <v>13752</v>
      </c>
    </row>
    <row r="749" spans="1:6" x14ac:dyDescent="0.25">
      <c r="A749" s="37">
        <v>2010</v>
      </c>
      <c r="B749" s="38" t="s">
        <v>320</v>
      </c>
      <c r="C749" s="38" t="s">
        <v>207</v>
      </c>
      <c r="D749" s="39" t="s">
        <v>208</v>
      </c>
      <c r="E749" s="32" t="s">
        <v>24</v>
      </c>
      <c r="F749" s="50">
        <v>10853</v>
      </c>
    </row>
    <row r="750" spans="1:6" x14ac:dyDescent="0.25">
      <c r="A750" s="37">
        <v>2010</v>
      </c>
      <c r="B750" s="38" t="s">
        <v>320</v>
      </c>
      <c r="C750" s="38" t="s">
        <v>207</v>
      </c>
      <c r="D750" s="39" t="s">
        <v>208</v>
      </c>
      <c r="E750" s="32" t="s">
        <v>204</v>
      </c>
      <c r="F750" s="50">
        <v>381662</v>
      </c>
    </row>
    <row r="751" spans="1:6" x14ac:dyDescent="0.25">
      <c r="A751" s="37">
        <v>2010</v>
      </c>
      <c r="B751" s="38" t="s">
        <v>320</v>
      </c>
      <c r="C751" s="38" t="s">
        <v>207</v>
      </c>
      <c r="D751" s="43" t="s">
        <v>209</v>
      </c>
      <c r="E751" s="32" t="s">
        <v>2</v>
      </c>
      <c r="F751" s="50">
        <v>0</v>
      </c>
    </row>
    <row r="752" spans="1:6" x14ac:dyDescent="0.25">
      <c r="A752" s="37">
        <v>2010</v>
      </c>
      <c r="B752" s="38" t="s">
        <v>320</v>
      </c>
      <c r="C752" s="38" t="s">
        <v>207</v>
      </c>
      <c r="D752" s="43" t="s">
        <v>209</v>
      </c>
      <c r="E752" s="32" t="s">
        <v>24</v>
      </c>
      <c r="F752" s="50">
        <v>6924</v>
      </c>
    </row>
    <row r="753" spans="1:6" x14ac:dyDescent="0.25">
      <c r="A753" s="37">
        <v>2010</v>
      </c>
      <c r="B753" s="38" t="s">
        <v>320</v>
      </c>
      <c r="C753" s="38" t="s">
        <v>207</v>
      </c>
      <c r="D753" s="43" t="s">
        <v>209</v>
      </c>
      <c r="E753" s="32" t="s">
        <v>204</v>
      </c>
      <c r="F753" s="50">
        <v>53700</v>
      </c>
    </row>
    <row r="754" spans="1:6" x14ac:dyDescent="0.25">
      <c r="A754" s="37">
        <v>2010</v>
      </c>
      <c r="B754" s="38" t="s">
        <v>320</v>
      </c>
      <c r="C754" s="38" t="s">
        <v>207</v>
      </c>
      <c r="D754" s="44" t="s">
        <v>210</v>
      </c>
      <c r="E754" s="32" t="s">
        <v>2</v>
      </c>
      <c r="F754" s="50">
        <v>5980</v>
      </c>
    </row>
    <row r="755" spans="1:6" x14ac:dyDescent="0.25">
      <c r="A755" s="37">
        <v>2010</v>
      </c>
      <c r="B755" s="38" t="s">
        <v>320</v>
      </c>
      <c r="C755" s="38" t="s">
        <v>207</v>
      </c>
      <c r="D755" s="44" t="s">
        <v>210</v>
      </c>
      <c r="E755" s="32" t="s">
        <v>24</v>
      </c>
      <c r="F755" s="50">
        <v>17955</v>
      </c>
    </row>
    <row r="756" spans="1:6" x14ac:dyDescent="0.25">
      <c r="A756" s="45">
        <v>2010</v>
      </c>
      <c r="B756" s="46" t="s">
        <v>320</v>
      </c>
      <c r="C756" s="46" t="s">
        <v>207</v>
      </c>
      <c r="D756" s="47" t="s">
        <v>210</v>
      </c>
      <c r="E756" s="33" t="s">
        <v>204</v>
      </c>
      <c r="F756" s="51">
        <v>45725</v>
      </c>
    </row>
    <row r="757" spans="1:6" x14ac:dyDescent="0.25">
      <c r="A757" s="37">
        <v>2010</v>
      </c>
      <c r="B757" s="38" t="s">
        <v>316</v>
      </c>
      <c r="C757" s="38" t="s">
        <v>203</v>
      </c>
      <c r="D757" s="39" t="s">
        <v>174</v>
      </c>
      <c r="E757" s="32" t="s">
        <v>2</v>
      </c>
      <c r="F757" s="60">
        <v>28851</v>
      </c>
    </row>
    <row r="758" spans="1:6" x14ac:dyDescent="0.25">
      <c r="A758" s="37">
        <v>2010</v>
      </c>
      <c r="B758" s="38" t="s">
        <v>316</v>
      </c>
      <c r="C758" s="38" t="s">
        <v>203</v>
      </c>
      <c r="D758" s="39" t="s">
        <v>174</v>
      </c>
      <c r="E758" s="32" t="s">
        <v>24</v>
      </c>
      <c r="F758" s="50">
        <v>91123</v>
      </c>
    </row>
    <row r="759" spans="1:6" x14ac:dyDescent="0.25">
      <c r="A759" s="37">
        <v>2010</v>
      </c>
      <c r="B759" s="38" t="s">
        <v>316</v>
      </c>
      <c r="C759" s="38" t="s">
        <v>203</v>
      </c>
      <c r="D759" s="39" t="s">
        <v>174</v>
      </c>
      <c r="E759" s="32" t="s">
        <v>204</v>
      </c>
      <c r="F759" s="50">
        <v>1600</v>
      </c>
    </row>
    <row r="760" spans="1:6" x14ac:dyDescent="0.25">
      <c r="A760" s="37">
        <v>2010</v>
      </c>
      <c r="B760" s="38" t="s">
        <v>316</v>
      </c>
      <c r="C760" s="38" t="s">
        <v>203</v>
      </c>
      <c r="D760" s="41" t="s">
        <v>205</v>
      </c>
      <c r="E760" s="32" t="s">
        <v>2</v>
      </c>
      <c r="F760" s="50">
        <v>4540</v>
      </c>
    </row>
    <row r="761" spans="1:6" x14ac:dyDescent="0.25">
      <c r="A761" s="37">
        <v>2010</v>
      </c>
      <c r="B761" s="38" t="s">
        <v>316</v>
      </c>
      <c r="C761" s="38" t="s">
        <v>203</v>
      </c>
      <c r="D761" s="41" t="s">
        <v>205</v>
      </c>
      <c r="E761" s="32" t="s">
        <v>24</v>
      </c>
      <c r="F761" s="50">
        <v>90565</v>
      </c>
    </row>
    <row r="762" spans="1:6" x14ac:dyDescent="0.25">
      <c r="A762" s="37">
        <v>2010</v>
      </c>
      <c r="B762" s="38" t="s">
        <v>316</v>
      </c>
      <c r="C762" s="38" t="s">
        <v>203</v>
      </c>
      <c r="D762" s="41" t="s">
        <v>205</v>
      </c>
      <c r="E762" s="32" t="s">
        <v>204</v>
      </c>
      <c r="F762" s="50">
        <v>21242</v>
      </c>
    </row>
    <row r="763" spans="1:6" x14ac:dyDescent="0.25">
      <c r="A763" s="37">
        <v>2010</v>
      </c>
      <c r="B763" s="38" t="s">
        <v>316</v>
      </c>
      <c r="C763" s="38" t="s">
        <v>203</v>
      </c>
      <c r="D763" s="42" t="s">
        <v>206</v>
      </c>
      <c r="E763" s="32" t="s">
        <v>2</v>
      </c>
      <c r="F763" s="50">
        <v>10728</v>
      </c>
    </row>
    <row r="764" spans="1:6" x14ac:dyDescent="0.25">
      <c r="A764" s="37">
        <v>2010</v>
      </c>
      <c r="B764" s="38" t="s">
        <v>316</v>
      </c>
      <c r="C764" s="38" t="s">
        <v>203</v>
      </c>
      <c r="D764" s="42" t="s">
        <v>206</v>
      </c>
      <c r="E764" s="32" t="s">
        <v>24</v>
      </c>
      <c r="F764" s="50">
        <v>21206</v>
      </c>
    </row>
    <row r="765" spans="1:6" x14ac:dyDescent="0.25">
      <c r="A765" s="37">
        <v>2010</v>
      </c>
      <c r="B765" s="38" t="s">
        <v>316</v>
      </c>
      <c r="C765" s="38" t="s">
        <v>203</v>
      </c>
      <c r="D765" s="42" t="s">
        <v>206</v>
      </c>
      <c r="E765" s="32" t="s">
        <v>204</v>
      </c>
      <c r="F765" s="50">
        <v>23698</v>
      </c>
    </row>
    <row r="766" spans="1:6" x14ac:dyDescent="0.25">
      <c r="A766" s="37">
        <v>2010</v>
      </c>
      <c r="B766" s="38" t="s">
        <v>316</v>
      </c>
      <c r="C766" s="38" t="s">
        <v>203</v>
      </c>
      <c r="D766" s="43" t="s">
        <v>175</v>
      </c>
      <c r="E766" s="32" t="s">
        <v>2</v>
      </c>
      <c r="F766" s="50">
        <v>4400</v>
      </c>
    </row>
    <row r="767" spans="1:6" x14ac:dyDescent="0.25">
      <c r="A767" s="37">
        <v>2010</v>
      </c>
      <c r="B767" s="38" t="s">
        <v>316</v>
      </c>
      <c r="C767" s="38" t="s">
        <v>203</v>
      </c>
      <c r="D767" s="43" t="s">
        <v>175</v>
      </c>
      <c r="E767" s="32" t="s">
        <v>24</v>
      </c>
      <c r="F767" s="50">
        <v>17416</v>
      </c>
    </row>
    <row r="768" spans="1:6" x14ac:dyDescent="0.25">
      <c r="A768" s="37">
        <v>2010</v>
      </c>
      <c r="B768" s="38" t="s">
        <v>316</v>
      </c>
      <c r="C768" s="38" t="s">
        <v>203</v>
      </c>
      <c r="D768" s="43" t="s">
        <v>175</v>
      </c>
      <c r="E768" s="32" t="s">
        <v>204</v>
      </c>
      <c r="F768" s="50">
        <v>9160</v>
      </c>
    </row>
    <row r="769" spans="1:6" x14ac:dyDescent="0.25">
      <c r="A769" s="37">
        <v>2010</v>
      </c>
      <c r="B769" s="38" t="s">
        <v>316</v>
      </c>
      <c r="C769" s="38" t="s">
        <v>207</v>
      </c>
      <c r="D769" s="39" t="s">
        <v>208</v>
      </c>
      <c r="E769" s="32" t="s">
        <v>2</v>
      </c>
      <c r="F769" s="50">
        <v>13752</v>
      </c>
    </row>
    <row r="770" spans="1:6" x14ac:dyDescent="0.25">
      <c r="A770" s="37">
        <v>2010</v>
      </c>
      <c r="B770" s="38" t="s">
        <v>316</v>
      </c>
      <c r="C770" s="38" t="s">
        <v>207</v>
      </c>
      <c r="D770" s="39" t="s">
        <v>208</v>
      </c>
      <c r="E770" s="32" t="s">
        <v>24</v>
      </c>
      <c r="F770" s="50">
        <v>19618</v>
      </c>
    </row>
    <row r="771" spans="1:6" x14ac:dyDescent="0.25">
      <c r="A771" s="37">
        <v>2010</v>
      </c>
      <c r="B771" s="38" t="s">
        <v>316</v>
      </c>
      <c r="C771" s="38" t="s">
        <v>207</v>
      </c>
      <c r="D771" s="39" t="s">
        <v>208</v>
      </c>
      <c r="E771" s="32" t="s">
        <v>204</v>
      </c>
      <c r="F771" s="50">
        <v>374049</v>
      </c>
    </row>
    <row r="772" spans="1:6" x14ac:dyDescent="0.25">
      <c r="A772" s="37">
        <v>2010</v>
      </c>
      <c r="B772" s="38" t="s">
        <v>316</v>
      </c>
      <c r="C772" s="38" t="s">
        <v>207</v>
      </c>
      <c r="D772" s="43" t="s">
        <v>209</v>
      </c>
      <c r="E772" s="32" t="s">
        <v>2</v>
      </c>
      <c r="F772" s="50">
        <v>0</v>
      </c>
    </row>
    <row r="773" spans="1:6" x14ac:dyDescent="0.25">
      <c r="A773" s="37">
        <v>2010</v>
      </c>
      <c r="B773" s="38" t="s">
        <v>316</v>
      </c>
      <c r="C773" s="38" t="s">
        <v>207</v>
      </c>
      <c r="D773" s="43" t="s">
        <v>209</v>
      </c>
      <c r="E773" s="32" t="s">
        <v>24</v>
      </c>
      <c r="F773" s="50">
        <v>6924</v>
      </c>
    </row>
    <row r="774" spans="1:6" x14ac:dyDescent="0.25">
      <c r="A774" s="37">
        <v>2010</v>
      </c>
      <c r="B774" s="38" t="s">
        <v>316</v>
      </c>
      <c r="C774" s="38" t="s">
        <v>207</v>
      </c>
      <c r="D774" s="43" t="s">
        <v>209</v>
      </c>
      <c r="E774" s="32" t="s">
        <v>204</v>
      </c>
      <c r="F774" s="50">
        <v>52200</v>
      </c>
    </row>
    <row r="775" spans="1:6" x14ac:dyDescent="0.25">
      <c r="A775" s="37">
        <v>2010</v>
      </c>
      <c r="B775" s="38" t="s">
        <v>316</v>
      </c>
      <c r="C775" s="38" t="s">
        <v>207</v>
      </c>
      <c r="D775" s="44" t="s">
        <v>210</v>
      </c>
      <c r="E775" s="32" t="s">
        <v>2</v>
      </c>
      <c r="F775" s="50">
        <v>11180</v>
      </c>
    </row>
    <row r="776" spans="1:6" x14ac:dyDescent="0.25">
      <c r="A776" s="37">
        <v>2010</v>
      </c>
      <c r="B776" s="38" t="s">
        <v>316</v>
      </c>
      <c r="C776" s="38" t="s">
        <v>207</v>
      </c>
      <c r="D776" s="44" t="s">
        <v>210</v>
      </c>
      <c r="E776" s="32" t="s">
        <v>24</v>
      </c>
      <c r="F776" s="50">
        <v>15755</v>
      </c>
    </row>
    <row r="777" spans="1:6" x14ac:dyDescent="0.25">
      <c r="A777" s="45">
        <v>2010</v>
      </c>
      <c r="B777" s="46" t="s">
        <v>316</v>
      </c>
      <c r="C777" s="46" t="s">
        <v>207</v>
      </c>
      <c r="D777" s="47" t="s">
        <v>210</v>
      </c>
      <c r="E777" s="33" t="s">
        <v>204</v>
      </c>
      <c r="F777" s="51">
        <v>45725</v>
      </c>
    </row>
    <row r="778" spans="1:6" x14ac:dyDescent="0.25">
      <c r="A778" s="37">
        <v>2011</v>
      </c>
      <c r="B778" s="38" t="s">
        <v>317</v>
      </c>
      <c r="C778" s="38" t="s">
        <v>203</v>
      </c>
      <c r="D778" s="39" t="s">
        <v>174</v>
      </c>
      <c r="E778" s="32" t="s">
        <v>2</v>
      </c>
      <c r="F778" s="60">
        <v>26464</v>
      </c>
    </row>
    <row r="779" spans="1:6" x14ac:dyDescent="0.25">
      <c r="A779" s="37">
        <v>2011</v>
      </c>
      <c r="B779" s="38" t="s">
        <v>317</v>
      </c>
      <c r="C779" s="38" t="s">
        <v>203</v>
      </c>
      <c r="D779" s="39" t="s">
        <v>174</v>
      </c>
      <c r="E779" s="32" t="s">
        <v>24</v>
      </c>
      <c r="F779" s="50">
        <v>91123</v>
      </c>
    </row>
    <row r="780" spans="1:6" x14ac:dyDescent="0.25">
      <c r="A780" s="37">
        <v>2011</v>
      </c>
      <c r="B780" s="38" t="s">
        <v>317</v>
      </c>
      <c r="C780" s="38" t="s">
        <v>203</v>
      </c>
      <c r="D780" s="39" t="s">
        <v>174</v>
      </c>
      <c r="E780" s="32" t="s">
        <v>204</v>
      </c>
      <c r="F780" s="50">
        <v>1600</v>
      </c>
    </row>
    <row r="781" spans="1:6" x14ac:dyDescent="0.25">
      <c r="A781" s="37">
        <v>2011</v>
      </c>
      <c r="B781" s="38" t="s">
        <v>317</v>
      </c>
      <c r="C781" s="38" t="s">
        <v>203</v>
      </c>
      <c r="D781" s="41" t="s">
        <v>205</v>
      </c>
      <c r="E781" s="32" t="s">
        <v>2</v>
      </c>
      <c r="F781" s="50">
        <v>4540</v>
      </c>
    </row>
    <row r="782" spans="1:6" x14ac:dyDescent="0.25">
      <c r="A782" s="37">
        <v>2011</v>
      </c>
      <c r="B782" s="38" t="s">
        <v>317</v>
      </c>
      <c r="C782" s="38" t="s">
        <v>203</v>
      </c>
      <c r="D782" s="41" t="s">
        <v>205</v>
      </c>
      <c r="E782" s="32" t="s">
        <v>24</v>
      </c>
      <c r="F782" s="50">
        <v>90640</v>
      </c>
    </row>
    <row r="783" spans="1:6" x14ac:dyDescent="0.25">
      <c r="A783" s="37">
        <v>2011</v>
      </c>
      <c r="B783" s="38" t="s">
        <v>317</v>
      </c>
      <c r="C783" s="38" t="s">
        <v>203</v>
      </c>
      <c r="D783" s="41" t="s">
        <v>205</v>
      </c>
      <c r="E783" s="32" t="s">
        <v>204</v>
      </c>
      <c r="F783" s="50">
        <v>21242</v>
      </c>
    </row>
    <row r="784" spans="1:6" x14ac:dyDescent="0.25">
      <c r="A784" s="37">
        <v>2011</v>
      </c>
      <c r="B784" s="38" t="s">
        <v>317</v>
      </c>
      <c r="C784" s="38" t="s">
        <v>203</v>
      </c>
      <c r="D784" s="42" t="s">
        <v>206</v>
      </c>
      <c r="E784" s="32" t="s">
        <v>2</v>
      </c>
      <c r="F784" s="50">
        <v>8400</v>
      </c>
    </row>
    <row r="785" spans="1:6" x14ac:dyDescent="0.25">
      <c r="A785" s="37">
        <v>2011</v>
      </c>
      <c r="B785" s="38" t="s">
        <v>317</v>
      </c>
      <c r="C785" s="38" t="s">
        <v>203</v>
      </c>
      <c r="D785" s="42" t="s">
        <v>206</v>
      </c>
      <c r="E785" s="32" t="s">
        <v>24</v>
      </c>
      <c r="F785" s="50">
        <v>25438</v>
      </c>
    </row>
    <row r="786" spans="1:6" x14ac:dyDescent="0.25">
      <c r="A786" s="37">
        <v>2011</v>
      </c>
      <c r="B786" s="38" t="s">
        <v>317</v>
      </c>
      <c r="C786" s="38" t="s">
        <v>203</v>
      </c>
      <c r="D786" s="42" t="s">
        <v>206</v>
      </c>
      <c r="E786" s="32" t="s">
        <v>204</v>
      </c>
      <c r="F786" s="50">
        <v>23698</v>
      </c>
    </row>
    <row r="787" spans="1:6" x14ac:dyDescent="0.25">
      <c r="A787" s="37">
        <v>2011</v>
      </c>
      <c r="B787" s="38" t="s">
        <v>317</v>
      </c>
      <c r="C787" s="38" t="s">
        <v>203</v>
      </c>
      <c r="D787" s="43" t="s">
        <v>175</v>
      </c>
      <c r="E787" s="32" t="s">
        <v>2</v>
      </c>
      <c r="F787" s="50">
        <v>4400</v>
      </c>
    </row>
    <row r="788" spans="1:6" x14ac:dyDescent="0.25">
      <c r="A788" s="37">
        <v>2011</v>
      </c>
      <c r="B788" s="38" t="s">
        <v>317</v>
      </c>
      <c r="C788" s="38" t="s">
        <v>203</v>
      </c>
      <c r="D788" s="43" t="s">
        <v>175</v>
      </c>
      <c r="E788" s="32" t="s">
        <v>24</v>
      </c>
      <c r="F788" s="50">
        <v>18000</v>
      </c>
    </row>
    <row r="789" spans="1:6" x14ac:dyDescent="0.25">
      <c r="A789" s="37">
        <v>2011</v>
      </c>
      <c r="B789" s="38" t="s">
        <v>317</v>
      </c>
      <c r="C789" s="38" t="s">
        <v>203</v>
      </c>
      <c r="D789" s="43" t="s">
        <v>175</v>
      </c>
      <c r="E789" s="32" t="s">
        <v>204</v>
      </c>
      <c r="F789" s="50">
        <v>10031</v>
      </c>
    </row>
    <row r="790" spans="1:6" x14ac:dyDescent="0.25">
      <c r="A790" s="37">
        <v>2011</v>
      </c>
      <c r="B790" s="38" t="s">
        <v>317</v>
      </c>
      <c r="C790" s="38" t="s">
        <v>207</v>
      </c>
      <c r="D790" s="39" t="s">
        <v>208</v>
      </c>
      <c r="E790" s="32" t="s">
        <v>2</v>
      </c>
      <c r="F790" s="50">
        <v>24058</v>
      </c>
    </row>
    <row r="791" spans="1:6" x14ac:dyDescent="0.25">
      <c r="A791" s="37">
        <v>2011</v>
      </c>
      <c r="B791" s="38" t="s">
        <v>317</v>
      </c>
      <c r="C791" s="38" t="s">
        <v>207</v>
      </c>
      <c r="D791" s="39" t="s">
        <v>208</v>
      </c>
      <c r="E791" s="32" t="s">
        <v>24</v>
      </c>
      <c r="F791" s="50">
        <v>23872</v>
      </c>
    </row>
    <row r="792" spans="1:6" x14ac:dyDescent="0.25">
      <c r="A792" s="37">
        <v>2011</v>
      </c>
      <c r="B792" s="38" t="s">
        <v>317</v>
      </c>
      <c r="C792" s="38" t="s">
        <v>207</v>
      </c>
      <c r="D792" s="39" t="s">
        <v>208</v>
      </c>
      <c r="E792" s="32" t="s">
        <v>204</v>
      </c>
      <c r="F792" s="50">
        <v>364612</v>
      </c>
    </row>
    <row r="793" spans="1:6" x14ac:dyDescent="0.25">
      <c r="A793" s="37">
        <v>2011</v>
      </c>
      <c r="B793" s="38" t="s">
        <v>317</v>
      </c>
      <c r="C793" s="38" t="s">
        <v>207</v>
      </c>
      <c r="D793" s="43" t="s">
        <v>209</v>
      </c>
      <c r="E793" s="32" t="s">
        <v>2</v>
      </c>
      <c r="F793" s="50">
        <v>0</v>
      </c>
    </row>
    <row r="794" spans="1:6" x14ac:dyDescent="0.25">
      <c r="A794" s="37">
        <v>2011</v>
      </c>
      <c r="B794" s="38" t="s">
        <v>317</v>
      </c>
      <c r="C794" s="38" t="s">
        <v>207</v>
      </c>
      <c r="D794" s="43" t="s">
        <v>209</v>
      </c>
      <c r="E794" s="32" t="s">
        <v>24</v>
      </c>
      <c r="F794" s="50">
        <v>6016</v>
      </c>
    </row>
    <row r="795" spans="1:6" x14ac:dyDescent="0.25">
      <c r="A795" s="37">
        <v>2011</v>
      </c>
      <c r="B795" s="38" t="s">
        <v>317</v>
      </c>
      <c r="C795" s="38" t="s">
        <v>207</v>
      </c>
      <c r="D795" s="43" t="s">
        <v>209</v>
      </c>
      <c r="E795" s="32" t="s">
        <v>204</v>
      </c>
      <c r="F795" s="50">
        <v>69800</v>
      </c>
    </row>
    <row r="796" spans="1:6" x14ac:dyDescent="0.25">
      <c r="A796" s="37">
        <v>2011</v>
      </c>
      <c r="B796" s="38" t="s">
        <v>317</v>
      </c>
      <c r="C796" s="38" t="s">
        <v>207</v>
      </c>
      <c r="D796" s="44" t="s">
        <v>210</v>
      </c>
      <c r="E796" s="32" t="s">
        <v>2</v>
      </c>
      <c r="F796" s="50">
        <v>11180</v>
      </c>
    </row>
    <row r="797" spans="1:6" x14ac:dyDescent="0.25">
      <c r="A797" s="37">
        <v>2011</v>
      </c>
      <c r="B797" s="38" t="s">
        <v>317</v>
      </c>
      <c r="C797" s="38" t="s">
        <v>207</v>
      </c>
      <c r="D797" s="44" t="s">
        <v>210</v>
      </c>
      <c r="E797" s="32" t="s">
        <v>24</v>
      </c>
      <c r="F797" s="50">
        <v>16349</v>
      </c>
    </row>
    <row r="798" spans="1:6" x14ac:dyDescent="0.25">
      <c r="A798" s="45">
        <v>2011</v>
      </c>
      <c r="B798" s="46" t="s">
        <v>317</v>
      </c>
      <c r="C798" s="46" t="s">
        <v>207</v>
      </c>
      <c r="D798" s="47" t="s">
        <v>210</v>
      </c>
      <c r="E798" s="33" t="s">
        <v>204</v>
      </c>
      <c r="F798" s="51">
        <v>40941</v>
      </c>
    </row>
    <row r="799" spans="1:6" x14ac:dyDescent="0.25">
      <c r="A799" s="37">
        <v>2011</v>
      </c>
      <c r="B799" s="38" t="s">
        <v>307</v>
      </c>
      <c r="C799" s="38" t="s">
        <v>203</v>
      </c>
      <c r="D799" s="39" t="s">
        <v>174</v>
      </c>
      <c r="E799" s="32" t="s">
        <v>2</v>
      </c>
      <c r="F799" s="60">
        <v>26176</v>
      </c>
    </row>
    <row r="800" spans="1:6" x14ac:dyDescent="0.25">
      <c r="A800" s="37">
        <v>2011</v>
      </c>
      <c r="B800" s="38" t="s">
        <v>307</v>
      </c>
      <c r="C800" s="38" t="s">
        <v>203</v>
      </c>
      <c r="D800" s="39" t="s">
        <v>174</v>
      </c>
      <c r="E800" s="32" t="s">
        <v>24</v>
      </c>
      <c r="F800" s="50">
        <v>86338</v>
      </c>
    </row>
    <row r="801" spans="1:6" x14ac:dyDescent="0.25">
      <c r="A801" s="37">
        <v>2011</v>
      </c>
      <c r="B801" s="38" t="s">
        <v>307</v>
      </c>
      <c r="C801" s="38" t="s">
        <v>203</v>
      </c>
      <c r="D801" s="39" t="s">
        <v>174</v>
      </c>
      <c r="E801" s="32" t="s">
        <v>204</v>
      </c>
      <c r="F801" s="50">
        <v>0</v>
      </c>
    </row>
    <row r="802" spans="1:6" x14ac:dyDescent="0.25">
      <c r="A802" s="37">
        <v>2011</v>
      </c>
      <c r="B802" s="38" t="s">
        <v>307</v>
      </c>
      <c r="C802" s="38" t="s">
        <v>203</v>
      </c>
      <c r="D802" s="41" t="s">
        <v>205</v>
      </c>
      <c r="E802" s="32" t="s">
        <v>2</v>
      </c>
      <c r="F802" s="50">
        <v>3424</v>
      </c>
    </row>
    <row r="803" spans="1:6" x14ac:dyDescent="0.25">
      <c r="A803" s="37">
        <v>2011</v>
      </c>
      <c r="B803" s="38" t="s">
        <v>307</v>
      </c>
      <c r="C803" s="38" t="s">
        <v>203</v>
      </c>
      <c r="D803" s="41" t="s">
        <v>205</v>
      </c>
      <c r="E803" s="32" t="s">
        <v>24</v>
      </c>
      <c r="F803" s="50">
        <v>90640</v>
      </c>
    </row>
    <row r="804" spans="1:6" x14ac:dyDescent="0.25">
      <c r="A804" s="37">
        <v>2011</v>
      </c>
      <c r="B804" s="38" t="s">
        <v>307</v>
      </c>
      <c r="C804" s="38" t="s">
        <v>203</v>
      </c>
      <c r="D804" s="41" t="s">
        <v>205</v>
      </c>
      <c r="E804" s="32" t="s">
        <v>204</v>
      </c>
      <c r="F804" s="50">
        <v>14936</v>
      </c>
    </row>
    <row r="805" spans="1:6" x14ac:dyDescent="0.25">
      <c r="A805" s="37">
        <v>2011</v>
      </c>
      <c r="B805" s="38" t="s">
        <v>307</v>
      </c>
      <c r="C805" s="38" t="s">
        <v>203</v>
      </c>
      <c r="D805" s="42" t="s">
        <v>206</v>
      </c>
      <c r="E805" s="32" t="s">
        <v>2</v>
      </c>
      <c r="F805" s="50">
        <v>8400</v>
      </c>
    </row>
    <row r="806" spans="1:6" x14ac:dyDescent="0.25">
      <c r="A806" s="37">
        <v>2011</v>
      </c>
      <c r="B806" s="38" t="s">
        <v>307</v>
      </c>
      <c r="C806" s="38" t="s">
        <v>203</v>
      </c>
      <c r="D806" s="42" t="s">
        <v>206</v>
      </c>
      <c r="E806" s="32" t="s">
        <v>24</v>
      </c>
      <c r="F806" s="50">
        <v>24447</v>
      </c>
    </row>
    <row r="807" spans="1:6" x14ac:dyDescent="0.25">
      <c r="A807" s="37">
        <v>2011</v>
      </c>
      <c r="B807" s="38" t="s">
        <v>307</v>
      </c>
      <c r="C807" s="38" t="s">
        <v>203</v>
      </c>
      <c r="D807" s="42" t="s">
        <v>206</v>
      </c>
      <c r="E807" s="32" t="s">
        <v>204</v>
      </c>
      <c r="F807" s="50">
        <v>24328</v>
      </c>
    </row>
    <row r="808" spans="1:6" x14ac:dyDescent="0.25">
      <c r="A808" s="37">
        <v>2011</v>
      </c>
      <c r="B808" s="38" t="s">
        <v>307</v>
      </c>
      <c r="C808" s="38" t="s">
        <v>203</v>
      </c>
      <c r="D808" s="43" t="s">
        <v>175</v>
      </c>
      <c r="E808" s="32" t="s">
        <v>2</v>
      </c>
      <c r="F808" s="50">
        <v>4400</v>
      </c>
    </row>
    <row r="809" spans="1:6" x14ac:dyDescent="0.25">
      <c r="A809" s="37">
        <v>2011</v>
      </c>
      <c r="B809" s="38" t="s">
        <v>307</v>
      </c>
      <c r="C809" s="38" t="s">
        <v>203</v>
      </c>
      <c r="D809" s="43" t="s">
        <v>175</v>
      </c>
      <c r="E809" s="32" t="s">
        <v>24</v>
      </c>
      <c r="F809" s="50">
        <v>18871</v>
      </c>
    </row>
    <row r="810" spans="1:6" x14ac:dyDescent="0.25">
      <c r="A810" s="37">
        <v>2011</v>
      </c>
      <c r="B810" s="38" t="s">
        <v>307</v>
      </c>
      <c r="C810" s="38" t="s">
        <v>203</v>
      </c>
      <c r="D810" s="43" t="s">
        <v>175</v>
      </c>
      <c r="E810" s="32" t="s">
        <v>204</v>
      </c>
      <c r="F810" s="50">
        <v>9160</v>
      </c>
    </row>
    <row r="811" spans="1:6" x14ac:dyDescent="0.25">
      <c r="A811" s="37">
        <v>2011</v>
      </c>
      <c r="B811" s="38" t="s">
        <v>307</v>
      </c>
      <c r="C811" s="38" t="s">
        <v>207</v>
      </c>
      <c r="D811" s="39" t="s">
        <v>208</v>
      </c>
      <c r="E811" s="32" t="s">
        <v>2</v>
      </c>
      <c r="F811" s="50">
        <v>31658</v>
      </c>
    </row>
    <row r="812" spans="1:6" x14ac:dyDescent="0.25">
      <c r="A812" s="37">
        <v>2011</v>
      </c>
      <c r="B812" s="38" t="s">
        <v>307</v>
      </c>
      <c r="C812" s="38" t="s">
        <v>207</v>
      </c>
      <c r="D812" s="39" t="s">
        <v>208</v>
      </c>
      <c r="E812" s="32" t="s">
        <v>24</v>
      </c>
      <c r="F812" s="50">
        <v>21841</v>
      </c>
    </row>
    <row r="813" spans="1:6" x14ac:dyDescent="0.25">
      <c r="A813" s="37">
        <v>2011</v>
      </c>
      <c r="B813" s="38" t="s">
        <v>307</v>
      </c>
      <c r="C813" s="38" t="s">
        <v>207</v>
      </c>
      <c r="D813" s="39" t="s">
        <v>208</v>
      </c>
      <c r="E813" s="32" t="s">
        <v>204</v>
      </c>
      <c r="F813" s="50">
        <v>416832</v>
      </c>
    </row>
    <row r="814" spans="1:6" x14ac:dyDescent="0.25">
      <c r="A814" s="37">
        <v>2011</v>
      </c>
      <c r="B814" s="38" t="s">
        <v>307</v>
      </c>
      <c r="C814" s="38" t="s">
        <v>207</v>
      </c>
      <c r="D814" s="43" t="s">
        <v>209</v>
      </c>
      <c r="E814" s="32" t="s">
        <v>2</v>
      </c>
      <c r="F814" s="50">
        <v>0</v>
      </c>
    </row>
    <row r="815" spans="1:6" x14ac:dyDescent="0.25">
      <c r="A815" s="37">
        <v>2011</v>
      </c>
      <c r="B815" s="38" t="s">
        <v>307</v>
      </c>
      <c r="C815" s="38" t="s">
        <v>207</v>
      </c>
      <c r="D815" s="43" t="s">
        <v>209</v>
      </c>
      <c r="E815" s="32" t="s">
        <v>24</v>
      </c>
      <c r="F815" s="50">
        <v>6016</v>
      </c>
    </row>
    <row r="816" spans="1:6" x14ac:dyDescent="0.25">
      <c r="A816" s="37">
        <v>2011</v>
      </c>
      <c r="B816" s="38" t="s">
        <v>307</v>
      </c>
      <c r="C816" s="38" t="s">
        <v>207</v>
      </c>
      <c r="D816" s="43" t="s">
        <v>209</v>
      </c>
      <c r="E816" s="32" t="s">
        <v>204</v>
      </c>
      <c r="F816" s="50">
        <v>89500</v>
      </c>
    </row>
    <row r="817" spans="1:6" x14ac:dyDescent="0.25">
      <c r="A817" s="37">
        <v>2011</v>
      </c>
      <c r="B817" s="38" t="s">
        <v>307</v>
      </c>
      <c r="C817" s="38" t="s">
        <v>207</v>
      </c>
      <c r="D817" s="44" t="s">
        <v>210</v>
      </c>
      <c r="E817" s="32" t="s">
        <v>2</v>
      </c>
      <c r="F817" s="50">
        <v>11180</v>
      </c>
    </row>
    <row r="818" spans="1:6" x14ac:dyDescent="0.25">
      <c r="A818" s="37">
        <v>2011</v>
      </c>
      <c r="B818" s="38" t="s">
        <v>307</v>
      </c>
      <c r="C818" s="38" t="s">
        <v>207</v>
      </c>
      <c r="D818" s="44" t="s">
        <v>210</v>
      </c>
      <c r="E818" s="32" t="s">
        <v>24</v>
      </c>
      <c r="F818" s="50">
        <v>15803</v>
      </c>
    </row>
    <row r="819" spans="1:6" x14ac:dyDescent="0.25">
      <c r="A819" s="45">
        <v>2011</v>
      </c>
      <c r="B819" s="46" t="s">
        <v>307</v>
      </c>
      <c r="C819" s="46" t="s">
        <v>207</v>
      </c>
      <c r="D819" s="47" t="s">
        <v>210</v>
      </c>
      <c r="E819" s="33" t="s">
        <v>204</v>
      </c>
      <c r="F819" s="51">
        <v>41573</v>
      </c>
    </row>
    <row r="820" spans="1:6" x14ac:dyDescent="0.25">
      <c r="A820" s="37">
        <v>2011</v>
      </c>
      <c r="B820" s="38" t="s">
        <v>318</v>
      </c>
      <c r="C820" s="38" t="s">
        <v>203</v>
      </c>
      <c r="D820" s="39" t="s">
        <v>174</v>
      </c>
      <c r="E820" s="32" t="s">
        <v>2</v>
      </c>
      <c r="F820" s="60">
        <v>36436</v>
      </c>
    </row>
    <row r="821" spans="1:6" x14ac:dyDescent="0.25">
      <c r="A821" s="37">
        <v>2011</v>
      </c>
      <c r="B821" s="38" t="s">
        <v>318</v>
      </c>
      <c r="C821" s="38" t="s">
        <v>203</v>
      </c>
      <c r="D821" s="39" t="s">
        <v>174</v>
      </c>
      <c r="E821" s="32" t="s">
        <v>24</v>
      </c>
      <c r="F821" s="50">
        <v>76093</v>
      </c>
    </row>
    <row r="822" spans="1:6" x14ac:dyDescent="0.25">
      <c r="A822" s="37">
        <v>2011</v>
      </c>
      <c r="B822" s="38" t="s">
        <v>318</v>
      </c>
      <c r="C822" s="38" t="s">
        <v>203</v>
      </c>
      <c r="D822" s="39" t="s">
        <v>174</v>
      </c>
      <c r="E822" s="32" t="s">
        <v>204</v>
      </c>
      <c r="F822" s="50">
        <v>0</v>
      </c>
    </row>
    <row r="823" spans="1:6" x14ac:dyDescent="0.25">
      <c r="A823" s="37">
        <v>2011</v>
      </c>
      <c r="B823" s="38" t="s">
        <v>318</v>
      </c>
      <c r="C823" s="38" t="s">
        <v>203</v>
      </c>
      <c r="D823" s="41" t="s">
        <v>205</v>
      </c>
      <c r="E823" s="32" t="s">
        <v>2</v>
      </c>
      <c r="F823" s="50">
        <v>1524</v>
      </c>
    </row>
    <row r="824" spans="1:6" x14ac:dyDescent="0.25">
      <c r="A824" s="37">
        <v>2011</v>
      </c>
      <c r="B824" s="38" t="s">
        <v>318</v>
      </c>
      <c r="C824" s="38" t="s">
        <v>203</v>
      </c>
      <c r="D824" s="41" t="s">
        <v>205</v>
      </c>
      <c r="E824" s="32" t="s">
        <v>24</v>
      </c>
      <c r="F824" s="50">
        <v>85183</v>
      </c>
    </row>
    <row r="825" spans="1:6" x14ac:dyDescent="0.25">
      <c r="A825" s="37">
        <v>2011</v>
      </c>
      <c r="B825" s="38" t="s">
        <v>318</v>
      </c>
      <c r="C825" s="38" t="s">
        <v>203</v>
      </c>
      <c r="D825" s="41" t="s">
        <v>205</v>
      </c>
      <c r="E825" s="32" t="s">
        <v>204</v>
      </c>
      <c r="F825" s="50">
        <v>14936</v>
      </c>
    </row>
    <row r="826" spans="1:6" x14ac:dyDescent="0.25">
      <c r="A826" s="37">
        <v>2011</v>
      </c>
      <c r="B826" s="38" t="s">
        <v>318</v>
      </c>
      <c r="C826" s="38" t="s">
        <v>203</v>
      </c>
      <c r="D826" s="42" t="s">
        <v>206</v>
      </c>
      <c r="E826" s="32" t="s">
        <v>2</v>
      </c>
      <c r="F826" s="50">
        <v>2800</v>
      </c>
    </row>
    <row r="827" spans="1:6" x14ac:dyDescent="0.25">
      <c r="A827" s="37">
        <v>2011</v>
      </c>
      <c r="B827" s="38" t="s">
        <v>318</v>
      </c>
      <c r="C827" s="38" t="s">
        <v>203</v>
      </c>
      <c r="D827" s="42" t="s">
        <v>206</v>
      </c>
      <c r="E827" s="32" t="s">
        <v>24</v>
      </c>
      <c r="F827" s="50">
        <v>25528</v>
      </c>
    </row>
    <row r="828" spans="1:6" x14ac:dyDescent="0.25">
      <c r="A828" s="37">
        <v>2011</v>
      </c>
      <c r="B828" s="38" t="s">
        <v>318</v>
      </c>
      <c r="C828" s="38" t="s">
        <v>203</v>
      </c>
      <c r="D828" s="42" t="s">
        <v>206</v>
      </c>
      <c r="E828" s="32" t="s">
        <v>204</v>
      </c>
      <c r="F828" s="50">
        <v>22090</v>
      </c>
    </row>
    <row r="829" spans="1:6" x14ac:dyDescent="0.25">
      <c r="A829" s="37">
        <v>2011</v>
      </c>
      <c r="B829" s="38" t="s">
        <v>318</v>
      </c>
      <c r="C829" s="38" t="s">
        <v>203</v>
      </c>
      <c r="D829" s="43" t="s">
        <v>175</v>
      </c>
      <c r="E829" s="32" t="s">
        <v>2</v>
      </c>
      <c r="F829" s="50">
        <v>4400</v>
      </c>
    </row>
    <row r="830" spans="1:6" x14ac:dyDescent="0.25">
      <c r="A830" s="37">
        <v>2011</v>
      </c>
      <c r="B830" s="38" t="s">
        <v>318</v>
      </c>
      <c r="C830" s="38" t="s">
        <v>203</v>
      </c>
      <c r="D830" s="43" t="s">
        <v>175</v>
      </c>
      <c r="E830" s="32" t="s">
        <v>24</v>
      </c>
      <c r="F830" s="50">
        <v>18871</v>
      </c>
    </row>
    <row r="831" spans="1:6" x14ac:dyDescent="0.25">
      <c r="A831" s="37">
        <v>2011</v>
      </c>
      <c r="B831" s="38" t="s">
        <v>318</v>
      </c>
      <c r="C831" s="38" t="s">
        <v>203</v>
      </c>
      <c r="D831" s="43" t="s">
        <v>175</v>
      </c>
      <c r="E831" s="32" t="s">
        <v>204</v>
      </c>
      <c r="F831" s="50">
        <v>9160</v>
      </c>
    </row>
    <row r="832" spans="1:6" x14ac:dyDescent="0.25">
      <c r="A832" s="37">
        <v>2011</v>
      </c>
      <c r="B832" s="38" t="s">
        <v>318</v>
      </c>
      <c r="C832" s="38" t="s">
        <v>207</v>
      </c>
      <c r="D832" s="39" t="s">
        <v>208</v>
      </c>
      <c r="E832" s="32" t="s">
        <v>2</v>
      </c>
      <c r="F832" s="50">
        <v>18448</v>
      </c>
    </row>
    <row r="833" spans="1:6" x14ac:dyDescent="0.25">
      <c r="A833" s="37">
        <v>2011</v>
      </c>
      <c r="B833" s="38" t="s">
        <v>318</v>
      </c>
      <c r="C833" s="38" t="s">
        <v>207</v>
      </c>
      <c r="D833" s="39" t="s">
        <v>208</v>
      </c>
      <c r="E833" s="32" t="s">
        <v>24</v>
      </c>
      <c r="F833" s="50">
        <v>21841</v>
      </c>
    </row>
    <row r="834" spans="1:6" x14ac:dyDescent="0.25">
      <c r="A834" s="37">
        <v>2011</v>
      </c>
      <c r="B834" s="38" t="s">
        <v>318</v>
      </c>
      <c r="C834" s="38" t="s">
        <v>207</v>
      </c>
      <c r="D834" s="39" t="s">
        <v>208</v>
      </c>
      <c r="E834" s="32" t="s">
        <v>204</v>
      </c>
      <c r="F834" s="50">
        <v>408067</v>
      </c>
    </row>
    <row r="835" spans="1:6" x14ac:dyDescent="0.25">
      <c r="A835" s="37">
        <v>2011</v>
      </c>
      <c r="B835" s="38" t="s">
        <v>318</v>
      </c>
      <c r="C835" s="38" t="s">
        <v>207</v>
      </c>
      <c r="D835" s="43" t="s">
        <v>209</v>
      </c>
      <c r="E835" s="32" t="s">
        <v>2</v>
      </c>
      <c r="F835" s="50">
        <v>0</v>
      </c>
    </row>
    <row r="836" spans="1:6" x14ac:dyDescent="0.25">
      <c r="A836" s="37">
        <v>2011</v>
      </c>
      <c r="B836" s="38" t="s">
        <v>318</v>
      </c>
      <c r="C836" s="38" t="s">
        <v>207</v>
      </c>
      <c r="D836" s="43" t="s">
        <v>209</v>
      </c>
      <c r="E836" s="32" t="s">
        <v>24</v>
      </c>
      <c r="F836" s="50">
        <v>6016</v>
      </c>
    </row>
    <row r="837" spans="1:6" x14ac:dyDescent="0.25">
      <c r="A837" s="37">
        <v>2011</v>
      </c>
      <c r="B837" s="38" t="s">
        <v>318</v>
      </c>
      <c r="C837" s="38" t="s">
        <v>207</v>
      </c>
      <c r="D837" s="43" t="s">
        <v>209</v>
      </c>
      <c r="E837" s="32" t="s">
        <v>204</v>
      </c>
      <c r="F837" s="50">
        <v>56300</v>
      </c>
    </row>
    <row r="838" spans="1:6" x14ac:dyDescent="0.25">
      <c r="A838" s="37">
        <v>2011</v>
      </c>
      <c r="B838" s="38" t="s">
        <v>318</v>
      </c>
      <c r="C838" s="38" t="s">
        <v>207</v>
      </c>
      <c r="D838" s="44" t="s">
        <v>210</v>
      </c>
      <c r="E838" s="32" t="s">
        <v>2</v>
      </c>
      <c r="F838" s="50">
        <v>11850</v>
      </c>
    </row>
    <row r="839" spans="1:6" x14ac:dyDescent="0.25">
      <c r="A839" s="37">
        <v>2011</v>
      </c>
      <c r="B839" s="38" t="s">
        <v>318</v>
      </c>
      <c r="C839" s="38" t="s">
        <v>207</v>
      </c>
      <c r="D839" s="44" t="s">
        <v>210</v>
      </c>
      <c r="E839" s="32" t="s">
        <v>24</v>
      </c>
      <c r="F839" s="50">
        <v>15803</v>
      </c>
    </row>
    <row r="840" spans="1:6" x14ac:dyDescent="0.25">
      <c r="A840" s="45">
        <v>2011</v>
      </c>
      <c r="B840" s="46" t="s">
        <v>318</v>
      </c>
      <c r="C840" s="46" t="s">
        <v>207</v>
      </c>
      <c r="D840" s="47" t="s">
        <v>210</v>
      </c>
      <c r="E840" s="33" t="s">
        <v>204</v>
      </c>
      <c r="F840" s="51">
        <v>42798</v>
      </c>
    </row>
    <row r="841" spans="1:6" x14ac:dyDescent="0.25">
      <c r="A841" s="37">
        <v>2011</v>
      </c>
      <c r="B841" s="38" t="s">
        <v>319</v>
      </c>
      <c r="C841" s="38" t="s">
        <v>203</v>
      </c>
      <c r="D841" s="39" t="s">
        <v>174</v>
      </c>
      <c r="E841" s="32" t="s">
        <v>2</v>
      </c>
      <c r="F841" s="60">
        <v>35137</v>
      </c>
    </row>
    <row r="842" spans="1:6" x14ac:dyDescent="0.25">
      <c r="A842" s="37">
        <v>2011</v>
      </c>
      <c r="B842" s="38" t="s">
        <v>319</v>
      </c>
      <c r="C842" s="38" t="s">
        <v>203</v>
      </c>
      <c r="D842" s="39" t="s">
        <v>174</v>
      </c>
      <c r="E842" s="32" t="s">
        <v>24</v>
      </c>
      <c r="F842" s="50">
        <v>89302</v>
      </c>
    </row>
    <row r="843" spans="1:6" x14ac:dyDescent="0.25">
      <c r="A843" s="37">
        <v>2011</v>
      </c>
      <c r="B843" s="38" t="s">
        <v>319</v>
      </c>
      <c r="C843" s="38" t="s">
        <v>203</v>
      </c>
      <c r="D843" s="39" t="s">
        <v>174</v>
      </c>
      <c r="E843" s="32" t="s">
        <v>204</v>
      </c>
      <c r="F843" s="50">
        <v>0</v>
      </c>
    </row>
    <row r="844" spans="1:6" x14ac:dyDescent="0.25">
      <c r="A844" s="37">
        <v>2011</v>
      </c>
      <c r="B844" s="38" t="s">
        <v>319</v>
      </c>
      <c r="C844" s="38" t="s">
        <v>203</v>
      </c>
      <c r="D844" s="41" t="s">
        <v>205</v>
      </c>
      <c r="E844" s="32" t="s">
        <v>2</v>
      </c>
      <c r="F844" s="50">
        <v>1839</v>
      </c>
    </row>
    <row r="845" spans="1:6" x14ac:dyDescent="0.25">
      <c r="A845" s="37">
        <v>2011</v>
      </c>
      <c r="B845" s="38" t="s">
        <v>319</v>
      </c>
      <c r="C845" s="38" t="s">
        <v>203</v>
      </c>
      <c r="D845" s="41" t="s">
        <v>205</v>
      </c>
      <c r="E845" s="32" t="s">
        <v>24</v>
      </c>
      <c r="F845" s="50">
        <v>85183</v>
      </c>
    </row>
    <row r="846" spans="1:6" x14ac:dyDescent="0.25">
      <c r="A846" s="37">
        <v>2011</v>
      </c>
      <c r="B846" s="38" t="s">
        <v>319</v>
      </c>
      <c r="C846" s="38" t="s">
        <v>203</v>
      </c>
      <c r="D846" s="41" t="s">
        <v>205</v>
      </c>
      <c r="E846" s="32" t="s">
        <v>204</v>
      </c>
      <c r="F846" s="50">
        <v>6080</v>
      </c>
    </row>
    <row r="847" spans="1:6" x14ac:dyDescent="0.25">
      <c r="A847" s="37">
        <v>2011</v>
      </c>
      <c r="B847" s="38" t="s">
        <v>319</v>
      </c>
      <c r="C847" s="38" t="s">
        <v>203</v>
      </c>
      <c r="D847" s="42" t="s">
        <v>206</v>
      </c>
      <c r="E847" s="32" t="s">
        <v>2</v>
      </c>
      <c r="F847" s="50">
        <v>2800</v>
      </c>
    </row>
    <row r="848" spans="1:6" x14ac:dyDescent="0.25">
      <c r="A848" s="37">
        <v>2011</v>
      </c>
      <c r="B848" s="38" t="s">
        <v>319</v>
      </c>
      <c r="C848" s="38" t="s">
        <v>203</v>
      </c>
      <c r="D848" s="42" t="s">
        <v>206</v>
      </c>
      <c r="E848" s="32" t="s">
        <v>24</v>
      </c>
      <c r="F848" s="50">
        <v>27657</v>
      </c>
    </row>
    <row r="849" spans="1:6" x14ac:dyDescent="0.25">
      <c r="A849" s="37">
        <v>2011</v>
      </c>
      <c r="B849" s="38" t="s">
        <v>319</v>
      </c>
      <c r="C849" s="38" t="s">
        <v>203</v>
      </c>
      <c r="D849" s="42" t="s">
        <v>206</v>
      </c>
      <c r="E849" s="32" t="s">
        <v>204</v>
      </c>
      <c r="F849" s="50">
        <v>21460</v>
      </c>
    </row>
    <row r="850" spans="1:6" x14ac:dyDescent="0.25">
      <c r="A850" s="37">
        <v>2011</v>
      </c>
      <c r="B850" s="38" t="s">
        <v>319</v>
      </c>
      <c r="C850" s="38" t="s">
        <v>203</v>
      </c>
      <c r="D850" s="43" t="s">
        <v>175</v>
      </c>
      <c r="E850" s="32" t="s">
        <v>2</v>
      </c>
      <c r="F850" s="50">
        <v>4400</v>
      </c>
    </row>
    <row r="851" spans="1:6" x14ac:dyDescent="0.25">
      <c r="A851" s="37">
        <v>2011</v>
      </c>
      <c r="B851" s="38" t="s">
        <v>319</v>
      </c>
      <c r="C851" s="38" t="s">
        <v>203</v>
      </c>
      <c r="D851" s="43" t="s">
        <v>175</v>
      </c>
      <c r="E851" s="32" t="s">
        <v>24</v>
      </c>
      <c r="F851" s="50">
        <v>19121</v>
      </c>
    </row>
    <row r="852" spans="1:6" x14ac:dyDescent="0.25">
      <c r="A852" s="37">
        <v>2011</v>
      </c>
      <c r="B852" s="38" t="s">
        <v>319</v>
      </c>
      <c r="C852" s="38" t="s">
        <v>203</v>
      </c>
      <c r="D852" s="43" t="s">
        <v>175</v>
      </c>
      <c r="E852" s="32" t="s">
        <v>204</v>
      </c>
      <c r="F852" s="50">
        <v>5900</v>
      </c>
    </row>
    <row r="853" spans="1:6" x14ac:dyDescent="0.25">
      <c r="A853" s="37">
        <v>2011</v>
      </c>
      <c r="B853" s="38" t="s">
        <v>319</v>
      </c>
      <c r="C853" s="38" t="s">
        <v>207</v>
      </c>
      <c r="D853" s="39" t="s">
        <v>208</v>
      </c>
      <c r="E853" s="32" t="s">
        <v>2</v>
      </c>
      <c r="F853" s="50">
        <v>15801</v>
      </c>
    </row>
    <row r="854" spans="1:6" x14ac:dyDescent="0.25">
      <c r="A854" s="37">
        <v>2011</v>
      </c>
      <c r="B854" s="38" t="s">
        <v>319</v>
      </c>
      <c r="C854" s="38" t="s">
        <v>207</v>
      </c>
      <c r="D854" s="39" t="s">
        <v>208</v>
      </c>
      <c r="E854" s="32" t="s">
        <v>24</v>
      </c>
      <c r="F854" s="50">
        <v>21179</v>
      </c>
    </row>
    <row r="855" spans="1:6" x14ac:dyDescent="0.25">
      <c r="A855" s="37">
        <v>2011</v>
      </c>
      <c r="B855" s="38" t="s">
        <v>319</v>
      </c>
      <c r="C855" s="38" t="s">
        <v>207</v>
      </c>
      <c r="D855" s="39" t="s">
        <v>208</v>
      </c>
      <c r="E855" s="32" t="s">
        <v>204</v>
      </c>
      <c r="F855" s="50">
        <v>409150</v>
      </c>
    </row>
    <row r="856" spans="1:6" x14ac:dyDescent="0.25">
      <c r="A856" s="37">
        <v>2011</v>
      </c>
      <c r="B856" s="38" t="s">
        <v>319</v>
      </c>
      <c r="C856" s="38" t="s">
        <v>207</v>
      </c>
      <c r="D856" s="43" t="s">
        <v>209</v>
      </c>
      <c r="E856" s="32" t="s">
        <v>2</v>
      </c>
      <c r="F856" s="50">
        <v>0</v>
      </c>
    </row>
    <row r="857" spans="1:6" x14ac:dyDescent="0.25">
      <c r="A857" s="37">
        <v>2011</v>
      </c>
      <c r="B857" s="38" t="s">
        <v>319</v>
      </c>
      <c r="C857" s="38" t="s">
        <v>207</v>
      </c>
      <c r="D857" s="43" t="s">
        <v>209</v>
      </c>
      <c r="E857" s="32" t="s">
        <v>24</v>
      </c>
      <c r="F857" s="50">
        <v>6016</v>
      </c>
    </row>
    <row r="858" spans="1:6" x14ac:dyDescent="0.25">
      <c r="A858" s="37">
        <v>2011</v>
      </c>
      <c r="B858" s="38" t="s">
        <v>319</v>
      </c>
      <c r="C858" s="38" t="s">
        <v>207</v>
      </c>
      <c r="D858" s="43" t="s">
        <v>209</v>
      </c>
      <c r="E858" s="32" t="s">
        <v>204</v>
      </c>
      <c r="F858" s="50">
        <v>53900</v>
      </c>
    </row>
    <row r="859" spans="1:6" x14ac:dyDescent="0.25">
      <c r="A859" s="37">
        <v>2011</v>
      </c>
      <c r="B859" s="38" t="s">
        <v>319</v>
      </c>
      <c r="C859" s="38" t="s">
        <v>207</v>
      </c>
      <c r="D859" s="44" t="s">
        <v>210</v>
      </c>
      <c r="E859" s="32" t="s">
        <v>2</v>
      </c>
      <c r="F859" s="50">
        <v>10000</v>
      </c>
    </row>
    <row r="860" spans="1:6" x14ac:dyDescent="0.25">
      <c r="A860" s="37">
        <v>2011</v>
      </c>
      <c r="B860" s="38" t="s">
        <v>319</v>
      </c>
      <c r="C860" s="38" t="s">
        <v>207</v>
      </c>
      <c r="D860" s="44" t="s">
        <v>210</v>
      </c>
      <c r="E860" s="32" t="s">
        <v>24</v>
      </c>
      <c r="F860" s="50">
        <v>14225</v>
      </c>
    </row>
    <row r="861" spans="1:6" x14ac:dyDescent="0.25">
      <c r="A861" s="45">
        <v>2011</v>
      </c>
      <c r="B861" s="46" t="s">
        <v>319</v>
      </c>
      <c r="C861" s="46" t="s">
        <v>207</v>
      </c>
      <c r="D861" s="47" t="s">
        <v>210</v>
      </c>
      <c r="E861" s="33" t="s">
        <v>204</v>
      </c>
      <c r="F861" s="51">
        <v>39798</v>
      </c>
    </row>
    <row r="862" spans="1:6" x14ac:dyDescent="0.25">
      <c r="A862" s="37">
        <v>2011</v>
      </c>
      <c r="B862" s="38" t="s">
        <v>320</v>
      </c>
      <c r="C862" s="38" t="s">
        <v>203</v>
      </c>
      <c r="D862" s="39" t="s">
        <v>174</v>
      </c>
      <c r="E862" s="32" t="s">
        <v>2</v>
      </c>
      <c r="F862" s="63">
        <v>27880</v>
      </c>
    </row>
    <row r="863" spans="1:6" x14ac:dyDescent="0.25">
      <c r="A863" s="37">
        <v>2011</v>
      </c>
      <c r="B863" s="38" t="s">
        <v>320</v>
      </c>
      <c r="C863" s="38" t="s">
        <v>203</v>
      </c>
      <c r="D863" s="39" t="s">
        <v>174</v>
      </c>
      <c r="E863" s="32" t="s">
        <v>24</v>
      </c>
      <c r="F863" s="50">
        <v>85688</v>
      </c>
    </row>
    <row r="864" spans="1:6" x14ac:dyDescent="0.25">
      <c r="A864" s="37">
        <v>2011</v>
      </c>
      <c r="B864" s="38" t="s">
        <v>320</v>
      </c>
      <c r="C864" s="38" t="s">
        <v>203</v>
      </c>
      <c r="D864" s="39" t="s">
        <v>174</v>
      </c>
      <c r="E864" s="32" t="s">
        <v>204</v>
      </c>
      <c r="F864" s="50">
        <v>0</v>
      </c>
    </row>
    <row r="865" spans="1:6" x14ac:dyDescent="0.25">
      <c r="A865" s="37">
        <v>2011</v>
      </c>
      <c r="B865" s="38" t="s">
        <v>320</v>
      </c>
      <c r="C865" s="38" t="s">
        <v>203</v>
      </c>
      <c r="D865" s="41" t="s">
        <v>205</v>
      </c>
      <c r="E865" s="32" t="s">
        <v>2</v>
      </c>
      <c r="F865" s="50">
        <v>1839</v>
      </c>
    </row>
    <row r="866" spans="1:6" x14ac:dyDescent="0.25">
      <c r="A866" s="37">
        <v>2011</v>
      </c>
      <c r="B866" s="38" t="s">
        <v>320</v>
      </c>
      <c r="C866" s="38" t="s">
        <v>203</v>
      </c>
      <c r="D866" s="41" t="s">
        <v>205</v>
      </c>
      <c r="E866" s="32" t="s">
        <v>24</v>
      </c>
      <c r="F866" s="50">
        <v>90720</v>
      </c>
    </row>
    <row r="867" spans="1:6" x14ac:dyDescent="0.25">
      <c r="A867" s="37">
        <v>2011</v>
      </c>
      <c r="B867" s="38" t="s">
        <v>320</v>
      </c>
      <c r="C867" s="38" t="s">
        <v>203</v>
      </c>
      <c r="D867" s="41" t="s">
        <v>205</v>
      </c>
      <c r="E867" s="32" t="s">
        <v>204</v>
      </c>
      <c r="F867" s="50">
        <v>6080</v>
      </c>
    </row>
    <row r="868" spans="1:6" x14ac:dyDescent="0.25">
      <c r="A868" s="37">
        <v>2011</v>
      </c>
      <c r="B868" s="38" t="s">
        <v>320</v>
      </c>
      <c r="C868" s="38" t="s">
        <v>203</v>
      </c>
      <c r="D868" s="42" t="s">
        <v>206</v>
      </c>
      <c r="E868" s="32" t="s">
        <v>2</v>
      </c>
      <c r="F868" s="50">
        <v>7150</v>
      </c>
    </row>
    <row r="869" spans="1:6" x14ac:dyDescent="0.25">
      <c r="A869" s="37">
        <v>2011</v>
      </c>
      <c r="B869" s="38" t="s">
        <v>320</v>
      </c>
      <c r="C869" s="38" t="s">
        <v>203</v>
      </c>
      <c r="D869" s="42" t="s">
        <v>206</v>
      </c>
      <c r="E869" s="32" t="s">
        <v>24</v>
      </c>
      <c r="F869" s="50">
        <v>27910</v>
      </c>
    </row>
    <row r="870" spans="1:6" x14ac:dyDescent="0.25">
      <c r="A870" s="37">
        <v>2011</v>
      </c>
      <c r="B870" s="38" t="s">
        <v>320</v>
      </c>
      <c r="C870" s="38" t="s">
        <v>203</v>
      </c>
      <c r="D870" s="42" t="s">
        <v>206</v>
      </c>
      <c r="E870" s="32" t="s">
        <v>204</v>
      </c>
      <c r="F870" s="50">
        <v>26069</v>
      </c>
    </row>
    <row r="871" spans="1:6" x14ac:dyDescent="0.25">
      <c r="A871" s="37">
        <v>2011</v>
      </c>
      <c r="B871" s="38" t="s">
        <v>320</v>
      </c>
      <c r="C871" s="38" t="s">
        <v>203</v>
      </c>
      <c r="D871" s="43" t="s">
        <v>175</v>
      </c>
      <c r="E871" s="32" t="s">
        <v>2</v>
      </c>
      <c r="F871" s="50">
        <v>4400</v>
      </c>
    </row>
    <row r="872" spans="1:6" x14ac:dyDescent="0.25">
      <c r="A872" s="37">
        <v>2011</v>
      </c>
      <c r="B872" s="38" t="s">
        <v>320</v>
      </c>
      <c r="C872" s="38" t="s">
        <v>203</v>
      </c>
      <c r="D872" s="43" t="s">
        <v>175</v>
      </c>
      <c r="E872" s="32" t="s">
        <v>24</v>
      </c>
      <c r="F872" s="50">
        <v>19121</v>
      </c>
    </row>
    <row r="873" spans="1:6" x14ac:dyDescent="0.25">
      <c r="A873" s="37">
        <v>2011</v>
      </c>
      <c r="B873" s="38" t="s">
        <v>320</v>
      </c>
      <c r="C873" s="38" t="s">
        <v>203</v>
      </c>
      <c r="D873" s="43" t="s">
        <v>175</v>
      </c>
      <c r="E873" s="32" t="s">
        <v>204</v>
      </c>
      <c r="F873" s="50">
        <v>5900</v>
      </c>
    </row>
    <row r="874" spans="1:6" x14ac:dyDescent="0.25">
      <c r="A874" s="37">
        <v>2011</v>
      </c>
      <c r="B874" s="38" t="s">
        <v>320</v>
      </c>
      <c r="C874" s="38" t="s">
        <v>207</v>
      </c>
      <c r="D874" s="39" t="s">
        <v>208</v>
      </c>
      <c r="E874" s="32" t="s">
        <v>2</v>
      </c>
      <c r="F874" s="50">
        <v>11127</v>
      </c>
    </row>
    <row r="875" spans="1:6" x14ac:dyDescent="0.25">
      <c r="A875" s="37">
        <v>2011</v>
      </c>
      <c r="B875" s="38" t="s">
        <v>320</v>
      </c>
      <c r="C875" s="38" t="s">
        <v>207</v>
      </c>
      <c r="D875" s="39" t="s">
        <v>208</v>
      </c>
      <c r="E875" s="32" t="s">
        <v>24</v>
      </c>
      <c r="F875" s="50">
        <v>19637</v>
      </c>
    </row>
    <row r="876" spans="1:6" x14ac:dyDescent="0.25">
      <c r="A876" s="37">
        <v>2011</v>
      </c>
      <c r="B876" s="38" t="s">
        <v>320</v>
      </c>
      <c r="C876" s="38" t="s">
        <v>207</v>
      </c>
      <c r="D876" s="39" t="s">
        <v>208</v>
      </c>
      <c r="E876" s="32" t="s">
        <v>204</v>
      </c>
      <c r="F876" s="50">
        <v>406278</v>
      </c>
    </row>
    <row r="877" spans="1:6" x14ac:dyDescent="0.25">
      <c r="A877" s="37">
        <v>2011</v>
      </c>
      <c r="B877" s="38" t="s">
        <v>320</v>
      </c>
      <c r="C877" s="38" t="s">
        <v>207</v>
      </c>
      <c r="D877" s="43" t="s">
        <v>209</v>
      </c>
      <c r="E877" s="32" t="s">
        <v>2</v>
      </c>
      <c r="F877" s="50">
        <v>0</v>
      </c>
    </row>
    <row r="878" spans="1:6" x14ac:dyDescent="0.25">
      <c r="A878" s="37">
        <v>2011</v>
      </c>
      <c r="B878" s="38" t="s">
        <v>320</v>
      </c>
      <c r="C878" s="38" t="s">
        <v>207</v>
      </c>
      <c r="D878" s="43" t="s">
        <v>209</v>
      </c>
      <c r="E878" s="32" t="s">
        <v>24</v>
      </c>
      <c r="F878" s="50">
        <v>6016</v>
      </c>
    </row>
    <row r="879" spans="1:6" x14ac:dyDescent="0.25">
      <c r="A879" s="37">
        <v>2011</v>
      </c>
      <c r="B879" s="38" t="s">
        <v>320</v>
      </c>
      <c r="C879" s="38" t="s">
        <v>207</v>
      </c>
      <c r="D879" s="43" t="s">
        <v>209</v>
      </c>
      <c r="E879" s="32" t="s">
        <v>204</v>
      </c>
      <c r="F879" s="50">
        <v>53900</v>
      </c>
    </row>
    <row r="880" spans="1:6" x14ac:dyDescent="0.25">
      <c r="A880" s="37">
        <v>2011</v>
      </c>
      <c r="B880" s="38" t="s">
        <v>320</v>
      </c>
      <c r="C880" s="38" t="s">
        <v>207</v>
      </c>
      <c r="D880" s="44" t="s">
        <v>210</v>
      </c>
      <c r="E880" s="32" t="s">
        <v>2</v>
      </c>
      <c r="F880" s="50">
        <v>8470</v>
      </c>
    </row>
    <row r="881" spans="1:6" x14ac:dyDescent="0.25">
      <c r="A881" s="37">
        <v>2011</v>
      </c>
      <c r="B881" s="38" t="s">
        <v>320</v>
      </c>
      <c r="C881" s="38" t="s">
        <v>207</v>
      </c>
      <c r="D881" s="44" t="s">
        <v>210</v>
      </c>
      <c r="E881" s="32" t="s">
        <v>24</v>
      </c>
      <c r="F881" s="50">
        <v>15265</v>
      </c>
    </row>
    <row r="882" spans="1:6" x14ac:dyDescent="0.25">
      <c r="A882" s="45">
        <v>2011</v>
      </c>
      <c r="B882" s="46" t="s">
        <v>320</v>
      </c>
      <c r="C882" s="46" t="s">
        <v>207</v>
      </c>
      <c r="D882" s="47" t="s">
        <v>210</v>
      </c>
      <c r="E882" s="33" t="s">
        <v>204</v>
      </c>
      <c r="F882" s="51">
        <v>14341</v>
      </c>
    </row>
    <row r="883" spans="1:6" x14ac:dyDescent="0.25">
      <c r="A883" s="37">
        <v>2011</v>
      </c>
      <c r="B883" s="38" t="s">
        <v>316</v>
      </c>
      <c r="C883" s="38" t="s">
        <v>203</v>
      </c>
      <c r="D883" s="39" t="s">
        <v>174</v>
      </c>
      <c r="E883" s="32" t="s">
        <v>2</v>
      </c>
      <c r="F883" s="50">
        <v>29440</v>
      </c>
    </row>
    <row r="884" spans="1:6" x14ac:dyDescent="0.25">
      <c r="A884" s="37">
        <v>2011</v>
      </c>
      <c r="B884" s="38" t="s">
        <v>316</v>
      </c>
      <c r="C884" s="38" t="s">
        <v>203</v>
      </c>
      <c r="D884" s="39" t="s">
        <v>174</v>
      </c>
      <c r="E884" s="32" t="s">
        <v>24</v>
      </c>
      <c r="F884" s="50">
        <v>84605</v>
      </c>
    </row>
    <row r="885" spans="1:6" x14ac:dyDescent="0.25">
      <c r="A885" s="37">
        <v>2011</v>
      </c>
      <c r="B885" s="38" t="s">
        <v>316</v>
      </c>
      <c r="C885" s="38" t="s">
        <v>203</v>
      </c>
      <c r="D885" s="39" t="s">
        <v>174</v>
      </c>
      <c r="E885" s="32" t="s">
        <v>204</v>
      </c>
      <c r="F885" s="50">
        <v>0</v>
      </c>
    </row>
    <row r="886" spans="1:6" x14ac:dyDescent="0.25">
      <c r="A886" s="37">
        <v>2011</v>
      </c>
      <c r="B886" s="38" t="s">
        <v>316</v>
      </c>
      <c r="C886" s="38" t="s">
        <v>203</v>
      </c>
      <c r="D886" s="41" t="s">
        <v>205</v>
      </c>
      <c r="E886" s="32" t="s">
        <v>2</v>
      </c>
      <c r="F886" s="50">
        <v>0</v>
      </c>
    </row>
    <row r="887" spans="1:6" x14ac:dyDescent="0.25">
      <c r="A887" s="37">
        <v>2011</v>
      </c>
      <c r="B887" s="38" t="s">
        <v>316</v>
      </c>
      <c r="C887" s="38" t="s">
        <v>203</v>
      </c>
      <c r="D887" s="41" t="s">
        <v>205</v>
      </c>
      <c r="E887" s="32" t="s">
        <v>24</v>
      </c>
      <c r="F887" s="50">
        <v>85382</v>
      </c>
    </row>
    <row r="888" spans="1:6" x14ac:dyDescent="0.25">
      <c r="A888" s="37">
        <v>2011</v>
      </c>
      <c r="B888" s="38" t="s">
        <v>316</v>
      </c>
      <c r="C888" s="38" t="s">
        <v>203</v>
      </c>
      <c r="D888" s="41" t="s">
        <v>205</v>
      </c>
      <c r="E888" s="32" t="s">
        <v>204</v>
      </c>
      <c r="F888" s="50">
        <v>6080</v>
      </c>
    </row>
    <row r="889" spans="1:6" x14ac:dyDescent="0.25">
      <c r="A889" s="37">
        <v>2011</v>
      </c>
      <c r="B889" s="38" t="s">
        <v>316</v>
      </c>
      <c r="C889" s="38" t="s">
        <v>203</v>
      </c>
      <c r="D889" s="42" t="s">
        <v>206</v>
      </c>
      <c r="E889" s="32" t="s">
        <v>2</v>
      </c>
      <c r="F889" s="50">
        <v>8700</v>
      </c>
    </row>
    <row r="890" spans="1:6" x14ac:dyDescent="0.25">
      <c r="A890" s="37">
        <v>2011</v>
      </c>
      <c r="B890" s="38" t="s">
        <v>316</v>
      </c>
      <c r="C890" s="38" t="s">
        <v>203</v>
      </c>
      <c r="D890" s="42" t="s">
        <v>206</v>
      </c>
      <c r="E890" s="32" t="s">
        <v>24</v>
      </c>
      <c r="F890" s="50">
        <v>17038</v>
      </c>
    </row>
    <row r="891" spans="1:6" x14ac:dyDescent="0.25">
      <c r="A891" s="37">
        <v>2011</v>
      </c>
      <c r="B891" s="38" t="s">
        <v>316</v>
      </c>
      <c r="C891" s="38" t="s">
        <v>203</v>
      </c>
      <c r="D891" s="42" t="s">
        <v>206</v>
      </c>
      <c r="E891" s="32" t="s">
        <v>204</v>
      </c>
      <c r="F891" s="50">
        <v>14409</v>
      </c>
    </row>
    <row r="892" spans="1:6" x14ac:dyDescent="0.25">
      <c r="A892" s="37">
        <v>2011</v>
      </c>
      <c r="B892" s="38" t="s">
        <v>316</v>
      </c>
      <c r="C892" s="38" t="s">
        <v>203</v>
      </c>
      <c r="D892" s="43" t="s">
        <v>175</v>
      </c>
      <c r="E892" s="32" t="s">
        <v>2</v>
      </c>
      <c r="F892" s="50">
        <v>4400</v>
      </c>
    </row>
    <row r="893" spans="1:6" x14ac:dyDescent="0.25">
      <c r="A893" s="37">
        <v>2011</v>
      </c>
      <c r="B893" s="38" t="s">
        <v>316</v>
      </c>
      <c r="C893" s="38" t="s">
        <v>203</v>
      </c>
      <c r="D893" s="43" t="s">
        <v>175</v>
      </c>
      <c r="E893" s="32" t="s">
        <v>24</v>
      </c>
      <c r="F893" s="50">
        <v>17371</v>
      </c>
    </row>
    <row r="894" spans="1:6" x14ac:dyDescent="0.25">
      <c r="A894" s="37">
        <v>2011</v>
      </c>
      <c r="B894" s="38" t="s">
        <v>316</v>
      </c>
      <c r="C894" s="38" t="s">
        <v>203</v>
      </c>
      <c r="D894" s="43" t="s">
        <v>175</v>
      </c>
      <c r="E894" s="32" t="s">
        <v>204</v>
      </c>
      <c r="F894" s="50">
        <v>0</v>
      </c>
    </row>
    <row r="895" spans="1:6" x14ac:dyDescent="0.25">
      <c r="A895" s="37">
        <v>2011</v>
      </c>
      <c r="B895" s="38" t="s">
        <v>316</v>
      </c>
      <c r="C895" s="38" t="s">
        <v>207</v>
      </c>
      <c r="D895" s="39" t="s">
        <v>208</v>
      </c>
      <c r="E895" s="32" t="s">
        <v>2</v>
      </c>
      <c r="F895" s="50">
        <v>6341</v>
      </c>
    </row>
    <row r="896" spans="1:6" x14ac:dyDescent="0.25">
      <c r="A896" s="37">
        <v>2011</v>
      </c>
      <c r="B896" s="38" t="s">
        <v>316</v>
      </c>
      <c r="C896" s="38" t="s">
        <v>207</v>
      </c>
      <c r="D896" s="39" t="s">
        <v>208</v>
      </c>
      <c r="E896" s="32" t="s">
        <v>24</v>
      </c>
      <c r="F896" s="50">
        <v>24948</v>
      </c>
    </row>
    <row r="897" spans="1:6" x14ac:dyDescent="0.25">
      <c r="A897" s="37">
        <v>2011</v>
      </c>
      <c r="B897" s="38" t="s">
        <v>316</v>
      </c>
      <c r="C897" s="38" t="s">
        <v>207</v>
      </c>
      <c r="D897" s="39" t="s">
        <v>208</v>
      </c>
      <c r="E897" s="32" t="s">
        <v>204</v>
      </c>
      <c r="F897" s="50">
        <v>415543</v>
      </c>
    </row>
    <row r="898" spans="1:6" x14ac:dyDescent="0.25">
      <c r="A898" s="37">
        <v>2011</v>
      </c>
      <c r="B898" s="38" t="s">
        <v>316</v>
      </c>
      <c r="C898" s="38" t="s">
        <v>207</v>
      </c>
      <c r="D898" s="43" t="s">
        <v>209</v>
      </c>
      <c r="E898" s="32" t="s">
        <v>2</v>
      </c>
      <c r="F898" s="50">
        <v>0</v>
      </c>
    </row>
    <row r="899" spans="1:6" x14ac:dyDescent="0.25">
      <c r="A899" s="37">
        <v>2011</v>
      </c>
      <c r="B899" s="38" t="s">
        <v>316</v>
      </c>
      <c r="C899" s="38" t="s">
        <v>207</v>
      </c>
      <c r="D899" s="43" t="s">
        <v>209</v>
      </c>
      <c r="E899" s="32" t="s">
        <v>24</v>
      </c>
      <c r="F899" s="50">
        <v>7476</v>
      </c>
    </row>
    <row r="900" spans="1:6" x14ac:dyDescent="0.25">
      <c r="A900" s="37">
        <v>2011</v>
      </c>
      <c r="B900" s="38" t="s">
        <v>316</v>
      </c>
      <c r="C900" s="38" t="s">
        <v>207</v>
      </c>
      <c r="D900" s="43" t="s">
        <v>209</v>
      </c>
      <c r="E900" s="32" t="s">
        <v>204</v>
      </c>
      <c r="F900" s="50">
        <v>46200</v>
      </c>
    </row>
    <row r="901" spans="1:6" x14ac:dyDescent="0.25">
      <c r="A901" s="37">
        <v>2011</v>
      </c>
      <c r="B901" s="38" t="s">
        <v>316</v>
      </c>
      <c r="C901" s="38" t="s">
        <v>207</v>
      </c>
      <c r="D901" s="44" t="s">
        <v>210</v>
      </c>
      <c r="E901" s="32" t="s">
        <v>2</v>
      </c>
      <c r="F901" s="50">
        <v>6620</v>
      </c>
    </row>
    <row r="902" spans="1:6" x14ac:dyDescent="0.25">
      <c r="A902" s="37">
        <v>2011</v>
      </c>
      <c r="B902" s="38" t="s">
        <v>316</v>
      </c>
      <c r="C902" s="38" t="s">
        <v>207</v>
      </c>
      <c r="D902" s="44" t="s">
        <v>210</v>
      </c>
      <c r="E902" s="32" t="s">
        <v>24</v>
      </c>
      <c r="F902" s="50">
        <v>22860</v>
      </c>
    </row>
    <row r="903" spans="1:6" x14ac:dyDescent="0.25">
      <c r="A903" s="45">
        <v>2011</v>
      </c>
      <c r="B903" s="46" t="s">
        <v>316</v>
      </c>
      <c r="C903" s="46" t="s">
        <v>207</v>
      </c>
      <c r="D903" s="47" t="s">
        <v>210</v>
      </c>
      <c r="E903" s="33" t="s">
        <v>204</v>
      </c>
      <c r="F903" s="51">
        <v>19476</v>
      </c>
    </row>
    <row r="904" spans="1:6" x14ac:dyDescent="0.25">
      <c r="A904" s="37">
        <v>2012</v>
      </c>
      <c r="B904" s="38" t="s">
        <v>317</v>
      </c>
      <c r="C904" s="38" t="s">
        <v>203</v>
      </c>
      <c r="D904" s="39" t="s">
        <v>174</v>
      </c>
      <c r="E904" s="32" t="s">
        <v>2</v>
      </c>
      <c r="F904" s="50">
        <v>31132</v>
      </c>
    </row>
    <row r="905" spans="1:6" x14ac:dyDescent="0.25">
      <c r="A905" s="37">
        <v>2012</v>
      </c>
      <c r="B905" s="38" t="s">
        <v>317</v>
      </c>
      <c r="C905" s="38" t="s">
        <v>203</v>
      </c>
      <c r="D905" s="39" t="s">
        <v>174</v>
      </c>
      <c r="E905" s="32" t="s">
        <v>24</v>
      </c>
      <c r="F905" s="50">
        <v>103180</v>
      </c>
    </row>
    <row r="906" spans="1:6" x14ac:dyDescent="0.25">
      <c r="A906" s="37">
        <v>2012</v>
      </c>
      <c r="B906" s="38" t="s">
        <v>317</v>
      </c>
      <c r="C906" s="38" t="s">
        <v>203</v>
      </c>
      <c r="D906" s="39" t="s">
        <v>174</v>
      </c>
      <c r="E906" s="32" t="s">
        <v>204</v>
      </c>
      <c r="F906" s="50">
        <v>0</v>
      </c>
    </row>
    <row r="907" spans="1:6" x14ac:dyDescent="0.25">
      <c r="A907" s="37">
        <v>2012</v>
      </c>
      <c r="B907" s="38" t="s">
        <v>317</v>
      </c>
      <c r="C907" s="38" t="s">
        <v>203</v>
      </c>
      <c r="D907" s="41" t="s">
        <v>205</v>
      </c>
      <c r="E907" s="32" t="s">
        <v>2</v>
      </c>
      <c r="F907" s="50">
        <v>0</v>
      </c>
    </row>
    <row r="908" spans="1:6" x14ac:dyDescent="0.25">
      <c r="A908" s="37">
        <v>2012</v>
      </c>
      <c r="B908" s="38" t="s">
        <v>317</v>
      </c>
      <c r="C908" s="38" t="s">
        <v>203</v>
      </c>
      <c r="D908" s="41" t="s">
        <v>205</v>
      </c>
      <c r="E908" s="32" t="s">
        <v>24</v>
      </c>
      <c r="F908" s="50">
        <v>87229</v>
      </c>
    </row>
    <row r="909" spans="1:6" x14ac:dyDescent="0.25">
      <c r="A909" s="37">
        <v>2012</v>
      </c>
      <c r="B909" s="38" t="s">
        <v>317</v>
      </c>
      <c r="C909" s="38" t="s">
        <v>203</v>
      </c>
      <c r="D909" s="41" t="s">
        <v>205</v>
      </c>
      <c r="E909" s="32" t="s">
        <v>204</v>
      </c>
      <c r="F909" s="50">
        <v>6080</v>
      </c>
    </row>
    <row r="910" spans="1:6" x14ac:dyDescent="0.25">
      <c r="A910" s="37">
        <v>2012</v>
      </c>
      <c r="B910" s="38" t="s">
        <v>317</v>
      </c>
      <c r="C910" s="38" t="s">
        <v>203</v>
      </c>
      <c r="D910" s="42" t="s">
        <v>206</v>
      </c>
      <c r="E910" s="32" t="s">
        <v>2</v>
      </c>
      <c r="F910" s="50">
        <v>2300</v>
      </c>
    </row>
    <row r="911" spans="1:6" x14ac:dyDescent="0.25">
      <c r="A911" s="37">
        <v>2012</v>
      </c>
      <c r="B911" s="38" t="s">
        <v>317</v>
      </c>
      <c r="C911" s="38" t="s">
        <v>203</v>
      </c>
      <c r="D911" s="42" t="s">
        <v>206</v>
      </c>
      <c r="E911" s="32" t="s">
        <v>24</v>
      </c>
      <c r="F911" s="50">
        <v>23962</v>
      </c>
    </row>
    <row r="912" spans="1:6" x14ac:dyDescent="0.25">
      <c r="A912" s="37">
        <v>2012</v>
      </c>
      <c r="B912" s="38" t="s">
        <v>317</v>
      </c>
      <c r="C912" s="38" t="s">
        <v>203</v>
      </c>
      <c r="D912" s="42" t="s">
        <v>206</v>
      </c>
      <c r="E912" s="32" t="s">
        <v>204</v>
      </c>
      <c r="F912" s="50">
        <v>14409</v>
      </c>
    </row>
    <row r="913" spans="1:6" x14ac:dyDescent="0.25">
      <c r="A913" s="37">
        <v>2012</v>
      </c>
      <c r="B913" s="38" t="s">
        <v>317</v>
      </c>
      <c r="C913" s="38" t="s">
        <v>203</v>
      </c>
      <c r="D913" s="43" t="s">
        <v>175</v>
      </c>
      <c r="E913" s="32" t="s">
        <v>2</v>
      </c>
      <c r="F913" s="50">
        <v>4400</v>
      </c>
    </row>
    <row r="914" spans="1:6" x14ac:dyDescent="0.25">
      <c r="A914" s="37">
        <v>2012</v>
      </c>
      <c r="B914" s="38" t="s">
        <v>317</v>
      </c>
      <c r="C914" s="38" t="s">
        <v>203</v>
      </c>
      <c r="D914" s="43" t="s">
        <v>175</v>
      </c>
      <c r="E914" s="32" t="s">
        <v>24</v>
      </c>
      <c r="F914" s="50">
        <v>11371</v>
      </c>
    </row>
    <row r="915" spans="1:6" x14ac:dyDescent="0.25">
      <c r="A915" s="37">
        <v>2012</v>
      </c>
      <c r="B915" s="38" t="s">
        <v>317</v>
      </c>
      <c r="C915" s="38" t="s">
        <v>203</v>
      </c>
      <c r="D915" s="43" t="s">
        <v>175</v>
      </c>
      <c r="E915" s="32" t="s">
        <v>204</v>
      </c>
      <c r="F915" s="50">
        <v>8300</v>
      </c>
    </row>
    <row r="916" spans="1:6" x14ac:dyDescent="0.25">
      <c r="A916" s="37">
        <v>2012</v>
      </c>
      <c r="B916" s="38" t="s">
        <v>317</v>
      </c>
      <c r="C916" s="38" t="s">
        <v>207</v>
      </c>
      <c r="D916" s="39" t="s">
        <v>208</v>
      </c>
      <c r="E916" s="32" t="s">
        <v>2</v>
      </c>
      <c r="F916" s="50">
        <v>5355</v>
      </c>
    </row>
    <row r="917" spans="1:6" x14ac:dyDescent="0.25">
      <c r="A917" s="37">
        <v>2012</v>
      </c>
      <c r="B917" s="38" t="s">
        <v>317</v>
      </c>
      <c r="C917" s="38" t="s">
        <v>207</v>
      </c>
      <c r="D917" s="39" t="s">
        <v>208</v>
      </c>
      <c r="E917" s="32" t="s">
        <v>24</v>
      </c>
      <c r="F917" s="50">
        <v>19450</v>
      </c>
    </row>
    <row r="918" spans="1:6" x14ac:dyDescent="0.25">
      <c r="A918" s="37">
        <v>2012</v>
      </c>
      <c r="B918" s="38" t="s">
        <v>317</v>
      </c>
      <c r="C918" s="38" t="s">
        <v>207</v>
      </c>
      <c r="D918" s="39" t="s">
        <v>208</v>
      </c>
      <c r="E918" s="32" t="s">
        <v>204</v>
      </c>
      <c r="F918" s="50">
        <v>235236</v>
      </c>
    </row>
    <row r="919" spans="1:6" x14ac:dyDescent="0.25">
      <c r="A919" s="37">
        <v>2012</v>
      </c>
      <c r="B919" s="38" t="s">
        <v>317</v>
      </c>
      <c r="C919" s="38" t="s">
        <v>207</v>
      </c>
      <c r="D919" s="43" t="s">
        <v>209</v>
      </c>
      <c r="E919" s="32" t="s">
        <v>2</v>
      </c>
      <c r="F919" s="50">
        <v>0</v>
      </c>
    </row>
    <row r="920" spans="1:6" x14ac:dyDescent="0.25">
      <c r="A920" s="37">
        <v>2012</v>
      </c>
      <c r="B920" s="38" t="s">
        <v>317</v>
      </c>
      <c r="C920" s="38" t="s">
        <v>207</v>
      </c>
      <c r="D920" s="43" t="s">
        <v>209</v>
      </c>
      <c r="E920" s="32" t="s">
        <v>24</v>
      </c>
      <c r="F920" s="50">
        <v>7476</v>
      </c>
    </row>
    <row r="921" spans="1:6" x14ac:dyDescent="0.25">
      <c r="A921" s="37">
        <v>2012</v>
      </c>
      <c r="B921" s="38" t="s">
        <v>317</v>
      </c>
      <c r="C921" s="38" t="s">
        <v>207</v>
      </c>
      <c r="D921" s="43" t="s">
        <v>209</v>
      </c>
      <c r="E921" s="32" t="s">
        <v>204</v>
      </c>
      <c r="F921" s="50">
        <v>78800</v>
      </c>
    </row>
    <row r="922" spans="1:6" x14ac:dyDescent="0.25">
      <c r="A922" s="37">
        <v>2012</v>
      </c>
      <c r="B922" s="38" t="s">
        <v>317</v>
      </c>
      <c r="C922" s="38" t="s">
        <v>207</v>
      </c>
      <c r="D922" s="44" t="s">
        <v>210</v>
      </c>
      <c r="E922" s="32" t="s">
        <v>2</v>
      </c>
      <c r="F922" s="50">
        <v>6620</v>
      </c>
    </row>
    <row r="923" spans="1:6" x14ac:dyDescent="0.25">
      <c r="A923" s="37">
        <v>2012</v>
      </c>
      <c r="B923" s="38" t="s">
        <v>317</v>
      </c>
      <c r="C923" s="38" t="s">
        <v>207</v>
      </c>
      <c r="D923" s="44" t="s">
        <v>210</v>
      </c>
      <c r="E923" s="32" t="s">
        <v>24</v>
      </c>
      <c r="F923" s="50">
        <v>26281</v>
      </c>
    </row>
    <row r="924" spans="1:6" x14ac:dyDescent="0.25">
      <c r="A924" s="37">
        <v>2012</v>
      </c>
      <c r="B924" s="38" t="s">
        <v>317</v>
      </c>
      <c r="C924" s="46" t="s">
        <v>207</v>
      </c>
      <c r="D924" s="47" t="s">
        <v>210</v>
      </c>
      <c r="E924" s="33" t="s">
        <v>204</v>
      </c>
      <c r="F924" s="51">
        <v>14400</v>
      </c>
    </row>
    <row r="925" spans="1:6" x14ac:dyDescent="0.25">
      <c r="A925" s="37">
        <v>2012</v>
      </c>
      <c r="B925" s="38" t="s">
        <v>307</v>
      </c>
      <c r="C925" s="38" t="s">
        <v>203</v>
      </c>
      <c r="D925" s="39" t="s">
        <v>174</v>
      </c>
      <c r="E925" s="32" t="s">
        <v>2</v>
      </c>
      <c r="F925" s="50">
        <v>37163</v>
      </c>
    </row>
    <row r="926" spans="1:6" x14ac:dyDescent="0.25">
      <c r="A926" s="37">
        <v>2012</v>
      </c>
      <c r="B926" s="38" t="s">
        <v>307</v>
      </c>
      <c r="C926" s="38" t="s">
        <v>203</v>
      </c>
      <c r="D926" s="39" t="s">
        <v>174</v>
      </c>
      <c r="E926" s="32" t="s">
        <v>24</v>
      </c>
      <c r="F926" s="50">
        <v>103180</v>
      </c>
    </row>
    <row r="927" spans="1:6" x14ac:dyDescent="0.25">
      <c r="A927" s="37">
        <v>2012</v>
      </c>
      <c r="B927" s="38" t="s">
        <v>307</v>
      </c>
      <c r="C927" s="38" t="s">
        <v>203</v>
      </c>
      <c r="D927" s="39" t="s">
        <v>174</v>
      </c>
      <c r="E927" s="32" t="s">
        <v>204</v>
      </c>
      <c r="F927" s="50">
        <v>0</v>
      </c>
    </row>
    <row r="928" spans="1:6" x14ac:dyDescent="0.25">
      <c r="A928" s="37">
        <v>2012</v>
      </c>
      <c r="B928" s="38" t="s">
        <v>307</v>
      </c>
      <c r="C928" s="38" t="s">
        <v>203</v>
      </c>
      <c r="D928" s="41" t="s">
        <v>205</v>
      </c>
      <c r="E928" s="32" t="s">
        <v>2</v>
      </c>
      <c r="F928" s="50">
        <v>0</v>
      </c>
    </row>
    <row r="929" spans="1:6" x14ac:dyDescent="0.25">
      <c r="A929" s="37">
        <v>2012</v>
      </c>
      <c r="B929" s="38" t="s">
        <v>307</v>
      </c>
      <c r="C929" s="38" t="s">
        <v>203</v>
      </c>
      <c r="D929" s="41" t="s">
        <v>205</v>
      </c>
      <c r="E929" s="32" t="s">
        <v>24</v>
      </c>
      <c r="F929" s="50">
        <v>86062</v>
      </c>
    </row>
    <row r="930" spans="1:6" x14ac:dyDescent="0.25">
      <c r="A930" s="37">
        <v>2012</v>
      </c>
      <c r="B930" s="38" t="s">
        <v>307</v>
      </c>
      <c r="C930" s="38" t="s">
        <v>203</v>
      </c>
      <c r="D930" s="41" t="s">
        <v>205</v>
      </c>
      <c r="E930" s="32" t="s">
        <v>204</v>
      </c>
      <c r="F930" s="50">
        <v>6080</v>
      </c>
    </row>
    <row r="931" spans="1:6" x14ac:dyDescent="0.25">
      <c r="A931" s="37">
        <v>2012</v>
      </c>
      <c r="B931" s="38" t="s">
        <v>307</v>
      </c>
      <c r="C931" s="38" t="s">
        <v>203</v>
      </c>
      <c r="D931" s="42" t="s">
        <v>206</v>
      </c>
      <c r="E931" s="32" t="s">
        <v>2</v>
      </c>
      <c r="F931" s="50">
        <v>0</v>
      </c>
    </row>
    <row r="932" spans="1:6" x14ac:dyDescent="0.25">
      <c r="A932" s="37">
        <v>2012</v>
      </c>
      <c r="B932" s="38" t="s">
        <v>307</v>
      </c>
      <c r="C932" s="38" t="s">
        <v>203</v>
      </c>
      <c r="D932" s="42" t="s">
        <v>206</v>
      </c>
      <c r="E932" s="32" t="s">
        <v>24</v>
      </c>
      <c r="F932" s="50">
        <v>22625</v>
      </c>
    </row>
    <row r="933" spans="1:6" x14ac:dyDescent="0.25">
      <c r="A933" s="37">
        <v>2012</v>
      </c>
      <c r="B933" s="38" t="s">
        <v>307</v>
      </c>
      <c r="C933" s="38" t="s">
        <v>203</v>
      </c>
      <c r="D933" s="42" t="s">
        <v>206</v>
      </c>
      <c r="E933" s="32" t="s">
        <v>204</v>
      </c>
      <c r="F933" s="50">
        <v>13609</v>
      </c>
    </row>
    <row r="934" spans="1:6" x14ac:dyDescent="0.25">
      <c r="A934" s="37">
        <v>2012</v>
      </c>
      <c r="B934" s="38" t="s">
        <v>307</v>
      </c>
      <c r="C934" s="38" t="s">
        <v>203</v>
      </c>
      <c r="D934" s="43" t="s">
        <v>175</v>
      </c>
      <c r="E934" s="32" t="s">
        <v>2</v>
      </c>
      <c r="F934" s="50">
        <v>4400</v>
      </c>
    </row>
    <row r="935" spans="1:6" x14ac:dyDescent="0.25">
      <c r="A935" s="37">
        <v>2012</v>
      </c>
      <c r="B935" s="38" t="s">
        <v>307</v>
      </c>
      <c r="C935" s="38" t="s">
        <v>203</v>
      </c>
      <c r="D935" s="43" t="s">
        <v>175</v>
      </c>
      <c r="E935" s="32" t="s">
        <v>24</v>
      </c>
      <c r="F935" s="50">
        <v>14691</v>
      </c>
    </row>
    <row r="936" spans="1:6" x14ac:dyDescent="0.25">
      <c r="A936" s="37">
        <v>2012</v>
      </c>
      <c r="B936" s="38" t="s">
        <v>307</v>
      </c>
      <c r="C936" s="38" t="s">
        <v>203</v>
      </c>
      <c r="D936" s="43" t="s">
        <v>175</v>
      </c>
      <c r="E936" s="32" t="s">
        <v>204</v>
      </c>
      <c r="F936" s="50">
        <v>8300</v>
      </c>
    </row>
    <row r="937" spans="1:6" x14ac:dyDescent="0.25">
      <c r="A937" s="37">
        <v>2012</v>
      </c>
      <c r="B937" s="38" t="s">
        <v>307</v>
      </c>
      <c r="C937" s="38" t="s">
        <v>207</v>
      </c>
      <c r="D937" s="39" t="s">
        <v>208</v>
      </c>
      <c r="E937" s="32" t="s">
        <v>2</v>
      </c>
      <c r="F937" s="50">
        <v>5355</v>
      </c>
    </row>
    <row r="938" spans="1:6" x14ac:dyDescent="0.25">
      <c r="A938" s="37">
        <v>2012</v>
      </c>
      <c r="B938" s="38" t="s">
        <v>307</v>
      </c>
      <c r="C938" s="38" t="s">
        <v>207</v>
      </c>
      <c r="D938" s="39" t="s">
        <v>208</v>
      </c>
      <c r="E938" s="32" t="s">
        <v>24</v>
      </c>
      <c r="F938" s="50">
        <v>18906</v>
      </c>
    </row>
    <row r="939" spans="1:6" x14ac:dyDescent="0.25">
      <c r="A939" s="37">
        <v>2012</v>
      </c>
      <c r="B939" s="38" t="s">
        <v>307</v>
      </c>
      <c r="C939" s="38" t="s">
        <v>207</v>
      </c>
      <c r="D939" s="39" t="s">
        <v>208</v>
      </c>
      <c r="E939" s="32" t="s">
        <v>204</v>
      </c>
      <c r="F939" s="50">
        <v>282061</v>
      </c>
    </row>
    <row r="940" spans="1:6" x14ac:dyDescent="0.25">
      <c r="A940" s="37">
        <v>2012</v>
      </c>
      <c r="B940" s="38" t="s">
        <v>307</v>
      </c>
      <c r="C940" s="38" t="s">
        <v>207</v>
      </c>
      <c r="D940" s="43" t="s">
        <v>209</v>
      </c>
      <c r="E940" s="32" t="s">
        <v>2</v>
      </c>
      <c r="F940" s="50">
        <v>0</v>
      </c>
    </row>
    <row r="941" spans="1:6" x14ac:dyDescent="0.25">
      <c r="A941" s="37">
        <v>2012</v>
      </c>
      <c r="B941" s="38" t="s">
        <v>307</v>
      </c>
      <c r="C941" s="38" t="s">
        <v>207</v>
      </c>
      <c r="D941" s="43" t="s">
        <v>209</v>
      </c>
      <c r="E941" s="32" t="s">
        <v>24</v>
      </c>
      <c r="F941" s="50">
        <v>1460</v>
      </c>
    </row>
    <row r="942" spans="1:6" x14ac:dyDescent="0.25">
      <c r="A942" s="37">
        <v>2012</v>
      </c>
      <c r="B942" s="38" t="s">
        <v>307</v>
      </c>
      <c r="C942" s="38" t="s">
        <v>207</v>
      </c>
      <c r="D942" s="43" t="s">
        <v>209</v>
      </c>
      <c r="E942" s="32" t="s">
        <v>204</v>
      </c>
      <c r="F942" s="50">
        <v>78800</v>
      </c>
    </row>
    <row r="943" spans="1:6" x14ac:dyDescent="0.25">
      <c r="A943" s="37">
        <v>2012</v>
      </c>
      <c r="B943" s="38" t="s">
        <v>307</v>
      </c>
      <c r="C943" s="38" t="s">
        <v>207</v>
      </c>
      <c r="D943" s="44" t="s">
        <v>210</v>
      </c>
      <c r="E943" s="32" t="s">
        <v>2</v>
      </c>
      <c r="F943" s="50">
        <v>1820</v>
      </c>
    </row>
    <row r="944" spans="1:6" x14ac:dyDescent="0.25">
      <c r="A944" s="37">
        <v>2012</v>
      </c>
      <c r="B944" s="38" t="s">
        <v>307</v>
      </c>
      <c r="C944" s="38" t="s">
        <v>207</v>
      </c>
      <c r="D944" s="44" t="s">
        <v>210</v>
      </c>
      <c r="E944" s="32" t="s">
        <v>24</v>
      </c>
      <c r="F944" s="50">
        <v>23405</v>
      </c>
    </row>
    <row r="945" spans="1:6" x14ac:dyDescent="0.25">
      <c r="A945" s="45">
        <v>2012</v>
      </c>
      <c r="B945" s="46" t="s">
        <v>307</v>
      </c>
      <c r="C945" s="46" t="s">
        <v>207</v>
      </c>
      <c r="D945" s="47" t="s">
        <v>210</v>
      </c>
      <c r="E945" s="33" t="s">
        <v>204</v>
      </c>
      <c r="F945" s="48">
        <v>14400</v>
      </c>
    </row>
    <row r="946" spans="1:6" x14ac:dyDescent="0.25">
      <c r="A946" s="37">
        <v>2012</v>
      </c>
      <c r="B946" s="38" t="s">
        <v>318</v>
      </c>
      <c r="C946" s="38" t="s">
        <v>203</v>
      </c>
      <c r="D946" s="39" t="s">
        <v>174</v>
      </c>
      <c r="E946" s="32" t="s">
        <v>2</v>
      </c>
      <c r="F946" s="50">
        <v>36097</v>
      </c>
    </row>
    <row r="947" spans="1:6" x14ac:dyDescent="0.25">
      <c r="A947" s="37">
        <v>2012</v>
      </c>
      <c r="B947" s="38" t="s">
        <v>318</v>
      </c>
      <c r="C947" s="38" t="s">
        <v>203</v>
      </c>
      <c r="D947" s="39" t="s">
        <v>174</v>
      </c>
      <c r="E947" s="32" t="s">
        <v>24</v>
      </c>
      <c r="F947" s="50">
        <v>98402</v>
      </c>
    </row>
    <row r="948" spans="1:6" x14ac:dyDescent="0.25">
      <c r="A948" s="37">
        <v>2012</v>
      </c>
      <c r="B948" s="38" t="s">
        <v>318</v>
      </c>
      <c r="C948" s="38" t="s">
        <v>203</v>
      </c>
      <c r="D948" s="39" t="s">
        <v>174</v>
      </c>
      <c r="E948" s="32" t="s">
        <v>204</v>
      </c>
      <c r="F948" s="50">
        <v>0</v>
      </c>
    </row>
    <row r="949" spans="1:6" x14ac:dyDescent="0.25">
      <c r="A949" s="37">
        <v>2012</v>
      </c>
      <c r="B949" s="38" t="s">
        <v>318</v>
      </c>
      <c r="C949" s="38" t="s">
        <v>203</v>
      </c>
      <c r="D949" s="41" t="s">
        <v>205</v>
      </c>
      <c r="E949" s="32" t="s">
        <v>2</v>
      </c>
      <c r="F949" s="50">
        <v>3724</v>
      </c>
    </row>
    <row r="950" spans="1:6" x14ac:dyDescent="0.25">
      <c r="A950" s="37">
        <v>2012</v>
      </c>
      <c r="B950" s="38" t="s">
        <v>318</v>
      </c>
      <c r="C950" s="38" t="s">
        <v>203</v>
      </c>
      <c r="D950" s="41" t="s">
        <v>205</v>
      </c>
      <c r="E950" s="32" t="s">
        <v>24</v>
      </c>
      <c r="F950" s="50">
        <v>91444</v>
      </c>
    </row>
    <row r="951" spans="1:6" x14ac:dyDescent="0.25">
      <c r="A951" s="37">
        <v>2012</v>
      </c>
      <c r="B951" s="38" t="s">
        <v>318</v>
      </c>
      <c r="C951" s="38" t="s">
        <v>203</v>
      </c>
      <c r="D951" s="41" t="s">
        <v>205</v>
      </c>
      <c r="E951" s="32" t="s">
        <v>204</v>
      </c>
      <c r="F951" s="50">
        <v>2080</v>
      </c>
    </row>
    <row r="952" spans="1:6" x14ac:dyDescent="0.25">
      <c r="A952" s="37">
        <v>2012</v>
      </c>
      <c r="B952" s="38" t="s">
        <v>318</v>
      </c>
      <c r="C952" s="38" t="s">
        <v>203</v>
      </c>
      <c r="D952" s="42" t="s">
        <v>206</v>
      </c>
      <c r="E952" s="32" t="s">
        <v>2</v>
      </c>
      <c r="F952" s="50">
        <v>2300</v>
      </c>
    </row>
    <row r="953" spans="1:6" x14ac:dyDescent="0.25">
      <c r="A953" s="37">
        <v>2012</v>
      </c>
      <c r="B953" s="38" t="s">
        <v>318</v>
      </c>
      <c r="C953" s="38" t="s">
        <v>203</v>
      </c>
      <c r="D953" s="42" t="s">
        <v>206</v>
      </c>
      <c r="E953" s="32" t="s">
        <v>24</v>
      </c>
      <c r="F953" s="50">
        <v>24182</v>
      </c>
    </row>
    <row r="954" spans="1:6" x14ac:dyDescent="0.25">
      <c r="A954" s="37">
        <v>2012</v>
      </c>
      <c r="B954" s="38" t="s">
        <v>318</v>
      </c>
      <c r="C954" s="38" t="s">
        <v>203</v>
      </c>
      <c r="D954" s="42" t="s">
        <v>206</v>
      </c>
      <c r="E954" s="32" t="s">
        <v>204</v>
      </c>
      <c r="F954" s="50">
        <v>13609</v>
      </c>
    </row>
    <row r="955" spans="1:6" x14ac:dyDescent="0.25">
      <c r="A955" s="37">
        <v>2012</v>
      </c>
      <c r="B955" s="38" t="s">
        <v>318</v>
      </c>
      <c r="C955" s="38" t="s">
        <v>203</v>
      </c>
      <c r="D955" s="43" t="s">
        <v>175</v>
      </c>
      <c r="E955" s="32" t="s">
        <v>2</v>
      </c>
      <c r="F955" s="50">
        <v>4400</v>
      </c>
    </row>
    <row r="956" spans="1:6" x14ac:dyDescent="0.25">
      <c r="A956" s="37">
        <v>2012</v>
      </c>
      <c r="B956" s="38" t="s">
        <v>318</v>
      </c>
      <c r="C956" s="38" t="s">
        <v>203</v>
      </c>
      <c r="D956" s="43" t="s">
        <v>175</v>
      </c>
      <c r="E956" s="32" t="s">
        <v>24</v>
      </c>
      <c r="F956" s="50">
        <v>14445</v>
      </c>
    </row>
    <row r="957" spans="1:6" x14ac:dyDescent="0.25">
      <c r="A957" s="37">
        <v>2012</v>
      </c>
      <c r="B957" s="38" t="s">
        <v>318</v>
      </c>
      <c r="C957" s="38" t="s">
        <v>203</v>
      </c>
      <c r="D957" s="43" t="s">
        <v>175</v>
      </c>
      <c r="E957" s="32" t="s">
        <v>204</v>
      </c>
      <c r="F957" s="50">
        <v>8300</v>
      </c>
    </row>
    <row r="958" spans="1:6" x14ac:dyDescent="0.25">
      <c r="A958" s="37">
        <v>2012</v>
      </c>
      <c r="B958" s="38" t="s">
        <v>318</v>
      </c>
      <c r="C958" s="38" t="s">
        <v>207</v>
      </c>
      <c r="D958" s="39" t="s">
        <v>208</v>
      </c>
      <c r="E958" s="32" t="s">
        <v>2</v>
      </c>
      <c r="F958" s="50">
        <v>5355</v>
      </c>
    </row>
    <row r="959" spans="1:6" x14ac:dyDescent="0.25">
      <c r="A959" s="37">
        <v>2012</v>
      </c>
      <c r="B959" s="38" t="s">
        <v>318</v>
      </c>
      <c r="C959" s="38" t="s">
        <v>207</v>
      </c>
      <c r="D959" s="39" t="s">
        <v>208</v>
      </c>
      <c r="E959" s="32" t="s">
        <v>24</v>
      </c>
      <c r="F959" s="50">
        <v>12914</v>
      </c>
    </row>
    <row r="960" spans="1:6" x14ac:dyDescent="0.25">
      <c r="A960" s="37">
        <v>2012</v>
      </c>
      <c r="B960" s="38" t="s">
        <v>318</v>
      </c>
      <c r="C960" s="38" t="s">
        <v>207</v>
      </c>
      <c r="D960" s="39" t="s">
        <v>208</v>
      </c>
      <c r="E960" s="32" t="s">
        <v>204</v>
      </c>
      <c r="F960" s="50">
        <v>185236</v>
      </c>
    </row>
    <row r="961" spans="1:6" x14ac:dyDescent="0.25">
      <c r="A961" s="37">
        <v>2012</v>
      </c>
      <c r="B961" s="38" t="s">
        <v>318</v>
      </c>
      <c r="C961" s="38" t="s">
        <v>207</v>
      </c>
      <c r="D961" s="43" t="s">
        <v>209</v>
      </c>
      <c r="E961" s="32" t="s">
        <v>2</v>
      </c>
      <c r="F961" s="50">
        <v>0</v>
      </c>
    </row>
    <row r="962" spans="1:6" x14ac:dyDescent="0.25">
      <c r="A962" s="37">
        <v>2012</v>
      </c>
      <c r="B962" s="38" t="s">
        <v>318</v>
      </c>
      <c r="C962" s="38" t="s">
        <v>207</v>
      </c>
      <c r="D962" s="43" t="s">
        <v>209</v>
      </c>
      <c r="E962" s="32" t="s">
        <v>24</v>
      </c>
      <c r="F962" s="50">
        <v>1460</v>
      </c>
    </row>
    <row r="963" spans="1:6" x14ac:dyDescent="0.25">
      <c r="A963" s="37">
        <v>2012</v>
      </c>
      <c r="B963" s="38" t="s">
        <v>318</v>
      </c>
      <c r="C963" s="38" t="s">
        <v>207</v>
      </c>
      <c r="D963" s="43" t="s">
        <v>209</v>
      </c>
      <c r="E963" s="32" t="s">
        <v>204</v>
      </c>
      <c r="F963" s="50">
        <v>82600</v>
      </c>
    </row>
    <row r="964" spans="1:6" x14ac:dyDescent="0.25">
      <c r="A964" s="37">
        <v>2012</v>
      </c>
      <c r="B964" s="38" t="s">
        <v>318</v>
      </c>
      <c r="C964" s="38" t="s">
        <v>207</v>
      </c>
      <c r="D964" s="44" t="s">
        <v>210</v>
      </c>
      <c r="E964" s="32" t="s">
        <v>2</v>
      </c>
      <c r="F964" s="50">
        <v>1820</v>
      </c>
    </row>
    <row r="965" spans="1:6" x14ac:dyDescent="0.25">
      <c r="A965" s="37">
        <v>2012</v>
      </c>
      <c r="B965" s="38" t="s">
        <v>318</v>
      </c>
      <c r="C965" s="38" t="s">
        <v>207</v>
      </c>
      <c r="D965" s="44" t="s">
        <v>210</v>
      </c>
      <c r="E965" s="32" t="s">
        <v>24</v>
      </c>
      <c r="F965" s="50">
        <v>24991</v>
      </c>
    </row>
    <row r="966" spans="1:6" ht="15.75" thickBot="1" x14ac:dyDescent="0.3">
      <c r="A966" s="52">
        <v>2012</v>
      </c>
      <c r="B966" s="53" t="s">
        <v>318</v>
      </c>
      <c r="C966" s="53" t="s">
        <v>207</v>
      </c>
      <c r="D966" s="54" t="s">
        <v>210</v>
      </c>
      <c r="E966" s="35" t="s">
        <v>204</v>
      </c>
      <c r="F966" s="64">
        <v>14400</v>
      </c>
    </row>
    <row r="967" spans="1:6" ht="15.75" thickTop="1" x14ac:dyDescent="0.25">
      <c r="A967" s="37">
        <v>2012</v>
      </c>
      <c r="B967" s="36" t="s">
        <v>319</v>
      </c>
      <c r="C967" s="38" t="s">
        <v>203</v>
      </c>
      <c r="D967" s="39" t="s">
        <v>174</v>
      </c>
      <c r="E967" s="32" t="s">
        <v>2</v>
      </c>
      <c r="F967" s="50">
        <v>30693</v>
      </c>
    </row>
    <row r="968" spans="1:6" x14ac:dyDescent="0.25">
      <c r="A968" s="37">
        <v>2012</v>
      </c>
      <c r="B968" s="36" t="s">
        <v>319</v>
      </c>
      <c r="C968" s="38" t="s">
        <v>203</v>
      </c>
      <c r="D968" s="39" t="s">
        <v>174</v>
      </c>
      <c r="E968" s="32" t="s">
        <v>24</v>
      </c>
      <c r="F968" s="50">
        <v>85169</v>
      </c>
    </row>
    <row r="969" spans="1:6" x14ac:dyDescent="0.25">
      <c r="A969" s="37">
        <v>2012</v>
      </c>
      <c r="B969" s="36" t="s">
        <v>319</v>
      </c>
      <c r="C969" s="38" t="s">
        <v>203</v>
      </c>
      <c r="D969" s="39" t="s">
        <v>174</v>
      </c>
      <c r="E969" s="32" t="s">
        <v>204</v>
      </c>
      <c r="F969" s="50">
        <v>6360</v>
      </c>
    </row>
    <row r="970" spans="1:6" x14ac:dyDescent="0.25">
      <c r="A970" s="37">
        <v>2012</v>
      </c>
      <c r="B970" s="36" t="s">
        <v>319</v>
      </c>
      <c r="C970" s="38" t="s">
        <v>203</v>
      </c>
      <c r="D970" s="41" t="s">
        <v>205</v>
      </c>
      <c r="E970" s="32" t="s">
        <v>2</v>
      </c>
      <c r="F970" s="50">
        <v>3724</v>
      </c>
    </row>
    <row r="971" spans="1:6" x14ac:dyDescent="0.25">
      <c r="A971" s="37">
        <v>2012</v>
      </c>
      <c r="B971" s="36" t="s">
        <v>319</v>
      </c>
      <c r="C971" s="38" t="s">
        <v>203</v>
      </c>
      <c r="D971" s="41" t="s">
        <v>205</v>
      </c>
      <c r="E971" s="32" t="s">
        <v>24</v>
      </c>
      <c r="F971" s="50">
        <v>90444</v>
      </c>
    </row>
    <row r="972" spans="1:6" x14ac:dyDescent="0.25">
      <c r="A972" s="37">
        <v>2012</v>
      </c>
      <c r="B972" s="36" t="s">
        <v>319</v>
      </c>
      <c r="C972" s="38" t="s">
        <v>203</v>
      </c>
      <c r="D972" s="41" t="s">
        <v>205</v>
      </c>
      <c r="E972" s="32" t="s">
        <v>204</v>
      </c>
      <c r="F972" s="50">
        <v>6539</v>
      </c>
    </row>
    <row r="973" spans="1:6" x14ac:dyDescent="0.25">
      <c r="A973" s="37">
        <v>2012</v>
      </c>
      <c r="B973" s="36" t="s">
        <v>319</v>
      </c>
      <c r="C973" s="38" t="s">
        <v>203</v>
      </c>
      <c r="D973" s="42" t="s">
        <v>206</v>
      </c>
      <c r="E973" s="32" t="s">
        <v>2</v>
      </c>
      <c r="F973" s="50">
        <v>2300</v>
      </c>
    </row>
    <row r="974" spans="1:6" x14ac:dyDescent="0.25">
      <c r="A974" s="37">
        <v>2012</v>
      </c>
      <c r="B974" s="36" t="s">
        <v>319</v>
      </c>
      <c r="C974" s="38" t="s">
        <v>203</v>
      </c>
      <c r="D974" s="42" t="s">
        <v>206</v>
      </c>
      <c r="E974" s="32" t="s">
        <v>24</v>
      </c>
      <c r="F974" s="50">
        <v>20048</v>
      </c>
    </row>
    <row r="975" spans="1:6" x14ac:dyDescent="0.25">
      <c r="A975" s="37">
        <v>2012</v>
      </c>
      <c r="B975" s="36" t="s">
        <v>319</v>
      </c>
      <c r="C975" s="38" t="s">
        <v>203</v>
      </c>
      <c r="D975" s="42" t="s">
        <v>206</v>
      </c>
      <c r="E975" s="32" t="s">
        <v>204</v>
      </c>
      <c r="F975" s="50">
        <v>13320</v>
      </c>
    </row>
    <row r="976" spans="1:6" x14ac:dyDescent="0.25">
      <c r="A976" s="37">
        <v>2012</v>
      </c>
      <c r="B976" s="36" t="s">
        <v>319</v>
      </c>
      <c r="C976" s="38" t="s">
        <v>203</v>
      </c>
      <c r="D976" s="43" t="s">
        <v>175</v>
      </c>
      <c r="E976" s="32" t="s">
        <v>2</v>
      </c>
      <c r="F976" s="50">
        <v>4030</v>
      </c>
    </row>
    <row r="977" spans="1:6" x14ac:dyDescent="0.25">
      <c r="A977" s="37">
        <v>2012</v>
      </c>
      <c r="B977" s="36" t="s">
        <v>319</v>
      </c>
      <c r="C977" s="38" t="s">
        <v>203</v>
      </c>
      <c r="D977" s="43" t="s">
        <v>175</v>
      </c>
      <c r="E977" s="32" t="s">
        <v>24</v>
      </c>
      <c r="F977" s="50">
        <v>12045</v>
      </c>
    </row>
    <row r="978" spans="1:6" x14ac:dyDescent="0.25">
      <c r="A978" s="37">
        <v>2012</v>
      </c>
      <c r="B978" s="36" t="s">
        <v>319</v>
      </c>
      <c r="C978" s="38" t="s">
        <v>203</v>
      </c>
      <c r="D978" s="43" t="s">
        <v>175</v>
      </c>
      <c r="E978" s="32" t="s">
        <v>204</v>
      </c>
      <c r="F978" s="50">
        <v>5600</v>
      </c>
    </row>
    <row r="979" spans="1:6" x14ac:dyDescent="0.25">
      <c r="A979" s="37">
        <v>2012</v>
      </c>
      <c r="B979" s="36" t="s">
        <v>319</v>
      </c>
      <c r="C979" s="38" t="s">
        <v>207</v>
      </c>
      <c r="D979" s="39" t="s">
        <v>208</v>
      </c>
      <c r="E979" s="32" t="s">
        <v>2</v>
      </c>
      <c r="F979" s="50">
        <v>7912</v>
      </c>
    </row>
    <row r="980" spans="1:6" x14ac:dyDescent="0.25">
      <c r="A980" s="37">
        <v>2012</v>
      </c>
      <c r="B980" s="36" t="s">
        <v>319</v>
      </c>
      <c r="C980" s="38" t="s">
        <v>207</v>
      </c>
      <c r="D980" s="39" t="s">
        <v>208</v>
      </c>
      <c r="E980" s="32" t="s">
        <v>24</v>
      </c>
      <c r="F980" s="50">
        <v>35731</v>
      </c>
    </row>
    <row r="981" spans="1:6" x14ac:dyDescent="0.25">
      <c r="A981" s="37">
        <v>2012</v>
      </c>
      <c r="B981" s="36" t="s">
        <v>319</v>
      </c>
      <c r="C981" s="38" t="s">
        <v>207</v>
      </c>
      <c r="D981" s="39" t="s">
        <v>208</v>
      </c>
      <c r="E981" s="32" t="s">
        <v>204</v>
      </c>
      <c r="F981" s="50">
        <v>193050</v>
      </c>
    </row>
    <row r="982" spans="1:6" x14ac:dyDescent="0.25">
      <c r="A982" s="37">
        <v>2012</v>
      </c>
      <c r="B982" s="36" t="s">
        <v>319</v>
      </c>
      <c r="C982" s="38" t="s">
        <v>207</v>
      </c>
      <c r="D982" s="43" t="s">
        <v>209</v>
      </c>
      <c r="E982" s="32" t="s">
        <v>2</v>
      </c>
      <c r="F982" s="50">
        <v>0</v>
      </c>
    </row>
    <row r="983" spans="1:6" x14ac:dyDescent="0.25">
      <c r="A983" s="37">
        <v>2012</v>
      </c>
      <c r="B983" s="36" t="s">
        <v>319</v>
      </c>
      <c r="C983" s="38" t="s">
        <v>207</v>
      </c>
      <c r="D983" s="43" t="s">
        <v>209</v>
      </c>
      <c r="E983" s="32" t="s">
        <v>24</v>
      </c>
      <c r="F983" s="50">
        <v>36850</v>
      </c>
    </row>
    <row r="984" spans="1:6" x14ac:dyDescent="0.25">
      <c r="A984" s="37">
        <v>2012</v>
      </c>
      <c r="B984" s="36" t="s">
        <v>319</v>
      </c>
      <c r="C984" s="38" t="s">
        <v>207</v>
      </c>
      <c r="D984" s="43" t="s">
        <v>209</v>
      </c>
      <c r="E984" s="32" t="s">
        <v>204</v>
      </c>
      <c r="F984" s="50">
        <v>17226</v>
      </c>
    </row>
    <row r="985" spans="1:6" x14ac:dyDescent="0.25">
      <c r="A985" s="37">
        <v>2012</v>
      </c>
      <c r="B985" s="36" t="s">
        <v>319</v>
      </c>
      <c r="C985" s="38" t="s">
        <v>207</v>
      </c>
      <c r="D985" s="44" t="s">
        <v>210</v>
      </c>
      <c r="E985" s="32" t="s">
        <v>2</v>
      </c>
      <c r="F985" s="50">
        <v>1820</v>
      </c>
    </row>
    <row r="986" spans="1:6" x14ac:dyDescent="0.25">
      <c r="A986" s="37">
        <v>2012</v>
      </c>
      <c r="B986" s="36" t="s">
        <v>319</v>
      </c>
      <c r="C986" s="38" t="s">
        <v>207</v>
      </c>
      <c r="D986" s="44" t="s">
        <v>210</v>
      </c>
      <c r="E986" s="32" t="s">
        <v>24</v>
      </c>
      <c r="F986" s="50">
        <v>24192</v>
      </c>
    </row>
    <row r="987" spans="1:6" ht="15.75" thickBot="1" x14ac:dyDescent="0.3">
      <c r="A987" s="52">
        <v>2012</v>
      </c>
      <c r="B987" s="61" t="s">
        <v>319</v>
      </c>
      <c r="C987" s="53" t="s">
        <v>207</v>
      </c>
      <c r="D987" s="54" t="s">
        <v>210</v>
      </c>
      <c r="E987" s="35" t="s">
        <v>204</v>
      </c>
      <c r="F987" s="64">
        <v>16969</v>
      </c>
    </row>
    <row r="988" spans="1:6" ht="15.75" thickTop="1" x14ac:dyDescent="0.25">
      <c r="A988" s="32">
        <v>2012</v>
      </c>
      <c r="B988" s="36" t="s">
        <v>320</v>
      </c>
      <c r="C988" s="38" t="s">
        <v>203</v>
      </c>
      <c r="D988" s="39" t="s">
        <v>174</v>
      </c>
      <c r="E988" s="32" t="s">
        <v>2</v>
      </c>
      <c r="F988" s="18">
        <v>35293</v>
      </c>
    </row>
    <row r="989" spans="1:6" x14ac:dyDescent="0.25">
      <c r="A989" s="32">
        <v>2012</v>
      </c>
      <c r="B989" s="36" t="s">
        <v>320</v>
      </c>
      <c r="C989" s="38" t="s">
        <v>203</v>
      </c>
      <c r="D989" s="39" t="s">
        <v>174</v>
      </c>
      <c r="E989" s="32" t="s">
        <v>24</v>
      </c>
      <c r="F989" s="18">
        <v>86498</v>
      </c>
    </row>
    <row r="990" spans="1:6" x14ac:dyDescent="0.25">
      <c r="A990" s="32">
        <v>2012</v>
      </c>
      <c r="B990" s="36" t="s">
        <v>320</v>
      </c>
      <c r="C990" s="38" t="s">
        <v>203</v>
      </c>
      <c r="D990" s="39" t="s">
        <v>174</v>
      </c>
      <c r="E990" s="32" t="s">
        <v>204</v>
      </c>
      <c r="F990" s="18">
        <v>6360</v>
      </c>
    </row>
    <row r="991" spans="1:6" x14ac:dyDescent="0.25">
      <c r="A991" s="32">
        <v>2012</v>
      </c>
      <c r="B991" s="36" t="s">
        <v>320</v>
      </c>
      <c r="C991" s="38" t="s">
        <v>203</v>
      </c>
      <c r="D991" s="41" t="s">
        <v>205</v>
      </c>
      <c r="E991" s="32" t="s">
        <v>2</v>
      </c>
      <c r="F991" s="18">
        <v>6894</v>
      </c>
    </row>
    <row r="992" spans="1:6" x14ac:dyDescent="0.25">
      <c r="A992" s="32">
        <v>2012</v>
      </c>
      <c r="B992" s="36" t="s">
        <v>320</v>
      </c>
      <c r="C992" s="38" t="s">
        <v>203</v>
      </c>
      <c r="D992" s="41" t="s">
        <v>205</v>
      </c>
      <c r="E992" s="32" t="s">
        <v>24</v>
      </c>
      <c r="F992" s="18">
        <v>89209</v>
      </c>
    </row>
    <row r="993" spans="1:6" x14ac:dyDescent="0.25">
      <c r="A993" s="32">
        <v>2012</v>
      </c>
      <c r="B993" s="36" t="s">
        <v>320</v>
      </c>
      <c r="C993" s="38" t="s">
        <v>203</v>
      </c>
      <c r="D993" s="41" t="s">
        <v>205</v>
      </c>
      <c r="E993" s="32" t="s">
        <v>204</v>
      </c>
      <c r="F993" s="18">
        <v>4459</v>
      </c>
    </row>
    <row r="994" spans="1:6" x14ac:dyDescent="0.25">
      <c r="A994" s="32">
        <v>2012</v>
      </c>
      <c r="B994" s="36" t="s">
        <v>320</v>
      </c>
      <c r="C994" s="38" t="s">
        <v>203</v>
      </c>
      <c r="D994" s="42" t="s">
        <v>206</v>
      </c>
      <c r="E994" s="32" t="s">
        <v>2</v>
      </c>
      <c r="F994" s="18">
        <v>2300</v>
      </c>
    </row>
    <row r="995" spans="1:6" x14ac:dyDescent="0.25">
      <c r="A995" s="32">
        <v>2012</v>
      </c>
      <c r="B995" s="36" t="s">
        <v>320</v>
      </c>
      <c r="C995" s="38" t="s">
        <v>203</v>
      </c>
      <c r="D995" s="42" t="s">
        <v>206</v>
      </c>
      <c r="E995" s="32" t="s">
        <v>24</v>
      </c>
      <c r="F995" s="18">
        <v>19258</v>
      </c>
    </row>
    <row r="996" spans="1:6" x14ac:dyDescent="0.25">
      <c r="A996" s="32">
        <v>2012</v>
      </c>
      <c r="B996" s="36" t="s">
        <v>320</v>
      </c>
      <c r="C996" s="38" t="s">
        <v>203</v>
      </c>
      <c r="D996" s="42" t="s">
        <v>206</v>
      </c>
      <c r="E996" s="32" t="s">
        <v>204</v>
      </c>
      <c r="F996" s="18">
        <v>12500</v>
      </c>
    </row>
    <row r="997" spans="1:6" x14ac:dyDescent="0.25">
      <c r="A997" s="32">
        <v>2012</v>
      </c>
      <c r="B997" s="36" t="s">
        <v>320</v>
      </c>
      <c r="C997" s="38" t="s">
        <v>203</v>
      </c>
      <c r="D997" s="43" t="s">
        <v>175</v>
      </c>
      <c r="E997" s="32" t="s">
        <v>2</v>
      </c>
      <c r="F997" s="18">
        <v>4030</v>
      </c>
    </row>
    <row r="998" spans="1:6" x14ac:dyDescent="0.25">
      <c r="A998" s="32">
        <v>2012</v>
      </c>
      <c r="B998" s="36" t="s">
        <v>320</v>
      </c>
      <c r="C998" s="38" t="s">
        <v>203</v>
      </c>
      <c r="D998" s="43" t="s">
        <v>175</v>
      </c>
      <c r="E998" s="32" t="s">
        <v>24</v>
      </c>
      <c r="F998" s="18">
        <v>11125</v>
      </c>
    </row>
    <row r="999" spans="1:6" x14ac:dyDescent="0.25">
      <c r="A999" s="32">
        <v>2012</v>
      </c>
      <c r="B999" s="36" t="s">
        <v>320</v>
      </c>
      <c r="C999" s="38" t="s">
        <v>203</v>
      </c>
      <c r="D999" s="43" t="s">
        <v>175</v>
      </c>
      <c r="E999" s="32" t="s">
        <v>204</v>
      </c>
      <c r="F999" s="18">
        <v>3200</v>
      </c>
    </row>
    <row r="1000" spans="1:6" x14ac:dyDescent="0.25">
      <c r="A1000" s="32">
        <v>2012</v>
      </c>
      <c r="B1000" s="36" t="s">
        <v>320</v>
      </c>
      <c r="C1000" s="38" t="s">
        <v>207</v>
      </c>
      <c r="D1000" s="39" t="s">
        <v>208</v>
      </c>
      <c r="E1000" s="32" t="s">
        <v>2</v>
      </c>
      <c r="F1000" s="18">
        <v>7275</v>
      </c>
    </row>
    <row r="1001" spans="1:6" x14ac:dyDescent="0.25">
      <c r="A1001" s="32">
        <v>2012</v>
      </c>
      <c r="B1001" s="36" t="s">
        <v>320</v>
      </c>
      <c r="C1001" s="38" t="s">
        <v>207</v>
      </c>
      <c r="D1001" s="39" t="s">
        <v>208</v>
      </c>
      <c r="E1001" s="32" t="s">
        <v>24</v>
      </c>
      <c r="F1001" s="18">
        <v>40104</v>
      </c>
    </row>
    <row r="1002" spans="1:6" x14ac:dyDescent="0.25">
      <c r="A1002" s="32">
        <v>2012</v>
      </c>
      <c r="B1002" s="36" t="s">
        <v>320</v>
      </c>
      <c r="C1002" s="38" t="s">
        <v>207</v>
      </c>
      <c r="D1002" s="39" t="s">
        <v>208</v>
      </c>
      <c r="E1002" s="32" t="s">
        <v>204</v>
      </c>
      <c r="F1002" s="18">
        <v>214061</v>
      </c>
    </row>
    <row r="1003" spans="1:6" x14ac:dyDescent="0.25">
      <c r="A1003" s="32">
        <v>2012</v>
      </c>
      <c r="B1003" s="36" t="s">
        <v>320</v>
      </c>
      <c r="C1003" s="38" t="s">
        <v>207</v>
      </c>
      <c r="D1003" s="43" t="s">
        <v>209</v>
      </c>
      <c r="E1003" s="32" t="s">
        <v>2</v>
      </c>
      <c r="F1003" s="18">
        <v>0</v>
      </c>
    </row>
    <row r="1004" spans="1:6" x14ac:dyDescent="0.25">
      <c r="A1004" s="32">
        <v>2012</v>
      </c>
      <c r="B1004" s="36" t="s">
        <v>320</v>
      </c>
      <c r="C1004" s="38" t="s">
        <v>207</v>
      </c>
      <c r="D1004" s="43" t="s">
        <v>209</v>
      </c>
      <c r="E1004" s="32" t="s">
        <v>24</v>
      </c>
      <c r="F1004" s="18">
        <v>47150</v>
      </c>
    </row>
    <row r="1005" spans="1:6" x14ac:dyDescent="0.25">
      <c r="A1005" s="32">
        <v>2012</v>
      </c>
      <c r="B1005" s="36" t="s">
        <v>320</v>
      </c>
      <c r="C1005" s="38" t="s">
        <v>207</v>
      </c>
      <c r="D1005" s="43" t="s">
        <v>209</v>
      </c>
      <c r="E1005" s="32" t="s">
        <v>204</v>
      </c>
      <c r="F1005" s="18">
        <v>44900</v>
      </c>
    </row>
    <row r="1006" spans="1:6" x14ac:dyDescent="0.25">
      <c r="A1006" s="32">
        <v>2012</v>
      </c>
      <c r="B1006" s="36" t="s">
        <v>320</v>
      </c>
      <c r="C1006" s="38" t="s">
        <v>207</v>
      </c>
      <c r="D1006" s="44" t="s">
        <v>210</v>
      </c>
      <c r="E1006" s="32" t="s">
        <v>2</v>
      </c>
      <c r="F1006" s="18">
        <v>1820</v>
      </c>
    </row>
    <row r="1007" spans="1:6" x14ac:dyDescent="0.25">
      <c r="A1007" s="32">
        <v>2012</v>
      </c>
      <c r="B1007" s="36" t="s">
        <v>320</v>
      </c>
      <c r="C1007" s="38" t="s">
        <v>207</v>
      </c>
      <c r="D1007" s="44" t="s">
        <v>210</v>
      </c>
      <c r="E1007" s="32" t="s">
        <v>24</v>
      </c>
      <c r="F1007" s="18">
        <v>23568</v>
      </c>
    </row>
    <row r="1008" spans="1:6" ht="15.75" thickBot="1" x14ac:dyDescent="0.3">
      <c r="A1008" s="35">
        <v>2012</v>
      </c>
      <c r="B1008" s="61" t="s">
        <v>320</v>
      </c>
      <c r="C1008" s="53" t="s">
        <v>207</v>
      </c>
      <c r="D1008" s="54" t="s">
        <v>210</v>
      </c>
      <c r="E1008" s="35" t="s">
        <v>204</v>
      </c>
      <c r="F1008" s="65">
        <v>16969</v>
      </c>
    </row>
    <row r="1009" spans="1:6" ht="15.75" thickTop="1" x14ac:dyDescent="0.25">
      <c r="A1009" s="32">
        <v>2012</v>
      </c>
      <c r="B1009" s="36" t="s">
        <v>316</v>
      </c>
      <c r="C1009" s="38" t="s">
        <v>203</v>
      </c>
      <c r="D1009" s="39" t="s">
        <v>174</v>
      </c>
      <c r="E1009" s="32" t="s">
        <v>2</v>
      </c>
      <c r="F1009" s="18">
        <v>39281</v>
      </c>
    </row>
    <row r="1010" spans="1:6" x14ac:dyDescent="0.25">
      <c r="A1010" s="32">
        <v>2012</v>
      </c>
      <c r="B1010" s="36" t="s">
        <v>316</v>
      </c>
      <c r="C1010" s="38" t="s">
        <v>203</v>
      </c>
      <c r="D1010" s="39" t="s">
        <v>174</v>
      </c>
      <c r="E1010" s="32" t="s">
        <v>24</v>
      </c>
      <c r="F1010" s="18">
        <v>81059</v>
      </c>
    </row>
    <row r="1011" spans="1:6" x14ac:dyDescent="0.25">
      <c r="A1011" s="32">
        <v>2012</v>
      </c>
      <c r="B1011" s="36" t="s">
        <v>316</v>
      </c>
      <c r="C1011" s="38" t="s">
        <v>203</v>
      </c>
      <c r="D1011" s="39" t="s">
        <v>174</v>
      </c>
      <c r="E1011" s="32" t="s">
        <v>204</v>
      </c>
      <c r="F1011" s="18">
        <v>960</v>
      </c>
    </row>
    <row r="1012" spans="1:6" x14ac:dyDescent="0.25">
      <c r="A1012" s="32">
        <v>2012</v>
      </c>
      <c r="B1012" s="36" t="s">
        <v>316</v>
      </c>
      <c r="C1012" s="38" t="s">
        <v>203</v>
      </c>
      <c r="D1012" s="41" t="s">
        <v>205</v>
      </c>
      <c r="E1012" s="32" t="s">
        <v>2</v>
      </c>
      <c r="F1012" s="18">
        <v>6894</v>
      </c>
    </row>
    <row r="1013" spans="1:6" x14ac:dyDescent="0.25">
      <c r="A1013" s="32">
        <v>2012</v>
      </c>
      <c r="B1013" s="36" t="s">
        <v>316</v>
      </c>
      <c r="C1013" s="38" t="s">
        <v>203</v>
      </c>
      <c r="D1013" s="41" t="s">
        <v>205</v>
      </c>
      <c r="E1013" s="32" t="s">
        <v>24</v>
      </c>
      <c r="F1013" s="18">
        <v>88253</v>
      </c>
    </row>
    <row r="1014" spans="1:6" x14ac:dyDescent="0.25">
      <c r="A1014" s="32">
        <v>2012</v>
      </c>
      <c r="B1014" s="36" t="s">
        <v>316</v>
      </c>
      <c r="C1014" s="38" t="s">
        <v>203</v>
      </c>
      <c r="D1014" s="41" t="s">
        <v>205</v>
      </c>
      <c r="E1014" s="32" t="s">
        <v>204</v>
      </c>
      <c r="F1014" s="18">
        <v>4000</v>
      </c>
    </row>
    <row r="1015" spans="1:6" x14ac:dyDescent="0.25">
      <c r="A1015" s="32">
        <v>2012</v>
      </c>
      <c r="B1015" s="36" t="s">
        <v>316</v>
      </c>
      <c r="C1015" s="38" t="s">
        <v>203</v>
      </c>
      <c r="D1015" s="42" t="s">
        <v>206</v>
      </c>
      <c r="E1015" s="32" t="s">
        <v>2</v>
      </c>
      <c r="F1015" s="18">
        <v>2300</v>
      </c>
    </row>
    <row r="1016" spans="1:6" x14ac:dyDescent="0.25">
      <c r="A1016" s="32">
        <v>2012</v>
      </c>
      <c r="B1016" s="36" t="s">
        <v>316</v>
      </c>
      <c r="C1016" s="38" t="s">
        <v>203</v>
      </c>
      <c r="D1016" s="42" t="s">
        <v>206</v>
      </c>
      <c r="E1016" s="32" t="s">
        <v>24</v>
      </c>
      <c r="F1016" s="18">
        <v>19112</v>
      </c>
    </row>
    <row r="1017" spans="1:6" x14ac:dyDescent="0.25">
      <c r="A1017" s="32">
        <v>2012</v>
      </c>
      <c r="B1017" s="36" t="s">
        <v>316</v>
      </c>
      <c r="C1017" s="38" t="s">
        <v>203</v>
      </c>
      <c r="D1017" s="42" t="s">
        <v>206</v>
      </c>
      <c r="E1017" s="32" t="s">
        <v>204</v>
      </c>
      <c r="F1017" s="18">
        <v>10270</v>
      </c>
    </row>
    <row r="1018" spans="1:6" x14ac:dyDescent="0.25">
      <c r="A1018" s="32">
        <v>2012</v>
      </c>
      <c r="B1018" s="36" t="s">
        <v>316</v>
      </c>
      <c r="C1018" s="38" t="s">
        <v>203</v>
      </c>
      <c r="D1018" s="43" t="s">
        <v>175</v>
      </c>
      <c r="E1018" s="32" t="s">
        <v>2</v>
      </c>
      <c r="F1018" s="18">
        <v>4030</v>
      </c>
    </row>
    <row r="1019" spans="1:6" x14ac:dyDescent="0.25">
      <c r="A1019" s="32">
        <v>2012</v>
      </c>
      <c r="B1019" s="36" t="s">
        <v>316</v>
      </c>
      <c r="C1019" s="38" t="s">
        <v>203</v>
      </c>
      <c r="D1019" s="43" t="s">
        <v>175</v>
      </c>
      <c r="E1019" s="32" t="s">
        <v>24</v>
      </c>
      <c r="F1019" s="18">
        <v>5125</v>
      </c>
    </row>
    <row r="1020" spans="1:6" x14ac:dyDescent="0.25">
      <c r="A1020" s="32">
        <v>2012</v>
      </c>
      <c r="B1020" s="36" t="s">
        <v>316</v>
      </c>
      <c r="C1020" s="38" t="s">
        <v>203</v>
      </c>
      <c r="D1020" s="43" t="s">
        <v>175</v>
      </c>
      <c r="E1020" s="32" t="s">
        <v>204</v>
      </c>
      <c r="F1020" s="18">
        <v>3200</v>
      </c>
    </row>
    <row r="1021" spans="1:6" x14ac:dyDescent="0.25">
      <c r="A1021" s="32">
        <v>2012</v>
      </c>
      <c r="B1021" s="36" t="s">
        <v>316</v>
      </c>
      <c r="C1021" s="38" t="s">
        <v>207</v>
      </c>
      <c r="D1021" s="39" t="s">
        <v>208</v>
      </c>
      <c r="E1021" s="32" t="s">
        <v>2</v>
      </c>
      <c r="F1021" s="18">
        <v>6161</v>
      </c>
    </row>
    <row r="1022" spans="1:6" x14ac:dyDescent="0.25">
      <c r="A1022" s="32">
        <v>2012</v>
      </c>
      <c r="B1022" s="36" t="s">
        <v>316</v>
      </c>
      <c r="C1022" s="38" t="s">
        <v>207</v>
      </c>
      <c r="D1022" s="39" t="s">
        <v>208</v>
      </c>
      <c r="E1022" s="32" t="s">
        <v>24</v>
      </c>
      <c r="F1022" s="18">
        <v>42066</v>
      </c>
    </row>
    <row r="1023" spans="1:6" x14ac:dyDescent="0.25">
      <c r="A1023" s="32">
        <v>2012</v>
      </c>
      <c r="B1023" s="36" t="s">
        <v>316</v>
      </c>
      <c r="C1023" s="38" t="s">
        <v>207</v>
      </c>
      <c r="D1023" s="39" t="s">
        <v>208</v>
      </c>
      <c r="E1023" s="32" t="s">
        <v>204</v>
      </c>
      <c r="F1023" s="18">
        <v>197061</v>
      </c>
    </row>
    <row r="1024" spans="1:6" x14ac:dyDescent="0.25">
      <c r="A1024" s="32">
        <v>2012</v>
      </c>
      <c r="B1024" s="36" t="s">
        <v>316</v>
      </c>
      <c r="C1024" s="38" t="s">
        <v>207</v>
      </c>
      <c r="D1024" s="43" t="s">
        <v>209</v>
      </c>
      <c r="E1024" s="32" t="s">
        <v>2</v>
      </c>
      <c r="F1024" s="18">
        <v>0</v>
      </c>
    </row>
    <row r="1025" spans="1:6" x14ac:dyDescent="0.25">
      <c r="A1025" s="32">
        <v>2012</v>
      </c>
      <c r="B1025" s="36" t="s">
        <v>316</v>
      </c>
      <c r="C1025" s="38" t="s">
        <v>207</v>
      </c>
      <c r="D1025" s="43" t="s">
        <v>209</v>
      </c>
      <c r="E1025" s="32" t="s">
        <v>24</v>
      </c>
      <c r="F1025" s="18">
        <v>47150</v>
      </c>
    </row>
    <row r="1026" spans="1:6" x14ac:dyDescent="0.25">
      <c r="A1026" s="32">
        <v>2012</v>
      </c>
      <c r="B1026" s="36" t="s">
        <v>316</v>
      </c>
      <c r="C1026" s="38" t="s">
        <v>207</v>
      </c>
      <c r="D1026" s="43" t="s">
        <v>209</v>
      </c>
      <c r="E1026" s="32" t="s">
        <v>204</v>
      </c>
      <c r="F1026" s="18">
        <v>45900</v>
      </c>
    </row>
    <row r="1027" spans="1:6" x14ac:dyDescent="0.25">
      <c r="A1027" s="32">
        <v>2012</v>
      </c>
      <c r="B1027" s="36" t="s">
        <v>316</v>
      </c>
      <c r="C1027" s="38" t="s">
        <v>207</v>
      </c>
      <c r="D1027" s="44" t="s">
        <v>210</v>
      </c>
      <c r="E1027" s="32" t="s">
        <v>2</v>
      </c>
      <c r="F1027" s="18">
        <v>5870</v>
      </c>
    </row>
    <row r="1028" spans="1:6" x14ac:dyDescent="0.25">
      <c r="A1028" s="32">
        <v>2012</v>
      </c>
      <c r="B1028" s="36" t="s">
        <v>316</v>
      </c>
      <c r="C1028" s="38" t="s">
        <v>207</v>
      </c>
      <c r="D1028" s="44" t="s">
        <v>210</v>
      </c>
      <c r="E1028" s="32" t="s">
        <v>24</v>
      </c>
      <c r="F1028" s="18">
        <v>21268</v>
      </c>
    </row>
    <row r="1029" spans="1:6" ht="15.75" thickBot="1" x14ac:dyDescent="0.3">
      <c r="A1029" s="35">
        <v>2012</v>
      </c>
      <c r="B1029" s="61" t="s">
        <v>316</v>
      </c>
      <c r="C1029" s="53" t="s">
        <v>207</v>
      </c>
      <c r="D1029" s="54" t="s">
        <v>210</v>
      </c>
      <c r="E1029" s="35" t="s">
        <v>204</v>
      </c>
      <c r="F1029" s="65">
        <v>13414</v>
      </c>
    </row>
    <row r="1030" spans="1:6" ht="15.75" thickTop="1" x14ac:dyDescent="0.25">
      <c r="A1030" s="55">
        <v>2013</v>
      </c>
      <c r="B1030" s="55" t="s">
        <v>236</v>
      </c>
      <c r="C1030" s="38" t="s">
        <v>203</v>
      </c>
      <c r="D1030" s="39" t="s">
        <v>174</v>
      </c>
      <c r="E1030" s="32" t="s">
        <v>2</v>
      </c>
      <c r="F1030" s="18">
        <v>36341</v>
      </c>
    </row>
    <row r="1031" spans="1:6" x14ac:dyDescent="0.25">
      <c r="A1031" s="55">
        <v>2013</v>
      </c>
      <c r="B1031" s="55" t="s">
        <v>236</v>
      </c>
      <c r="C1031" s="38" t="s">
        <v>203</v>
      </c>
      <c r="D1031" s="39" t="s">
        <v>174</v>
      </c>
      <c r="E1031" s="32" t="s">
        <v>24</v>
      </c>
      <c r="F1031" s="18">
        <v>82131</v>
      </c>
    </row>
    <row r="1032" spans="1:6" x14ac:dyDescent="0.25">
      <c r="A1032" s="55">
        <v>2013</v>
      </c>
      <c r="B1032" s="55" t="s">
        <v>236</v>
      </c>
      <c r="C1032" s="38" t="s">
        <v>203</v>
      </c>
      <c r="D1032" s="39" t="s">
        <v>174</v>
      </c>
      <c r="E1032" s="32" t="s">
        <v>204</v>
      </c>
      <c r="F1032" s="18">
        <v>0</v>
      </c>
    </row>
    <row r="1033" spans="1:6" x14ac:dyDescent="0.25">
      <c r="A1033" s="55">
        <v>2013</v>
      </c>
      <c r="B1033" s="55" t="s">
        <v>236</v>
      </c>
      <c r="C1033" s="38" t="s">
        <v>203</v>
      </c>
      <c r="D1033" s="41" t="s">
        <v>205</v>
      </c>
      <c r="E1033" s="32" t="s">
        <v>2</v>
      </c>
      <c r="F1033" s="18">
        <v>6894</v>
      </c>
    </row>
    <row r="1034" spans="1:6" x14ac:dyDescent="0.25">
      <c r="A1034" s="55">
        <v>2013</v>
      </c>
      <c r="B1034" s="55" t="s">
        <v>236</v>
      </c>
      <c r="C1034" s="38" t="s">
        <v>203</v>
      </c>
      <c r="D1034" s="41" t="s">
        <v>205</v>
      </c>
      <c r="E1034" s="32" t="s">
        <v>24</v>
      </c>
      <c r="F1034" s="18">
        <v>88253</v>
      </c>
    </row>
    <row r="1035" spans="1:6" x14ac:dyDescent="0.25">
      <c r="A1035" s="55">
        <v>2013</v>
      </c>
      <c r="B1035" s="55" t="s">
        <v>236</v>
      </c>
      <c r="C1035" s="38" t="s">
        <v>203</v>
      </c>
      <c r="D1035" s="41" t="s">
        <v>205</v>
      </c>
      <c r="E1035" s="32" t="s">
        <v>204</v>
      </c>
      <c r="F1035" s="18">
        <v>4000</v>
      </c>
    </row>
    <row r="1036" spans="1:6" x14ac:dyDescent="0.25">
      <c r="A1036" s="55">
        <v>2013</v>
      </c>
      <c r="B1036" s="55" t="s">
        <v>236</v>
      </c>
      <c r="C1036" s="38" t="s">
        <v>203</v>
      </c>
      <c r="D1036" s="42" t="s">
        <v>206</v>
      </c>
      <c r="E1036" s="32" t="s">
        <v>2</v>
      </c>
      <c r="F1036" s="18">
        <v>2300</v>
      </c>
    </row>
    <row r="1037" spans="1:6" x14ac:dyDescent="0.25">
      <c r="A1037" s="55">
        <v>2013</v>
      </c>
      <c r="B1037" s="55" t="s">
        <v>236</v>
      </c>
      <c r="C1037" s="38" t="s">
        <v>203</v>
      </c>
      <c r="D1037" s="42" t="s">
        <v>206</v>
      </c>
      <c r="E1037" s="32" t="s">
        <v>24</v>
      </c>
      <c r="F1037" s="18">
        <v>17347</v>
      </c>
    </row>
    <row r="1038" spans="1:6" x14ac:dyDescent="0.25">
      <c r="A1038" s="55">
        <v>2013</v>
      </c>
      <c r="B1038" s="55" t="s">
        <v>236</v>
      </c>
      <c r="C1038" s="38" t="s">
        <v>203</v>
      </c>
      <c r="D1038" s="42" t="s">
        <v>206</v>
      </c>
      <c r="E1038" s="32" t="s">
        <v>204</v>
      </c>
      <c r="F1038" s="18">
        <v>3200</v>
      </c>
    </row>
    <row r="1039" spans="1:6" x14ac:dyDescent="0.25">
      <c r="A1039" s="55">
        <v>2013</v>
      </c>
      <c r="B1039" s="55" t="s">
        <v>236</v>
      </c>
      <c r="C1039" s="38" t="s">
        <v>203</v>
      </c>
      <c r="D1039" s="43" t="s">
        <v>175</v>
      </c>
      <c r="E1039" s="32" t="s">
        <v>2</v>
      </c>
      <c r="F1039" s="18">
        <v>4030</v>
      </c>
    </row>
    <row r="1040" spans="1:6" x14ac:dyDescent="0.25">
      <c r="A1040" s="55">
        <v>2013</v>
      </c>
      <c r="B1040" s="55" t="s">
        <v>236</v>
      </c>
      <c r="C1040" s="38" t="s">
        <v>203</v>
      </c>
      <c r="D1040" s="43" t="s">
        <v>175</v>
      </c>
      <c r="E1040" s="32" t="s">
        <v>24</v>
      </c>
      <c r="F1040" s="18">
        <v>5125</v>
      </c>
    </row>
    <row r="1041" spans="1:6" x14ac:dyDescent="0.25">
      <c r="A1041" s="55">
        <v>2013</v>
      </c>
      <c r="B1041" s="55" t="s">
        <v>236</v>
      </c>
      <c r="C1041" s="38" t="s">
        <v>203</v>
      </c>
      <c r="D1041" s="43" t="s">
        <v>175</v>
      </c>
      <c r="E1041" s="32" t="s">
        <v>204</v>
      </c>
      <c r="F1041" s="18">
        <v>3200</v>
      </c>
    </row>
    <row r="1042" spans="1:6" x14ac:dyDescent="0.25">
      <c r="A1042" s="55">
        <v>2013</v>
      </c>
      <c r="B1042" s="55" t="s">
        <v>236</v>
      </c>
      <c r="C1042" s="38" t="s">
        <v>207</v>
      </c>
      <c r="D1042" s="39" t="s">
        <v>208</v>
      </c>
      <c r="E1042" s="32" t="s">
        <v>2</v>
      </c>
      <c r="F1042" s="18">
        <v>6161</v>
      </c>
    </row>
    <row r="1043" spans="1:6" x14ac:dyDescent="0.25">
      <c r="A1043" s="55">
        <v>2013</v>
      </c>
      <c r="B1043" s="55" t="s">
        <v>236</v>
      </c>
      <c r="C1043" s="38" t="s">
        <v>207</v>
      </c>
      <c r="D1043" s="39" t="s">
        <v>208</v>
      </c>
      <c r="E1043" s="32" t="s">
        <v>24</v>
      </c>
      <c r="F1043" s="18">
        <v>42166</v>
      </c>
    </row>
    <row r="1044" spans="1:6" x14ac:dyDescent="0.25">
      <c r="A1044" s="55">
        <v>2013</v>
      </c>
      <c r="B1044" s="55" t="s">
        <v>236</v>
      </c>
      <c r="C1044" s="38" t="s">
        <v>207</v>
      </c>
      <c r="D1044" s="39" t="s">
        <v>208</v>
      </c>
      <c r="E1044" s="32" t="s">
        <v>204</v>
      </c>
      <c r="F1044" s="18">
        <v>197061</v>
      </c>
    </row>
    <row r="1045" spans="1:6" x14ac:dyDescent="0.25">
      <c r="A1045" s="55">
        <v>2013</v>
      </c>
      <c r="B1045" s="55" t="s">
        <v>236</v>
      </c>
      <c r="C1045" s="38" t="s">
        <v>207</v>
      </c>
      <c r="D1045" s="43" t="s">
        <v>209</v>
      </c>
      <c r="E1045" s="32" t="s">
        <v>2</v>
      </c>
      <c r="F1045" s="18">
        <v>0</v>
      </c>
    </row>
    <row r="1046" spans="1:6" x14ac:dyDescent="0.25">
      <c r="A1046" s="55">
        <v>2013</v>
      </c>
      <c r="B1046" s="55" t="s">
        <v>236</v>
      </c>
      <c r="C1046" s="38" t="s">
        <v>207</v>
      </c>
      <c r="D1046" s="43" t="s">
        <v>209</v>
      </c>
      <c r="E1046" s="32" t="s">
        <v>24</v>
      </c>
      <c r="F1046" s="18">
        <v>47150</v>
      </c>
    </row>
    <row r="1047" spans="1:6" x14ac:dyDescent="0.25">
      <c r="A1047" s="55">
        <v>2013</v>
      </c>
      <c r="B1047" s="55" t="s">
        <v>236</v>
      </c>
      <c r="C1047" s="38" t="s">
        <v>207</v>
      </c>
      <c r="D1047" s="43" t="s">
        <v>209</v>
      </c>
      <c r="E1047" s="32" t="s">
        <v>204</v>
      </c>
      <c r="F1047" s="18">
        <v>9200</v>
      </c>
    </row>
    <row r="1048" spans="1:6" x14ac:dyDescent="0.25">
      <c r="A1048" s="55">
        <v>2013</v>
      </c>
      <c r="B1048" s="55" t="s">
        <v>236</v>
      </c>
      <c r="C1048" s="38" t="s">
        <v>207</v>
      </c>
      <c r="D1048" s="44" t="s">
        <v>210</v>
      </c>
      <c r="E1048" s="32" t="s">
        <v>2</v>
      </c>
      <c r="F1048" s="18">
        <v>5870</v>
      </c>
    </row>
    <row r="1049" spans="1:6" x14ac:dyDescent="0.25">
      <c r="A1049" s="55">
        <v>2013</v>
      </c>
      <c r="B1049" s="55" t="s">
        <v>236</v>
      </c>
      <c r="C1049" s="38" t="s">
        <v>207</v>
      </c>
      <c r="D1049" s="44" t="s">
        <v>210</v>
      </c>
      <c r="E1049" s="32" t="s">
        <v>24</v>
      </c>
      <c r="F1049" s="18">
        <v>19992</v>
      </c>
    </row>
    <row r="1050" spans="1:6" ht="15.75" thickBot="1" x14ac:dyDescent="0.3">
      <c r="A1050" s="62">
        <v>2013</v>
      </c>
      <c r="B1050" s="62" t="s">
        <v>236</v>
      </c>
      <c r="C1050" s="53" t="s">
        <v>207</v>
      </c>
      <c r="D1050" s="54" t="s">
        <v>210</v>
      </c>
      <c r="E1050" s="35" t="s">
        <v>204</v>
      </c>
      <c r="F1050" s="65">
        <v>9200</v>
      </c>
    </row>
    <row r="1051" spans="1:6" ht="15.75" thickTop="1" x14ac:dyDescent="0.25">
      <c r="A1051">
        <v>2013</v>
      </c>
      <c r="B1051" t="s">
        <v>307</v>
      </c>
      <c r="C1051" s="38" t="s">
        <v>203</v>
      </c>
      <c r="D1051" s="39" t="s">
        <v>174</v>
      </c>
      <c r="E1051" s="32" t="s">
        <v>2</v>
      </c>
      <c r="F1051" s="18">
        <v>37789</v>
      </c>
    </row>
    <row r="1052" spans="1:6" x14ac:dyDescent="0.25">
      <c r="A1052" s="55">
        <v>2013</v>
      </c>
      <c r="B1052" s="55" t="s">
        <v>307</v>
      </c>
      <c r="C1052" s="38" t="s">
        <v>203</v>
      </c>
      <c r="D1052" s="39" t="s">
        <v>174</v>
      </c>
      <c r="E1052" s="32" t="s">
        <v>24</v>
      </c>
      <c r="F1052" s="18">
        <v>81943</v>
      </c>
    </row>
    <row r="1053" spans="1:6" x14ac:dyDescent="0.25">
      <c r="A1053" s="55">
        <v>2013</v>
      </c>
      <c r="B1053" s="55" t="s">
        <v>307</v>
      </c>
      <c r="C1053" s="38" t="s">
        <v>203</v>
      </c>
      <c r="D1053" s="39" t="s">
        <v>174</v>
      </c>
      <c r="E1053" s="32" t="s">
        <v>204</v>
      </c>
      <c r="F1053" s="18">
        <v>0</v>
      </c>
    </row>
    <row r="1054" spans="1:6" x14ac:dyDescent="0.25">
      <c r="A1054" s="55">
        <v>2013</v>
      </c>
      <c r="B1054" s="55" t="s">
        <v>307</v>
      </c>
      <c r="C1054" s="38" t="s">
        <v>203</v>
      </c>
      <c r="D1054" s="41" t="s">
        <v>205</v>
      </c>
      <c r="E1054" s="32" t="s">
        <v>2</v>
      </c>
      <c r="F1054" s="18">
        <v>4490</v>
      </c>
    </row>
    <row r="1055" spans="1:6" x14ac:dyDescent="0.25">
      <c r="A1055" s="55">
        <v>2013</v>
      </c>
      <c r="B1055" s="55" t="s">
        <v>307</v>
      </c>
      <c r="C1055" s="38" t="s">
        <v>203</v>
      </c>
      <c r="D1055" s="41" t="s">
        <v>205</v>
      </c>
      <c r="E1055" s="32" t="s">
        <v>24</v>
      </c>
      <c r="F1055" s="18">
        <v>86090</v>
      </c>
    </row>
    <row r="1056" spans="1:6" x14ac:dyDescent="0.25">
      <c r="A1056" s="55">
        <v>2013</v>
      </c>
      <c r="B1056" s="55" t="s">
        <v>307</v>
      </c>
      <c r="C1056" s="38" t="s">
        <v>203</v>
      </c>
      <c r="D1056" s="41" t="s">
        <v>205</v>
      </c>
      <c r="E1056" s="32" t="s">
        <v>204</v>
      </c>
      <c r="F1056" s="18">
        <v>0</v>
      </c>
    </row>
    <row r="1057" spans="1:6" x14ac:dyDescent="0.25">
      <c r="A1057" s="55">
        <v>2013</v>
      </c>
      <c r="B1057" s="55" t="s">
        <v>307</v>
      </c>
      <c r="C1057" s="38" t="s">
        <v>203</v>
      </c>
      <c r="D1057" s="42" t="s">
        <v>206</v>
      </c>
      <c r="E1057" s="32" t="s">
        <v>2</v>
      </c>
      <c r="F1057" s="18">
        <v>3800</v>
      </c>
    </row>
    <row r="1058" spans="1:6" x14ac:dyDescent="0.25">
      <c r="A1058" s="55">
        <v>2013</v>
      </c>
      <c r="B1058" s="55" t="s">
        <v>307</v>
      </c>
      <c r="C1058" s="38" t="s">
        <v>203</v>
      </c>
      <c r="D1058" s="42" t="s">
        <v>206</v>
      </c>
      <c r="E1058" s="32" t="s">
        <v>24</v>
      </c>
      <c r="F1058" s="18">
        <v>16479</v>
      </c>
    </row>
    <row r="1059" spans="1:6" x14ac:dyDescent="0.25">
      <c r="A1059" s="55">
        <v>2013</v>
      </c>
      <c r="B1059" s="55" t="s">
        <v>307</v>
      </c>
      <c r="C1059" s="38" t="s">
        <v>203</v>
      </c>
      <c r="D1059" s="42" t="s">
        <v>206</v>
      </c>
      <c r="E1059" s="32" t="s">
        <v>204</v>
      </c>
      <c r="F1059" s="18">
        <v>10270</v>
      </c>
    </row>
    <row r="1060" spans="1:6" x14ac:dyDescent="0.25">
      <c r="A1060" s="55">
        <v>2013</v>
      </c>
      <c r="B1060" s="55" t="s">
        <v>307</v>
      </c>
      <c r="C1060" s="38" t="s">
        <v>203</v>
      </c>
      <c r="D1060" s="43" t="s">
        <v>175</v>
      </c>
      <c r="E1060" s="32" t="s">
        <v>2</v>
      </c>
      <c r="F1060" s="18">
        <v>11757</v>
      </c>
    </row>
    <row r="1061" spans="1:6" x14ac:dyDescent="0.25">
      <c r="A1061" s="55">
        <v>2013</v>
      </c>
      <c r="B1061" s="55" t="s">
        <v>307</v>
      </c>
      <c r="C1061" s="38" t="s">
        <v>203</v>
      </c>
      <c r="D1061" s="43" t="s">
        <v>175</v>
      </c>
      <c r="E1061" s="32" t="s">
        <v>24</v>
      </c>
      <c r="F1061" s="18">
        <v>11125</v>
      </c>
    </row>
    <row r="1062" spans="1:6" x14ac:dyDescent="0.25">
      <c r="A1062" s="55">
        <v>2013</v>
      </c>
      <c r="B1062" s="55" t="s">
        <v>307</v>
      </c>
      <c r="C1062" s="38" t="s">
        <v>203</v>
      </c>
      <c r="D1062" s="43" t="s">
        <v>175</v>
      </c>
      <c r="E1062" s="32" t="s">
        <v>204</v>
      </c>
      <c r="F1062" s="18">
        <v>3200</v>
      </c>
    </row>
    <row r="1063" spans="1:6" x14ac:dyDescent="0.25">
      <c r="A1063" s="55">
        <v>2013</v>
      </c>
      <c r="B1063" s="55" t="s">
        <v>307</v>
      </c>
      <c r="C1063" s="38" t="s">
        <v>207</v>
      </c>
      <c r="D1063" s="39" t="s">
        <v>208</v>
      </c>
      <c r="E1063" s="32" t="s">
        <v>2</v>
      </c>
      <c r="F1063" s="18">
        <v>6161</v>
      </c>
    </row>
    <row r="1064" spans="1:6" x14ac:dyDescent="0.25">
      <c r="A1064" s="55">
        <v>2013</v>
      </c>
      <c r="B1064" s="55" t="s">
        <v>307</v>
      </c>
      <c r="C1064" s="38" t="s">
        <v>207</v>
      </c>
      <c r="D1064" s="39" t="s">
        <v>208</v>
      </c>
      <c r="E1064" s="32" t="s">
        <v>24</v>
      </c>
      <c r="F1064" s="18">
        <v>41066</v>
      </c>
    </row>
    <row r="1065" spans="1:6" x14ac:dyDescent="0.25">
      <c r="A1065" s="55">
        <v>2013</v>
      </c>
      <c r="B1065" s="55" t="s">
        <v>307</v>
      </c>
      <c r="C1065" s="38" t="s">
        <v>207</v>
      </c>
      <c r="D1065" s="39" t="s">
        <v>208</v>
      </c>
      <c r="E1065" s="32" t="s">
        <v>204</v>
      </c>
      <c r="F1065" s="18">
        <v>197061</v>
      </c>
    </row>
    <row r="1066" spans="1:6" x14ac:dyDescent="0.25">
      <c r="A1066" s="55">
        <v>2013</v>
      </c>
      <c r="B1066" s="55" t="s">
        <v>307</v>
      </c>
      <c r="C1066" s="38" t="s">
        <v>207</v>
      </c>
      <c r="D1066" s="43" t="s">
        <v>209</v>
      </c>
      <c r="E1066" s="32" t="s">
        <v>2</v>
      </c>
      <c r="F1066" s="18">
        <v>0</v>
      </c>
    </row>
    <row r="1067" spans="1:6" x14ac:dyDescent="0.25">
      <c r="A1067" s="55">
        <v>2013</v>
      </c>
      <c r="B1067" s="55" t="s">
        <v>307</v>
      </c>
      <c r="C1067" s="38" t="s">
        <v>207</v>
      </c>
      <c r="D1067" s="43" t="s">
        <v>209</v>
      </c>
      <c r="E1067" s="32" t="s">
        <v>24</v>
      </c>
      <c r="F1067" s="18">
        <v>47150</v>
      </c>
    </row>
    <row r="1068" spans="1:6" x14ac:dyDescent="0.25">
      <c r="A1068" s="55">
        <v>2013</v>
      </c>
      <c r="B1068" s="55" t="s">
        <v>307</v>
      </c>
      <c r="C1068" s="38" t="s">
        <v>207</v>
      </c>
      <c r="D1068" s="43" t="s">
        <v>209</v>
      </c>
      <c r="E1068" s="32" t="s">
        <v>204</v>
      </c>
      <c r="F1068" s="18">
        <v>34900</v>
      </c>
    </row>
    <row r="1069" spans="1:6" x14ac:dyDescent="0.25">
      <c r="A1069" s="55">
        <v>2013</v>
      </c>
      <c r="B1069" s="55" t="s">
        <v>307</v>
      </c>
      <c r="C1069" s="38" t="s">
        <v>207</v>
      </c>
      <c r="D1069" s="44" t="s">
        <v>210</v>
      </c>
      <c r="E1069" s="32" t="s">
        <v>2</v>
      </c>
      <c r="F1069" s="18">
        <v>5870</v>
      </c>
    </row>
    <row r="1070" spans="1:6" x14ac:dyDescent="0.25">
      <c r="A1070" s="55">
        <v>2013</v>
      </c>
      <c r="B1070" s="55" t="s">
        <v>307</v>
      </c>
      <c r="C1070" s="38" t="s">
        <v>207</v>
      </c>
      <c r="D1070" s="44" t="s">
        <v>210</v>
      </c>
      <c r="E1070" s="32" t="s">
        <v>24</v>
      </c>
      <c r="F1070" s="18">
        <v>19574</v>
      </c>
    </row>
    <row r="1071" spans="1:6" ht="15.75" thickBot="1" x14ac:dyDescent="0.3">
      <c r="A1071" s="62">
        <v>2013</v>
      </c>
      <c r="B1071" s="62" t="s">
        <v>307</v>
      </c>
      <c r="C1071" s="53" t="s">
        <v>207</v>
      </c>
      <c r="D1071" s="54" t="s">
        <v>210</v>
      </c>
      <c r="E1071" s="35" t="s">
        <v>204</v>
      </c>
      <c r="F1071" s="65">
        <v>9200</v>
      </c>
    </row>
    <row r="1072" spans="1:6" ht="15.75" thickTop="1" x14ac:dyDescent="0.25">
      <c r="A1072" s="55">
        <v>2013</v>
      </c>
      <c r="B1072" s="56" t="s">
        <v>318</v>
      </c>
      <c r="C1072" s="38" t="s">
        <v>203</v>
      </c>
      <c r="D1072" s="39" t="s">
        <v>174</v>
      </c>
      <c r="E1072" s="32" t="s">
        <v>2</v>
      </c>
      <c r="F1072" s="18">
        <v>43153</v>
      </c>
    </row>
    <row r="1073" spans="1:6" x14ac:dyDescent="0.25">
      <c r="A1073" s="55">
        <v>2013</v>
      </c>
      <c r="B1073" s="56" t="s">
        <v>318</v>
      </c>
      <c r="C1073" s="38" t="s">
        <v>203</v>
      </c>
      <c r="D1073" s="39" t="s">
        <v>174</v>
      </c>
      <c r="E1073" s="32" t="s">
        <v>24</v>
      </c>
      <c r="F1073" s="18">
        <v>81943</v>
      </c>
    </row>
    <row r="1074" spans="1:6" x14ac:dyDescent="0.25">
      <c r="A1074" s="55">
        <v>2013</v>
      </c>
      <c r="B1074" s="56" t="s">
        <v>318</v>
      </c>
      <c r="C1074" s="38" t="s">
        <v>203</v>
      </c>
      <c r="D1074" s="39" t="s">
        <v>174</v>
      </c>
      <c r="E1074" s="32" t="s">
        <v>204</v>
      </c>
      <c r="F1074" s="18">
        <v>0</v>
      </c>
    </row>
    <row r="1075" spans="1:6" x14ac:dyDescent="0.25">
      <c r="A1075" s="55">
        <v>2013</v>
      </c>
      <c r="B1075" s="56" t="s">
        <v>318</v>
      </c>
      <c r="C1075" s="38" t="s">
        <v>203</v>
      </c>
      <c r="D1075" s="41" t="s">
        <v>205</v>
      </c>
      <c r="E1075" s="32" t="s">
        <v>2</v>
      </c>
      <c r="F1075" s="18">
        <v>7685</v>
      </c>
    </row>
    <row r="1076" spans="1:6" x14ac:dyDescent="0.25">
      <c r="A1076" s="55">
        <v>2013</v>
      </c>
      <c r="B1076" s="56" t="s">
        <v>318</v>
      </c>
      <c r="C1076" s="38" t="s">
        <v>203</v>
      </c>
      <c r="D1076" s="41" t="s">
        <v>205</v>
      </c>
      <c r="E1076" s="32" t="s">
        <v>24</v>
      </c>
      <c r="F1076" s="18">
        <v>86090</v>
      </c>
    </row>
    <row r="1077" spans="1:6" x14ac:dyDescent="0.25">
      <c r="A1077" s="55">
        <v>2013</v>
      </c>
      <c r="B1077" s="56" t="s">
        <v>318</v>
      </c>
      <c r="C1077" s="38" t="s">
        <v>203</v>
      </c>
      <c r="D1077" s="41" t="s">
        <v>205</v>
      </c>
      <c r="E1077" s="32" t="s">
        <v>204</v>
      </c>
      <c r="F1077" s="18">
        <v>0</v>
      </c>
    </row>
    <row r="1078" spans="1:6" x14ac:dyDescent="0.25">
      <c r="A1078" s="55">
        <v>2013</v>
      </c>
      <c r="B1078" s="56" t="s">
        <v>318</v>
      </c>
      <c r="C1078" s="38" t="s">
        <v>203</v>
      </c>
      <c r="D1078" s="42" t="s">
        <v>206</v>
      </c>
      <c r="E1078" s="32" t="s">
        <v>2</v>
      </c>
      <c r="F1078" s="18">
        <v>2500</v>
      </c>
    </row>
    <row r="1079" spans="1:6" x14ac:dyDescent="0.25">
      <c r="A1079" s="55">
        <v>2013</v>
      </c>
      <c r="B1079" s="56" t="s">
        <v>318</v>
      </c>
      <c r="C1079" s="38" t="s">
        <v>203</v>
      </c>
      <c r="D1079" s="42" t="s">
        <v>206</v>
      </c>
      <c r="E1079" s="32" t="s">
        <v>24</v>
      </c>
      <c r="F1079" s="18">
        <v>13679</v>
      </c>
    </row>
    <row r="1080" spans="1:6" x14ac:dyDescent="0.25">
      <c r="A1080" s="55">
        <v>2013</v>
      </c>
      <c r="B1080" s="56" t="s">
        <v>318</v>
      </c>
      <c r="C1080" s="38" t="s">
        <v>203</v>
      </c>
      <c r="D1080" s="42" t="s">
        <v>206</v>
      </c>
      <c r="E1080" s="32" t="s">
        <v>204</v>
      </c>
      <c r="F1080" s="18">
        <v>10270</v>
      </c>
    </row>
    <row r="1081" spans="1:6" x14ac:dyDescent="0.25">
      <c r="A1081" s="55">
        <v>2013</v>
      </c>
      <c r="B1081" s="56" t="s">
        <v>318</v>
      </c>
      <c r="C1081" s="38" t="s">
        <v>203</v>
      </c>
      <c r="D1081" s="43" t="s">
        <v>175</v>
      </c>
      <c r="E1081" s="32" t="s">
        <v>2</v>
      </c>
      <c r="F1081" s="18">
        <v>11757</v>
      </c>
    </row>
    <row r="1082" spans="1:6" x14ac:dyDescent="0.25">
      <c r="A1082" s="55">
        <v>2013</v>
      </c>
      <c r="B1082" s="56" t="s">
        <v>318</v>
      </c>
      <c r="C1082" s="38" t="s">
        <v>203</v>
      </c>
      <c r="D1082" s="43" t="s">
        <v>175</v>
      </c>
      <c r="E1082" s="32" t="s">
        <v>24</v>
      </c>
      <c r="F1082" s="18">
        <v>12325</v>
      </c>
    </row>
    <row r="1083" spans="1:6" x14ac:dyDescent="0.25">
      <c r="A1083" s="55">
        <v>2013</v>
      </c>
      <c r="B1083" s="56" t="s">
        <v>318</v>
      </c>
      <c r="C1083" s="38" t="s">
        <v>203</v>
      </c>
      <c r="D1083" s="43" t="s">
        <v>175</v>
      </c>
      <c r="E1083" s="32" t="s">
        <v>204</v>
      </c>
      <c r="F1083" s="18">
        <v>0</v>
      </c>
    </row>
    <row r="1084" spans="1:6" x14ac:dyDescent="0.25">
      <c r="A1084" s="55">
        <v>2013</v>
      </c>
      <c r="B1084" s="56" t="s">
        <v>318</v>
      </c>
      <c r="C1084" s="38" t="s">
        <v>207</v>
      </c>
      <c r="D1084" s="39" t="s">
        <v>208</v>
      </c>
      <c r="E1084" s="32" t="s">
        <v>2</v>
      </c>
      <c r="F1084" s="18">
        <v>8006</v>
      </c>
    </row>
    <row r="1085" spans="1:6" x14ac:dyDescent="0.25">
      <c r="A1085" s="55">
        <v>2013</v>
      </c>
      <c r="B1085" s="56" t="s">
        <v>318</v>
      </c>
      <c r="C1085" s="38" t="s">
        <v>207</v>
      </c>
      <c r="D1085" s="39" t="s">
        <v>208</v>
      </c>
      <c r="E1085" s="32" t="s">
        <v>24</v>
      </c>
      <c r="F1085" s="18">
        <v>36814</v>
      </c>
    </row>
    <row r="1086" spans="1:6" x14ac:dyDescent="0.25">
      <c r="A1086" s="55">
        <v>2013</v>
      </c>
      <c r="B1086" s="56" t="s">
        <v>318</v>
      </c>
      <c r="C1086" s="38" t="s">
        <v>207</v>
      </c>
      <c r="D1086" s="39" t="s">
        <v>208</v>
      </c>
      <c r="E1086" s="32" t="s">
        <v>204</v>
      </c>
      <c r="F1086" s="18">
        <v>105161</v>
      </c>
    </row>
    <row r="1087" spans="1:6" x14ac:dyDescent="0.25">
      <c r="A1087" s="55">
        <v>2013</v>
      </c>
      <c r="B1087" s="56" t="s">
        <v>318</v>
      </c>
      <c r="C1087" s="38" t="s">
        <v>207</v>
      </c>
      <c r="D1087" s="43" t="s">
        <v>209</v>
      </c>
      <c r="E1087" s="32" t="s">
        <v>2</v>
      </c>
      <c r="F1087" s="18">
        <v>0</v>
      </c>
    </row>
    <row r="1088" spans="1:6" x14ac:dyDescent="0.25">
      <c r="A1088" s="55">
        <v>2013</v>
      </c>
      <c r="B1088" s="56" t="s">
        <v>318</v>
      </c>
      <c r="C1088" s="38" t="s">
        <v>207</v>
      </c>
      <c r="D1088" s="43" t="s">
        <v>209</v>
      </c>
      <c r="E1088" s="32" t="s">
        <v>24</v>
      </c>
      <c r="F1088" s="18">
        <v>49625</v>
      </c>
    </row>
    <row r="1089" spans="1:6" x14ac:dyDescent="0.25">
      <c r="A1089" s="55">
        <v>2013</v>
      </c>
      <c r="B1089" s="56" t="s">
        <v>318</v>
      </c>
      <c r="C1089" s="38" t="s">
        <v>207</v>
      </c>
      <c r="D1089" s="43" t="s">
        <v>209</v>
      </c>
      <c r="E1089" s="32" t="s">
        <v>204</v>
      </c>
      <c r="F1089" s="18">
        <v>33900</v>
      </c>
    </row>
    <row r="1090" spans="1:6" x14ac:dyDescent="0.25">
      <c r="A1090" s="55">
        <v>2013</v>
      </c>
      <c r="B1090" s="56" t="s">
        <v>318</v>
      </c>
      <c r="C1090" s="38" t="s">
        <v>207</v>
      </c>
      <c r="D1090" s="44" t="s">
        <v>210</v>
      </c>
      <c r="E1090" s="32" t="s">
        <v>2</v>
      </c>
      <c r="F1090" s="18">
        <v>5200</v>
      </c>
    </row>
    <row r="1091" spans="1:6" x14ac:dyDescent="0.25">
      <c r="A1091" s="55">
        <v>2013</v>
      </c>
      <c r="B1091" s="56" t="s">
        <v>318</v>
      </c>
      <c r="C1091" s="38" t="s">
        <v>207</v>
      </c>
      <c r="D1091" s="44" t="s">
        <v>210</v>
      </c>
      <c r="E1091" s="32" t="s">
        <v>24</v>
      </c>
      <c r="F1091" s="18">
        <v>17800</v>
      </c>
    </row>
    <row r="1092" spans="1:6" ht="15.75" thickBot="1" x14ac:dyDescent="0.3">
      <c r="A1092" s="62">
        <v>2013</v>
      </c>
      <c r="B1092" s="66" t="s">
        <v>318</v>
      </c>
      <c r="C1092" s="53" t="s">
        <v>207</v>
      </c>
      <c r="D1092" s="54" t="s">
        <v>210</v>
      </c>
      <c r="E1092" s="35" t="s">
        <v>204</v>
      </c>
      <c r="F1092" s="65">
        <v>3000</v>
      </c>
    </row>
    <row r="1093" spans="1:6" ht="15.75" thickTop="1" x14ac:dyDescent="0.25">
      <c r="A1093" s="55">
        <v>2013</v>
      </c>
      <c r="B1093" s="111" t="s">
        <v>319</v>
      </c>
      <c r="C1093" s="38" t="s">
        <v>203</v>
      </c>
      <c r="D1093" s="39" t="s">
        <v>174</v>
      </c>
      <c r="E1093" s="32" t="s">
        <v>2</v>
      </c>
      <c r="F1093" s="18">
        <v>32719</v>
      </c>
    </row>
    <row r="1094" spans="1:6" x14ac:dyDescent="0.25">
      <c r="A1094" s="55">
        <v>2013</v>
      </c>
      <c r="B1094" s="111" t="s">
        <v>319</v>
      </c>
      <c r="C1094" s="38" t="s">
        <v>203</v>
      </c>
      <c r="D1094" s="39" t="s">
        <v>174</v>
      </c>
      <c r="E1094" s="32" t="s">
        <v>24</v>
      </c>
      <c r="F1094" s="18">
        <v>81463</v>
      </c>
    </row>
    <row r="1095" spans="1:6" x14ac:dyDescent="0.25">
      <c r="A1095" s="55">
        <v>2013</v>
      </c>
      <c r="B1095" s="111" t="s">
        <v>319</v>
      </c>
      <c r="C1095" s="38" t="s">
        <v>203</v>
      </c>
      <c r="D1095" s="39" t="s">
        <v>174</v>
      </c>
      <c r="E1095" s="32" t="s">
        <v>204</v>
      </c>
      <c r="F1095" s="18">
        <v>0</v>
      </c>
    </row>
    <row r="1096" spans="1:6" x14ac:dyDescent="0.25">
      <c r="A1096" s="55">
        <v>2013</v>
      </c>
      <c r="B1096" s="111" t="s">
        <v>319</v>
      </c>
      <c r="C1096" s="38" t="s">
        <v>203</v>
      </c>
      <c r="D1096" s="41" t="s">
        <v>205</v>
      </c>
      <c r="E1096" s="32" t="s">
        <v>2</v>
      </c>
      <c r="F1096" s="18">
        <v>6365</v>
      </c>
    </row>
    <row r="1097" spans="1:6" x14ac:dyDescent="0.25">
      <c r="A1097" s="55">
        <v>2013</v>
      </c>
      <c r="B1097" s="111" t="s">
        <v>319</v>
      </c>
      <c r="C1097" s="38" t="s">
        <v>203</v>
      </c>
      <c r="D1097" s="41" t="s">
        <v>205</v>
      </c>
      <c r="E1097" s="32" t="s">
        <v>24</v>
      </c>
      <c r="F1097" s="18">
        <v>84001</v>
      </c>
    </row>
    <row r="1098" spans="1:6" x14ac:dyDescent="0.25">
      <c r="A1098" s="55">
        <v>2013</v>
      </c>
      <c r="B1098" s="111" t="s">
        <v>319</v>
      </c>
      <c r="C1098" s="38" t="s">
        <v>203</v>
      </c>
      <c r="D1098" s="41" t="s">
        <v>205</v>
      </c>
      <c r="E1098" s="32" t="s">
        <v>204</v>
      </c>
      <c r="F1098" s="18">
        <v>0</v>
      </c>
    </row>
    <row r="1099" spans="1:6" x14ac:dyDescent="0.25">
      <c r="A1099" s="55">
        <v>2013</v>
      </c>
      <c r="B1099" s="111" t="s">
        <v>319</v>
      </c>
      <c r="C1099" s="38" t="s">
        <v>203</v>
      </c>
      <c r="D1099" s="42" t="s">
        <v>206</v>
      </c>
      <c r="E1099" s="32" t="s">
        <v>2</v>
      </c>
      <c r="F1099" s="18">
        <v>1000</v>
      </c>
    </row>
    <row r="1100" spans="1:6" x14ac:dyDescent="0.25">
      <c r="A1100" s="55">
        <v>2013</v>
      </c>
      <c r="B1100" s="111" t="s">
        <v>319</v>
      </c>
      <c r="C1100" s="38" t="s">
        <v>203</v>
      </c>
      <c r="D1100" s="42" t="s">
        <v>206</v>
      </c>
      <c r="E1100" s="32" t="s">
        <v>24</v>
      </c>
      <c r="F1100" s="18">
        <v>16610</v>
      </c>
    </row>
    <row r="1101" spans="1:6" x14ac:dyDescent="0.25">
      <c r="A1101" s="55">
        <v>2013</v>
      </c>
      <c r="B1101" s="111" t="s">
        <v>319</v>
      </c>
      <c r="C1101" s="38" t="s">
        <v>203</v>
      </c>
      <c r="D1101" s="42" t="s">
        <v>206</v>
      </c>
      <c r="E1101" s="32" t="s">
        <v>204</v>
      </c>
      <c r="F1101" s="18">
        <v>15515</v>
      </c>
    </row>
    <row r="1102" spans="1:6" x14ac:dyDescent="0.25">
      <c r="A1102" s="55">
        <v>2013</v>
      </c>
      <c r="B1102" s="111" t="s">
        <v>319</v>
      </c>
      <c r="C1102" s="38" t="s">
        <v>203</v>
      </c>
      <c r="D1102" s="43" t="s">
        <v>175</v>
      </c>
      <c r="E1102" s="32" t="s">
        <v>2</v>
      </c>
      <c r="F1102" s="18">
        <v>11757</v>
      </c>
    </row>
    <row r="1103" spans="1:6" x14ac:dyDescent="0.25">
      <c r="A1103" s="55">
        <v>2013</v>
      </c>
      <c r="B1103" s="111" t="s">
        <v>319</v>
      </c>
      <c r="C1103" s="38" t="s">
        <v>203</v>
      </c>
      <c r="D1103" s="43" t="s">
        <v>175</v>
      </c>
      <c r="E1103" s="32" t="s">
        <v>24</v>
      </c>
      <c r="F1103" s="18">
        <v>12031</v>
      </c>
    </row>
    <row r="1104" spans="1:6" x14ac:dyDescent="0.25">
      <c r="A1104" s="55">
        <v>2013</v>
      </c>
      <c r="B1104" s="111" t="s">
        <v>319</v>
      </c>
      <c r="C1104" s="38" t="s">
        <v>203</v>
      </c>
      <c r="D1104" s="43" t="s">
        <v>175</v>
      </c>
      <c r="E1104" s="32" t="s">
        <v>204</v>
      </c>
      <c r="F1104" s="18">
        <v>4500</v>
      </c>
    </row>
    <row r="1105" spans="1:6" x14ac:dyDescent="0.25">
      <c r="A1105" s="55">
        <v>2013</v>
      </c>
      <c r="B1105" s="111" t="s">
        <v>319</v>
      </c>
      <c r="C1105" s="38" t="s">
        <v>207</v>
      </c>
      <c r="D1105" s="39" t="s">
        <v>208</v>
      </c>
      <c r="E1105" s="32" t="s">
        <v>2</v>
      </c>
      <c r="F1105" s="18">
        <v>5618</v>
      </c>
    </row>
    <row r="1106" spans="1:6" x14ac:dyDescent="0.25">
      <c r="A1106" s="55">
        <v>2013</v>
      </c>
      <c r="B1106" s="111" t="s">
        <v>319</v>
      </c>
      <c r="C1106" s="38" t="s">
        <v>207</v>
      </c>
      <c r="D1106" s="39" t="s">
        <v>208</v>
      </c>
      <c r="E1106" s="32" t="s">
        <v>24</v>
      </c>
      <c r="F1106" s="18">
        <v>63573</v>
      </c>
    </row>
    <row r="1107" spans="1:6" x14ac:dyDescent="0.25">
      <c r="A1107" s="55">
        <v>2013</v>
      </c>
      <c r="B1107" s="111" t="s">
        <v>319</v>
      </c>
      <c r="C1107" s="38" t="s">
        <v>207</v>
      </c>
      <c r="D1107" s="39" t="s">
        <v>208</v>
      </c>
      <c r="E1107" s="32" t="s">
        <v>204</v>
      </c>
      <c r="F1107" s="18">
        <v>109161</v>
      </c>
    </row>
    <row r="1108" spans="1:6" x14ac:dyDescent="0.25">
      <c r="A1108" s="55">
        <v>2013</v>
      </c>
      <c r="B1108" s="111" t="s">
        <v>319</v>
      </c>
      <c r="C1108" s="38" t="s">
        <v>207</v>
      </c>
      <c r="D1108" s="43" t="s">
        <v>209</v>
      </c>
      <c r="E1108" s="32" t="s">
        <v>2</v>
      </c>
      <c r="F1108" s="18">
        <v>0</v>
      </c>
    </row>
    <row r="1109" spans="1:6" x14ac:dyDescent="0.25">
      <c r="A1109" s="55">
        <v>2013</v>
      </c>
      <c r="B1109" s="111" t="s">
        <v>319</v>
      </c>
      <c r="C1109" s="38" t="s">
        <v>207</v>
      </c>
      <c r="D1109" s="43" t="s">
        <v>209</v>
      </c>
      <c r="E1109" s="32" t="s">
        <v>24</v>
      </c>
      <c r="F1109" s="18">
        <v>54007</v>
      </c>
    </row>
    <row r="1110" spans="1:6" x14ac:dyDescent="0.25">
      <c r="A1110" s="55">
        <v>2013</v>
      </c>
      <c r="B1110" s="111" t="s">
        <v>319</v>
      </c>
      <c r="C1110" s="38" t="s">
        <v>207</v>
      </c>
      <c r="D1110" s="43" t="s">
        <v>209</v>
      </c>
      <c r="E1110" s="32" t="s">
        <v>204</v>
      </c>
      <c r="F1110" s="18">
        <v>35787</v>
      </c>
    </row>
    <row r="1111" spans="1:6" x14ac:dyDescent="0.25">
      <c r="A1111" s="55">
        <v>2013</v>
      </c>
      <c r="B1111" s="111" t="s">
        <v>319</v>
      </c>
      <c r="C1111" s="38" t="s">
        <v>207</v>
      </c>
      <c r="D1111" s="44" t="s">
        <v>210</v>
      </c>
      <c r="E1111" s="32" t="s">
        <v>2</v>
      </c>
      <c r="F1111" s="18">
        <v>6700</v>
      </c>
    </row>
    <row r="1112" spans="1:6" x14ac:dyDescent="0.25">
      <c r="A1112" s="55">
        <v>2013</v>
      </c>
      <c r="B1112" s="111" t="s">
        <v>319</v>
      </c>
      <c r="C1112" s="38" t="s">
        <v>207</v>
      </c>
      <c r="D1112" s="44" t="s">
        <v>210</v>
      </c>
      <c r="E1112" s="32" t="s">
        <v>24</v>
      </c>
      <c r="F1112" s="18">
        <v>10729</v>
      </c>
    </row>
    <row r="1113" spans="1:6" ht="15.75" thickBot="1" x14ac:dyDescent="0.3">
      <c r="A1113" s="62">
        <v>2013</v>
      </c>
      <c r="B1113" s="112" t="s">
        <v>319</v>
      </c>
      <c r="C1113" s="53" t="s">
        <v>207</v>
      </c>
      <c r="D1113" s="54" t="s">
        <v>210</v>
      </c>
      <c r="E1113" s="35" t="s">
        <v>204</v>
      </c>
      <c r="F1113" s="65">
        <v>5646</v>
      </c>
    </row>
    <row r="1114" spans="1:6" ht="15.75" thickTop="1" x14ac:dyDescent="0.25">
      <c r="A1114" s="55">
        <v>2013</v>
      </c>
      <c r="B1114" s="111" t="s">
        <v>320</v>
      </c>
      <c r="C1114" s="38" t="s">
        <v>203</v>
      </c>
      <c r="D1114" s="39" t="s">
        <v>174</v>
      </c>
      <c r="E1114" s="32" t="s">
        <v>2</v>
      </c>
      <c r="F1114" s="18">
        <v>30846</v>
      </c>
    </row>
    <row r="1115" spans="1:6" x14ac:dyDescent="0.25">
      <c r="A1115" s="55">
        <v>2013</v>
      </c>
      <c r="B1115" s="111" t="s">
        <v>320</v>
      </c>
      <c r="C1115" s="38" t="s">
        <v>203</v>
      </c>
      <c r="D1115" s="39" t="s">
        <v>174</v>
      </c>
      <c r="E1115" s="32" t="s">
        <v>24</v>
      </c>
      <c r="F1115" s="18">
        <v>81463</v>
      </c>
    </row>
    <row r="1116" spans="1:6" x14ac:dyDescent="0.25">
      <c r="A1116" s="55">
        <v>2013</v>
      </c>
      <c r="B1116" s="111" t="s">
        <v>320</v>
      </c>
      <c r="C1116" s="38" t="s">
        <v>203</v>
      </c>
      <c r="D1116" s="39" t="s">
        <v>174</v>
      </c>
      <c r="E1116" s="32" t="s">
        <v>204</v>
      </c>
      <c r="F1116" s="18">
        <v>0</v>
      </c>
    </row>
    <row r="1117" spans="1:6" x14ac:dyDescent="0.25">
      <c r="A1117" s="55">
        <v>2013</v>
      </c>
      <c r="B1117" s="111" t="s">
        <v>320</v>
      </c>
      <c r="C1117" s="38" t="s">
        <v>203</v>
      </c>
      <c r="D1117" s="41" t="s">
        <v>205</v>
      </c>
      <c r="E1117" s="32" t="s">
        <v>2</v>
      </c>
      <c r="F1117" s="18">
        <v>8238</v>
      </c>
    </row>
    <row r="1118" spans="1:6" x14ac:dyDescent="0.25">
      <c r="A1118" s="55">
        <v>2013</v>
      </c>
      <c r="B1118" s="111" t="s">
        <v>320</v>
      </c>
      <c r="C1118" s="38" t="s">
        <v>203</v>
      </c>
      <c r="D1118" s="41" t="s">
        <v>205</v>
      </c>
      <c r="E1118" s="32" t="s">
        <v>24</v>
      </c>
      <c r="F1118" s="18">
        <v>80801</v>
      </c>
    </row>
    <row r="1119" spans="1:6" x14ac:dyDescent="0.25">
      <c r="A1119" s="55">
        <v>2013</v>
      </c>
      <c r="B1119" s="111" t="s">
        <v>320</v>
      </c>
      <c r="C1119" s="38" t="s">
        <v>203</v>
      </c>
      <c r="D1119" s="41" t="s">
        <v>205</v>
      </c>
      <c r="E1119" s="32" t="s">
        <v>204</v>
      </c>
      <c r="F1119" s="18">
        <v>0</v>
      </c>
    </row>
    <row r="1120" spans="1:6" x14ac:dyDescent="0.25">
      <c r="A1120" s="55">
        <v>2013</v>
      </c>
      <c r="B1120" s="111" t="s">
        <v>320</v>
      </c>
      <c r="C1120" s="38" t="s">
        <v>203</v>
      </c>
      <c r="D1120" s="42" t="s">
        <v>206</v>
      </c>
      <c r="E1120" s="32" t="s">
        <v>2</v>
      </c>
      <c r="F1120" s="18">
        <v>1000</v>
      </c>
    </row>
    <row r="1121" spans="1:6" x14ac:dyDescent="0.25">
      <c r="A1121" s="55">
        <v>2013</v>
      </c>
      <c r="B1121" s="111" t="s">
        <v>320</v>
      </c>
      <c r="C1121" s="38" t="s">
        <v>203</v>
      </c>
      <c r="D1121" s="42" t="s">
        <v>206</v>
      </c>
      <c r="E1121" s="32" t="s">
        <v>24</v>
      </c>
      <c r="F1121" s="18">
        <v>11312</v>
      </c>
    </row>
    <row r="1122" spans="1:6" x14ac:dyDescent="0.25">
      <c r="A1122" s="55">
        <v>2013</v>
      </c>
      <c r="B1122" s="111" t="s">
        <v>320</v>
      </c>
      <c r="C1122" s="38" t="s">
        <v>203</v>
      </c>
      <c r="D1122" s="42" t="s">
        <v>206</v>
      </c>
      <c r="E1122" s="32" t="s">
        <v>204</v>
      </c>
      <c r="F1122" s="18">
        <v>10515</v>
      </c>
    </row>
    <row r="1123" spans="1:6" x14ac:dyDescent="0.25">
      <c r="A1123" s="55">
        <v>2013</v>
      </c>
      <c r="B1123" s="111" t="s">
        <v>320</v>
      </c>
      <c r="C1123" s="38" t="s">
        <v>203</v>
      </c>
      <c r="D1123" s="43" t="s">
        <v>175</v>
      </c>
      <c r="E1123" s="32" t="s">
        <v>2</v>
      </c>
      <c r="F1123" s="18">
        <v>0</v>
      </c>
    </row>
    <row r="1124" spans="1:6" x14ac:dyDescent="0.25">
      <c r="A1124" s="55">
        <v>2013</v>
      </c>
      <c r="B1124" s="111" t="s">
        <v>320</v>
      </c>
      <c r="C1124" s="38" t="s">
        <v>203</v>
      </c>
      <c r="D1124" s="43" t="s">
        <v>175</v>
      </c>
      <c r="E1124" s="32" t="s">
        <v>24</v>
      </c>
      <c r="F1124" s="18">
        <v>1806</v>
      </c>
    </row>
    <row r="1125" spans="1:6" x14ac:dyDescent="0.25">
      <c r="A1125" s="55">
        <v>2013</v>
      </c>
      <c r="B1125" s="111" t="s">
        <v>320</v>
      </c>
      <c r="C1125" s="38" t="s">
        <v>203</v>
      </c>
      <c r="D1125" s="43" t="s">
        <v>175</v>
      </c>
      <c r="E1125" s="32" t="s">
        <v>204</v>
      </c>
      <c r="F1125" s="18">
        <v>0</v>
      </c>
    </row>
    <row r="1126" spans="1:6" x14ac:dyDescent="0.25">
      <c r="A1126" s="55">
        <v>2013</v>
      </c>
      <c r="B1126" s="111" t="s">
        <v>320</v>
      </c>
      <c r="C1126" s="38" t="s">
        <v>207</v>
      </c>
      <c r="D1126" s="39" t="s">
        <v>208</v>
      </c>
      <c r="E1126" s="32" t="s">
        <v>2</v>
      </c>
      <c r="F1126" s="18">
        <v>5618</v>
      </c>
    </row>
    <row r="1127" spans="1:6" x14ac:dyDescent="0.25">
      <c r="A1127" s="55">
        <v>2013</v>
      </c>
      <c r="B1127" s="111" t="s">
        <v>320</v>
      </c>
      <c r="C1127" s="38" t="s">
        <v>207</v>
      </c>
      <c r="D1127" s="39" t="s">
        <v>208</v>
      </c>
      <c r="E1127" s="32" t="s">
        <v>24</v>
      </c>
      <c r="F1127" s="18">
        <v>63573</v>
      </c>
    </row>
    <row r="1128" spans="1:6" x14ac:dyDescent="0.25">
      <c r="A1128" s="55">
        <v>2013</v>
      </c>
      <c r="B1128" s="111" t="s">
        <v>320</v>
      </c>
      <c r="C1128" s="38" t="s">
        <v>207</v>
      </c>
      <c r="D1128" s="39" t="s">
        <v>208</v>
      </c>
      <c r="E1128" s="32" t="s">
        <v>204</v>
      </c>
      <c r="F1128" s="18">
        <v>109161</v>
      </c>
    </row>
    <row r="1129" spans="1:6" x14ac:dyDescent="0.25">
      <c r="A1129" s="55">
        <v>2013</v>
      </c>
      <c r="B1129" s="111" t="s">
        <v>320</v>
      </c>
      <c r="C1129" s="38" t="s">
        <v>207</v>
      </c>
      <c r="D1129" s="43" t="s">
        <v>209</v>
      </c>
      <c r="E1129" s="32" t="s">
        <v>2</v>
      </c>
      <c r="F1129" s="18">
        <v>0</v>
      </c>
    </row>
    <row r="1130" spans="1:6" x14ac:dyDescent="0.25">
      <c r="A1130" s="55">
        <v>2013</v>
      </c>
      <c r="B1130" s="111" t="s">
        <v>320</v>
      </c>
      <c r="C1130" s="38" t="s">
        <v>207</v>
      </c>
      <c r="D1130" s="43" t="s">
        <v>209</v>
      </c>
      <c r="E1130" s="32" t="s">
        <v>24</v>
      </c>
      <c r="F1130" s="18">
        <v>72257</v>
      </c>
    </row>
    <row r="1131" spans="1:6" x14ac:dyDescent="0.25">
      <c r="A1131" s="55">
        <v>2013</v>
      </c>
      <c r="B1131" s="111" t="s">
        <v>320</v>
      </c>
      <c r="C1131" s="38" t="s">
        <v>207</v>
      </c>
      <c r="D1131" s="43" t="s">
        <v>209</v>
      </c>
      <c r="E1131" s="32" t="s">
        <v>204</v>
      </c>
      <c r="F1131" s="18">
        <v>35787</v>
      </c>
    </row>
    <row r="1132" spans="1:6" x14ac:dyDescent="0.25">
      <c r="A1132" s="55">
        <v>2013</v>
      </c>
      <c r="B1132" s="111" t="s">
        <v>320</v>
      </c>
      <c r="C1132" s="38" t="s">
        <v>207</v>
      </c>
      <c r="D1132" s="44" t="s">
        <v>210</v>
      </c>
      <c r="E1132" s="32" t="s">
        <v>2</v>
      </c>
      <c r="F1132" s="18">
        <v>13957</v>
      </c>
    </row>
    <row r="1133" spans="1:6" x14ac:dyDescent="0.25">
      <c r="A1133" s="55">
        <v>2013</v>
      </c>
      <c r="B1133" s="111" t="s">
        <v>320</v>
      </c>
      <c r="C1133" s="38" t="s">
        <v>207</v>
      </c>
      <c r="D1133" s="44" t="s">
        <v>210</v>
      </c>
      <c r="E1133" s="32" t="s">
        <v>24</v>
      </c>
      <c r="F1133" s="18">
        <v>28303</v>
      </c>
    </row>
    <row r="1134" spans="1:6" ht="15.75" thickBot="1" x14ac:dyDescent="0.3">
      <c r="A1134" s="62">
        <v>2013</v>
      </c>
      <c r="B1134" s="112" t="s">
        <v>320</v>
      </c>
      <c r="C1134" s="53" t="s">
        <v>207</v>
      </c>
      <c r="D1134" s="54" t="s">
        <v>210</v>
      </c>
      <c r="E1134" s="35" t="s">
        <v>204</v>
      </c>
      <c r="F1134" s="65">
        <v>10146</v>
      </c>
    </row>
    <row r="1135" spans="1:6" s="113" customFormat="1" ht="15.75" thickTop="1" x14ac:dyDescent="0.25">
      <c r="A1135" s="113">
        <v>2013</v>
      </c>
      <c r="B1135" s="114" t="s">
        <v>316</v>
      </c>
      <c r="C1135" s="115" t="s">
        <v>203</v>
      </c>
      <c r="D1135" s="116" t="s">
        <v>174</v>
      </c>
      <c r="E1135" s="117" t="s">
        <v>2</v>
      </c>
      <c r="F1135" s="118">
        <v>29946</v>
      </c>
    </row>
    <row r="1136" spans="1:6" s="113" customFormat="1" x14ac:dyDescent="0.25">
      <c r="A1136" s="113">
        <v>2013</v>
      </c>
      <c r="B1136" s="114" t="s">
        <v>316</v>
      </c>
      <c r="C1136" s="115" t="s">
        <v>203</v>
      </c>
      <c r="D1136" s="116" t="s">
        <v>174</v>
      </c>
      <c r="E1136" s="117" t="s">
        <v>24</v>
      </c>
      <c r="F1136" s="118">
        <v>85973</v>
      </c>
    </row>
    <row r="1137" spans="1:6" s="113" customFormat="1" x14ac:dyDescent="0.25">
      <c r="A1137" s="113">
        <v>2013</v>
      </c>
      <c r="B1137" s="114" t="s">
        <v>316</v>
      </c>
      <c r="C1137" s="115" t="s">
        <v>203</v>
      </c>
      <c r="D1137" s="116" t="s">
        <v>174</v>
      </c>
      <c r="E1137" s="117" t="s">
        <v>204</v>
      </c>
      <c r="F1137" s="118">
        <v>0</v>
      </c>
    </row>
    <row r="1138" spans="1:6" s="113" customFormat="1" x14ac:dyDescent="0.25">
      <c r="A1138" s="113">
        <v>2013</v>
      </c>
      <c r="B1138" s="114" t="s">
        <v>316</v>
      </c>
      <c r="C1138" s="115" t="s">
        <v>203</v>
      </c>
      <c r="D1138" s="119" t="s">
        <v>205</v>
      </c>
      <c r="E1138" s="117" t="s">
        <v>2</v>
      </c>
      <c r="F1138" s="118">
        <v>8238</v>
      </c>
    </row>
    <row r="1139" spans="1:6" s="113" customFormat="1" x14ac:dyDescent="0.25">
      <c r="A1139" s="113">
        <v>2013</v>
      </c>
      <c r="B1139" s="114" t="s">
        <v>316</v>
      </c>
      <c r="C1139" s="115" t="s">
        <v>203</v>
      </c>
      <c r="D1139" s="119" t="s">
        <v>205</v>
      </c>
      <c r="E1139" s="117" t="s">
        <v>24</v>
      </c>
      <c r="F1139" s="118">
        <v>86856</v>
      </c>
    </row>
    <row r="1140" spans="1:6" s="113" customFormat="1" x14ac:dyDescent="0.25">
      <c r="A1140" s="113">
        <v>2013</v>
      </c>
      <c r="B1140" s="114" t="s">
        <v>316</v>
      </c>
      <c r="C1140" s="115" t="s">
        <v>203</v>
      </c>
      <c r="D1140" s="119" t="s">
        <v>205</v>
      </c>
      <c r="E1140" s="117" t="s">
        <v>204</v>
      </c>
      <c r="F1140" s="118">
        <v>0</v>
      </c>
    </row>
    <row r="1141" spans="1:6" s="113" customFormat="1" x14ac:dyDescent="0.25">
      <c r="A1141" s="113">
        <v>2013</v>
      </c>
      <c r="B1141" s="114" t="s">
        <v>316</v>
      </c>
      <c r="C1141" s="115" t="s">
        <v>203</v>
      </c>
      <c r="D1141" s="120" t="s">
        <v>206</v>
      </c>
      <c r="E1141" s="117" t="s">
        <v>2</v>
      </c>
      <c r="F1141" s="118">
        <v>3000</v>
      </c>
    </row>
    <row r="1142" spans="1:6" s="113" customFormat="1" x14ac:dyDescent="0.25">
      <c r="A1142" s="113">
        <v>2013</v>
      </c>
      <c r="B1142" s="114" t="s">
        <v>316</v>
      </c>
      <c r="C1142" s="115" t="s">
        <v>203</v>
      </c>
      <c r="D1142" s="120" t="s">
        <v>206</v>
      </c>
      <c r="E1142" s="117" t="s">
        <v>24</v>
      </c>
      <c r="F1142" s="118">
        <v>16575</v>
      </c>
    </row>
    <row r="1143" spans="1:6" s="113" customFormat="1" x14ac:dyDescent="0.25">
      <c r="A1143" s="113">
        <v>2013</v>
      </c>
      <c r="B1143" s="114" t="s">
        <v>316</v>
      </c>
      <c r="C1143" s="115" t="s">
        <v>203</v>
      </c>
      <c r="D1143" s="120" t="s">
        <v>206</v>
      </c>
      <c r="E1143" s="117" t="s">
        <v>204</v>
      </c>
      <c r="F1143" s="118">
        <v>11565</v>
      </c>
    </row>
    <row r="1144" spans="1:6" s="113" customFormat="1" x14ac:dyDescent="0.25">
      <c r="A1144" s="113">
        <v>2013</v>
      </c>
      <c r="B1144" s="114" t="s">
        <v>316</v>
      </c>
      <c r="C1144" s="115" t="s">
        <v>203</v>
      </c>
      <c r="D1144" s="121" t="s">
        <v>175</v>
      </c>
      <c r="E1144" s="117" t="s">
        <v>2</v>
      </c>
      <c r="F1144" s="118">
        <v>0</v>
      </c>
    </row>
    <row r="1145" spans="1:6" s="113" customFormat="1" x14ac:dyDescent="0.25">
      <c r="A1145" s="113">
        <v>2013</v>
      </c>
      <c r="B1145" s="114" t="s">
        <v>316</v>
      </c>
      <c r="C1145" s="115" t="s">
        <v>203</v>
      </c>
      <c r="D1145" s="121" t="s">
        <v>175</v>
      </c>
      <c r="E1145" s="117" t="s">
        <v>24</v>
      </c>
      <c r="F1145" s="118">
        <v>1600</v>
      </c>
    </row>
    <row r="1146" spans="1:6" s="113" customFormat="1" x14ac:dyDescent="0.25">
      <c r="A1146" s="113">
        <v>2013</v>
      </c>
      <c r="B1146" s="114" t="s">
        <v>316</v>
      </c>
      <c r="C1146" s="115" t="s">
        <v>203</v>
      </c>
      <c r="D1146" s="121" t="s">
        <v>175</v>
      </c>
      <c r="E1146" s="117" t="s">
        <v>204</v>
      </c>
      <c r="F1146" s="118">
        <v>0</v>
      </c>
    </row>
    <row r="1147" spans="1:6" s="113" customFormat="1" x14ac:dyDescent="0.25">
      <c r="A1147" s="113">
        <v>2013</v>
      </c>
      <c r="B1147" s="114" t="s">
        <v>316</v>
      </c>
      <c r="C1147" s="115" t="s">
        <v>207</v>
      </c>
      <c r="D1147" s="116" t="s">
        <v>208</v>
      </c>
      <c r="E1147" s="117" t="s">
        <v>2</v>
      </c>
      <c r="F1147" s="118">
        <v>5618</v>
      </c>
    </row>
    <row r="1148" spans="1:6" s="113" customFormat="1" x14ac:dyDescent="0.25">
      <c r="A1148" s="113">
        <v>2013</v>
      </c>
      <c r="B1148" s="114" t="s">
        <v>316</v>
      </c>
      <c r="C1148" s="115" t="s">
        <v>207</v>
      </c>
      <c r="D1148" s="116" t="s">
        <v>208</v>
      </c>
      <c r="E1148" s="117" t="s">
        <v>24</v>
      </c>
      <c r="F1148" s="118">
        <v>63573</v>
      </c>
    </row>
    <row r="1149" spans="1:6" s="113" customFormat="1" x14ac:dyDescent="0.25">
      <c r="A1149" s="113">
        <v>2013</v>
      </c>
      <c r="B1149" s="114" t="s">
        <v>316</v>
      </c>
      <c r="C1149" s="115" t="s">
        <v>207</v>
      </c>
      <c r="D1149" s="116" t="s">
        <v>208</v>
      </c>
      <c r="E1149" s="117" t="s">
        <v>204</v>
      </c>
      <c r="F1149" s="118">
        <v>108086</v>
      </c>
    </row>
    <row r="1150" spans="1:6" s="113" customFormat="1" x14ac:dyDescent="0.25">
      <c r="A1150" s="113">
        <v>2013</v>
      </c>
      <c r="B1150" s="114" t="s">
        <v>316</v>
      </c>
      <c r="C1150" s="115" t="s">
        <v>207</v>
      </c>
      <c r="D1150" s="121" t="s">
        <v>209</v>
      </c>
      <c r="E1150" s="117" t="s">
        <v>2</v>
      </c>
      <c r="F1150" s="118">
        <v>0</v>
      </c>
    </row>
    <row r="1151" spans="1:6" s="113" customFormat="1" x14ac:dyDescent="0.25">
      <c r="A1151" s="113">
        <v>2013</v>
      </c>
      <c r="B1151" s="114" t="s">
        <v>316</v>
      </c>
      <c r="C1151" s="115" t="s">
        <v>207</v>
      </c>
      <c r="D1151" s="121" t="s">
        <v>209</v>
      </c>
      <c r="E1151" s="117" t="s">
        <v>24</v>
      </c>
      <c r="F1151" s="118">
        <v>70557</v>
      </c>
    </row>
    <row r="1152" spans="1:6" s="113" customFormat="1" x14ac:dyDescent="0.25">
      <c r="A1152" s="113">
        <v>2013</v>
      </c>
      <c r="B1152" s="114" t="s">
        <v>316</v>
      </c>
      <c r="C1152" s="115" t="s">
        <v>207</v>
      </c>
      <c r="D1152" s="121" t="s">
        <v>209</v>
      </c>
      <c r="E1152" s="117" t="s">
        <v>204</v>
      </c>
      <c r="F1152" s="118">
        <v>40081</v>
      </c>
    </row>
    <row r="1153" spans="1:6" s="113" customFormat="1" x14ac:dyDescent="0.25">
      <c r="A1153" s="113">
        <v>2013</v>
      </c>
      <c r="B1153" s="114" t="s">
        <v>316</v>
      </c>
      <c r="C1153" s="115" t="s">
        <v>207</v>
      </c>
      <c r="D1153" s="122" t="s">
        <v>210</v>
      </c>
      <c r="E1153" s="117" t="s">
        <v>2</v>
      </c>
      <c r="F1153" s="118">
        <v>17515</v>
      </c>
    </row>
    <row r="1154" spans="1:6" s="113" customFormat="1" x14ac:dyDescent="0.25">
      <c r="A1154" s="113">
        <v>2013</v>
      </c>
      <c r="B1154" s="114" t="s">
        <v>316</v>
      </c>
      <c r="C1154" s="115" t="s">
        <v>207</v>
      </c>
      <c r="D1154" s="122" t="s">
        <v>210</v>
      </c>
      <c r="E1154" s="117" t="s">
        <v>24</v>
      </c>
      <c r="F1154" s="118">
        <v>33744</v>
      </c>
    </row>
    <row r="1155" spans="1:6" s="113" customFormat="1" ht="15.75" thickBot="1" x14ac:dyDescent="0.3">
      <c r="A1155" s="123">
        <v>2013</v>
      </c>
      <c r="B1155" s="124" t="s">
        <v>316</v>
      </c>
      <c r="C1155" s="125" t="s">
        <v>207</v>
      </c>
      <c r="D1155" s="126" t="s">
        <v>210</v>
      </c>
      <c r="E1155" s="127" t="s">
        <v>204</v>
      </c>
      <c r="F1155" s="128">
        <v>63376</v>
      </c>
    </row>
    <row r="1156" spans="1:6" ht="15.75" thickTop="1" x14ac:dyDescent="0.25"/>
  </sheetData>
  <dataValidations count="1">
    <dataValidation type="custom" allowBlank="1" promptTitle="Listing Group" prompt="Please select the listing group." sqref="C904:C915 C883:C894 C862:C873 C1:C12 C820:C831 C799:C810 C736:C747 C715:C726 C22:C33 C43:C54 C64:C75 C85:C96 C106:C117 C127:C138 C148:C159 C169:C180 C190:C201 C211:C222 C232:C243 C253:C264 C274:C285 C295:C306 C316:C327 C337:C348 C358:C369 C379:C390 C400:C411 C421:C432 C442:C453 C463:C474 C484:C495 C505:C516 C526:C537 C547:C558 C568:C579 C589:C600 C610:C621 C631:C642 C652:C663 C673:C684 C694:C705 C757:C768 C778:C789 C841:C852 C925:C936 C946:C957 C967:C978 C1051:C1062 C1030:C1041 C1072:C1083 C988:C999 C1009:C1020 C1093:C1104 C1114:C1125 C1135:C1146">
      <formula1>blah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topLeftCell="A37" workbookViewId="0">
      <selection activeCell="A40" sqref="A40:XFD40"/>
    </sheetView>
  </sheetViews>
  <sheetFormatPr defaultRowHeight="15" x14ac:dyDescent="0.25"/>
  <sheetData>
    <row r="1" spans="1:21" s="13" customFormat="1" ht="105" x14ac:dyDescent="0.25">
      <c r="A1" s="13" t="s">
        <v>80</v>
      </c>
      <c r="B1" s="13" t="s">
        <v>39</v>
      </c>
      <c r="C1" s="13" t="s">
        <v>19</v>
      </c>
      <c r="D1" s="13" t="s">
        <v>164</v>
      </c>
      <c r="E1" s="13" t="s">
        <v>136</v>
      </c>
      <c r="F1" s="13" t="s">
        <v>137</v>
      </c>
      <c r="G1" s="13" t="s">
        <v>138</v>
      </c>
      <c r="H1" s="13" t="s">
        <v>18</v>
      </c>
      <c r="I1" s="13" t="s">
        <v>23</v>
      </c>
      <c r="J1" s="14" t="s">
        <v>16</v>
      </c>
      <c r="K1" s="17" t="s">
        <v>29</v>
      </c>
      <c r="L1" s="13" t="s">
        <v>15</v>
      </c>
      <c r="M1" s="13" t="s">
        <v>14</v>
      </c>
      <c r="N1" s="13" t="s">
        <v>13</v>
      </c>
      <c r="O1" s="13" t="s">
        <v>67</v>
      </c>
      <c r="P1" s="13" t="s">
        <v>12</v>
      </c>
      <c r="Q1" s="13" t="s">
        <v>22</v>
      </c>
      <c r="R1" s="15" t="s">
        <v>147</v>
      </c>
      <c r="S1" s="13" t="s">
        <v>244</v>
      </c>
      <c r="T1" s="13" t="s">
        <v>245</v>
      </c>
      <c r="U1" s="13" t="s">
        <v>246</v>
      </c>
    </row>
    <row r="2" spans="1:21" s="99" customFormat="1" ht="135" x14ac:dyDescent="0.25">
      <c r="A2" s="95" t="s">
        <v>81</v>
      </c>
      <c r="B2" s="95" t="s">
        <v>40</v>
      </c>
      <c r="C2" s="95">
        <v>110</v>
      </c>
      <c r="D2" s="95" t="s">
        <v>165</v>
      </c>
      <c r="E2" s="95" t="s">
        <v>139</v>
      </c>
      <c r="F2" s="95" t="s">
        <v>140</v>
      </c>
      <c r="G2" s="95">
        <v>95060</v>
      </c>
      <c r="H2" s="95" t="s">
        <v>24</v>
      </c>
      <c r="I2" s="95" t="s">
        <v>156</v>
      </c>
      <c r="J2" s="96">
        <v>23451</v>
      </c>
      <c r="K2" s="97">
        <v>1.65</v>
      </c>
      <c r="L2" s="95" t="s">
        <v>5</v>
      </c>
      <c r="M2" s="95" t="s">
        <v>25</v>
      </c>
      <c r="N2" s="95" t="s">
        <v>113</v>
      </c>
      <c r="O2" s="95" t="s">
        <v>17</v>
      </c>
      <c r="P2" s="95" t="s">
        <v>142</v>
      </c>
      <c r="Q2" s="95"/>
      <c r="R2" s="98">
        <f t="shared" ref="R2:R9" si="0">K2</f>
        <v>1.65</v>
      </c>
      <c r="S2" s="95"/>
      <c r="T2" s="95"/>
      <c r="U2" s="95"/>
    </row>
    <row r="3" spans="1:21" s="99" customFormat="1" ht="75" x14ac:dyDescent="0.25">
      <c r="A3" s="95" t="s">
        <v>81</v>
      </c>
      <c r="B3" s="95" t="s">
        <v>40</v>
      </c>
      <c r="C3" s="95">
        <v>110</v>
      </c>
      <c r="D3" s="95" t="s">
        <v>165</v>
      </c>
      <c r="E3" s="95" t="s">
        <v>139</v>
      </c>
      <c r="F3" s="95" t="s">
        <v>140</v>
      </c>
      <c r="G3" s="95">
        <v>95060</v>
      </c>
      <c r="H3" s="95" t="s">
        <v>24</v>
      </c>
      <c r="I3" s="95" t="s">
        <v>157</v>
      </c>
      <c r="J3" s="96">
        <v>23153</v>
      </c>
      <c r="K3" s="97">
        <v>1.65</v>
      </c>
      <c r="L3" s="95" t="s">
        <v>5</v>
      </c>
      <c r="M3" s="95" t="s">
        <v>25</v>
      </c>
      <c r="N3" s="95" t="s">
        <v>113</v>
      </c>
      <c r="O3" s="95" t="s">
        <v>17</v>
      </c>
      <c r="P3" s="95" t="s">
        <v>34</v>
      </c>
      <c r="Q3" s="95"/>
      <c r="R3" s="98">
        <f t="shared" si="0"/>
        <v>1.65</v>
      </c>
      <c r="S3" s="95"/>
      <c r="T3" s="95"/>
      <c r="U3" s="95"/>
    </row>
    <row r="4" spans="1:21" s="99" customFormat="1" ht="75" x14ac:dyDescent="0.25">
      <c r="A4" s="95" t="s">
        <v>81</v>
      </c>
      <c r="B4" s="95" t="s">
        <v>40</v>
      </c>
      <c r="C4" s="95">
        <v>110</v>
      </c>
      <c r="D4" s="95" t="s">
        <v>165</v>
      </c>
      <c r="E4" s="95" t="s">
        <v>139</v>
      </c>
      <c r="F4" s="95" t="s">
        <v>140</v>
      </c>
      <c r="G4" s="95">
        <v>95060</v>
      </c>
      <c r="H4" s="95" t="s">
        <v>24</v>
      </c>
      <c r="I4" s="95" t="s">
        <v>155</v>
      </c>
      <c r="J4" s="96">
        <v>17880</v>
      </c>
      <c r="K4" s="97">
        <v>1.65</v>
      </c>
      <c r="L4" s="95" t="s">
        <v>5</v>
      </c>
      <c r="M4" s="95" t="s">
        <v>25</v>
      </c>
      <c r="N4" s="95" t="s">
        <v>113</v>
      </c>
      <c r="O4" s="95" t="s">
        <v>17</v>
      </c>
      <c r="P4" s="95" t="s">
        <v>34</v>
      </c>
      <c r="Q4" s="95"/>
      <c r="R4" s="98">
        <f t="shared" si="0"/>
        <v>1.65</v>
      </c>
      <c r="S4" s="95"/>
      <c r="T4" s="95"/>
      <c r="U4" s="95"/>
    </row>
    <row r="5" spans="1:21" s="99" customFormat="1" ht="75" x14ac:dyDescent="0.25">
      <c r="A5" s="95" t="s">
        <v>81</v>
      </c>
      <c r="B5" s="95" t="s">
        <v>40</v>
      </c>
      <c r="C5" s="95">
        <v>110</v>
      </c>
      <c r="D5" s="95" t="s">
        <v>165</v>
      </c>
      <c r="E5" s="95" t="s">
        <v>139</v>
      </c>
      <c r="F5" s="95" t="s">
        <v>140</v>
      </c>
      <c r="G5" s="95">
        <v>95060</v>
      </c>
      <c r="H5" s="95" t="s">
        <v>24</v>
      </c>
      <c r="I5" s="95" t="s">
        <v>154</v>
      </c>
      <c r="J5" s="96">
        <v>14669</v>
      </c>
      <c r="K5" s="97">
        <v>1.65</v>
      </c>
      <c r="L5" s="95" t="s">
        <v>5</v>
      </c>
      <c r="M5" s="95" t="s">
        <v>25</v>
      </c>
      <c r="N5" s="95" t="s">
        <v>113</v>
      </c>
      <c r="O5" s="95" t="s">
        <v>17</v>
      </c>
      <c r="P5" s="95" t="s">
        <v>34</v>
      </c>
      <c r="Q5" s="95"/>
      <c r="R5" s="98">
        <f t="shared" si="0"/>
        <v>1.65</v>
      </c>
      <c r="S5" s="95"/>
      <c r="T5" s="95"/>
      <c r="U5" s="95"/>
    </row>
    <row r="6" spans="1:21" s="99" customFormat="1" ht="45" x14ac:dyDescent="0.25">
      <c r="A6" s="95" t="s">
        <v>81</v>
      </c>
      <c r="B6" s="95" t="s">
        <v>40</v>
      </c>
      <c r="C6" s="95">
        <v>313</v>
      </c>
      <c r="D6" s="95" t="s">
        <v>167</v>
      </c>
      <c r="E6" s="95" t="s">
        <v>139</v>
      </c>
      <c r="F6" s="95" t="s">
        <v>140</v>
      </c>
      <c r="G6" s="95">
        <v>95060</v>
      </c>
      <c r="H6" s="95" t="s">
        <v>8</v>
      </c>
      <c r="I6" s="95"/>
      <c r="J6" s="96">
        <v>3200</v>
      </c>
      <c r="K6" s="97">
        <v>1.1499999999999999</v>
      </c>
      <c r="L6" s="95" t="s">
        <v>5</v>
      </c>
      <c r="M6" s="95" t="s">
        <v>159</v>
      </c>
      <c r="N6" s="95" t="s">
        <v>152</v>
      </c>
      <c r="O6" s="100" t="s">
        <v>160</v>
      </c>
      <c r="P6" s="95"/>
      <c r="Q6" s="95"/>
      <c r="R6" s="98">
        <f t="shared" si="0"/>
        <v>1.1499999999999999</v>
      </c>
      <c r="S6" s="95"/>
      <c r="T6" s="95"/>
      <c r="U6" s="95"/>
    </row>
    <row r="7" spans="1:21" s="99" customFormat="1" ht="60" x14ac:dyDescent="0.25">
      <c r="A7" s="95" t="s">
        <v>81</v>
      </c>
      <c r="B7" s="95" t="s">
        <v>40</v>
      </c>
      <c r="C7" s="95">
        <v>428</v>
      </c>
      <c r="D7" s="95" t="s">
        <v>167</v>
      </c>
      <c r="E7" s="95" t="s">
        <v>139</v>
      </c>
      <c r="F7" s="95" t="s">
        <v>140</v>
      </c>
      <c r="G7" s="95">
        <v>96060</v>
      </c>
      <c r="H7" s="95" t="s">
        <v>2</v>
      </c>
      <c r="I7" s="95" t="s">
        <v>41</v>
      </c>
      <c r="J7" s="96">
        <v>2080</v>
      </c>
      <c r="K7" s="97">
        <v>1.25</v>
      </c>
      <c r="L7" s="95" t="s">
        <v>5</v>
      </c>
      <c r="M7" s="95" t="s">
        <v>159</v>
      </c>
      <c r="N7" s="95" t="s">
        <v>153</v>
      </c>
      <c r="O7" s="100" t="s">
        <v>160</v>
      </c>
      <c r="P7" s="95" t="s">
        <v>334</v>
      </c>
      <c r="Q7" s="95"/>
      <c r="R7" s="98">
        <f t="shared" si="0"/>
        <v>1.25</v>
      </c>
      <c r="S7" s="95"/>
      <c r="T7" s="95"/>
      <c r="U7" s="95"/>
    </row>
    <row r="8" spans="1:21" s="99" customFormat="1" ht="60" x14ac:dyDescent="0.25">
      <c r="A8" s="95" t="s">
        <v>81</v>
      </c>
      <c r="B8" s="95" t="s">
        <v>40</v>
      </c>
      <c r="C8" s="95">
        <v>428</v>
      </c>
      <c r="D8" s="95" t="s">
        <v>167</v>
      </c>
      <c r="E8" s="95" t="s">
        <v>139</v>
      </c>
      <c r="F8" s="95" t="s">
        <v>140</v>
      </c>
      <c r="G8" s="95">
        <v>96060</v>
      </c>
      <c r="H8" s="95" t="s">
        <v>2</v>
      </c>
      <c r="I8" s="95" t="s">
        <v>50</v>
      </c>
      <c r="J8" s="96">
        <v>3170</v>
      </c>
      <c r="K8" s="97">
        <v>1.25</v>
      </c>
      <c r="L8" s="95" t="s">
        <v>5</v>
      </c>
      <c r="M8" s="95" t="s">
        <v>159</v>
      </c>
      <c r="N8" s="95" t="s">
        <v>153</v>
      </c>
      <c r="O8" s="100" t="s">
        <v>160</v>
      </c>
      <c r="P8" s="95" t="s">
        <v>335</v>
      </c>
      <c r="Q8" s="95"/>
      <c r="R8" s="98">
        <f t="shared" si="0"/>
        <v>1.25</v>
      </c>
      <c r="S8" s="95"/>
      <c r="T8" s="95"/>
      <c r="U8" s="95"/>
    </row>
    <row r="9" spans="1:21" s="99" customFormat="1" ht="51.75" x14ac:dyDescent="0.25">
      <c r="A9" s="95" t="s">
        <v>81</v>
      </c>
      <c r="B9" s="95" t="s">
        <v>40</v>
      </c>
      <c r="C9" s="95">
        <v>740</v>
      </c>
      <c r="D9" s="95" t="s">
        <v>167</v>
      </c>
      <c r="E9" s="95" t="s">
        <v>139</v>
      </c>
      <c r="F9" s="95" t="s">
        <v>140</v>
      </c>
      <c r="G9" s="95">
        <v>95060</v>
      </c>
      <c r="H9" s="95" t="s">
        <v>8</v>
      </c>
      <c r="I9" s="95">
        <v>170</v>
      </c>
      <c r="J9" s="96">
        <v>966</v>
      </c>
      <c r="K9" s="97">
        <v>1.4</v>
      </c>
      <c r="L9" s="95" t="s">
        <v>162</v>
      </c>
      <c r="M9" s="95" t="s">
        <v>31</v>
      </c>
      <c r="N9" s="95" t="s">
        <v>32</v>
      </c>
      <c r="O9" s="101" t="s">
        <v>313</v>
      </c>
      <c r="P9" s="95"/>
      <c r="Q9" s="95"/>
      <c r="R9" s="98">
        <f t="shared" si="0"/>
        <v>1.4</v>
      </c>
      <c r="S9" s="95"/>
      <c r="T9" s="95"/>
      <c r="U9" s="95"/>
    </row>
    <row r="10" spans="1:21" s="99" customFormat="1" ht="51.75" x14ac:dyDescent="0.25">
      <c r="A10" s="102" t="s">
        <v>81</v>
      </c>
      <c r="B10" s="102" t="s">
        <v>40</v>
      </c>
      <c r="C10" s="102">
        <v>740</v>
      </c>
      <c r="D10" s="102" t="s">
        <v>167</v>
      </c>
      <c r="E10" s="102" t="s">
        <v>139</v>
      </c>
      <c r="F10" s="102" t="s">
        <v>140</v>
      </c>
      <c r="G10" s="102">
        <v>95060</v>
      </c>
      <c r="H10" s="102" t="s">
        <v>24</v>
      </c>
      <c r="I10" s="102">
        <v>318</v>
      </c>
      <c r="J10" s="103">
        <v>682</v>
      </c>
      <c r="K10" s="104">
        <v>1.8</v>
      </c>
      <c r="L10" s="102" t="s">
        <v>162</v>
      </c>
      <c r="M10" s="102" t="s">
        <v>31</v>
      </c>
      <c r="N10" s="102" t="s">
        <v>32</v>
      </c>
      <c r="O10" s="105" t="s">
        <v>313</v>
      </c>
      <c r="P10" s="102" t="s">
        <v>225</v>
      </c>
      <c r="Q10" s="102"/>
      <c r="R10" s="106">
        <v>1.8</v>
      </c>
      <c r="S10" s="102"/>
      <c r="T10" s="102"/>
      <c r="U10" s="102"/>
    </row>
    <row r="11" spans="1:21" s="99" customFormat="1" ht="51.75" x14ac:dyDescent="0.25">
      <c r="A11" s="102" t="s">
        <v>81</v>
      </c>
      <c r="B11" s="102" t="s">
        <v>40</v>
      </c>
      <c r="C11" s="102">
        <v>835</v>
      </c>
      <c r="D11" s="102" t="s">
        <v>167</v>
      </c>
      <c r="E11" s="102" t="s">
        <v>139</v>
      </c>
      <c r="F11" s="102" t="s">
        <v>140</v>
      </c>
      <c r="G11" s="102">
        <v>95060</v>
      </c>
      <c r="H11" s="102" t="s">
        <v>2</v>
      </c>
      <c r="I11" s="102"/>
      <c r="J11" s="103">
        <v>1115</v>
      </c>
      <c r="K11" s="104">
        <v>1.5</v>
      </c>
      <c r="L11" s="102" t="s">
        <v>5</v>
      </c>
      <c r="M11" s="102" t="s">
        <v>31</v>
      </c>
      <c r="N11" s="102" t="s">
        <v>32</v>
      </c>
      <c r="O11" s="105" t="s">
        <v>313</v>
      </c>
      <c r="P11" s="102" t="s">
        <v>336</v>
      </c>
      <c r="Q11" s="102"/>
      <c r="R11" s="106">
        <v>1.5</v>
      </c>
      <c r="S11" s="102"/>
      <c r="T11" s="106"/>
      <c r="U11" s="95"/>
    </row>
    <row r="12" spans="1:21" s="99" customFormat="1" ht="60" x14ac:dyDescent="0.25">
      <c r="A12" s="95" t="s">
        <v>81</v>
      </c>
      <c r="B12" s="95" t="s">
        <v>47</v>
      </c>
      <c r="C12" s="95">
        <v>115</v>
      </c>
      <c r="D12" s="95" t="s">
        <v>342</v>
      </c>
      <c r="E12" s="95" t="s">
        <v>139</v>
      </c>
      <c r="F12" s="95" t="s">
        <v>312</v>
      </c>
      <c r="G12" s="95">
        <v>95060</v>
      </c>
      <c r="H12" s="95" t="s">
        <v>116</v>
      </c>
      <c r="I12" s="95"/>
      <c r="J12" s="96">
        <v>5245</v>
      </c>
      <c r="K12" s="97" t="s">
        <v>343</v>
      </c>
      <c r="L12" s="95"/>
      <c r="M12" s="95" t="s">
        <v>345</v>
      </c>
      <c r="N12" s="95" t="s">
        <v>93</v>
      </c>
      <c r="O12" s="101" t="s">
        <v>344</v>
      </c>
      <c r="P12" s="95"/>
      <c r="Q12" s="95"/>
      <c r="R12" s="98">
        <v>0</v>
      </c>
      <c r="S12" s="95"/>
      <c r="T12" s="95"/>
      <c r="U12" s="95"/>
    </row>
    <row r="13" spans="1:21" s="99" customFormat="1" ht="60" x14ac:dyDescent="0.25">
      <c r="A13" s="95" t="s">
        <v>81</v>
      </c>
      <c r="B13" s="95" t="s">
        <v>47</v>
      </c>
      <c r="C13" s="95">
        <v>125</v>
      </c>
      <c r="D13" s="95" t="s">
        <v>170</v>
      </c>
      <c r="E13" s="95" t="s">
        <v>139</v>
      </c>
      <c r="F13" s="95" t="s">
        <v>140</v>
      </c>
      <c r="G13" s="95">
        <v>95060</v>
      </c>
      <c r="H13" s="95" t="s">
        <v>8</v>
      </c>
      <c r="I13" s="95" t="s">
        <v>53</v>
      </c>
      <c r="J13" s="96">
        <v>2252</v>
      </c>
      <c r="K13" s="97">
        <v>1.8</v>
      </c>
      <c r="L13" s="95" t="s">
        <v>10</v>
      </c>
      <c r="M13" s="95" t="s">
        <v>308</v>
      </c>
      <c r="N13" s="95" t="s">
        <v>93</v>
      </c>
      <c r="O13" s="101" t="s">
        <v>309</v>
      </c>
      <c r="P13" s="95"/>
      <c r="Q13" s="95"/>
      <c r="R13" s="98">
        <f>K13</f>
        <v>1.8</v>
      </c>
      <c r="S13" s="95"/>
      <c r="T13" s="95"/>
      <c r="U13" s="95"/>
    </row>
    <row r="14" spans="1:21" s="99" customFormat="1" ht="60" x14ac:dyDescent="0.25">
      <c r="A14" s="95" t="s">
        <v>81</v>
      </c>
      <c r="B14" s="95" t="s">
        <v>47</v>
      </c>
      <c r="C14" s="95">
        <v>125</v>
      </c>
      <c r="D14" s="95" t="s">
        <v>170</v>
      </c>
      <c r="E14" s="95" t="s">
        <v>139</v>
      </c>
      <c r="F14" s="95" t="s">
        <v>140</v>
      </c>
      <c r="G14" s="95">
        <v>95060</v>
      </c>
      <c r="H14" s="95" t="s">
        <v>8</v>
      </c>
      <c r="I14" s="95" t="s">
        <v>54</v>
      </c>
      <c r="J14" s="96">
        <v>1286</v>
      </c>
      <c r="K14" s="97">
        <v>1.8</v>
      </c>
      <c r="L14" s="95" t="s">
        <v>6</v>
      </c>
      <c r="M14" s="95" t="s">
        <v>308</v>
      </c>
      <c r="N14" s="95" t="s">
        <v>93</v>
      </c>
      <c r="O14" s="101" t="s">
        <v>309</v>
      </c>
      <c r="P14" s="95"/>
      <c r="Q14" s="95"/>
      <c r="R14" s="98">
        <f>K14</f>
        <v>1.8</v>
      </c>
      <c r="S14" s="95"/>
      <c r="T14" s="95"/>
      <c r="U14" s="95"/>
    </row>
    <row r="15" spans="1:21" s="99" customFormat="1" ht="60" hidden="1" x14ac:dyDescent="0.25">
      <c r="A15" s="95" t="s">
        <v>81</v>
      </c>
      <c r="B15" s="95" t="s">
        <v>47</v>
      </c>
      <c r="C15" s="95">
        <v>125</v>
      </c>
      <c r="D15" s="95" t="s">
        <v>170</v>
      </c>
      <c r="E15" s="95" t="s">
        <v>139</v>
      </c>
      <c r="F15" s="95" t="s">
        <v>140</v>
      </c>
      <c r="G15" s="95">
        <v>95060</v>
      </c>
      <c r="H15" s="95" t="s">
        <v>24</v>
      </c>
      <c r="I15" s="95" t="s">
        <v>55</v>
      </c>
      <c r="J15" s="96">
        <v>2215</v>
      </c>
      <c r="K15" s="97">
        <v>1.8</v>
      </c>
      <c r="L15" s="95" t="s">
        <v>10</v>
      </c>
      <c r="M15" s="95" t="s">
        <v>308</v>
      </c>
      <c r="N15" s="95" t="s">
        <v>93</v>
      </c>
      <c r="O15" s="101" t="s">
        <v>309</v>
      </c>
      <c r="P15" s="95"/>
      <c r="Q15" s="95"/>
      <c r="R15" s="98">
        <f>K15</f>
        <v>1.8</v>
      </c>
      <c r="S15" s="95"/>
      <c r="T15" s="95"/>
      <c r="U15" s="95"/>
    </row>
    <row r="16" spans="1:21" s="99" customFormat="1" ht="45" x14ac:dyDescent="0.25">
      <c r="A16" s="95" t="s">
        <v>81</v>
      </c>
      <c r="B16" s="95" t="s">
        <v>47</v>
      </c>
      <c r="C16" s="95">
        <v>133</v>
      </c>
      <c r="D16" s="95" t="s">
        <v>169</v>
      </c>
      <c r="E16" s="95" t="s">
        <v>139</v>
      </c>
      <c r="F16" s="95" t="s">
        <v>140</v>
      </c>
      <c r="G16" s="95">
        <v>95060</v>
      </c>
      <c r="H16" s="95" t="s">
        <v>24</v>
      </c>
      <c r="I16" s="95">
        <v>101</v>
      </c>
      <c r="J16" s="96">
        <v>2025</v>
      </c>
      <c r="K16" s="97">
        <v>1.7</v>
      </c>
      <c r="L16" s="95" t="s">
        <v>162</v>
      </c>
      <c r="M16" s="95" t="s">
        <v>77</v>
      </c>
      <c r="N16" s="95" t="s">
        <v>78</v>
      </c>
      <c r="O16" s="101" t="s">
        <v>79</v>
      </c>
      <c r="P16" s="95"/>
      <c r="Q16" s="95"/>
      <c r="R16" s="98">
        <v>1.7</v>
      </c>
      <c r="S16" s="95"/>
      <c r="T16" s="95"/>
      <c r="U16" s="95"/>
    </row>
    <row r="17" spans="1:21" s="99" customFormat="1" ht="45" x14ac:dyDescent="0.25">
      <c r="A17" s="95" t="s">
        <v>81</v>
      </c>
      <c r="B17" s="95" t="s">
        <v>47</v>
      </c>
      <c r="C17" s="95">
        <v>150</v>
      </c>
      <c r="D17" s="95" t="s">
        <v>171</v>
      </c>
      <c r="E17" s="95" t="s">
        <v>139</v>
      </c>
      <c r="F17" s="95" t="s">
        <v>140</v>
      </c>
      <c r="G17" s="95">
        <v>95060</v>
      </c>
      <c r="H17" s="95" t="s">
        <v>24</v>
      </c>
      <c r="I17" s="95" t="s">
        <v>367</v>
      </c>
      <c r="J17" s="96">
        <v>750</v>
      </c>
      <c r="K17" s="97">
        <v>1400</v>
      </c>
      <c r="L17" s="95" t="s">
        <v>6</v>
      </c>
      <c r="M17" s="95" t="s">
        <v>58</v>
      </c>
      <c r="N17" s="95" t="s">
        <v>59</v>
      </c>
      <c r="O17" s="100" t="s">
        <v>60</v>
      </c>
      <c r="P17" s="95"/>
      <c r="Q17" s="95"/>
      <c r="R17" s="98">
        <v>1.87</v>
      </c>
      <c r="S17" s="95"/>
      <c r="T17" s="95"/>
      <c r="U17" s="95"/>
    </row>
    <row r="18" spans="1:21" s="99" customFormat="1" ht="45" x14ac:dyDescent="0.25">
      <c r="A18" s="95" t="s">
        <v>81</v>
      </c>
      <c r="B18" s="95" t="s">
        <v>47</v>
      </c>
      <c r="C18" s="95">
        <v>175</v>
      </c>
      <c r="D18" s="95" t="s">
        <v>171</v>
      </c>
      <c r="E18" s="95" t="s">
        <v>139</v>
      </c>
      <c r="F18" s="95" t="s">
        <v>140</v>
      </c>
      <c r="G18" s="95">
        <v>95060</v>
      </c>
      <c r="H18" s="95" t="s">
        <v>48</v>
      </c>
      <c r="I18" s="95" t="s">
        <v>56</v>
      </c>
      <c r="J18" s="96">
        <v>4000</v>
      </c>
      <c r="K18" s="97">
        <v>1.25</v>
      </c>
      <c r="L18" s="95" t="s">
        <v>6</v>
      </c>
      <c r="M18" s="95" t="s">
        <v>77</v>
      </c>
      <c r="N18" s="95" t="s">
        <v>78</v>
      </c>
      <c r="O18" s="100" t="s">
        <v>224</v>
      </c>
      <c r="P18" s="95"/>
      <c r="Q18" s="95"/>
      <c r="R18" s="98">
        <f t="shared" ref="R18:R28" si="1">K18</f>
        <v>1.25</v>
      </c>
      <c r="S18" s="95"/>
      <c r="T18" s="95"/>
      <c r="U18" s="95"/>
    </row>
    <row r="19" spans="1:21" s="99" customFormat="1" ht="45" x14ac:dyDescent="0.25">
      <c r="A19" s="95" t="s">
        <v>81</v>
      </c>
      <c r="B19" s="95" t="s">
        <v>47</v>
      </c>
      <c r="C19" s="95">
        <v>175</v>
      </c>
      <c r="D19" s="95" t="s">
        <v>171</v>
      </c>
      <c r="E19" s="95" t="s">
        <v>139</v>
      </c>
      <c r="F19" s="95" t="s">
        <v>140</v>
      </c>
      <c r="G19" s="95">
        <v>95060</v>
      </c>
      <c r="H19" s="95" t="s">
        <v>48</v>
      </c>
      <c r="I19" s="95" t="s">
        <v>57</v>
      </c>
      <c r="J19" s="96">
        <v>1000</v>
      </c>
      <c r="K19" s="97">
        <v>1.25</v>
      </c>
      <c r="L19" s="95" t="s">
        <v>6</v>
      </c>
      <c r="M19" s="95" t="s">
        <v>77</v>
      </c>
      <c r="N19" s="95" t="s">
        <v>78</v>
      </c>
      <c r="O19" s="100" t="s">
        <v>224</v>
      </c>
      <c r="P19" s="95"/>
      <c r="Q19" s="95"/>
      <c r="R19" s="98">
        <f t="shared" si="1"/>
        <v>1.25</v>
      </c>
      <c r="S19" s="95"/>
      <c r="T19" s="95"/>
      <c r="U19" s="95"/>
    </row>
    <row r="20" spans="1:21" s="99" customFormat="1" ht="45" x14ac:dyDescent="0.25">
      <c r="A20" s="95" t="s">
        <v>81</v>
      </c>
      <c r="B20" s="95" t="s">
        <v>47</v>
      </c>
      <c r="C20" s="95">
        <v>189</v>
      </c>
      <c r="D20" s="95" t="s">
        <v>171</v>
      </c>
      <c r="E20" s="95" t="s">
        <v>139</v>
      </c>
      <c r="F20" s="95" t="s">
        <v>140</v>
      </c>
      <c r="G20" s="95">
        <v>95060</v>
      </c>
      <c r="H20" s="95" t="s">
        <v>51</v>
      </c>
      <c r="I20" s="95" t="s">
        <v>229</v>
      </c>
      <c r="J20" s="96">
        <v>5270</v>
      </c>
      <c r="K20" s="97">
        <v>1.38</v>
      </c>
      <c r="L20" s="95" t="s">
        <v>6</v>
      </c>
      <c r="M20" s="95" t="s">
        <v>77</v>
      </c>
      <c r="N20" s="95" t="s">
        <v>78</v>
      </c>
      <c r="O20" s="100" t="s">
        <v>224</v>
      </c>
      <c r="P20" s="95"/>
      <c r="Q20" s="95"/>
      <c r="R20" s="98">
        <f t="shared" si="1"/>
        <v>1.38</v>
      </c>
      <c r="S20" s="95"/>
      <c r="T20" s="95"/>
      <c r="U20" s="95"/>
    </row>
    <row r="21" spans="1:21" s="99" customFormat="1" ht="45" x14ac:dyDescent="0.25">
      <c r="A21" s="95" t="s">
        <v>81</v>
      </c>
      <c r="B21" s="95" t="s">
        <v>47</v>
      </c>
      <c r="C21" s="95">
        <v>200</v>
      </c>
      <c r="D21" s="95" t="s">
        <v>172</v>
      </c>
      <c r="E21" s="95" t="s">
        <v>139</v>
      </c>
      <c r="F21" s="95" t="s">
        <v>140</v>
      </c>
      <c r="G21" s="95">
        <v>95060</v>
      </c>
      <c r="H21" s="95" t="s">
        <v>8</v>
      </c>
      <c r="I21" s="95">
        <v>201</v>
      </c>
      <c r="J21" s="96">
        <v>820</v>
      </c>
      <c r="K21" s="97">
        <v>1.45</v>
      </c>
      <c r="L21" s="95" t="s">
        <v>5</v>
      </c>
      <c r="M21" s="95" t="s">
        <v>65</v>
      </c>
      <c r="N21" s="95" t="s">
        <v>200</v>
      </c>
      <c r="O21" s="100" t="s">
        <v>66</v>
      </c>
      <c r="P21" s="95"/>
      <c r="Q21" s="95"/>
      <c r="R21" s="98">
        <f t="shared" si="1"/>
        <v>1.45</v>
      </c>
      <c r="S21" s="95"/>
      <c r="T21" s="95"/>
      <c r="U21" s="95"/>
    </row>
    <row r="22" spans="1:21" s="99" customFormat="1" ht="45" x14ac:dyDescent="0.25">
      <c r="A22" s="95" t="s">
        <v>81</v>
      </c>
      <c r="B22" s="95" t="s">
        <v>47</v>
      </c>
      <c r="C22" s="95">
        <v>212</v>
      </c>
      <c r="D22" s="95" t="s">
        <v>173</v>
      </c>
      <c r="E22" s="95" t="s">
        <v>139</v>
      </c>
      <c r="F22" s="95" t="s">
        <v>140</v>
      </c>
      <c r="G22" s="95">
        <v>95060</v>
      </c>
      <c r="H22" s="95" t="s">
        <v>8</v>
      </c>
      <c r="I22" s="95">
        <v>200</v>
      </c>
      <c r="J22" s="96">
        <v>520</v>
      </c>
      <c r="K22" s="97">
        <v>1.54</v>
      </c>
      <c r="L22" s="95" t="s">
        <v>6</v>
      </c>
      <c r="M22" s="95" t="s">
        <v>62</v>
      </c>
      <c r="N22" s="95" t="s">
        <v>63</v>
      </c>
      <c r="O22" s="95" t="s">
        <v>64</v>
      </c>
      <c r="P22" s="95"/>
      <c r="Q22" s="95"/>
      <c r="R22" s="98">
        <f t="shared" si="1"/>
        <v>1.54</v>
      </c>
      <c r="S22" s="95"/>
      <c r="T22" s="95"/>
      <c r="U22" s="95"/>
    </row>
    <row r="23" spans="1:21" s="99" customFormat="1" ht="45" x14ac:dyDescent="0.25">
      <c r="A23" s="95" t="s">
        <v>81</v>
      </c>
      <c r="B23" s="95" t="s">
        <v>47</v>
      </c>
      <c r="C23" s="95">
        <v>212</v>
      </c>
      <c r="D23" s="95" t="s">
        <v>173</v>
      </c>
      <c r="E23" s="95" t="s">
        <v>139</v>
      </c>
      <c r="F23" s="95" t="s">
        <v>140</v>
      </c>
      <c r="G23" s="95">
        <v>95060</v>
      </c>
      <c r="H23" s="95" t="s">
        <v>24</v>
      </c>
      <c r="I23" s="95">
        <v>202</v>
      </c>
      <c r="J23" s="96">
        <v>320</v>
      </c>
      <c r="K23" s="97">
        <v>1.58</v>
      </c>
      <c r="L23" s="95" t="s">
        <v>6</v>
      </c>
      <c r="M23" s="95" t="s">
        <v>62</v>
      </c>
      <c r="N23" s="95" t="s">
        <v>63</v>
      </c>
      <c r="O23" s="95" t="s">
        <v>64</v>
      </c>
      <c r="P23" s="95"/>
      <c r="Q23" s="95"/>
      <c r="R23" s="98">
        <f t="shared" si="1"/>
        <v>1.58</v>
      </c>
      <c r="S23" s="95"/>
      <c r="T23" s="95"/>
      <c r="U23" s="95"/>
    </row>
    <row r="24" spans="1:21" s="99" customFormat="1" ht="45" x14ac:dyDescent="0.25">
      <c r="A24" s="95" t="s">
        <v>81</v>
      </c>
      <c r="B24" s="95" t="s">
        <v>47</v>
      </c>
      <c r="C24" s="95">
        <v>212</v>
      </c>
      <c r="D24" s="95" t="s">
        <v>173</v>
      </c>
      <c r="E24" s="95" t="s">
        <v>139</v>
      </c>
      <c r="F24" s="95" t="s">
        <v>140</v>
      </c>
      <c r="G24" s="95">
        <v>95060</v>
      </c>
      <c r="H24" s="95" t="s">
        <v>24</v>
      </c>
      <c r="I24" s="95">
        <v>203</v>
      </c>
      <c r="J24" s="96">
        <v>85</v>
      </c>
      <c r="K24" s="97">
        <v>3.59</v>
      </c>
      <c r="L24" s="95" t="s">
        <v>6</v>
      </c>
      <c r="M24" s="95" t="s">
        <v>62</v>
      </c>
      <c r="N24" s="95" t="s">
        <v>63</v>
      </c>
      <c r="O24" s="95" t="s">
        <v>64</v>
      </c>
      <c r="P24" s="95"/>
      <c r="Q24" s="95"/>
      <c r="R24" s="98">
        <f t="shared" si="1"/>
        <v>3.59</v>
      </c>
      <c r="S24" s="95"/>
      <c r="T24" s="95"/>
      <c r="U24" s="95"/>
    </row>
    <row r="25" spans="1:21" s="99" customFormat="1" ht="45" x14ac:dyDescent="0.25">
      <c r="A25" s="95" t="s">
        <v>81</v>
      </c>
      <c r="B25" s="95" t="s">
        <v>47</v>
      </c>
      <c r="C25" s="95">
        <v>212</v>
      </c>
      <c r="D25" s="95" t="s">
        <v>173</v>
      </c>
      <c r="E25" s="95" t="s">
        <v>139</v>
      </c>
      <c r="F25" s="95" t="s">
        <v>140</v>
      </c>
      <c r="G25" s="95">
        <v>95060</v>
      </c>
      <c r="H25" s="95" t="s">
        <v>24</v>
      </c>
      <c r="I25" s="95">
        <v>204</v>
      </c>
      <c r="J25" s="96">
        <v>250</v>
      </c>
      <c r="K25" s="97">
        <v>2</v>
      </c>
      <c r="L25" s="95" t="s">
        <v>6</v>
      </c>
      <c r="M25" s="95" t="s">
        <v>62</v>
      </c>
      <c r="N25" s="95" t="s">
        <v>63</v>
      </c>
      <c r="O25" s="95" t="s">
        <v>64</v>
      </c>
      <c r="P25" s="95"/>
      <c r="Q25" s="95"/>
      <c r="R25" s="98">
        <f t="shared" si="1"/>
        <v>2</v>
      </c>
      <c r="S25" s="95"/>
      <c r="T25" s="95"/>
      <c r="U25" s="95"/>
    </row>
    <row r="26" spans="1:21" s="99" customFormat="1" ht="45" x14ac:dyDescent="0.25">
      <c r="A26" s="95" t="s">
        <v>81</v>
      </c>
      <c r="B26" s="95" t="s">
        <v>47</v>
      </c>
      <c r="C26" s="95">
        <v>212</v>
      </c>
      <c r="D26" s="95" t="s">
        <v>173</v>
      </c>
      <c r="E26" s="95" t="s">
        <v>139</v>
      </c>
      <c r="F26" s="95" t="s">
        <v>140</v>
      </c>
      <c r="G26" s="95">
        <v>95060</v>
      </c>
      <c r="H26" s="95" t="s">
        <v>24</v>
      </c>
      <c r="I26" s="95">
        <v>205</v>
      </c>
      <c r="J26" s="96">
        <v>85</v>
      </c>
      <c r="K26" s="97">
        <v>3.59</v>
      </c>
      <c r="L26" s="95" t="s">
        <v>6</v>
      </c>
      <c r="M26" s="95" t="s">
        <v>62</v>
      </c>
      <c r="N26" s="95" t="s">
        <v>63</v>
      </c>
      <c r="O26" s="95" t="s">
        <v>64</v>
      </c>
      <c r="P26" s="95"/>
      <c r="Q26" s="95"/>
      <c r="R26" s="98">
        <f t="shared" si="1"/>
        <v>3.59</v>
      </c>
      <c r="S26" s="95"/>
      <c r="T26" s="95"/>
      <c r="U26" s="95"/>
    </row>
    <row r="27" spans="1:21" s="99" customFormat="1" ht="45" x14ac:dyDescent="0.25">
      <c r="A27" s="95" t="s">
        <v>81</v>
      </c>
      <c r="B27" s="95" t="s">
        <v>47</v>
      </c>
      <c r="C27" s="95">
        <v>212</v>
      </c>
      <c r="D27" s="95" t="s">
        <v>173</v>
      </c>
      <c r="E27" s="95" t="s">
        <v>139</v>
      </c>
      <c r="F27" s="95" t="s">
        <v>140</v>
      </c>
      <c r="G27" s="95">
        <v>95060</v>
      </c>
      <c r="H27" s="95" t="s">
        <v>24</v>
      </c>
      <c r="I27" s="95">
        <v>207</v>
      </c>
      <c r="J27" s="96">
        <v>85</v>
      </c>
      <c r="K27" s="97">
        <v>3.59</v>
      </c>
      <c r="L27" s="95" t="s">
        <v>6</v>
      </c>
      <c r="M27" s="95" t="s">
        <v>62</v>
      </c>
      <c r="N27" s="95" t="s">
        <v>63</v>
      </c>
      <c r="O27" s="95" t="s">
        <v>64</v>
      </c>
      <c r="P27" s="95"/>
      <c r="Q27" s="95"/>
      <c r="R27" s="98">
        <f t="shared" si="1"/>
        <v>3.59</v>
      </c>
      <c r="S27" s="95"/>
      <c r="T27" s="95"/>
      <c r="U27" s="95"/>
    </row>
    <row r="28" spans="1:21" s="99" customFormat="1" ht="45" x14ac:dyDescent="0.25">
      <c r="A28" s="95" t="s">
        <v>81</v>
      </c>
      <c r="B28" s="95" t="s">
        <v>47</v>
      </c>
      <c r="C28" s="95">
        <v>212</v>
      </c>
      <c r="D28" s="95" t="s">
        <v>173</v>
      </c>
      <c r="E28" s="95" t="s">
        <v>139</v>
      </c>
      <c r="F28" s="95" t="s">
        <v>140</v>
      </c>
      <c r="G28" s="95">
        <v>95060</v>
      </c>
      <c r="H28" s="95" t="s">
        <v>24</v>
      </c>
      <c r="I28" s="95">
        <v>209</v>
      </c>
      <c r="J28" s="96">
        <v>105</v>
      </c>
      <c r="K28" s="97">
        <v>3.14</v>
      </c>
      <c r="L28" s="95" t="s">
        <v>6</v>
      </c>
      <c r="M28" s="95" t="s">
        <v>62</v>
      </c>
      <c r="N28" s="95" t="s">
        <v>63</v>
      </c>
      <c r="O28" s="95" t="s">
        <v>64</v>
      </c>
      <c r="P28" s="95"/>
      <c r="Q28" s="95"/>
      <c r="R28" s="98">
        <f t="shared" si="1"/>
        <v>3.14</v>
      </c>
      <c r="S28" s="95"/>
      <c r="T28" s="95"/>
      <c r="U28" s="95"/>
    </row>
    <row r="29" spans="1:21" s="99" customFormat="1" ht="45" x14ac:dyDescent="0.25">
      <c r="A29" s="95" t="s">
        <v>81</v>
      </c>
      <c r="B29" s="95" t="s">
        <v>47</v>
      </c>
      <c r="C29" s="95">
        <v>227</v>
      </c>
      <c r="D29" s="95" t="s">
        <v>306</v>
      </c>
      <c r="E29" s="95" t="s">
        <v>139</v>
      </c>
      <c r="F29" s="95" t="s">
        <v>140</v>
      </c>
      <c r="G29" s="95">
        <v>95060</v>
      </c>
      <c r="H29" s="95" t="s">
        <v>7</v>
      </c>
      <c r="I29" s="95"/>
      <c r="J29" s="96">
        <v>1000</v>
      </c>
      <c r="K29" s="97">
        <v>2160</v>
      </c>
      <c r="L29" s="95" t="s">
        <v>6</v>
      </c>
      <c r="M29" s="95" t="s">
        <v>331</v>
      </c>
      <c r="N29" s="95" t="s">
        <v>332</v>
      </c>
      <c r="O29" s="95"/>
      <c r="P29" s="95"/>
      <c r="Q29" s="95"/>
      <c r="R29" s="98">
        <v>2.16</v>
      </c>
      <c r="S29" s="95"/>
      <c r="T29" s="95"/>
      <c r="U29" s="95"/>
    </row>
    <row r="30" spans="1:21" s="99" customFormat="1" ht="45" x14ac:dyDescent="0.25">
      <c r="A30" s="95" t="s">
        <v>81</v>
      </c>
      <c r="B30" s="95" t="s">
        <v>47</v>
      </c>
      <c r="C30" s="95">
        <v>312</v>
      </c>
      <c r="D30" s="95" t="s">
        <v>196</v>
      </c>
      <c r="E30" s="95" t="s">
        <v>139</v>
      </c>
      <c r="F30" s="95" t="s">
        <v>140</v>
      </c>
      <c r="G30" s="95">
        <v>95060</v>
      </c>
      <c r="H30" s="95" t="s">
        <v>8</v>
      </c>
      <c r="I30" s="95" t="s">
        <v>49</v>
      </c>
      <c r="J30" s="96">
        <v>156</v>
      </c>
      <c r="K30" s="97">
        <v>1.44</v>
      </c>
      <c r="L30" s="95" t="s">
        <v>10</v>
      </c>
      <c r="M30" s="95" t="s">
        <v>20</v>
      </c>
      <c r="N30" s="95" t="s">
        <v>21</v>
      </c>
      <c r="O30" s="100" t="s">
        <v>135</v>
      </c>
      <c r="P30" s="95" t="s">
        <v>230</v>
      </c>
      <c r="Q30" s="95"/>
      <c r="R30" s="98">
        <f>K30</f>
        <v>1.44</v>
      </c>
      <c r="S30" s="95"/>
      <c r="T30" s="95"/>
      <c r="U30" s="95"/>
    </row>
    <row r="31" spans="1:21" s="99" customFormat="1" ht="45" x14ac:dyDescent="0.25">
      <c r="A31" s="95" t="s">
        <v>81</v>
      </c>
      <c r="B31" s="95" t="s">
        <v>47</v>
      </c>
      <c r="C31" s="95">
        <v>312</v>
      </c>
      <c r="D31" s="95" t="s">
        <v>196</v>
      </c>
      <c r="E31" s="95" t="s">
        <v>139</v>
      </c>
      <c r="F31" s="95" t="s">
        <v>140</v>
      </c>
      <c r="G31" s="95">
        <v>95060</v>
      </c>
      <c r="H31" s="95" t="s">
        <v>8</v>
      </c>
      <c r="I31" s="95"/>
      <c r="J31" s="96">
        <v>3000</v>
      </c>
      <c r="K31" s="97">
        <v>3850</v>
      </c>
      <c r="L31" s="95" t="s">
        <v>10</v>
      </c>
      <c r="M31" s="95" t="s">
        <v>20</v>
      </c>
      <c r="N31" s="95" t="s">
        <v>21</v>
      </c>
      <c r="O31" s="100" t="s">
        <v>135</v>
      </c>
      <c r="P31" s="95"/>
      <c r="Q31" s="95"/>
      <c r="R31" s="98">
        <v>1.28</v>
      </c>
      <c r="S31" s="95"/>
      <c r="T31" s="95"/>
      <c r="U31" s="95"/>
    </row>
    <row r="32" spans="1:21" s="99" customFormat="1" ht="45" x14ac:dyDescent="0.25">
      <c r="A32" s="95" t="s">
        <v>81</v>
      </c>
      <c r="B32" s="95" t="s">
        <v>47</v>
      </c>
      <c r="C32" s="95">
        <v>427</v>
      </c>
      <c r="D32" s="95" t="s">
        <v>199</v>
      </c>
      <c r="E32" s="95" t="s">
        <v>139</v>
      </c>
      <c r="F32" s="95" t="s">
        <v>140</v>
      </c>
      <c r="G32" s="95">
        <v>95060</v>
      </c>
      <c r="H32" s="95" t="s">
        <v>8</v>
      </c>
      <c r="I32" s="95"/>
      <c r="J32" s="96">
        <v>450</v>
      </c>
      <c r="K32" s="97">
        <v>2</v>
      </c>
      <c r="L32" s="95" t="s">
        <v>6</v>
      </c>
      <c r="M32" s="95" t="s">
        <v>58</v>
      </c>
      <c r="N32" s="95" t="s">
        <v>59</v>
      </c>
      <c r="O32" s="95" t="s">
        <v>60</v>
      </c>
      <c r="P32" s="95" t="s">
        <v>225</v>
      </c>
      <c r="Q32" s="95"/>
      <c r="R32" s="98">
        <f>K32</f>
        <v>2</v>
      </c>
      <c r="S32" s="95"/>
      <c r="T32" s="95"/>
      <c r="U32" s="95"/>
    </row>
    <row r="33" spans="1:21" s="99" customFormat="1" ht="165" x14ac:dyDescent="0.25">
      <c r="A33" s="102" t="s">
        <v>81</v>
      </c>
      <c r="B33" s="102" t="s">
        <v>47</v>
      </c>
      <c r="C33" s="102">
        <v>500</v>
      </c>
      <c r="D33" s="102" t="s">
        <v>361</v>
      </c>
      <c r="E33" s="102" t="s">
        <v>139</v>
      </c>
      <c r="F33" s="102" t="s">
        <v>140</v>
      </c>
      <c r="G33" s="102">
        <v>95060</v>
      </c>
      <c r="H33" s="102" t="s">
        <v>24</v>
      </c>
      <c r="I33" s="102" t="s">
        <v>362</v>
      </c>
      <c r="J33" s="103">
        <v>156</v>
      </c>
      <c r="K33" s="104">
        <v>400</v>
      </c>
      <c r="L33" s="102" t="s">
        <v>6</v>
      </c>
      <c r="M33" s="102" t="s">
        <v>363</v>
      </c>
      <c r="N33" s="102" t="s">
        <v>364</v>
      </c>
      <c r="O33" s="105"/>
      <c r="P33" s="102" t="s">
        <v>365</v>
      </c>
      <c r="Q33" s="102"/>
      <c r="R33" s="106">
        <v>2.56</v>
      </c>
      <c r="S33" s="102"/>
      <c r="T33" s="106"/>
      <c r="U33" s="95"/>
    </row>
    <row r="34" spans="1:21" s="99" customFormat="1" ht="45" x14ac:dyDescent="0.25">
      <c r="A34" s="95" t="s">
        <v>81</v>
      </c>
      <c r="B34" s="95" t="s">
        <v>47</v>
      </c>
      <c r="C34" s="95">
        <v>827</v>
      </c>
      <c r="D34" s="95" t="s">
        <v>168</v>
      </c>
      <c r="E34" s="95" t="s">
        <v>139</v>
      </c>
      <c r="F34" s="95" t="s">
        <v>140</v>
      </c>
      <c r="G34" s="95">
        <v>95060</v>
      </c>
      <c r="H34" s="95" t="s">
        <v>24</v>
      </c>
      <c r="I34" s="95" t="s">
        <v>156</v>
      </c>
      <c r="J34" s="96">
        <v>450</v>
      </c>
      <c r="K34" s="97">
        <v>900</v>
      </c>
      <c r="L34" s="95" t="s">
        <v>6</v>
      </c>
      <c r="M34" s="95" t="s">
        <v>58</v>
      </c>
      <c r="N34" s="95" t="s">
        <v>59</v>
      </c>
      <c r="O34" s="95" t="s">
        <v>60</v>
      </c>
      <c r="P34" s="95"/>
      <c r="Q34" s="95"/>
      <c r="R34" s="98">
        <f>K34/J34</f>
        <v>2</v>
      </c>
      <c r="S34" s="95"/>
      <c r="T34" s="95"/>
      <c r="U34" s="95"/>
    </row>
    <row r="35" spans="1:21" s="99" customFormat="1" ht="45" x14ac:dyDescent="0.25">
      <c r="A35" s="95" t="s">
        <v>81</v>
      </c>
      <c r="B35" s="95" t="s">
        <v>47</v>
      </c>
      <c r="C35" s="95">
        <v>845</v>
      </c>
      <c r="D35" s="95" t="s">
        <v>168</v>
      </c>
      <c r="E35" s="95" t="s">
        <v>139</v>
      </c>
      <c r="F35" s="95" t="s">
        <v>140</v>
      </c>
      <c r="G35" s="95">
        <v>95060</v>
      </c>
      <c r="H35" s="95" t="s">
        <v>8</v>
      </c>
      <c r="I35" s="95"/>
      <c r="J35" s="96">
        <v>1600</v>
      </c>
      <c r="K35" s="97">
        <v>1.6</v>
      </c>
      <c r="L35" s="95" t="s">
        <v>6</v>
      </c>
      <c r="M35" s="95" t="s">
        <v>58</v>
      </c>
      <c r="N35" s="95" t="s">
        <v>59</v>
      </c>
      <c r="O35" s="95" t="s">
        <v>60</v>
      </c>
      <c r="P35" s="95" t="s">
        <v>225</v>
      </c>
      <c r="Q35" s="95"/>
      <c r="R35" s="98">
        <v>1.6</v>
      </c>
      <c r="S35" s="95"/>
      <c r="T35" s="95"/>
      <c r="U35" s="95"/>
    </row>
    <row r="36" spans="1:21" s="99" customFormat="1" ht="75" x14ac:dyDescent="0.25">
      <c r="A36" s="95" t="s">
        <v>81</v>
      </c>
      <c r="B36" s="95" t="s">
        <v>38</v>
      </c>
      <c r="C36" s="95">
        <v>110</v>
      </c>
      <c r="D36" s="95" t="s">
        <v>166</v>
      </c>
      <c r="E36" s="95" t="s">
        <v>139</v>
      </c>
      <c r="F36" s="95" t="s">
        <v>140</v>
      </c>
      <c r="G36" s="95">
        <v>95060</v>
      </c>
      <c r="H36" s="95" t="s">
        <v>7</v>
      </c>
      <c r="I36" s="95"/>
      <c r="J36" s="96">
        <v>1873</v>
      </c>
      <c r="K36" s="97">
        <v>2</v>
      </c>
      <c r="L36" s="95" t="s">
        <v>5</v>
      </c>
      <c r="M36" s="95" t="s">
        <v>25</v>
      </c>
      <c r="N36" s="95" t="s">
        <v>113</v>
      </c>
      <c r="O36" s="95" t="s">
        <v>17</v>
      </c>
      <c r="P36" s="95" t="s">
        <v>34</v>
      </c>
      <c r="Q36" s="95"/>
      <c r="R36" s="98">
        <v>2</v>
      </c>
      <c r="S36" s="95"/>
      <c r="T36" s="95"/>
      <c r="U36" s="95"/>
    </row>
    <row r="37" spans="1:21" s="99" customFormat="1" ht="51.75" x14ac:dyDescent="0.25">
      <c r="A37" s="95" t="s">
        <v>81</v>
      </c>
      <c r="B37" s="95" t="s">
        <v>38</v>
      </c>
      <c r="C37" s="95">
        <v>803</v>
      </c>
      <c r="D37" s="95" t="s">
        <v>174</v>
      </c>
      <c r="E37" s="95" t="s">
        <v>139</v>
      </c>
      <c r="F37" s="95" t="s">
        <v>140</v>
      </c>
      <c r="G37" s="95">
        <v>95060</v>
      </c>
      <c r="H37" s="95" t="s">
        <v>7</v>
      </c>
      <c r="I37" s="95"/>
      <c r="J37" s="96">
        <v>2400</v>
      </c>
      <c r="K37" s="97">
        <v>2000</v>
      </c>
      <c r="L37" s="95" t="s">
        <v>10</v>
      </c>
      <c r="M37" s="95" t="s">
        <v>323</v>
      </c>
      <c r="N37" s="95" t="s">
        <v>324</v>
      </c>
      <c r="O37" s="101" t="s">
        <v>325</v>
      </c>
      <c r="P37" s="95" t="s">
        <v>326</v>
      </c>
      <c r="Q37" s="95"/>
      <c r="R37" s="98">
        <f>K37/J37</f>
        <v>0.83333333333333337</v>
      </c>
      <c r="S37" s="95"/>
      <c r="T37" s="95"/>
      <c r="U37" s="95"/>
    </row>
    <row r="38" spans="1:21" s="99" customFormat="1" ht="51.75" x14ac:dyDescent="0.25">
      <c r="A38" s="95" t="s">
        <v>81</v>
      </c>
      <c r="B38" s="95" t="s">
        <v>38</v>
      </c>
      <c r="C38" s="95">
        <v>805</v>
      </c>
      <c r="D38" s="95" t="s">
        <v>174</v>
      </c>
      <c r="E38" s="95" t="s">
        <v>139</v>
      </c>
      <c r="F38" s="95" t="s">
        <v>140</v>
      </c>
      <c r="G38" s="95">
        <v>95060</v>
      </c>
      <c r="H38" s="95" t="s">
        <v>7</v>
      </c>
      <c r="I38" s="95"/>
      <c r="J38" s="96">
        <v>640</v>
      </c>
      <c r="K38" s="97">
        <v>1000</v>
      </c>
      <c r="L38" s="95" t="s">
        <v>6</v>
      </c>
      <c r="M38" s="95" t="s">
        <v>323</v>
      </c>
      <c r="N38" s="95" t="s">
        <v>324</v>
      </c>
      <c r="O38" s="101" t="s">
        <v>325</v>
      </c>
      <c r="P38" s="95" t="s">
        <v>328</v>
      </c>
      <c r="Q38" s="95"/>
      <c r="R38" s="98">
        <f>K38/J38</f>
        <v>1.5625</v>
      </c>
      <c r="S38" s="95"/>
      <c r="T38" s="95"/>
      <c r="U38" s="95"/>
    </row>
    <row r="39" spans="1:21" s="99" customFormat="1" ht="135" x14ac:dyDescent="0.25">
      <c r="A39" s="95" t="s">
        <v>81</v>
      </c>
      <c r="B39" s="95" t="s">
        <v>38</v>
      </c>
      <c r="C39" s="95">
        <v>819</v>
      </c>
      <c r="D39" s="95" t="s">
        <v>174</v>
      </c>
      <c r="E39" s="95" t="s">
        <v>139</v>
      </c>
      <c r="F39" s="95" t="s">
        <v>140</v>
      </c>
      <c r="G39" s="95">
        <v>95060</v>
      </c>
      <c r="H39" s="95" t="s">
        <v>24</v>
      </c>
      <c r="I39" s="95" t="s">
        <v>329</v>
      </c>
      <c r="J39" s="96">
        <v>1385</v>
      </c>
      <c r="K39" s="97">
        <v>1.44</v>
      </c>
      <c r="L39" s="95" t="s">
        <v>6</v>
      </c>
      <c r="M39" s="95" t="s">
        <v>378</v>
      </c>
      <c r="N39" s="95" t="s">
        <v>243</v>
      </c>
      <c r="O39" s="100" t="s">
        <v>94</v>
      </c>
      <c r="P39" s="95" t="s">
        <v>330</v>
      </c>
      <c r="Q39" s="95"/>
      <c r="R39" s="98">
        <v>1.44</v>
      </c>
      <c r="S39" s="95"/>
      <c r="T39" s="95"/>
      <c r="U39" s="95"/>
    </row>
    <row r="40" spans="1:21" s="99" customFormat="1" ht="75" x14ac:dyDescent="0.25">
      <c r="A40" s="95" t="s">
        <v>81</v>
      </c>
      <c r="B40" s="95" t="s">
        <v>38</v>
      </c>
      <c r="C40" s="95">
        <v>1013</v>
      </c>
      <c r="D40" s="95" t="s">
        <v>174</v>
      </c>
      <c r="E40" s="95" t="s">
        <v>139</v>
      </c>
      <c r="F40" s="95" t="s">
        <v>140</v>
      </c>
      <c r="G40" s="95">
        <v>95060</v>
      </c>
      <c r="H40" s="95" t="s">
        <v>2</v>
      </c>
      <c r="I40" s="95"/>
      <c r="J40" s="96">
        <v>4500</v>
      </c>
      <c r="K40" s="97">
        <v>3</v>
      </c>
      <c r="L40" s="95" t="s">
        <v>5</v>
      </c>
      <c r="M40" s="95" t="s">
        <v>3</v>
      </c>
      <c r="N40" s="95" t="s">
        <v>4</v>
      </c>
      <c r="O40" s="95" t="s">
        <v>28</v>
      </c>
      <c r="P40" s="95" t="s">
        <v>161</v>
      </c>
      <c r="Q40" s="95"/>
      <c r="R40" s="98">
        <f t="shared" ref="R40:R50" si="2">K40</f>
        <v>3</v>
      </c>
      <c r="S40" s="95"/>
      <c r="T40" s="95"/>
      <c r="U40" s="95"/>
    </row>
    <row r="41" spans="1:21" s="99" customFormat="1" ht="75" x14ac:dyDescent="0.25">
      <c r="A41" s="95" t="s">
        <v>81</v>
      </c>
      <c r="B41" s="95" t="s">
        <v>38</v>
      </c>
      <c r="C41" s="95">
        <v>1101</v>
      </c>
      <c r="D41" s="95" t="s">
        <v>174</v>
      </c>
      <c r="E41" s="95" t="s">
        <v>139</v>
      </c>
      <c r="F41" s="95" t="s">
        <v>140</v>
      </c>
      <c r="G41" s="95">
        <v>95060</v>
      </c>
      <c r="H41" s="95" t="s">
        <v>8</v>
      </c>
      <c r="I41" s="95">
        <v>210</v>
      </c>
      <c r="J41" s="96">
        <v>1484</v>
      </c>
      <c r="K41" s="97">
        <v>1.25</v>
      </c>
      <c r="L41" s="95" t="s">
        <v>5</v>
      </c>
      <c r="M41" s="95" t="s">
        <v>202</v>
      </c>
      <c r="N41" s="95" t="s">
        <v>113</v>
      </c>
      <c r="O41" s="95" t="s">
        <v>17</v>
      </c>
      <c r="P41" s="95" t="s">
        <v>11</v>
      </c>
      <c r="Q41" s="95"/>
      <c r="R41" s="98">
        <f t="shared" si="2"/>
        <v>1.25</v>
      </c>
      <c r="S41" s="95"/>
      <c r="T41" s="95"/>
      <c r="U41" s="95"/>
    </row>
    <row r="42" spans="1:21" s="99" customFormat="1" ht="75" x14ac:dyDescent="0.25">
      <c r="A42" s="95" t="s">
        <v>81</v>
      </c>
      <c r="B42" s="95" t="s">
        <v>38</v>
      </c>
      <c r="C42" s="95">
        <v>1101</v>
      </c>
      <c r="D42" s="95" t="s">
        <v>174</v>
      </c>
      <c r="E42" s="95" t="s">
        <v>139</v>
      </c>
      <c r="F42" s="95" t="s">
        <v>140</v>
      </c>
      <c r="G42" s="95">
        <v>95060</v>
      </c>
      <c r="H42" s="95" t="s">
        <v>8</v>
      </c>
      <c r="I42" s="95">
        <v>300</v>
      </c>
      <c r="J42" s="96">
        <v>3323</v>
      </c>
      <c r="K42" s="97">
        <v>1.25</v>
      </c>
      <c r="L42" s="95" t="s">
        <v>5</v>
      </c>
      <c r="M42" s="95" t="s">
        <v>202</v>
      </c>
      <c r="N42" s="95" t="s">
        <v>113</v>
      </c>
      <c r="O42" s="95" t="s">
        <v>17</v>
      </c>
      <c r="P42" s="95" t="s">
        <v>11</v>
      </c>
      <c r="Q42" s="95"/>
      <c r="R42" s="98">
        <f t="shared" si="2"/>
        <v>1.25</v>
      </c>
      <c r="S42" s="95"/>
      <c r="T42" s="95"/>
      <c r="U42" s="95"/>
    </row>
    <row r="43" spans="1:21" s="99" customFormat="1" ht="75" x14ac:dyDescent="0.25">
      <c r="A43" s="95" t="s">
        <v>81</v>
      </c>
      <c r="B43" s="95" t="s">
        <v>38</v>
      </c>
      <c r="C43" s="95">
        <v>1101</v>
      </c>
      <c r="D43" s="95" t="s">
        <v>174</v>
      </c>
      <c r="E43" s="95" t="s">
        <v>139</v>
      </c>
      <c r="F43" s="95" t="s">
        <v>140</v>
      </c>
      <c r="G43" s="95">
        <v>95060</v>
      </c>
      <c r="H43" s="95" t="s">
        <v>8</v>
      </c>
      <c r="I43" s="95">
        <v>308</v>
      </c>
      <c r="J43" s="96">
        <v>1525</v>
      </c>
      <c r="K43" s="97">
        <v>1.25</v>
      </c>
      <c r="L43" s="95" t="s">
        <v>5</v>
      </c>
      <c r="M43" s="95" t="s">
        <v>202</v>
      </c>
      <c r="N43" s="95" t="s">
        <v>113</v>
      </c>
      <c r="O43" s="95" t="s">
        <v>17</v>
      </c>
      <c r="P43" s="95" t="s">
        <v>11</v>
      </c>
      <c r="Q43" s="95"/>
      <c r="R43" s="98">
        <f t="shared" si="2"/>
        <v>1.25</v>
      </c>
      <c r="S43" s="95"/>
      <c r="T43" s="95"/>
      <c r="U43" s="95"/>
    </row>
    <row r="44" spans="1:21" s="99" customFormat="1" ht="75" x14ac:dyDescent="0.25">
      <c r="A44" s="95" t="s">
        <v>81</v>
      </c>
      <c r="B44" s="95" t="s">
        <v>38</v>
      </c>
      <c r="C44" s="95">
        <v>1101</v>
      </c>
      <c r="D44" s="95" t="s">
        <v>174</v>
      </c>
      <c r="E44" s="95" t="s">
        <v>139</v>
      </c>
      <c r="F44" s="95" t="s">
        <v>140</v>
      </c>
      <c r="G44" s="95">
        <v>95060</v>
      </c>
      <c r="H44" s="95" t="s">
        <v>8</v>
      </c>
      <c r="I44" s="95">
        <v>320</v>
      </c>
      <c r="J44" s="96">
        <v>5178</v>
      </c>
      <c r="K44" s="97">
        <v>1.25</v>
      </c>
      <c r="L44" s="95" t="s">
        <v>5</v>
      </c>
      <c r="M44" s="95" t="s">
        <v>202</v>
      </c>
      <c r="N44" s="95" t="s">
        <v>113</v>
      </c>
      <c r="O44" s="95" t="s">
        <v>17</v>
      </c>
      <c r="P44" s="95" t="s">
        <v>11</v>
      </c>
      <c r="Q44" s="95"/>
      <c r="R44" s="98">
        <f t="shared" si="2"/>
        <v>1.25</v>
      </c>
      <c r="S44" s="95"/>
      <c r="T44" s="95"/>
      <c r="U44" s="95"/>
    </row>
    <row r="45" spans="1:21" s="99" customFormat="1" ht="75" x14ac:dyDescent="0.25">
      <c r="A45" s="95" t="s">
        <v>81</v>
      </c>
      <c r="B45" s="95" t="s">
        <v>38</v>
      </c>
      <c r="C45" s="95">
        <v>1101</v>
      </c>
      <c r="D45" s="95" t="s">
        <v>174</v>
      </c>
      <c r="E45" s="95" t="s">
        <v>139</v>
      </c>
      <c r="F45" s="95" t="s">
        <v>140</v>
      </c>
      <c r="G45" s="95">
        <v>95060</v>
      </c>
      <c r="H45" s="95" t="s">
        <v>2</v>
      </c>
      <c r="I45" s="95" t="s">
        <v>70</v>
      </c>
      <c r="J45" s="96">
        <v>1561</v>
      </c>
      <c r="K45" s="97">
        <v>2.75</v>
      </c>
      <c r="L45" s="95" t="s">
        <v>5</v>
      </c>
      <c r="M45" s="95" t="s">
        <v>202</v>
      </c>
      <c r="N45" s="95" t="s">
        <v>113</v>
      </c>
      <c r="O45" s="95" t="s">
        <v>17</v>
      </c>
      <c r="P45" s="95" t="s">
        <v>11</v>
      </c>
      <c r="Q45" s="95"/>
      <c r="R45" s="98">
        <f t="shared" si="2"/>
        <v>2.75</v>
      </c>
      <c r="S45" s="95"/>
      <c r="T45" s="95"/>
      <c r="U45" s="95"/>
    </row>
    <row r="46" spans="1:21" s="99" customFormat="1" ht="30" x14ac:dyDescent="0.25">
      <c r="A46" s="95" t="s">
        <v>81</v>
      </c>
      <c r="B46" s="95" t="s">
        <v>38</v>
      </c>
      <c r="C46" s="95">
        <v>1119</v>
      </c>
      <c r="D46" s="95" t="s">
        <v>174</v>
      </c>
      <c r="E46" s="95" t="s">
        <v>139</v>
      </c>
      <c r="F46" s="95" t="s">
        <v>140</v>
      </c>
      <c r="G46" s="95">
        <v>95060</v>
      </c>
      <c r="H46" s="95" t="s">
        <v>8</v>
      </c>
      <c r="I46" s="95"/>
      <c r="J46" s="96">
        <v>6200</v>
      </c>
      <c r="K46" s="97">
        <v>0.89</v>
      </c>
      <c r="L46" s="95" t="s">
        <v>5</v>
      </c>
      <c r="M46" s="95" t="s">
        <v>20</v>
      </c>
      <c r="N46" s="95" t="s">
        <v>21</v>
      </c>
      <c r="O46" s="100" t="s">
        <v>135</v>
      </c>
      <c r="P46" s="95"/>
      <c r="Q46" s="95">
        <v>0.52</v>
      </c>
      <c r="R46" s="98">
        <f t="shared" si="2"/>
        <v>0.89</v>
      </c>
      <c r="S46" s="95"/>
      <c r="T46" s="95"/>
      <c r="U46" s="95"/>
    </row>
    <row r="47" spans="1:21" s="99" customFormat="1" ht="75" x14ac:dyDescent="0.25">
      <c r="A47" s="95" t="s">
        <v>81</v>
      </c>
      <c r="B47" s="95" t="s">
        <v>38</v>
      </c>
      <c r="C47" s="95">
        <v>1200</v>
      </c>
      <c r="D47" s="95" t="s">
        <v>174</v>
      </c>
      <c r="E47" s="95" t="s">
        <v>139</v>
      </c>
      <c r="F47" s="95" t="s">
        <v>140</v>
      </c>
      <c r="G47" s="95">
        <v>95060</v>
      </c>
      <c r="H47" s="95" t="s">
        <v>8</v>
      </c>
      <c r="I47" s="95">
        <v>250</v>
      </c>
      <c r="J47" s="96">
        <v>3463</v>
      </c>
      <c r="K47" s="97">
        <v>1.75</v>
      </c>
      <c r="L47" s="95" t="s">
        <v>5</v>
      </c>
      <c r="M47" s="95" t="s">
        <v>25</v>
      </c>
      <c r="N47" s="95" t="s">
        <v>113</v>
      </c>
      <c r="O47" s="95" t="s">
        <v>17</v>
      </c>
      <c r="P47" s="95" t="s">
        <v>216</v>
      </c>
      <c r="Q47" s="95"/>
      <c r="R47" s="98">
        <f t="shared" si="2"/>
        <v>1.75</v>
      </c>
      <c r="S47" s="95"/>
      <c r="T47" s="95"/>
      <c r="U47" s="95"/>
    </row>
    <row r="48" spans="1:21" s="99" customFormat="1" ht="75" x14ac:dyDescent="0.25">
      <c r="A48" s="95" t="s">
        <v>81</v>
      </c>
      <c r="B48" s="95" t="s">
        <v>38</v>
      </c>
      <c r="C48" s="95">
        <v>1200</v>
      </c>
      <c r="D48" s="95" t="s">
        <v>174</v>
      </c>
      <c r="E48" s="95" t="s">
        <v>139</v>
      </c>
      <c r="F48" s="95" t="s">
        <v>140</v>
      </c>
      <c r="G48" s="95">
        <v>95060</v>
      </c>
      <c r="H48" s="95" t="s">
        <v>24</v>
      </c>
      <c r="I48" s="95">
        <v>270</v>
      </c>
      <c r="J48" s="96">
        <v>3589</v>
      </c>
      <c r="K48" s="97">
        <v>1.75</v>
      </c>
      <c r="L48" s="95" t="s">
        <v>5</v>
      </c>
      <c r="M48" s="95" t="s">
        <v>25</v>
      </c>
      <c r="N48" s="95" t="s">
        <v>113</v>
      </c>
      <c r="O48" s="95" t="s">
        <v>17</v>
      </c>
      <c r="P48" s="95" t="s">
        <v>216</v>
      </c>
      <c r="Q48" s="95"/>
      <c r="R48" s="98">
        <f t="shared" si="2"/>
        <v>1.75</v>
      </c>
      <c r="S48" s="95"/>
      <c r="T48" s="95"/>
      <c r="U48" s="95"/>
    </row>
    <row r="49" spans="1:21" s="99" customFormat="1" ht="75" x14ac:dyDescent="0.25">
      <c r="A49" s="95" t="s">
        <v>81</v>
      </c>
      <c r="B49" s="95" t="s">
        <v>38</v>
      </c>
      <c r="C49" s="95">
        <v>1200</v>
      </c>
      <c r="D49" s="95" t="s">
        <v>174</v>
      </c>
      <c r="E49" s="95" t="s">
        <v>139</v>
      </c>
      <c r="F49" s="95" t="s">
        <v>140</v>
      </c>
      <c r="G49" s="95">
        <v>95060</v>
      </c>
      <c r="H49" s="95" t="s">
        <v>8</v>
      </c>
      <c r="I49" s="95">
        <v>290</v>
      </c>
      <c r="J49" s="96">
        <v>1542</v>
      </c>
      <c r="K49" s="97">
        <v>1.75</v>
      </c>
      <c r="L49" s="95" t="s">
        <v>5</v>
      </c>
      <c r="M49" s="95" t="s">
        <v>25</v>
      </c>
      <c r="N49" s="95" t="s">
        <v>113</v>
      </c>
      <c r="O49" s="95" t="s">
        <v>17</v>
      </c>
      <c r="P49" s="95" t="s">
        <v>231</v>
      </c>
      <c r="Q49" s="95"/>
      <c r="R49" s="98">
        <f t="shared" si="2"/>
        <v>1.75</v>
      </c>
      <c r="S49" s="95"/>
      <c r="T49" s="95"/>
      <c r="U49" s="95"/>
    </row>
    <row r="50" spans="1:21" s="99" customFormat="1" ht="75" x14ac:dyDescent="0.25">
      <c r="A50" s="95" t="s">
        <v>81</v>
      </c>
      <c r="B50" s="95" t="s">
        <v>38</v>
      </c>
      <c r="C50" s="95">
        <v>1200</v>
      </c>
      <c r="D50" s="95" t="s">
        <v>174</v>
      </c>
      <c r="E50" s="95" t="s">
        <v>139</v>
      </c>
      <c r="F50" s="95" t="s">
        <v>140</v>
      </c>
      <c r="G50" s="95">
        <v>95060</v>
      </c>
      <c r="H50" s="95" t="s">
        <v>8</v>
      </c>
      <c r="I50" s="95">
        <v>310</v>
      </c>
      <c r="J50" s="96">
        <v>2295</v>
      </c>
      <c r="K50" s="97">
        <v>1.75</v>
      </c>
      <c r="L50" s="95" t="s">
        <v>5</v>
      </c>
      <c r="M50" s="95" t="s">
        <v>25</v>
      </c>
      <c r="N50" s="95" t="s">
        <v>113</v>
      </c>
      <c r="O50" s="95" t="s">
        <v>17</v>
      </c>
      <c r="P50" s="95" t="s">
        <v>231</v>
      </c>
      <c r="Q50" s="95"/>
      <c r="R50" s="98">
        <f t="shared" si="2"/>
        <v>1.75</v>
      </c>
      <c r="S50" s="95"/>
      <c r="T50" s="95"/>
      <c r="U50" s="95"/>
    </row>
    <row r="51" spans="1:21" s="99" customFormat="1" ht="45" x14ac:dyDescent="0.25">
      <c r="A51" s="95" t="s">
        <v>81</v>
      </c>
      <c r="B51" s="95" t="s">
        <v>38</v>
      </c>
      <c r="C51" s="95">
        <v>1319</v>
      </c>
      <c r="D51" s="95" t="s">
        <v>151</v>
      </c>
      <c r="E51" s="95" t="s">
        <v>139</v>
      </c>
      <c r="F51" s="95" t="s">
        <v>140</v>
      </c>
      <c r="G51" s="95">
        <v>95060</v>
      </c>
      <c r="H51" s="95" t="s">
        <v>8</v>
      </c>
      <c r="I51" s="95" t="s">
        <v>156</v>
      </c>
      <c r="J51" s="96">
        <v>1380</v>
      </c>
      <c r="K51" s="97">
        <v>1.35</v>
      </c>
      <c r="L51" s="95" t="s">
        <v>5</v>
      </c>
      <c r="M51" s="95" t="s">
        <v>159</v>
      </c>
      <c r="N51" s="95" t="s">
        <v>153</v>
      </c>
      <c r="O51" s="100" t="s">
        <v>160</v>
      </c>
      <c r="P51" s="95"/>
      <c r="Q51" s="95"/>
      <c r="R51" s="98">
        <v>1.35</v>
      </c>
      <c r="S51" s="95"/>
      <c r="T51" s="95"/>
      <c r="U51" s="95"/>
    </row>
    <row r="52" spans="1:21" s="99" customFormat="1" ht="30" x14ac:dyDescent="0.25">
      <c r="A52" s="95" t="s">
        <v>81</v>
      </c>
      <c r="B52" s="95" t="s">
        <v>38</v>
      </c>
      <c r="C52" s="95">
        <v>1339</v>
      </c>
      <c r="D52" s="95" t="s">
        <v>174</v>
      </c>
      <c r="E52" s="95" t="s">
        <v>139</v>
      </c>
      <c r="F52" s="95" t="s">
        <v>140</v>
      </c>
      <c r="G52" s="95">
        <v>95060</v>
      </c>
      <c r="H52" s="95" t="s">
        <v>2</v>
      </c>
      <c r="I52" s="95"/>
      <c r="J52" s="96">
        <v>5000</v>
      </c>
      <c r="K52" s="97">
        <v>2.35</v>
      </c>
      <c r="L52" s="95" t="s">
        <v>6</v>
      </c>
      <c r="M52" s="95" t="s">
        <v>234</v>
      </c>
      <c r="N52" s="95" t="s">
        <v>235</v>
      </c>
      <c r="O52" s="95"/>
      <c r="P52" s="95"/>
      <c r="Q52" s="95">
        <v>0.16</v>
      </c>
      <c r="R52" s="98">
        <v>2.35</v>
      </c>
      <c r="S52" s="95"/>
      <c r="T52" s="95"/>
      <c r="U52" s="95"/>
    </row>
    <row r="53" spans="1:21" s="99" customFormat="1" ht="45" x14ac:dyDescent="0.25">
      <c r="A53" s="95" t="s">
        <v>81</v>
      </c>
      <c r="B53" s="95" t="s">
        <v>38</v>
      </c>
      <c r="C53" s="95">
        <v>1349</v>
      </c>
      <c r="D53" s="95" t="s">
        <v>174</v>
      </c>
      <c r="E53" s="95" t="s">
        <v>139</v>
      </c>
      <c r="F53" s="95" t="s">
        <v>140</v>
      </c>
      <c r="G53" s="95">
        <v>95060</v>
      </c>
      <c r="H53" s="95" t="s">
        <v>7</v>
      </c>
      <c r="I53" s="95"/>
      <c r="J53" s="96">
        <v>1800</v>
      </c>
      <c r="K53" s="97">
        <v>2.75</v>
      </c>
      <c r="L53" s="95" t="s">
        <v>5</v>
      </c>
      <c r="M53" s="95" t="s">
        <v>110</v>
      </c>
      <c r="N53" s="95" t="s">
        <v>111</v>
      </c>
      <c r="O53" s="100" t="s">
        <v>112</v>
      </c>
      <c r="P53" s="95"/>
      <c r="Q53" s="95"/>
      <c r="R53" s="98">
        <f>K53</f>
        <v>2.75</v>
      </c>
      <c r="S53" s="95"/>
      <c r="T53" s="95"/>
      <c r="U53" s="95"/>
    </row>
    <row r="54" spans="1:21" s="99" customFormat="1" ht="150" x14ac:dyDescent="0.25">
      <c r="A54" s="95" t="s">
        <v>81</v>
      </c>
      <c r="B54" s="95" t="s">
        <v>38</v>
      </c>
      <c r="C54" s="95">
        <v>1367</v>
      </c>
      <c r="D54" s="95" t="s">
        <v>174</v>
      </c>
      <c r="E54" s="95" t="s">
        <v>139</v>
      </c>
      <c r="F54" s="95" t="s">
        <v>140</v>
      </c>
      <c r="G54" s="95">
        <v>95060</v>
      </c>
      <c r="H54" s="95" t="s">
        <v>7</v>
      </c>
      <c r="I54" s="95" t="s">
        <v>158</v>
      </c>
      <c r="J54" s="96">
        <v>14945</v>
      </c>
      <c r="K54" s="97">
        <v>4</v>
      </c>
      <c r="L54" s="95" t="s">
        <v>5</v>
      </c>
      <c r="M54" s="95" t="s">
        <v>132</v>
      </c>
      <c r="N54" s="95" t="s">
        <v>27</v>
      </c>
      <c r="O54" s="95" t="s">
        <v>28</v>
      </c>
      <c r="P54" s="95" t="s">
        <v>143</v>
      </c>
      <c r="Q54" s="95"/>
      <c r="R54" s="98">
        <v>4</v>
      </c>
      <c r="S54" s="95"/>
      <c r="T54" s="95"/>
      <c r="U54" s="95"/>
    </row>
    <row r="55" spans="1:21" s="99" customFormat="1" ht="90" x14ac:dyDescent="0.25">
      <c r="A55" s="95" t="s">
        <v>81</v>
      </c>
      <c r="B55" s="95" t="s">
        <v>38</v>
      </c>
      <c r="C55" s="95">
        <v>1367</v>
      </c>
      <c r="D55" s="95" t="s">
        <v>174</v>
      </c>
      <c r="E55" s="95" t="s">
        <v>139</v>
      </c>
      <c r="F55" s="95" t="s">
        <v>140</v>
      </c>
      <c r="G55" s="95">
        <v>95060</v>
      </c>
      <c r="H55" s="95" t="s">
        <v>24</v>
      </c>
      <c r="I55" s="95" t="s">
        <v>156</v>
      </c>
      <c r="J55" s="96">
        <v>16815</v>
      </c>
      <c r="K55" s="97">
        <v>1.65</v>
      </c>
      <c r="L55" s="95" t="s">
        <v>5</v>
      </c>
      <c r="M55" s="95" t="s">
        <v>26</v>
      </c>
      <c r="N55" s="95" t="s">
        <v>377</v>
      </c>
      <c r="O55" s="95" t="s">
        <v>376</v>
      </c>
      <c r="P55" s="95" t="s">
        <v>30</v>
      </c>
      <c r="Q55" s="95"/>
      <c r="R55" s="98">
        <f>K55</f>
        <v>1.65</v>
      </c>
      <c r="S55" s="95"/>
      <c r="T55" s="95"/>
      <c r="U55" s="95"/>
    </row>
    <row r="56" spans="1:21" s="99" customFormat="1" ht="90" x14ac:dyDescent="0.25">
      <c r="A56" s="95" t="s">
        <v>81</v>
      </c>
      <c r="B56" s="95" t="s">
        <v>38</v>
      </c>
      <c r="C56" s="95">
        <v>1367</v>
      </c>
      <c r="D56" s="95" t="s">
        <v>174</v>
      </c>
      <c r="E56" s="95" t="s">
        <v>139</v>
      </c>
      <c r="F56" s="95" t="s">
        <v>140</v>
      </c>
      <c r="G56" s="95">
        <v>95060</v>
      </c>
      <c r="H56" s="95" t="s">
        <v>24</v>
      </c>
      <c r="I56" s="95" t="s">
        <v>157</v>
      </c>
      <c r="J56" s="96">
        <v>17746</v>
      </c>
      <c r="K56" s="97">
        <v>1.65</v>
      </c>
      <c r="L56" s="95" t="s">
        <v>5</v>
      </c>
      <c r="M56" s="95" t="s">
        <v>26</v>
      </c>
      <c r="N56" s="95" t="s">
        <v>377</v>
      </c>
      <c r="O56" s="95" t="s">
        <v>376</v>
      </c>
      <c r="P56" s="95" t="s">
        <v>30</v>
      </c>
      <c r="Q56" s="95"/>
      <c r="R56" s="98">
        <f>K56</f>
        <v>1.65</v>
      </c>
      <c r="S56" s="95"/>
      <c r="T56" s="95"/>
      <c r="U56" s="95"/>
    </row>
    <row r="57" spans="1:21" s="99" customFormat="1" ht="90" x14ac:dyDescent="0.25">
      <c r="A57" s="95" t="s">
        <v>81</v>
      </c>
      <c r="B57" s="95" t="s">
        <v>38</v>
      </c>
      <c r="C57" s="95">
        <v>1367</v>
      </c>
      <c r="D57" s="95" t="s">
        <v>174</v>
      </c>
      <c r="E57" s="95" t="s">
        <v>139</v>
      </c>
      <c r="F57" s="95" t="s">
        <v>140</v>
      </c>
      <c r="G57" s="95">
        <v>95060</v>
      </c>
      <c r="H57" s="95" t="s">
        <v>24</v>
      </c>
      <c r="I57" s="95" t="s">
        <v>155</v>
      </c>
      <c r="J57" s="96">
        <v>12675</v>
      </c>
      <c r="K57" s="97">
        <v>1.65</v>
      </c>
      <c r="L57" s="95" t="s">
        <v>5</v>
      </c>
      <c r="M57" s="95" t="s">
        <v>26</v>
      </c>
      <c r="N57" s="95" t="s">
        <v>377</v>
      </c>
      <c r="O57" s="95" t="s">
        <v>376</v>
      </c>
      <c r="P57" s="95" t="s">
        <v>30</v>
      </c>
      <c r="Q57" s="95"/>
      <c r="R57" s="98">
        <f>K57</f>
        <v>1.65</v>
      </c>
      <c r="S57" s="95"/>
      <c r="T57" s="95"/>
      <c r="U57" s="95"/>
    </row>
    <row r="58" spans="1:21" s="99" customFormat="1" ht="60" x14ac:dyDescent="0.25">
      <c r="A58" s="95" t="s">
        <v>81</v>
      </c>
      <c r="B58" s="95" t="s">
        <v>38</v>
      </c>
      <c r="C58" s="95">
        <v>1521</v>
      </c>
      <c r="D58" s="95" t="s">
        <v>174</v>
      </c>
      <c r="E58" s="95" t="s">
        <v>139</v>
      </c>
      <c r="F58" s="95" t="s">
        <v>140</v>
      </c>
      <c r="G58" s="95">
        <v>95060</v>
      </c>
      <c r="H58" s="95" t="s">
        <v>8</v>
      </c>
      <c r="I58" s="95" t="s">
        <v>156</v>
      </c>
      <c r="J58" s="96">
        <v>2863</v>
      </c>
      <c r="K58" s="97">
        <v>1.4</v>
      </c>
      <c r="L58" s="95" t="s">
        <v>10</v>
      </c>
      <c r="M58" s="95" t="s">
        <v>35</v>
      </c>
      <c r="N58" s="95" t="s">
        <v>36</v>
      </c>
      <c r="O58" s="95" t="s">
        <v>37</v>
      </c>
      <c r="P58" s="95"/>
      <c r="Q58" s="95"/>
      <c r="R58" s="98">
        <v>1.4</v>
      </c>
      <c r="S58" s="95"/>
      <c r="T58" s="95"/>
      <c r="U58" s="95"/>
    </row>
    <row r="59" spans="1:21" s="99" customFormat="1" ht="45" x14ac:dyDescent="0.25">
      <c r="A59" s="95" t="s">
        <v>81</v>
      </c>
      <c r="B59" s="95" t="s">
        <v>68</v>
      </c>
      <c r="C59" s="95">
        <v>55</v>
      </c>
      <c r="D59" s="95" t="s">
        <v>175</v>
      </c>
      <c r="E59" s="95" t="s">
        <v>139</v>
      </c>
      <c r="F59" s="95" t="s">
        <v>140</v>
      </c>
      <c r="G59" s="95">
        <v>95060</v>
      </c>
      <c r="H59" s="95" t="s">
        <v>8</v>
      </c>
      <c r="I59" s="96">
        <v>230</v>
      </c>
      <c r="J59" s="96">
        <v>1600</v>
      </c>
      <c r="K59" s="97">
        <v>1.6</v>
      </c>
      <c r="L59" s="95" t="s">
        <v>5</v>
      </c>
      <c r="M59" s="95" t="s">
        <v>44</v>
      </c>
      <c r="N59" s="95" t="s">
        <v>45</v>
      </c>
      <c r="O59" s="95" t="s">
        <v>46</v>
      </c>
      <c r="P59" s="95" t="s">
        <v>127</v>
      </c>
      <c r="Q59" s="95"/>
      <c r="R59" s="98">
        <f>K59</f>
        <v>1.6</v>
      </c>
      <c r="S59" s="95"/>
      <c r="T59" s="95"/>
      <c r="U59" s="95"/>
    </row>
    <row r="60" spans="1:21" s="99" customFormat="1" ht="60" x14ac:dyDescent="0.25">
      <c r="A60" s="95" t="s">
        <v>81</v>
      </c>
      <c r="B60" s="95" t="s">
        <v>68</v>
      </c>
      <c r="C60" s="95">
        <v>147</v>
      </c>
      <c r="D60" s="95" t="s">
        <v>368</v>
      </c>
      <c r="E60" s="95" t="s">
        <v>139</v>
      </c>
      <c r="F60" s="95" t="s">
        <v>140</v>
      </c>
      <c r="G60" s="95">
        <v>95060</v>
      </c>
      <c r="H60" s="95" t="s">
        <v>24</v>
      </c>
      <c r="I60" s="96">
        <v>203</v>
      </c>
      <c r="J60" s="96">
        <v>206</v>
      </c>
      <c r="K60" s="97">
        <v>500</v>
      </c>
      <c r="L60" s="95" t="s">
        <v>6</v>
      </c>
      <c r="M60" s="95" t="s">
        <v>31</v>
      </c>
      <c r="N60" s="95" t="s">
        <v>32</v>
      </c>
      <c r="O60" s="95" t="s">
        <v>313</v>
      </c>
      <c r="P60" s="95"/>
      <c r="Q60" s="95"/>
      <c r="R60" s="98">
        <v>2.4300000000000002</v>
      </c>
      <c r="S60" s="95"/>
      <c r="T60" s="95"/>
      <c r="U60" s="95"/>
    </row>
    <row r="61" spans="1:21" s="99" customFormat="1" ht="30" x14ac:dyDescent="0.25">
      <c r="A61" s="95" t="s">
        <v>81</v>
      </c>
      <c r="B61" s="95" t="s">
        <v>68</v>
      </c>
      <c r="C61" s="95">
        <v>149</v>
      </c>
      <c r="D61" s="95" t="s">
        <v>197</v>
      </c>
      <c r="E61" s="95" t="s">
        <v>139</v>
      </c>
      <c r="F61" s="95" t="s">
        <v>140</v>
      </c>
      <c r="G61" s="95">
        <v>95060</v>
      </c>
      <c r="H61" s="95" t="s">
        <v>8</v>
      </c>
      <c r="I61" s="95"/>
      <c r="J61" s="96">
        <v>625</v>
      </c>
      <c r="K61" s="97">
        <v>1.25</v>
      </c>
      <c r="L61" s="95" t="s">
        <v>10</v>
      </c>
      <c r="M61" s="95" t="s">
        <v>43</v>
      </c>
      <c r="N61" s="95" t="s">
        <v>152</v>
      </c>
      <c r="O61" s="100" t="s">
        <v>160</v>
      </c>
      <c r="P61" s="95"/>
      <c r="Q61" s="95"/>
      <c r="R61" s="98">
        <f>K61</f>
        <v>1.25</v>
      </c>
      <c r="S61" s="95"/>
      <c r="T61" s="95"/>
      <c r="U61" s="95"/>
    </row>
    <row r="62" spans="1:21" s="99" customFormat="1" ht="60" x14ac:dyDescent="0.25">
      <c r="A62" s="95" t="s">
        <v>81</v>
      </c>
      <c r="B62" s="95" t="s">
        <v>68</v>
      </c>
      <c r="C62" s="95">
        <v>211</v>
      </c>
      <c r="D62" s="95" t="s">
        <v>177</v>
      </c>
      <c r="E62" s="95" t="s">
        <v>139</v>
      </c>
      <c r="F62" s="95" t="s">
        <v>140</v>
      </c>
      <c r="G62" s="95">
        <v>95060</v>
      </c>
      <c r="H62" s="95" t="s">
        <v>8</v>
      </c>
      <c r="I62" s="96"/>
      <c r="J62" s="96">
        <v>6000</v>
      </c>
      <c r="K62" s="97">
        <v>1.25</v>
      </c>
      <c r="L62" s="95" t="s">
        <v>5</v>
      </c>
      <c r="M62" s="95" t="s">
        <v>44</v>
      </c>
      <c r="N62" s="95" t="s">
        <v>45</v>
      </c>
      <c r="O62" s="95" t="s">
        <v>46</v>
      </c>
      <c r="P62" s="95" t="s">
        <v>310</v>
      </c>
      <c r="Q62" s="95">
        <v>0.35</v>
      </c>
      <c r="R62" s="98">
        <f>K62</f>
        <v>1.25</v>
      </c>
      <c r="S62" s="95"/>
      <c r="T62" s="95"/>
      <c r="U62" s="95"/>
    </row>
    <row r="63" spans="1:21" s="99" customFormat="1" ht="90" x14ac:dyDescent="0.25">
      <c r="A63" s="95" t="s">
        <v>81</v>
      </c>
      <c r="B63" s="95" t="s">
        <v>68</v>
      </c>
      <c r="C63" s="95">
        <v>303</v>
      </c>
      <c r="D63" s="95" t="s">
        <v>176</v>
      </c>
      <c r="E63" s="95" t="s">
        <v>139</v>
      </c>
      <c r="F63" s="95" t="s">
        <v>140</v>
      </c>
      <c r="G63" s="95">
        <v>95060</v>
      </c>
      <c r="H63" s="95" t="s">
        <v>24</v>
      </c>
      <c r="I63" s="95"/>
      <c r="J63" s="96">
        <v>0</v>
      </c>
      <c r="K63" s="97">
        <v>0.99</v>
      </c>
      <c r="L63" s="95" t="s">
        <v>5</v>
      </c>
      <c r="M63" s="95" t="s">
        <v>71</v>
      </c>
      <c r="N63" s="95" t="s">
        <v>72</v>
      </c>
      <c r="O63" s="100" t="s">
        <v>73</v>
      </c>
      <c r="P63" s="95" t="s">
        <v>219</v>
      </c>
      <c r="Q63" s="95"/>
      <c r="R63" s="98">
        <f>K63</f>
        <v>0.99</v>
      </c>
      <c r="S63" s="95"/>
      <c r="T63" s="95"/>
      <c r="U63" s="95"/>
    </row>
    <row r="64" spans="1:21" s="99" customFormat="1" ht="75" x14ac:dyDescent="0.25">
      <c r="A64" s="95" t="s">
        <v>81</v>
      </c>
      <c r="B64" s="95" t="s">
        <v>68</v>
      </c>
      <c r="C64" s="95">
        <v>415</v>
      </c>
      <c r="D64" s="95" t="s">
        <v>177</v>
      </c>
      <c r="E64" s="95" t="s">
        <v>139</v>
      </c>
      <c r="F64" s="95" t="s">
        <v>312</v>
      </c>
      <c r="G64" s="95">
        <v>95060</v>
      </c>
      <c r="H64" s="95" t="s">
        <v>7</v>
      </c>
      <c r="I64" s="95" t="s">
        <v>50</v>
      </c>
      <c r="J64" s="96">
        <v>7727</v>
      </c>
      <c r="K64" s="97">
        <v>2.4900000000000002</v>
      </c>
      <c r="L64" s="95" t="s">
        <v>5</v>
      </c>
      <c r="M64" s="95" t="s">
        <v>25</v>
      </c>
      <c r="N64" s="95" t="s">
        <v>113</v>
      </c>
      <c r="O64" s="95" t="s">
        <v>17</v>
      </c>
      <c r="P64" s="95"/>
      <c r="Q64" s="95"/>
      <c r="R64" s="98">
        <v>2.4900000000000002</v>
      </c>
      <c r="S64" s="95"/>
      <c r="T64" s="95"/>
      <c r="U64" s="95"/>
    </row>
    <row r="65" spans="1:21" s="99" customFormat="1" ht="75" x14ac:dyDescent="0.25">
      <c r="A65" s="95" t="s">
        <v>81</v>
      </c>
      <c r="B65" s="95" t="s">
        <v>68</v>
      </c>
      <c r="C65" s="95">
        <v>600</v>
      </c>
      <c r="D65" s="95" t="s">
        <v>177</v>
      </c>
      <c r="E65" s="95" t="s">
        <v>139</v>
      </c>
      <c r="F65" s="95" t="s">
        <v>140</v>
      </c>
      <c r="G65" s="95">
        <v>95060</v>
      </c>
      <c r="H65" s="95" t="s">
        <v>7</v>
      </c>
      <c r="I65" s="95"/>
      <c r="J65" s="96">
        <v>1150</v>
      </c>
      <c r="K65" s="97">
        <v>3.25</v>
      </c>
      <c r="L65" s="95"/>
      <c r="M65" s="95" t="s">
        <v>75</v>
      </c>
      <c r="N65" s="95" t="s">
        <v>76</v>
      </c>
      <c r="O65" s="95" t="s">
        <v>74</v>
      </c>
      <c r="P65" s="95"/>
      <c r="Q65" s="95"/>
      <c r="R65" s="98">
        <v>3.25</v>
      </c>
      <c r="S65" s="95"/>
      <c r="T65" s="95"/>
      <c r="U65" s="95"/>
    </row>
    <row r="66" spans="1:21" s="99" customFormat="1" ht="75" x14ac:dyDescent="0.25">
      <c r="A66" s="95" t="s">
        <v>81</v>
      </c>
      <c r="B66" s="95" t="s">
        <v>68</v>
      </c>
      <c r="C66" s="95">
        <v>600</v>
      </c>
      <c r="D66" s="95" t="s">
        <v>177</v>
      </c>
      <c r="E66" s="95" t="s">
        <v>139</v>
      </c>
      <c r="F66" s="95" t="s">
        <v>140</v>
      </c>
      <c r="G66" s="95">
        <v>95060</v>
      </c>
      <c r="H66" s="95" t="s">
        <v>7</v>
      </c>
      <c r="I66" s="95"/>
      <c r="J66" s="96">
        <v>2880</v>
      </c>
      <c r="K66" s="97">
        <v>3.25</v>
      </c>
      <c r="L66" s="95"/>
      <c r="M66" s="95" t="s">
        <v>75</v>
      </c>
      <c r="N66" s="95" t="s">
        <v>76</v>
      </c>
      <c r="O66" s="95" t="s">
        <v>74</v>
      </c>
      <c r="P66" s="95" t="s">
        <v>194</v>
      </c>
      <c r="Q66" s="95"/>
      <c r="R66" s="98">
        <v>3.25</v>
      </c>
      <c r="S66" s="95"/>
      <c r="T66" s="95"/>
      <c r="U66" s="95"/>
    </row>
    <row r="67" spans="1:21" s="99" customFormat="1" ht="60" x14ac:dyDescent="0.25">
      <c r="A67" s="95" t="s">
        <v>81</v>
      </c>
      <c r="B67" s="95" t="s">
        <v>68</v>
      </c>
      <c r="C67" s="95">
        <v>710</v>
      </c>
      <c r="D67" s="95" t="s">
        <v>175</v>
      </c>
      <c r="E67" s="95" t="s">
        <v>139</v>
      </c>
      <c r="F67" s="95" t="s">
        <v>140</v>
      </c>
      <c r="G67" s="95">
        <v>95060</v>
      </c>
      <c r="H67" s="95" t="s">
        <v>24</v>
      </c>
      <c r="I67" s="95"/>
      <c r="J67" s="96">
        <v>1200</v>
      </c>
      <c r="K67" s="97">
        <v>2500</v>
      </c>
      <c r="L67" s="95" t="s">
        <v>6</v>
      </c>
      <c r="M67" s="95" t="s">
        <v>77</v>
      </c>
      <c r="N67" s="95" t="s">
        <v>78</v>
      </c>
      <c r="O67" s="100" t="s">
        <v>79</v>
      </c>
      <c r="P67" s="95" t="s">
        <v>337</v>
      </c>
      <c r="Q67" s="95"/>
      <c r="R67" s="98">
        <f>K67/J67</f>
        <v>2.0833333333333335</v>
      </c>
      <c r="S67" s="95"/>
      <c r="T67" s="95"/>
      <c r="U67" s="95"/>
    </row>
    <row r="68" spans="1:21" s="99" customFormat="1" ht="75" x14ac:dyDescent="0.25">
      <c r="A68" s="95" t="s">
        <v>81</v>
      </c>
      <c r="B68" s="95" t="s">
        <v>68</v>
      </c>
      <c r="C68" s="95">
        <v>720</v>
      </c>
      <c r="D68" s="95" t="s">
        <v>175</v>
      </c>
      <c r="E68" s="95" t="s">
        <v>139</v>
      </c>
      <c r="F68" s="95" t="s">
        <v>140</v>
      </c>
      <c r="G68" s="95">
        <v>95060</v>
      </c>
      <c r="H68" s="95" t="s">
        <v>24</v>
      </c>
      <c r="I68" s="95"/>
      <c r="J68" s="96">
        <v>2400</v>
      </c>
      <c r="K68" s="97">
        <v>3200</v>
      </c>
      <c r="L68" s="95"/>
      <c r="M68" s="95" t="s">
        <v>77</v>
      </c>
      <c r="N68" s="95" t="s">
        <v>78</v>
      </c>
      <c r="O68" s="100" t="s">
        <v>79</v>
      </c>
      <c r="P68" s="95" t="s">
        <v>144</v>
      </c>
      <c r="Q68" s="95"/>
      <c r="R68" s="98">
        <v>3.3</v>
      </c>
      <c r="S68" s="95"/>
      <c r="T68" s="95"/>
      <c r="U68" s="95"/>
    </row>
    <row r="69" spans="1:21" s="99" customFormat="1" ht="45" x14ac:dyDescent="0.25">
      <c r="A69" s="95" t="s">
        <v>81</v>
      </c>
      <c r="B69" s="95" t="s">
        <v>68</v>
      </c>
      <c r="C69" s="95">
        <v>1319</v>
      </c>
      <c r="D69" s="95" t="s">
        <v>177</v>
      </c>
      <c r="E69" s="95" t="s">
        <v>139</v>
      </c>
      <c r="F69" s="95" t="s">
        <v>312</v>
      </c>
      <c r="G69" s="95">
        <v>95060</v>
      </c>
      <c r="H69" s="95" t="s">
        <v>84</v>
      </c>
      <c r="I69" s="95"/>
      <c r="J69" s="96">
        <v>1500</v>
      </c>
      <c r="K69" s="97">
        <v>1.25</v>
      </c>
      <c r="L69" s="95" t="s">
        <v>6</v>
      </c>
      <c r="M69" s="95" t="s">
        <v>44</v>
      </c>
      <c r="N69" s="95" t="s">
        <v>45</v>
      </c>
      <c r="O69" s="95" t="s">
        <v>346</v>
      </c>
      <c r="P69" s="95" t="s">
        <v>347</v>
      </c>
      <c r="Q69" s="95"/>
      <c r="R69" s="98">
        <v>1.25</v>
      </c>
      <c r="S69" s="95"/>
      <c r="T69" s="95"/>
      <c r="U69" s="95"/>
    </row>
    <row r="70" spans="1:21" s="99" customFormat="1" ht="45" x14ac:dyDescent="0.25">
      <c r="A70" s="95" t="s">
        <v>81</v>
      </c>
      <c r="B70" s="95" t="s">
        <v>68</v>
      </c>
      <c r="C70" s="95">
        <v>1321</v>
      </c>
      <c r="D70" s="95" t="s">
        <v>177</v>
      </c>
      <c r="E70" s="95" t="s">
        <v>139</v>
      </c>
      <c r="F70" s="95" t="s">
        <v>312</v>
      </c>
      <c r="G70" s="95">
        <v>95060</v>
      </c>
      <c r="H70" s="95" t="s">
        <v>84</v>
      </c>
      <c r="I70" s="95"/>
      <c r="J70" s="96">
        <v>1500</v>
      </c>
      <c r="K70" s="97">
        <v>1.25</v>
      </c>
      <c r="L70" s="95" t="s">
        <v>6</v>
      </c>
      <c r="M70" s="95" t="s">
        <v>44</v>
      </c>
      <c r="N70" s="95" t="s">
        <v>45</v>
      </c>
      <c r="O70" s="95" t="s">
        <v>346</v>
      </c>
      <c r="P70" s="95" t="s">
        <v>347</v>
      </c>
      <c r="Q70" s="95"/>
      <c r="R70" s="98">
        <v>1.25</v>
      </c>
      <c r="S70" s="95"/>
      <c r="T70" s="95"/>
      <c r="U70" s="95"/>
    </row>
    <row r="71" spans="1:21" s="99" customFormat="1" ht="45" x14ac:dyDescent="0.25">
      <c r="A71" s="95" t="s">
        <v>81</v>
      </c>
      <c r="B71" s="95" t="s">
        <v>68</v>
      </c>
      <c r="C71" s="95">
        <v>1323</v>
      </c>
      <c r="D71" s="95" t="s">
        <v>177</v>
      </c>
      <c r="E71" s="95" t="s">
        <v>139</v>
      </c>
      <c r="F71" s="95" t="s">
        <v>312</v>
      </c>
      <c r="G71" s="95">
        <v>95060</v>
      </c>
      <c r="H71" s="95" t="s">
        <v>84</v>
      </c>
      <c r="I71" s="95"/>
      <c r="J71" s="96">
        <v>1500</v>
      </c>
      <c r="K71" s="97">
        <v>1.25</v>
      </c>
      <c r="L71" s="95" t="s">
        <v>6</v>
      </c>
      <c r="M71" s="95" t="s">
        <v>44</v>
      </c>
      <c r="N71" s="95" t="s">
        <v>45</v>
      </c>
      <c r="O71" s="95" t="s">
        <v>346</v>
      </c>
      <c r="P71" s="95" t="s">
        <v>347</v>
      </c>
      <c r="Q71" s="95"/>
      <c r="R71" s="98">
        <v>1.25</v>
      </c>
      <c r="S71" s="95"/>
      <c r="T71" s="95"/>
      <c r="U71" s="95"/>
    </row>
    <row r="72" spans="1:21" s="99" customFormat="1" ht="60" x14ac:dyDescent="0.25">
      <c r="A72" s="95" t="s">
        <v>82</v>
      </c>
      <c r="B72" s="95" t="s">
        <v>106</v>
      </c>
      <c r="C72" s="95">
        <v>100</v>
      </c>
      <c r="D72" s="95" t="s">
        <v>178</v>
      </c>
      <c r="E72" s="95" t="s">
        <v>139</v>
      </c>
      <c r="F72" s="95" t="s">
        <v>140</v>
      </c>
      <c r="G72" s="95">
        <v>95060</v>
      </c>
      <c r="H72" s="95" t="s">
        <v>24</v>
      </c>
      <c r="I72" s="95"/>
      <c r="J72" s="96">
        <v>6500</v>
      </c>
      <c r="K72" s="97">
        <v>1.1000000000000001</v>
      </c>
      <c r="L72" s="95" t="s">
        <v>88</v>
      </c>
      <c r="M72" s="95" t="s">
        <v>100</v>
      </c>
      <c r="N72" s="95" t="s">
        <v>114</v>
      </c>
      <c r="O72" s="95" t="s">
        <v>101</v>
      </c>
      <c r="P72" s="95" t="s">
        <v>145</v>
      </c>
      <c r="Q72" s="95"/>
      <c r="R72" s="98">
        <f>K72</f>
        <v>1.1000000000000001</v>
      </c>
      <c r="S72" s="95"/>
      <c r="T72" s="95"/>
      <c r="U72" s="95"/>
    </row>
    <row r="73" spans="1:21" s="99" customFormat="1" ht="60" x14ac:dyDescent="0.25">
      <c r="A73" s="95" t="s">
        <v>82</v>
      </c>
      <c r="B73" s="95" t="s">
        <v>106</v>
      </c>
      <c r="C73" s="95">
        <v>115</v>
      </c>
      <c r="D73" s="95" t="s">
        <v>179</v>
      </c>
      <c r="E73" s="95" t="s">
        <v>139</v>
      </c>
      <c r="F73" s="95" t="s">
        <v>140</v>
      </c>
      <c r="G73" s="95">
        <v>95060</v>
      </c>
      <c r="H73" s="95" t="s">
        <v>48</v>
      </c>
      <c r="I73" s="95"/>
      <c r="J73" s="96">
        <v>4200</v>
      </c>
      <c r="K73" s="97">
        <v>1</v>
      </c>
      <c r="L73" s="95" t="s">
        <v>10</v>
      </c>
      <c r="M73" s="95" t="s">
        <v>61</v>
      </c>
      <c r="N73" s="95" t="s">
        <v>134</v>
      </c>
      <c r="O73" s="95" t="s">
        <v>133</v>
      </c>
      <c r="P73" s="95"/>
      <c r="Q73" s="95"/>
      <c r="R73" s="98">
        <f>K73</f>
        <v>1</v>
      </c>
      <c r="S73" s="95"/>
      <c r="T73" s="95"/>
      <c r="U73" s="95"/>
    </row>
    <row r="74" spans="1:21" s="99" customFormat="1" ht="30" x14ac:dyDescent="0.25">
      <c r="A74" s="95" t="s">
        <v>82</v>
      </c>
      <c r="B74" s="95" t="s">
        <v>106</v>
      </c>
      <c r="C74" s="95">
        <v>115</v>
      </c>
      <c r="D74" s="95" t="s">
        <v>191</v>
      </c>
      <c r="E74" s="95" t="s">
        <v>139</v>
      </c>
      <c r="F74" s="95" t="s">
        <v>140</v>
      </c>
      <c r="G74" s="95">
        <v>95060</v>
      </c>
      <c r="H74" s="95" t="s">
        <v>8</v>
      </c>
      <c r="I74" s="95"/>
      <c r="J74" s="96">
        <v>3800</v>
      </c>
      <c r="K74" s="97">
        <v>1</v>
      </c>
      <c r="L74" s="95" t="s">
        <v>10</v>
      </c>
      <c r="M74" s="95" t="s">
        <v>20</v>
      </c>
      <c r="N74" s="95" t="s">
        <v>21</v>
      </c>
      <c r="O74" s="100" t="s">
        <v>135</v>
      </c>
      <c r="P74" s="95" t="s">
        <v>109</v>
      </c>
      <c r="Q74" s="95"/>
      <c r="R74" s="98">
        <v>1</v>
      </c>
      <c r="S74" s="95"/>
      <c r="T74" s="95"/>
      <c r="U74" s="95"/>
    </row>
    <row r="75" spans="1:21" s="99" customFormat="1" ht="16.5" customHeight="1" x14ac:dyDescent="0.25">
      <c r="A75" s="95" t="s">
        <v>82</v>
      </c>
      <c r="B75" s="95" t="s">
        <v>106</v>
      </c>
      <c r="C75" s="95">
        <v>151</v>
      </c>
      <c r="D75" s="95" t="s">
        <v>179</v>
      </c>
      <c r="E75" s="95" t="s">
        <v>139</v>
      </c>
      <c r="F75" s="95" t="s">
        <v>140</v>
      </c>
      <c r="G75" s="95">
        <v>95060</v>
      </c>
      <c r="H75" s="95" t="s">
        <v>69</v>
      </c>
      <c r="I75" s="95"/>
      <c r="J75" s="96">
        <v>14000</v>
      </c>
      <c r="K75" s="97">
        <v>1</v>
      </c>
      <c r="L75" s="95" t="s">
        <v>88</v>
      </c>
      <c r="M75" s="95" t="s">
        <v>25</v>
      </c>
      <c r="N75" s="95" t="s">
        <v>113</v>
      </c>
      <c r="O75" s="95" t="s">
        <v>17</v>
      </c>
      <c r="P75" s="95"/>
      <c r="Q75" s="95"/>
      <c r="R75" s="98">
        <f>K75</f>
        <v>1</v>
      </c>
      <c r="S75" s="95"/>
      <c r="T75" s="95"/>
      <c r="U75" s="95"/>
    </row>
    <row r="76" spans="1:21" s="99" customFormat="1" ht="45" x14ac:dyDescent="0.25">
      <c r="A76" s="95" t="s">
        <v>82</v>
      </c>
      <c r="B76" s="95" t="s">
        <v>106</v>
      </c>
      <c r="C76" s="95">
        <v>155</v>
      </c>
      <c r="D76" s="95" t="s">
        <v>180</v>
      </c>
      <c r="E76" s="95" t="s">
        <v>139</v>
      </c>
      <c r="F76" s="95" t="s">
        <v>140</v>
      </c>
      <c r="G76" s="95">
        <v>95060</v>
      </c>
      <c r="H76" s="95" t="s">
        <v>24</v>
      </c>
      <c r="I76" s="95"/>
      <c r="J76" s="96">
        <v>14700</v>
      </c>
      <c r="K76" s="97">
        <v>1</v>
      </c>
      <c r="L76" s="95" t="s">
        <v>5</v>
      </c>
      <c r="M76" s="95" t="s">
        <v>221</v>
      </c>
      <c r="N76" s="95" t="s">
        <v>222</v>
      </c>
      <c r="O76" s="95" t="s">
        <v>223</v>
      </c>
      <c r="P76" s="95"/>
      <c r="Q76" s="95"/>
      <c r="R76" s="98">
        <f>K76</f>
        <v>1</v>
      </c>
      <c r="S76" s="95"/>
      <c r="T76" s="95"/>
      <c r="U76" s="95"/>
    </row>
    <row r="77" spans="1:21" s="99" customFormat="1" ht="45" x14ac:dyDescent="0.25">
      <c r="A77" s="95" t="s">
        <v>82</v>
      </c>
      <c r="B77" s="95" t="s">
        <v>106</v>
      </c>
      <c r="C77" s="95">
        <v>165</v>
      </c>
      <c r="D77" s="95" t="s">
        <v>180</v>
      </c>
      <c r="E77" s="95" t="s">
        <v>139</v>
      </c>
      <c r="F77" s="95" t="s">
        <v>140</v>
      </c>
      <c r="G77" s="95">
        <v>95060</v>
      </c>
      <c r="H77" s="95" t="s">
        <v>24</v>
      </c>
      <c r="I77" s="95"/>
      <c r="J77" s="96">
        <v>18700</v>
      </c>
      <c r="K77" s="97">
        <v>1</v>
      </c>
      <c r="L77" s="95" t="s">
        <v>5</v>
      </c>
      <c r="M77" s="95" t="s">
        <v>221</v>
      </c>
      <c r="N77" s="95" t="s">
        <v>222</v>
      </c>
      <c r="O77" s="95" t="s">
        <v>223</v>
      </c>
      <c r="P77" s="95"/>
      <c r="Q77" s="95"/>
      <c r="R77" s="98">
        <f>K77</f>
        <v>1</v>
      </c>
      <c r="S77" s="95"/>
      <c r="T77" s="95"/>
      <c r="U77" s="95"/>
    </row>
    <row r="78" spans="1:21" s="99" customFormat="1" ht="60" x14ac:dyDescent="0.25">
      <c r="A78" s="95" t="s">
        <v>82</v>
      </c>
      <c r="B78" s="95" t="s">
        <v>106</v>
      </c>
      <c r="C78" s="95">
        <v>191</v>
      </c>
      <c r="D78" s="95" t="s">
        <v>179</v>
      </c>
      <c r="E78" s="95" t="s">
        <v>139</v>
      </c>
      <c r="F78" s="95" t="s">
        <v>140</v>
      </c>
      <c r="G78" s="95">
        <v>95060</v>
      </c>
      <c r="H78" s="95" t="s">
        <v>24</v>
      </c>
      <c r="I78" s="95" t="s">
        <v>41</v>
      </c>
      <c r="J78" s="96">
        <v>3607</v>
      </c>
      <c r="K78" s="97">
        <v>1.2</v>
      </c>
      <c r="L78" s="95" t="s">
        <v>5</v>
      </c>
      <c r="M78" s="95" t="s">
        <v>348</v>
      </c>
      <c r="N78" s="95" t="s">
        <v>349</v>
      </c>
      <c r="O78" s="95" t="s">
        <v>350</v>
      </c>
      <c r="P78" s="95"/>
      <c r="Q78" s="95"/>
      <c r="R78" s="98">
        <f>K78</f>
        <v>1.2</v>
      </c>
      <c r="S78" s="95"/>
      <c r="T78" s="95"/>
      <c r="U78" s="95"/>
    </row>
    <row r="79" spans="1:21" s="99" customFormat="1" ht="45" x14ac:dyDescent="0.25">
      <c r="A79" s="95" t="s">
        <v>82</v>
      </c>
      <c r="B79" s="95" t="s">
        <v>106</v>
      </c>
      <c r="C79" s="95">
        <v>229</v>
      </c>
      <c r="D79" s="95" t="s">
        <v>182</v>
      </c>
      <c r="E79" s="95" t="s">
        <v>139</v>
      </c>
      <c r="F79" s="95" t="s">
        <v>140</v>
      </c>
      <c r="G79" s="95">
        <v>95060</v>
      </c>
      <c r="H79" s="95" t="s">
        <v>24</v>
      </c>
      <c r="I79" s="95" t="s">
        <v>156</v>
      </c>
      <c r="J79" s="96">
        <v>2800</v>
      </c>
      <c r="K79" s="97">
        <v>0.85</v>
      </c>
      <c r="L79" s="95"/>
      <c r="M79" s="95" t="s">
        <v>110</v>
      </c>
      <c r="N79" s="95" t="s">
        <v>111</v>
      </c>
      <c r="O79" s="100" t="s">
        <v>112</v>
      </c>
      <c r="P79" s="95"/>
      <c r="Q79" s="95"/>
      <c r="R79" s="98">
        <f>K79</f>
        <v>0.85</v>
      </c>
      <c r="S79" s="95"/>
      <c r="T79" s="95"/>
      <c r="U79" s="95"/>
    </row>
    <row r="80" spans="1:21" s="99" customFormat="1" ht="30" x14ac:dyDescent="0.25">
      <c r="A80" s="95" t="s">
        <v>82</v>
      </c>
      <c r="B80" s="95" t="s">
        <v>106</v>
      </c>
      <c r="C80" s="95">
        <v>235</v>
      </c>
      <c r="D80" s="95" t="s">
        <v>181</v>
      </c>
      <c r="E80" s="95" t="s">
        <v>139</v>
      </c>
      <c r="F80" s="95" t="s">
        <v>140</v>
      </c>
      <c r="G80" s="95">
        <v>95060</v>
      </c>
      <c r="H80" s="95" t="s">
        <v>82</v>
      </c>
      <c r="I80" s="95"/>
      <c r="J80" s="96">
        <v>5000</v>
      </c>
      <c r="K80" s="97">
        <v>750</v>
      </c>
      <c r="L80" s="95"/>
      <c r="M80" s="95" t="s">
        <v>58</v>
      </c>
      <c r="N80" s="95" t="s">
        <v>59</v>
      </c>
      <c r="O80" s="95" t="s">
        <v>60</v>
      </c>
      <c r="P80" s="95" t="s">
        <v>107</v>
      </c>
      <c r="Q80" s="95"/>
      <c r="R80" s="98">
        <f>K80/J80</f>
        <v>0.15</v>
      </c>
      <c r="S80" s="95"/>
      <c r="T80" s="95"/>
      <c r="U80" s="95"/>
    </row>
    <row r="81" spans="1:21" s="99" customFormat="1" ht="60" x14ac:dyDescent="0.25">
      <c r="A81" s="95" t="s">
        <v>82</v>
      </c>
      <c r="B81" s="95" t="s">
        <v>106</v>
      </c>
      <c r="C81" s="95">
        <v>298</v>
      </c>
      <c r="D81" s="95" t="s">
        <v>179</v>
      </c>
      <c r="E81" s="95" t="s">
        <v>139</v>
      </c>
      <c r="F81" s="95" t="s">
        <v>140</v>
      </c>
      <c r="G81" s="95">
        <v>95060</v>
      </c>
      <c r="H81" s="95" t="s">
        <v>69</v>
      </c>
      <c r="I81" s="95"/>
      <c r="J81" s="96">
        <v>10700</v>
      </c>
      <c r="K81" s="97">
        <v>1</v>
      </c>
      <c r="L81" s="98" t="s">
        <v>5</v>
      </c>
      <c r="M81" s="95" t="s">
        <v>99</v>
      </c>
      <c r="N81" s="95" t="s">
        <v>93</v>
      </c>
      <c r="O81" s="95" t="s">
        <v>9</v>
      </c>
      <c r="P81" s="95" t="s">
        <v>108</v>
      </c>
      <c r="Q81" s="95"/>
      <c r="R81" s="98">
        <f>K81</f>
        <v>1</v>
      </c>
      <c r="S81" s="95"/>
      <c r="T81" s="95"/>
      <c r="U81" s="95"/>
    </row>
    <row r="82" spans="1:21" s="99" customFormat="1" ht="30" x14ac:dyDescent="0.25">
      <c r="A82" s="95" t="s">
        <v>82</v>
      </c>
      <c r="B82" s="95" t="s">
        <v>106</v>
      </c>
      <c r="C82" s="95">
        <v>350</v>
      </c>
      <c r="D82" s="95" t="s">
        <v>183</v>
      </c>
      <c r="E82" s="95" t="s">
        <v>139</v>
      </c>
      <c r="F82" s="95" t="s">
        <v>140</v>
      </c>
      <c r="G82" s="95">
        <v>95060</v>
      </c>
      <c r="H82" s="95" t="s">
        <v>24</v>
      </c>
      <c r="I82" s="95"/>
      <c r="J82" s="96">
        <v>650</v>
      </c>
      <c r="K82" s="97">
        <v>750</v>
      </c>
      <c r="L82" s="95"/>
      <c r="M82" s="95" t="s">
        <v>102</v>
      </c>
      <c r="N82" s="95" t="s">
        <v>93</v>
      </c>
      <c r="O82" s="95" t="s">
        <v>9</v>
      </c>
      <c r="P82" s="95"/>
      <c r="Q82" s="95"/>
      <c r="R82" s="98">
        <f>K82/J82</f>
        <v>1.1538461538461537</v>
      </c>
      <c r="S82" s="95"/>
      <c r="T82" s="95"/>
      <c r="U82" s="95"/>
    </row>
    <row r="83" spans="1:21" s="99" customFormat="1" ht="135" x14ac:dyDescent="0.25">
      <c r="A83" s="95" t="s">
        <v>82</v>
      </c>
      <c r="B83" s="95" t="s">
        <v>106</v>
      </c>
      <c r="C83" s="95">
        <v>375</v>
      </c>
      <c r="D83" s="95" t="s">
        <v>183</v>
      </c>
      <c r="E83" s="95" t="s">
        <v>139</v>
      </c>
      <c r="F83" s="95" t="s">
        <v>140</v>
      </c>
      <c r="G83" s="95">
        <v>95060</v>
      </c>
      <c r="H83" s="95" t="s">
        <v>69</v>
      </c>
      <c r="I83" s="95"/>
      <c r="J83" s="96">
        <v>1112</v>
      </c>
      <c r="K83" s="97">
        <v>1.03</v>
      </c>
      <c r="L83" s="95" t="s">
        <v>5</v>
      </c>
      <c r="M83" s="95" t="s">
        <v>333</v>
      </c>
      <c r="N83" s="95" t="s">
        <v>375</v>
      </c>
      <c r="O83" s="95" t="s">
        <v>374</v>
      </c>
      <c r="P83" s="95" t="s">
        <v>370</v>
      </c>
      <c r="Q83" s="95"/>
      <c r="R83" s="98">
        <v>1.03</v>
      </c>
      <c r="S83" s="95"/>
      <c r="T83" s="95"/>
      <c r="U83" s="95"/>
    </row>
    <row r="84" spans="1:21" s="99" customFormat="1" ht="45" x14ac:dyDescent="0.25">
      <c r="A84" s="95" t="s">
        <v>82</v>
      </c>
      <c r="B84" s="95" t="s">
        <v>106</v>
      </c>
      <c r="C84" s="95">
        <v>379</v>
      </c>
      <c r="D84" s="95" t="s">
        <v>183</v>
      </c>
      <c r="E84" s="95" t="s">
        <v>139</v>
      </c>
      <c r="F84" s="95" t="s">
        <v>140</v>
      </c>
      <c r="G84" s="95">
        <v>95060</v>
      </c>
      <c r="H84" s="95" t="s">
        <v>24</v>
      </c>
      <c r="I84" s="95" t="s">
        <v>41</v>
      </c>
      <c r="J84" s="96">
        <v>775</v>
      </c>
      <c r="K84" s="97">
        <v>0.85</v>
      </c>
      <c r="L84" s="95" t="s">
        <v>5</v>
      </c>
      <c r="M84" s="95" t="s">
        <v>333</v>
      </c>
      <c r="N84" s="95" t="s">
        <v>375</v>
      </c>
      <c r="O84" s="95" t="s">
        <v>374</v>
      </c>
      <c r="P84" s="95"/>
      <c r="Q84" s="95"/>
      <c r="R84" s="98">
        <v>0.85</v>
      </c>
      <c r="S84" s="95"/>
      <c r="T84" s="98"/>
      <c r="U84" s="95"/>
    </row>
    <row r="85" spans="1:21" s="99" customFormat="1" ht="150" x14ac:dyDescent="0.25">
      <c r="A85" s="95" t="s">
        <v>82</v>
      </c>
      <c r="B85" s="95" t="s">
        <v>106</v>
      </c>
      <c r="C85" s="95">
        <v>397</v>
      </c>
      <c r="D85" s="95" t="s">
        <v>183</v>
      </c>
      <c r="E85" s="95" t="s">
        <v>139</v>
      </c>
      <c r="F85" s="95" t="s">
        <v>140</v>
      </c>
      <c r="G85" s="95">
        <v>95060</v>
      </c>
      <c r="H85" s="95" t="s">
        <v>24</v>
      </c>
      <c r="I85" s="95" t="s">
        <v>41</v>
      </c>
      <c r="J85" s="96">
        <v>775</v>
      </c>
      <c r="K85" s="97">
        <v>0.85</v>
      </c>
      <c r="L85" s="95" t="s">
        <v>5</v>
      </c>
      <c r="M85" s="95" t="s">
        <v>333</v>
      </c>
      <c r="N85" s="95" t="s">
        <v>375</v>
      </c>
      <c r="O85" s="95" t="s">
        <v>374</v>
      </c>
      <c r="P85" s="95" t="s">
        <v>372</v>
      </c>
      <c r="Q85" s="95"/>
      <c r="R85" s="98">
        <v>0.85</v>
      </c>
      <c r="S85" s="95"/>
      <c r="T85" s="98"/>
      <c r="U85" s="95"/>
    </row>
    <row r="86" spans="1:21" s="99" customFormat="1" ht="45" x14ac:dyDescent="0.25">
      <c r="A86" s="95" t="s">
        <v>82</v>
      </c>
      <c r="B86" s="95" t="s">
        <v>106</v>
      </c>
      <c r="C86" s="95">
        <v>397</v>
      </c>
      <c r="D86" s="95" t="s">
        <v>183</v>
      </c>
      <c r="E86" s="95" t="s">
        <v>139</v>
      </c>
      <c r="F86" s="95" t="s">
        <v>140</v>
      </c>
      <c r="G86" s="95">
        <v>95060</v>
      </c>
      <c r="H86" s="95" t="s">
        <v>69</v>
      </c>
      <c r="I86" s="95" t="s">
        <v>50</v>
      </c>
      <c r="J86" s="96">
        <v>775</v>
      </c>
      <c r="K86" s="97" t="s">
        <v>371</v>
      </c>
      <c r="L86" s="95" t="s">
        <v>5</v>
      </c>
      <c r="M86" s="95" t="s">
        <v>333</v>
      </c>
      <c r="N86" s="95" t="s">
        <v>375</v>
      </c>
      <c r="O86" s="95" t="s">
        <v>374</v>
      </c>
      <c r="P86" s="95" t="s">
        <v>373</v>
      </c>
      <c r="Q86" s="95"/>
      <c r="R86" s="98">
        <v>0</v>
      </c>
      <c r="S86" s="95"/>
      <c r="T86" s="98"/>
      <c r="U86" s="95"/>
    </row>
    <row r="87" spans="1:21" s="99" customFormat="1" ht="150" x14ac:dyDescent="0.25">
      <c r="A87" s="95" t="s">
        <v>82</v>
      </c>
      <c r="B87" s="95" t="s">
        <v>106</v>
      </c>
      <c r="C87" s="95">
        <v>399</v>
      </c>
      <c r="D87" s="95" t="s">
        <v>183</v>
      </c>
      <c r="E87" s="95" t="s">
        <v>139</v>
      </c>
      <c r="F87" s="95" t="s">
        <v>140</v>
      </c>
      <c r="G87" s="95">
        <v>95060</v>
      </c>
      <c r="H87" s="95" t="s">
        <v>24</v>
      </c>
      <c r="I87" s="95" t="s">
        <v>41</v>
      </c>
      <c r="J87" s="96">
        <v>1700</v>
      </c>
      <c r="K87" s="97">
        <v>0.85</v>
      </c>
      <c r="L87" s="95" t="s">
        <v>5</v>
      </c>
      <c r="M87" s="95" t="s">
        <v>333</v>
      </c>
      <c r="N87" s="95" t="s">
        <v>375</v>
      </c>
      <c r="O87" s="95" t="s">
        <v>374</v>
      </c>
      <c r="P87" s="95" t="s">
        <v>369</v>
      </c>
      <c r="Q87" s="95"/>
      <c r="R87" s="98">
        <v>0.85</v>
      </c>
      <c r="S87" s="95"/>
      <c r="T87" s="98"/>
      <c r="U87" s="95"/>
    </row>
    <row r="88" spans="1:21" s="99" customFormat="1" ht="60" x14ac:dyDescent="0.25">
      <c r="A88" s="95" t="s">
        <v>82</v>
      </c>
      <c r="B88" s="95" t="s">
        <v>115</v>
      </c>
      <c r="C88" s="95">
        <v>100</v>
      </c>
      <c r="D88" s="95" t="s">
        <v>184</v>
      </c>
      <c r="E88" s="95" t="s">
        <v>139</v>
      </c>
      <c r="F88" s="95" t="s">
        <v>140</v>
      </c>
      <c r="G88" s="95">
        <v>95062</v>
      </c>
      <c r="H88" s="95" t="s">
        <v>8</v>
      </c>
      <c r="I88" s="95" t="s">
        <v>70</v>
      </c>
      <c r="J88" s="96">
        <v>685</v>
      </c>
      <c r="K88" s="97">
        <v>1.6</v>
      </c>
      <c r="L88" s="95" t="s">
        <v>6</v>
      </c>
      <c r="M88" s="95" t="s">
        <v>383</v>
      </c>
      <c r="N88" s="95" t="s">
        <v>384</v>
      </c>
      <c r="O88" s="101" t="s">
        <v>385</v>
      </c>
      <c r="P88" s="95"/>
      <c r="Q88" s="95"/>
      <c r="R88" s="98">
        <f>K88</f>
        <v>1.6</v>
      </c>
      <c r="S88" s="95"/>
      <c r="T88" s="95"/>
      <c r="U88" s="95"/>
    </row>
    <row r="89" spans="1:21" s="99" customFormat="1" ht="90" x14ac:dyDescent="0.25">
      <c r="A89" s="95" t="s">
        <v>82</v>
      </c>
      <c r="B89" s="95" t="s">
        <v>115</v>
      </c>
      <c r="C89" s="95">
        <v>100</v>
      </c>
      <c r="D89" s="95" t="s">
        <v>184</v>
      </c>
      <c r="E89" s="95" t="s">
        <v>139</v>
      </c>
      <c r="F89" s="95" t="s">
        <v>140</v>
      </c>
      <c r="G89" s="95">
        <v>95062</v>
      </c>
      <c r="H89" s="95" t="s">
        <v>24</v>
      </c>
      <c r="I89" s="95" t="s">
        <v>42</v>
      </c>
      <c r="J89" s="96">
        <v>872</v>
      </c>
      <c r="K89" s="97">
        <v>1.6</v>
      </c>
      <c r="L89" s="95" t="s">
        <v>6</v>
      </c>
      <c r="M89" s="95" t="s">
        <v>26</v>
      </c>
      <c r="N89" s="95" t="s">
        <v>377</v>
      </c>
      <c r="O89" s="95" t="s">
        <v>376</v>
      </c>
      <c r="P89" s="95"/>
      <c r="Q89" s="95"/>
      <c r="R89" s="98">
        <f>K89</f>
        <v>1.6</v>
      </c>
      <c r="S89" s="95"/>
      <c r="T89" s="95"/>
      <c r="U89" s="95"/>
    </row>
    <row r="90" spans="1:21" s="99" customFormat="1" ht="60" x14ac:dyDescent="0.25">
      <c r="A90" s="95" t="s">
        <v>82</v>
      </c>
      <c r="B90" s="95" t="s">
        <v>115</v>
      </c>
      <c r="C90" s="95">
        <v>303</v>
      </c>
      <c r="D90" s="95" t="s">
        <v>170</v>
      </c>
      <c r="E90" s="95" t="s">
        <v>139</v>
      </c>
      <c r="F90" s="95" t="s">
        <v>140</v>
      </c>
      <c r="G90" s="95">
        <v>95060</v>
      </c>
      <c r="H90" s="95" t="s">
        <v>24</v>
      </c>
      <c r="I90" s="95">
        <v>130</v>
      </c>
      <c r="J90" s="96">
        <v>400</v>
      </c>
      <c r="K90" s="97">
        <v>680</v>
      </c>
      <c r="L90" s="95" t="s">
        <v>6</v>
      </c>
      <c r="M90" s="95" t="s">
        <v>44</v>
      </c>
      <c r="N90" s="95" t="s">
        <v>45</v>
      </c>
      <c r="O90" s="95" t="s">
        <v>121</v>
      </c>
      <c r="P90" s="95" t="s">
        <v>311</v>
      </c>
      <c r="Q90" s="95">
        <v>0.36</v>
      </c>
      <c r="R90" s="98">
        <f>K90/J90</f>
        <v>1.7</v>
      </c>
      <c r="S90" s="95"/>
      <c r="T90" s="95"/>
      <c r="U90" s="95"/>
    </row>
    <row r="91" spans="1:21" s="99" customFormat="1" ht="60" x14ac:dyDescent="0.25">
      <c r="A91" s="95" t="s">
        <v>82</v>
      </c>
      <c r="B91" s="95" t="s">
        <v>115</v>
      </c>
      <c r="C91" s="95">
        <v>305</v>
      </c>
      <c r="D91" s="95" t="s">
        <v>185</v>
      </c>
      <c r="E91" s="95" t="s">
        <v>139</v>
      </c>
      <c r="F91" s="95" t="s">
        <v>140</v>
      </c>
      <c r="G91" s="95">
        <v>95060</v>
      </c>
      <c r="H91" s="95" t="s">
        <v>24</v>
      </c>
      <c r="I91" s="95" t="s">
        <v>52</v>
      </c>
      <c r="J91" s="96">
        <v>670</v>
      </c>
      <c r="K91" s="97">
        <v>1100</v>
      </c>
      <c r="L91" s="95" t="s">
        <v>6</v>
      </c>
      <c r="M91" s="95" t="s">
        <v>35</v>
      </c>
      <c r="N91" s="95" t="s">
        <v>36</v>
      </c>
      <c r="O91" s="95" t="s">
        <v>37</v>
      </c>
      <c r="P91" s="95" t="s">
        <v>123</v>
      </c>
      <c r="Q91" s="95"/>
      <c r="R91" s="98">
        <f>K91/J91</f>
        <v>1.6417910447761195</v>
      </c>
      <c r="S91" s="95"/>
      <c r="T91" s="95"/>
      <c r="U91" s="95"/>
    </row>
    <row r="92" spans="1:21" s="99" customFormat="1" ht="60" x14ac:dyDescent="0.25">
      <c r="A92" s="95" t="s">
        <v>82</v>
      </c>
      <c r="B92" s="95" t="s">
        <v>115</v>
      </c>
      <c r="C92" s="95">
        <v>345</v>
      </c>
      <c r="D92" s="95" t="s">
        <v>185</v>
      </c>
      <c r="E92" s="95" t="s">
        <v>139</v>
      </c>
      <c r="F92" s="95" t="s">
        <v>140</v>
      </c>
      <c r="G92" s="95">
        <v>95062</v>
      </c>
      <c r="H92" s="95" t="s">
        <v>7</v>
      </c>
      <c r="I92" s="95"/>
      <c r="J92" s="96">
        <v>1050</v>
      </c>
      <c r="K92" s="97"/>
      <c r="L92" s="95"/>
      <c r="M92" s="95" t="s">
        <v>226</v>
      </c>
      <c r="N92" s="95" t="s">
        <v>227</v>
      </c>
      <c r="O92" s="95" t="s">
        <v>228</v>
      </c>
      <c r="P92" s="95"/>
      <c r="Q92" s="95"/>
      <c r="R92" s="98">
        <v>0</v>
      </c>
      <c r="S92" s="95"/>
      <c r="T92" s="95"/>
      <c r="U92" s="95"/>
    </row>
    <row r="93" spans="1:21" s="99" customFormat="1" ht="165" x14ac:dyDescent="0.25">
      <c r="A93" s="95" t="s">
        <v>82</v>
      </c>
      <c r="B93" s="95" t="s">
        <v>115</v>
      </c>
      <c r="C93" s="95">
        <v>730</v>
      </c>
      <c r="D93" s="95" t="s">
        <v>185</v>
      </c>
      <c r="E93" s="95" t="s">
        <v>139</v>
      </c>
      <c r="F93" s="95" t="s">
        <v>140</v>
      </c>
      <c r="G93" s="95">
        <v>95062</v>
      </c>
      <c r="H93" s="95" t="s">
        <v>2</v>
      </c>
      <c r="I93" s="95"/>
      <c r="J93" s="96">
        <v>4500</v>
      </c>
      <c r="K93" s="97">
        <v>1</v>
      </c>
      <c r="L93" s="95" t="s">
        <v>6</v>
      </c>
      <c r="M93" s="95" t="s">
        <v>380</v>
      </c>
      <c r="N93" s="95" t="s">
        <v>381</v>
      </c>
      <c r="O93" s="95" t="s">
        <v>126</v>
      </c>
      <c r="P93" s="95" t="s">
        <v>382</v>
      </c>
      <c r="Q93" s="95"/>
      <c r="R93" s="98">
        <v>1</v>
      </c>
      <c r="S93" s="95"/>
      <c r="T93" s="95"/>
      <c r="U93" s="95"/>
    </row>
    <row r="94" spans="1:21" s="99" customFormat="1" ht="60" x14ac:dyDescent="0.25">
      <c r="A94" s="95" t="s">
        <v>82</v>
      </c>
      <c r="B94" s="95" t="s">
        <v>115</v>
      </c>
      <c r="C94" s="95">
        <v>347</v>
      </c>
      <c r="D94" s="95" t="s">
        <v>217</v>
      </c>
      <c r="E94" s="95" t="s">
        <v>139</v>
      </c>
      <c r="F94" s="95" t="s">
        <v>140</v>
      </c>
      <c r="G94" s="95">
        <v>95062</v>
      </c>
      <c r="H94" s="95" t="s">
        <v>24</v>
      </c>
      <c r="I94" s="95"/>
      <c r="J94" s="96">
        <v>1000</v>
      </c>
      <c r="K94" s="97">
        <v>1500</v>
      </c>
      <c r="L94" s="95" t="s">
        <v>6</v>
      </c>
      <c r="M94" s="95" t="s">
        <v>218</v>
      </c>
      <c r="N94" s="95" t="s">
        <v>93</v>
      </c>
      <c r="O94" s="95" t="s">
        <v>9</v>
      </c>
      <c r="P94" s="95"/>
      <c r="Q94" s="95"/>
      <c r="R94" s="98">
        <f>K94/J94</f>
        <v>1.5</v>
      </c>
      <c r="S94" s="95"/>
      <c r="T94" s="95"/>
      <c r="U94" s="95"/>
    </row>
    <row r="95" spans="1:21" s="99" customFormat="1" ht="60" x14ac:dyDescent="0.25">
      <c r="A95" s="95" t="s">
        <v>82</v>
      </c>
      <c r="B95" s="95" t="s">
        <v>115</v>
      </c>
      <c r="C95" s="95">
        <v>420</v>
      </c>
      <c r="D95" s="95" t="s">
        <v>170</v>
      </c>
      <c r="E95" s="95" t="s">
        <v>139</v>
      </c>
      <c r="F95" s="95" t="s">
        <v>140</v>
      </c>
      <c r="G95" s="95">
        <v>95060</v>
      </c>
      <c r="H95" s="95" t="s">
        <v>7</v>
      </c>
      <c r="I95" s="95"/>
      <c r="J95" s="96">
        <v>1150</v>
      </c>
      <c r="K95" s="97">
        <v>1</v>
      </c>
      <c r="L95" s="95" t="s">
        <v>6</v>
      </c>
      <c r="M95" s="95" t="s">
        <v>128</v>
      </c>
      <c r="N95" s="95" t="s">
        <v>129</v>
      </c>
      <c r="O95" s="95" t="s">
        <v>130</v>
      </c>
      <c r="P95" s="95" t="s">
        <v>148</v>
      </c>
      <c r="Q95" s="95"/>
      <c r="R95" s="98">
        <f>K95</f>
        <v>1</v>
      </c>
      <c r="S95" s="95"/>
      <c r="T95" s="95"/>
      <c r="U95" s="95"/>
    </row>
    <row r="96" spans="1:21" s="99" customFormat="1" ht="90" x14ac:dyDescent="0.25">
      <c r="A96" s="95" t="s">
        <v>82</v>
      </c>
      <c r="B96" s="95" t="s">
        <v>115</v>
      </c>
      <c r="C96" s="95">
        <v>500</v>
      </c>
      <c r="D96" s="95" t="s">
        <v>186</v>
      </c>
      <c r="E96" s="95" t="s">
        <v>139</v>
      </c>
      <c r="F96" s="95" t="s">
        <v>140</v>
      </c>
      <c r="G96" s="95">
        <v>95062</v>
      </c>
      <c r="H96" s="95" t="s">
        <v>24</v>
      </c>
      <c r="I96" s="95">
        <v>105</v>
      </c>
      <c r="J96" s="96">
        <v>2497</v>
      </c>
      <c r="K96" s="97">
        <v>1.5</v>
      </c>
      <c r="L96" s="95" t="s">
        <v>88</v>
      </c>
      <c r="M96" s="95" t="s">
        <v>26</v>
      </c>
      <c r="N96" s="95" t="s">
        <v>377</v>
      </c>
      <c r="O96" s="95" t="s">
        <v>376</v>
      </c>
      <c r="P96" s="95" t="s">
        <v>122</v>
      </c>
      <c r="Q96" s="95"/>
      <c r="R96" s="98">
        <f>K96</f>
        <v>1.5</v>
      </c>
      <c r="S96" s="95"/>
      <c r="T96" s="95"/>
      <c r="U96" s="95"/>
    </row>
    <row r="97" spans="1:21" s="99" customFormat="1" ht="60" x14ac:dyDescent="0.25">
      <c r="A97" s="95" t="s">
        <v>82</v>
      </c>
      <c r="B97" s="95" t="s">
        <v>115</v>
      </c>
      <c r="C97" s="95">
        <v>525</v>
      </c>
      <c r="D97" s="95" t="s">
        <v>170</v>
      </c>
      <c r="E97" s="95" t="s">
        <v>139</v>
      </c>
      <c r="F97" s="95" t="s">
        <v>140</v>
      </c>
      <c r="G97" s="95">
        <v>95060</v>
      </c>
      <c r="H97" s="95" t="s">
        <v>117</v>
      </c>
      <c r="I97" s="95"/>
      <c r="J97" s="96">
        <v>3000</v>
      </c>
      <c r="K97" s="97">
        <v>1.25</v>
      </c>
      <c r="L97" s="95" t="s">
        <v>6</v>
      </c>
      <c r="M97" s="95" t="s">
        <v>95</v>
      </c>
      <c r="N97" s="107" t="s">
        <v>243</v>
      </c>
      <c r="O97" s="95" t="s">
        <v>94</v>
      </c>
      <c r="P97" s="95"/>
      <c r="Q97" s="95"/>
      <c r="R97" s="98">
        <f>K97</f>
        <v>1.25</v>
      </c>
      <c r="S97" s="95"/>
      <c r="T97" s="95"/>
      <c r="U97" s="95"/>
    </row>
    <row r="98" spans="1:21" s="99" customFormat="1" ht="60" x14ac:dyDescent="0.25">
      <c r="A98" s="95" t="s">
        <v>82</v>
      </c>
      <c r="B98" s="95" t="s">
        <v>115</v>
      </c>
      <c r="C98" s="95">
        <v>550</v>
      </c>
      <c r="D98" s="95" t="s">
        <v>170</v>
      </c>
      <c r="E98" s="95" t="s">
        <v>139</v>
      </c>
      <c r="F98" s="95" t="s">
        <v>140</v>
      </c>
      <c r="G98" s="95">
        <v>95060</v>
      </c>
      <c r="H98" s="95" t="s">
        <v>116</v>
      </c>
      <c r="I98" s="95" t="s">
        <v>118</v>
      </c>
      <c r="J98" s="96">
        <v>890</v>
      </c>
      <c r="K98" s="97">
        <v>820</v>
      </c>
      <c r="L98" s="95" t="s">
        <v>6</v>
      </c>
      <c r="M98" s="95" t="s">
        <v>44</v>
      </c>
      <c r="N98" s="95" t="s">
        <v>45</v>
      </c>
      <c r="O98" s="95" t="s">
        <v>121</v>
      </c>
      <c r="P98" s="95"/>
      <c r="Q98" s="95"/>
      <c r="R98" s="98">
        <f>K98/J98</f>
        <v>0.9213483146067416</v>
      </c>
      <c r="S98" s="95"/>
      <c r="T98" s="95"/>
      <c r="U98" s="95"/>
    </row>
    <row r="99" spans="1:21" s="99" customFormat="1" ht="90" x14ac:dyDescent="0.25">
      <c r="A99" s="95" t="s">
        <v>82</v>
      </c>
      <c r="B99" s="95" t="s">
        <v>115</v>
      </c>
      <c r="C99" s="95">
        <v>550</v>
      </c>
      <c r="D99" s="95" t="s">
        <v>170</v>
      </c>
      <c r="E99" s="95" t="s">
        <v>139</v>
      </c>
      <c r="F99" s="95" t="s">
        <v>140</v>
      </c>
      <c r="G99" s="95">
        <v>95060</v>
      </c>
      <c r="H99" s="95" t="s">
        <v>119</v>
      </c>
      <c r="I99" s="95" t="s">
        <v>120</v>
      </c>
      <c r="J99" s="96">
        <v>1756</v>
      </c>
      <c r="K99" s="97"/>
      <c r="L99" s="95"/>
      <c r="M99" s="95" t="s">
        <v>131</v>
      </c>
      <c r="N99" s="95" t="s">
        <v>93</v>
      </c>
      <c r="O99" s="95" t="s">
        <v>9</v>
      </c>
      <c r="P99" s="95" t="s">
        <v>386</v>
      </c>
      <c r="Q99" s="95"/>
      <c r="R99" s="98">
        <v>0</v>
      </c>
      <c r="S99" s="95"/>
      <c r="T99" s="95"/>
      <c r="U99" s="95"/>
    </row>
    <row r="100" spans="1:21" s="99" customFormat="1" ht="60" x14ac:dyDescent="0.25">
      <c r="A100" s="95" t="s">
        <v>82</v>
      </c>
      <c r="B100" s="95" t="s">
        <v>115</v>
      </c>
      <c r="C100" s="95">
        <v>1414</v>
      </c>
      <c r="D100" s="95" t="s">
        <v>185</v>
      </c>
      <c r="E100" s="95" t="s">
        <v>139</v>
      </c>
      <c r="F100" s="95" t="s">
        <v>140</v>
      </c>
      <c r="G100" s="95">
        <v>95062</v>
      </c>
      <c r="H100" s="95" t="s">
        <v>24</v>
      </c>
      <c r="I100" s="95">
        <v>105</v>
      </c>
      <c r="J100" s="96">
        <v>1586</v>
      </c>
      <c r="K100" s="97">
        <v>3200</v>
      </c>
      <c r="L100" s="95" t="s">
        <v>6</v>
      </c>
      <c r="M100" s="95" t="s">
        <v>124</v>
      </c>
      <c r="N100" s="95" t="s">
        <v>125</v>
      </c>
      <c r="O100" s="95" t="s">
        <v>232</v>
      </c>
      <c r="P100" s="95"/>
      <c r="Q100" s="95"/>
      <c r="R100" s="98">
        <f>K100/J100</f>
        <v>2.0176544766708702</v>
      </c>
      <c r="S100" s="95"/>
      <c r="T100" s="95"/>
      <c r="U100" s="95"/>
    </row>
    <row r="101" spans="1:21" s="99" customFormat="1" ht="60" x14ac:dyDescent="0.25">
      <c r="A101" s="95" t="s">
        <v>82</v>
      </c>
      <c r="B101" s="95" t="s">
        <v>115</v>
      </c>
      <c r="C101" s="95">
        <v>1414</v>
      </c>
      <c r="D101" s="95" t="s">
        <v>185</v>
      </c>
      <c r="E101" s="95" t="s">
        <v>139</v>
      </c>
      <c r="F101" s="95" t="s">
        <v>140</v>
      </c>
      <c r="G101" s="95">
        <v>95062</v>
      </c>
      <c r="H101" s="95" t="s">
        <v>24</v>
      </c>
      <c r="I101" s="95">
        <v>211</v>
      </c>
      <c r="J101" s="96">
        <v>1366</v>
      </c>
      <c r="K101" s="97">
        <v>2730</v>
      </c>
      <c r="L101" s="95" t="s">
        <v>6</v>
      </c>
      <c r="M101" s="95" t="s">
        <v>124</v>
      </c>
      <c r="N101" s="95" t="s">
        <v>125</v>
      </c>
      <c r="O101" s="95" t="s">
        <v>232</v>
      </c>
      <c r="P101" s="95"/>
      <c r="Q101" s="95"/>
      <c r="R101" s="98">
        <f>K101/J101</f>
        <v>1.9985358711566619</v>
      </c>
      <c r="S101" s="95"/>
      <c r="T101" s="95"/>
      <c r="U101" s="95"/>
    </row>
    <row r="102" spans="1:21" s="99" customFormat="1" ht="60" x14ac:dyDescent="0.25">
      <c r="A102" s="95" t="s">
        <v>82</v>
      </c>
      <c r="B102" s="95" t="s">
        <v>115</v>
      </c>
      <c r="C102" s="95">
        <v>1414</v>
      </c>
      <c r="D102" s="95" t="s">
        <v>185</v>
      </c>
      <c r="E102" s="95" t="s">
        <v>139</v>
      </c>
      <c r="F102" s="95" t="s">
        <v>140</v>
      </c>
      <c r="G102" s="95">
        <v>95062</v>
      </c>
      <c r="H102" s="95" t="s">
        <v>24</v>
      </c>
      <c r="I102" s="95">
        <v>214</v>
      </c>
      <c r="J102" s="96">
        <v>422</v>
      </c>
      <c r="K102" s="97">
        <v>850</v>
      </c>
      <c r="L102" s="95" t="s">
        <v>6</v>
      </c>
      <c r="M102" s="95" t="s">
        <v>124</v>
      </c>
      <c r="N102" s="95" t="s">
        <v>125</v>
      </c>
      <c r="O102" s="95" t="s">
        <v>232</v>
      </c>
      <c r="P102" s="95"/>
      <c r="Q102" s="95"/>
      <c r="R102" s="98">
        <f>K102/J102</f>
        <v>2.014218009478673</v>
      </c>
      <c r="S102" s="95"/>
      <c r="T102" s="95"/>
      <c r="U102" s="95"/>
    </row>
    <row r="103" spans="1:21" s="99" customFormat="1" ht="60" x14ac:dyDescent="0.25">
      <c r="A103" s="95" t="s">
        <v>82</v>
      </c>
      <c r="B103" s="95" t="s">
        <v>115</v>
      </c>
      <c r="C103" s="95">
        <v>1414</v>
      </c>
      <c r="D103" s="95" t="s">
        <v>185</v>
      </c>
      <c r="E103" s="95" t="s">
        <v>139</v>
      </c>
      <c r="F103" s="95" t="s">
        <v>140</v>
      </c>
      <c r="G103" s="95">
        <v>95062</v>
      </c>
      <c r="H103" s="95" t="s">
        <v>24</v>
      </c>
      <c r="I103" s="95">
        <v>216</v>
      </c>
      <c r="J103" s="96">
        <v>175</v>
      </c>
      <c r="K103" s="97">
        <v>512</v>
      </c>
      <c r="L103" s="95" t="s">
        <v>6</v>
      </c>
      <c r="M103" s="95" t="s">
        <v>124</v>
      </c>
      <c r="N103" s="95" t="s">
        <v>125</v>
      </c>
      <c r="O103" s="95" t="s">
        <v>232</v>
      </c>
      <c r="P103" s="95"/>
      <c r="Q103" s="95"/>
      <c r="R103" s="98">
        <f>K103/J103</f>
        <v>2.9257142857142857</v>
      </c>
      <c r="S103" s="95"/>
      <c r="T103" s="95"/>
      <c r="U103" s="95"/>
    </row>
    <row r="104" spans="1:21" s="99" customFormat="1" ht="60" x14ac:dyDescent="0.25">
      <c r="A104" s="95" t="s">
        <v>82</v>
      </c>
      <c r="B104" s="95" t="s">
        <v>115</v>
      </c>
      <c r="C104" s="95">
        <v>1729</v>
      </c>
      <c r="D104" s="95" t="s">
        <v>186</v>
      </c>
      <c r="E104" s="95" t="s">
        <v>139</v>
      </c>
      <c r="F104" s="95" t="s">
        <v>140</v>
      </c>
      <c r="G104" s="95">
        <v>95062</v>
      </c>
      <c r="H104" s="95" t="s">
        <v>24</v>
      </c>
      <c r="I104" s="95" t="s">
        <v>50</v>
      </c>
      <c r="J104" s="96">
        <v>1056</v>
      </c>
      <c r="K104" s="97">
        <v>1</v>
      </c>
      <c r="L104" s="95" t="s">
        <v>6</v>
      </c>
      <c r="M104" s="95" t="s">
        <v>44</v>
      </c>
      <c r="N104" s="95" t="s">
        <v>45</v>
      </c>
      <c r="O104" s="95" t="s">
        <v>121</v>
      </c>
      <c r="P104" s="95"/>
      <c r="Q104" s="95"/>
      <c r="R104" s="98">
        <f>K104</f>
        <v>1</v>
      </c>
      <c r="S104" s="95"/>
      <c r="T104" s="95"/>
      <c r="U104" s="95"/>
    </row>
    <row r="105" spans="1:21" s="99" customFormat="1" ht="30" x14ac:dyDescent="0.25">
      <c r="A105" s="95" t="s">
        <v>82</v>
      </c>
      <c r="B105" s="95" t="s">
        <v>83</v>
      </c>
      <c r="C105" s="95">
        <v>125</v>
      </c>
      <c r="D105" s="95" t="s">
        <v>188</v>
      </c>
      <c r="E105" s="95" t="s">
        <v>139</v>
      </c>
      <c r="F105" s="95" t="s">
        <v>140</v>
      </c>
      <c r="G105" s="95">
        <v>95060</v>
      </c>
      <c r="H105" s="95" t="s">
        <v>82</v>
      </c>
      <c r="I105" s="95"/>
      <c r="J105" s="96">
        <v>10500</v>
      </c>
      <c r="K105" s="97">
        <v>1.25</v>
      </c>
      <c r="L105" s="95" t="s">
        <v>5</v>
      </c>
      <c r="M105" s="95" t="s">
        <v>95</v>
      </c>
      <c r="N105" s="107" t="s">
        <v>243</v>
      </c>
      <c r="O105" s="95" t="s">
        <v>94</v>
      </c>
      <c r="P105" s="95"/>
      <c r="Q105" s="95"/>
      <c r="R105" s="98">
        <f>K105</f>
        <v>1.25</v>
      </c>
      <c r="S105" s="95"/>
      <c r="T105" s="95"/>
      <c r="U105" s="95"/>
    </row>
    <row r="106" spans="1:21" s="99" customFormat="1" ht="225" x14ac:dyDescent="0.25">
      <c r="A106" s="95" t="s">
        <v>82</v>
      </c>
      <c r="B106" s="95" t="s">
        <v>83</v>
      </c>
      <c r="C106" s="95">
        <v>207</v>
      </c>
      <c r="D106" s="95" t="s">
        <v>188</v>
      </c>
      <c r="E106" s="95" t="s">
        <v>139</v>
      </c>
      <c r="F106" s="95" t="s">
        <v>140</v>
      </c>
      <c r="G106" s="95">
        <v>95060</v>
      </c>
      <c r="H106" s="95" t="s">
        <v>24</v>
      </c>
      <c r="I106" s="95" t="s">
        <v>70</v>
      </c>
      <c r="J106" s="96">
        <v>3273</v>
      </c>
      <c r="K106" s="97">
        <v>1.1000000000000001</v>
      </c>
      <c r="L106" s="95" t="s">
        <v>5</v>
      </c>
      <c r="M106" s="95" t="s">
        <v>99</v>
      </c>
      <c r="N106" s="95" t="s">
        <v>356</v>
      </c>
      <c r="O106" s="95" t="s">
        <v>9</v>
      </c>
      <c r="P106" s="95" t="s">
        <v>360</v>
      </c>
      <c r="Q106" s="95"/>
      <c r="R106" s="98">
        <f>K106</f>
        <v>1.1000000000000001</v>
      </c>
      <c r="S106" s="95"/>
      <c r="T106" s="95"/>
      <c r="U106" s="95"/>
    </row>
    <row r="107" spans="1:21" s="99" customFormat="1" ht="225" x14ac:dyDescent="0.25">
      <c r="A107" s="95" t="s">
        <v>82</v>
      </c>
      <c r="B107" s="95" t="s">
        <v>83</v>
      </c>
      <c r="C107" s="95">
        <v>207</v>
      </c>
      <c r="D107" s="95" t="s">
        <v>188</v>
      </c>
      <c r="E107" s="95" t="s">
        <v>139</v>
      </c>
      <c r="F107" s="95" t="s">
        <v>140</v>
      </c>
      <c r="G107" s="95">
        <v>95060</v>
      </c>
      <c r="H107" s="95" t="s">
        <v>24</v>
      </c>
      <c r="I107" s="95" t="s">
        <v>359</v>
      </c>
      <c r="J107" s="96">
        <v>1976</v>
      </c>
      <c r="K107" s="97">
        <v>1.1499999999999999</v>
      </c>
      <c r="L107" s="95" t="s">
        <v>5</v>
      </c>
      <c r="M107" s="95" t="s">
        <v>99</v>
      </c>
      <c r="N107" s="95" t="s">
        <v>356</v>
      </c>
      <c r="O107" s="95" t="s">
        <v>9</v>
      </c>
      <c r="P107" s="95" t="s">
        <v>360</v>
      </c>
      <c r="Q107" s="95"/>
      <c r="R107" s="98">
        <v>1.1499999999999999</v>
      </c>
      <c r="S107" s="95"/>
      <c r="T107" s="95"/>
      <c r="U107" s="95"/>
    </row>
    <row r="108" spans="1:21" s="99" customFormat="1" ht="60" x14ac:dyDescent="0.25">
      <c r="A108" s="95" t="s">
        <v>82</v>
      </c>
      <c r="B108" s="95" t="s">
        <v>83</v>
      </c>
      <c r="C108" s="95">
        <v>328</v>
      </c>
      <c r="D108" s="95" t="s">
        <v>198</v>
      </c>
      <c r="E108" s="95" t="s">
        <v>139</v>
      </c>
      <c r="F108" s="95" t="s">
        <v>140</v>
      </c>
      <c r="G108" s="95">
        <v>95060</v>
      </c>
      <c r="H108" s="95" t="s">
        <v>82</v>
      </c>
      <c r="I108" s="95"/>
      <c r="J108" s="96">
        <v>9000</v>
      </c>
      <c r="K108" s="97">
        <v>0.75</v>
      </c>
      <c r="L108" s="95" t="s">
        <v>5</v>
      </c>
      <c r="M108" s="95" t="s">
        <v>97</v>
      </c>
      <c r="N108" s="95" t="s">
        <v>98</v>
      </c>
      <c r="O108" s="95" t="s">
        <v>96</v>
      </c>
      <c r="P108" s="95"/>
      <c r="Q108" s="95"/>
      <c r="R108" s="98">
        <v>0.75</v>
      </c>
      <c r="S108" s="95"/>
      <c r="T108" s="95"/>
      <c r="U108" s="95"/>
    </row>
    <row r="109" spans="1:21" s="99" customFormat="1" ht="60" x14ac:dyDescent="0.25">
      <c r="A109" s="95" t="s">
        <v>82</v>
      </c>
      <c r="B109" s="95" t="s">
        <v>83</v>
      </c>
      <c r="C109" s="95">
        <v>406</v>
      </c>
      <c r="D109" s="95" t="s">
        <v>169</v>
      </c>
      <c r="E109" s="95" t="s">
        <v>139</v>
      </c>
      <c r="F109" s="95" t="s">
        <v>140</v>
      </c>
      <c r="G109" s="95">
        <v>95060</v>
      </c>
      <c r="H109" s="95" t="s">
        <v>24</v>
      </c>
      <c r="I109" s="95"/>
      <c r="J109" s="96">
        <v>1100</v>
      </c>
      <c r="K109" s="97" t="s">
        <v>371</v>
      </c>
      <c r="L109" s="95"/>
      <c r="M109" s="95" t="s">
        <v>61</v>
      </c>
      <c r="N109" s="95" t="s">
        <v>134</v>
      </c>
      <c r="O109" s="95" t="s">
        <v>133</v>
      </c>
      <c r="P109" s="95" t="s">
        <v>314</v>
      </c>
      <c r="Q109" s="95"/>
      <c r="R109" s="98">
        <v>0</v>
      </c>
      <c r="S109" s="95"/>
      <c r="T109" s="95"/>
      <c r="U109" s="95"/>
    </row>
    <row r="110" spans="1:21" s="99" customFormat="1" ht="60" x14ac:dyDescent="0.25">
      <c r="A110" s="95" t="s">
        <v>82</v>
      </c>
      <c r="B110" s="95" t="s">
        <v>83</v>
      </c>
      <c r="C110" s="95">
        <v>511</v>
      </c>
      <c r="D110" s="95" t="s">
        <v>190</v>
      </c>
      <c r="E110" s="95" t="s">
        <v>139</v>
      </c>
      <c r="F110" s="95" t="s">
        <v>140</v>
      </c>
      <c r="G110" s="95">
        <v>95060</v>
      </c>
      <c r="H110" s="95" t="s">
        <v>51</v>
      </c>
      <c r="I110" s="95"/>
      <c r="J110" s="96">
        <v>1425</v>
      </c>
      <c r="K110" s="97">
        <v>1800</v>
      </c>
      <c r="L110" s="95" t="s">
        <v>5</v>
      </c>
      <c r="M110" s="95" t="s">
        <v>103</v>
      </c>
      <c r="N110" s="95" t="s">
        <v>104</v>
      </c>
      <c r="O110" s="100" t="s">
        <v>105</v>
      </c>
      <c r="P110" s="95" t="s">
        <v>91</v>
      </c>
      <c r="Q110" s="95"/>
      <c r="R110" s="98">
        <f>K110/J110</f>
        <v>1.263157894736842</v>
      </c>
      <c r="S110" s="95"/>
      <c r="T110" s="95"/>
      <c r="U110" s="95"/>
    </row>
    <row r="111" spans="1:21" s="99" customFormat="1" ht="165" x14ac:dyDescent="0.25">
      <c r="A111" s="95" t="s">
        <v>82</v>
      </c>
      <c r="B111" s="95" t="s">
        <v>83</v>
      </c>
      <c r="C111" s="95">
        <v>820</v>
      </c>
      <c r="D111" s="95" t="s">
        <v>190</v>
      </c>
      <c r="E111" s="95" t="s">
        <v>139</v>
      </c>
      <c r="F111" s="95" t="s">
        <v>140</v>
      </c>
      <c r="G111" s="95">
        <v>95060</v>
      </c>
      <c r="H111" s="95" t="s">
        <v>82</v>
      </c>
      <c r="I111" s="95"/>
      <c r="J111" s="96">
        <v>4000</v>
      </c>
      <c r="K111" s="97">
        <v>0.9</v>
      </c>
      <c r="L111" s="95"/>
      <c r="M111" s="95" t="s">
        <v>378</v>
      </c>
      <c r="N111" s="95" t="s">
        <v>243</v>
      </c>
      <c r="O111" s="100" t="s">
        <v>94</v>
      </c>
      <c r="P111" s="95" t="s">
        <v>379</v>
      </c>
      <c r="Q111" s="95"/>
      <c r="R111" s="98">
        <v>0.9</v>
      </c>
      <c r="S111" s="95"/>
      <c r="T111" s="95"/>
      <c r="U111" s="95"/>
    </row>
    <row r="112" spans="1:21" s="99" customFormat="1" ht="30" x14ac:dyDescent="0.25">
      <c r="A112" s="95" t="s">
        <v>82</v>
      </c>
      <c r="B112" s="95" t="s">
        <v>83</v>
      </c>
      <c r="C112" s="95">
        <v>701</v>
      </c>
      <c r="D112" s="95" t="s">
        <v>169</v>
      </c>
      <c r="E112" s="95" t="s">
        <v>139</v>
      </c>
      <c r="F112" s="95" t="s">
        <v>140</v>
      </c>
      <c r="G112" s="95">
        <v>95060</v>
      </c>
      <c r="H112" s="95" t="s">
        <v>24</v>
      </c>
      <c r="I112" s="95"/>
      <c r="J112" s="96">
        <v>2279</v>
      </c>
      <c r="K112" s="97">
        <v>2</v>
      </c>
      <c r="L112" s="95" t="s">
        <v>6</v>
      </c>
      <c r="M112" s="95" t="s">
        <v>99</v>
      </c>
      <c r="N112" s="95" t="s">
        <v>93</v>
      </c>
      <c r="O112" s="95" t="s">
        <v>9</v>
      </c>
      <c r="P112" s="95"/>
      <c r="Q112" s="95"/>
      <c r="R112" s="98">
        <v>2</v>
      </c>
      <c r="S112" s="95"/>
      <c r="T112" s="95"/>
      <c r="U112" s="95"/>
    </row>
    <row r="113" spans="1:21" s="99" customFormat="1" ht="45" x14ac:dyDescent="0.25">
      <c r="A113" s="95" t="s">
        <v>82</v>
      </c>
      <c r="B113" s="95" t="s">
        <v>83</v>
      </c>
      <c r="C113" s="95">
        <v>730</v>
      </c>
      <c r="D113" s="95" t="s">
        <v>169</v>
      </c>
      <c r="E113" s="95" t="s">
        <v>139</v>
      </c>
      <c r="F113" s="95" t="s">
        <v>140</v>
      </c>
      <c r="G113" s="95">
        <v>95060</v>
      </c>
      <c r="H113" s="95" t="s">
        <v>24</v>
      </c>
      <c r="I113" s="95"/>
      <c r="J113" s="96">
        <v>2400</v>
      </c>
      <c r="K113" s="97">
        <v>1.25</v>
      </c>
      <c r="L113" s="95" t="s">
        <v>5</v>
      </c>
      <c r="M113" s="95" t="s">
        <v>95</v>
      </c>
      <c r="N113" s="107" t="s">
        <v>243</v>
      </c>
      <c r="O113" s="95" t="s">
        <v>94</v>
      </c>
      <c r="P113" s="95" t="s">
        <v>163</v>
      </c>
      <c r="Q113" s="95"/>
      <c r="R113" s="98">
        <f>K113</f>
        <v>1.25</v>
      </c>
      <c r="S113" s="95"/>
      <c r="T113" s="95"/>
      <c r="U113" s="95"/>
    </row>
    <row r="114" spans="1:21" s="99" customFormat="1" ht="75" x14ac:dyDescent="0.25">
      <c r="A114" s="95" t="s">
        <v>82</v>
      </c>
      <c r="B114" s="95" t="s">
        <v>83</v>
      </c>
      <c r="C114" s="95">
        <v>831</v>
      </c>
      <c r="D114" s="95" t="s">
        <v>193</v>
      </c>
      <c r="E114" s="95" t="s">
        <v>139</v>
      </c>
      <c r="F114" s="95" t="s">
        <v>140</v>
      </c>
      <c r="G114" s="95">
        <v>95060</v>
      </c>
      <c r="H114" s="95" t="s">
        <v>84</v>
      </c>
      <c r="I114" s="95"/>
      <c r="J114" s="96">
        <v>44825</v>
      </c>
      <c r="K114" s="97">
        <v>1</v>
      </c>
      <c r="L114" s="95" t="s">
        <v>5</v>
      </c>
      <c r="M114" s="95" t="s">
        <v>25</v>
      </c>
      <c r="N114" s="95" t="s">
        <v>113</v>
      </c>
      <c r="O114" s="95" t="s">
        <v>17</v>
      </c>
      <c r="P114" s="98" t="s">
        <v>86</v>
      </c>
      <c r="Q114" s="95"/>
      <c r="R114" s="98">
        <f>K114</f>
        <v>1</v>
      </c>
      <c r="S114" s="95"/>
      <c r="T114" s="95"/>
      <c r="U114" s="95"/>
    </row>
    <row r="115" spans="1:21" s="99" customFormat="1" ht="75" x14ac:dyDescent="0.25">
      <c r="A115" s="95" t="s">
        <v>82</v>
      </c>
      <c r="B115" s="95" t="s">
        <v>83</v>
      </c>
      <c r="C115" s="95">
        <v>849</v>
      </c>
      <c r="D115" s="95" t="s">
        <v>193</v>
      </c>
      <c r="E115" s="95" t="s">
        <v>139</v>
      </c>
      <c r="F115" s="95" t="s">
        <v>140</v>
      </c>
      <c r="G115" s="95">
        <v>95060</v>
      </c>
      <c r="H115" s="95" t="s">
        <v>2</v>
      </c>
      <c r="I115" s="95" t="s">
        <v>50</v>
      </c>
      <c r="J115" s="96">
        <v>1920</v>
      </c>
      <c r="K115" s="97"/>
      <c r="L115" s="95" t="s">
        <v>5</v>
      </c>
      <c r="M115" s="95" t="s">
        <v>92</v>
      </c>
      <c r="N115" s="95" t="s">
        <v>93</v>
      </c>
      <c r="O115" s="95" t="s">
        <v>9</v>
      </c>
      <c r="P115" s="95" t="s">
        <v>195</v>
      </c>
      <c r="Q115" s="95"/>
      <c r="R115" s="98">
        <f>K115</f>
        <v>0</v>
      </c>
      <c r="S115" s="95"/>
      <c r="T115" s="95"/>
      <c r="U115" s="95"/>
    </row>
    <row r="116" spans="1:21" s="99" customFormat="1" ht="105" x14ac:dyDescent="0.25">
      <c r="A116" s="95" t="s">
        <v>82</v>
      </c>
      <c r="B116" s="95" t="s">
        <v>83</v>
      </c>
      <c r="C116" s="95">
        <v>1010</v>
      </c>
      <c r="D116" s="95" t="s">
        <v>187</v>
      </c>
      <c r="E116" s="95" t="s">
        <v>139</v>
      </c>
      <c r="F116" s="95" t="s">
        <v>140</v>
      </c>
      <c r="G116" s="95">
        <v>95060</v>
      </c>
      <c r="H116" s="95" t="s">
        <v>24</v>
      </c>
      <c r="I116" s="95" t="s">
        <v>42</v>
      </c>
      <c r="J116" s="96">
        <v>983</v>
      </c>
      <c r="K116" s="97">
        <v>1.39</v>
      </c>
      <c r="L116" s="95" t="s">
        <v>5</v>
      </c>
      <c r="M116" s="95" t="s">
        <v>0</v>
      </c>
      <c r="N116" s="95" t="s">
        <v>1</v>
      </c>
      <c r="O116" s="95" t="s">
        <v>46</v>
      </c>
      <c r="P116" s="95" t="s">
        <v>233</v>
      </c>
      <c r="Q116" s="95">
        <v>0.3</v>
      </c>
      <c r="R116" s="98">
        <v>1.39</v>
      </c>
      <c r="S116" s="95"/>
      <c r="T116" s="95"/>
      <c r="U116" s="95"/>
    </row>
    <row r="117" spans="1:21" s="99" customFormat="1" ht="90" x14ac:dyDescent="0.25">
      <c r="A117" s="95" t="s">
        <v>82</v>
      </c>
      <c r="B117" s="95" t="s">
        <v>83</v>
      </c>
      <c r="C117" s="95">
        <v>1201</v>
      </c>
      <c r="D117" s="95" t="s">
        <v>192</v>
      </c>
      <c r="E117" s="95" t="s">
        <v>139</v>
      </c>
      <c r="F117" s="95" t="s">
        <v>140</v>
      </c>
      <c r="G117" s="95">
        <v>95060</v>
      </c>
      <c r="H117" s="95" t="s">
        <v>85</v>
      </c>
      <c r="I117" s="95"/>
      <c r="J117" s="96">
        <v>4099</v>
      </c>
      <c r="K117" s="97">
        <v>0.9</v>
      </c>
      <c r="L117" s="95" t="s">
        <v>88</v>
      </c>
      <c r="M117" s="95" t="s">
        <v>31</v>
      </c>
      <c r="N117" s="95" t="s">
        <v>32</v>
      </c>
      <c r="O117" s="95" t="s">
        <v>33</v>
      </c>
      <c r="P117" s="98" t="s">
        <v>90</v>
      </c>
      <c r="Q117" s="95"/>
      <c r="R117" s="98">
        <f>K117</f>
        <v>0.9</v>
      </c>
      <c r="S117" s="95"/>
      <c r="T117" s="95"/>
      <c r="U117" s="95"/>
    </row>
    <row r="118" spans="1:21" s="99" customFormat="1" ht="60" x14ac:dyDescent="0.25">
      <c r="A118" s="95" t="s">
        <v>82</v>
      </c>
      <c r="B118" s="95" t="s">
        <v>83</v>
      </c>
      <c r="C118" s="95">
        <v>1515</v>
      </c>
      <c r="D118" s="95" t="s">
        <v>169</v>
      </c>
      <c r="E118" s="95" t="s">
        <v>139</v>
      </c>
      <c r="F118" s="95" t="s">
        <v>140</v>
      </c>
      <c r="G118" s="95">
        <v>95060</v>
      </c>
      <c r="H118" s="95" t="s">
        <v>2</v>
      </c>
      <c r="I118" s="95"/>
      <c r="J118" s="96">
        <v>1845</v>
      </c>
      <c r="K118" s="97">
        <v>2800</v>
      </c>
      <c r="L118" s="95" t="s">
        <v>6</v>
      </c>
      <c r="M118" s="95" t="s">
        <v>77</v>
      </c>
      <c r="N118" s="95" t="s">
        <v>78</v>
      </c>
      <c r="O118" s="100" t="s">
        <v>79</v>
      </c>
      <c r="P118" s="95"/>
      <c r="Q118" s="95"/>
      <c r="R118" s="98">
        <f>K118/J118</f>
        <v>1.5176151761517616</v>
      </c>
      <c r="S118" s="95"/>
      <c r="T118" s="98"/>
      <c r="U118" s="95"/>
    </row>
    <row r="119" spans="1:21" s="99" customFormat="1" ht="45" x14ac:dyDescent="0.25">
      <c r="A119" s="95" t="s">
        <v>82</v>
      </c>
      <c r="B119" s="95" t="s">
        <v>83</v>
      </c>
      <c r="C119" s="95">
        <v>2117</v>
      </c>
      <c r="D119" s="95" t="s">
        <v>189</v>
      </c>
      <c r="E119" s="95" t="s">
        <v>139</v>
      </c>
      <c r="F119" s="95" t="s">
        <v>140</v>
      </c>
      <c r="G119" s="95">
        <v>95060</v>
      </c>
      <c r="H119" s="95" t="s">
        <v>8</v>
      </c>
      <c r="I119" s="95" t="s">
        <v>41</v>
      </c>
      <c r="J119" s="96">
        <v>3600</v>
      </c>
      <c r="K119" s="97">
        <v>0.9</v>
      </c>
      <c r="L119" s="95" t="s">
        <v>5</v>
      </c>
      <c r="M119" s="95" t="s">
        <v>95</v>
      </c>
      <c r="N119" s="107" t="s">
        <v>243</v>
      </c>
      <c r="O119" s="95" t="s">
        <v>94</v>
      </c>
      <c r="P119" s="95"/>
      <c r="Q119" s="95"/>
      <c r="R119" s="98">
        <f>K119</f>
        <v>0.9</v>
      </c>
      <c r="S119" s="95"/>
      <c r="T119" s="95"/>
      <c r="U119" s="95"/>
    </row>
    <row r="120" spans="1:21" s="99" customFormat="1" ht="120" x14ac:dyDescent="0.25">
      <c r="A120" s="95" t="s">
        <v>82</v>
      </c>
      <c r="B120" s="95" t="s">
        <v>83</v>
      </c>
      <c r="C120" s="95">
        <v>2117</v>
      </c>
      <c r="D120" s="95" t="s">
        <v>169</v>
      </c>
      <c r="E120" s="95" t="s">
        <v>139</v>
      </c>
      <c r="F120" s="95" t="s">
        <v>140</v>
      </c>
      <c r="G120" s="95">
        <v>95060</v>
      </c>
      <c r="H120" s="95" t="s">
        <v>7</v>
      </c>
      <c r="I120" s="95"/>
      <c r="J120" s="96">
        <v>1853</v>
      </c>
      <c r="K120" s="97">
        <v>3</v>
      </c>
      <c r="L120" s="95" t="s">
        <v>5</v>
      </c>
      <c r="M120" s="95" t="s">
        <v>92</v>
      </c>
      <c r="N120" s="95" t="s">
        <v>93</v>
      </c>
      <c r="O120" s="95" t="s">
        <v>9</v>
      </c>
      <c r="P120" s="95" t="s">
        <v>141</v>
      </c>
      <c r="Q120" s="95"/>
      <c r="R120" s="98">
        <f>K120</f>
        <v>3</v>
      </c>
      <c r="S120" s="95"/>
      <c r="T120" s="95"/>
      <c r="U120" s="95"/>
    </row>
    <row r="121" spans="1:21" s="99" customFormat="1" ht="45" x14ac:dyDescent="0.25">
      <c r="A121" s="95" t="s">
        <v>82</v>
      </c>
      <c r="B121" s="95" t="s">
        <v>83</v>
      </c>
      <c r="C121" s="95">
        <v>2119</v>
      </c>
      <c r="D121" s="95" t="s">
        <v>189</v>
      </c>
      <c r="E121" s="95" t="s">
        <v>139</v>
      </c>
      <c r="F121" s="95" t="s">
        <v>140</v>
      </c>
      <c r="G121" s="95">
        <v>95060</v>
      </c>
      <c r="H121" s="95" t="s">
        <v>51</v>
      </c>
      <c r="I121" s="95"/>
      <c r="J121" s="96">
        <v>10800</v>
      </c>
      <c r="K121" s="97">
        <v>0.8</v>
      </c>
      <c r="L121" s="95" t="s">
        <v>5</v>
      </c>
      <c r="M121" s="95" t="s">
        <v>95</v>
      </c>
      <c r="N121" s="107" t="s">
        <v>243</v>
      </c>
      <c r="O121" s="95" t="s">
        <v>94</v>
      </c>
      <c r="P121" s="95"/>
      <c r="Q121" s="95"/>
      <c r="R121" s="98">
        <f>K121</f>
        <v>0.8</v>
      </c>
      <c r="S121" s="95"/>
      <c r="T121" s="95"/>
      <c r="U121" s="95"/>
    </row>
    <row r="122" spans="1:21" s="99" customFormat="1" ht="315" x14ac:dyDescent="0.25">
      <c r="A122" s="95" t="s">
        <v>82</v>
      </c>
      <c r="B122" s="95" t="s">
        <v>83</v>
      </c>
      <c r="C122" s="95">
        <v>2155</v>
      </c>
      <c r="D122" s="95" t="s">
        <v>189</v>
      </c>
      <c r="E122" s="95" t="s">
        <v>139</v>
      </c>
      <c r="F122" s="95" t="s">
        <v>140</v>
      </c>
      <c r="G122" s="95">
        <v>95060</v>
      </c>
      <c r="H122" s="95" t="s">
        <v>24</v>
      </c>
      <c r="I122" s="95" t="s">
        <v>355</v>
      </c>
      <c r="J122" s="96">
        <v>9654</v>
      </c>
      <c r="K122" s="97">
        <v>1.1499999999999999</v>
      </c>
      <c r="L122" s="95" t="s">
        <v>5</v>
      </c>
      <c r="M122" s="95" t="s">
        <v>99</v>
      </c>
      <c r="N122" s="95" t="s">
        <v>356</v>
      </c>
      <c r="O122" s="95" t="s">
        <v>9</v>
      </c>
      <c r="P122" s="95" t="s">
        <v>357</v>
      </c>
      <c r="Q122" s="95"/>
      <c r="R122" s="98">
        <v>1.1499999999999999</v>
      </c>
      <c r="S122" s="95"/>
      <c r="T122" s="95"/>
      <c r="U122" s="95"/>
    </row>
    <row r="123" spans="1:21" s="99" customFormat="1" ht="30" x14ac:dyDescent="0.25">
      <c r="A123" s="95" t="s">
        <v>82</v>
      </c>
      <c r="B123" s="95" t="s">
        <v>83</v>
      </c>
      <c r="C123" s="95">
        <v>2521</v>
      </c>
      <c r="D123" s="95" t="s">
        <v>169</v>
      </c>
      <c r="E123" s="95" t="s">
        <v>139</v>
      </c>
      <c r="F123" s="95" t="s">
        <v>140</v>
      </c>
      <c r="G123" s="95">
        <v>95060</v>
      </c>
      <c r="H123" s="95" t="s">
        <v>85</v>
      </c>
      <c r="I123" s="95"/>
      <c r="J123" s="96">
        <v>7912</v>
      </c>
      <c r="K123" s="97">
        <v>5625</v>
      </c>
      <c r="L123" s="95"/>
      <c r="M123" s="95" t="s">
        <v>95</v>
      </c>
      <c r="N123" s="107" t="s">
        <v>243</v>
      </c>
      <c r="O123" s="95" t="s">
        <v>94</v>
      </c>
      <c r="P123" s="95"/>
      <c r="Q123" s="95"/>
      <c r="R123" s="98">
        <f>K123/J123</f>
        <v>0.71094539939332657</v>
      </c>
      <c r="S123" s="95"/>
      <c r="T123" s="95"/>
      <c r="U123" s="95"/>
    </row>
    <row r="124" spans="1:21" s="99" customFormat="1" ht="45" x14ac:dyDescent="0.25">
      <c r="A124" s="95" t="s">
        <v>82</v>
      </c>
      <c r="B124" s="95" t="s">
        <v>83</v>
      </c>
      <c r="C124" s="95">
        <v>2801</v>
      </c>
      <c r="D124" s="95" t="s">
        <v>169</v>
      </c>
      <c r="E124" s="95" t="s">
        <v>139</v>
      </c>
      <c r="F124" s="95" t="s">
        <v>140</v>
      </c>
      <c r="G124" s="95">
        <v>95060</v>
      </c>
      <c r="H124" s="95" t="s">
        <v>82</v>
      </c>
      <c r="I124" s="95"/>
      <c r="J124" s="96">
        <v>1200</v>
      </c>
      <c r="K124" s="97">
        <v>0.85</v>
      </c>
      <c r="L124" s="95" t="s">
        <v>6</v>
      </c>
      <c r="M124" s="95" t="s">
        <v>100</v>
      </c>
      <c r="N124" s="95" t="s">
        <v>114</v>
      </c>
      <c r="O124" s="95" t="s">
        <v>101</v>
      </c>
      <c r="P124" s="95" t="s">
        <v>87</v>
      </c>
      <c r="Q124" s="95"/>
      <c r="R124" s="98">
        <f t="shared" ref="R124:R133" si="3">K124</f>
        <v>0.85</v>
      </c>
      <c r="S124" s="95"/>
      <c r="T124" s="95"/>
      <c r="U124" s="95"/>
    </row>
    <row r="125" spans="1:21" s="99" customFormat="1" ht="90" x14ac:dyDescent="0.25">
      <c r="A125" s="95" t="s">
        <v>82</v>
      </c>
      <c r="B125" s="95" t="s">
        <v>83</v>
      </c>
      <c r="C125" s="95">
        <v>2801</v>
      </c>
      <c r="D125" s="95" t="s">
        <v>169</v>
      </c>
      <c r="E125" s="95" t="s">
        <v>139</v>
      </c>
      <c r="F125" s="95" t="s">
        <v>140</v>
      </c>
      <c r="G125" s="95">
        <v>95060</v>
      </c>
      <c r="H125" s="95" t="s">
        <v>82</v>
      </c>
      <c r="I125" s="95"/>
      <c r="J125" s="96">
        <v>2400</v>
      </c>
      <c r="K125" s="97">
        <v>0.85</v>
      </c>
      <c r="L125" s="95" t="s">
        <v>6</v>
      </c>
      <c r="M125" s="95" t="s">
        <v>100</v>
      </c>
      <c r="N125" s="95" t="s">
        <v>114</v>
      </c>
      <c r="O125" s="95" t="s">
        <v>101</v>
      </c>
      <c r="P125" s="95" t="s">
        <v>146</v>
      </c>
      <c r="Q125" s="95"/>
      <c r="R125" s="98">
        <f t="shared" si="3"/>
        <v>0.85</v>
      </c>
      <c r="S125" s="95"/>
      <c r="T125" s="95"/>
      <c r="U125" s="95"/>
    </row>
    <row r="126" spans="1:21" s="99" customFormat="1" ht="45" x14ac:dyDescent="0.25">
      <c r="A126" s="95" t="s">
        <v>82</v>
      </c>
      <c r="B126" s="95" t="s">
        <v>83</v>
      </c>
      <c r="C126" s="95">
        <v>2801</v>
      </c>
      <c r="D126" s="95" t="s">
        <v>169</v>
      </c>
      <c r="E126" s="95" t="s">
        <v>139</v>
      </c>
      <c r="F126" s="95" t="s">
        <v>140</v>
      </c>
      <c r="G126" s="95">
        <v>95060</v>
      </c>
      <c r="H126" s="95" t="s">
        <v>82</v>
      </c>
      <c r="I126" s="95"/>
      <c r="J126" s="96">
        <v>800</v>
      </c>
      <c r="K126" s="97">
        <v>0.9</v>
      </c>
      <c r="L126" s="95" t="s">
        <v>6</v>
      </c>
      <c r="M126" s="95" t="s">
        <v>100</v>
      </c>
      <c r="N126" s="95" t="s">
        <v>114</v>
      </c>
      <c r="O126" s="95" t="s">
        <v>101</v>
      </c>
      <c r="P126" s="95" t="s">
        <v>87</v>
      </c>
      <c r="Q126" s="95"/>
      <c r="R126" s="98">
        <f t="shared" si="3"/>
        <v>0.9</v>
      </c>
      <c r="S126" s="95"/>
      <c r="T126" s="95"/>
      <c r="U126" s="95"/>
    </row>
    <row r="127" spans="1:21" s="99" customFormat="1" ht="45" x14ac:dyDescent="0.25">
      <c r="A127" s="95" t="s">
        <v>82</v>
      </c>
      <c r="B127" s="95" t="s">
        <v>83</v>
      </c>
      <c r="C127" s="95">
        <v>2801</v>
      </c>
      <c r="D127" s="95" t="s">
        <v>169</v>
      </c>
      <c r="E127" s="95" t="s">
        <v>139</v>
      </c>
      <c r="F127" s="95" t="s">
        <v>140</v>
      </c>
      <c r="G127" s="95">
        <v>95060</v>
      </c>
      <c r="H127" s="95" t="s">
        <v>82</v>
      </c>
      <c r="I127" s="95"/>
      <c r="J127" s="96">
        <v>1200</v>
      </c>
      <c r="K127" s="97">
        <v>0.85</v>
      </c>
      <c r="L127" s="95" t="s">
        <v>89</v>
      </c>
      <c r="M127" s="95" t="s">
        <v>100</v>
      </c>
      <c r="N127" s="95" t="s">
        <v>114</v>
      </c>
      <c r="O127" s="95" t="s">
        <v>101</v>
      </c>
      <c r="P127" s="95" t="s">
        <v>87</v>
      </c>
      <c r="Q127" s="95"/>
      <c r="R127" s="98">
        <f t="shared" si="3"/>
        <v>0.85</v>
      </c>
      <c r="S127" s="95"/>
      <c r="T127" s="95"/>
      <c r="U127" s="95"/>
    </row>
    <row r="128" spans="1:21" s="99" customFormat="1" ht="45" x14ac:dyDescent="0.25">
      <c r="A128" s="95" t="s">
        <v>82</v>
      </c>
      <c r="B128" s="95" t="s">
        <v>83</v>
      </c>
      <c r="C128" s="95">
        <v>2801</v>
      </c>
      <c r="D128" s="95" t="s">
        <v>169</v>
      </c>
      <c r="E128" s="95" t="s">
        <v>139</v>
      </c>
      <c r="F128" s="95" t="s">
        <v>140</v>
      </c>
      <c r="G128" s="95">
        <v>95060</v>
      </c>
      <c r="H128" s="95" t="s">
        <v>82</v>
      </c>
      <c r="I128" s="95"/>
      <c r="J128" s="96">
        <v>2000</v>
      </c>
      <c r="K128" s="97">
        <v>0.85</v>
      </c>
      <c r="L128" s="95" t="s">
        <v>89</v>
      </c>
      <c r="M128" s="95" t="s">
        <v>100</v>
      </c>
      <c r="N128" s="95" t="s">
        <v>114</v>
      </c>
      <c r="O128" s="95" t="s">
        <v>101</v>
      </c>
      <c r="P128" s="95" t="s">
        <v>87</v>
      </c>
      <c r="Q128" s="95"/>
      <c r="R128" s="98">
        <f t="shared" si="3"/>
        <v>0.85</v>
      </c>
      <c r="S128" s="95"/>
      <c r="T128" s="95"/>
      <c r="U128" s="95"/>
    </row>
    <row r="129" spans="1:21" s="99" customFormat="1" ht="60" x14ac:dyDescent="0.25">
      <c r="A129" s="95" t="s">
        <v>82</v>
      </c>
      <c r="B129" s="95" t="s">
        <v>83</v>
      </c>
      <c r="C129" s="95">
        <v>2901</v>
      </c>
      <c r="D129" s="95" t="s">
        <v>169</v>
      </c>
      <c r="E129" s="95" t="s">
        <v>139</v>
      </c>
      <c r="F129" s="95" t="s">
        <v>140</v>
      </c>
      <c r="G129" s="95">
        <v>95060</v>
      </c>
      <c r="H129" s="95" t="s">
        <v>24</v>
      </c>
      <c r="I129" s="95"/>
      <c r="J129" s="96">
        <v>16408</v>
      </c>
      <c r="K129" s="97">
        <v>1.25</v>
      </c>
      <c r="L129" s="95" t="s">
        <v>5</v>
      </c>
      <c r="M129" s="95" t="s">
        <v>351</v>
      </c>
      <c r="N129" s="95" t="s">
        <v>222</v>
      </c>
      <c r="O129" s="95" t="s">
        <v>223</v>
      </c>
      <c r="P129" s="95" t="s">
        <v>352</v>
      </c>
      <c r="Q129" s="95"/>
      <c r="R129" s="98">
        <f t="shared" si="3"/>
        <v>1.25</v>
      </c>
      <c r="S129" s="95"/>
      <c r="T129" s="95"/>
      <c r="U129" s="95"/>
    </row>
    <row r="130" spans="1:21" s="99" customFormat="1" ht="135" x14ac:dyDescent="0.25">
      <c r="A130" s="95" t="s">
        <v>82</v>
      </c>
      <c r="B130" s="95" t="s">
        <v>83</v>
      </c>
      <c r="C130" s="95">
        <v>2931</v>
      </c>
      <c r="D130" s="95" t="s">
        <v>169</v>
      </c>
      <c r="E130" s="95" t="s">
        <v>139</v>
      </c>
      <c r="F130" s="95" t="s">
        <v>140</v>
      </c>
      <c r="G130" s="95">
        <v>95060</v>
      </c>
      <c r="H130" s="95" t="s">
        <v>85</v>
      </c>
      <c r="I130" s="95"/>
      <c r="J130" s="96">
        <v>9000</v>
      </c>
      <c r="K130" s="97" t="s">
        <v>371</v>
      </c>
      <c r="L130" s="95"/>
      <c r="M130" s="95" t="s">
        <v>102</v>
      </c>
      <c r="N130" s="95" t="s">
        <v>93</v>
      </c>
      <c r="O130" s="95" t="s">
        <v>9</v>
      </c>
      <c r="P130" s="95" t="s">
        <v>315</v>
      </c>
      <c r="Q130" s="95"/>
      <c r="R130" s="98">
        <v>0</v>
      </c>
      <c r="S130" s="95"/>
      <c r="T130" s="95"/>
      <c r="U130" s="95"/>
    </row>
    <row r="131" spans="1:21" s="99" customFormat="1" ht="60" x14ac:dyDescent="0.25">
      <c r="A131" s="95" t="s">
        <v>82</v>
      </c>
      <c r="B131" s="95" t="s">
        <v>83</v>
      </c>
      <c r="C131" s="95">
        <v>3004</v>
      </c>
      <c r="D131" s="95" t="s">
        <v>169</v>
      </c>
      <c r="E131" s="95" t="s">
        <v>139</v>
      </c>
      <c r="F131" s="95" t="s">
        <v>140</v>
      </c>
      <c r="G131" s="95">
        <v>95060</v>
      </c>
      <c r="H131" s="95" t="s">
        <v>24</v>
      </c>
      <c r="I131" s="95">
        <v>150</v>
      </c>
      <c r="J131" s="96">
        <v>6500</v>
      </c>
      <c r="K131" s="97">
        <v>1.7</v>
      </c>
      <c r="L131" s="95" t="s">
        <v>162</v>
      </c>
      <c r="M131" s="95" t="s">
        <v>35</v>
      </c>
      <c r="N131" s="95" t="s">
        <v>36</v>
      </c>
      <c r="O131" s="95" t="s">
        <v>37</v>
      </c>
      <c r="P131" s="95"/>
      <c r="Q131" s="95"/>
      <c r="R131" s="98">
        <f t="shared" si="3"/>
        <v>1.7</v>
      </c>
      <c r="S131" s="95"/>
      <c r="T131" s="95"/>
      <c r="U131" s="95"/>
    </row>
    <row r="132" spans="1:21" s="99" customFormat="1" ht="60" x14ac:dyDescent="0.25">
      <c r="A132" s="95" t="s">
        <v>82</v>
      </c>
      <c r="B132" s="95" t="s">
        <v>83</v>
      </c>
      <c r="C132" s="95">
        <v>3004</v>
      </c>
      <c r="D132" s="95" t="s">
        <v>169</v>
      </c>
      <c r="E132" s="95" t="s">
        <v>139</v>
      </c>
      <c r="F132" s="95" t="s">
        <v>140</v>
      </c>
      <c r="G132" s="95">
        <v>95060</v>
      </c>
      <c r="H132" s="95" t="s">
        <v>8</v>
      </c>
      <c r="I132" s="95">
        <v>220</v>
      </c>
      <c r="J132" s="96">
        <v>14000</v>
      </c>
      <c r="K132" s="97">
        <v>1.05</v>
      </c>
      <c r="L132" s="95" t="s">
        <v>162</v>
      </c>
      <c r="M132" s="95" t="s">
        <v>35</v>
      </c>
      <c r="N132" s="95" t="s">
        <v>36</v>
      </c>
      <c r="O132" s="95" t="s">
        <v>37</v>
      </c>
      <c r="P132" s="95"/>
      <c r="Q132" s="95"/>
      <c r="R132" s="98">
        <f t="shared" si="3"/>
        <v>1.05</v>
      </c>
      <c r="S132" s="95"/>
      <c r="T132" s="95"/>
      <c r="U132" s="95"/>
    </row>
    <row r="133" spans="1:21" s="99" customFormat="1" ht="60" x14ac:dyDescent="0.25">
      <c r="A133" s="95" t="s">
        <v>82</v>
      </c>
      <c r="B133" s="95" t="s">
        <v>83</v>
      </c>
      <c r="C133" s="95">
        <v>3004</v>
      </c>
      <c r="D133" s="95" t="s">
        <v>169</v>
      </c>
      <c r="E133" s="95" t="s">
        <v>139</v>
      </c>
      <c r="F133" s="95" t="s">
        <v>140</v>
      </c>
      <c r="G133" s="95">
        <v>95060</v>
      </c>
      <c r="H133" s="95" t="s">
        <v>8</v>
      </c>
      <c r="I133" s="95">
        <v>230</v>
      </c>
      <c r="J133" s="96">
        <v>1400</v>
      </c>
      <c r="K133" s="97">
        <v>1.7</v>
      </c>
      <c r="L133" s="95" t="s">
        <v>162</v>
      </c>
      <c r="M133" s="95" t="s">
        <v>35</v>
      </c>
      <c r="N133" s="95" t="s">
        <v>36</v>
      </c>
      <c r="O133" s="95" t="s">
        <v>37</v>
      </c>
      <c r="P133" s="95"/>
      <c r="Q133" s="95"/>
      <c r="R133" s="98">
        <f t="shared" si="3"/>
        <v>1.7</v>
      </c>
      <c r="S133" s="95"/>
      <c r="T133" s="95"/>
      <c r="U133" s="95"/>
    </row>
  </sheetData>
  <hyperlinks>
    <hyperlink ref="O79" display="rick_melrose@yahoo.com"/>
    <hyperlink ref="O110" display="wreed@jsco.net"/>
    <hyperlink ref="O68" display="sue@andersonchristie.com"/>
    <hyperlink ref="O21" display="davidcury@yahoo.com"/>
    <hyperlink ref="O113:O118" display="russellgross.com"/>
    <hyperlink ref="O51" display="tracy@cifpm.com"/>
    <hyperlink ref="O63" display="Rentalinfo@lemarco.com"/>
    <hyperlink ref="O19" display="dbrentals@gmail.com"/>
    <hyperlink ref="O18" display="dbrentals@gmail.com"/>
    <hyperlink ref="O20" display="dbrentals@gmail.com"/>
    <hyperlink ref="O53" display="rick_melrose@yahoo.com"/>
    <hyperlink ref="O13" r:id="rId1"/>
    <hyperlink ref="O14" r:id="rId2"/>
    <hyperlink ref="O15" r:id="rId3"/>
    <hyperlink ref="O9" r:id="rId4"/>
    <hyperlink ref="O37" r:id="rId5"/>
    <hyperlink ref="O38" r:id="rId6"/>
    <hyperlink ref="O59:O61" display="Rentalinfo@lemarco.com"/>
    <hyperlink ref="O61:O62" display="Rentalinfo@lemarco.com"/>
    <hyperlink ref="O11" r:id="rId7"/>
    <hyperlink ref="O67" display="sue@andersonchristie.com"/>
    <hyperlink ref="O118" display="sue@andersonchristie.com"/>
    <hyperlink ref="O12" r:id="rId8"/>
    <hyperlink ref="O16" r:id="rId9"/>
    <hyperlink ref="O10" r:id="rId10"/>
    <hyperlink ref="O88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CrossTabs</vt:lpstr>
      <vt:lpstr>Industrial Formatted for Print</vt:lpstr>
      <vt:lpstr>Downtown Formatted for Print</vt:lpstr>
      <vt:lpstr>Other Areas Formatted for Print</vt:lpstr>
      <vt:lpstr>Area Data Comparisons</vt:lpstr>
      <vt:lpstr>PTable</vt:lpstr>
      <vt:lpstr>Pivot Table Crosstabs</vt:lpstr>
      <vt:lpstr>Mkt Vol Hist</vt:lpstr>
      <vt:lpstr>Sheet1</vt:lpstr>
    </vt:vector>
  </TitlesOfParts>
  <Company>City of Santa Cruz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Koht</dc:creator>
  <cp:lastModifiedBy>Jessica Mellor</cp:lastModifiedBy>
  <dcterms:created xsi:type="dcterms:W3CDTF">2012-08-07T17:57:47Z</dcterms:created>
  <dcterms:modified xsi:type="dcterms:W3CDTF">2013-11-26T19:34:36Z</dcterms:modified>
</cp:coreProperties>
</file>