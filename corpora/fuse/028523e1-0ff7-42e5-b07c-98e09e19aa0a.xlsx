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15" yWindow="-15" windowWidth="15480" windowHeight="11565"/>
  </bookViews>
  <sheets>
    <sheet name="ARRA6-10-11" sheetId="78" r:id="rId1"/>
    <sheet name="1011" sheetId="79" r:id="rId2"/>
  </sheets>
  <externalReferences>
    <externalReference r:id="rId3"/>
  </externalReferences>
  <definedNames>
    <definedName name="april24">#REF!</definedName>
    <definedName name="arra0107">#REF!</definedName>
    <definedName name="arra0114">#REF!</definedName>
    <definedName name="arra0121">#REF!</definedName>
    <definedName name="arra0129">#REF!</definedName>
    <definedName name="arra0204">#REF!</definedName>
    <definedName name="arra0211">#REF!</definedName>
    <definedName name="arra0218">#REF!</definedName>
    <definedName name="arra0226">#REF!</definedName>
    <definedName name="arra0304">#REF!</definedName>
    <definedName name="arra0311">#REF!</definedName>
    <definedName name="arra0318">#REF!</definedName>
    <definedName name="arra0326">#REF!</definedName>
    <definedName name="arra0401">#REF!</definedName>
    <definedName name="arra0408">#REF!</definedName>
    <definedName name="arra0415">#REF!</definedName>
    <definedName name="arra0423">#REF!</definedName>
    <definedName name="arra0430">#REF!</definedName>
    <definedName name="arra0506">#REF!</definedName>
    <definedName name="arra0513">#REF!</definedName>
    <definedName name="arra0520">#REF!</definedName>
    <definedName name="arra0528">#REF!</definedName>
    <definedName name="arra0603">#REF!</definedName>
    <definedName name="arra0610">#REF!</definedName>
    <definedName name="arra0616">#REF!</definedName>
    <definedName name="arra0709">#REF!</definedName>
    <definedName name="arra0716">#REF!</definedName>
    <definedName name="arra0723">#REF!</definedName>
    <definedName name="arra0730">#REF!</definedName>
    <definedName name="arra0806">#REF!</definedName>
    <definedName name="arra0813">#REF!</definedName>
    <definedName name="arra0909">#REF!</definedName>
    <definedName name="arra1001">#REF!</definedName>
    <definedName name="arra1007">#REF!</definedName>
    <definedName name="arra1008">#REF!</definedName>
    <definedName name="arra1015">#REF!</definedName>
    <definedName name="arra1021">#REF!</definedName>
    <definedName name="arra1023">#REF!</definedName>
    <definedName name="arra1030">#REF!</definedName>
    <definedName name="arra1105">#REF!</definedName>
    <definedName name="arra1112">#REF!</definedName>
    <definedName name="arra1119">#REF!</definedName>
    <definedName name="arra1203">#REF!</definedName>
    <definedName name="arra1210">#REF!</definedName>
    <definedName name="arra1217">#REF!</definedName>
    <definedName name="arra1224">#REF!</definedName>
    <definedName name="arra51">#REF!</definedName>
    <definedName name="arra515">#REF!</definedName>
    <definedName name="arra522">#REF!</definedName>
    <definedName name="arra523">#REF!</definedName>
    <definedName name="arra529">#REF!</definedName>
    <definedName name="arra58">#REF!</definedName>
    <definedName name="arra605">#REF!</definedName>
    <definedName name="arra612">#REF!</definedName>
    <definedName name="arra619">#REF!</definedName>
    <definedName name="arra626">#REF!</definedName>
    <definedName name="arra703">#REF!</definedName>
    <definedName name="arra709">#REF!</definedName>
    <definedName name="arra716">#REF!</definedName>
    <definedName name="arra723">#REF!</definedName>
    <definedName name="arra731">#REF!</definedName>
    <definedName name="arra806">#REF!</definedName>
    <definedName name="arra813">#REF!</definedName>
    <definedName name="arra820">#REF!</definedName>
    <definedName name="arra828">#REF!</definedName>
    <definedName name="arra903">#REF!</definedName>
    <definedName name="arra910">#REF!</definedName>
    <definedName name="arra917">#REF!</definedName>
    <definedName name="arra925">#REF!</definedName>
    <definedName name="EDA_14">[1]Sheet2!$A$2:$A$3</definedName>
    <definedName name="kevin">#REF!</definedName>
    <definedName name="udbe">'1011'!$A$2:$C$124</definedName>
  </definedNames>
  <calcPr calcId="125725"/>
</workbook>
</file>

<file path=xl/calcChain.xml><?xml version="1.0" encoding="utf-8"?>
<calcChain xmlns="http://schemas.openxmlformats.org/spreadsheetml/2006/main">
  <c r="Q3" i="78"/>
  <c r="R3"/>
  <c r="Q4"/>
  <c r="R4"/>
  <c r="Q5"/>
  <c r="R5"/>
  <c r="Q6"/>
  <c r="R6"/>
  <c r="Q7"/>
  <c r="R7"/>
  <c r="Q8"/>
  <c r="R8"/>
  <c r="Q9"/>
  <c r="R9"/>
  <c r="Q10"/>
  <c r="R10"/>
  <c r="Q11"/>
  <c r="R11"/>
  <c r="Q12"/>
  <c r="R12"/>
  <c r="Q13"/>
  <c r="R13"/>
  <c r="Q14"/>
  <c r="R14"/>
  <c r="Q15"/>
  <c r="R15"/>
  <c r="Q16"/>
  <c r="R16"/>
  <c r="Q17"/>
  <c r="R17"/>
  <c r="Q18"/>
  <c r="R18"/>
  <c r="Q19"/>
  <c r="R19"/>
  <c r="Q20"/>
  <c r="R20"/>
  <c r="Q21"/>
  <c r="R21"/>
  <c r="Q22"/>
  <c r="R22"/>
  <c r="Q23"/>
  <c r="R23"/>
  <c r="Q24"/>
  <c r="R24"/>
  <c r="Q25"/>
  <c r="R25"/>
  <c r="Q26"/>
  <c r="R26"/>
  <c r="Q27"/>
  <c r="R27"/>
  <c r="Q28"/>
  <c r="R28"/>
  <c r="Q29"/>
  <c r="R29"/>
  <c r="Q30"/>
  <c r="R30"/>
  <c r="Q31"/>
  <c r="R31"/>
  <c r="Q32"/>
  <c r="R32"/>
  <c r="Q33"/>
  <c r="R33"/>
  <c r="Q34"/>
  <c r="R34"/>
  <c r="Q35"/>
  <c r="R35"/>
  <c r="Q36"/>
  <c r="R36"/>
  <c r="Q37"/>
  <c r="R37"/>
  <c r="Q38"/>
  <c r="R38"/>
  <c r="Q39"/>
  <c r="R39"/>
  <c r="Q40"/>
  <c r="R40"/>
  <c r="Q41"/>
  <c r="R41"/>
  <c r="Q42"/>
  <c r="R42"/>
  <c r="Q43"/>
  <c r="R43"/>
  <c r="Q44"/>
  <c r="R44"/>
  <c r="Q45"/>
  <c r="R45"/>
  <c r="Q46"/>
  <c r="R46"/>
  <c r="Q47"/>
  <c r="R47"/>
  <c r="Q48"/>
  <c r="R48"/>
  <c r="Q49"/>
  <c r="R49"/>
  <c r="Q50"/>
  <c r="R50"/>
  <c r="Q51"/>
  <c r="R51"/>
  <c r="Q52"/>
  <c r="R52"/>
  <c r="Q53"/>
  <c r="R53"/>
  <c r="Q54"/>
  <c r="R54"/>
  <c r="Q55"/>
  <c r="R55"/>
  <c r="Q56"/>
  <c r="R56"/>
  <c r="Q57"/>
  <c r="R57"/>
  <c r="Q58"/>
  <c r="R58"/>
  <c r="Q59"/>
  <c r="R59"/>
  <c r="Q60"/>
  <c r="R60"/>
  <c r="Q61"/>
  <c r="R61"/>
  <c r="Q62"/>
  <c r="R62"/>
  <c r="Q63"/>
  <c r="R63"/>
  <c r="Q64"/>
  <c r="R64"/>
  <c r="Q65"/>
  <c r="R65"/>
  <c r="Q66"/>
  <c r="R66"/>
  <c r="Q67"/>
  <c r="R67"/>
  <c r="Q68"/>
  <c r="R68"/>
  <c r="Q69"/>
  <c r="R69"/>
  <c r="Q70"/>
  <c r="R70"/>
  <c r="Q71"/>
  <c r="R71"/>
  <c r="Q72"/>
  <c r="R72"/>
  <c r="Q73"/>
  <c r="R73"/>
  <c r="Q74"/>
  <c r="R74"/>
  <c r="Q75"/>
  <c r="R75"/>
  <c r="Q76"/>
  <c r="R76"/>
  <c r="Q77"/>
  <c r="R77"/>
  <c r="Q78"/>
  <c r="R78"/>
  <c r="Q79"/>
  <c r="R79"/>
  <c r="Q80"/>
  <c r="R80"/>
  <c r="Q81"/>
  <c r="R81"/>
  <c r="Q82"/>
  <c r="R82"/>
  <c r="Q83"/>
  <c r="R83"/>
  <c r="Q84"/>
  <c r="R84"/>
  <c r="Q85"/>
  <c r="R85"/>
  <c r="Q86"/>
  <c r="R86"/>
  <c r="Q87"/>
  <c r="R87"/>
  <c r="Q88"/>
  <c r="R88"/>
  <c r="Q89"/>
  <c r="R89"/>
  <c r="Q90"/>
  <c r="R90"/>
  <c r="Q91"/>
  <c r="R91"/>
  <c r="Q92"/>
  <c r="R92"/>
  <c r="Q93"/>
  <c r="R93"/>
  <c r="Q94"/>
  <c r="R94"/>
  <c r="Q95"/>
  <c r="R95"/>
  <c r="Q96"/>
  <c r="R96"/>
  <c r="Q97"/>
  <c r="R97"/>
  <c r="Q98"/>
  <c r="R98"/>
  <c r="Q99"/>
  <c r="R99"/>
  <c r="Q100"/>
  <c r="R100"/>
  <c r="Q101"/>
  <c r="R101"/>
  <c r="Q102"/>
  <c r="R102"/>
  <c r="Q103"/>
  <c r="R103"/>
  <c r="Q104"/>
  <c r="R104"/>
  <c r="Q105"/>
  <c r="R105"/>
  <c r="Q106"/>
  <c r="R106"/>
  <c r="Q107"/>
  <c r="R107"/>
  <c r="Q108"/>
  <c r="R108"/>
  <c r="Q109"/>
  <c r="Q110"/>
  <c r="R110"/>
  <c r="Q111"/>
  <c r="R111"/>
  <c r="Q112"/>
  <c r="R112"/>
  <c r="Q113"/>
  <c r="R113"/>
  <c r="Q114"/>
  <c r="R114"/>
  <c r="R2"/>
  <c r="Q2"/>
  <c r="N111"/>
  <c r="G115"/>
  <c r="E115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2"/>
</calcChain>
</file>

<file path=xl/sharedStrings.xml><?xml version="1.0" encoding="utf-8"?>
<sst xmlns="http://schemas.openxmlformats.org/spreadsheetml/2006/main" count="833" uniqueCount="675">
  <si>
    <t>Install Sidewalks, Curb, Gutters, Deck Lighting &amp; Drainage Systems</t>
  </si>
  <si>
    <t>024C9501</t>
  </si>
  <si>
    <t>02-Tri-299-50.7/51.5</t>
  </si>
  <si>
    <t>Traffic Calming Elements, Sidewalk and Landscape</t>
  </si>
  <si>
    <t>SARRA-280-1(122)E</t>
  </si>
  <si>
    <t>ARRAL-010-3(101)127E</t>
  </si>
  <si>
    <t>SARRA-005-3(014)E</t>
  </si>
  <si>
    <t>ARRAL-P076(024)E</t>
  </si>
  <si>
    <t>ARRAL-P118(058)E</t>
  </si>
  <si>
    <t>SARRA-000C(307)E</t>
  </si>
  <si>
    <t>ARRAL-P024(031)</t>
  </si>
  <si>
    <t>ARRAL-P024(032)</t>
  </si>
  <si>
    <t>SARRA-Q101(159)N</t>
  </si>
  <si>
    <t>SARRA-P099(522)E</t>
  </si>
  <si>
    <t>024C94U1</t>
  </si>
  <si>
    <t>02-Sha-44-46.6/48.3</t>
  </si>
  <si>
    <t>Improve Curve, Widen Shoulders, Add Truck Climbing Lane</t>
  </si>
  <si>
    <t>SARRA-P044(045)E</t>
  </si>
  <si>
    <t>071219U1</t>
  </si>
  <si>
    <t>07-LA-5,170-58.0/63.4,R32.3/R33.1</t>
  </si>
  <si>
    <t>Construct HOV lanes, connectors and replace slabs.</t>
  </si>
  <si>
    <t>SARRAL-005-3(033)N</t>
  </si>
  <si>
    <t>120G7301</t>
  </si>
  <si>
    <t>Install metal beam guard railing and upgraded end treatment.</t>
  </si>
  <si>
    <t>12-0K2004</t>
  </si>
  <si>
    <t>Hot mix asphalt overlay</t>
  </si>
  <si>
    <t>03-0C2814</t>
  </si>
  <si>
    <t>PERFORM HIGHWAY PLANTING AND INSTALL IRRIGATION SYSTEMS</t>
  </si>
  <si>
    <t>SARRA-205-6(328)49E</t>
  </si>
  <si>
    <t>10-0U7004</t>
  </si>
  <si>
    <t>11-2T0404</t>
  </si>
  <si>
    <t>Awarded 11/9/10</t>
  </si>
  <si>
    <t>03-2A6904</t>
  </si>
  <si>
    <t>03-1A4324</t>
  </si>
  <si>
    <t>06-0K8904</t>
  </si>
  <si>
    <t>07-252504</t>
  </si>
  <si>
    <t>08-0A6414</t>
  </si>
  <si>
    <t>03-1E14U4</t>
  </si>
  <si>
    <t>10-279804</t>
  </si>
  <si>
    <t>08-0F1004</t>
  </si>
  <si>
    <t>06-0A9704</t>
  </si>
  <si>
    <t>07-252104</t>
  </si>
  <si>
    <t>11-091834</t>
  </si>
  <si>
    <t>Awarded 5/24/10</t>
  </si>
  <si>
    <t>10-0G7704</t>
  </si>
  <si>
    <t>05-0P9104</t>
  </si>
  <si>
    <t>ARRAL-805(610)N</t>
  </si>
  <si>
    <t xml:space="preserve">NH-Q101(168)E
</t>
  </si>
  <si>
    <t>04-SM-280-R20.3/R27.3</t>
  </si>
  <si>
    <t>Cold plane ramps and place HMA.</t>
  </si>
  <si>
    <t>06342511</t>
  </si>
  <si>
    <t>06-Fre-180-R106.3/116.4</t>
  </si>
  <si>
    <t>Construct 4-lanes concrete pavement expressway.</t>
  </si>
  <si>
    <t>04294921</t>
  </si>
  <si>
    <t>Realign westbound Route 24 to northbound Route 13 off ramp.</t>
  </si>
  <si>
    <t>04294931</t>
  </si>
  <si>
    <t>04-Ala-24-R8.8</t>
  </si>
  <si>
    <t>Widen roadway and install signal and lighting.</t>
  </si>
  <si>
    <t>120G0401</t>
  </si>
  <si>
    <t>12-Ora,Riv-91-15.9/18.9, 0.0/2.9</t>
  </si>
  <si>
    <t>Widen freeway and bridges.</t>
  </si>
  <si>
    <t>Place HMA over CL3 AB, construct concrete barrier and widen roadbed.</t>
  </si>
  <si>
    <t>Awarded 5/18/09</t>
  </si>
  <si>
    <t>05-0G0304</t>
  </si>
  <si>
    <t>Awarded 4/21/2010</t>
  </si>
  <si>
    <t>01-449404</t>
  </si>
  <si>
    <t>01-464304</t>
  </si>
  <si>
    <t>060A9701</t>
  </si>
  <si>
    <t>06-Tul-99-22.4</t>
  </si>
  <si>
    <t>Demolish and construct new facilities and landscaping at rest area.</t>
  </si>
  <si>
    <t>NH-SARRA-STPE-SARRAE-</t>
  </si>
  <si>
    <t>11091831</t>
  </si>
  <si>
    <t>Construct new freeway (Phase 2.)</t>
  </si>
  <si>
    <t>SARRA-A905(020)N</t>
  </si>
  <si>
    <t>07252101</t>
  </si>
  <si>
    <t>07-LA-101-31.1/38.2</t>
  </si>
  <si>
    <t>Cold plane AC Pvmt, place HMA, and replace concrete slabs.</t>
  </si>
  <si>
    <t>SARRA-Q101(182)E</t>
  </si>
  <si>
    <t>04-150344</t>
  </si>
  <si>
    <t>11-080104</t>
  </si>
  <si>
    <t>04-294924</t>
  </si>
  <si>
    <t>04-294934</t>
  </si>
  <si>
    <t>12071621</t>
  </si>
  <si>
    <t>12-Ora-22,405-R0.7/R2.9,20.4/22.3</t>
  </si>
  <si>
    <t>Widen freeway and construct bridges, retaining walls, and sound walls.</t>
  </si>
  <si>
    <t>ARRAL-X059(051)N</t>
  </si>
  <si>
    <t>100U7001</t>
  </si>
  <si>
    <t>10-Alp-4-24.4/31.7</t>
  </si>
  <si>
    <t>Repair failed areas and resurface road with HMA.</t>
  </si>
  <si>
    <t>SARRA-P004(135)E</t>
  </si>
  <si>
    <t>03-3M6204</t>
  </si>
  <si>
    <t>04-Sol-80-15.4/20.1</t>
  </si>
  <si>
    <t>034C0301</t>
  </si>
  <si>
    <t>03-Pla,Sac,Yol-5, 65, 80, 99-Var</t>
  </si>
  <si>
    <t>04177901</t>
  </si>
  <si>
    <t>04-Ala-880-28.2/28.5</t>
  </si>
  <si>
    <t xml:space="preserve">Overlay bridge deck, replace railing, and construct approach slabs.
</t>
  </si>
  <si>
    <t>031E0301</t>
  </si>
  <si>
    <t>03-Col-20-R21.5/R22.4</t>
  </si>
  <si>
    <t>120G0301</t>
  </si>
  <si>
    <t>12-Ora-57-11.1/22.1</t>
  </si>
  <si>
    <t>050L8001</t>
  </si>
  <si>
    <t>07-266704</t>
  </si>
  <si>
    <t>07-3Y7904</t>
  </si>
  <si>
    <t>07-3Y8104</t>
  </si>
  <si>
    <t>03-366904</t>
  </si>
  <si>
    <t>Sum</t>
  </si>
  <si>
    <t>06-342514</t>
  </si>
  <si>
    <t>02-373104</t>
  </si>
  <si>
    <t>02-4C5804</t>
  </si>
  <si>
    <t>Awarded 3/24/10</t>
  </si>
  <si>
    <t>08-394704</t>
  </si>
  <si>
    <t>07-1218V4</t>
  </si>
  <si>
    <t>07-1219U4</t>
  </si>
  <si>
    <t>07-226514</t>
  </si>
  <si>
    <t>07-226524</t>
  </si>
  <si>
    <t>SARRA-P062(026)E</t>
  </si>
  <si>
    <t>SARRA-P018(038)E</t>
  </si>
  <si>
    <t>SARRA-015-5(152)E</t>
  </si>
  <si>
    <t>SARRA-P049(144)E</t>
  </si>
  <si>
    <t>SARRA-805-1(608)E</t>
  </si>
  <si>
    <t>SARRA-P034(004)E</t>
  </si>
  <si>
    <t>SARRA-P243(002)E</t>
  </si>
  <si>
    <t>SARRA-P395(225)E</t>
  </si>
  <si>
    <t>SARRA-P018(037)E</t>
  </si>
  <si>
    <t>SARRA-P073(086)E</t>
  </si>
  <si>
    <t>SARRA-P039(021)E</t>
  </si>
  <si>
    <t>SARRA-P046(042)E</t>
  </si>
  <si>
    <t>SARRA-P024(030)N</t>
  </si>
  <si>
    <t>SARRA-P029(105)E</t>
  </si>
  <si>
    <t>SARRA-S035(007)E</t>
  </si>
  <si>
    <t>SARRA-P001(540)E</t>
  </si>
  <si>
    <t>SARRA-Q101(152)E</t>
  </si>
  <si>
    <t>SARRA-Q101(151)E</t>
  </si>
  <si>
    <t>SARRA-P041(110)E</t>
  </si>
  <si>
    <t>SARRA-P710(014)E</t>
  </si>
  <si>
    <t>SARRA-P020(151)E</t>
  </si>
  <si>
    <t>ARRAL-P091(127)E</t>
  </si>
  <si>
    <t>SARRA-210-1(795)E</t>
  </si>
  <si>
    <t>SARRA-P134(035)E</t>
  </si>
  <si>
    <t>ARRAL-P180(053)E</t>
  </si>
  <si>
    <t>SARRA-P078(108)E</t>
  </si>
  <si>
    <t>SARRA-S033(069)E</t>
  </si>
  <si>
    <t>SARRA-P099(521)E</t>
  </si>
  <si>
    <t>SARRA-X037(146)E</t>
  </si>
  <si>
    <t>SARRA-X037(148)E</t>
  </si>
  <si>
    <t>SARRA-P004(133)E</t>
  </si>
  <si>
    <t>SARRA-X037(147)E</t>
  </si>
  <si>
    <t>SARRA-X037(145)E</t>
  </si>
  <si>
    <t>SARRA-P018(039)E</t>
  </si>
  <si>
    <t>Remove &amp; Replace PCC Pavement and Construct  Rumble Strip.</t>
  </si>
  <si>
    <t>10-0L5704</t>
  </si>
  <si>
    <t>10-0L5904</t>
  </si>
  <si>
    <t>12-Ora-5-6.1/31.2</t>
  </si>
  <si>
    <t>Remove and prune trees, install planting and irrigation.</t>
  </si>
  <si>
    <t>SARRAE-005-2(943)E</t>
  </si>
  <si>
    <t>Awarded 7/23/10</t>
  </si>
  <si>
    <t>Awarded 1/21/10</t>
  </si>
  <si>
    <t>Awarded 5/6/10</t>
  </si>
  <si>
    <t>Awarded 5/5/10</t>
  </si>
  <si>
    <t>Awarded 5/3/10</t>
  </si>
  <si>
    <t>04-1E3904</t>
  </si>
  <si>
    <t>04-294914</t>
  </si>
  <si>
    <t>Awarded 7/14/10</t>
  </si>
  <si>
    <t>04-151304</t>
  </si>
  <si>
    <t>04-153404</t>
  </si>
  <si>
    <t>04-163744</t>
  </si>
  <si>
    <t>12-0G0404</t>
  </si>
  <si>
    <t>04-1E2204</t>
  </si>
  <si>
    <t>04-1E3204</t>
  </si>
  <si>
    <t>Awarded 4/27/10</t>
  </si>
  <si>
    <t>Awarded 4/29/10</t>
  </si>
  <si>
    <t>RM</t>
  </si>
  <si>
    <t>Awarded 6/26/09</t>
  </si>
  <si>
    <t>12-071624</t>
  </si>
  <si>
    <t>Awarded 2/9/10</t>
  </si>
  <si>
    <t>Awarded 2/17/10</t>
  </si>
  <si>
    <t>Awarded 6/11/10</t>
  </si>
  <si>
    <t>02-1E9804</t>
  </si>
  <si>
    <t>06-0K9104</t>
  </si>
  <si>
    <t>Apply rubberized HMA (gap graded) and cold plane AC pavement.</t>
  </si>
  <si>
    <t>06-0K7204</t>
  </si>
  <si>
    <t>Place hot mix asphalt (bonded wearing course-gap graded) on pavement.</t>
  </si>
  <si>
    <t>06-0K7404</t>
  </si>
  <si>
    <t>Place hot mix asphalt (bonded wearing course -gap graded) on pavement.</t>
  </si>
  <si>
    <t>10-0S4604</t>
  </si>
  <si>
    <t>08-0L7504</t>
  </si>
  <si>
    <t>08-0L2804</t>
  </si>
  <si>
    <t>08-0L6804</t>
  </si>
  <si>
    <t>08-0L7304</t>
  </si>
  <si>
    <t>08-0K8004</t>
  </si>
  <si>
    <t>Overlay rubberized hot mix asphalt and dig outs</t>
  </si>
  <si>
    <t>03-3M2004</t>
  </si>
  <si>
    <t>Chip Seal</t>
  </si>
  <si>
    <t>08-0K6204</t>
  </si>
  <si>
    <t>Hot Mix Asphalt Overlay and Digouts</t>
  </si>
  <si>
    <t>Contract #</t>
  </si>
  <si>
    <t>Work Description</t>
  </si>
  <si>
    <t>Target Award Date</t>
  </si>
  <si>
    <t>Target Approval Date</t>
  </si>
  <si>
    <t>Low Bid</t>
  </si>
  <si>
    <t>11-288804</t>
  </si>
  <si>
    <t>04-1E3804</t>
  </si>
  <si>
    <t>Cold plane asphalt concrete pavement and place HMA (A).</t>
  </si>
  <si>
    <t>05-0E4704</t>
  </si>
  <si>
    <t>Contruct median lane and left turn channelization.</t>
  </si>
  <si>
    <t>06-432104</t>
  </si>
  <si>
    <t>Widen ramps and install ramp metering system.</t>
  </si>
  <si>
    <t>07-269004</t>
  </si>
  <si>
    <t>DistEA</t>
  </si>
  <si>
    <t>03366901</t>
  </si>
  <si>
    <t>03-But-99-13.8/21.1</t>
  </si>
  <si>
    <t>050F7101</t>
  </si>
  <si>
    <t>05-SLO-46-49.5</t>
  </si>
  <si>
    <t>08434301</t>
  </si>
  <si>
    <t>08-Riv-95-24.9/32.7</t>
  </si>
  <si>
    <t>01380501</t>
  </si>
  <si>
    <t>01-Men-222-1.6</t>
  </si>
  <si>
    <t>06416101</t>
  </si>
  <si>
    <t>06-Mad-145-R1.3/10.9</t>
  </si>
  <si>
    <t>11288801</t>
  </si>
  <si>
    <t>11-SD-905-R9.5/R15.0</t>
  </si>
  <si>
    <t>Construct new 6 lane PCC freeway.</t>
  </si>
  <si>
    <t>031A8411</t>
  </si>
  <si>
    <t>03-ED-89-0.0/8.6</t>
  </si>
  <si>
    <t>04294911</t>
  </si>
  <si>
    <t>Construct a 4th Caldecott tunnel and building.</t>
  </si>
  <si>
    <t>044C15U1</t>
  </si>
  <si>
    <t>050P9101</t>
  </si>
  <si>
    <t>05-SB-154-23.0</t>
  </si>
  <si>
    <t>Construct bridge barrier.</t>
  </si>
  <si>
    <t>ARRAL-P154(018)E</t>
  </si>
  <si>
    <t>07-226534</t>
  </si>
  <si>
    <t>07-226544</t>
  </si>
  <si>
    <t>07-252714</t>
  </si>
  <si>
    <t>Awarded 9/10/09</t>
  </si>
  <si>
    <t>Awarded 9/8/09</t>
  </si>
  <si>
    <t>09345101</t>
  </si>
  <si>
    <t>09-Iny-168-13.5/15.0</t>
  </si>
  <si>
    <t>Crack &amp; seat, replace PCC, place HMA on hwy &amp; ramps and widen bridges.</t>
  </si>
  <si>
    <t>Awarded 6/8/10</t>
  </si>
  <si>
    <t>Awarded 6/10/10</t>
  </si>
  <si>
    <t>06-0A4904</t>
  </si>
  <si>
    <t>Widen shoulder and place HMA over CL 2 AB.</t>
  </si>
  <si>
    <t>05-0F7104</t>
  </si>
  <si>
    <t>Construct new comfort station and landscape rest area.</t>
  </si>
  <si>
    <t>08-434304</t>
  </si>
  <si>
    <t>Drainage Improvements</t>
  </si>
  <si>
    <t>01-380504</t>
  </si>
  <si>
    <t>Replace Bridge (Scour)</t>
  </si>
  <si>
    <t>06-416104</t>
  </si>
  <si>
    <t>Asphalt concrete overlay and replace bridge.</t>
  </si>
  <si>
    <t>03-1A8414</t>
  </si>
  <si>
    <t>Install drainage facilities and widen with HMA over CL2 AB</t>
  </si>
  <si>
    <t>04-4C15U4</t>
  </si>
  <si>
    <t>Crack seat and overlay on the mainline with shoulder backing.</t>
  </si>
  <si>
    <t>03-4C0304</t>
  </si>
  <si>
    <t>Install traffic monitoring stations.</t>
  </si>
  <si>
    <t>04-177904</t>
  </si>
  <si>
    <t>03-1E0304</t>
  </si>
  <si>
    <t>Reconstruct embankment slope, shoulder; and MBGR.</t>
  </si>
  <si>
    <t>12-0G0304</t>
  </si>
  <si>
    <t>Replace exist MBGR with conc barrier and extension of MBGR on 2 ramps</t>
  </si>
  <si>
    <t>05-0L8004</t>
  </si>
  <si>
    <t>032A6901</t>
  </si>
  <si>
    <t>03-Nev-49-15.4/18.0</t>
  </si>
  <si>
    <t>Widen roadway with HMA over AB, const conc barrier and sound walls.</t>
  </si>
  <si>
    <t>SARRA-P049(148)E</t>
  </si>
  <si>
    <t>031A4321</t>
  </si>
  <si>
    <t>03-Sut-99-10.9/14.7</t>
  </si>
  <si>
    <t>Widen to provide four lane segment.</t>
  </si>
  <si>
    <t>SARRA-P099(529)E</t>
  </si>
  <si>
    <t>Awarded 5/28/10</t>
  </si>
  <si>
    <t>Cold plane asphalt pavement and place HMA (open graded) overlay.</t>
  </si>
  <si>
    <t>Awarded 8/17/09</t>
  </si>
  <si>
    <t>Awarded 8/20/09</t>
  </si>
  <si>
    <t>Awarded 8/28/09</t>
  </si>
  <si>
    <t>100L5901</t>
  </si>
  <si>
    <t>10-Sta-99-R16.8/R24.5</t>
  </si>
  <si>
    <t>PERFORM HIGHWAY PLANTING AND INSTALL IRRIGATION SYSTEM</t>
  </si>
  <si>
    <t>Widen roadway with concrete over LCB and install concrete barrier.</t>
  </si>
  <si>
    <t>Awarded 9/3/09</t>
  </si>
  <si>
    <t>050G0301</t>
  </si>
  <si>
    <t>05-SLO-101-35.6/46.3</t>
  </si>
  <si>
    <t>041A9801</t>
  </si>
  <si>
    <t>04-SCl-101-31.8/34.3</t>
  </si>
  <si>
    <t xml:space="preserve">Freeway to be widen and interchange to be reconstructed.
</t>
  </si>
  <si>
    <t>ARRAL-Q101(164)</t>
  </si>
  <si>
    <t>01464301</t>
  </si>
  <si>
    <t>01-Men-101-R0.1/R101.6</t>
  </si>
  <si>
    <t>Reconstruct Metal Beam Guard Railing.</t>
  </si>
  <si>
    <t>SARRA-Q101(169)E</t>
  </si>
  <si>
    <t>01449401</t>
  </si>
  <si>
    <t>01-Men-101-21.1/33.7</t>
  </si>
  <si>
    <t>Awarded 3/23/10</t>
  </si>
  <si>
    <t>09-333804</t>
  </si>
  <si>
    <t>09-339604</t>
  </si>
  <si>
    <t>09-345104</t>
  </si>
  <si>
    <t>11-SD-905,805-R8.4/R9.8,3.1/4.2</t>
  </si>
  <si>
    <t>Awarded 10/14/10</t>
  </si>
  <si>
    <t>05-0S2104</t>
  </si>
  <si>
    <t>05-0S2204</t>
  </si>
  <si>
    <t>08-422204</t>
  </si>
  <si>
    <t>08-456004</t>
  </si>
  <si>
    <t>09-327104</t>
  </si>
  <si>
    <t>Awarded 2/22/10</t>
  </si>
  <si>
    <t>Install ramp metering systems and widen ramp.</t>
  </si>
  <si>
    <t>ARRAL-280-1(129)E</t>
  </si>
  <si>
    <t>04163741</t>
  </si>
  <si>
    <t>04-SF-101-8.2/9.2</t>
  </si>
  <si>
    <t>Construct tunnel, retaining walls, roadways, bridge and substation.</t>
  </si>
  <si>
    <t>SARRA-Q101(153)N</t>
  </si>
  <si>
    <t>071218V1</t>
  </si>
  <si>
    <t>07-LA-5-50.8/58.0</t>
  </si>
  <si>
    <t>Const HOV lanes, retaining walls, sound walls and replace conc pvmt.</t>
  </si>
  <si>
    <t>SARRAL-005-3(029)N</t>
  </si>
  <si>
    <t>Awarded 12/23/09</t>
  </si>
  <si>
    <t>Awarded 12/22/09</t>
  </si>
  <si>
    <t>060A4901</t>
  </si>
  <si>
    <t>06-Fre-41-R30.7/R31.7</t>
  </si>
  <si>
    <t>HIGHWAY PLANTING AND IRRIGATION WITH PAVING AT EXTENDED GORE AREAS</t>
  </si>
  <si>
    <t>SARRA-S168(053)E</t>
  </si>
  <si>
    <t>09-Iny-190-47.4</t>
  </si>
  <si>
    <t>SARRA-P190(013)E</t>
  </si>
  <si>
    <t>100L5701</t>
  </si>
  <si>
    <t>10-SJ-205-1.7/R12.6</t>
  </si>
  <si>
    <t>SARRA-X051(025)E</t>
  </si>
  <si>
    <t>Awarded 11/10/09</t>
  </si>
  <si>
    <t>Awarded 11/16/09</t>
  </si>
  <si>
    <t>04-Ala-24-5.3/8.8</t>
  </si>
  <si>
    <t>02373101</t>
  </si>
  <si>
    <t>02-Plu-70-56.5/57.2</t>
  </si>
  <si>
    <t>Construct Spanish Creek Bridge with Spandrel Column Structure.</t>
  </si>
  <si>
    <t>SARRA-P070(099)E</t>
  </si>
  <si>
    <t>024C5801</t>
  </si>
  <si>
    <t>02-Teh-99-11.6/12.6</t>
  </si>
  <si>
    <t>ARRAL-P099(525)E</t>
  </si>
  <si>
    <t>Awarded 11/24/09</t>
  </si>
  <si>
    <t>04151301</t>
  </si>
  <si>
    <t>04-SCl-280-R1.0/L5.0</t>
  </si>
  <si>
    <t>Install ramp metering systems, widen ramps.</t>
  </si>
  <si>
    <t>ARRAL-280-1(127)E</t>
  </si>
  <si>
    <t>04150341</t>
  </si>
  <si>
    <t>04-SCl-280-R2.0/L5.0</t>
  </si>
  <si>
    <t xml:space="preserve">Install ramp metering systems, widen onramps.
</t>
  </si>
  <si>
    <t>ARRAL-280-1(126)E</t>
  </si>
  <si>
    <t>04153401</t>
  </si>
  <si>
    <t>Awarded 5/10/10</t>
  </si>
  <si>
    <t>12-0G7304</t>
  </si>
  <si>
    <t>Awarded 12/31/09</t>
  </si>
  <si>
    <t>Replace steel bridge with reinforced concrete box girder bridge.</t>
  </si>
  <si>
    <t>06-0C8004</t>
  </si>
  <si>
    <t xml:space="preserve">Construct concrete and thrie beam median barrier, and widen shoulder. </t>
  </si>
  <si>
    <t>12-0J7004</t>
  </si>
  <si>
    <t>Slurry seal pavement and digouts</t>
  </si>
  <si>
    <t>12-0J0904</t>
  </si>
  <si>
    <t>Rubberized asphalt concrete overlay</t>
  </si>
  <si>
    <t>10-0K0204</t>
  </si>
  <si>
    <t>Replace bridge and construct roadway.</t>
  </si>
  <si>
    <t>03-4C0904</t>
  </si>
  <si>
    <t>Realign and widen roadway with HMA, constr gabion wall.</t>
  </si>
  <si>
    <t>04-150474</t>
  </si>
  <si>
    <t>Install traffic management system elements.</t>
  </si>
  <si>
    <t>10-0S4504</t>
  </si>
  <si>
    <t>Cold plane AC pavement and apply rubberized HMA (Gap Graded).</t>
  </si>
  <si>
    <t>11-081644</t>
  </si>
  <si>
    <t>Construct southbound lanes and rehabilitate ramps.</t>
  </si>
  <si>
    <t>12-085104</t>
  </si>
  <si>
    <t xml:space="preserve">PAVEMENT REHABILITATION </t>
  </si>
  <si>
    <t>02-2C50U4</t>
  </si>
  <si>
    <t>Bridge deck maintenance and replace PCC pavement.</t>
  </si>
  <si>
    <t>09-339204</t>
  </si>
  <si>
    <t>Construct Asphalt Rubber Chip Seal.</t>
  </si>
  <si>
    <t>07-2Y6304</t>
  </si>
  <si>
    <t>Cold plane and place rubberized HMA (Type G).</t>
  </si>
  <si>
    <t>DIGOUTS AND REPLACE ASPHALT CONCRETE SURFACING</t>
  </si>
  <si>
    <t xml:space="preserve"> COLD PLANE AND HMA OVERLAY</t>
  </si>
  <si>
    <t>Replace asphalt concrete surfacing</t>
  </si>
  <si>
    <t>10-0S4404</t>
  </si>
  <si>
    <t>Apply polymer modified seal coat and flush coat.</t>
  </si>
  <si>
    <t>10-0S4704</t>
  </si>
  <si>
    <t>PLACE HOT MIX ASPHALT</t>
  </si>
  <si>
    <t>PLACE SEAL COAT</t>
  </si>
  <si>
    <t>PLACE ASPHALT RUBBER SEAL COAT</t>
  </si>
  <si>
    <t>Cold In-Place Recycle</t>
  </si>
  <si>
    <t>10-0H04U4</t>
  </si>
  <si>
    <t>Realignment to correct curve and improve intersection.</t>
  </si>
  <si>
    <t>03-3C8804</t>
  </si>
  <si>
    <t>Remove and Replace OGAC</t>
  </si>
  <si>
    <t>02-0E6104</t>
  </si>
  <si>
    <t>02-0E6504</t>
  </si>
  <si>
    <t>02-1E3204</t>
  </si>
  <si>
    <t>Awarded 4/14/10</t>
  </si>
  <si>
    <t>02-4C94U4</t>
  </si>
  <si>
    <t>02-4C9504</t>
  </si>
  <si>
    <t>080F1001</t>
  </si>
  <si>
    <t>08-SBd,Riv-71-4.9/8.5,0.0/1.8</t>
  </si>
  <si>
    <t>SARRAE-STPE-P071(058)E</t>
  </si>
  <si>
    <t>10279801</t>
  </si>
  <si>
    <t>10-Mer-165-11.7/26.7</t>
  </si>
  <si>
    <t>Existing roadway to be overlaid with HMA (Type A).</t>
  </si>
  <si>
    <t>SARRA-STP-BRSTP-P165(011)E</t>
  </si>
  <si>
    <t>080A6411</t>
  </si>
  <si>
    <t>08-SBd-15-160.9/161.5</t>
  </si>
  <si>
    <t>Constructing interpretive displays and landscaping.</t>
  </si>
  <si>
    <t>SARRAE-STPE-015-3(044)263E</t>
  </si>
  <si>
    <t>031E14U1</t>
  </si>
  <si>
    <t>03-ED-50-66.7/67.8</t>
  </si>
  <si>
    <t>Reconstruct concrete barrier railing and install culvert liners.</t>
  </si>
  <si>
    <t>SARRA-NH-P050(125)E</t>
  </si>
  <si>
    <t>060K8901</t>
  </si>
  <si>
    <t>06-Ker-5-36.1/54.2</t>
  </si>
  <si>
    <t>Replace concrete panel, reconstruct lane and shoulder.</t>
  </si>
  <si>
    <t>IM-SARRA-005-4(185)241E</t>
  </si>
  <si>
    <t>07252501</t>
  </si>
  <si>
    <t>07-LA-5-R59.7/R73.7</t>
  </si>
  <si>
    <t>Place rubberized HMA (Type G) and replace concrete pavement.</t>
  </si>
  <si>
    <t>SARRA-IM-005-3(043)E</t>
  </si>
  <si>
    <t>05-Mon-1,68-Var</t>
  </si>
  <si>
    <t>120K2001</t>
  </si>
  <si>
    <t>12-Ora-73-10.0/22.5</t>
  </si>
  <si>
    <t>030C2811</t>
  </si>
  <si>
    <t>03-Col,Pla,Sac-5, 51, 80, 99-Var</t>
  </si>
  <si>
    <t>04272021</t>
  </si>
  <si>
    <t>04-SCl-280-5.1/7.8</t>
  </si>
  <si>
    <t>06430101</t>
  </si>
  <si>
    <t>06-Ker-204-4.6/5.1</t>
  </si>
  <si>
    <t>060C8001</t>
  </si>
  <si>
    <t>06-Ker-5-6.4/10.3</t>
  </si>
  <si>
    <t>120J7001</t>
  </si>
  <si>
    <t>12-Ora-1-4.6/9.6,12.2/14.1</t>
  </si>
  <si>
    <t>050E4701</t>
  </si>
  <si>
    <t>05-Mon-101-45.8/82.0</t>
  </si>
  <si>
    <t>120J0901</t>
  </si>
  <si>
    <t>12-Ora-90-5.1/8.1</t>
  </si>
  <si>
    <t>100K0201</t>
  </si>
  <si>
    <t>10-Mer-99-25.4/27.8</t>
  </si>
  <si>
    <t>034C0901</t>
  </si>
  <si>
    <t>03-ED-49-10.6/13.3</t>
  </si>
  <si>
    <t>04150471</t>
  </si>
  <si>
    <t>100S4501</t>
  </si>
  <si>
    <t xml:space="preserve">10-Tuo-49-18.6/R27.5       </t>
  </si>
  <si>
    <t>11081641</t>
  </si>
  <si>
    <t>11-SD-54,805-1.6/2.5,7.6/9.2</t>
  </si>
  <si>
    <t>12085101</t>
  </si>
  <si>
    <t>12-Ora-39,72-19.2/23.2,11.4/11.9</t>
  </si>
  <si>
    <t>022C50U1</t>
  </si>
  <si>
    <t>02-Teh-5-R22.2/R27.5</t>
  </si>
  <si>
    <t>06432101</t>
  </si>
  <si>
    <t>06-Fre-41-R25.3,R26.3/R26.5</t>
  </si>
  <si>
    <t>09339201</t>
  </si>
  <si>
    <t>09-Mno-395-R12.6/36.1</t>
  </si>
  <si>
    <t>072Y6301</t>
  </si>
  <si>
    <t>07-Ven-34-13.6/17.6</t>
  </si>
  <si>
    <t>080L2801</t>
  </si>
  <si>
    <t>08-SBd-18-60.8/64.0,67.0/73.8</t>
  </si>
  <si>
    <t>080L6801</t>
  </si>
  <si>
    <t>08-Riv-243-1.1/5.3, 7.5/13.3</t>
  </si>
  <si>
    <t>080L7301</t>
  </si>
  <si>
    <t>08-Riv-15-33.2/38.3</t>
  </si>
  <si>
    <t>100S4401</t>
  </si>
  <si>
    <t>10-Ama-88-R60.8/66.7</t>
  </si>
  <si>
    <t>100S4701</t>
  </si>
  <si>
    <t>10-Ama-88-32.3/38.0</t>
  </si>
  <si>
    <t>020E6101</t>
  </si>
  <si>
    <t>02-Teh,Plu-VAR-VAR</t>
  </si>
  <si>
    <t>021E3201</t>
  </si>
  <si>
    <t>02-Mod-395-0.0/20.8</t>
  </si>
  <si>
    <t>020E6501</t>
  </si>
  <si>
    <t>02-Las-139-40.0/53.0</t>
  </si>
  <si>
    <t>021E9801</t>
  </si>
  <si>
    <t>02-Plu-36-R12.3/R14.0</t>
  </si>
  <si>
    <t>100H04U1</t>
  </si>
  <si>
    <t>10-SJ-4-8.7/R11.1</t>
  </si>
  <si>
    <t>07269001</t>
  </si>
  <si>
    <t>07-LA-710-17.9/20.8</t>
  </si>
  <si>
    <t>033C8801</t>
  </si>
  <si>
    <t>03-Sut-70, 99-0.0/0.7, 0.0/8.7</t>
  </si>
  <si>
    <t>060K9101</t>
  </si>
  <si>
    <t>06-Fre-33,198-Var</t>
  </si>
  <si>
    <t>060K7201</t>
  </si>
  <si>
    <t>06-Ker-14-16.3/26.6, 46.2/60.6</t>
  </si>
  <si>
    <t>060K7401</t>
  </si>
  <si>
    <t>06-Ker,Kin-33, 41-Var</t>
  </si>
  <si>
    <t>100S4601</t>
  </si>
  <si>
    <t>10-Mer,Sta-33- R0.0/L5.6, 17.8/27.1</t>
  </si>
  <si>
    <t>080L7501</t>
  </si>
  <si>
    <t>08-SBd-62-133.5/137.5</t>
  </si>
  <si>
    <t>Replace AC Surfacing at Various Locations</t>
  </si>
  <si>
    <t>080K8001</t>
  </si>
  <si>
    <t>08-SBd-395-51.9/58.1
61.0/65.6</t>
  </si>
  <si>
    <t>033M2001</t>
  </si>
  <si>
    <t>03-Sie-49-47.5/64.0</t>
  </si>
  <si>
    <t>080K6201</t>
  </si>
  <si>
    <t>08-SBd-18-31.5/39.0</t>
  </si>
  <si>
    <t>041E3801</t>
  </si>
  <si>
    <t>04-Nap-29-38.1/48.6</t>
  </si>
  <si>
    <t>041E3901</t>
  </si>
  <si>
    <t>04-SCl-35-7.7/14.1</t>
  </si>
  <si>
    <t>Overlay roadway with rubberized hot mix asphalt (gap graded).</t>
  </si>
  <si>
    <t>041E2201</t>
  </si>
  <si>
    <t>04-Son-1-30.5/35.5,50.6/58.5</t>
  </si>
  <si>
    <t>041E3201</t>
  </si>
  <si>
    <t>04-SM-101-23.0/26.1</t>
  </si>
  <si>
    <t>Cold plane and place rubberized hot mix asphalt (gap graded).</t>
  </si>
  <si>
    <t>Notes</t>
  </si>
  <si>
    <t>Awarded 4/21/09</t>
  </si>
  <si>
    <t>Road</t>
  </si>
  <si>
    <t>LOW BID</t>
  </si>
  <si>
    <t>Ad Date</t>
  </si>
  <si>
    <t>Bid Open</t>
  </si>
  <si>
    <t>04-CC,Ala-24-8.2/10.0,0.0/2.7</t>
  </si>
  <si>
    <t>04-SM-280-R0.0/M27.4</t>
  </si>
  <si>
    <t>033M6201</t>
  </si>
  <si>
    <t>03-Yub-20-10.2/13.4</t>
  </si>
  <si>
    <t>Hot Mix Asphalt (Bonded Wearing Course- Open Graded)</t>
  </si>
  <si>
    <t>Estimate</t>
  </si>
  <si>
    <t>100G7701</t>
  </si>
  <si>
    <t>10-Sta-33-0.5/1.5,12.6/14.5</t>
  </si>
  <si>
    <t>073Y7901</t>
  </si>
  <si>
    <t>07-LA-210-R19.9/R25.3</t>
  </si>
  <si>
    <t>Replace PCC slabs.</t>
  </si>
  <si>
    <t>073Y8101</t>
  </si>
  <si>
    <t>07-LA-134-2.6/9.0</t>
  </si>
  <si>
    <t>SARRAE-P041(115)E</t>
  </si>
  <si>
    <t>SARRA-STPE-P299(157)E</t>
  </si>
  <si>
    <t>050S2101</t>
  </si>
  <si>
    <t>05-SB-1-R23.3/M29.9</t>
  </si>
  <si>
    <t>Place microsurfacing seal coat on existing roadway.</t>
  </si>
  <si>
    <t>SARRA-P001(545)E</t>
  </si>
  <si>
    <t>050S2201</t>
  </si>
  <si>
    <t>05-SB-154-23.4/32.2</t>
  </si>
  <si>
    <t>Place HMA  (Open Graded) overlay on existing pavement.</t>
  </si>
  <si>
    <t>SARRA-P154(019)E</t>
  </si>
  <si>
    <t>Install CMS and CCTV.</t>
  </si>
  <si>
    <t>04-272024</t>
  </si>
  <si>
    <t>Existing highway to be surfaced and bridge decks to be treated.</t>
  </si>
  <si>
    <t>06-430104</t>
  </si>
  <si>
    <t>Awarded 5/15/09</t>
  </si>
  <si>
    <t>Awarded 5/8/09</t>
  </si>
  <si>
    <t>Informal, Awarded 5/27/09</t>
  </si>
  <si>
    <t>08422201</t>
  </si>
  <si>
    <t>08-Riv-78-3.3</t>
  </si>
  <si>
    <t>Replace concrete bridge.</t>
  </si>
  <si>
    <t>Awarded 5/29/09</t>
  </si>
  <si>
    <t>Awarded 6/1/09</t>
  </si>
  <si>
    <t>Informal, Awarded 6/2/09</t>
  </si>
  <si>
    <t>Informal, Awarded 6/3/09</t>
  </si>
  <si>
    <t>Awarded 6/4/09</t>
  </si>
  <si>
    <t>Awarded 6/5/09</t>
  </si>
  <si>
    <t>Award Date</t>
  </si>
  <si>
    <t>07226521</t>
  </si>
  <si>
    <t>07-LA-Var-Var</t>
  </si>
  <si>
    <t>Install vertical clearance and advance warning signs.</t>
  </si>
  <si>
    <t>07226541</t>
  </si>
  <si>
    <t>07226531</t>
  </si>
  <si>
    <t>Awarded 6/9/09</t>
  </si>
  <si>
    <t>Awarded 6/8/09</t>
  </si>
  <si>
    <t>Awarded 6/11/09</t>
  </si>
  <si>
    <t>Informal, Awarded 6/11/09</t>
  </si>
  <si>
    <t>Awarded 6/12/09</t>
  </si>
  <si>
    <t>A_B</t>
  </si>
  <si>
    <t>A+B</t>
  </si>
  <si>
    <t>08394701</t>
  </si>
  <si>
    <t>08-SBd-18-66.6/67.2</t>
  </si>
  <si>
    <t>Replace bridge and realign curve.</t>
  </si>
  <si>
    <t>07226511</t>
  </si>
  <si>
    <t>07-LA,Ven-Var-Var</t>
  </si>
  <si>
    <t>Install vertical clearance and warning signs.</t>
  </si>
  <si>
    <t>Awarded 6/17/09</t>
  </si>
  <si>
    <t>Awarded 6/15/09</t>
  </si>
  <si>
    <t>Awarded 6/16/09</t>
  </si>
  <si>
    <t>Informal, Awarded 6/15/09</t>
  </si>
  <si>
    <t>Awarded 6/18/09</t>
  </si>
  <si>
    <t>Awarded 6/23/09</t>
  </si>
  <si>
    <t>Awarded 6/19/09</t>
  </si>
  <si>
    <t>Awarded 6/25/09</t>
  </si>
  <si>
    <t>Awarded 6/29/09</t>
  </si>
  <si>
    <t>112T0401</t>
  </si>
  <si>
    <t>11-SD-5, 805-R49.9/R51.7, 42.6/46.5</t>
  </si>
  <si>
    <t>Construct HOV lanes and direct access ramp.</t>
  </si>
  <si>
    <t>Awarded 7/9/09</t>
  </si>
  <si>
    <t>07266701</t>
  </si>
  <si>
    <t>07-Ven-118-R43.3/R52.3</t>
  </si>
  <si>
    <t>08456001</t>
  </si>
  <si>
    <t>08-Riv-10-66.5/71.7</t>
  </si>
  <si>
    <t>CONSTRUCT INTERCHANGE</t>
  </si>
  <si>
    <t>11080101</t>
  </si>
  <si>
    <t>11-SD-76-R11.7/21.1</t>
  </si>
  <si>
    <t>To construct a 4-lane highway</t>
  </si>
  <si>
    <t>07252711</t>
  </si>
  <si>
    <t>07-LA-5-39.4/R43.9</t>
  </si>
  <si>
    <t>Grind and replace concrete pavement.</t>
  </si>
  <si>
    <t>Awarded 7/16/09</t>
  </si>
  <si>
    <t>Awarded 7/15/09</t>
  </si>
  <si>
    <t>Awarded 7/20/09</t>
  </si>
  <si>
    <t>Awarded 7/21/09</t>
  </si>
  <si>
    <t>Awarded 7/23/09</t>
  </si>
  <si>
    <t>Awarded 7/29/09</t>
  </si>
  <si>
    <t>Awarded 7/31/09</t>
  </si>
  <si>
    <t>Awarded 8/6/09</t>
  </si>
  <si>
    <t>Awarded 8/3/09</t>
  </si>
  <si>
    <t>09339601</t>
  </si>
  <si>
    <t>09-Iny,SBd-127,178-Var</t>
  </si>
  <si>
    <t>04-1A9804</t>
  </si>
  <si>
    <t>Awarded 4/5/10</t>
  </si>
  <si>
    <t>Shoulder widening and place HMA (Open Graded) overlay.</t>
  </si>
  <si>
    <t>09327101</t>
  </si>
  <si>
    <t>09-Mno-108, 395-15.1,92.1/96.1</t>
  </si>
  <si>
    <t>Install wildlife crossings and wildlife fencing.</t>
  </si>
  <si>
    <t>Awarded 9-25-09</t>
  </si>
  <si>
    <t>09333801</t>
  </si>
  <si>
    <t>Pave and improve an intersection, access road and parking area.</t>
  </si>
  <si>
    <t>Awarded 10/1/09</t>
  </si>
  <si>
    <t>Awarded 9/28/09</t>
  </si>
  <si>
    <t>Awarded 10/8/09</t>
  </si>
  <si>
    <t>Federal Aid No.:</t>
  </si>
  <si>
    <t>HPLU-6211(078)N</t>
  </si>
  <si>
    <t>SARRA-080-2(356)E</t>
  </si>
  <si>
    <t>SARRA-P099(519)</t>
  </si>
  <si>
    <t>SARRA-P222(001)E</t>
  </si>
  <si>
    <t>SARRA-P089(094)E</t>
  </si>
  <si>
    <t>SARRA-000C(304)E</t>
  </si>
  <si>
    <t>SARRA-X053(022)E</t>
  </si>
  <si>
    <t>SARRA-000C(303)E</t>
  </si>
  <si>
    <t>SARRA-P049(143)E</t>
  </si>
  <si>
    <t>SARRA-P099(520)E</t>
  </si>
  <si>
    <t>SARRA-P145(029)E</t>
  </si>
  <si>
    <t>SARRA-P020(150)E</t>
  </si>
  <si>
    <t>SARRA-P001(541)E</t>
  </si>
  <si>
    <t>SARRA-005-8(336)E</t>
  </si>
  <si>
    <t>SARRA-000C(305)E</t>
  </si>
  <si>
    <t>SARRA-P139(019)E</t>
  </si>
  <si>
    <t>SARRA-P395(224)E</t>
  </si>
  <si>
    <t>SARRA-P036(086)E</t>
  </si>
  <si>
    <t>SARRA-P095(020)E</t>
  </si>
  <si>
    <t>SARRA-880-1(058)E</t>
  </si>
  <si>
    <t>SARRA-P057(053)E</t>
  </si>
  <si>
    <t>SARRA-280-1(119)E</t>
  </si>
  <si>
    <t>SARRA-S204(004)E</t>
  </si>
  <si>
    <t>SARRA-005-4(182)211E</t>
  </si>
  <si>
    <t>SARRA-P090(011)E</t>
  </si>
  <si>
    <t>SARRA-P049(145)E</t>
  </si>
  <si>
    <t>SARRA-P395(226)E</t>
  </si>
  <si>
    <t>SARRA-X019(021)E</t>
  </si>
  <si>
    <t>SARRA-P014(065)E</t>
  </si>
  <si>
    <t>SARRA-000C(306)E</t>
  </si>
  <si>
    <t>SARRA-P033(068)E</t>
  </si>
  <si>
    <t>SARRA-P088(053)E</t>
  </si>
  <si>
    <t>SARRA-P088(052)E</t>
  </si>
  <si>
    <t>Awarded 12/13/10</t>
  </si>
  <si>
    <t>Awarded 1/28/11</t>
  </si>
  <si>
    <t>Awarded 1/26/11</t>
  </si>
  <si>
    <t>Awarded 1/25/11</t>
  </si>
  <si>
    <t>Awarded 2/8/2011</t>
  </si>
  <si>
    <t>Awarded 1/19/2011</t>
  </si>
  <si>
    <t>Awarded 2/10/11</t>
  </si>
  <si>
    <t>Awarded 3/7/11</t>
  </si>
  <si>
    <t>CONTRACT #</t>
  </si>
  <si>
    <t>Goals</t>
  </si>
  <si>
    <t>DBE WBE CERT. %</t>
  </si>
  <si>
    <t>C02-0E6104</t>
  </si>
  <si>
    <t>C02-0E6504</t>
  </si>
  <si>
    <t>C02-1E3204</t>
  </si>
  <si>
    <t>C02-1E9804</t>
  </si>
  <si>
    <t>C07-1218V4</t>
  </si>
  <si>
    <t>C08-0L2804</t>
  </si>
  <si>
    <t>C08-0L6804</t>
  </si>
  <si>
    <t>C08-0L7304</t>
  </si>
  <si>
    <t>R07-1218V4</t>
  </si>
  <si>
    <t>R11-2T0404</t>
  </si>
  <si>
    <t>Achievement</t>
  </si>
  <si>
    <t>UDBE Goal</t>
  </si>
  <si>
    <t>Awarded 4/6/11</t>
  </si>
  <si>
    <t>Awarded 5/27/11</t>
  </si>
</sst>
</file>

<file path=xl/styles.xml><?xml version="1.0" encoding="utf-8"?>
<styleSheet xmlns="http://schemas.openxmlformats.org/spreadsheetml/2006/main">
  <numFmts count="2">
    <numFmt numFmtId="164" formatCode="&quot;$&quot;#,##0"/>
    <numFmt numFmtId="165" formatCode="mm/dd/yyyy"/>
  </numFmts>
  <fonts count="5">
    <font>
      <sz val="10"/>
      <name val="Arial"/>
    </font>
    <font>
      <b/>
      <sz val="10"/>
      <name val="Arial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1" xfId="0" applyBorder="1"/>
    <xf numFmtId="164" fontId="0" fillId="0" borderId="0" xfId="0" applyNumberFormat="1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49" fontId="0" fillId="0" borderId="2" xfId="0" applyNumberFormat="1" applyFill="1" applyBorder="1" applyAlignment="1">
      <alignment horizontal="right" vertical="top"/>
    </xf>
    <xf numFmtId="0" fontId="1" fillId="0" borderId="1" xfId="0" applyFont="1" applyFill="1" applyBorder="1" applyAlignment="1">
      <alignment horizontal="center" vertical="top"/>
    </xf>
    <xf numFmtId="14" fontId="0" fillId="0" borderId="1" xfId="0" applyNumberFormat="1" applyBorder="1"/>
    <xf numFmtId="0" fontId="3" fillId="0" borderId="0" xfId="1" applyNumberFormat="1" applyFont="1" applyAlignment="1">
      <alignment horizontal="center" vertical="top"/>
    </xf>
    <xf numFmtId="0" fontId="2" fillId="0" borderId="0" xfId="1"/>
    <xf numFmtId="49" fontId="2" fillId="0" borderId="0" xfId="1" applyNumberFormat="1" applyFont="1" applyAlignment="1">
      <alignment vertical="top"/>
    </xf>
    <xf numFmtId="0" fontId="2" fillId="0" borderId="0" xfId="1" applyNumberFormat="1" applyFont="1" applyAlignment="1">
      <alignment vertical="top"/>
    </xf>
    <xf numFmtId="0" fontId="4" fillId="0" borderId="1" xfId="0" applyFont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s122058/LOCALS~1/Temp/notes6030C8/fhwa1586.EDCT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DCTC 4-9-09"/>
      <sheetName val="Sheet2"/>
    </sheetNames>
    <sheetDataSet>
      <sheetData sheetId="0"/>
      <sheetData sheetId="1">
        <row r="2">
          <cell r="A2" t="str">
            <v>Y</v>
          </cell>
        </row>
        <row r="3">
          <cell r="A3" t="str">
            <v>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15"/>
  <sheetViews>
    <sheetView tabSelected="1" topLeftCell="B1" zoomScale="75" zoomScaleNormal="75" workbookViewId="0">
      <selection activeCell="B1" sqref="B1"/>
    </sheetView>
  </sheetViews>
  <sheetFormatPr defaultColWidth="21.7109375" defaultRowHeight="12.75"/>
  <cols>
    <col min="1" max="1" width="21.7109375" hidden="1" customWidth="1"/>
    <col min="2" max="2" width="12.140625" bestFit="1" customWidth="1"/>
    <col min="3" max="3" width="32.28515625" bestFit="1" customWidth="1"/>
    <col min="4" max="4" width="32.5703125" customWidth="1"/>
    <col min="5" max="5" width="13.85546875" bestFit="1" customWidth="1"/>
    <col min="6" max="6" width="21.7109375" hidden="1" customWidth="1"/>
    <col min="7" max="7" width="13.85546875" bestFit="1" customWidth="1"/>
    <col min="8" max="8" width="21.7109375" hidden="1" customWidth="1"/>
    <col min="9" max="9" width="10.140625" bestFit="1" customWidth="1"/>
    <col min="10" max="10" width="10.42578125" bestFit="1" customWidth="1"/>
    <col min="11" max="12" width="21.7109375" hidden="1" customWidth="1"/>
    <col min="13" max="15" width="21.7109375" customWidth="1"/>
    <col min="16" max="16" width="21.7109375" hidden="1" customWidth="1"/>
    <col min="17" max="17" width="12.5703125" bestFit="1" customWidth="1"/>
    <col min="18" max="18" width="14.42578125" bestFit="1" customWidth="1"/>
  </cols>
  <sheetData>
    <row r="1" spans="1:18">
      <c r="A1" s="3" t="s">
        <v>209</v>
      </c>
      <c r="B1" s="9" t="s">
        <v>196</v>
      </c>
      <c r="C1" s="9" t="s">
        <v>507</v>
      </c>
      <c r="D1" s="9" t="s">
        <v>197</v>
      </c>
      <c r="E1" s="9" t="s">
        <v>516</v>
      </c>
      <c r="F1" s="9" t="s">
        <v>508</v>
      </c>
      <c r="G1" s="9" t="s">
        <v>200</v>
      </c>
      <c r="H1" s="9" t="s">
        <v>561</v>
      </c>
      <c r="I1" s="9" t="s">
        <v>509</v>
      </c>
      <c r="J1" s="9" t="s">
        <v>510</v>
      </c>
      <c r="K1" s="9" t="s">
        <v>550</v>
      </c>
      <c r="L1" s="9" t="s">
        <v>616</v>
      </c>
      <c r="M1" s="9" t="s">
        <v>198</v>
      </c>
      <c r="N1" s="9" t="s">
        <v>199</v>
      </c>
      <c r="O1" s="9" t="s">
        <v>505</v>
      </c>
      <c r="P1" s="11" t="s">
        <v>172</v>
      </c>
      <c r="Q1" s="11" t="s">
        <v>672</v>
      </c>
      <c r="R1" s="11" t="s">
        <v>671</v>
      </c>
    </row>
    <row r="2" spans="1:18">
      <c r="A2" s="4" t="s">
        <v>220</v>
      </c>
      <c r="B2" s="5" t="s">
        <v>201</v>
      </c>
      <c r="C2" s="6" t="s">
        <v>221</v>
      </c>
      <c r="D2" s="6" t="s">
        <v>222</v>
      </c>
      <c r="E2" s="7">
        <v>62200000</v>
      </c>
      <c r="F2" s="7">
        <v>57095736</v>
      </c>
      <c r="G2" s="7">
        <v>57095736</v>
      </c>
      <c r="H2" s="1"/>
      <c r="I2" s="8">
        <v>39769</v>
      </c>
      <c r="J2" s="8">
        <v>39933</v>
      </c>
      <c r="K2" s="8">
        <v>39941</v>
      </c>
      <c r="L2" s="6" t="s">
        <v>617</v>
      </c>
      <c r="M2" s="8">
        <v>39941</v>
      </c>
      <c r="N2" s="8">
        <v>39962</v>
      </c>
      <c r="O2" s="1" t="s">
        <v>539</v>
      </c>
      <c r="P2" s="1" t="e">
        <f>VLOOKUP(B2,kevin,1,FALSE)</f>
        <v>#REF!</v>
      </c>
      <c r="Q2" s="18">
        <f t="shared" ref="Q2:Q33" si="0">VLOOKUP(B2,udbe,2,FALSE)</f>
        <v>6</v>
      </c>
      <c r="R2" s="18">
        <f t="shared" ref="R2:R33" si="1">VLOOKUP(B2,udbe,3,FALSE)</f>
        <v>0.38</v>
      </c>
    </row>
    <row r="3" spans="1:18">
      <c r="A3" s="4" t="s">
        <v>227</v>
      </c>
      <c r="B3" s="5" t="s">
        <v>254</v>
      </c>
      <c r="C3" s="6" t="s">
        <v>91</v>
      </c>
      <c r="D3" s="6" t="s">
        <v>255</v>
      </c>
      <c r="E3" s="7">
        <v>22100000</v>
      </c>
      <c r="F3" s="7">
        <v>13359459.800000001</v>
      </c>
      <c r="G3" s="7">
        <v>13359459.800000001</v>
      </c>
      <c r="H3" s="1"/>
      <c r="I3" s="8">
        <v>39825</v>
      </c>
      <c r="J3" s="8">
        <v>39917</v>
      </c>
      <c r="K3" s="8">
        <v>39924</v>
      </c>
      <c r="L3" s="6" t="s">
        <v>618</v>
      </c>
      <c r="M3" s="8">
        <v>39934</v>
      </c>
      <c r="N3" s="8">
        <v>39948</v>
      </c>
      <c r="O3" s="1" t="s">
        <v>506</v>
      </c>
      <c r="P3" s="1" t="e">
        <f t="shared" ref="P3:P66" si="2">VLOOKUP(B3,kevin,1,FALSE)</f>
        <v>#REF!</v>
      </c>
      <c r="Q3" s="18">
        <f t="shared" si="0"/>
        <v>6</v>
      </c>
      <c r="R3" s="18">
        <f t="shared" si="1"/>
        <v>1.22</v>
      </c>
    </row>
    <row r="4" spans="1:18">
      <c r="A4" s="4" t="s">
        <v>210</v>
      </c>
      <c r="B4" s="5" t="s">
        <v>105</v>
      </c>
      <c r="C4" s="6" t="s">
        <v>211</v>
      </c>
      <c r="D4" s="6" t="s">
        <v>243</v>
      </c>
      <c r="E4" s="7">
        <v>12500000</v>
      </c>
      <c r="F4" s="7">
        <v>7279919</v>
      </c>
      <c r="G4" s="7">
        <v>7279919</v>
      </c>
      <c r="H4" s="1"/>
      <c r="I4" s="8">
        <v>39909</v>
      </c>
      <c r="J4" s="8">
        <v>39938</v>
      </c>
      <c r="K4" s="8">
        <v>39990</v>
      </c>
      <c r="L4" s="6" t="s">
        <v>619</v>
      </c>
      <c r="M4" s="8">
        <v>39951</v>
      </c>
      <c r="N4" s="8">
        <v>39965</v>
      </c>
      <c r="O4" s="1" t="s">
        <v>173</v>
      </c>
      <c r="P4" s="1" t="e">
        <f t="shared" si="2"/>
        <v>#REF!</v>
      </c>
      <c r="Q4" s="18">
        <f t="shared" si="0"/>
        <v>5</v>
      </c>
      <c r="R4" s="18">
        <f t="shared" si="1"/>
        <v>0.42</v>
      </c>
    </row>
    <row r="5" spans="1:18">
      <c r="A5" s="4" t="s">
        <v>216</v>
      </c>
      <c r="B5" s="5" t="s">
        <v>248</v>
      </c>
      <c r="C5" s="6" t="s">
        <v>217</v>
      </c>
      <c r="D5" s="6" t="s">
        <v>249</v>
      </c>
      <c r="E5" s="7">
        <v>10500000</v>
      </c>
      <c r="F5" s="7">
        <v>5390677</v>
      </c>
      <c r="G5" s="7">
        <v>5390677</v>
      </c>
      <c r="H5" s="1"/>
      <c r="I5" s="8">
        <v>39909</v>
      </c>
      <c r="J5" s="8">
        <v>39939</v>
      </c>
      <c r="K5" s="8">
        <v>39951</v>
      </c>
      <c r="L5" s="6" t="s">
        <v>620</v>
      </c>
      <c r="M5" s="8">
        <v>39969</v>
      </c>
      <c r="N5" s="8">
        <v>39983</v>
      </c>
      <c r="O5" s="1" t="s">
        <v>62</v>
      </c>
      <c r="P5" s="1" t="e">
        <f t="shared" si="2"/>
        <v>#REF!</v>
      </c>
      <c r="Q5" s="18">
        <f t="shared" si="0"/>
        <v>5</v>
      </c>
      <c r="R5" s="18">
        <f t="shared" si="1"/>
        <v>0.4</v>
      </c>
    </row>
    <row r="6" spans="1:18">
      <c r="A6" s="4" t="s">
        <v>223</v>
      </c>
      <c r="B6" s="5" t="s">
        <v>252</v>
      </c>
      <c r="C6" s="6" t="s">
        <v>224</v>
      </c>
      <c r="D6" s="6" t="s">
        <v>253</v>
      </c>
      <c r="E6" s="7">
        <v>22000000</v>
      </c>
      <c r="F6" s="7">
        <v>10856506</v>
      </c>
      <c r="G6" s="7">
        <v>10856506</v>
      </c>
      <c r="H6" s="1"/>
      <c r="I6" s="8">
        <v>39916</v>
      </c>
      <c r="J6" s="8">
        <v>39948</v>
      </c>
      <c r="K6" s="8">
        <v>39962</v>
      </c>
      <c r="L6" s="6" t="s">
        <v>621</v>
      </c>
      <c r="M6" s="8">
        <v>39976</v>
      </c>
      <c r="N6" s="8">
        <v>39990</v>
      </c>
      <c r="O6" s="1" t="s">
        <v>544</v>
      </c>
      <c r="P6" s="1" t="e">
        <f t="shared" si="2"/>
        <v>#REF!</v>
      </c>
      <c r="Q6" s="18">
        <f t="shared" si="0"/>
        <v>5</v>
      </c>
      <c r="R6" s="18">
        <f t="shared" si="1"/>
        <v>5</v>
      </c>
    </row>
    <row r="7" spans="1:18">
      <c r="A7" s="4" t="s">
        <v>92</v>
      </c>
      <c r="B7" s="5" t="s">
        <v>256</v>
      </c>
      <c r="C7" s="6" t="s">
        <v>93</v>
      </c>
      <c r="D7" s="6" t="s">
        <v>257</v>
      </c>
      <c r="E7" s="7">
        <v>1800000</v>
      </c>
      <c r="F7" s="7">
        <v>868559</v>
      </c>
      <c r="G7" s="7">
        <v>868559</v>
      </c>
      <c r="H7" s="1"/>
      <c r="I7" s="8">
        <v>39916</v>
      </c>
      <c r="J7" s="8">
        <v>39945</v>
      </c>
      <c r="K7" s="8">
        <v>39948</v>
      </c>
      <c r="L7" s="6" t="s">
        <v>622</v>
      </c>
      <c r="M7" s="8">
        <v>39951</v>
      </c>
      <c r="N7" s="8">
        <v>39965</v>
      </c>
      <c r="O7" s="1" t="s">
        <v>538</v>
      </c>
      <c r="P7" s="1" t="e">
        <f t="shared" si="2"/>
        <v>#REF!</v>
      </c>
      <c r="Q7" s="18">
        <f t="shared" si="0"/>
        <v>4</v>
      </c>
      <c r="R7" s="18">
        <f t="shared" si="1"/>
        <v>14.1</v>
      </c>
    </row>
    <row r="8" spans="1:18">
      <c r="A8" s="4" t="s">
        <v>101</v>
      </c>
      <c r="B8" s="5" t="s">
        <v>263</v>
      </c>
      <c r="C8" s="6" t="s">
        <v>418</v>
      </c>
      <c r="D8" s="6" t="s">
        <v>23</v>
      </c>
      <c r="E8" s="7">
        <v>1900000</v>
      </c>
      <c r="F8" s="7">
        <v>1288673.5</v>
      </c>
      <c r="G8" s="7">
        <v>1288673.5</v>
      </c>
      <c r="H8" s="1"/>
      <c r="I8" s="8">
        <v>39916</v>
      </c>
      <c r="J8" s="8">
        <v>39955</v>
      </c>
      <c r="K8" s="8">
        <v>39973</v>
      </c>
      <c r="L8" s="6" t="s">
        <v>623</v>
      </c>
      <c r="M8" s="8">
        <v>39976</v>
      </c>
      <c r="N8" s="8">
        <v>39990</v>
      </c>
      <c r="O8" s="1" t="s">
        <v>556</v>
      </c>
      <c r="P8" s="1" t="e">
        <f t="shared" si="2"/>
        <v>#REF!</v>
      </c>
      <c r="Q8" s="18">
        <f t="shared" si="0"/>
        <v>5</v>
      </c>
      <c r="R8" s="18">
        <f t="shared" si="1"/>
        <v>1.9</v>
      </c>
    </row>
    <row r="9" spans="1:18">
      <c r="A9" s="4" t="s">
        <v>421</v>
      </c>
      <c r="B9" s="5" t="s">
        <v>26</v>
      </c>
      <c r="C9" s="6" t="s">
        <v>422</v>
      </c>
      <c r="D9" s="6" t="s">
        <v>534</v>
      </c>
      <c r="E9" s="7">
        <v>5170000</v>
      </c>
      <c r="F9" s="7">
        <v>2970631.29</v>
      </c>
      <c r="G9" s="7">
        <v>3282547.15</v>
      </c>
      <c r="H9" s="1"/>
      <c r="I9" s="8">
        <v>39916</v>
      </c>
      <c r="J9" s="8">
        <v>39946</v>
      </c>
      <c r="K9" s="8">
        <v>39981</v>
      </c>
      <c r="L9" s="6" t="s">
        <v>624</v>
      </c>
      <c r="M9" s="8">
        <v>39976</v>
      </c>
      <c r="N9" s="8">
        <v>39990</v>
      </c>
      <c r="O9" s="1" t="s">
        <v>569</v>
      </c>
      <c r="P9" s="1" t="e">
        <f t="shared" si="2"/>
        <v>#REF!</v>
      </c>
      <c r="Q9" s="18">
        <f t="shared" si="0"/>
        <v>5</v>
      </c>
      <c r="R9" s="18">
        <f t="shared" si="1"/>
        <v>5.3</v>
      </c>
    </row>
    <row r="10" spans="1:18">
      <c r="A10" s="4" t="s">
        <v>437</v>
      </c>
      <c r="B10" s="5" t="s">
        <v>359</v>
      </c>
      <c r="C10" s="6" t="s">
        <v>438</v>
      </c>
      <c r="D10" s="6" t="s">
        <v>360</v>
      </c>
      <c r="E10" s="7">
        <v>7100000</v>
      </c>
      <c r="F10" s="7">
        <v>4304567.8</v>
      </c>
      <c r="G10" s="7">
        <v>4304567.8</v>
      </c>
      <c r="H10" s="1"/>
      <c r="I10" s="8">
        <v>39916</v>
      </c>
      <c r="J10" s="8">
        <v>39946</v>
      </c>
      <c r="K10" s="8">
        <v>39976</v>
      </c>
      <c r="L10" s="6" t="s">
        <v>625</v>
      </c>
      <c r="M10" s="8">
        <v>39976</v>
      </c>
      <c r="N10" s="8">
        <v>39990</v>
      </c>
      <c r="O10" s="1" t="s">
        <v>560</v>
      </c>
      <c r="P10" s="1" t="e">
        <f t="shared" si="2"/>
        <v>#REF!</v>
      </c>
      <c r="Q10" s="18">
        <f t="shared" si="0"/>
        <v>5</v>
      </c>
      <c r="R10" s="18">
        <f t="shared" si="1"/>
        <v>1.5</v>
      </c>
    </row>
    <row r="11" spans="1:18">
      <c r="A11" s="4" t="s">
        <v>476</v>
      </c>
      <c r="B11" s="5" t="s">
        <v>387</v>
      </c>
      <c r="C11" s="6" t="s">
        <v>477</v>
      </c>
      <c r="D11" s="6" t="s">
        <v>388</v>
      </c>
      <c r="E11" s="7">
        <v>13800000</v>
      </c>
      <c r="F11" s="7">
        <v>8277039.2000000002</v>
      </c>
      <c r="G11" s="7">
        <v>8277039.2000000002</v>
      </c>
      <c r="H11" s="1"/>
      <c r="I11" s="8">
        <v>39916</v>
      </c>
      <c r="J11" s="8">
        <v>39948</v>
      </c>
      <c r="K11" s="8">
        <v>39969</v>
      </c>
      <c r="L11" s="6" t="s">
        <v>626</v>
      </c>
      <c r="M11" s="8">
        <v>39976</v>
      </c>
      <c r="N11" s="8">
        <v>39990</v>
      </c>
      <c r="O11" s="1" t="s">
        <v>549</v>
      </c>
      <c r="P11" s="1" t="e">
        <f t="shared" si="2"/>
        <v>#REF!</v>
      </c>
      <c r="Q11" s="18">
        <f t="shared" si="0"/>
        <v>4</v>
      </c>
      <c r="R11" s="18">
        <f t="shared" si="1"/>
        <v>4.3</v>
      </c>
    </row>
    <row r="12" spans="1:18">
      <c r="A12" s="4" t="s">
        <v>218</v>
      </c>
      <c r="B12" s="5" t="s">
        <v>250</v>
      </c>
      <c r="C12" s="6" t="s">
        <v>219</v>
      </c>
      <c r="D12" s="6" t="s">
        <v>251</v>
      </c>
      <c r="E12" s="7">
        <v>10900000</v>
      </c>
      <c r="F12" s="7">
        <v>9642595.9000000004</v>
      </c>
      <c r="G12" s="7">
        <v>7836595.9000000004</v>
      </c>
      <c r="H12" s="6" t="s">
        <v>562</v>
      </c>
      <c r="I12" s="8">
        <v>39923</v>
      </c>
      <c r="J12" s="8">
        <v>39952</v>
      </c>
      <c r="K12" s="8">
        <v>39972</v>
      </c>
      <c r="L12" s="6" t="s">
        <v>627</v>
      </c>
      <c r="M12" s="8">
        <v>39982</v>
      </c>
      <c r="N12" s="8">
        <v>39996</v>
      </c>
      <c r="O12" s="1" t="s">
        <v>557</v>
      </c>
      <c r="P12" s="1" t="e">
        <f t="shared" si="2"/>
        <v>#REF!</v>
      </c>
      <c r="Q12" s="18">
        <f t="shared" si="0"/>
        <v>4</v>
      </c>
      <c r="R12" s="18">
        <f t="shared" si="1"/>
        <v>7.3</v>
      </c>
    </row>
    <row r="13" spans="1:18">
      <c r="A13" s="4" t="s">
        <v>429</v>
      </c>
      <c r="B13" s="5" t="s">
        <v>353</v>
      </c>
      <c r="C13" s="6" t="s">
        <v>430</v>
      </c>
      <c r="D13" s="6" t="s">
        <v>354</v>
      </c>
      <c r="E13" s="7">
        <v>1820000</v>
      </c>
      <c r="F13" s="7">
        <v>1674529</v>
      </c>
      <c r="G13" s="7">
        <v>1674529</v>
      </c>
      <c r="H13" s="1"/>
      <c r="I13" s="8">
        <v>39923</v>
      </c>
      <c r="J13" s="8">
        <v>39947</v>
      </c>
      <c r="K13" s="8">
        <v>39968</v>
      </c>
      <c r="L13" s="6" t="s">
        <v>629</v>
      </c>
      <c r="M13" s="8">
        <v>39976</v>
      </c>
      <c r="N13" s="8">
        <v>39990</v>
      </c>
      <c r="O13" s="1" t="s">
        <v>548</v>
      </c>
      <c r="P13" s="1" t="e">
        <f t="shared" si="2"/>
        <v>#REF!</v>
      </c>
      <c r="Q13" s="18">
        <f t="shared" si="0"/>
        <v>8</v>
      </c>
      <c r="R13" s="18">
        <f t="shared" si="1"/>
        <v>8.6</v>
      </c>
    </row>
    <row r="14" spans="1:18">
      <c r="A14" s="4" t="s">
        <v>446</v>
      </c>
      <c r="B14" s="5" t="s">
        <v>369</v>
      </c>
      <c r="C14" s="6" t="s">
        <v>447</v>
      </c>
      <c r="D14" s="6" t="s">
        <v>370</v>
      </c>
      <c r="E14" s="7">
        <v>34000000</v>
      </c>
      <c r="F14" s="7">
        <v>29211926.32</v>
      </c>
      <c r="G14" s="7">
        <v>29211926.32</v>
      </c>
      <c r="H14" s="1"/>
      <c r="I14" s="8">
        <v>39923</v>
      </c>
      <c r="J14" s="8">
        <v>39966</v>
      </c>
      <c r="K14" s="8">
        <v>39990</v>
      </c>
      <c r="L14" s="6" t="s">
        <v>630</v>
      </c>
      <c r="M14" s="8">
        <v>39996</v>
      </c>
      <c r="N14" s="8">
        <v>40010</v>
      </c>
      <c r="O14" s="1" t="s">
        <v>576</v>
      </c>
      <c r="P14" s="1" t="e">
        <f t="shared" si="2"/>
        <v>#REF!</v>
      </c>
      <c r="Q14" s="18">
        <f t="shared" si="0"/>
        <v>4</v>
      </c>
      <c r="R14" s="18">
        <f t="shared" si="1"/>
        <v>4.0999999999999996</v>
      </c>
    </row>
    <row r="15" spans="1:18">
      <c r="A15" s="4" t="s">
        <v>464</v>
      </c>
      <c r="B15" s="5" t="s">
        <v>389</v>
      </c>
      <c r="C15" s="6" t="s">
        <v>465</v>
      </c>
      <c r="D15" s="6" t="s">
        <v>381</v>
      </c>
      <c r="E15" s="7">
        <v>2520000</v>
      </c>
      <c r="F15" s="7">
        <v>2098799</v>
      </c>
      <c r="G15" s="7">
        <v>2098799</v>
      </c>
      <c r="H15" s="1"/>
      <c r="I15" s="8">
        <v>39923</v>
      </c>
      <c r="J15" s="8">
        <v>39953</v>
      </c>
      <c r="K15" s="8">
        <v>39969</v>
      </c>
      <c r="L15" s="6" t="s">
        <v>631</v>
      </c>
      <c r="M15" s="8">
        <v>39983</v>
      </c>
      <c r="N15" s="8">
        <v>39997</v>
      </c>
      <c r="O15" s="1" t="s">
        <v>549</v>
      </c>
      <c r="P15" s="1" t="e">
        <f t="shared" si="2"/>
        <v>#REF!</v>
      </c>
      <c r="Q15" s="18">
        <f t="shared" si="0"/>
        <v>4</v>
      </c>
      <c r="R15" s="18">
        <f t="shared" si="1"/>
        <v>4.2</v>
      </c>
    </row>
    <row r="16" spans="1:18">
      <c r="A16" s="4" t="s">
        <v>468</v>
      </c>
      <c r="B16" s="5" t="s">
        <v>390</v>
      </c>
      <c r="C16" s="6" t="s">
        <v>469</v>
      </c>
      <c r="D16" s="6" t="s">
        <v>383</v>
      </c>
      <c r="E16" s="7">
        <v>1120000</v>
      </c>
      <c r="F16" s="7">
        <v>1216648</v>
      </c>
      <c r="G16" s="7">
        <v>1216648</v>
      </c>
      <c r="H16" s="1"/>
      <c r="I16" s="8">
        <v>39923</v>
      </c>
      <c r="J16" s="8">
        <v>39952</v>
      </c>
      <c r="K16" s="8">
        <v>39973</v>
      </c>
      <c r="L16" s="6" t="s">
        <v>632</v>
      </c>
      <c r="M16" s="8">
        <v>39982</v>
      </c>
      <c r="N16" s="8">
        <v>39996</v>
      </c>
      <c r="O16" s="1" t="s">
        <v>556</v>
      </c>
      <c r="P16" s="1" t="e">
        <f t="shared" si="2"/>
        <v>#REF!</v>
      </c>
      <c r="Q16" s="18">
        <f t="shared" si="0"/>
        <v>4</v>
      </c>
      <c r="R16" s="18">
        <f t="shared" si="1"/>
        <v>2.4</v>
      </c>
    </row>
    <row r="17" spans="1:18">
      <c r="A17" s="4" t="s">
        <v>466</v>
      </c>
      <c r="B17" s="5" t="s">
        <v>391</v>
      </c>
      <c r="C17" s="6" t="s">
        <v>467</v>
      </c>
      <c r="D17" s="6" t="s">
        <v>382</v>
      </c>
      <c r="E17" s="7">
        <v>1380000</v>
      </c>
      <c r="F17" s="7">
        <v>1906179.5</v>
      </c>
      <c r="G17" s="7">
        <v>1906179.5</v>
      </c>
      <c r="H17" s="1"/>
      <c r="I17" s="8">
        <v>39923</v>
      </c>
      <c r="J17" s="8">
        <v>39953</v>
      </c>
      <c r="K17" s="8">
        <v>39972</v>
      </c>
      <c r="L17" s="6" t="s">
        <v>633</v>
      </c>
      <c r="M17" s="8">
        <v>39983</v>
      </c>
      <c r="N17" s="8">
        <v>39997</v>
      </c>
      <c r="O17" s="1" t="s">
        <v>557</v>
      </c>
      <c r="P17" s="1" t="e">
        <f t="shared" si="2"/>
        <v>#REF!</v>
      </c>
      <c r="Q17" s="18">
        <f t="shared" si="0"/>
        <v>6</v>
      </c>
      <c r="R17" s="18">
        <f t="shared" si="1"/>
        <v>0.2</v>
      </c>
    </row>
    <row r="18" spans="1:18">
      <c r="A18" s="4" t="s">
        <v>470</v>
      </c>
      <c r="B18" s="5" t="s">
        <v>178</v>
      </c>
      <c r="C18" s="6" t="s">
        <v>471</v>
      </c>
      <c r="D18" s="6" t="s">
        <v>384</v>
      </c>
      <c r="E18" s="7">
        <v>1540000</v>
      </c>
      <c r="F18" s="7">
        <v>1367377.77</v>
      </c>
      <c r="G18" s="7">
        <v>1367377.77</v>
      </c>
      <c r="H18" s="1"/>
      <c r="I18" s="8">
        <v>39923</v>
      </c>
      <c r="J18" s="8">
        <v>39946</v>
      </c>
      <c r="K18" s="8">
        <v>39965</v>
      </c>
      <c r="L18" s="6" t="s">
        <v>634</v>
      </c>
      <c r="M18" s="8">
        <v>39976</v>
      </c>
      <c r="N18" s="8">
        <v>39990</v>
      </c>
      <c r="O18" s="1" t="s">
        <v>545</v>
      </c>
      <c r="P18" s="1" t="e">
        <f t="shared" si="2"/>
        <v>#REF!</v>
      </c>
      <c r="Q18" s="18">
        <f t="shared" si="0"/>
        <v>5</v>
      </c>
      <c r="R18" s="18">
        <f t="shared" si="1"/>
        <v>8.6</v>
      </c>
    </row>
    <row r="19" spans="1:18">
      <c r="A19" s="4" t="s">
        <v>97</v>
      </c>
      <c r="B19" s="5" t="s">
        <v>259</v>
      </c>
      <c r="C19" s="6" t="s">
        <v>98</v>
      </c>
      <c r="D19" s="6" t="s">
        <v>260</v>
      </c>
      <c r="E19" s="7">
        <v>7400000</v>
      </c>
      <c r="F19" s="7">
        <v>5317623</v>
      </c>
      <c r="G19" s="7">
        <v>5317623</v>
      </c>
      <c r="H19" s="1"/>
      <c r="I19" s="8">
        <v>39923</v>
      </c>
      <c r="J19" s="8">
        <v>39945</v>
      </c>
      <c r="K19" s="8">
        <v>40025</v>
      </c>
      <c r="L19" s="6" t="s">
        <v>628</v>
      </c>
      <c r="M19" s="8">
        <v>39951</v>
      </c>
      <c r="N19" s="8">
        <v>39965</v>
      </c>
      <c r="O19" s="1" t="s">
        <v>599</v>
      </c>
      <c r="P19" s="1" t="e">
        <f t="shared" si="2"/>
        <v>#REF!</v>
      </c>
      <c r="Q19" s="18">
        <f t="shared" si="0"/>
        <v>5</v>
      </c>
      <c r="R19" s="18">
        <f t="shared" si="1"/>
        <v>0.2</v>
      </c>
    </row>
    <row r="20" spans="1:18">
      <c r="A20" s="4" t="s">
        <v>214</v>
      </c>
      <c r="B20" s="5" t="s">
        <v>246</v>
      </c>
      <c r="C20" s="6" t="s">
        <v>215</v>
      </c>
      <c r="D20" s="6" t="s">
        <v>247</v>
      </c>
      <c r="E20" s="7">
        <v>2940000</v>
      </c>
      <c r="F20" s="7">
        <v>1518158</v>
      </c>
      <c r="G20" s="7">
        <v>1518158</v>
      </c>
      <c r="H20" s="1"/>
      <c r="I20" s="8">
        <v>39930</v>
      </c>
      <c r="J20" s="8">
        <v>39961</v>
      </c>
      <c r="K20" s="8">
        <v>39979</v>
      </c>
      <c r="L20" s="6" t="s">
        <v>635</v>
      </c>
      <c r="M20" s="8">
        <v>39990</v>
      </c>
      <c r="N20" s="8">
        <v>40004</v>
      </c>
      <c r="O20" s="1" t="s">
        <v>570</v>
      </c>
      <c r="P20" s="1" t="e">
        <f t="shared" si="2"/>
        <v>#REF!</v>
      </c>
      <c r="Q20" s="18">
        <f t="shared" si="0"/>
        <v>5</v>
      </c>
      <c r="R20" s="18">
        <f t="shared" si="1"/>
        <v>3.4</v>
      </c>
    </row>
    <row r="21" spans="1:18">
      <c r="A21" s="4" t="s">
        <v>94</v>
      </c>
      <c r="B21" s="5" t="s">
        <v>258</v>
      </c>
      <c r="C21" s="6" t="s">
        <v>95</v>
      </c>
      <c r="D21" s="6" t="s">
        <v>96</v>
      </c>
      <c r="E21" s="7">
        <v>6500000</v>
      </c>
      <c r="F21" s="7">
        <v>7397807</v>
      </c>
      <c r="G21" s="7">
        <v>6517807</v>
      </c>
      <c r="H21" s="6" t="s">
        <v>562</v>
      </c>
      <c r="I21" s="8">
        <v>39930</v>
      </c>
      <c r="J21" s="8">
        <v>39959</v>
      </c>
      <c r="K21" s="8">
        <v>39979</v>
      </c>
      <c r="L21" s="6" t="s">
        <v>636</v>
      </c>
      <c r="M21" s="8">
        <v>39989</v>
      </c>
      <c r="N21" s="8">
        <v>40003</v>
      </c>
      <c r="O21" s="1" t="s">
        <v>570</v>
      </c>
      <c r="P21" s="1" t="e">
        <f t="shared" si="2"/>
        <v>#REF!</v>
      </c>
      <c r="Q21" s="18">
        <f t="shared" si="0"/>
        <v>4</v>
      </c>
      <c r="R21" s="18">
        <f t="shared" si="1"/>
        <v>0.3</v>
      </c>
    </row>
    <row r="22" spans="1:18">
      <c r="A22" s="4" t="s">
        <v>423</v>
      </c>
      <c r="B22" s="5" t="s">
        <v>535</v>
      </c>
      <c r="C22" s="6" t="s">
        <v>424</v>
      </c>
      <c r="D22" s="6" t="s">
        <v>536</v>
      </c>
      <c r="E22" s="7">
        <v>10803000</v>
      </c>
      <c r="F22" s="7">
        <v>8270513</v>
      </c>
      <c r="G22" s="7">
        <v>7575513</v>
      </c>
      <c r="H22" s="6" t="s">
        <v>562</v>
      </c>
      <c r="I22" s="8">
        <v>39930</v>
      </c>
      <c r="J22" s="8">
        <v>39966</v>
      </c>
      <c r="K22" s="8">
        <v>39983</v>
      </c>
      <c r="L22" s="6" t="s">
        <v>638</v>
      </c>
      <c r="M22" s="8">
        <v>39996</v>
      </c>
      <c r="N22" s="8">
        <v>40010</v>
      </c>
      <c r="O22" s="1" t="s">
        <v>575</v>
      </c>
      <c r="P22" s="1" t="e">
        <f t="shared" si="2"/>
        <v>#REF!</v>
      </c>
      <c r="Q22" s="18">
        <f t="shared" si="0"/>
        <v>7</v>
      </c>
      <c r="R22" s="18">
        <f t="shared" si="1"/>
        <v>0.8</v>
      </c>
    </row>
    <row r="23" spans="1:18">
      <c r="A23" s="4" t="s">
        <v>425</v>
      </c>
      <c r="B23" s="5" t="s">
        <v>537</v>
      </c>
      <c r="C23" s="6" t="s">
        <v>426</v>
      </c>
      <c r="D23" s="6" t="s">
        <v>350</v>
      </c>
      <c r="E23" s="7">
        <v>12830000</v>
      </c>
      <c r="F23" s="7">
        <v>11678093</v>
      </c>
      <c r="G23" s="7">
        <v>11678093</v>
      </c>
      <c r="H23" s="1"/>
      <c r="I23" s="8">
        <v>39930</v>
      </c>
      <c r="J23" s="8">
        <v>39959</v>
      </c>
      <c r="K23" s="8">
        <v>39973</v>
      </c>
      <c r="L23" s="6" t="s">
        <v>639</v>
      </c>
      <c r="M23" s="8">
        <v>39989</v>
      </c>
      <c r="N23" s="8">
        <v>40003</v>
      </c>
      <c r="O23" s="1" t="s">
        <v>556</v>
      </c>
      <c r="P23" s="1" t="e">
        <f t="shared" si="2"/>
        <v>#REF!</v>
      </c>
      <c r="Q23" s="18">
        <f t="shared" si="0"/>
        <v>4</v>
      </c>
      <c r="R23" s="18">
        <f t="shared" si="1"/>
        <v>0.17</v>
      </c>
    </row>
    <row r="24" spans="1:18">
      <c r="A24" s="4" t="s">
        <v>427</v>
      </c>
      <c r="B24" s="5" t="s">
        <v>351</v>
      </c>
      <c r="C24" s="6" t="s">
        <v>428</v>
      </c>
      <c r="D24" s="6" t="s">
        <v>352</v>
      </c>
      <c r="E24" s="7">
        <v>1910000</v>
      </c>
      <c r="F24" s="7">
        <v>1100000</v>
      </c>
      <c r="G24" s="7">
        <v>1100000</v>
      </c>
      <c r="H24" s="1"/>
      <c r="I24" s="8">
        <v>39930</v>
      </c>
      <c r="J24" s="8">
        <v>39959</v>
      </c>
      <c r="K24" s="8">
        <v>39987</v>
      </c>
      <c r="L24" s="6" t="s">
        <v>640</v>
      </c>
      <c r="M24" s="8">
        <v>39989</v>
      </c>
      <c r="N24" s="8">
        <v>40003</v>
      </c>
      <c r="O24" s="1" t="s">
        <v>574</v>
      </c>
      <c r="P24" s="1" t="e">
        <f t="shared" si="2"/>
        <v>#REF!</v>
      </c>
      <c r="Q24" s="18">
        <f t="shared" si="0"/>
        <v>4</v>
      </c>
      <c r="R24" s="18">
        <f t="shared" si="1"/>
        <v>4</v>
      </c>
    </row>
    <row r="25" spans="1:18">
      <c r="A25" s="4" t="s">
        <v>433</v>
      </c>
      <c r="B25" s="5" t="s">
        <v>355</v>
      </c>
      <c r="C25" s="6" t="s">
        <v>434</v>
      </c>
      <c r="D25" s="6" t="s">
        <v>356</v>
      </c>
      <c r="E25" s="7">
        <v>1730000</v>
      </c>
      <c r="F25" s="7">
        <v>1165358</v>
      </c>
      <c r="G25" s="7">
        <v>1165358</v>
      </c>
      <c r="H25" s="1"/>
      <c r="I25" s="8">
        <v>39930</v>
      </c>
      <c r="J25" s="8">
        <v>39954</v>
      </c>
      <c r="K25" s="8">
        <v>39975</v>
      </c>
      <c r="L25" s="6" t="s">
        <v>641</v>
      </c>
      <c r="M25" s="8">
        <v>39983</v>
      </c>
      <c r="N25" s="8">
        <v>39997</v>
      </c>
      <c r="O25" s="1" t="s">
        <v>558</v>
      </c>
      <c r="P25" s="1" t="e">
        <f t="shared" si="2"/>
        <v>#REF!</v>
      </c>
      <c r="Q25" s="18">
        <f t="shared" si="0"/>
        <v>9</v>
      </c>
      <c r="R25" s="18">
        <f t="shared" si="1"/>
        <v>9.4</v>
      </c>
    </row>
    <row r="26" spans="1:18">
      <c r="A26" s="4" t="s">
        <v>440</v>
      </c>
      <c r="B26" s="5" t="s">
        <v>363</v>
      </c>
      <c r="C26" s="6" t="s">
        <v>441</v>
      </c>
      <c r="D26" s="6" t="s">
        <v>364</v>
      </c>
      <c r="E26" s="7">
        <v>1170000</v>
      </c>
      <c r="F26" s="7">
        <v>1027942</v>
      </c>
      <c r="G26" s="7">
        <v>1027942</v>
      </c>
      <c r="H26" s="1"/>
      <c r="I26" s="8">
        <v>39930</v>
      </c>
      <c r="J26" s="8">
        <v>39959</v>
      </c>
      <c r="K26" s="8">
        <v>39975</v>
      </c>
      <c r="L26" s="6" t="s">
        <v>642</v>
      </c>
      <c r="M26" s="8">
        <v>39989</v>
      </c>
      <c r="N26" s="8">
        <v>40003</v>
      </c>
      <c r="O26" s="1" t="s">
        <v>558</v>
      </c>
      <c r="P26" s="1" t="e">
        <f t="shared" si="2"/>
        <v>#REF!</v>
      </c>
      <c r="Q26" s="18">
        <f t="shared" si="0"/>
        <v>4</v>
      </c>
      <c r="R26" s="18">
        <f t="shared" si="1"/>
        <v>4</v>
      </c>
    </row>
    <row r="27" spans="1:18">
      <c r="A27" s="4" t="s">
        <v>450</v>
      </c>
      <c r="B27" s="5" t="s">
        <v>371</v>
      </c>
      <c r="C27" s="6" t="s">
        <v>451</v>
      </c>
      <c r="D27" s="6" t="s">
        <v>372</v>
      </c>
      <c r="E27" s="7">
        <v>2490000</v>
      </c>
      <c r="F27" s="7">
        <v>2753542.1</v>
      </c>
      <c r="G27" s="7">
        <v>2753542.1</v>
      </c>
      <c r="H27" s="1"/>
      <c r="I27" s="8">
        <v>39930</v>
      </c>
      <c r="J27" s="8">
        <v>39955</v>
      </c>
      <c r="K27" s="8">
        <v>39982</v>
      </c>
      <c r="L27" s="6" t="s">
        <v>643</v>
      </c>
      <c r="M27" s="8">
        <v>39983</v>
      </c>
      <c r="N27" s="8">
        <v>39997</v>
      </c>
      <c r="O27" s="1" t="s">
        <v>573</v>
      </c>
      <c r="P27" s="1" t="e">
        <f t="shared" si="2"/>
        <v>#REF!</v>
      </c>
      <c r="Q27" s="18">
        <f t="shared" si="0"/>
        <v>4</v>
      </c>
      <c r="R27" s="18">
        <f t="shared" si="1"/>
        <v>0</v>
      </c>
    </row>
    <row r="28" spans="1:18">
      <c r="A28" s="4" t="s">
        <v>478</v>
      </c>
      <c r="B28" s="5" t="s">
        <v>179</v>
      </c>
      <c r="C28" s="6" t="s">
        <v>479</v>
      </c>
      <c r="D28" s="6" t="s">
        <v>180</v>
      </c>
      <c r="E28" s="7">
        <v>1300000</v>
      </c>
      <c r="F28" s="7">
        <v>1204788</v>
      </c>
      <c r="G28" s="7">
        <v>1204788</v>
      </c>
      <c r="H28" s="1"/>
      <c r="I28" s="8">
        <v>39930</v>
      </c>
      <c r="J28" s="8">
        <v>39953</v>
      </c>
      <c r="K28" s="8">
        <v>39972</v>
      </c>
      <c r="L28" s="6" t="s">
        <v>644</v>
      </c>
      <c r="M28" s="8">
        <v>39983</v>
      </c>
      <c r="N28" s="8">
        <v>39997</v>
      </c>
      <c r="O28" s="1" t="s">
        <v>557</v>
      </c>
      <c r="P28" s="1" t="e">
        <f t="shared" si="2"/>
        <v>#REF!</v>
      </c>
      <c r="Q28" s="18">
        <f t="shared" si="0"/>
        <v>4</v>
      </c>
      <c r="R28" s="18">
        <f t="shared" si="1"/>
        <v>16</v>
      </c>
    </row>
    <row r="29" spans="1:18">
      <c r="A29" s="4" t="s">
        <v>480</v>
      </c>
      <c r="B29" s="5" t="s">
        <v>181</v>
      </c>
      <c r="C29" s="6" t="s">
        <v>481</v>
      </c>
      <c r="D29" s="6" t="s">
        <v>182</v>
      </c>
      <c r="E29" s="7">
        <v>3480000</v>
      </c>
      <c r="F29" s="7">
        <v>4465525</v>
      </c>
      <c r="G29" s="7">
        <v>4465525</v>
      </c>
      <c r="H29" s="1"/>
      <c r="I29" s="8">
        <v>39930</v>
      </c>
      <c r="J29" s="8">
        <v>39960</v>
      </c>
      <c r="K29" s="8">
        <v>39980</v>
      </c>
      <c r="L29" s="6" t="s">
        <v>645</v>
      </c>
      <c r="M29" s="8">
        <v>39990</v>
      </c>
      <c r="N29" s="8">
        <v>40004</v>
      </c>
      <c r="O29" s="1" t="s">
        <v>571</v>
      </c>
      <c r="P29" s="1" t="e">
        <f t="shared" si="2"/>
        <v>#REF!</v>
      </c>
      <c r="Q29" s="18">
        <f t="shared" si="0"/>
        <v>4</v>
      </c>
      <c r="R29" s="18">
        <f t="shared" si="1"/>
        <v>6.2</v>
      </c>
    </row>
    <row r="30" spans="1:18">
      <c r="A30" s="4" t="s">
        <v>482</v>
      </c>
      <c r="B30" s="5" t="s">
        <v>183</v>
      </c>
      <c r="C30" s="6" t="s">
        <v>483</v>
      </c>
      <c r="D30" s="6" t="s">
        <v>184</v>
      </c>
      <c r="E30" s="7">
        <v>2800000</v>
      </c>
      <c r="F30" s="7">
        <v>3366872</v>
      </c>
      <c r="G30" s="7">
        <v>3366872</v>
      </c>
      <c r="H30" s="1"/>
      <c r="I30" s="8">
        <v>39930</v>
      </c>
      <c r="J30" s="8">
        <v>39959</v>
      </c>
      <c r="K30" s="8">
        <v>39975</v>
      </c>
      <c r="L30" s="6" t="s">
        <v>646</v>
      </c>
      <c r="M30" s="8">
        <v>39989</v>
      </c>
      <c r="N30" s="8">
        <v>40003</v>
      </c>
      <c r="O30" s="1" t="s">
        <v>558</v>
      </c>
      <c r="P30" s="1" t="e">
        <f t="shared" si="2"/>
        <v>#REF!</v>
      </c>
      <c r="Q30" s="18">
        <f t="shared" si="0"/>
        <v>4</v>
      </c>
      <c r="R30" s="18">
        <f t="shared" si="1"/>
        <v>9.6999999999999993</v>
      </c>
    </row>
    <row r="31" spans="1:18">
      <c r="A31" s="4" t="s">
        <v>484</v>
      </c>
      <c r="B31" s="5" t="s">
        <v>185</v>
      </c>
      <c r="C31" s="6" t="s">
        <v>485</v>
      </c>
      <c r="D31" s="6" t="s">
        <v>180</v>
      </c>
      <c r="E31" s="7">
        <v>1930000</v>
      </c>
      <c r="F31" s="7">
        <v>1847696</v>
      </c>
      <c r="G31" s="7">
        <v>1847696</v>
      </c>
      <c r="H31" s="1"/>
      <c r="I31" s="8">
        <v>39930</v>
      </c>
      <c r="J31" s="8">
        <v>39955</v>
      </c>
      <c r="K31" s="8">
        <v>39980</v>
      </c>
      <c r="L31" s="6" t="s">
        <v>647</v>
      </c>
      <c r="M31" s="8">
        <v>39983</v>
      </c>
      <c r="N31" s="8">
        <v>39997</v>
      </c>
      <c r="O31" s="1" t="s">
        <v>571</v>
      </c>
      <c r="P31" s="1" t="e">
        <f t="shared" si="2"/>
        <v>#REF!</v>
      </c>
      <c r="Q31" s="18">
        <f t="shared" si="0"/>
        <v>4</v>
      </c>
      <c r="R31" s="18">
        <f t="shared" si="1"/>
        <v>4</v>
      </c>
    </row>
    <row r="32" spans="1:18">
      <c r="A32" s="4" t="s">
        <v>99</v>
      </c>
      <c r="B32" s="5" t="s">
        <v>261</v>
      </c>
      <c r="C32" s="6" t="s">
        <v>100</v>
      </c>
      <c r="D32" s="6" t="s">
        <v>262</v>
      </c>
      <c r="E32" s="7">
        <v>3250000</v>
      </c>
      <c r="F32" s="7">
        <v>1751316</v>
      </c>
      <c r="G32" s="7">
        <v>1889971</v>
      </c>
      <c r="H32" s="1"/>
      <c r="I32" s="8">
        <v>39930</v>
      </c>
      <c r="J32" s="8">
        <v>39968</v>
      </c>
      <c r="K32" s="8">
        <v>40015</v>
      </c>
      <c r="L32" s="6" t="s">
        <v>637</v>
      </c>
      <c r="M32" s="8">
        <v>39997</v>
      </c>
      <c r="N32" s="8">
        <v>40010</v>
      </c>
      <c r="O32" s="1" t="s">
        <v>596</v>
      </c>
      <c r="P32" s="1" t="e">
        <f t="shared" si="2"/>
        <v>#REF!</v>
      </c>
      <c r="Q32" s="18">
        <f t="shared" si="0"/>
        <v>6</v>
      </c>
      <c r="R32" s="18">
        <f t="shared" si="1"/>
        <v>6</v>
      </c>
    </row>
    <row r="33" spans="1:18">
      <c r="A33" s="4" t="s">
        <v>460</v>
      </c>
      <c r="B33" s="5" t="s">
        <v>378</v>
      </c>
      <c r="C33" s="6" t="s">
        <v>461</v>
      </c>
      <c r="D33" s="6" t="s">
        <v>379</v>
      </c>
      <c r="E33" s="7">
        <v>300000</v>
      </c>
      <c r="F33" s="7">
        <v>292510</v>
      </c>
      <c r="G33" s="7">
        <v>292510</v>
      </c>
      <c r="H33" s="1"/>
      <c r="I33" s="8">
        <v>39933</v>
      </c>
      <c r="J33" s="8">
        <v>39955</v>
      </c>
      <c r="K33" s="8">
        <v>39975</v>
      </c>
      <c r="L33" s="6" t="s">
        <v>648</v>
      </c>
      <c r="M33" s="8">
        <v>39969</v>
      </c>
      <c r="N33" s="8">
        <v>39976</v>
      </c>
      <c r="O33" s="1" t="s">
        <v>559</v>
      </c>
      <c r="P33" s="1" t="e">
        <f t="shared" si="2"/>
        <v>#REF!</v>
      </c>
      <c r="Q33" s="18">
        <f t="shared" si="0"/>
        <v>6</v>
      </c>
      <c r="R33" s="18">
        <f t="shared" si="1"/>
        <v>6.2</v>
      </c>
    </row>
    <row r="34" spans="1:18">
      <c r="A34" s="4" t="s">
        <v>462</v>
      </c>
      <c r="B34" s="5" t="s">
        <v>380</v>
      </c>
      <c r="C34" s="6" t="s">
        <v>463</v>
      </c>
      <c r="D34" s="6" t="s">
        <v>364</v>
      </c>
      <c r="E34" s="7">
        <v>870000</v>
      </c>
      <c r="F34" s="7">
        <v>791115</v>
      </c>
      <c r="G34" s="7">
        <v>791115</v>
      </c>
      <c r="H34" s="1"/>
      <c r="I34" s="8">
        <v>39933</v>
      </c>
      <c r="J34" s="8">
        <v>39955</v>
      </c>
      <c r="K34" s="8">
        <v>39975</v>
      </c>
      <c r="L34" s="6" t="s">
        <v>649</v>
      </c>
      <c r="M34" s="8">
        <v>39969</v>
      </c>
      <c r="N34" s="8">
        <v>39976</v>
      </c>
      <c r="O34" s="1" t="s">
        <v>559</v>
      </c>
      <c r="P34" s="1" t="e">
        <f t="shared" si="2"/>
        <v>#REF!</v>
      </c>
      <c r="Q34" s="18">
        <f t="shared" ref="Q34:Q65" si="3">VLOOKUP(B34,udbe,2,FALSE)</f>
        <v>4</v>
      </c>
      <c r="R34" s="18">
        <f t="shared" ref="R34:R65" si="4">VLOOKUP(B34,udbe,3,FALSE)</f>
        <v>5.4</v>
      </c>
    </row>
    <row r="35" spans="1:18">
      <c r="A35" s="4" t="s">
        <v>486</v>
      </c>
      <c r="B35" s="5" t="s">
        <v>186</v>
      </c>
      <c r="C35" s="6" t="s">
        <v>487</v>
      </c>
      <c r="D35" s="6" t="s">
        <v>488</v>
      </c>
      <c r="E35" s="7">
        <v>750000</v>
      </c>
      <c r="F35" s="7">
        <v>562222</v>
      </c>
      <c r="G35" s="7">
        <v>562222</v>
      </c>
      <c r="H35" s="1"/>
      <c r="I35" s="8">
        <v>39933</v>
      </c>
      <c r="J35" s="8">
        <v>39940</v>
      </c>
      <c r="K35" s="8">
        <v>39967</v>
      </c>
      <c r="L35" s="6" t="s">
        <v>116</v>
      </c>
      <c r="M35" s="8">
        <v>39954</v>
      </c>
      <c r="N35" s="8">
        <v>39961</v>
      </c>
      <c r="O35" s="1" t="s">
        <v>547</v>
      </c>
      <c r="P35" s="1" t="e">
        <f t="shared" si="2"/>
        <v>#REF!</v>
      </c>
      <c r="Q35" s="18">
        <f t="shared" si="3"/>
        <v>9</v>
      </c>
      <c r="R35" s="18">
        <f t="shared" si="4"/>
        <v>0</v>
      </c>
    </row>
    <row r="36" spans="1:18">
      <c r="A36" s="4" t="s">
        <v>454</v>
      </c>
      <c r="B36" s="5" t="s">
        <v>187</v>
      </c>
      <c r="C36" s="6" t="s">
        <v>455</v>
      </c>
      <c r="D36" s="6" t="s">
        <v>375</v>
      </c>
      <c r="E36" s="7">
        <v>520000</v>
      </c>
      <c r="F36" s="7">
        <v>499455</v>
      </c>
      <c r="G36" s="7">
        <v>499455</v>
      </c>
      <c r="H36" s="1"/>
      <c r="I36" s="8">
        <v>39933</v>
      </c>
      <c r="J36" s="8">
        <v>39940</v>
      </c>
      <c r="K36" s="8">
        <v>39960</v>
      </c>
      <c r="L36" s="6" t="s">
        <v>117</v>
      </c>
      <c r="M36" s="8">
        <v>39954</v>
      </c>
      <c r="N36" s="8">
        <v>39961</v>
      </c>
      <c r="O36" s="1" t="s">
        <v>540</v>
      </c>
      <c r="P36" s="1" t="e">
        <f t="shared" si="2"/>
        <v>#REF!</v>
      </c>
      <c r="Q36" s="18">
        <f t="shared" si="3"/>
        <v>4</v>
      </c>
      <c r="R36" s="18">
        <f t="shared" si="4"/>
        <v>4.3</v>
      </c>
    </row>
    <row r="37" spans="1:18">
      <c r="A37" s="4" t="s">
        <v>458</v>
      </c>
      <c r="B37" s="5" t="s">
        <v>189</v>
      </c>
      <c r="C37" s="6" t="s">
        <v>459</v>
      </c>
      <c r="D37" s="6" t="s">
        <v>377</v>
      </c>
      <c r="E37" s="7">
        <v>690000</v>
      </c>
      <c r="F37" s="7">
        <v>454440</v>
      </c>
      <c r="G37" s="7">
        <v>454440</v>
      </c>
      <c r="H37" s="1"/>
      <c r="I37" s="8">
        <v>39933</v>
      </c>
      <c r="J37" s="8">
        <v>39940</v>
      </c>
      <c r="K37" s="8">
        <v>39966</v>
      </c>
      <c r="L37" s="6" t="s">
        <v>118</v>
      </c>
      <c r="M37" s="8">
        <v>39954</v>
      </c>
      <c r="N37" s="8">
        <v>39961</v>
      </c>
      <c r="O37" s="1" t="s">
        <v>546</v>
      </c>
      <c r="P37" s="1" t="e">
        <f t="shared" si="2"/>
        <v>#REF!</v>
      </c>
      <c r="Q37" s="18">
        <f t="shared" si="3"/>
        <v>4</v>
      </c>
      <c r="R37" s="18">
        <f t="shared" si="4"/>
        <v>0</v>
      </c>
    </row>
    <row r="38" spans="1:18">
      <c r="A38" s="4" t="s">
        <v>491</v>
      </c>
      <c r="B38" s="5" t="s">
        <v>192</v>
      </c>
      <c r="C38" s="6" t="s">
        <v>492</v>
      </c>
      <c r="D38" s="6" t="s">
        <v>193</v>
      </c>
      <c r="E38" s="7">
        <v>670000</v>
      </c>
      <c r="F38" s="7">
        <v>667661.80000000005</v>
      </c>
      <c r="G38" s="7">
        <v>667661.80000000005</v>
      </c>
      <c r="H38" s="1"/>
      <c r="I38" s="8">
        <v>39933</v>
      </c>
      <c r="J38" s="8">
        <v>39955</v>
      </c>
      <c r="K38" s="8">
        <v>39979</v>
      </c>
      <c r="L38" s="6" t="s">
        <v>119</v>
      </c>
      <c r="M38" s="8">
        <v>39969</v>
      </c>
      <c r="N38" s="8">
        <v>39976</v>
      </c>
      <c r="O38" s="1" t="s">
        <v>572</v>
      </c>
      <c r="P38" s="1" t="e">
        <f t="shared" si="2"/>
        <v>#REF!</v>
      </c>
      <c r="Q38" s="18">
        <f t="shared" si="3"/>
        <v>8</v>
      </c>
      <c r="R38" s="18">
        <f t="shared" si="4"/>
        <v>1</v>
      </c>
    </row>
    <row r="39" spans="1:18">
      <c r="A39" s="4" t="s">
        <v>452</v>
      </c>
      <c r="B39" s="5" t="s">
        <v>373</v>
      </c>
      <c r="C39" s="6" t="s">
        <v>453</v>
      </c>
      <c r="D39" s="6" t="s">
        <v>374</v>
      </c>
      <c r="E39" s="7">
        <v>1260000</v>
      </c>
      <c r="F39" s="7">
        <v>1072500</v>
      </c>
      <c r="G39" s="7">
        <v>1072500</v>
      </c>
      <c r="H39" s="1"/>
      <c r="I39" s="8">
        <v>39937</v>
      </c>
      <c r="J39" s="8">
        <v>39962</v>
      </c>
      <c r="K39" s="8">
        <v>39980</v>
      </c>
      <c r="L39" s="6" t="s">
        <v>121</v>
      </c>
      <c r="M39" s="8">
        <v>39990</v>
      </c>
      <c r="N39" s="8">
        <v>40004</v>
      </c>
      <c r="O39" s="1" t="s">
        <v>571</v>
      </c>
      <c r="P39" s="1" t="e">
        <f t="shared" si="2"/>
        <v>#REF!</v>
      </c>
      <c r="Q39" s="18">
        <f t="shared" si="3"/>
        <v>4</v>
      </c>
      <c r="R39" s="18">
        <f t="shared" si="4"/>
        <v>5.7</v>
      </c>
    </row>
    <row r="40" spans="1:18">
      <c r="A40" s="4" t="s">
        <v>456</v>
      </c>
      <c r="B40" s="5" t="s">
        <v>188</v>
      </c>
      <c r="C40" s="6" t="s">
        <v>457</v>
      </c>
      <c r="D40" s="6" t="s">
        <v>376</v>
      </c>
      <c r="E40" s="7">
        <v>1780000</v>
      </c>
      <c r="F40" s="7">
        <v>1455900</v>
      </c>
      <c r="G40" s="7">
        <v>1455900</v>
      </c>
      <c r="H40" s="1"/>
      <c r="I40" s="8">
        <v>39937</v>
      </c>
      <c r="J40" s="8">
        <v>39961</v>
      </c>
      <c r="K40" s="8">
        <v>39980</v>
      </c>
      <c r="L40" s="6" t="s">
        <v>122</v>
      </c>
      <c r="M40" s="8">
        <v>39990</v>
      </c>
      <c r="N40" s="8">
        <v>40004</v>
      </c>
      <c r="O40" s="1" t="s">
        <v>571</v>
      </c>
      <c r="P40" s="1" t="e">
        <f t="shared" si="2"/>
        <v>#REF!</v>
      </c>
      <c r="Q40" s="18">
        <f t="shared" si="3"/>
        <v>9</v>
      </c>
      <c r="R40" s="18">
        <f t="shared" si="4"/>
        <v>4</v>
      </c>
    </row>
    <row r="41" spans="1:18">
      <c r="A41" s="4" t="s">
        <v>489</v>
      </c>
      <c r="B41" s="5" t="s">
        <v>190</v>
      </c>
      <c r="C41" s="6" t="s">
        <v>490</v>
      </c>
      <c r="D41" s="6" t="s">
        <v>191</v>
      </c>
      <c r="E41" s="7">
        <v>1820000</v>
      </c>
      <c r="F41" s="7">
        <v>1168042</v>
      </c>
      <c r="G41" s="7">
        <v>1168042</v>
      </c>
      <c r="H41" s="1"/>
      <c r="I41" s="8">
        <v>39937</v>
      </c>
      <c r="J41" s="8">
        <v>39962</v>
      </c>
      <c r="K41" s="8">
        <v>39980</v>
      </c>
      <c r="L41" s="6" t="s">
        <v>123</v>
      </c>
      <c r="M41" s="8">
        <v>39990</v>
      </c>
      <c r="N41" s="8">
        <v>40004</v>
      </c>
      <c r="O41" s="1" t="s">
        <v>571</v>
      </c>
      <c r="P41" s="1" t="e">
        <f t="shared" si="2"/>
        <v>#REF!</v>
      </c>
      <c r="Q41" s="18">
        <f t="shared" si="3"/>
        <v>4</v>
      </c>
      <c r="R41" s="18">
        <f t="shared" si="4"/>
        <v>4.0999999999999996</v>
      </c>
    </row>
    <row r="42" spans="1:18">
      <c r="A42" s="4" t="s">
        <v>493</v>
      </c>
      <c r="B42" s="5" t="s">
        <v>194</v>
      </c>
      <c r="C42" s="6" t="s">
        <v>494</v>
      </c>
      <c r="D42" s="6" t="s">
        <v>195</v>
      </c>
      <c r="E42" s="7">
        <v>1260000</v>
      </c>
      <c r="F42" s="7">
        <v>1025000</v>
      </c>
      <c r="G42" s="7">
        <v>1025000</v>
      </c>
      <c r="H42" s="1"/>
      <c r="I42" s="8">
        <v>39937</v>
      </c>
      <c r="J42" s="8">
        <v>39961</v>
      </c>
      <c r="K42" s="8">
        <v>39980</v>
      </c>
      <c r="L42" s="6" t="s">
        <v>124</v>
      </c>
      <c r="M42" s="8">
        <v>39990</v>
      </c>
      <c r="N42" s="8">
        <v>40004</v>
      </c>
      <c r="O42" s="1" t="s">
        <v>571</v>
      </c>
      <c r="P42" s="1" t="e">
        <f t="shared" si="2"/>
        <v>#REF!</v>
      </c>
      <c r="Q42" s="18">
        <f t="shared" si="3"/>
        <v>6</v>
      </c>
      <c r="R42" s="18">
        <f t="shared" si="4"/>
        <v>0</v>
      </c>
    </row>
    <row r="43" spans="1:18">
      <c r="A43" s="4" t="s">
        <v>442</v>
      </c>
      <c r="B43" s="5" t="s">
        <v>365</v>
      </c>
      <c r="C43" s="6" t="s">
        <v>443</v>
      </c>
      <c r="D43" s="6" t="s">
        <v>366</v>
      </c>
      <c r="E43" s="7">
        <v>9700000</v>
      </c>
      <c r="F43" s="7">
        <v>6354888</v>
      </c>
      <c r="G43" s="7">
        <v>6354888</v>
      </c>
      <c r="H43" s="1"/>
      <c r="I43" s="8">
        <v>39937</v>
      </c>
      <c r="J43" s="8">
        <v>39989</v>
      </c>
      <c r="K43" s="8">
        <v>40017</v>
      </c>
      <c r="L43" s="6" t="s">
        <v>120</v>
      </c>
      <c r="M43" s="8">
        <v>40018</v>
      </c>
      <c r="N43" s="8">
        <v>40032</v>
      </c>
      <c r="O43" s="1" t="s">
        <v>597</v>
      </c>
      <c r="P43" s="1" t="e">
        <f t="shared" si="2"/>
        <v>#REF!</v>
      </c>
      <c r="Q43" s="18">
        <f t="shared" si="3"/>
        <v>7</v>
      </c>
      <c r="R43" s="18">
        <f t="shared" si="4"/>
        <v>5</v>
      </c>
    </row>
    <row r="44" spans="1:18">
      <c r="A44" s="4" t="s">
        <v>419</v>
      </c>
      <c r="B44" s="5" t="s">
        <v>24</v>
      </c>
      <c r="C44" s="6" t="s">
        <v>420</v>
      </c>
      <c r="D44" s="6" t="s">
        <v>25</v>
      </c>
      <c r="E44" s="7">
        <v>6600000</v>
      </c>
      <c r="F44" s="7">
        <v>6996021.3300000001</v>
      </c>
      <c r="G44" s="7">
        <v>6996021.3300000001</v>
      </c>
      <c r="H44" s="1"/>
      <c r="I44" s="8">
        <v>39944</v>
      </c>
      <c r="J44" s="8">
        <v>39968</v>
      </c>
      <c r="K44" s="8">
        <v>39989</v>
      </c>
      <c r="L44" s="6" t="s">
        <v>125</v>
      </c>
      <c r="M44" s="8">
        <v>39996</v>
      </c>
      <c r="N44" s="8">
        <v>40010</v>
      </c>
      <c r="O44" s="1" t="s">
        <v>576</v>
      </c>
      <c r="P44" s="1" t="e">
        <f t="shared" si="2"/>
        <v>#REF!</v>
      </c>
      <c r="Q44" s="18">
        <f t="shared" si="3"/>
        <v>5</v>
      </c>
      <c r="R44" s="18">
        <f t="shared" si="4"/>
        <v>6.1</v>
      </c>
    </row>
    <row r="45" spans="1:18">
      <c r="A45" s="4" t="s">
        <v>444</v>
      </c>
      <c r="B45" s="5" t="s">
        <v>367</v>
      </c>
      <c r="C45" s="6" t="s">
        <v>445</v>
      </c>
      <c r="D45" s="6" t="s">
        <v>368</v>
      </c>
      <c r="E45" s="7">
        <v>6700000</v>
      </c>
      <c r="F45" s="7">
        <v>3988451.6</v>
      </c>
      <c r="G45" s="7">
        <v>3988451.6</v>
      </c>
      <c r="H45" s="1"/>
      <c r="I45" s="8">
        <v>39944</v>
      </c>
      <c r="J45" s="8">
        <v>39982</v>
      </c>
      <c r="K45" s="8">
        <v>40003</v>
      </c>
      <c r="L45" s="6" t="s">
        <v>126</v>
      </c>
      <c r="M45" s="8">
        <v>40011</v>
      </c>
      <c r="N45" s="8">
        <v>40025</v>
      </c>
      <c r="O45" s="1" t="s">
        <v>581</v>
      </c>
      <c r="P45" s="1" t="e">
        <f t="shared" si="2"/>
        <v>#REF!</v>
      </c>
      <c r="Q45" s="18">
        <f t="shared" si="3"/>
        <v>6</v>
      </c>
      <c r="R45" s="18">
        <f t="shared" si="4"/>
        <v>6</v>
      </c>
    </row>
    <row r="46" spans="1:18">
      <c r="A46" s="4" t="s">
        <v>495</v>
      </c>
      <c r="B46" s="5" t="s">
        <v>202</v>
      </c>
      <c r="C46" s="6" t="s">
        <v>496</v>
      </c>
      <c r="D46" s="6" t="s">
        <v>203</v>
      </c>
      <c r="E46" s="7">
        <v>530000</v>
      </c>
      <c r="F46" s="7">
        <v>509589</v>
      </c>
      <c r="G46" s="7">
        <v>509589</v>
      </c>
      <c r="H46" s="1"/>
      <c r="I46" s="8">
        <v>39951</v>
      </c>
      <c r="J46" s="8">
        <v>39981</v>
      </c>
      <c r="K46" s="8">
        <v>39993</v>
      </c>
      <c r="L46" s="6" t="s">
        <v>129</v>
      </c>
      <c r="M46" s="8">
        <v>40009</v>
      </c>
      <c r="N46" s="8">
        <v>40023</v>
      </c>
      <c r="O46" s="1" t="s">
        <v>577</v>
      </c>
      <c r="P46" s="1" t="e">
        <f t="shared" si="2"/>
        <v>#REF!</v>
      </c>
      <c r="Q46" s="18">
        <f t="shared" si="3"/>
        <v>5</v>
      </c>
      <c r="R46" s="18">
        <f t="shared" si="4"/>
        <v>9.1</v>
      </c>
    </row>
    <row r="47" spans="1:18">
      <c r="A47" s="4" t="s">
        <v>212</v>
      </c>
      <c r="B47" s="5" t="s">
        <v>244</v>
      </c>
      <c r="C47" s="6" t="s">
        <v>213</v>
      </c>
      <c r="D47" s="6" t="s">
        <v>245</v>
      </c>
      <c r="E47" s="7">
        <v>5940000</v>
      </c>
      <c r="F47" s="7">
        <v>2942365.29</v>
      </c>
      <c r="G47" s="7">
        <v>2942365.29</v>
      </c>
      <c r="H47" s="1"/>
      <c r="I47" s="8">
        <v>39951</v>
      </c>
      <c r="J47" s="8">
        <v>39987</v>
      </c>
      <c r="K47" s="8">
        <v>40023</v>
      </c>
      <c r="L47" s="6" t="s">
        <v>127</v>
      </c>
      <c r="M47" s="8">
        <v>40015</v>
      </c>
      <c r="N47" s="8">
        <v>40029</v>
      </c>
      <c r="O47" s="1" t="s">
        <v>598</v>
      </c>
      <c r="P47" s="1" t="e">
        <f t="shared" si="2"/>
        <v>#REF!</v>
      </c>
      <c r="Q47" s="18">
        <f t="shared" si="3"/>
        <v>6</v>
      </c>
      <c r="R47" s="18">
        <f t="shared" si="4"/>
        <v>0.6</v>
      </c>
    </row>
    <row r="48" spans="1:18">
      <c r="A48" s="4" t="s">
        <v>225</v>
      </c>
      <c r="B48" s="5" t="s">
        <v>162</v>
      </c>
      <c r="C48" s="6" t="s">
        <v>511</v>
      </c>
      <c r="D48" s="6" t="s">
        <v>226</v>
      </c>
      <c r="E48" s="7">
        <v>270000000</v>
      </c>
      <c r="F48" s="7">
        <v>257017175</v>
      </c>
      <c r="G48" s="7">
        <v>214806175</v>
      </c>
      <c r="H48" s="6" t="s">
        <v>562</v>
      </c>
      <c r="I48" s="8">
        <v>39951</v>
      </c>
      <c r="J48" s="8">
        <v>40085</v>
      </c>
      <c r="K48" s="8">
        <v>40127</v>
      </c>
      <c r="L48" s="6" t="s">
        <v>128</v>
      </c>
      <c r="M48" s="8">
        <v>40064</v>
      </c>
      <c r="N48" s="8">
        <v>40078</v>
      </c>
      <c r="O48" s="1" t="s">
        <v>327</v>
      </c>
      <c r="P48" s="1" t="e">
        <f t="shared" si="2"/>
        <v>#REF!</v>
      </c>
      <c r="Q48" s="18">
        <f t="shared" si="3"/>
        <v>3</v>
      </c>
      <c r="R48" s="18">
        <f t="shared" si="4"/>
        <v>2.9</v>
      </c>
    </row>
    <row r="49" spans="1:18">
      <c r="A49" s="4" t="s">
        <v>497</v>
      </c>
      <c r="B49" s="5" t="s">
        <v>161</v>
      </c>
      <c r="C49" s="6" t="s">
        <v>498</v>
      </c>
      <c r="D49" s="6" t="s">
        <v>499</v>
      </c>
      <c r="E49" s="7">
        <v>1230000</v>
      </c>
      <c r="F49" s="7">
        <v>1045045</v>
      </c>
      <c r="G49" s="7">
        <v>1045045</v>
      </c>
      <c r="H49" s="1"/>
      <c r="I49" s="8">
        <v>39959</v>
      </c>
      <c r="J49" s="8">
        <v>39987</v>
      </c>
      <c r="K49" s="8">
        <v>40010</v>
      </c>
      <c r="L49" s="6" t="s">
        <v>130</v>
      </c>
      <c r="M49" s="8">
        <v>40015</v>
      </c>
      <c r="N49" s="8">
        <v>40029</v>
      </c>
      <c r="O49" s="1" t="s">
        <v>593</v>
      </c>
      <c r="P49" s="1" t="e">
        <f t="shared" si="2"/>
        <v>#REF!</v>
      </c>
      <c r="Q49" s="18">
        <f t="shared" si="3"/>
        <v>4</v>
      </c>
      <c r="R49" s="18">
        <f t="shared" si="4"/>
        <v>7.8</v>
      </c>
    </row>
    <row r="50" spans="1:18">
      <c r="A50" s="4" t="s">
        <v>500</v>
      </c>
      <c r="B50" s="5" t="s">
        <v>168</v>
      </c>
      <c r="C50" s="6" t="s">
        <v>501</v>
      </c>
      <c r="D50" s="6" t="s">
        <v>377</v>
      </c>
      <c r="E50" s="7">
        <v>420000</v>
      </c>
      <c r="F50" s="7">
        <v>369030</v>
      </c>
      <c r="G50" s="7">
        <v>369030</v>
      </c>
      <c r="H50" s="1"/>
      <c r="I50" s="8">
        <v>39959</v>
      </c>
      <c r="J50" s="8">
        <v>39987</v>
      </c>
      <c r="K50" s="8">
        <v>40014</v>
      </c>
      <c r="L50" s="6" t="s">
        <v>131</v>
      </c>
      <c r="M50" s="8">
        <v>40015</v>
      </c>
      <c r="N50" s="8">
        <v>40029</v>
      </c>
      <c r="O50" s="1" t="s">
        <v>595</v>
      </c>
      <c r="P50" s="1" t="e">
        <f t="shared" si="2"/>
        <v>#REF!</v>
      </c>
      <c r="Q50" s="18">
        <f t="shared" si="3"/>
        <v>4</v>
      </c>
      <c r="R50" s="18">
        <f t="shared" si="4"/>
        <v>4</v>
      </c>
    </row>
    <row r="51" spans="1:18">
      <c r="A51" s="4" t="s">
        <v>502</v>
      </c>
      <c r="B51" s="5" t="s">
        <v>169</v>
      </c>
      <c r="C51" s="6" t="s">
        <v>503</v>
      </c>
      <c r="D51" s="6" t="s">
        <v>504</v>
      </c>
      <c r="E51" s="7">
        <v>2810000</v>
      </c>
      <c r="F51" s="7">
        <v>2295770</v>
      </c>
      <c r="G51" s="7">
        <v>2295770</v>
      </c>
      <c r="H51" s="1"/>
      <c r="I51" s="8">
        <v>39959</v>
      </c>
      <c r="J51" s="8">
        <v>39988</v>
      </c>
      <c r="K51" s="8">
        <v>40014</v>
      </c>
      <c r="L51" s="6" t="s">
        <v>132</v>
      </c>
      <c r="M51" s="8">
        <v>40016</v>
      </c>
      <c r="N51" s="8">
        <v>40030</v>
      </c>
      <c r="O51" s="1" t="s">
        <v>595</v>
      </c>
      <c r="P51" s="1" t="e">
        <f t="shared" si="2"/>
        <v>#REF!</v>
      </c>
      <c r="Q51" s="18">
        <f t="shared" si="3"/>
        <v>4</v>
      </c>
      <c r="R51" s="18">
        <f t="shared" si="4"/>
        <v>4.3</v>
      </c>
    </row>
    <row r="52" spans="1:18">
      <c r="A52" s="4" t="s">
        <v>431</v>
      </c>
      <c r="B52" s="5" t="s">
        <v>204</v>
      </c>
      <c r="C52" s="6" t="s">
        <v>432</v>
      </c>
      <c r="D52" s="6" t="s">
        <v>205</v>
      </c>
      <c r="E52" s="7">
        <v>4280000</v>
      </c>
      <c r="F52" s="7">
        <v>3812074</v>
      </c>
      <c r="G52" s="7">
        <v>3812074</v>
      </c>
      <c r="H52" s="1"/>
      <c r="I52" s="8">
        <v>39965</v>
      </c>
      <c r="J52" s="8">
        <v>39995</v>
      </c>
      <c r="K52" s="8">
        <v>40009</v>
      </c>
      <c r="L52" s="6" t="s">
        <v>133</v>
      </c>
      <c r="M52" s="8">
        <v>40023</v>
      </c>
      <c r="N52" s="8">
        <v>40037</v>
      </c>
      <c r="O52" s="1" t="s">
        <v>594</v>
      </c>
      <c r="P52" s="1" t="e">
        <f t="shared" si="2"/>
        <v>#REF!</v>
      </c>
      <c r="Q52" s="18">
        <f t="shared" si="3"/>
        <v>4</v>
      </c>
      <c r="R52" s="18">
        <f t="shared" si="4"/>
        <v>4.0999999999999996</v>
      </c>
    </row>
    <row r="53" spans="1:18">
      <c r="A53" s="4" t="s">
        <v>448</v>
      </c>
      <c r="B53" s="5" t="s">
        <v>206</v>
      </c>
      <c r="C53" s="6" t="s">
        <v>449</v>
      </c>
      <c r="D53" s="6" t="s">
        <v>207</v>
      </c>
      <c r="E53" s="7">
        <v>3430000</v>
      </c>
      <c r="F53" s="7">
        <v>2054022</v>
      </c>
      <c r="G53" s="7">
        <v>2054022</v>
      </c>
      <c r="H53" s="1"/>
      <c r="I53" s="8">
        <v>39965</v>
      </c>
      <c r="J53" s="8">
        <v>40008</v>
      </c>
      <c r="K53" s="8">
        <v>40025</v>
      </c>
      <c r="L53" s="6" t="s">
        <v>134</v>
      </c>
      <c r="M53" s="8">
        <v>40036</v>
      </c>
      <c r="N53" s="8">
        <v>40050</v>
      </c>
      <c r="O53" s="1" t="s">
        <v>599</v>
      </c>
      <c r="P53" s="1" t="e">
        <f t="shared" si="2"/>
        <v>#REF!</v>
      </c>
      <c r="Q53" s="18">
        <f t="shared" si="3"/>
        <v>4</v>
      </c>
      <c r="R53" s="18">
        <f t="shared" si="4"/>
        <v>4.8</v>
      </c>
    </row>
    <row r="54" spans="1:18">
      <c r="A54" s="4" t="s">
        <v>474</v>
      </c>
      <c r="B54" s="5" t="s">
        <v>208</v>
      </c>
      <c r="C54" s="6" t="s">
        <v>475</v>
      </c>
      <c r="D54" s="6" t="s">
        <v>61</v>
      </c>
      <c r="E54" s="7">
        <v>50000000</v>
      </c>
      <c r="F54" s="7">
        <v>38838126.899999999</v>
      </c>
      <c r="G54" s="7">
        <v>38838126.899999999</v>
      </c>
      <c r="H54" s="1"/>
      <c r="I54" s="8">
        <v>39965</v>
      </c>
      <c r="J54" s="8">
        <v>40017</v>
      </c>
      <c r="K54" s="8">
        <v>40031</v>
      </c>
      <c r="L54" s="6" t="s">
        <v>135</v>
      </c>
      <c r="M54" s="8">
        <v>40045</v>
      </c>
      <c r="N54" s="8">
        <v>40059</v>
      </c>
      <c r="O54" s="1" t="s">
        <v>600</v>
      </c>
      <c r="P54" s="1" t="e">
        <f t="shared" si="2"/>
        <v>#REF!</v>
      </c>
      <c r="Q54" s="18">
        <f t="shared" si="3"/>
        <v>4</v>
      </c>
      <c r="R54" s="18">
        <f t="shared" si="4"/>
        <v>0</v>
      </c>
    </row>
    <row r="55" spans="1:18">
      <c r="A55" s="4" t="s">
        <v>513</v>
      </c>
      <c r="B55" s="5" t="s">
        <v>90</v>
      </c>
      <c r="C55" s="6" t="s">
        <v>514</v>
      </c>
      <c r="D55" s="6" t="s">
        <v>515</v>
      </c>
      <c r="E55" s="7">
        <v>1070000</v>
      </c>
      <c r="F55" s="7">
        <v>875466</v>
      </c>
      <c r="G55" s="7">
        <v>950434.6</v>
      </c>
      <c r="H55" s="1"/>
      <c r="I55" s="8">
        <v>39965</v>
      </c>
      <c r="J55" s="8">
        <v>39988</v>
      </c>
      <c r="K55" s="8">
        <v>40003</v>
      </c>
      <c r="L55" s="6" t="s">
        <v>136</v>
      </c>
      <c r="M55" s="8">
        <v>40016</v>
      </c>
      <c r="N55" s="8">
        <v>40030</v>
      </c>
      <c r="O55" s="1" t="s">
        <v>581</v>
      </c>
      <c r="P55" s="1" t="e">
        <f t="shared" si="2"/>
        <v>#REF!</v>
      </c>
      <c r="Q55" s="18">
        <f t="shared" si="3"/>
        <v>4</v>
      </c>
      <c r="R55" s="18">
        <f t="shared" si="4"/>
        <v>2.7</v>
      </c>
    </row>
    <row r="56" spans="1:18">
      <c r="A56" s="4" t="s">
        <v>58</v>
      </c>
      <c r="B56" s="5" t="s">
        <v>167</v>
      </c>
      <c r="C56" s="6" t="s">
        <v>59</v>
      </c>
      <c r="D56" s="6" t="s">
        <v>60</v>
      </c>
      <c r="E56" s="7">
        <v>54000000</v>
      </c>
      <c r="F56" s="7">
        <v>40855853</v>
      </c>
      <c r="G56" s="7">
        <v>35575853</v>
      </c>
      <c r="H56" s="6" t="s">
        <v>562</v>
      </c>
      <c r="I56" s="8">
        <v>39972</v>
      </c>
      <c r="J56" s="8">
        <v>40024</v>
      </c>
      <c r="K56" s="8">
        <v>40053</v>
      </c>
      <c r="L56" s="6" t="s">
        <v>137</v>
      </c>
      <c r="M56" s="8">
        <v>40052</v>
      </c>
      <c r="N56" s="8">
        <v>40066</v>
      </c>
      <c r="O56" s="1" t="s">
        <v>276</v>
      </c>
      <c r="P56" s="1" t="e">
        <f t="shared" si="2"/>
        <v>#REF!</v>
      </c>
      <c r="Q56" s="18">
        <f t="shared" si="3"/>
        <v>6</v>
      </c>
      <c r="R56" s="18">
        <f t="shared" si="4"/>
        <v>0.5</v>
      </c>
    </row>
    <row r="57" spans="1:18">
      <c r="A57" s="4" t="s">
        <v>519</v>
      </c>
      <c r="B57" s="5" t="s">
        <v>103</v>
      </c>
      <c r="C57" s="6" t="s">
        <v>520</v>
      </c>
      <c r="D57" s="6" t="s">
        <v>521</v>
      </c>
      <c r="E57" s="7">
        <v>410000</v>
      </c>
      <c r="F57" s="7">
        <v>199722</v>
      </c>
      <c r="G57" s="7">
        <v>272000</v>
      </c>
      <c r="H57" s="1"/>
      <c r="I57" s="8">
        <v>39972</v>
      </c>
      <c r="J57" s="8">
        <v>40003</v>
      </c>
      <c r="K57" s="8">
        <v>40059</v>
      </c>
      <c r="L57" s="6" t="s">
        <v>138</v>
      </c>
      <c r="M57" s="8">
        <v>40031</v>
      </c>
      <c r="N57" s="8">
        <v>40045</v>
      </c>
      <c r="O57" s="1" t="s">
        <v>281</v>
      </c>
      <c r="P57" s="1" t="e">
        <f t="shared" si="2"/>
        <v>#REF!</v>
      </c>
      <c r="Q57" s="18">
        <f t="shared" si="3"/>
        <v>3</v>
      </c>
      <c r="R57" s="18">
        <f t="shared" si="4"/>
        <v>3</v>
      </c>
    </row>
    <row r="58" spans="1:18">
      <c r="A58" s="4" t="s">
        <v>522</v>
      </c>
      <c r="B58" s="5" t="s">
        <v>104</v>
      </c>
      <c r="C58" s="6" t="s">
        <v>523</v>
      </c>
      <c r="D58" s="6" t="s">
        <v>49</v>
      </c>
      <c r="E58" s="7">
        <v>1450000</v>
      </c>
      <c r="F58" s="7">
        <v>1067000</v>
      </c>
      <c r="G58" s="7">
        <v>1067000</v>
      </c>
      <c r="H58" s="1"/>
      <c r="I58" s="8">
        <v>39972</v>
      </c>
      <c r="J58" s="8">
        <v>40003</v>
      </c>
      <c r="K58" s="8">
        <v>40028</v>
      </c>
      <c r="L58" s="6" t="s">
        <v>139</v>
      </c>
      <c r="M58" s="8">
        <v>40031</v>
      </c>
      <c r="N58" s="8">
        <v>40045</v>
      </c>
      <c r="O58" s="1" t="s">
        <v>601</v>
      </c>
      <c r="P58" s="1" t="e">
        <f t="shared" si="2"/>
        <v>#REF!</v>
      </c>
      <c r="Q58" s="18">
        <f t="shared" si="3"/>
        <v>4</v>
      </c>
      <c r="R58" s="18">
        <f t="shared" si="4"/>
        <v>22.3</v>
      </c>
    </row>
    <row r="59" spans="1:18">
      <c r="A59" s="4" t="s">
        <v>50</v>
      </c>
      <c r="B59" s="5" t="s">
        <v>107</v>
      </c>
      <c r="C59" s="6" t="s">
        <v>51</v>
      </c>
      <c r="D59" s="6" t="s">
        <v>52</v>
      </c>
      <c r="E59" s="7">
        <v>35000000</v>
      </c>
      <c r="F59" s="7">
        <v>27283086</v>
      </c>
      <c r="G59" s="7">
        <v>27283086</v>
      </c>
      <c r="H59" s="1"/>
      <c r="I59" s="8">
        <v>39979</v>
      </c>
      <c r="J59" s="8">
        <v>40037</v>
      </c>
      <c r="K59" s="8">
        <v>40066</v>
      </c>
      <c r="L59" s="6" t="s">
        <v>140</v>
      </c>
      <c r="M59" s="8">
        <v>40065</v>
      </c>
      <c r="N59" s="8">
        <v>40079</v>
      </c>
      <c r="O59" s="1" t="s">
        <v>235</v>
      </c>
      <c r="P59" s="1" t="e">
        <f t="shared" si="2"/>
        <v>#REF!</v>
      </c>
      <c r="Q59" s="18">
        <f t="shared" si="3"/>
        <v>7</v>
      </c>
      <c r="R59" s="18">
        <f t="shared" si="4"/>
        <v>7.2</v>
      </c>
    </row>
    <row r="60" spans="1:18">
      <c r="A60" s="4" t="s">
        <v>541</v>
      </c>
      <c r="B60" s="5" t="s">
        <v>302</v>
      </c>
      <c r="C60" s="6" t="s">
        <v>542</v>
      </c>
      <c r="D60" s="6" t="s">
        <v>543</v>
      </c>
      <c r="E60" s="7">
        <v>1670000</v>
      </c>
      <c r="F60" s="7">
        <v>1020378.87</v>
      </c>
      <c r="G60" s="7">
        <v>1020378.87</v>
      </c>
      <c r="H60" s="1"/>
      <c r="I60" s="8">
        <v>39986</v>
      </c>
      <c r="J60" s="8">
        <v>40010</v>
      </c>
      <c r="K60" s="8">
        <v>40028</v>
      </c>
      <c r="L60" s="6" t="s">
        <v>141</v>
      </c>
      <c r="M60" s="8">
        <v>40038</v>
      </c>
      <c r="N60" s="8">
        <v>40052</v>
      </c>
      <c r="O60" s="1" t="s">
        <v>601</v>
      </c>
      <c r="P60" s="1" t="e">
        <f t="shared" si="2"/>
        <v>#REF!</v>
      </c>
      <c r="Q60" s="18">
        <f t="shared" si="3"/>
        <v>7</v>
      </c>
      <c r="R60" s="18">
        <f t="shared" si="4"/>
        <v>7.6</v>
      </c>
    </row>
    <row r="61" spans="1:18">
      <c r="A61" s="4" t="s">
        <v>517</v>
      </c>
      <c r="B61" s="5" t="s">
        <v>44</v>
      </c>
      <c r="C61" s="6" t="s">
        <v>518</v>
      </c>
      <c r="D61" s="6" t="s">
        <v>364</v>
      </c>
      <c r="E61" s="7">
        <v>2030000</v>
      </c>
      <c r="F61" s="7">
        <v>1303729.5</v>
      </c>
      <c r="G61" s="7">
        <v>1303729.5</v>
      </c>
      <c r="H61" s="1"/>
      <c r="I61" s="8">
        <v>40000</v>
      </c>
      <c r="J61" s="8">
        <v>40029</v>
      </c>
      <c r="K61" s="8">
        <v>40042</v>
      </c>
      <c r="L61" s="6" t="s">
        <v>142</v>
      </c>
      <c r="M61" s="8">
        <v>40057</v>
      </c>
      <c r="N61" s="8">
        <v>40071</v>
      </c>
      <c r="O61" s="1" t="s">
        <v>274</v>
      </c>
      <c r="P61" s="1" t="e">
        <f t="shared" si="2"/>
        <v>#REF!</v>
      </c>
      <c r="Q61" s="18">
        <f t="shared" si="3"/>
        <v>7</v>
      </c>
      <c r="R61" s="18">
        <f t="shared" si="4"/>
        <v>8.3000000000000007</v>
      </c>
    </row>
    <row r="62" spans="1:18">
      <c r="A62" s="4" t="s">
        <v>435</v>
      </c>
      <c r="B62" s="5" t="s">
        <v>357</v>
      </c>
      <c r="C62" s="6" t="s">
        <v>436</v>
      </c>
      <c r="D62" s="6" t="s">
        <v>358</v>
      </c>
      <c r="E62" s="7">
        <v>33000000</v>
      </c>
      <c r="F62" s="7">
        <v>20492520.199999999</v>
      </c>
      <c r="G62" s="7">
        <v>20492520.199999999</v>
      </c>
      <c r="H62" s="1"/>
      <c r="I62" s="8">
        <v>40007</v>
      </c>
      <c r="J62" s="8">
        <v>40079</v>
      </c>
      <c r="K62" s="8">
        <v>40094</v>
      </c>
      <c r="L62" s="6" t="s">
        <v>143</v>
      </c>
      <c r="M62" s="8">
        <v>40072</v>
      </c>
      <c r="N62" s="8">
        <v>40086</v>
      </c>
      <c r="O62" s="1" t="s">
        <v>615</v>
      </c>
      <c r="P62" s="1" t="e">
        <f t="shared" si="2"/>
        <v>#REF!</v>
      </c>
      <c r="Q62" s="18">
        <f t="shared" si="3"/>
        <v>5</v>
      </c>
      <c r="R62" s="18">
        <f t="shared" si="4"/>
        <v>0.2</v>
      </c>
    </row>
    <row r="63" spans="1:18">
      <c r="A63" s="4" t="s">
        <v>551</v>
      </c>
      <c r="B63" s="5" t="s">
        <v>115</v>
      </c>
      <c r="C63" s="6" t="s">
        <v>552</v>
      </c>
      <c r="D63" s="6" t="s">
        <v>553</v>
      </c>
      <c r="E63" s="7">
        <v>2240000</v>
      </c>
      <c r="F63" s="7">
        <v>561798</v>
      </c>
      <c r="G63" s="7">
        <v>561798</v>
      </c>
      <c r="H63" s="1"/>
      <c r="I63" s="8">
        <v>40007</v>
      </c>
      <c r="J63" s="8">
        <v>40038</v>
      </c>
      <c r="K63" s="8">
        <v>40053</v>
      </c>
      <c r="L63" s="6" t="s">
        <v>144</v>
      </c>
      <c r="M63" s="8">
        <v>40066</v>
      </c>
      <c r="N63" s="8">
        <v>40080</v>
      </c>
      <c r="O63" s="1" t="s">
        <v>276</v>
      </c>
      <c r="P63" s="1" t="e">
        <f t="shared" si="2"/>
        <v>#REF!</v>
      </c>
      <c r="Q63" s="18">
        <f t="shared" si="3"/>
        <v>13</v>
      </c>
      <c r="R63" s="18">
        <f t="shared" si="4"/>
        <v>13.3</v>
      </c>
    </row>
    <row r="64" spans="1:18">
      <c r="A64" s="4" t="s">
        <v>554</v>
      </c>
      <c r="B64" s="5" t="s">
        <v>233</v>
      </c>
      <c r="C64" s="6" t="s">
        <v>552</v>
      </c>
      <c r="D64" s="6" t="s">
        <v>553</v>
      </c>
      <c r="E64" s="7">
        <v>1750000</v>
      </c>
      <c r="F64" s="7">
        <v>449840</v>
      </c>
      <c r="G64" s="7">
        <v>449840</v>
      </c>
      <c r="H64" s="1"/>
      <c r="I64" s="8">
        <v>40007</v>
      </c>
      <c r="J64" s="8">
        <v>40031</v>
      </c>
      <c r="K64" s="8">
        <v>40045</v>
      </c>
      <c r="L64" s="6" t="s">
        <v>145</v>
      </c>
      <c r="M64" s="8">
        <v>40059</v>
      </c>
      <c r="N64" s="8">
        <v>40073</v>
      </c>
      <c r="O64" s="1" t="s">
        <v>275</v>
      </c>
      <c r="P64" s="1" t="e">
        <f t="shared" si="2"/>
        <v>#REF!</v>
      </c>
      <c r="Q64" s="18">
        <f t="shared" si="3"/>
        <v>11</v>
      </c>
      <c r="R64" s="18">
        <f t="shared" si="4"/>
        <v>36.9</v>
      </c>
    </row>
    <row r="65" spans="1:18">
      <c r="A65" s="4" t="s">
        <v>472</v>
      </c>
      <c r="B65" s="5" t="s">
        <v>385</v>
      </c>
      <c r="C65" s="6" t="s">
        <v>473</v>
      </c>
      <c r="D65" s="6" t="s">
        <v>386</v>
      </c>
      <c r="E65" s="7">
        <v>12000000</v>
      </c>
      <c r="F65" s="7">
        <v>6432432</v>
      </c>
      <c r="G65" s="7">
        <v>6432432</v>
      </c>
      <c r="H65" s="1"/>
      <c r="I65" s="8">
        <v>40014</v>
      </c>
      <c r="J65" s="8">
        <v>40051</v>
      </c>
      <c r="K65" s="8">
        <v>40059</v>
      </c>
      <c r="L65" s="6" t="s">
        <v>146</v>
      </c>
      <c r="M65" s="8">
        <v>40079</v>
      </c>
      <c r="N65" s="8">
        <v>40093</v>
      </c>
      <c r="O65" s="1" t="s">
        <v>281</v>
      </c>
      <c r="P65" s="1" t="e">
        <f t="shared" si="2"/>
        <v>#REF!</v>
      </c>
      <c r="Q65" s="18">
        <f t="shared" si="3"/>
        <v>6</v>
      </c>
      <c r="R65" s="18">
        <f t="shared" si="4"/>
        <v>6</v>
      </c>
    </row>
    <row r="66" spans="1:18">
      <c r="A66" s="4" t="s">
        <v>555</v>
      </c>
      <c r="B66" s="5" t="s">
        <v>232</v>
      </c>
      <c r="C66" s="6" t="s">
        <v>552</v>
      </c>
      <c r="D66" s="6" t="s">
        <v>553</v>
      </c>
      <c r="E66" s="7">
        <v>1810000</v>
      </c>
      <c r="F66" s="7">
        <v>461830</v>
      </c>
      <c r="G66" s="7">
        <v>461830</v>
      </c>
      <c r="H66" s="1"/>
      <c r="I66" s="8">
        <v>40014</v>
      </c>
      <c r="J66" s="8">
        <v>40059</v>
      </c>
      <c r="K66" s="8">
        <v>40094</v>
      </c>
      <c r="L66" s="6" t="s">
        <v>147</v>
      </c>
      <c r="M66" s="8">
        <v>40087</v>
      </c>
      <c r="N66" s="8">
        <v>40101</v>
      </c>
      <c r="O66" s="1" t="s">
        <v>615</v>
      </c>
      <c r="P66" s="1" t="e">
        <f t="shared" si="2"/>
        <v>#REF!</v>
      </c>
      <c r="Q66" s="18">
        <f t="shared" ref="Q66:Q97" si="5">VLOOKUP(B66,udbe,2,FALSE)</f>
        <v>13</v>
      </c>
      <c r="R66" s="18">
        <f t="shared" ref="R66:R97" si="6">VLOOKUP(B66,udbe,3,FALSE)</f>
        <v>0.08</v>
      </c>
    </row>
    <row r="67" spans="1:18">
      <c r="A67" s="4" t="s">
        <v>566</v>
      </c>
      <c r="B67" s="5" t="s">
        <v>114</v>
      </c>
      <c r="C67" s="6" t="s">
        <v>567</v>
      </c>
      <c r="D67" s="6" t="s">
        <v>568</v>
      </c>
      <c r="E67" s="7">
        <v>910000</v>
      </c>
      <c r="F67" s="7">
        <v>472085</v>
      </c>
      <c r="G67" s="7">
        <v>472085</v>
      </c>
      <c r="H67" s="1"/>
      <c r="I67" s="8">
        <v>40014</v>
      </c>
      <c r="J67" s="8">
        <v>40052</v>
      </c>
      <c r="K67" s="8">
        <v>40087</v>
      </c>
      <c r="L67" s="6" t="s">
        <v>148</v>
      </c>
      <c r="M67" s="8">
        <v>40080</v>
      </c>
      <c r="N67" s="8">
        <v>40094</v>
      </c>
      <c r="O67" s="1" t="s">
        <v>613</v>
      </c>
      <c r="P67" s="1" t="e">
        <f t="shared" ref="P67:P114" si="7">VLOOKUP(B67,kevin,1,FALSE)</f>
        <v>#REF!</v>
      </c>
      <c r="Q67" s="18">
        <f t="shared" si="5"/>
        <v>12</v>
      </c>
      <c r="R67" s="18">
        <f t="shared" si="6"/>
        <v>0</v>
      </c>
    </row>
    <row r="68" spans="1:18">
      <c r="A68" s="4" t="s">
        <v>563</v>
      </c>
      <c r="B68" s="5" t="s">
        <v>111</v>
      </c>
      <c r="C68" s="6" t="s">
        <v>564</v>
      </c>
      <c r="D68" s="6" t="s">
        <v>565</v>
      </c>
      <c r="E68" s="7">
        <v>6000000</v>
      </c>
      <c r="F68" s="7">
        <v>2572029</v>
      </c>
      <c r="G68" s="7">
        <v>2572029</v>
      </c>
      <c r="H68" s="1"/>
      <c r="I68" s="8">
        <v>40021</v>
      </c>
      <c r="J68" s="8">
        <v>40059</v>
      </c>
      <c r="K68" s="8">
        <v>40081</v>
      </c>
      <c r="L68" s="6" t="s">
        <v>149</v>
      </c>
      <c r="M68" s="8">
        <v>40087</v>
      </c>
      <c r="N68" s="8">
        <v>40101</v>
      </c>
      <c r="O68" s="1" t="s">
        <v>610</v>
      </c>
      <c r="P68" s="1" t="e">
        <f t="shared" si="7"/>
        <v>#REF!</v>
      </c>
      <c r="Q68" s="18">
        <f t="shared" si="5"/>
        <v>6</v>
      </c>
      <c r="R68" s="18">
        <f t="shared" si="6"/>
        <v>1</v>
      </c>
    </row>
    <row r="69" spans="1:18">
      <c r="A69" s="4" t="s">
        <v>439</v>
      </c>
      <c r="B69" s="5" t="s">
        <v>361</v>
      </c>
      <c r="C69" s="6" t="s">
        <v>512</v>
      </c>
      <c r="D69" s="6" t="s">
        <v>362</v>
      </c>
      <c r="E69" s="7">
        <v>1600000</v>
      </c>
      <c r="F69" s="7">
        <v>918172.4</v>
      </c>
      <c r="G69" s="7">
        <v>918172.4</v>
      </c>
      <c r="H69" s="1"/>
      <c r="I69" s="8">
        <v>40021</v>
      </c>
      <c r="J69" s="8">
        <v>40051</v>
      </c>
      <c r="K69" s="8">
        <v>40064</v>
      </c>
      <c r="L69" s="6" t="s">
        <v>4</v>
      </c>
      <c r="M69" s="8">
        <v>40079</v>
      </c>
      <c r="N69" s="8">
        <v>40093</v>
      </c>
      <c r="O69" s="1" t="s">
        <v>236</v>
      </c>
      <c r="P69" s="1" t="e">
        <f t="shared" si="7"/>
        <v>#REF!</v>
      </c>
      <c r="Q69" s="18">
        <f t="shared" si="5"/>
        <v>4</v>
      </c>
      <c r="R69" s="18">
        <f t="shared" si="6"/>
        <v>4.5</v>
      </c>
    </row>
    <row r="70" spans="1:18">
      <c r="A70" s="4" t="s">
        <v>584</v>
      </c>
      <c r="B70" s="5" t="s">
        <v>303</v>
      </c>
      <c r="C70" s="6" t="s">
        <v>585</v>
      </c>
      <c r="D70" s="6" t="s">
        <v>586</v>
      </c>
      <c r="E70" s="7">
        <v>37000000</v>
      </c>
      <c r="F70" s="7">
        <v>22428651</v>
      </c>
      <c r="G70" s="7">
        <v>22428651</v>
      </c>
      <c r="H70" s="1"/>
      <c r="I70" s="8">
        <v>40042</v>
      </c>
      <c r="J70" s="8">
        <v>40094</v>
      </c>
      <c r="K70" s="8">
        <v>40133</v>
      </c>
      <c r="L70" s="6" t="s">
        <v>5</v>
      </c>
      <c r="M70" s="8">
        <v>40122</v>
      </c>
      <c r="N70" s="8">
        <v>40136</v>
      </c>
      <c r="O70" s="1" t="s">
        <v>328</v>
      </c>
      <c r="P70" s="1" t="e">
        <f t="shared" si="7"/>
        <v>#REF!</v>
      </c>
      <c r="Q70" s="18">
        <f t="shared" si="5"/>
        <v>8</v>
      </c>
      <c r="R70" s="18">
        <f t="shared" si="6"/>
        <v>1.2</v>
      </c>
    </row>
    <row r="71" spans="1:18">
      <c r="A71" s="4" t="s">
        <v>590</v>
      </c>
      <c r="B71" s="5" t="s">
        <v>234</v>
      </c>
      <c r="C71" s="6" t="s">
        <v>591</v>
      </c>
      <c r="D71" s="6" t="s">
        <v>592</v>
      </c>
      <c r="E71" s="7">
        <v>10000000</v>
      </c>
      <c r="F71" s="7">
        <v>8355271.0999999996</v>
      </c>
      <c r="G71" s="7">
        <v>8355271.0999999996</v>
      </c>
      <c r="H71" s="1"/>
      <c r="I71" s="8">
        <v>40042</v>
      </c>
      <c r="J71" s="8">
        <v>40073</v>
      </c>
      <c r="K71" s="8">
        <v>40084</v>
      </c>
      <c r="L71" s="6" t="s">
        <v>6</v>
      </c>
      <c r="M71" s="8">
        <v>40101</v>
      </c>
      <c r="N71" s="8">
        <v>40115</v>
      </c>
      <c r="O71" s="1" t="s">
        <v>614</v>
      </c>
      <c r="P71" s="1" t="e">
        <f t="shared" si="7"/>
        <v>#REF!</v>
      </c>
      <c r="Q71" s="18">
        <f t="shared" si="5"/>
        <v>7</v>
      </c>
      <c r="R71" s="18">
        <f t="shared" si="6"/>
        <v>7.5</v>
      </c>
    </row>
    <row r="72" spans="1:18">
      <c r="A72" s="4" t="s">
        <v>587</v>
      </c>
      <c r="B72" s="5" t="s">
        <v>79</v>
      </c>
      <c r="C72" s="6" t="s">
        <v>588</v>
      </c>
      <c r="D72" s="6" t="s">
        <v>589</v>
      </c>
      <c r="E72" s="7">
        <v>80000000</v>
      </c>
      <c r="F72" s="7">
        <v>61023992</v>
      </c>
      <c r="G72" s="7">
        <v>61023992</v>
      </c>
      <c r="H72" s="1"/>
      <c r="I72" s="8">
        <v>40064</v>
      </c>
      <c r="J72" s="8">
        <v>40115</v>
      </c>
      <c r="K72" s="8">
        <v>40170</v>
      </c>
      <c r="L72" s="6" t="s">
        <v>7</v>
      </c>
      <c r="M72" s="8">
        <v>40143</v>
      </c>
      <c r="N72" s="8">
        <v>40157</v>
      </c>
      <c r="O72" s="1" t="s">
        <v>316</v>
      </c>
      <c r="P72" s="1" t="e">
        <f t="shared" si="7"/>
        <v>#REF!</v>
      </c>
      <c r="Q72" s="18">
        <f t="shared" si="5"/>
        <v>10</v>
      </c>
      <c r="R72" s="18">
        <f t="shared" si="6"/>
        <v>0.95</v>
      </c>
    </row>
    <row r="73" spans="1:18">
      <c r="A73" s="4" t="s">
        <v>582</v>
      </c>
      <c r="B73" s="5" t="s">
        <v>102</v>
      </c>
      <c r="C73" s="6" t="s">
        <v>583</v>
      </c>
      <c r="D73" s="6" t="s">
        <v>280</v>
      </c>
      <c r="E73" s="7">
        <v>21800000</v>
      </c>
      <c r="F73" s="7">
        <v>13844502.9</v>
      </c>
      <c r="G73" s="7">
        <v>13844502.9</v>
      </c>
      <c r="H73" s="1"/>
      <c r="I73" s="8">
        <v>40070</v>
      </c>
      <c r="J73" s="8">
        <v>40122</v>
      </c>
      <c r="K73" s="8">
        <v>40141</v>
      </c>
      <c r="L73" s="6" t="s">
        <v>8</v>
      </c>
      <c r="M73" s="8">
        <v>40150</v>
      </c>
      <c r="N73" s="8">
        <v>40164</v>
      </c>
      <c r="O73" s="1" t="s">
        <v>337</v>
      </c>
      <c r="P73" s="1" t="e">
        <f t="shared" si="7"/>
        <v>#REF!</v>
      </c>
      <c r="Q73" s="18">
        <f t="shared" si="5"/>
        <v>6</v>
      </c>
      <c r="R73" s="18">
        <f t="shared" si="6"/>
        <v>9.1</v>
      </c>
    </row>
    <row r="74" spans="1:18">
      <c r="A74" s="4" t="s">
        <v>602</v>
      </c>
      <c r="B74" s="5" t="s">
        <v>296</v>
      </c>
      <c r="C74" s="6" t="s">
        <v>603</v>
      </c>
      <c r="D74" s="6" t="s">
        <v>273</v>
      </c>
      <c r="E74" s="7">
        <v>2110000</v>
      </c>
      <c r="F74" s="7">
        <v>1447954</v>
      </c>
      <c r="G74" s="7">
        <v>1447954</v>
      </c>
      <c r="H74" s="1"/>
      <c r="I74" s="8">
        <v>40077</v>
      </c>
      <c r="J74" s="8">
        <v>40107</v>
      </c>
      <c r="K74" s="8">
        <v>40141</v>
      </c>
      <c r="L74" s="6" t="s">
        <v>9</v>
      </c>
      <c r="M74" s="8">
        <v>40135</v>
      </c>
      <c r="N74" s="8">
        <v>40149</v>
      </c>
      <c r="O74" s="1" t="s">
        <v>337</v>
      </c>
      <c r="P74" s="1" t="e">
        <f t="shared" si="7"/>
        <v>#REF!</v>
      </c>
      <c r="Q74" s="18">
        <f t="shared" si="5"/>
        <v>4</v>
      </c>
      <c r="R74" s="18">
        <f t="shared" si="6"/>
        <v>4.4000000000000004</v>
      </c>
    </row>
    <row r="75" spans="1:18">
      <c r="A75" s="4" t="s">
        <v>53</v>
      </c>
      <c r="B75" s="5" t="s">
        <v>80</v>
      </c>
      <c r="C75" s="6" t="s">
        <v>329</v>
      </c>
      <c r="D75" s="6" t="s">
        <v>54</v>
      </c>
      <c r="E75" s="7">
        <v>3900000</v>
      </c>
      <c r="F75" s="7">
        <v>2429933</v>
      </c>
      <c r="G75" s="7">
        <v>2429933</v>
      </c>
      <c r="H75" s="1"/>
      <c r="I75" s="8">
        <v>40105</v>
      </c>
      <c r="J75" s="8">
        <v>40148</v>
      </c>
      <c r="K75" s="8">
        <v>40169</v>
      </c>
      <c r="L75" s="6" t="s">
        <v>10</v>
      </c>
      <c r="M75" s="8">
        <v>40176</v>
      </c>
      <c r="N75" s="8">
        <v>40190</v>
      </c>
      <c r="O75" s="1" t="s">
        <v>317</v>
      </c>
      <c r="P75" s="1" t="e">
        <f t="shared" si="7"/>
        <v>#REF!</v>
      </c>
      <c r="Q75" s="18">
        <f t="shared" si="5"/>
        <v>4</v>
      </c>
      <c r="R75" s="18">
        <f t="shared" si="6"/>
        <v>4.2</v>
      </c>
    </row>
    <row r="76" spans="1:18">
      <c r="A76" s="4" t="s">
        <v>55</v>
      </c>
      <c r="B76" s="5" t="s">
        <v>81</v>
      </c>
      <c r="C76" s="6" t="s">
        <v>56</v>
      </c>
      <c r="D76" s="6" t="s">
        <v>57</v>
      </c>
      <c r="E76" s="7">
        <v>370000</v>
      </c>
      <c r="F76" s="7">
        <v>311412</v>
      </c>
      <c r="G76" s="7">
        <v>311412</v>
      </c>
      <c r="H76" s="1"/>
      <c r="I76" s="8">
        <v>40105</v>
      </c>
      <c r="J76" s="8">
        <v>40135</v>
      </c>
      <c r="K76" s="8">
        <v>40170</v>
      </c>
      <c r="L76" s="6" t="s">
        <v>11</v>
      </c>
      <c r="M76" s="8">
        <v>40163</v>
      </c>
      <c r="N76" s="8">
        <v>40177</v>
      </c>
      <c r="O76" s="1" t="s">
        <v>316</v>
      </c>
      <c r="P76" s="1" t="e">
        <f t="shared" si="7"/>
        <v>#REF!</v>
      </c>
      <c r="Q76" s="18">
        <f t="shared" si="5"/>
        <v>4</v>
      </c>
      <c r="R76" s="18">
        <f t="shared" si="6"/>
        <v>36.1</v>
      </c>
    </row>
    <row r="77" spans="1:18">
      <c r="A77" s="4" t="s">
        <v>282</v>
      </c>
      <c r="B77" s="5" t="s">
        <v>63</v>
      </c>
      <c r="C77" s="6" t="s">
        <v>283</v>
      </c>
      <c r="D77" s="6" t="s">
        <v>239</v>
      </c>
      <c r="E77" s="7">
        <v>33000000</v>
      </c>
      <c r="F77" s="7">
        <v>23899673</v>
      </c>
      <c r="G77" s="7">
        <v>25318028.140000001</v>
      </c>
      <c r="H77" s="1"/>
      <c r="I77" s="8">
        <v>40112</v>
      </c>
      <c r="J77" s="8">
        <v>40149</v>
      </c>
      <c r="K77" s="8">
        <v>40178</v>
      </c>
      <c r="L77" s="6" t="s">
        <v>12</v>
      </c>
      <c r="M77" s="8">
        <v>40177</v>
      </c>
      <c r="N77" s="8">
        <v>40191</v>
      </c>
      <c r="O77" s="1" t="s">
        <v>349</v>
      </c>
      <c r="P77" s="1" t="e">
        <f t="shared" si="7"/>
        <v>#REF!</v>
      </c>
      <c r="Q77" s="18">
        <f t="shared" si="5"/>
        <v>6</v>
      </c>
      <c r="R77" s="18">
        <f t="shared" si="6"/>
        <v>6</v>
      </c>
    </row>
    <row r="78" spans="1:18">
      <c r="A78" s="4" t="s">
        <v>14</v>
      </c>
      <c r="B78" s="5" t="s">
        <v>393</v>
      </c>
      <c r="C78" s="6" t="s">
        <v>15</v>
      </c>
      <c r="D78" s="6" t="s">
        <v>16</v>
      </c>
      <c r="E78" s="7">
        <v>4840000</v>
      </c>
      <c r="F78" s="7">
        <v>4113190</v>
      </c>
      <c r="G78" s="7">
        <v>4113190</v>
      </c>
      <c r="H78" s="1"/>
      <c r="I78" s="8">
        <v>40140</v>
      </c>
      <c r="J78" s="8">
        <v>40183</v>
      </c>
      <c r="K78" s="8">
        <v>40199</v>
      </c>
      <c r="L78" s="6" t="s">
        <v>17</v>
      </c>
      <c r="M78" s="8">
        <v>40197</v>
      </c>
      <c r="N78" s="8">
        <v>40225</v>
      </c>
      <c r="O78" s="1" t="s">
        <v>157</v>
      </c>
      <c r="P78" s="1" t="e">
        <f t="shared" si="7"/>
        <v>#REF!</v>
      </c>
      <c r="Q78" s="18">
        <f t="shared" si="5"/>
        <v>7</v>
      </c>
      <c r="R78" s="18">
        <f t="shared" si="6"/>
        <v>10.1</v>
      </c>
    </row>
    <row r="79" spans="1:18">
      <c r="A79" s="4" t="s">
        <v>277</v>
      </c>
      <c r="B79" s="5" t="s">
        <v>152</v>
      </c>
      <c r="C79" s="6" t="s">
        <v>278</v>
      </c>
      <c r="D79" s="6" t="s">
        <v>279</v>
      </c>
      <c r="E79" s="7">
        <v>880000</v>
      </c>
      <c r="F79" s="7">
        <v>416870.62</v>
      </c>
      <c r="G79" s="7">
        <v>466143.5</v>
      </c>
      <c r="H79" s="1"/>
      <c r="I79" s="8">
        <v>40147</v>
      </c>
      <c r="J79" s="8">
        <v>40191</v>
      </c>
      <c r="K79" s="8">
        <v>40218</v>
      </c>
      <c r="L79" s="6" t="s">
        <v>13</v>
      </c>
      <c r="M79" s="8">
        <v>40219</v>
      </c>
      <c r="N79" s="8">
        <v>40233</v>
      </c>
      <c r="O79" s="1" t="s">
        <v>175</v>
      </c>
      <c r="P79" s="1" t="e">
        <f t="shared" si="7"/>
        <v>#REF!</v>
      </c>
      <c r="Q79" s="18">
        <f t="shared" si="5"/>
        <v>5</v>
      </c>
      <c r="R79" s="18">
        <f t="shared" si="6"/>
        <v>0.8</v>
      </c>
    </row>
    <row r="80" spans="1:18">
      <c r="A80" s="4" t="s">
        <v>22</v>
      </c>
      <c r="B80" s="5" t="s">
        <v>348</v>
      </c>
      <c r="C80" s="6" t="s">
        <v>153</v>
      </c>
      <c r="D80" s="6" t="s">
        <v>154</v>
      </c>
      <c r="E80" s="7">
        <v>1200000</v>
      </c>
      <c r="F80" s="7">
        <v>796199.2</v>
      </c>
      <c r="G80" s="7">
        <v>864041.7</v>
      </c>
      <c r="H80" s="1"/>
      <c r="I80" s="8">
        <v>40154</v>
      </c>
      <c r="J80" s="8">
        <v>40206</v>
      </c>
      <c r="K80" s="8">
        <v>40282</v>
      </c>
      <c r="L80" s="6" t="s">
        <v>155</v>
      </c>
      <c r="M80" s="8">
        <v>40234</v>
      </c>
      <c r="N80" s="8">
        <v>40248</v>
      </c>
      <c r="O80" s="1" t="s">
        <v>392</v>
      </c>
      <c r="P80" s="1" t="e">
        <f t="shared" si="7"/>
        <v>#REF!</v>
      </c>
      <c r="Q80" s="18">
        <f t="shared" si="5"/>
        <v>10</v>
      </c>
      <c r="R80" s="18">
        <f t="shared" si="6"/>
        <v>2.9</v>
      </c>
    </row>
    <row r="81" spans="1:18">
      <c r="A81" s="4" t="s">
        <v>18</v>
      </c>
      <c r="B81" s="5" t="s">
        <v>113</v>
      </c>
      <c r="C81" s="6" t="s">
        <v>19</v>
      </c>
      <c r="D81" s="6" t="s">
        <v>20</v>
      </c>
      <c r="E81" s="7">
        <v>160000000</v>
      </c>
      <c r="F81" s="7">
        <v>109299288.7</v>
      </c>
      <c r="G81" s="7">
        <v>109299288.7</v>
      </c>
      <c r="H81" s="1"/>
      <c r="I81" s="8">
        <v>40175</v>
      </c>
      <c r="J81" s="8">
        <v>40227</v>
      </c>
      <c r="K81" s="8">
        <v>40304</v>
      </c>
      <c r="L81" s="6" t="s">
        <v>21</v>
      </c>
      <c r="M81" s="8">
        <v>40255</v>
      </c>
      <c r="N81" s="8">
        <v>40269</v>
      </c>
      <c r="O81" s="1" t="s">
        <v>158</v>
      </c>
      <c r="P81" s="1" t="e">
        <f t="shared" si="7"/>
        <v>#REF!</v>
      </c>
      <c r="Q81" s="18">
        <f t="shared" si="5"/>
        <v>6</v>
      </c>
      <c r="R81" s="18">
        <f t="shared" si="6"/>
        <v>6.85</v>
      </c>
    </row>
    <row r="82" spans="1:18">
      <c r="A82" s="4" t="s">
        <v>308</v>
      </c>
      <c r="B82" s="5" t="s">
        <v>166</v>
      </c>
      <c r="C82" s="6" t="s">
        <v>309</v>
      </c>
      <c r="D82" s="6" t="s">
        <v>310</v>
      </c>
      <c r="E82" s="7">
        <v>99000000</v>
      </c>
      <c r="F82" s="7">
        <v>57712535</v>
      </c>
      <c r="G82" s="7">
        <v>57712535</v>
      </c>
      <c r="H82" s="1"/>
      <c r="I82" s="8">
        <v>40175</v>
      </c>
      <c r="J82" s="8">
        <v>40235</v>
      </c>
      <c r="K82" s="8">
        <v>40260</v>
      </c>
      <c r="L82" s="6" t="s">
        <v>311</v>
      </c>
      <c r="M82" s="8">
        <v>40240</v>
      </c>
      <c r="N82" s="8">
        <v>40254</v>
      </c>
      <c r="O82" s="1" t="s">
        <v>294</v>
      </c>
      <c r="P82" s="1" t="e">
        <f t="shared" si="7"/>
        <v>#REF!</v>
      </c>
      <c r="Q82" s="18">
        <f t="shared" si="5"/>
        <v>5</v>
      </c>
      <c r="R82" s="18">
        <f t="shared" si="6"/>
        <v>6.4</v>
      </c>
    </row>
    <row r="83" spans="1:18">
      <c r="A83" s="4" t="s">
        <v>338</v>
      </c>
      <c r="B83" s="5" t="s">
        <v>164</v>
      </c>
      <c r="C83" s="6" t="s">
        <v>339</v>
      </c>
      <c r="D83" s="6" t="s">
        <v>340</v>
      </c>
      <c r="E83" s="7">
        <v>3000000</v>
      </c>
      <c r="F83" s="7">
        <v>1528879.5</v>
      </c>
      <c r="G83" s="7">
        <v>1528879.5</v>
      </c>
      <c r="H83" s="1"/>
      <c r="I83" s="8">
        <v>40175</v>
      </c>
      <c r="J83" s="8">
        <v>40205</v>
      </c>
      <c r="K83" s="8">
        <v>40226</v>
      </c>
      <c r="L83" s="6" t="s">
        <v>341</v>
      </c>
      <c r="M83" s="8">
        <v>40246</v>
      </c>
      <c r="N83" s="8">
        <v>40260</v>
      </c>
      <c r="O83" s="1" t="s">
        <v>176</v>
      </c>
      <c r="P83" s="1" t="e">
        <f t="shared" si="7"/>
        <v>#REF!</v>
      </c>
      <c r="Q83" s="18">
        <f t="shared" si="5"/>
        <v>9</v>
      </c>
      <c r="R83" s="18">
        <f t="shared" si="6"/>
        <v>14</v>
      </c>
    </row>
    <row r="84" spans="1:18">
      <c r="A84" s="4" t="s">
        <v>342</v>
      </c>
      <c r="B84" s="5" t="s">
        <v>78</v>
      </c>
      <c r="C84" s="6" t="s">
        <v>343</v>
      </c>
      <c r="D84" s="6" t="s">
        <v>344</v>
      </c>
      <c r="E84" s="7">
        <v>2530000</v>
      </c>
      <c r="F84" s="7">
        <v>1664671.59</v>
      </c>
      <c r="G84" s="7">
        <v>1664671.59</v>
      </c>
      <c r="H84" s="1"/>
      <c r="I84" s="8">
        <v>40175</v>
      </c>
      <c r="J84" s="8">
        <v>40204</v>
      </c>
      <c r="K84" s="8">
        <v>40231</v>
      </c>
      <c r="L84" s="6" t="s">
        <v>345</v>
      </c>
      <c r="M84" s="8">
        <v>40240</v>
      </c>
      <c r="N84" s="8">
        <v>40254</v>
      </c>
      <c r="O84" s="1" t="s">
        <v>305</v>
      </c>
      <c r="P84" s="1" t="e">
        <f t="shared" si="7"/>
        <v>#REF!</v>
      </c>
      <c r="Q84" s="18">
        <f t="shared" si="5"/>
        <v>10</v>
      </c>
      <c r="R84" s="18">
        <f t="shared" si="6"/>
        <v>12.5</v>
      </c>
    </row>
    <row r="85" spans="1:18">
      <c r="A85" s="4" t="s">
        <v>346</v>
      </c>
      <c r="B85" s="5" t="s">
        <v>165</v>
      </c>
      <c r="C85" s="6" t="s">
        <v>48</v>
      </c>
      <c r="D85" s="6" t="s">
        <v>306</v>
      </c>
      <c r="E85" s="7">
        <v>3680000</v>
      </c>
      <c r="F85" s="7">
        <v>2122625</v>
      </c>
      <c r="G85" s="7">
        <v>2122625</v>
      </c>
      <c r="H85" s="1"/>
      <c r="I85" s="8">
        <v>40182</v>
      </c>
      <c r="J85" s="8">
        <v>40211</v>
      </c>
      <c r="K85" s="8">
        <v>40231</v>
      </c>
      <c r="L85" s="6" t="s">
        <v>307</v>
      </c>
      <c r="M85" s="8">
        <v>40254</v>
      </c>
      <c r="N85" s="8">
        <v>40268</v>
      </c>
      <c r="O85" s="1" t="s">
        <v>305</v>
      </c>
      <c r="P85" s="1" t="e">
        <f t="shared" si="7"/>
        <v>#REF!</v>
      </c>
      <c r="Q85" s="18">
        <f t="shared" si="5"/>
        <v>9</v>
      </c>
      <c r="R85" s="18">
        <f t="shared" si="6"/>
        <v>10.4</v>
      </c>
    </row>
    <row r="86" spans="1:18">
      <c r="A86" s="4" t="s">
        <v>228</v>
      </c>
      <c r="B86" s="5" t="s">
        <v>45</v>
      </c>
      <c r="C86" s="6" t="s">
        <v>229</v>
      </c>
      <c r="D86" s="6" t="s">
        <v>230</v>
      </c>
      <c r="E86" s="7">
        <v>890000</v>
      </c>
      <c r="F86" s="7">
        <v>648310</v>
      </c>
      <c r="G86" s="7">
        <v>648310</v>
      </c>
      <c r="H86" s="1"/>
      <c r="I86" s="8">
        <v>40210</v>
      </c>
      <c r="J86" s="8">
        <v>40233</v>
      </c>
      <c r="K86" s="8">
        <v>40261</v>
      </c>
      <c r="L86" s="6" t="s">
        <v>231</v>
      </c>
      <c r="M86" s="8">
        <v>40261</v>
      </c>
      <c r="N86" s="8">
        <v>40275</v>
      </c>
      <c r="O86" s="1" t="s">
        <v>110</v>
      </c>
      <c r="P86" s="1" t="e">
        <f t="shared" si="7"/>
        <v>#REF!</v>
      </c>
      <c r="Q86" s="18">
        <f t="shared" si="5"/>
        <v>6</v>
      </c>
      <c r="R86" s="18">
        <f t="shared" si="6"/>
        <v>6.2</v>
      </c>
    </row>
    <row r="87" spans="1:18">
      <c r="A87" s="4" t="s">
        <v>607</v>
      </c>
      <c r="B87" s="5" t="s">
        <v>304</v>
      </c>
      <c r="C87" s="6" t="s">
        <v>608</v>
      </c>
      <c r="D87" s="6" t="s">
        <v>609</v>
      </c>
      <c r="E87" s="7">
        <v>2550000</v>
      </c>
      <c r="F87" s="7">
        <v>1467525</v>
      </c>
      <c r="G87" s="7">
        <v>1467525</v>
      </c>
      <c r="H87" s="1"/>
      <c r="I87" s="8">
        <v>40225</v>
      </c>
      <c r="J87" s="8">
        <v>40254</v>
      </c>
      <c r="K87" s="8">
        <v>40295</v>
      </c>
      <c r="L87" s="6" t="s">
        <v>326</v>
      </c>
      <c r="M87" s="8">
        <v>40282</v>
      </c>
      <c r="N87" s="8">
        <v>40296</v>
      </c>
      <c r="O87" s="1" t="s">
        <v>170</v>
      </c>
      <c r="P87" s="1" t="e">
        <f t="shared" si="7"/>
        <v>#REF!</v>
      </c>
      <c r="Q87" s="18">
        <f t="shared" si="5"/>
        <v>5</v>
      </c>
      <c r="R87" s="18">
        <f t="shared" si="6"/>
        <v>5.0999999999999996</v>
      </c>
    </row>
    <row r="88" spans="1:18">
      <c r="A88" s="4" t="s">
        <v>324</v>
      </c>
      <c r="B88" s="5" t="s">
        <v>151</v>
      </c>
      <c r="C88" s="6" t="s">
        <v>325</v>
      </c>
      <c r="D88" s="6" t="s">
        <v>27</v>
      </c>
      <c r="E88" s="7">
        <v>1240000</v>
      </c>
      <c r="F88" s="7">
        <v>707158.3</v>
      </c>
      <c r="G88" s="7">
        <v>707158.3</v>
      </c>
      <c r="H88" s="1"/>
      <c r="I88" s="8">
        <v>40225</v>
      </c>
      <c r="J88" s="8">
        <v>40253</v>
      </c>
      <c r="K88" s="8">
        <v>40273</v>
      </c>
      <c r="L88" s="6" t="s">
        <v>28</v>
      </c>
      <c r="M88" s="8">
        <v>40281</v>
      </c>
      <c r="N88" s="8">
        <v>40295</v>
      </c>
      <c r="O88" s="1" t="s">
        <v>605</v>
      </c>
      <c r="P88" s="1" t="e">
        <f t="shared" si="7"/>
        <v>#REF!</v>
      </c>
      <c r="Q88" s="18">
        <f t="shared" si="5"/>
        <v>7</v>
      </c>
      <c r="R88" s="18">
        <f t="shared" si="6"/>
        <v>7.1</v>
      </c>
    </row>
    <row r="89" spans="1:18">
      <c r="A89" s="4" t="s">
        <v>334</v>
      </c>
      <c r="B89" s="5" t="s">
        <v>109</v>
      </c>
      <c r="C89" s="6" t="s">
        <v>335</v>
      </c>
      <c r="D89" s="6" t="s">
        <v>0</v>
      </c>
      <c r="E89" s="7">
        <v>1710000</v>
      </c>
      <c r="F89" s="7">
        <v>1440586.5</v>
      </c>
      <c r="G89" s="7">
        <v>1440586.5</v>
      </c>
      <c r="H89" s="1"/>
      <c r="I89" s="8">
        <v>40225</v>
      </c>
      <c r="J89" s="8">
        <v>40260</v>
      </c>
      <c r="K89" s="8">
        <v>40303</v>
      </c>
      <c r="L89" s="6" t="s">
        <v>336</v>
      </c>
      <c r="M89" s="8">
        <v>40288</v>
      </c>
      <c r="N89" s="8">
        <v>40302</v>
      </c>
      <c r="O89" s="1" t="s">
        <v>159</v>
      </c>
      <c r="P89" s="1" t="e">
        <f t="shared" si="7"/>
        <v>#REF!</v>
      </c>
      <c r="Q89" s="18">
        <f t="shared" si="5"/>
        <v>7</v>
      </c>
      <c r="R89" s="18">
        <f t="shared" si="6"/>
        <v>7.7</v>
      </c>
    </row>
    <row r="90" spans="1:18">
      <c r="A90" s="4" t="s">
        <v>264</v>
      </c>
      <c r="B90" s="5" t="s">
        <v>32</v>
      </c>
      <c r="C90" s="6" t="s">
        <v>265</v>
      </c>
      <c r="D90" s="6" t="s">
        <v>266</v>
      </c>
      <c r="E90" s="7">
        <v>15000000</v>
      </c>
      <c r="F90" s="7">
        <v>8393579</v>
      </c>
      <c r="G90" s="7">
        <v>8393579</v>
      </c>
      <c r="H90" s="1"/>
      <c r="I90" s="8">
        <v>40231</v>
      </c>
      <c r="J90" s="8">
        <v>40289</v>
      </c>
      <c r="K90" s="8">
        <v>40326</v>
      </c>
      <c r="L90" s="6" t="s">
        <v>267</v>
      </c>
      <c r="M90" s="8">
        <v>40317</v>
      </c>
      <c r="N90" s="8">
        <v>40331</v>
      </c>
      <c r="O90" s="1" t="s">
        <v>272</v>
      </c>
      <c r="P90" s="1" t="e">
        <f t="shared" si="7"/>
        <v>#REF!</v>
      </c>
      <c r="Q90" s="18">
        <f t="shared" si="5"/>
        <v>4</v>
      </c>
      <c r="R90" s="18">
        <f t="shared" si="6"/>
        <v>4.0999999999999996</v>
      </c>
    </row>
    <row r="91" spans="1:18">
      <c r="A91" s="4" t="s">
        <v>268</v>
      </c>
      <c r="B91" s="5" t="s">
        <v>33</v>
      </c>
      <c r="C91" s="6" t="s">
        <v>269</v>
      </c>
      <c r="D91" s="6" t="s">
        <v>270</v>
      </c>
      <c r="E91" s="7">
        <v>46000000</v>
      </c>
      <c r="F91" s="7">
        <v>30436533.879999999</v>
      </c>
      <c r="G91" s="7">
        <v>30436533.879999999</v>
      </c>
      <c r="H91" s="1"/>
      <c r="I91" s="8">
        <v>40231</v>
      </c>
      <c r="J91" s="8">
        <v>40275</v>
      </c>
      <c r="K91" s="8">
        <v>40373</v>
      </c>
      <c r="L91" s="6" t="s">
        <v>271</v>
      </c>
      <c r="M91" s="8">
        <v>40303</v>
      </c>
      <c r="N91" s="8">
        <v>40317</v>
      </c>
      <c r="O91" s="1" t="s">
        <v>163</v>
      </c>
      <c r="P91" s="1" t="e">
        <f t="shared" si="7"/>
        <v>#REF!</v>
      </c>
      <c r="Q91" s="18">
        <f t="shared" si="5"/>
        <v>3</v>
      </c>
      <c r="R91" s="18">
        <f t="shared" si="6"/>
        <v>0.9</v>
      </c>
    </row>
    <row r="92" spans="1:18">
      <c r="A92" s="4" t="s">
        <v>82</v>
      </c>
      <c r="B92" s="5" t="s">
        <v>174</v>
      </c>
      <c r="C92" s="6" t="s">
        <v>83</v>
      </c>
      <c r="D92" s="6" t="s">
        <v>84</v>
      </c>
      <c r="E92" s="7">
        <v>110000000</v>
      </c>
      <c r="F92" s="7">
        <v>65784398.700000003</v>
      </c>
      <c r="G92" s="7">
        <v>65784398.700000003</v>
      </c>
      <c r="H92" s="1"/>
      <c r="I92" s="8">
        <v>40231</v>
      </c>
      <c r="J92" s="8">
        <v>40283</v>
      </c>
      <c r="K92" s="8">
        <v>40340</v>
      </c>
      <c r="L92" s="6" t="s">
        <v>85</v>
      </c>
      <c r="M92" s="8">
        <v>40311</v>
      </c>
      <c r="N92" s="8">
        <v>40325</v>
      </c>
      <c r="O92" s="1" t="s">
        <v>177</v>
      </c>
      <c r="P92" s="1" t="e">
        <f t="shared" si="7"/>
        <v>#REF!</v>
      </c>
      <c r="Q92" s="18">
        <f t="shared" si="5"/>
        <v>5</v>
      </c>
      <c r="R92" s="18">
        <f t="shared" si="6"/>
        <v>5.7</v>
      </c>
    </row>
    <row r="93" spans="1:18">
      <c r="A93" s="4" t="s">
        <v>330</v>
      </c>
      <c r="B93" s="5" t="s">
        <v>108</v>
      </c>
      <c r="C93" s="6" t="s">
        <v>331</v>
      </c>
      <c r="D93" s="6" t="s">
        <v>332</v>
      </c>
      <c r="E93" s="7">
        <v>20200000</v>
      </c>
      <c r="F93" s="7">
        <v>12777000</v>
      </c>
      <c r="G93" s="7">
        <v>12777000</v>
      </c>
      <c r="H93" s="1"/>
      <c r="I93" s="8">
        <v>40231</v>
      </c>
      <c r="J93" s="8">
        <v>40281</v>
      </c>
      <c r="K93" s="8">
        <v>40301</v>
      </c>
      <c r="L93" s="6" t="s">
        <v>333</v>
      </c>
      <c r="M93" s="8">
        <v>40295</v>
      </c>
      <c r="N93" s="8">
        <v>40309</v>
      </c>
      <c r="O93" s="1" t="s">
        <v>160</v>
      </c>
      <c r="P93" s="1" t="e">
        <f t="shared" si="7"/>
        <v>#REF!</v>
      </c>
      <c r="Q93" s="18">
        <f t="shared" si="5"/>
        <v>5</v>
      </c>
      <c r="R93" s="18">
        <f t="shared" si="6"/>
        <v>5</v>
      </c>
    </row>
    <row r="94" spans="1:18">
      <c r="A94" s="4" t="s">
        <v>237</v>
      </c>
      <c r="B94" s="5" t="s">
        <v>297</v>
      </c>
      <c r="C94" s="6" t="s">
        <v>238</v>
      </c>
      <c r="D94" s="6" t="s">
        <v>606</v>
      </c>
      <c r="E94" s="7">
        <v>1170000</v>
      </c>
      <c r="F94" s="7">
        <v>776378</v>
      </c>
      <c r="G94" s="7">
        <v>776378</v>
      </c>
      <c r="H94" s="1"/>
      <c r="I94" s="8">
        <v>40231</v>
      </c>
      <c r="J94" s="8">
        <v>40253</v>
      </c>
      <c r="K94" s="8">
        <v>40289</v>
      </c>
      <c r="L94" s="6" t="s">
        <v>321</v>
      </c>
      <c r="M94" s="8">
        <v>40281</v>
      </c>
      <c r="N94" s="8">
        <v>40295</v>
      </c>
      <c r="O94" s="1" t="s">
        <v>64</v>
      </c>
      <c r="P94" s="1" t="e">
        <f t="shared" si="7"/>
        <v>#REF!</v>
      </c>
      <c r="Q94" s="18">
        <f t="shared" si="5"/>
        <v>6</v>
      </c>
      <c r="R94" s="18">
        <f t="shared" si="6"/>
        <v>5.8</v>
      </c>
    </row>
    <row r="95" spans="1:18">
      <c r="A95" s="4" t="s">
        <v>611</v>
      </c>
      <c r="B95" s="5" t="s">
        <v>295</v>
      </c>
      <c r="C95" s="6" t="s">
        <v>322</v>
      </c>
      <c r="D95" s="6" t="s">
        <v>612</v>
      </c>
      <c r="E95" s="7">
        <v>580000</v>
      </c>
      <c r="F95" s="7">
        <v>373740</v>
      </c>
      <c r="G95" s="7">
        <v>373740</v>
      </c>
      <c r="H95" s="1"/>
      <c r="I95" s="8">
        <v>40231</v>
      </c>
      <c r="J95" s="8">
        <v>40260</v>
      </c>
      <c r="K95" s="8">
        <v>40297</v>
      </c>
      <c r="L95" s="6" t="s">
        <v>323</v>
      </c>
      <c r="M95" s="8">
        <v>40288</v>
      </c>
      <c r="N95" s="8">
        <v>40302</v>
      </c>
      <c r="O95" s="1" t="s">
        <v>171</v>
      </c>
      <c r="P95" s="1" t="e">
        <f t="shared" si="7"/>
        <v>#REF!</v>
      </c>
      <c r="Q95" s="18">
        <f t="shared" si="5"/>
        <v>4</v>
      </c>
      <c r="R95" s="18">
        <f t="shared" si="6"/>
        <v>0</v>
      </c>
    </row>
    <row r="96" spans="1:18">
      <c r="A96" s="4" t="s">
        <v>1</v>
      </c>
      <c r="B96" s="5" t="s">
        <v>394</v>
      </c>
      <c r="C96" s="6" t="s">
        <v>2</v>
      </c>
      <c r="D96" s="6" t="s">
        <v>3</v>
      </c>
      <c r="E96" s="7">
        <v>250000</v>
      </c>
      <c r="F96" s="7">
        <v>221865</v>
      </c>
      <c r="G96" s="7">
        <v>247369</v>
      </c>
      <c r="H96" s="1"/>
      <c r="I96" s="8">
        <v>40238</v>
      </c>
      <c r="J96" s="8">
        <v>40261</v>
      </c>
      <c r="K96" s="8">
        <v>40297</v>
      </c>
      <c r="L96" s="6" t="s">
        <v>525</v>
      </c>
      <c r="M96" s="8">
        <v>40289</v>
      </c>
      <c r="N96" s="8">
        <v>40303</v>
      </c>
      <c r="O96" s="1" t="s">
        <v>171</v>
      </c>
      <c r="P96" s="1" t="e">
        <f t="shared" si="7"/>
        <v>#REF!</v>
      </c>
      <c r="Q96" s="18">
        <f t="shared" si="5"/>
        <v>7</v>
      </c>
      <c r="R96" s="18">
        <f t="shared" si="6"/>
        <v>8.9</v>
      </c>
    </row>
    <row r="97" spans="1:18">
      <c r="A97" s="4" t="s">
        <v>526</v>
      </c>
      <c r="B97" s="5" t="s">
        <v>300</v>
      </c>
      <c r="C97" s="6" t="s">
        <v>527</v>
      </c>
      <c r="D97" s="6" t="s">
        <v>528</v>
      </c>
      <c r="E97" s="7">
        <v>1430000</v>
      </c>
      <c r="F97" s="7">
        <v>1372797.9</v>
      </c>
      <c r="G97" s="7">
        <v>1372797.9</v>
      </c>
      <c r="H97" s="1"/>
      <c r="I97" s="8">
        <v>40238</v>
      </c>
      <c r="J97" s="8">
        <v>40281</v>
      </c>
      <c r="K97" s="8">
        <v>40308</v>
      </c>
      <c r="L97" s="6" t="s">
        <v>529</v>
      </c>
      <c r="M97" s="8">
        <v>40288</v>
      </c>
      <c r="N97" s="8">
        <v>40302</v>
      </c>
      <c r="O97" s="1" t="s">
        <v>347</v>
      </c>
      <c r="P97" s="1" t="e">
        <f t="shared" si="7"/>
        <v>#REF!</v>
      </c>
      <c r="Q97" s="18">
        <f t="shared" si="5"/>
        <v>5</v>
      </c>
      <c r="R97" s="18">
        <f t="shared" si="6"/>
        <v>5</v>
      </c>
    </row>
    <row r="98" spans="1:18">
      <c r="A98" s="4" t="s">
        <v>530</v>
      </c>
      <c r="B98" s="5" t="s">
        <v>301</v>
      </c>
      <c r="C98" s="6" t="s">
        <v>531</v>
      </c>
      <c r="D98" s="6" t="s">
        <v>532</v>
      </c>
      <c r="E98" s="7">
        <v>1690000</v>
      </c>
      <c r="F98" s="7">
        <v>1498182</v>
      </c>
      <c r="G98" s="7">
        <v>1498182</v>
      </c>
      <c r="H98" s="1"/>
      <c r="I98" s="8">
        <v>40238</v>
      </c>
      <c r="J98" s="8">
        <v>40274</v>
      </c>
      <c r="K98" s="8">
        <v>40303</v>
      </c>
      <c r="L98" s="6" t="s">
        <v>533</v>
      </c>
      <c r="M98" s="8">
        <v>40302</v>
      </c>
      <c r="N98" s="8">
        <v>40316</v>
      </c>
      <c r="O98" s="1" t="s">
        <v>159</v>
      </c>
      <c r="P98" s="1" t="e">
        <f t="shared" si="7"/>
        <v>#REF!</v>
      </c>
      <c r="Q98" s="18">
        <f t="shared" ref="Q98:Q114" si="8">VLOOKUP(B98,udbe,2,FALSE)</f>
        <v>3</v>
      </c>
      <c r="R98" s="18">
        <f t="shared" ref="R98:R108" si="9">VLOOKUP(B98,udbe,3,FALSE)</f>
        <v>26.4</v>
      </c>
    </row>
    <row r="99" spans="1:18">
      <c r="A99" s="4" t="s">
        <v>318</v>
      </c>
      <c r="B99" s="5" t="s">
        <v>242</v>
      </c>
      <c r="C99" s="6" t="s">
        <v>319</v>
      </c>
      <c r="D99" s="6" t="s">
        <v>320</v>
      </c>
      <c r="E99" s="7">
        <v>950000</v>
      </c>
      <c r="F99" s="7">
        <v>611138.06000000006</v>
      </c>
      <c r="G99" s="7">
        <v>611138.06000000006</v>
      </c>
      <c r="H99" s="1"/>
      <c r="I99" s="8">
        <v>40245</v>
      </c>
      <c r="J99" s="8">
        <v>40295</v>
      </c>
      <c r="K99" s="8">
        <v>40322</v>
      </c>
      <c r="L99" s="6" t="s">
        <v>524</v>
      </c>
      <c r="M99" s="8">
        <v>40302</v>
      </c>
      <c r="N99" s="8">
        <v>40316</v>
      </c>
      <c r="O99" s="1" t="s">
        <v>43</v>
      </c>
      <c r="P99" s="1" t="e">
        <f t="shared" si="7"/>
        <v>#REF!</v>
      </c>
      <c r="Q99" s="18">
        <f t="shared" si="8"/>
        <v>5</v>
      </c>
      <c r="R99" s="18">
        <f t="shared" si="9"/>
        <v>5</v>
      </c>
    </row>
    <row r="100" spans="1:18">
      <c r="A100" s="4" t="s">
        <v>86</v>
      </c>
      <c r="B100" s="5" t="s">
        <v>29</v>
      </c>
      <c r="C100" s="6" t="s">
        <v>87</v>
      </c>
      <c r="D100" s="6" t="s">
        <v>88</v>
      </c>
      <c r="E100" s="7">
        <v>980000</v>
      </c>
      <c r="F100" s="7">
        <v>896896</v>
      </c>
      <c r="G100" s="7">
        <v>896896</v>
      </c>
      <c r="H100" s="1"/>
      <c r="I100" s="8">
        <v>40245</v>
      </c>
      <c r="J100" s="8">
        <v>40309</v>
      </c>
      <c r="K100" s="8">
        <v>40337</v>
      </c>
      <c r="L100" s="6" t="s">
        <v>89</v>
      </c>
      <c r="M100" s="8">
        <v>40303</v>
      </c>
      <c r="N100" s="8">
        <v>40317</v>
      </c>
      <c r="O100" s="1" t="s">
        <v>240</v>
      </c>
      <c r="P100" s="1" t="e">
        <f t="shared" si="7"/>
        <v>#REF!</v>
      </c>
      <c r="Q100" s="18">
        <f t="shared" si="8"/>
        <v>3</v>
      </c>
      <c r="R100" s="18">
        <f t="shared" si="9"/>
        <v>3</v>
      </c>
    </row>
    <row r="101" spans="1:18">
      <c r="A101" s="4" t="s">
        <v>288</v>
      </c>
      <c r="B101" s="5" t="s">
        <v>66</v>
      </c>
      <c r="C101" s="6" t="s">
        <v>289</v>
      </c>
      <c r="D101" s="6" t="s">
        <v>290</v>
      </c>
      <c r="E101" s="7">
        <v>4590000</v>
      </c>
      <c r="F101" s="7">
        <v>4052600.78</v>
      </c>
      <c r="G101" s="7">
        <v>4052600.78</v>
      </c>
      <c r="H101" s="1"/>
      <c r="I101" s="8">
        <v>40259</v>
      </c>
      <c r="J101" s="8">
        <v>40288</v>
      </c>
      <c r="K101" s="8">
        <v>40339</v>
      </c>
      <c r="L101" s="6" t="s">
        <v>291</v>
      </c>
      <c r="M101" s="8">
        <v>40316</v>
      </c>
      <c r="N101" s="8">
        <v>40330</v>
      </c>
      <c r="O101" s="1" t="s">
        <v>241</v>
      </c>
      <c r="P101" s="1" t="e">
        <f t="shared" si="7"/>
        <v>#REF!</v>
      </c>
      <c r="Q101" s="18">
        <f t="shared" si="8"/>
        <v>4</v>
      </c>
      <c r="R101" s="18">
        <f t="shared" si="9"/>
        <v>4.2</v>
      </c>
    </row>
    <row r="102" spans="1:18">
      <c r="A102" s="4" t="s">
        <v>292</v>
      </c>
      <c r="B102" s="5" t="s">
        <v>65</v>
      </c>
      <c r="C102" s="6" t="s">
        <v>293</v>
      </c>
      <c r="D102" s="6" t="s">
        <v>150</v>
      </c>
      <c r="E102" s="7">
        <v>16300000</v>
      </c>
      <c r="F102" s="7">
        <v>10414674</v>
      </c>
      <c r="G102" s="7">
        <v>10414674</v>
      </c>
      <c r="H102" s="1"/>
      <c r="I102" s="8">
        <v>40280</v>
      </c>
      <c r="J102" s="8">
        <v>40302</v>
      </c>
      <c r="K102" s="8">
        <v>40382</v>
      </c>
      <c r="L102" s="6" t="s">
        <v>47</v>
      </c>
      <c r="M102" s="8">
        <v>40330</v>
      </c>
      <c r="N102" s="8">
        <v>40344</v>
      </c>
      <c r="O102" s="1" t="s">
        <v>156</v>
      </c>
      <c r="P102" s="1" t="e">
        <f t="shared" si="7"/>
        <v>#REF!</v>
      </c>
      <c r="Q102" s="18">
        <f t="shared" si="8"/>
        <v>3</v>
      </c>
      <c r="R102" s="18">
        <f t="shared" si="9"/>
        <v>3.9</v>
      </c>
    </row>
    <row r="103" spans="1:18">
      <c r="A103" s="4" t="s">
        <v>284</v>
      </c>
      <c r="B103" s="5" t="s">
        <v>604</v>
      </c>
      <c r="C103" s="6" t="s">
        <v>285</v>
      </c>
      <c r="D103" s="6" t="s">
        <v>286</v>
      </c>
      <c r="E103" s="7">
        <v>37000000</v>
      </c>
      <c r="F103" s="7">
        <v>26229496</v>
      </c>
      <c r="G103" s="7">
        <v>23445671</v>
      </c>
      <c r="H103" s="6" t="s">
        <v>562</v>
      </c>
      <c r="I103" s="8">
        <v>40287</v>
      </c>
      <c r="J103" s="8">
        <v>40386</v>
      </c>
      <c r="K103" s="8">
        <v>40491</v>
      </c>
      <c r="L103" s="6" t="s">
        <v>287</v>
      </c>
      <c r="M103" s="8">
        <v>40366</v>
      </c>
      <c r="N103" s="8">
        <v>40380</v>
      </c>
      <c r="O103" s="1" t="s">
        <v>31</v>
      </c>
      <c r="P103" s="1" t="e">
        <f t="shared" si="7"/>
        <v>#REF!</v>
      </c>
      <c r="Q103" s="18">
        <f t="shared" si="8"/>
        <v>6</v>
      </c>
      <c r="R103" s="18">
        <f t="shared" si="9"/>
        <v>6.5</v>
      </c>
    </row>
    <row r="104" spans="1:18">
      <c r="A104" s="4" t="s">
        <v>312</v>
      </c>
      <c r="B104" s="5" t="s">
        <v>112</v>
      </c>
      <c r="C104" s="6" t="s">
        <v>313</v>
      </c>
      <c r="D104" s="6" t="s">
        <v>314</v>
      </c>
      <c r="E104" s="7">
        <v>63000000</v>
      </c>
      <c r="F104" s="7">
        <v>52682730.560000002</v>
      </c>
      <c r="G104" s="7">
        <v>52682730.560000002</v>
      </c>
      <c r="H104" s="1"/>
      <c r="I104" s="8">
        <v>40315</v>
      </c>
      <c r="J104" s="8">
        <v>40339</v>
      </c>
      <c r="K104" s="8">
        <v>40465</v>
      </c>
      <c r="L104" s="6" t="s">
        <v>315</v>
      </c>
      <c r="M104" s="8">
        <v>40318</v>
      </c>
      <c r="N104" s="8">
        <v>40332</v>
      </c>
      <c r="O104" s="1" t="s">
        <v>299</v>
      </c>
      <c r="P104" s="1" t="e">
        <f t="shared" si="7"/>
        <v>#REF!</v>
      </c>
      <c r="Q104" s="18">
        <f t="shared" si="8"/>
        <v>4</v>
      </c>
      <c r="R104" s="18">
        <f t="shared" si="9"/>
        <v>4.3</v>
      </c>
    </row>
    <row r="105" spans="1:18">
      <c r="A105" s="4" t="s">
        <v>410</v>
      </c>
      <c r="B105" s="5" t="s">
        <v>34</v>
      </c>
      <c r="C105" s="6" t="s">
        <v>411</v>
      </c>
      <c r="D105" s="6" t="s">
        <v>412</v>
      </c>
      <c r="E105" s="7">
        <v>28000000</v>
      </c>
      <c r="F105" s="7">
        <v>33129569</v>
      </c>
      <c r="G105" s="7">
        <v>30378869</v>
      </c>
      <c r="H105" s="6" t="s">
        <v>562</v>
      </c>
      <c r="I105" s="8">
        <v>40441</v>
      </c>
      <c r="J105" s="8">
        <v>40478</v>
      </c>
      <c r="K105" s="1"/>
      <c r="L105" s="6" t="s">
        <v>413</v>
      </c>
      <c r="M105" s="8">
        <v>40506</v>
      </c>
      <c r="N105" s="8">
        <v>40516</v>
      </c>
      <c r="O105" s="1" t="s">
        <v>650</v>
      </c>
      <c r="P105" s="1" t="e">
        <f t="shared" si="7"/>
        <v>#REF!</v>
      </c>
      <c r="Q105" s="18">
        <f t="shared" si="8"/>
        <v>4</v>
      </c>
      <c r="R105" s="18">
        <f t="shared" si="9"/>
        <v>0</v>
      </c>
    </row>
    <row r="106" spans="1:18">
      <c r="A106" s="4" t="s">
        <v>414</v>
      </c>
      <c r="B106" s="5" t="s">
        <v>35</v>
      </c>
      <c r="C106" s="6" t="s">
        <v>415</v>
      </c>
      <c r="D106" s="6" t="s">
        <v>416</v>
      </c>
      <c r="E106" s="7">
        <v>19500000</v>
      </c>
      <c r="F106" s="7">
        <v>20154165.5</v>
      </c>
      <c r="G106" s="7">
        <v>20154165.5</v>
      </c>
      <c r="H106" s="1"/>
      <c r="I106" s="8">
        <v>40441</v>
      </c>
      <c r="J106" s="8">
        <v>40500</v>
      </c>
      <c r="K106" s="1"/>
      <c r="L106" s="6" t="s">
        <v>417</v>
      </c>
      <c r="M106" s="8">
        <v>40500</v>
      </c>
      <c r="N106" s="8">
        <v>40510</v>
      </c>
      <c r="O106" s="1" t="s">
        <v>655</v>
      </c>
      <c r="P106" s="1" t="e">
        <f t="shared" si="7"/>
        <v>#REF!</v>
      </c>
      <c r="Q106" s="18">
        <f t="shared" si="8"/>
        <v>5</v>
      </c>
      <c r="R106" s="18">
        <f t="shared" si="9"/>
        <v>11</v>
      </c>
    </row>
    <row r="107" spans="1:18">
      <c r="A107" s="4" t="s">
        <v>402</v>
      </c>
      <c r="B107" s="5" t="s">
        <v>36</v>
      </c>
      <c r="C107" s="6" t="s">
        <v>403</v>
      </c>
      <c r="D107" s="6" t="s">
        <v>404</v>
      </c>
      <c r="E107" s="7">
        <v>910000</v>
      </c>
      <c r="F107" s="7">
        <v>832980</v>
      </c>
      <c r="G107" s="7">
        <v>832980</v>
      </c>
      <c r="H107" s="1"/>
      <c r="I107" s="8">
        <v>40455</v>
      </c>
      <c r="J107" s="8">
        <v>40486</v>
      </c>
      <c r="K107" s="1"/>
      <c r="L107" s="6" t="s">
        <v>405</v>
      </c>
      <c r="M107" s="8">
        <v>40514</v>
      </c>
      <c r="N107" s="8">
        <v>40524</v>
      </c>
      <c r="O107" s="1" t="s">
        <v>653</v>
      </c>
      <c r="P107" s="1" t="e">
        <f t="shared" si="7"/>
        <v>#REF!</v>
      </c>
      <c r="Q107" s="18">
        <f t="shared" si="8"/>
        <v>4</v>
      </c>
      <c r="R107" s="18">
        <f t="shared" si="9"/>
        <v>5.2</v>
      </c>
    </row>
    <row r="108" spans="1:18">
      <c r="A108" s="4" t="s">
        <v>406</v>
      </c>
      <c r="B108" s="5" t="s">
        <v>37</v>
      </c>
      <c r="C108" s="6" t="s">
        <v>407</v>
      </c>
      <c r="D108" s="6" t="s">
        <v>408</v>
      </c>
      <c r="E108" s="7">
        <v>2510000</v>
      </c>
      <c r="F108" s="7">
        <v>1897423</v>
      </c>
      <c r="G108" s="7">
        <v>1897423</v>
      </c>
      <c r="H108" s="1"/>
      <c r="I108" s="8">
        <v>40469</v>
      </c>
      <c r="J108" s="8">
        <v>40499</v>
      </c>
      <c r="K108" s="1"/>
      <c r="L108" s="6" t="s">
        <v>409</v>
      </c>
      <c r="M108" s="8">
        <v>40527</v>
      </c>
      <c r="N108" s="8">
        <v>40541</v>
      </c>
      <c r="O108" s="1" t="s">
        <v>654</v>
      </c>
      <c r="P108" s="1" t="e">
        <f t="shared" si="7"/>
        <v>#REF!</v>
      </c>
      <c r="Q108" s="18">
        <f t="shared" si="8"/>
        <v>4</v>
      </c>
      <c r="R108" s="18">
        <f t="shared" si="9"/>
        <v>6.7</v>
      </c>
    </row>
    <row r="109" spans="1:18">
      <c r="A109" s="4" t="s">
        <v>398</v>
      </c>
      <c r="B109" s="5" t="s">
        <v>38</v>
      </c>
      <c r="C109" s="6" t="s">
        <v>399</v>
      </c>
      <c r="D109" s="6" t="s">
        <v>400</v>
      </c>
      <c r="E109" s="7">
        <v>10200000</v>
      </c>
      <c r="F109" s="7"/>
      <c r="G109" s="7">
        <v>10949891.359999999</v>
      </c>
      <c r="H109" s="1"/>
      <c r="I109" s="8">
        <v>40476</v>
      </c>
      <c r="J109" s="12">
        <v>40666</v>
      </c>
      <c r="K109" s="1"/>
      <c r="L109" s="6" t="s">
        <v>401</v>
      </c>
      <c r="M109" s="8">
        <v>40724</v>
      </c>
      <c r="N109" s="8">
        <v>40739</v>
      </c>
      <c r="O109" s="1" t="s">
        <v>674</v>
      </c>
      <c r="P109" s="1" t="e">
        <f t="shared" si="7"/>
        <v>#REF!</v>
      </c>
      <c r="Q109" s="18">
        <f t="shared" si="8"/>
        <v>5</v>
      </c>
      <c r="R109" s="18">
        <v>5.9</v>
      </c>
    </row>
    <row r="110" spans="1:18">
      <c r="A110" s="4" t="s">
        <v>395</v>
      </c>
      <c r="B110" s="5" t="s">
        <v>39</v>
      </c>
      <c r="C110" s="6" t="s">
        <v>396</v>
      </c>
      <c r="D110" s="6" t="s">
        <v>279</v>
      </c>
      <c r="E110" s="7">
        <v>820000</v>
      </c>
      <c r="F110" s="7"/>
      <c r="G110" s="7">
        <v>505166.5</v>
      </c>
      <c r="H110" s="1"/>
      <c r="I110" s="8">
        <v>40483</v>
      </c>
      <c r="J110" s="8">
        <v>40521</v>
      </c>
      <c r="K110" s="1"/>
      <c r="L110" s="6" t="s">
        <v>397</v>
      </c>
      <c r="M110" s="8">
        <v>40547</v>
      </c>
      <c r="N110" s="8">
        <v>40561</v>
      </c>
      <c r="O110" s="1" t="s">
        <v>652</v>
      </c>
      <c r="P110" s="1" t="e">
        <f t="shared" si="7"/>
        <v>#REF!</v>
      </c>
      <c r="Q110" s="18">
        <f t="shared" si="8"/>
        <v>3</v>
      </c>
      <c r="R110" s="18">
        <f>VLOOKUP(B110,udbe,3,FALSE)</f>
        <v>6.4</v>
      </c>
    </row>
    <row r="111" spans="1:18">
      <c r="A111" s="4" t="s">
        <v>67</v>
      </c>
      <c r="B111" s="5" t="s">
        <v>40</v>
      </c>
      <c r="C111" s="6" t="s">
        <v>68</v>
      </c>
      <c r="D111" s="6" t="s">
        <v>69</v>
      </c>
      <c r="E111" s="7">
        <v>8800000</v>
      </c>
      <c r="F111" s="7"/>
      <c r="G111" s="7">
        <v>8489950</v>
      </c>
      <c r="H111" s="1"/>
      <c r="I111" s="8">
        <v>40483</v>
      </c>
      <c r="J111" s="12">
        <v>40611</v>
      </c>
      <c r="K111" s="1"/>
      <c r="L111" s="6" t="s">
        <v>70</v>
      </c>
      <c r="M111" s="8">
        <v>40672</v>
      </c>
      <c r="N111" s="8">
        <f>+M111+14</f>
        <v>40686</v>
      </c>
      <c r="O111" s="17" t="s">
        <v>673</v>
      </c>
      <c r="P111" s="1" t="e">
        <f t="shared" si="7"/>
        <v>#REF!</v>
      </c>
      <c r="Q111" s="18">
        <f t="shared" si="8"/>
        <v>1</v>
      </c>
      <c r="R111" s="18">
        <f>VLOOKUP(B111,udbe,3,FALSE)</f>
        <v>2.4</v>
      </c>
    </row>
    <row r="112" spans="1:18">
      <c r="A112" s="4" t="s">
        <v>74</v>
      </c>
      <c r="B112" s="5" t="s">
        <v>41</v>
      </c>
      <c r="C112" s="6" t="s">
        <v>75</v>
      </c>
      <c r="D112" s="6" t="s">
        <v>76</v>
      </c>
      <c r="E112" s="7">
        <v>12500000</v>
      </c>
      <c r="F112" s="7"/>
      <c r="G112" s="7">
        <v>20154165.5</v>
      </c>
      <c r="H112" s="6" t="s">
        <v>562</v>
      </c>
      <c r="I112" s="8">
        <v>40483</v>
      </c>
      <c r="J112" s="8">
        <v>40521</v>
      </c>
      <c r="K112" s="1"/>
      <c r="L112" s="6" t="s">
        <v>77</v>
      </c>
      <c r="M112" s="8">
        <v>40549</v>
      </c>
      <c r="N112" s="8">
        <v>40563</v>
      </c>
      <c r="O112" s="1" t="s">
        <v>656</v>
      </c>
      <c r="P112" s="1" t="e">
        <f t="shared" si="7"/>
        <v>#REF!</v>
      </c>
      <c r="Q112" s="18">
        <f t="shared" si="8"/>
        <v>6</v>
      </c>
      <c r="R112" s="18">
        <f>VLOOKUP(B112,udbe,3,FALSE)</f>
        <v>6.1</v>
      </c>
    </row>
    <row r="113" spans="1:18">
      <c r="A113" s="4" t="s">
        <v>578</v>
      </c>
      <c r="B113" s="5" t="s">
        <v>30</v>
      </c>
      <c r="C113" s="6" t="s">
        <v>579</v>
      </c>
      <c r="D113" s="6" t="s">
        <v>580</v>
      </c>
      <c r="E113" s="7">
        <v>49000000</v>
      </c>
      <c r="F113" s="7"/>
      <c r="G113" s="7">
        <v>51432888.799999997</v>
      </c>
      <c r="H113" s="6" t="s">
        <v>562</v>
      </c>
      <c r="I113" s="8">
        <v>40490</v>
      </c>
      <c r="J113" s="8">
        <v>40528</v>
      </c>
      <c r="K113" s="1"/>
      <c r="L113" s="6" t="s">
        <v>46</v>
      </c>
      <c r="M113" s="8">
        <v>40556</v>
      </c>
      <c r="N113" s="8">
        <v>40570</v>
      </c>
      <c r="O113" s="1" t="s">
        <v>651</v>
      </c>
      <c r="P113" s="1" t="e">
        <f t="shared" si="7"/>
        <v>#REF!</v>
      </c>
      <c r="Q113" s="18">
        <f t="shared" si="8"/>
        <v>5</v>
      </c>
      <c r="R113" s="18">
        <f>VLOOKUP(B113,udbe,3,FALSE)</f>
        <v>5.3</v>
      </c>
    </row>
    <row r="114" spans="1:18">
      <c r="A114" s="4" t="s">
        <v>71</v>
      </c>
      <c r="B114" s="5" t="s">
        <v>42</v>
      </c>
      <c r="C114" s="6" t="s">
        <v>298</v>
      </c>
      <c r="D114" s="6" t="s">
        <v>72</v>
      </c>
      <c r="E114" s="7">
        <v>13700000</v>
      </c>
      <c r="F114" s="7"/>
      <c r="G114" s="7">
        <v>13639392.5</v>
      </c>
      <c r="H114" s="6" t="s">
        <v>562</v>
      </c>
      <c r="I114" s="8">
        <v>40504</v>
      </c>
      <c r="J114" s="8">
        <v>40563</v>
      </c>
      <c r="K114" s="1"/>
      <c r="L114" s="6" t="s">
        <v>73</v>
      </c>
      <c r="M114" s="8">
        <v>40591</v>
      </c>
      <c r="N114" s="8">
        <v>40605</v>
      </c>
      <c r="O114" s="1" t="s">
        <v>657</v>
      </c>
      <c r="P114" s="1" t="e">
        <f t="shared" si="7"/>
        <v>#REF!</v>
      </c>
      <c r="Q114" s="18">
        <f t="shared" si="8"/>
        <v>6</v>
      </c>
      <c r="R114" s="18">
        <f>VLOOKUP(B114,udbe,3,FALSE)</f>
        <v>6.2</v>
      </c>
    </row>
    <row r="115" spans="1:18">
      <c r="D115" s="10" t="s">
        <v>106</v>
      </c>
      <c r="E115" s="2">
        <f>SUM(E2:E114)</f>
        <v>1734163000</v>
      </c>
      <c r="G115" s="2">
        <f>SUM(G2:G114)</f>
        <v>1289971500.5</v>
      </c>
    </row>
  </sheetData>
  <phoneticPr fontId="0" type="noConversion"/>
  <pageMargins left="0.75" right="0.75" top="1" bottom="1" header="0.5" footer="0.5"/>
  <pageSetup scale="64" fitToHeight="3" orientation="landscape" r:id="rId1"/>
  <headerFooter alignWithMargins="0">
    <oddHeader>&amp;CAmerican Recovery and Reinvestment Act Contract Status Report</oddHeader>
    <oddFooter>&amp;C&amp;D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C124"/>
  <sheetViews>
    <sheetView workbookViewId="0">
      <selection activeCell="A2" sqref="A2:C124"/>
    </sheetView>
  </sheetViews>
  <sheetFormatPr defaultColWidth="21.7109375" defaultRowHeight="12.75"/>
  <cols>
    <col min="1" max="16384" width="21.7109375" style="14"/>
  </cols>
  <sheetData>
    <row r="1" spans="1:3">
      <c r="A1" s="13" t="s">
        <v>658</v>
      </c>
      <c r="B1" s="13" t="s">
        <v>659</v>
      </c>
      <c r="C1" s="13" t="s">
        <v>660</v>
      </c>
    </row>
    <row r="2" spans="1:3">
      <c r="A2" s="15" t="s">
        <v>248</v>
      </c>
      <c r="B2" s="16">
        <v>5</v>
      </c>
      <c r="C2" s="16">
        <v>0.4</v>
      </c>
    </row>
    <row r="3" spans="1:3">
      <c r="A3" s="15" t="s">
        <v>65</v>
      </c>
      <c r="B3" s="16">
        <v>3</v>
      </c>
      <c r="C3" s="16">
        <v>3.9</v>
      </c>
    </row>
    <row r="4" spans="1:3">
      <c r="A4" s="15" t="s">
        <v>66</v>
      </c>
      <c r="B4" s="16">
        <v>4</v>
      </c>
      <c r="C4" s="16">
        <v>4.2</v>
      </c>
    </row>
    <row r="5" spans="1:3">
      <c r="A5" s="15" t="s">
        <v>389</v>
      </c>
      <c r="B5" s="16">
        <v>4</v>
      </c>
      <c r="C5" s="16">
        <v>4.2</v>
      </c>
    </row>
    <row r="6" spans="1:3">
      <c r="A6" s="15" t="s">
        <v>390</v>
      </c>
      <c r="B6" s="16">
        <v>4</v>
      </c>
      <c r="C6" s="16">
        <v>2.4</v>
      </c>
    </row>
    <row r="7" spans="1:3">
      <c r="A7" s="15" t="s">
        <v>391</v>
      </c>
      <c r="B7" s="16">
        <v>6</v>
      </c>
      <c r="C7" s="16">
        <v>0.2</v>
      </c>
    </row>
    <row r="8" spans="1:3">
      <c r="A8" s="15" t="s">
        <v>178</v>
      </c>
      <c r="B8" s="16">
        <v>5</v>
      </c>
      <c r="C8" s="16">
        <v>8.6</v>
      </c>
    </row>
    <row r="9" spans="1:3">
      <c r="A9" s="15" t="s">
        <v>369</v>
      </c>
      <c r="B9" s="16">
        <v>4</v>
      </c>
      <c r="C9" s="16">
        <v>4.0999999999999996</v>
      </c>
    </row>
    <row r="10" spans="1:3">
      <c r="A10" s="15" t="s">
        <v>108</v>
      </c>
      <c r="B10" s="16">
        <v>5</v>
      </c>
      <c r="C10" s="16">
        <v>5</v>
      </c>
    </row>
    <row r="11" spans="1:3">
      <c r="A11" s="15" t="s">
        <v>109</v>
      </c>
      <c r="B11" s="16">
        <v>7</v>
      </c>
      <c r="C11" s="16">
        <v>7.7</v>
      </c>
    </row>
    <row r="12" spans="1:3">
      <c r="A12" s="15" t="s">
        <v>393</v>
      </c>
      <c r="B12" s="16">
        <v>7</v>
      </c>
      <c r="C12" s="16">
        <v>10.1</v>
      </c>
    </row>
    <row r="13" spans="1:3">
      <c r="A13" s="15" t="s">
        <v>394</v>
      </c>
      <c r="B13" s="16">
        <v>7</v>
      </c>
      <c r="C13" s="16">
        <v>8.9</v>
      </c>
    </row>
    <row r="14" spans="1:3">
      <c r="A14" s="15" t="s">
        <v>26</v>
      </c>
      <c r="B14" s="16">
        <v>5</v>
      </c>
      <c r="C14" s="16">
        <v>5.3</v>
      </c>
    </row>
    <row r="15" spans="1:3">
      <c r="A15" s="15" t="s">
        <v>33</v>
      </c>
      <c r="B15" s="16">
        <v>3</v>
      </c>
      <c r="C15" s="16">
        <v>0.9</v>
      </c>
    </row>
    <row r="16" spans="1:3">
      <c r="A16" s="15" t="s">
        <v>252</v>
      </c>
      <c r="B16" s="16">
        <v>5</v>
      </c>
      <c r="C16" s="16">
        <v>5</v>
      </c>
    </row>
    <row r="17" spans="1:3">
      <c r="A17" s="15" t="s">
        <v>259</v>
      </c>
      <c r="B17" s="16">
        <v>5</v>
      </c>
      <c r="C17" s="16">
        <v>0.2</v>
      </c>
    </row>
    <row r="18" spans="1:3">
      <c r="A18" s="15" t="s">
        <v>37</v>
      </c>
      <c r="B18" s="16">
        <v>4</v>
      </c>
      <c r="C18" s="16">
        <v>6.7</v>
      </c>
    </row>
    <row r="19" spans="1:3">
      <c r="A19" s="15" t="s">
        <v>32</v>
      </c>
      <c r="B19" s="16">
        <v>4</v>
      </c>
      <c r="C19" s="16">
        <v>4.0999999999999996</v>
      </c>
    </row>
    <row r="20" spans="1:3">
      <c r="A20" s="15" t="s">
        <v>105</v>
      </c>
      <c r="B20" s="16">
        <v>5</v>
      </c>
      <c r="C20" s="16">
        <v>0.42</v>
      </c>
    </row>
    <row r="21" spans="1:3">
      <c r="A21" s="15" t="s">
        <v>387</v>
      </c>
      <c r="B21" s="16">
        <v>4</v>
      </c>
      <c r="C21" s="16">
        <v>4.3</v>
      </c>
    </row>
    <row r="22" spans="1:3">
      <c r="A22" s="15" t="s">
        <v>192</v>
      </c>
      <c r="B22" s="16">
        <v>8</v>
      </c>
      <c r="C22" s="16">
        <v>1</v>
      </c>
    </row>
    <row r="23" spans="1:3">
      <c r="A23" s="15" t="s">
        <v>90</v>
      </c>
      <c r="B23" s="16">
        <v>4</v>
      </c>
      <c r="C23" s="16">
        <v>2.7</v>
      </c>
    </row>
    <row r="24" spans="1:3">
      <c r="A24" s="15" t="s">
        <v>256</v>
      </c>
      <c r="B24" s="16">
        <v>4</v>
      </c>
      <c r="C24" s="16">
        <v>14.1</v>
      </c>
    </row>
    <row r="25" spans="1:3">
      <c r="A25" s="15" t="s">
        <v>359</v>
      </c>
      <c r="B25" s="16">
        <v>5</v>
      </c>
      <c r="C25" s="16">
        <v>1.5</v>
      </c>
    </row>
    <row r="26" spans="1:3">
      <c r="A26" s="15" t="s">
        <v>78</v>
      </c>
      <c r="B26" s="16">
        <v>10</v>
      </c>
      <c r="C26" s="16">
        <v>12.5</v>
      </c>
    </row>
    <row r="27" spans="1:3">
      <c r="A27" s="15" t="s">
        <v>361</v>
      </c>
      <c r="B27" s="16">
        <v>4</v>
      </c>
      <c r="C27" s="16">
        <v>4.5</v>
      </c>
    </row>
    <row r="28" spans="1:3">
      <c r="A28" s="15" t="s">
        <v>164</v>
      </c>
      <c r="B28" s="16">
        <v>9</v>
      </c>
      <c r="C28" s="16">
        <v>14</v>
      </c>
    </row>
    <row r="29" spans="1:3">
      <c r="A29" s="15" t="s">
        <v>165</v>
      </c>
      <c r="B29" s="16">
        <v>9</v>
      </c>
      <c r="C29" s="16">
        <v>10.4</v>
      </c>
    </row>
    <row r="30" spans="1:3">
      <c r="A30" s="15" t="s">
        <v>166</v>
      </c>
      <c r="B30" s="16">
        <v>5</v>
      </c>
      <c r="C30" s="16">
        <v>6.4</v>
      </c>
    </row>
    <row r="31" spans="1:3">
      <c r="A31" s="15" t="s">
        <v>258</v>
      </c>
      <c r="B31" s="16">
        <v>4</v>
      </c>
      <c r="C31" s="16">
        <v>0.3</v>
      </c>
    </row>
    <row r="32" spans="1:3">
      <c r="A32" s="15" t="s">
        <v>604</v>
      </c>
      <c r="B32" s="16">
        <v>6</v>
      </c>
      <c r="C32" s="16">
        <v>6.5</v>
      </c>
    </row>
    <row r="33" spans="1:3">
      <c r="A33" s="15" t="s">
        <v>168</v>
      </c>
      <c r="B33" s="16">
        <v>4</v>
      </c>
      <c r="C33" s="16">
        <v>4</v>
      </c>
    </row>
    <row r="34" spans="1:3">
      <c r="A34" s="15" t="s">
        <v>169</v>
      </c>
      <c r="B34" s="16">
        <v>4</v>
      </c>
      <c r="C34" s="16">
        <v>4.3</v>
      </c>
    </row>
    <row r="35" spans="1:3">
      <c r="A35" s="15" t="s">
        <v>202</v>
      </c>
      <c r="B35" s="16">
        <v>5</v>
      </c>
      <c r="C35" s="16">
        <v>9.1</v>
      </c>
    </row>
    <row r="36" spans="1:3">
      <c r="A36" s="15" t="s">
        <v>161</v>
      </c>
      <c r="B36" s="16">
        <v>4</v>
      </c>
      <c r="C36" s="16">
        <v>7.8</v>
      </c>
    </row>
    <row r="37" spans="1:3">
      <c r="A37" s="15" t="s">
        <v>535</v>
      </c>
      <c r="B37" s="16">
        <v>7</v>
      </c>
      <c r="C37" s="16">
        <v>0.8</v>
      </c>
    </row>
    <row r="38" spans="1:3">
      <c r="A38" s="15" t="s">
        <v>162</v>
      </c>
      <c r="B38" s="16">
        <v>3</v>
      </c>
      <c r="C38" s="16">
        <v>2.9</v>
      </c>
    </row>
    <row r="39" spans="1:3">
      <c r="A39" s="15" t="s">
        <v>80</v>
      </c>
      <c r="B39" s="16">
        <v>4</v>
      </c>
      <c r="C39" s="16">
        <v>4.2</v>
      </c>
    </row>
    <row r="40" spans="1:3">
      <c r="A40" s="15" t="s">
        <v>81</v>
      </c>
      <c r="B40" s="16">
        <v>4</v>
      </c>
      <c r="C40" s="16">
        <v>36.1</v>
      </c>
    </row>
    <row r="41" spans="1:3">
      <c r="A41" s="15" t="s">
        <v>254</v>
      </c>
      <c r="B41" s="16">
        <v>6</v>
      </c>
      <c r="C41" s="16">
        <v>1.22</v>
      </c>
    </row>
    <row r="42" spans="1:3">
      <c r="A42" s="15" t="s">
        <v>204</v>
      </c>
      <c r="B42" s="16">
        <v>4</v>
      </c>
      <c r="C42" s="16">
        <v>4.0999999999999996</v>
      </c>
    </row>
    <row r="43" spans="1:3">
      <c r="A43" s="15" t="s">
        <v>244</v>
      </c>
      <c r="B43" s="16">
        <v>6</v>
      </c>
      <c r="C43" s="16">
        <v>0.6</v>
      </c>
    </row>
    <row r="44" spans="1:3">
      <c r="A44" s="15" t="s">
        <v>63</v>
      </c>
      <c r="B44" s="16">
        <v>6</v>
      </c>
      <c r="C44" s="16">
        <v>6</v>
      </c>
    </row>
    <row r="45" spans="1:3">
      <c r="A45" s="15" t="s">
        <v>263</v>
      </c>
      <c r="B45" s="16">
        <v>5</v>
      </c>
      <c r="C45" s="16">
        <v>1.9</v>
      </c>
    </row>
    <row r="46" spans="1:3">
      <c r="A46" s="15" t="s">
        <v>45</v>
      </c>
      <c r="B46" s="16">
        <v>6</v>
      </c>
      <c r="C46" s="16">
        <v>6.2</v>
      </c>
    </row>
    <row r="47" spans="1:3">
      <c r="A47" s="15" t="s">
        <v>300</v>
      </c>
      <c r="B47" s="16">
        <v>5</v>
      </c>
      <c r="C47" s="16">
        <v>5</v>
      </c>
    </row>
    <row r="48" spans="1:3">
      <c r="A48" s="15" t="s">
        <v>301</v>
      </c>
      <c r="B48" s="16">
        <v>3</v>
      </c>
      <c r="C48" s="16">
        <v>26.4</v>
      </c>
    </row>
    <row r="49" spans="1:3">
      <c r="A49" s="15" t="s">
        <v>242</v>
      </c>
      <c r="B49" s="16">
        <v>5</v>
      </c>
      <c r="C49" s="16">
        <v>5</v>
      </c>
    </row>
    <row r="50" spans="1:3">
      <c r="A50" s="15" t="s">
        <v>40</v>
      </c>
      <c r="B50" s="16">
        <v>1</v>
      </c>
      <c r="C50" s="16">
        <v>2.4</v>
      </c>
    </row>
    <row r="51" spans="1:3">
      <c r="A51" s="15" t="s">
        <v>351</v>
      </c>
      <c r="B51" s="16">
        <v>4</v>
      </c>
      <c r="C51" s="16">
        <v>4</v>
      </c>
    </row>
    <row r="52" spans="1:3">
      <c r="A52" s="15" t="s">
        <v>181</v>
      </c>
      <c r="B52" s="16">
        <v>4</v>
      </c>
      <c r="C52" s="16">
        <v>6.2</v>
      </c>
    </row>
    <row r="53" spans="1:3">
      <c r="A53" s="15" t="s">
        <v>183</v>
      </c>
      <c r="B53" s="16">
        <v>4</v>
      </c>
      <c r="C53" s="16">
        <v>9.6999999999999993</v>
      </c>
    </row>
    <row r="54" spans="1:3">
      <c r="A54" s="15" t="s">
        <v>34</v>
      </c>
      <c r="B54" s="16">
        <v>4</v>
      </c>
      <c r="C54" s="16">
        <v>0</v>
      </c>
    </row>
    <row r="55" spans="1:3">
      <c r="A55" s="15" t="s">
        <v>179</v>
      </c>
      <c r="B55" s="16">
        <v>4</v>
      </c>
      <c r="C55" s="16">
        <v>16</v>
      </c>
    </row>
    <row r="56" spans="1:3">
      <c r="A56" s="15" t="s">
        <v>107</v>
      </c>
      <c r="B56" s="16">
        <v>7</v>
      </c>
      <c r="C56" s="16">
        <v>7.2</v>
      </c>
    </row>
    <row r="57" spans="1:3">
      <c r="A57" s="15" t="s">
        <v>250</v>
      </c>
      <c r="B57" s="16">
        <v>4</v>
      </c>
      <c r="C57" s="16">
        <v>7.3</v>
      </c>
    </row>
    <row r="58" spans="1:3">
      <c r="A58" s="15" t="s">
        <v>537</v>
      </c>
      <c r="B58" s="16">
        <v>4</v>
      </c>
      <c r="C58" s="16">
        <v>0.17</v>
      </c>
    </row>
    <row r="59" spans="1:3">
      <c r="A59" s="15" t="s">
        <v>206</v>
      </c>
      <c r="B59" s="16">
        <v>4</v>
      </c>
      <c r="C59" s="16">
        <v>4.8</v>
      </c>
    </row>
    <row r="60" spans="1:3">
      <c r="A60" s="15" t="s">
        <v>112</v>
      </c>
      <c r="B60" s="16">
        <v>4</v>
      </c>
      <c r="C60" s="16">
        <v>4.3</v>
      </c>
    </row>
    <row r="61" spans="1:3">
      <c r="A61" s="15" t="s">
        <v>113</v>
      </c>
      <c r="B61" s="16">
        <v>6</v>
      </c>
      <c r="C61" s="16">
        <v>6.85</v>
      </c>
    </row>
    <row r="62" spans="1:3">
      <c r="A62" s="15" t="s">
        <v>114</v>
      </c>
      <c r="B62" s="16">
        <v>12</v>
      </c>
      <c r="C62" s="16">
        <v>0</v>
      </c>
    </row>
    <row r="63" spans="1:3">
      <c r="A63" s="15" t="s">
        <v>115</v>
      </c>
      <c r="B63" s="16">
        <v>13</v>
      </c>
      <c r="C63" s="16">
        <v>13.3</v>
      </c>
    </row>
    <row r="64" spans="1:3">
      <c r="A64" s="15" t="s">
        <v>232</v>
      </c>
      <c r="B64" s="16">
        <v>13</v>
      </c>
      <c r="C64" s="16">
        <v>0.08</v>
      </c>
    </row>
    <row r="65" spans="1:3">
      <c r="A65" s="15" t="s">
        <v>233</v>
      </c>
      <c r="B65" s="16">
        <v>11</v>
      </c>
      <c r="C65" s="16">
        <v>36.9</v>
      </c>
    </row>
    <row r="66" spans="1:3">
      <c r="A66" s="15" t="s">
        <v>41</v>
      </c>
      <c r="B66" s="16">
        <v>6</v>
      </c>
      <c r="C66" s="16">
        <v>6.1</v>
      </c>
    </row>
    <row r="67" spans="1:3">
      <c r="A67" s="15" t="s">
        <v>35</v>
      </c>
      <c r="B67" s="16">
        <v>5</v>
      </c>
      <c r="C67" s="16">
        <v>11</v>
      </c>
    </row>
    <row r="68" spans="1:3">
      <c r="A68" s="15" t="s">
        <v>234</v>
      </c>
      <c r="B68" s="16">
        <v>7</v>
      </c>
      <c r="C68" s="16">
        <v>7.5</v>
      </c>
    </row>
    <row r="69" spans="1:3">
      <c r="A69" s="15" t="s">
        <v>102</v>
      </c>
      <c r="B69" s="16">
        <v>6</v>
      </c>
      <c r="C69" s="16">
        <v>9.1</v>
      </c>
    </row>
    <row r="70" spans="1:3">
      <c r="A70" s="15" t="s">
        <v>208</v>
      </c>
      <c r="B70" s="16">
        <v>4</v>
      </c>
      <c r="C70" s="16">
        <v>0</v>
      </c>
    </row>
    <row r="71" spans="1:3">
      <c r="A71" s="15" t="s">
        <v>373</v>
      </c>
      <c r="B71" s="16">
        <v>4</v>
      </c>
      <c r="C71" s="16">
        <v>5.7</v>
      </c>
    </row>
    <row r="72" spans="1:3">
      <c r="A72" s="15" t="s">
        <v>103</v>
      </c>
      <c r="B72" s="16">
        <v>3</v>
      </c>
      <c r="C72" s="16">
        <v>3</v>
      </c>
    </row>
    <row r="73" spans="1:3">
      <c r="A73" s="15" t="s">
        <v>104</v>
      </c>
      <c r="B73" s="16">
        <v>4</v>
      </c>
      <c r="C73" s="16">
        <v>22.3</v>
      </c>
    </row>
    <row r="74" spans="1:3">
      <c r="A74" s="15" t="s">
        <v>36</v>
      </c>
      <c r="B74" s="16">
        <v>4</v>
      </c>
      <c r="C74" s="16">
        <v>5.2</v>
      </c>
    </row>
    <row r="75" spans="1:3">
      <c r="A75" s="15" t="s">
        <v>39</v>
      </c>
      <c r="B75" s="16">
        <v>3</v>
      </c>
      <c r="C75" s="16">
        <v>6.4</v>
      </c>
    </row>
    <row r="76" spans="1:3">
      <c r="A76" s="15" t="s">
        <v>194</v>
      </c>
      <c r="B76" s="16">
        <v>6</v>
      </c>
      <c r="C76" s="16">
        <v>0</v>
      </c>
    </row>
    <row r="77" spans="1:3">
      <c r="A77" s="15" t="s">
        <v>190</v>
      </c>
      <c r="B77" s="16">
        <v>4</v>
      </c>
      <c r="C77" s="16">
        <v>4.0999999999999996</v>
      </c>
    </row>
    <row r="78" spans="1:3">
      <c r="A78" s="15" t="s">
        <v>187</v>
      </c>
      <c r="B78" s="16">
        <v>4</v>
      </c>
      <c r="C78" s="16">
        <v>4.3</v>
      </c>
    </row>
    <row r="79" spans="1:3">
      <c r="A79" s="15" t="s">
        <v>188</v>
      </c>
      <c r="B79" s="16">
        <v>9</v>
      </c>
      <c r="C79" s="16">
        <v>4</v>
      </c>
    </row>
    <row r="80" spans="1:3">
      <c r="A80" s="15" t="s">
        <v>189</v>
      </c>
      <c r="B80" s="16">
        <v>4</v>
      </c>
      <c r="C80" s="16">
        <v>0</v>
      </c>
    </row>
    <row r="81" spans="1:3">
      <c r="A81" s="15" t="s">
        <v>186</v>
      </c>
      <c r="B81" s="16">
        <v>9</v>
      </c>
      <c r="C81" s="16">
        <v>0</v>
      </c>
    </row>
    <row r="82" spans="1:3">
      <c r="A82" s="15" t="s">
        <v>111</v>
      </c>
      <c r="B82" s="16">
        <v>6</v>
      </c>
      <c r="C82" s="16">
        <v>1</v>
      </c>
    </row>
    <row r="83" spans="1:3">
      <c r="A83" s="15" t="s">
        <v>302</v>
      </c>
      <c r="B83" s="16">
        <v>7</v>
      </c>
      <c r="C83" s="16">
        <v>7.6</v>
      </c>
    </row>
    <row r="84" spans="1:3">
      <c r="A84" s="15" t="s">
        <v>246</v>
      </c>
      <c r="B84" s="16">
        <v>5</v>
      </c>
      <c r="C84" s="16">
        <v>3.4</v>
      </c>
    </row>
    <row r="85" spans="1:3">
      <c r="A85" s="15" t="s">
        <v>303</v>
      </c>
      <c r="B85" s="16">
        <v>8</v>
      </c>
      <c r="C85" s="16">
        <v>1.2</v>
      </c>
    </row>
    <row r="86" spans="1:3">
      <c r="A86" s="15" t="s">
        <v>304</v>
      </c>
      <c r="B86" s="16">
        <v>5</v>
      </c>
      <c r="C86" s="16">
        <v>5.0999999999999996</v>
      </c>
    </row>
    <row r="87" spans="1:3">
      <c r="A87" s="15" t="s">
        <v>295</v>
      </c>
      <c r="B87" s="16">
        <v>4</v>
      </c>
      <c r="C87" s="16">
        <v>0</v>
      </c>
    </row>
    <row r="88" spans="1:3">
      <c r="A88" s="15" t="s">
        <v>371</v>
      </c>
      <c r="B88" s="16">
        <v>4</v>
      </c>
      <c r="C88" s="16">
        <v>0</v>
      </c>
    </row>
    <row r="89" spans="1:3">
      <c r="A89" s="15" t="s">
        <v>296</v>
      </c>
      <c r="B89" s="16">
        <v>4</v>
      </c>
      <c r="C89" s="16">
        <v>4.4000000000000004</v>
      </c>
    </row>
    <row r="90" spans="1:3">
      <c r="A90" s="15" t="s">
        <v>297</v>
      </c>
      <c r="B90" s="16">
        <v>6</v>
      </c>
      <c r="C90" s="16">
        <v>5.8</v>
      </c>
    </row>
    <row r="91" spans="1:3">
      <c r="A91" s="15" t="s">
        <v>44</v>
      </c>
      <c r="B91" s="16">
        <v>7</v>
      </c>
      <c r="C91" s="16">
        <v>8.3000000000000007</v>
      </c>
    </row>
    <row r="92" spans="1:3">
      <c r="A92" s="15" t="s">
        <v>385</v>
      </c>
      <c r="B92" s="16">
        <v>6</v>
      </c>
      <c r="C92" s="16">
        <v>6</v>
      </c>
    </row>
    <row r="93" spans="1:3">
      <c r="A93" s="15" t="s">
        <v>357</v>
      </c>
      <c r="B93" s="16">
        <v>5</v>
      </c>
      <c r="C93" s="16">
        <v>0.2</v>
      </c>
    </row>
    <row r="94" spans="1:3">
      <c r="A94" s="15" t="s">
        <v>151</v>
      </c>
      <c r="B94" s="16">
        <v>7</v>
      </c>
      <c r="C94" s="16">
        <v>7.1</v>
      </c>
    </row>
    <row r="95" spans="1:3">
      <c r="A95" s="15" t="s">
        <v>152</v>
      </c>
      <c r="B95" s="16">
        <v>5</v>
      </c>
      <c r="C95" s="16">
        <v>0.8</v>
      </c>
    </row>
    <row r="96" spans="1:3">
      <c r="A96" s="15" t="s">
        <v>378</v>
      </c>
      <c r="B96" s="16">
        <v>6</v>
      </c>
      <c r="C96" s="16">
        <v>6.2</v>
      </c>
    </row>
    <row r="97" spans="1:3">
      <c r="A97" s="15" t="s">
        <v>363</v>
      </c>
      <c r="B97" s="16">
        <v>4</v>
      </c>
      <c r="C97" s="16">
        <v>4</v>
      </c>
    </row>
    <row r="98" spans="1:3">
      <c r="A98" s="15" t="s">
        <v>185</v>
      </c>
      <c r="B98" s="16">
        <v>4</v>
      </c>
      <c r="C98" s="16">
        <v>4</v>
      </c>
    </row>
    <row r="99" spans="1:3">
      <c r="A99" s="15" t="s">
        <v>380</v>
      </c>
      <c r="B99" s="16">
        <v>4</v>
      </c>
      <c r="C99" s="16">
        <v>5.4</v>
      </c>
    </row>
    <row r="100" spans="1:3">
      <c r="A100" s="15" t="s">
        <v>29</v>
      </c>
      <c r="B100" s="16">
        <v>3</v>
      </c>
      <c r="C100" s="16">
        <v>3</v>
      </c>
    </row>
    <row r="101" spans="1:3">
      <c r="A101" s="15" t="s">
        <v>38</v>
      </c>
      <c r="B101" s="16">
        <v>5</v>
      </c>
    </row>
    <row r="102" spans="1:3">
      <c r="A102" s="15" t="s">
        <v>79</v>
      </c>
      <c r="B102" s="16">
        <v>10</v>
      </c>
      <c r="C102" s="16">
        <v>0.95</v>
      </c>
    </row>
    <row r="103" spans="1:3">
      <c r="A103" s="15" t="s">
        <v>365</v>
      </c>
      <c r="B103" s="16">
        <v>7</v>
      </c>
      <c r="C103" s="16">
        <v>5</v>
      </c>
    </row>
    <row r="104" spans="1:3">
      <c r="A104" s="15" t="s">
        <v>42</v>
      </c>
      <c r="B104" s="16">
        <v>6</v>
      </c>
      <c r="C104" s="16">
        <v>6.2</v>
      </c>
    </row>
    <row r="105" spans="1:3">
      <c r="A105" s="15" t="s">
        <v>201</v>
      </c>
      <c r="B105" s="16">
        <v>6</v>
      </c>
      <c r="C105" s="16">
        <v>0.38</v>
      </c>
    </row>
    <row r="106" spans="1:3">
      <c r="A106" s="15" t="s">
        <v>30</v>
      </c>
      <c r="B106" s="16">
        <v>5</v>
      </c>
      <c r="C106" s="16">
        <v>5.3</v>
      </c>
    </row>
    <row r="107" spans="1:3">
      <c r="A107" s="15" t="s">
        <v>174</v>
      </c>
      <c r="B107" s="16">
        <v>5</v>
      </c>
      <c r="C107" s="16">
        <v>5.7</v>
      </c>
    </row>
    <row r="108" spans="1:3">
      <c r="A108" s="15" t="s">
        <v>367</v>
      </c>
      <c r="B108" s="16">
        <v>6</v>
      </c>
      <c r="C108" s="16">
        <v>6</v>
      </c>
    </row>
    <row r="109" spans="1:3">
      <c r="A109" s="15" t="s">
        <v>261</v>
      </c>
      <c r="B109" s="16">
        <v>6</v>
      </c>
      <c r="C109" s="16">
        <v>6</v>
      </c>
    </row>
    <row r="110" spans="1:3">
      <c r="A110" s="15" t="s">
        <v>167</v>
      </c>
      <c r="B110" s="16">
        <v>6</v>
      </c>
      <c r="C110" s="16">
        <v>0.5</v>
      </c>
    </row>
    <row r="111" spans="1:3">
      <c r="A111" s="15" t="s">
        <v>348</v>
      </c>
      <c r="B111" s="16">
        <v>10</v>
      </c>
      <c r="C111" s="16">
        <v>2.9</v>
      </c>
    </row>
    <row r="112" spans="1:3">
      <c r="A112" s="15" t="s">
        <v>355</v>
      </c>
      <c r="B112" s="16">
        <v>9</v>
      </c>
      <c r="C112" s="16">
        <v>9.4</v>
      </c>
    </row>
    <row r="113" spans="1:3">
      <c r="A113" s="15" t="s">
        <v>353</v>
      </c>
      <c r="B113" s="16">
        <v>8</v>
      </c>
      <c r="C113" s="16">
        <v>8.6</v>
      </c>
    </row>
    <row r="114" spans="1:3">
      <c r="A114" s="15" t="s">
        <v>24</v>
      </c>
      <c r="B114" s="16">
        <v>5</v>
      </c>
      <c r="C114" s="16">
        <v>6.1</v>
      </c>
    </row>
    <row r="115" spans="1:3">
      <c r="A115" s="15" t="s">
        <v>661</v>
      </c>
    </row>
    <row r="116" spans="1:3">
      <c r="A116" s="15" t="s">
        <v>662</v>
      </c>
    </row>
    <row r="117" spans="1:3">
      <c r="A117" s="15" t="s">
        <v>663</v>
      </c>
    </row>
    <row r="118" spans="1:3">
      <c r="A118" s="15" t="s">
        <v>664</v>
      </c>
    </row>
    <row r="119" spans="1:3">
      <c r="A119" s="15" t="s">
        <v>665</v>
      </c>
      <c r="B119" s="16">
        <v>4</v>
      </c>
      <c r="C119" s="16">
        <v>4.7</v>
      </c>
    </row>
    <row r="120" spans="1:3">
      <c r="A120" s="15" t="s">
        <v>666</v>
      </c>
    </row>
    <row r="121" spans="1:3">
      <c r="A121" s="15" t="s">
        <v>667</v>
      </c>
    </row>
    <row r="122" spans="1:3">
      <c r="A122" s="15" t="s">
        <v>668</v>
      </c>
    </row>
    <row r="123" spans="1:3">
      <c r="A123" s="15" t="s">
        <v>669</v>
      </c>
      <c r="B123" s="16">
        <v>4</v>
      </c>
      <c r="C123" s="16">
        <v>4.7</v>
      </c>
    </row>
    <row r="124" spans="1:3">
      <c r="A124" s="15" t="s">
        <v>670</v>
      </c>
      <c r="B124" s="16">
        <v>5</v>
      </c>
      <c r="C124" s="16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ARRA6-10-11</vt:lpstr>
      <vt:lpstr>1011</vt:lpstr>
      <vt:lpstr>udbe</vt:lpstr>
    </vt:vector>
  </TitlesOfParts>
  <Company>Caltrans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Kuhl</dc:creator>
  <cp:lastModifiedBy>s113352</cp:lastModifiedBy>
  <cp:lastPrinted>2010-12-10T23:37:43Z</cp:lastPrinted>
  <dcterms:created xsi:type="dcterms:W3CDTF">2009-04-17T14:41:29Z</dcterms:created>
  <dcterms:modified xsi:type="dcterms:W3CDTF">2011-06-10T22:42:28Z</dcterms:modified>
</cp:coreProperties>
</file>