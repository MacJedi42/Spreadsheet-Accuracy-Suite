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05" windowWidth="20610" windowHeight="11640" tabRatio="810" firstSheet="3" activeTab="7"/>
  </bookViews>
  <sheets>
    <sheet name="Table A - Performance_Feedstock" sheetId="1" r:id="rId1"/>
    <sheet name="Table B - Performance_ Exper" sheetId="3" r:id="rId2"/>
    <sheet name="Table C - Economics Synbio" sheetId="4" r:id="rId3"/>
    <sheet name="Table D.1 - PT Reproducibility" sheetId="5" r:id="rId4"/>
    <sheet name="Table D.2 - Enzy Perf &amp; Cost" sheetId="6" r:id="rId5"/>
    <sheet name="Table D.3 - Pro. Detail Econ." sheetId="7" r:id="rId6"/>
    <sheet name="Table D.4 - State of the Art" sheetId="9" r:id="rId7"/>
    <sheet name="Table D.5 Process Indic Gaseous" sheetId="11" r:id="rId8"/>
  </sheets>
  <externalReferences>
    <externalReference r:id="rId9"/>
  </externalReferences>
  <calcPr calcId="145621" calcOnSave="0"/>
</workbook>
</file>

<file path=xl/calcChain.xml><?xml version="1.0" encoding="utf-8"?>
<calcChain xmlns="http://schemas.openxmlformats.org/spreadsheetml/2006/main">
  <c r="E8" i="9" l="1"/>
  <c r="F8" i="9"/>
  <c r="E9" i="9"/>
  <c r="F9" i="9"/>
  <c r="E10" i="9"/>
  <c r="F10" i="9"/>
  <c r="E11" i="9"/>
  <c r="F11" i="9"/>
  <c r="E12" i="9"/>
  <c r="F12" i="9"/>
  <c r="E13" i="9"/>
  <c r="F13" i="9"/>
  <c r="E14" i="9"/>
  <c r="F14" i="9"/>
  <c r="C17" i="9"/>
  <c r="E51" i="7"/>
  <c r="D51" i="7"/>
  <c r="C51" i="7"/>
  <c r="C48" i="7"/>
  <c r="C47" i="7"/>
  <c r="C49" i="7" s="1"/>
  <c r="C50" i="7" s="1"/>
  <c r="E42" i="7"/>
  <c r="C42" i="7"/>
  <c r="C43" i="7" s="1"/>
  <c r="E40" i="7"/>
  <c r="D40" i="7"/>
  <c r="D42" i="7" s="1"/>
  <c r="D43" i="7" s="1"/>
  <c r="C40" i="7"/>
  <c r="C34" i="7"/>
  <c r="C33" i="7"/>
  <c r="C35" i="7" s="1"/>
  <c r="C32" i="7"/>
  <c r="D40" i="6"/>
  <c r="D41" i="6" s="1"/>
  <c r="E34" i="6"/>
  <c r="D34" i="6"/>
  <c r="D32" i="6" s="1"/>
  <c r="E32" i="6"/>
  <c r="E8" i="1"/>
  <c r="F8" i="1"/>
  <c r="E9" i="1"/>
  <c r="F9" i="1"/>
  <c r="E10" i="1"/>
  <c r="F10" i="1"/>
  <c r="E11" i="1"/>
  <c r="F11" i="1"/>
  <c r="D52" i="7" l="1"/>
  <c r="D53" i="7" s="1"/>
  <c r="E52" i="7"/>
  <c r="C52" i="7"/>
  <c r="C53" i="7" s="1"/>
  <c r="E43" i="7"/>
  <c r="E53" i="7" s="1"/>
  <c r="E31" i="6"/>
  <c r="F32" i="6"/>
  <c r="F31" i="6" s="1"/>
</calcChain>
</file>

<file path=xl/sharedStrings.xml><?xml version="1.0" encoding="utf-8"?>
<sst xmlns="http://schemas.openxmlformats.org/spreadsheetml/2006/main" count="683" uniqueCount="455">
  <si>
    <t>Represents the design case described in NREL's 2002 design report (NREL TP-510-32438)</t>
  </si>
  <si>
    <t xml:space="preserve">An example only. </t>
  </si>
  <si>
    <t>Calculated from Figure 4A of the article</t>
  </si>
  <si>
    <t>References/Notes</t>
  </si>
  <si>
    <t>&gt;1000L</t>
  </si>
  <si>
    <t>&gt;1L</t>
  </si>
  <si>
    <t>&lt;1L</t>
  </si>
  <si>
    <t>1L</t>
  </si>
  <si>
    <t>Scale demonstrated (&gt;1L, &gt;10L, &gt;100L, etc.)</t>
  </si>
  <si>
    <t>36-48</t>
  </si>
  <si>
    <t>84-168</t>
  </si>
  <si>
    <t>Fermentation rate (time to achieve yields above) (hours)</t>
  </si>
  <si>
    <t>Robustness</t>
  </si>
  <si>
    <t>Final ethanol titer (g/L)</t>
  </si>
  <si>
    <t>Other sugars (%)</t>
  </si>
  <si>
    <t>Xylose (%)</t>
  </si>
  <si>
    <t>Glucose (%)</t>
  </si>
  <si>
    <t>Sugar Utilization</t>
  </si>
  <si>
    <t>Organic acids or other inhibitors (g/L)</t>
  </si>
  <si>
    <t>Other sugars (g/L)</t>
  </si>
  <si>
    <t>Xylose (g/L)</t>
  </si>
  <si>
    <t>Glucose (g/L)</t>
  </si>
  <si>
    <t>Total Solids (%)</t>
  </si>
  <si>
    <t>Initial concentrations:</t>
  </si>
  <si>
    <t>HHF</t>
  </si>
  <si>
    <t>SSF</t>
  </si>
  <si>
    <t>Single sugar fermentation</t>
  </si>
  <si>
    <t>Co-fermentation</t>
  </si>
  <si>
    <t>Corn stover hydrolysate</t>
  </si>
  <si>
    <t>Pure sugars</t>
  </si>
  <si>
    <t>Mixed clean sugars</t>
  </si>
  <si>
    <t>Final Target
(18-24 months)</t>
  </si>
  <si>
    <t>Intermediate Target
(~6-8 months)</t>
  </si>
  <si>
    <t>Benchmark (Current)</t>
  </si>
  <si>
    <t>Target</t>
  </si>
  <si>
    <t>Benchmark</t>
  </si>
  <si>
    <r>
      <t>E. coli</t>
    </r>
    <r>
      <rPr>
        <sz val="10"/>
        <rFont val="Arial"/>
      </rPr>
      <t>:                 J Ind Microbiol Biotech 1998</t>
    </r>
  </si>
  <si>
    <r>
      <t>Yeast (</t>
    </r>
    <r>
      <rPr>
        <i/>
        <sz val="10"/>
        <rFont val="Arial"/>
        <family val="2"/>
      </rPr>
      <t>S. cerevisiae)</t>
    </r>
    <r>
      <rPr>
        <sz val="10"/>
        <rFont val="Arial"/>
      </rPr>
      <t>:         App Env Microbiol 1998</t>
    </r>
  </si>
  <si>
    <r>
      <t>Zymomonas</t>
    </r>
    <r>
      <rPr>
        <sz val="10"/>
        <rFont val="Arial"/>
      </rPr>
      <t xml:space="preserve">:      App Biochem Biotech 1999 </t>
    </r>
  </si>
  <si>
    <t>Parameter/Performance</t>
  </si>
  <si>
    <t>From Applicant</t>
  </si>
  <si>
    <t>Example</t>
  </si>
  <si>
    <t>Published State of the Art</t>
  </si>
  <si>
    <t>Data for MRC evaluation of criteria</t>
  </si>
  <si>
    <t>Fermentation Performance Results</t>
  </si>
  <si>
    <t>Results reported as:</t>
  </si>
  <si>
    <t>Test 1 (Model Hydrolysate, if employed)</t>
  </si>
  <si>
    <t xml:space="preserve">Test 1 - Standard Deviation </t>
  </si>
  <si>
    <t>Test 2 (authentic hydrolysate)</t>
  </si>
  <si>
    <t xml:space="preserve">Test 2 - Standard Deviation </t>
  </si>
  <si>
    <t>Test 3 (Other fermentable components)</t>
  </si>
  <si>
    <t xml:space="preserve">Test 3 - Standard Deviation </t>
  </si>
  <si>
    <t>Starting cell concentration</t>
  </si>
  <si>
    <t>g Dry cell mass/liter</t>
  </si>
  <si>
    <t>Fermentation vessel</t>
  </si>
  <si>
    <t>Flask, fermentor</t>
  </si>
  <si>
    <t>Fermentation process</t>
  </si>
  <si>
    <t>Batch, fed-batch, continuous</t>
  </si>
  <si>
    <t>Start volume</t>
  </si>
  <si>
    <t>ml</t>
  </si>
  <si>
    <t>Media type</t>
  </si>
  <si>
    <t>Fermentation Temperature</t>
  </si>
  <si>
    <t>°C</t>
  </si>
  <si>
    <r>
      <t>Fermentation pH</t>
    </r>
    <r>
      <rPr>
        <vertAlign val="subscript"/>
        <sz val="11"/>
        <rFont val="Arial"/>
        <family val="2"/>
      </rPr>
      <t>initial</t>
    </r>
    <r>
      <rPr>
        <sz val="11"/>
        <rFont val="Arial"/>
        <family val="2"/>
      </rPr>
      <t xml:space="preserve"> </t>
    </r>
  </si>
  <si>
    <t>pH</t>
  </si>
  <si>
    <r>
      <t>Fermentation pH</t>
    </r>
    <r>
      <rPr>
        <vertAlign val="subscript"/>
        <sz val="11"/>
        <rFont val="Arial"/>
        <family val="2"/>
      </rPr>
      <t>final</t>
    </r>
  </si>
  <si>
    <t>pH control</t>
  </si>
  <si>
    <t>Yes/No</t>
  </si>
  <si>
    <t>Fermentation time</t>
  </si>
  <si>
    <t>Hours</t>
  </si>
  <si>
    <t>g/l</t>
  </si>
  <si>
    <t>Glucose utilization</t>
  </si>
  <si>
    <t>(1 – (g/l final / g/l initial)) x 100</t>
  </si>
  <si>
    <t>%</t>
  </si>
  <si>
    <t>Xylose utilization</t>
  </si>
  <si>
    <t>Galactose utilization</t>
  </si>
  <si>
    <t>(1 –(g/l final / g/l initial)) x 100</t>
  </si>
  <si>
    <t>Arabinose utilization</t>
  </si>
  <si>
    <t>Mannose utilization</t>
  </si>
  <si>
    <t>g/l/h</t>
  </si>
  <si>
    <t>Cell yield</t>
  </si>
  <si>
    <t>g Dry cell mass / g total consumed sugars</t>
  </si>
  <si>
    <t>g/g</t>
  </si>
  <si>
    <t>*Theoretical ethanol calculated as 0.51 g / g of sugar</t>
  </si>
  <si>
    <t xml:space="preserve">Process Details and Costs </t>
  </si>
  <si>
    <t>Feedstock Type</t>
  </si>
  <si>
    <t>Anticipated cost improvements are due to:</t>
  </si>
  <si>
    <t>Feed Rate (dry ton/day)</t>
  </si>
  <si>
    <t>Equipment Costs (2005$)</t>
  </si>
  <si>
    <t>Description</t>
  </si>
  <si>
    <t>Installed Capital Cost (MM$)</t>
  </si>
  <si>
    <t>Feedstock Handling</t>
  </si>
  <si>
    <t>Pretreatment</t>
  </si>
  <si>
    <t>Neutralization/Conditioning</t>
  </si>
  <si>
    <t>Fermentation Organism Production (here or in operating costs)</t>
  </si>
  <si>
    <t>Saccharification &amp; Co-fermentation</t>
  </si>
  <si>
    <t>Distillation &amp; Solids Recovery</t>
  </si>
  <si>
    <t>Wastewater Treatment</t>
  </si>
  <si>
    <t>Storage</t>
  </si>
  <si>
    <t>Utilities (include steam/electricity here or in operating costs)</t>
  </si>
  <si>
    <t>Line 2:  Total Installed Capital</t>
  </si>
  <si>
    <t>Operating Costs (2005$)</t>
  </si>
  <si>
    <t>MM$/yr</t>
  </si>
  <si>
    <t>Feedstock</t>
  </si>
  <si>
    <t>Organism Production Nutrients</t>
  </si>
  <si>
    <t>Fermentation Nutrients</t>
  </si>
  <si>
    <t>Enzymes (Cellulase)</t>
  </si>
  <si>
    <t>Fermentation Organism (include licensing fees)</t>
  </si>
  <si>
    <t>Other Raw Materials</t>
  </si>
  <si>
    <t>Waste Disposal</t>
  </si>
  <si>
    <t>Steam</t>
  </si>
  <si>
    <t>Electricity</t>
  </si>
  <si>
    <t>Labor and Maintenance</t>
  </si>
  <si>
    <t>Line 3:  Total Operating Costs</t>
  </si>
  <si>
    <t>Line 4:  Co-product Credits</t>
  </si>
  <si>
    <t>Line 5:  Net Operating Costs (line 3 minus line 4)</t>
  </si>
  <si>
    <t>Results reported as</t>
  </si>
  <si>
    <t>Feedstock Size</t>
  </si>
  <si>
    <t>largest dimension</t>
  </si>
  <si>
    <t>Feedstock Moisture</t>
  </si>
  <si>
    <t>wt %</t>
  </si>
  <si>
    <t>Feedstock Composition:</t>
  </si>
  <si>
    <t xml:space="preserve">          Cellulose</t>
  </si>
  <si>
    <t>dry wt %</t>
  </si>
  <si>
    <t xml:space="preserve">           Xylan</t>
  </si>
  <si>
    <t xml:space="preserve">          Lignin</t>
  </si>
  <si>
    <t xml:space="preserve">          Arabinan</t>
  </si>
  <si>
    <t xml:space="preserve">          Mannan/Galactan</t>
  </si>
  <si>
    <t xml:space="preserve">          Ash</t>
  </si>
  <si>
    <t xml:space="preserve">          Extractives</t>
  </si>
  <si>
    <t xml:space="preserve">          Other</t>
  </si>
  <si>
    <t>Pretreatment Process</t>
  </si>
  <si>
    <t>e.g.. batch, fed-batch, continuous</t>
  </si>
  <si>
    <t>Pretreatment Reactor Description</t>
  </si>
  <si>
    <t>e.g. horizontal, vertical, agitated</t>
  </si>
  <si>
    <t>Reactor Feed Rate</t>
  </si>
  <si>
    <t>g, kg/hour</t>
  </si>
  <si>
    <t>Catalyst Type</t>
  </si>
  <si>
    <t>e.g. acid, base, none</t>
  </si>
  <si>
    <t>Catalyst Concentration</t>
  </si>
  <si>
    <t>g catalyst/g feedstock</t>
  </si>
  <si>
    <t>Pretreatment Time</t>
  </si>
  <si>
    <t>minutes</t>
  </si>
  <si>
    <t>Pretreatment Data</t>
  </si>
  <si>
    <t>Run 1</t>
  </si>
  <si>
    <t>Run 2</t>
  </si>
  <si>
    <t>Run 3</t>
  </si>
  <si>
    <t>Pretreatment Temperature Target</t>
  </si>
  <si>
    <t>set point</t>
  </si>
  <si>
    <t>Pretreatment Temperature Range</t>
  </si>
  <si>
    <t>measured</t>
  </si>
  <si>
    <t>Initial Total Solids Concentration</t>
  </si>
  <si>
    <t>Final Total Solids Concentration</t>
  </si>
  <si>
    <t>Pretreated Material Composition:</t>
  </si>
  <si>
    <t xml:space="preserve">          Xylan</t>
  </si>
  <si>
    <t xml:space="preserve">          Glucose</t>
  </si>
  <si>
    <t xml:space="preserve">          Xylose</t>
  </si>
  <si>
    <t xml:space="preserve">          Arabinose</t>
  </si>
  <si>
    <t xml:space="preserve">          Galactose/Mannose</t>
  </si>
  <si>
    <t xml:space="preserve">          Cellulose Oligomers</t>
  </si>
  <si>
    <t xml:space="preserve">          Xylose Oligomers</t>
  </si>
  <si>
    <t xml:space="preserve">          Other Oligomers</t>
  </si>
  <si>
    <t>Cellulose Conversion in Pretreatment</t>
  </si>
  <si>
    <t>% of theoretical</t>
  </si>
  <si>
    <t>Xylan Conversion in Pretreatment</t>
  </si>
  <si>
    <t>Enzymatic Hydrolysis Data
(7 day residence time)</t>
  </si>
  <si>
    <t>Enzyme Loading (benchmark loading from Table B)</t>
  </si>
  <si>
    <t>g protein/
(g cellulose + g xylan entering enzymatic hydrolysis)</t>
  </si>
  <si>
    <t>Cellulose Conversion in Enzymatic Hydrolysis</t>
  </si>
  <si>
    <t>Xylan Conversion in Enzymatic Hydrolysis</t>
  </si>
  <si>
    <t>Metric Formulas</t>
  </si>
  <si>
    <r>
      <t>C</t>
    </r>
    <r>
      <rPr>
        <b/>
        <vertAlign val="subscript"/>
        <sz val="14"/>
        <rFont val="Arial"/>
        <family val="2"/>
      </rPr>
      <t>E</t>
    </r>
    <r>
      <rPr>
        <b/>
        <sz val="14"/>
        <rFont val="Arial"/>
        <family val="2"/>
      </rPr>
      <t>=(E</t>
    </r>
    <r>
      <rPr>
        <b/>
        <vertAlign val="subscript"/>
        <sz val="14"/>
        <rFont val="Arial"/>
        <family val="2"/>
      </rPr>
      <t>L</t>
    </r>
    <r>
      <rPr>
        <b/>
        <sz val="14"/>
        <rFont val="Arial"/>
        <family val="2"/>
      </rPr>
      <t>*E</t>
    </r>
    <r>
      <rPr>
        <b/>
        <vertAlign val="subscript"/>
        <sz val="14"/>
        <rFont val="Arial"/>
        <family val="2"/>
      </rPr>
      <t>P</t>
    </r>
    <r>
      <rPr>
        <b/>
        <sz val="14"/>
        <rFont val="Arial"/>
        <family val="2"/>
      </rPr>
      <t>/Y/B</t>
    </r>
    <r>
      <rPr>
        <b/>
        <vertAlign val="subscript"/>
        <sz val="14"/>
        <rFont val="Arial"/>
        <family val="2"/>
      </rPr>
      <t>N</t>
    </r>
    <r>
      <rPr>
        <b/>
        <sz val="14"/>
        <rFont val="Arial"/>
        <family val="2"/>
      </rPr>
      <t>)</t>
    </r>
  </si>
  <si>
    <r>
      <t>E</t>
    </r>
    <r>
      <rPr>
        <b/>
        <vertAlign val="subscript"/>
        <sz val="14"/>
        <rFont val="Arial"/>
        <family val="2"/>
      </rPr>
      <t>P</t>
    </r>
    <r>
      <rPr>
        <b/>
        <sz val="14"/>
        <rFont val="Arial"/>
        <family val="2"/>
      </rPr>
      <t>=(B</t>
    </r>
    <r>
      <rPr>
        <b/>
        <vertAlign val="subscript"/>
        <sz val="14"/>
        <rFont val="Arial"/>
        <family val="2"/>
      </rPr>
      <t>P+</t>
    </r>
    <r>
      <rPr>
        <b/>
        <sz val="14"/>
        <rFont val="Arial"/>
        <family val="2"/>
      </rPr>
      <t>P</t>
    </r>
    <r>
      <rPr>
        <b/>
        <vertAlign val="subscript"/>
        <sz val="14"/>
        <rFont val="Arial"/>
        <family val="2"/>
      </rPr>
      <t>P</t>
    </r>
    <r>
      <rPr>
        <b/>
        <sz val="14"/>
        <rFont val="Arial"/>
        <family val="2"/>
      </rPr>
      <t>)*T</t>
    </r>
    <r>
      <rPr>
        <b/>
        <vertAlign val="subscript"/>
        <sz val="14"/>
        <rFont val="Arial"/>
        <family val="2"/>
      </rPr>
      <t xml:space="preserve">B/P </t>
    </r>
    <r>
      <rPr>
        <b/>
        <sz val="14"/>
        <rFont val="Arial"/>
        <family val="2"/>
      </rPr>
      <t>/ (1-GM)</t>
    </r>
  </si>
  <si>
    <r>
      <t>Y=(F</t>
    </r>
    <r>
      <rPr>
        <b/>
        <vertAlign val="subscript"/>
        <sz val="14"/>
        <rFont val="Arial"/>
        <family val="2"/>
      </rPr>
      <t>C</t>
    </r>
    <r>
      <rPr>
        <b/>
        <sz val="14"/>
        <rFont val="Arial"/>
        <family val="2"/>
      </rPr>
      <t>*C</t>
    </r>
    <r>
      <rPr>
        <b/>
        <vertAlign val="subscript"/>
        <sz val="14"/>
        <rFont val="Arial"/>
        <family val="2"/>
      </rPr>
      <t>C</t>
    </r>
    <r>
      <rPr>
        <b/>
        <sz val="14"/>
        <rFont val="Arial"/>
        <family val="2"/>
      </rPr>
      <t>*C</t>
    </r>
    <r>
      <rPr>
        <b/>
        <vertAlign val="subscript"/>
        <sz val="14"/>
        <rFont val="Arial"/>
        <family val="2"/>
      </rPr>
      <t>G</t>
    </r>
    <r>
      <rPr>
        <b/>
        <sz val="14"/>
        <rFont val="Arial"/>
        <family val="2"/>
      </rPr>
      <t>/R</t>
    </r>
    <r>
      <rPr>
        <b/>
        <vertAlign val="subscript"/>
        <sz val="14"/>
        <rFont val="Arial"/>
        <family val="2"/>
      </rPr>
      <t>C</t>
    </r>
    <r>
      <rPr>
        <b/>
        <sz val="14"/>
        <rFont val="Arial"/>
        <family val="2"/>
      </rPr>
      <t xml:space="preserve"> + F</t>
    </r>
    <r>
      <rPr>
        <b/>
        <vertAlign val="subscript"/>
        <sz val="14"/>
        <rFont val="Arial"/>
        <family val="2"/>
      </rPr>
      <t>H</t>
    </r>
    <r>
      <rPr>
        <b/>
        <sz val="14"/>
        <rFont val="Arial"/>
        <family val="2"/>
      </rPr>
      <t>*C</t>
    </r>
    <r>
      <rPr>
        <b/>
        <vertAlign val="subscript"/>
        <sz val="14"/>
        <rFont val="Arial"/>
        <family val="2"/>
      </rPr>
      <t>H</t>
    </r>
    <r>
      <rPr>
        <b/>
        <sz val="14"/>
        <rFont val="Arial"/>
        <family val="2"/>
      </rPr>
      <t>*C</t>
    </r>
    <r>
      <rPr>
        <b/>
        <vertAlign val="subscript"/>
        <sz val="14"/>
        <rFont val="Arial"/>
        <family val="2"/>
      </rPr>
      <t>X</t>
    </r>
    <r>
      <rPr>
        <b/>
        <sz val="14"/>
        <rFont val="Arial"/>
        <family val="2"/>
      </rPr>
      <t>/R</t>
    </r>
    <r>
      <rPr>
        <b/>
        <vertAlign val="subscript"/>
        <sz val="14"/>
        <rFont val="Arial"/>
        <family val="2"/>
      </rPr>
      <t>H</t>
    </r>
    <r>
      <rPr>
        <b/>
        <sz val="14"/>
        <rFont val="Arial"/>
        <family val="2"/>
      </rPr>
      <t>) / (F</t>
    </r>
    <r>
      <rPr>
        <b/>
        <vertAlign val="subscript"/>
        <sz val="14"/>
        <rFont val="Arial"/>
        <family val="2"/>
      </rPr>
      <t>C</t>
    </r>
    <r>
      <rPr>
        <b/>
        <sz val="14"/>
        <rFont val="Arial"/>
        <family val="2"/>
      </rPr>
      <t>+F</t>
    </r>
    <r>
      <rPr>
        <b/>
        <vertAlign val="subscript"/>
        <sz val="14"/>
        <rFont val="Arial"/>
        <family val="2"/>
      </rPr>
      <t>H</t>
    </r>
    <r>
      <rPr>
        <b/>
        <sz val="14"/>
        <rFont val="Arial"/>
        <family val="2"/>
      </rPr>
      <t>)</t>
    </r>
  </si>
  <si>
    <t>Table B:  Enzyme Performance &amp; Cost Contribution</t>
  </si>
  <si>
    <t>Intermediate Target</t>
  </si>
  <si>
    <t>Final Target</t>
  </si>
  <si>
    <t>% Improvement in cost contribution from benchmark</t>
  </si>
  <si>
    <t>-----</t>
  </si>
  <si>
    <t xml:space="preserve">Fc      x </t>
  </si>
  <si>
    <t xml:space="preserve">Cc          x </t>
  </si>
  <si>
    <t xml:space="preserve">1.111      x </t>
  </si>
  <si>
    <r>
      <t>C</t>
    </r>
    <r>
      <rPr>
        <vertAlign val="subscript"/>
        <sz val="10"/>
        <rFont val="Arial"/>
        <family val="2"/>
      </rPr>
      <t>G</t>
    </r>
    <r>
      <rPr>
        <sz val="10"/>
        <rFont val="Arial"/>
      </rPr>
      <t xml:space="preserve">       x </t>
    </r>
  </si>
  <si>
    <t xml:space="preserve">0.5119     x </t>
  </si>
  <si>
    <t xml:space="preserve">.001   x </t>
  </si>
  <si>
    <t xml:space="preserve">1.2674   x </t>
  </si>
  <si>
    <r>
      <t>C</t>
    </r>
    <r>
      <rPr>
        <b/>
        <vertAlign val="subscript"/>
        <sz val="10"/>
        <rFont val="Arial"/>
      </rPr>
      <t>E</t>
    </r>
  </si>
  <si>
    <t>Enzyme Cost</t>
  </si>
  <si>
    <t>g cellulose</t>
  </si>
  <si>
    <t>g cellulose converted</t>
  </si>
  <si>
    <t>g glucose</t>
  </si>
  <si>
    <t>g glucose converted</t>
  </si>
  <si>
    <t>1 kg</t>
  </si>
  <si>
    <t>gallon</t>
  </si>
  <si>
    <r>
      <t>E</t>
    </r>
    <r>
      <rPr>
        <b/>
        <vertAlign val="subscript"/>
        <sz val="10"/>
        <rFont val="Arial"/>
      </rPr>
      <t>P</t>
    </r>
  </si>
  <si>
    <t>Enzyme Price</t>
  </si>
  <si>
    <t>$/L-product</t>
  </si>
  <si>
    <t>g feed</t>
  </si>
  <si>
    <t>1000 g</t>
  </si>
  <si>
    <t>3.785 L</t>
  </si>
  <si>
    <r>
      <t>E</t>
    </r>
    <r>
      <rPr>
        <b/>
        <vertAlign val="subscript"/>
        <sz val="10"/>
        <rFont val="Arial"/>
      </rPr>
      <t>L</t>
    </r>
  </si>
  <si>
    <t>Enzyme Loading (7 day residence time)</t>
  </si>
  <si>
    <r>
      <t>B</t>
    </r>
    <r>
      <rPr>
        <b/>
        <vertAlign val="subscript"/>
        <sz val="10"/>
        <rFont val="Arial"/>
      </rPr>
      <t>P</t>
    </r>
  </si>
  <si>
    <t>Broth Price</t>
  </si>
  <si>
    <t>$/L-broth</t>
  </si>
  <si>
    <r>
      <t>P</t>
    </r>
    <r>
      <rPr>
        <b/>
        <vertAlign val="subscript"/>
        <sz val="10"/>
        <rFont val="Arial"/>
      </rPr>
      <t>P</t>
    </r>
  </si>
  <si>
    <t>Post-ferm Treatment Cost</t>
  </si>
  <si>
    <r>
      <t>T</t>
    </r>
    <r>
      <rPr>
        <b/>
        <vertAlign val="subscript"/>
        <sz val="10"/>
        <rFont val="Arial"/>
      </rPr>
      <t>B/P</t>
    </r>
  </si>
  <si>
    <t>Broth-to-Product Ratio</t>
  </si>
  <si>
    <t>L-broth/L-product</t>
  </si>
  <si>
    <t>GM</t>
  </si>
  <si>
    <t>Manufacturer's Gross Profit Margin</t>
  </si>
  <si>
    <r>
      <t>B</t>
    </r>
    <r>
      <rPr>
        <b/>
        <vertAlign val="subscript"/>
        <sz val="10"/>
        <rFont val="Arial"/>
      </rPr>
      <t>N</t>
    </r>
  </si>
  <si>
    <t>Enzyme Concentration</t>
  </si>
  <si>
    <t>g protein/
L-product</t>
  </si>
  <si>
    <t>Y</t>
  </si>
  <si>
    <r>
      <t>F</t>
    </r>
    <r>
      <rPr>
        <vertAlign val="subscript"/>
        <sz val="10"/>
        <rFont val="Arial"/>
        <family val="2"/>
      </rPr>
      <t>H</t>
    </r>
    <r>
      <rPr>
        <sz val="10"/>
        <rFont val="Arial"/>
        <family val="2"/>
      </rPr>
      <t xml:space="preserve">     x </t>
    </r>
  </si>
  <si>
    <r>
      <t>C</t>
    </r>
    <r>
      <rPr>
        <vertAlign val="subscript"/>
        <sz val="10"/>
        <rFont val="Arial"/>
        <family val="2"/>
      </rPr>
      <t>H</t>
    </r>
    <r>
      <rPr>
        <sz val="10"/>
        <rFont val="Arial"/>
        <family val="2"/>
      </rPr>
      <t xml:space="preserve">         x </t>
    </r>
  </si>
  <si>
    <t xml:space="preserve">1.136      x </t>
  </si>
  <si>
    <t>Cx      x</t>
  </si>
  <si>
    <t>g xylan</t>
  </si>
  <si>
    <t>g xylan converted</t>
  </si>
  <si>
    <t>g xylose</t>
  </si>
  <si>
    <t>g xylose converted</t>
  </si>
  <si>
    <r>
      <t>F</t>
    </r>
    <r>
      <rPr>
        <b/>
        <vertAlign val="subscript"/>
        <sz val="10"/>
        <rFont val="Arial"/>
      </rPr>
      <t>C</t>
    </r>
  </si>
  <si>
    <t>Cellulose Fraction in Raw Feedstock</t>
  </si>
  <si>
    <t>wt fraction</t>
  </si>
  <si>
    <r>
      <t>F</t>
    </r>
    <r>
      <rPr>
        <b/>
        <vertAlign val="subscript"/>
        <sz val="10"/>
        <rFont val="Arial"/>
      </rPr>
      <t>H</t>
    </r>
  </si>
  <si>
    <t>Xylan Fraction in Raw Feedstock</t>
  </si>
  <si>
    <r>
      <t>C</t>
    </r>
    <r>
      <rPr>
        <b/>
        <vertAlign val="subscript"/>
        <sz val="10"/>
        <rFont val="Arial"/>
      </rPr>
      <t>C</t>
    </r>
  </si>
  <si>
    <t>Cellulose Conversion to Glucose  (including pretreatment conversion)</t>
  </si>
  <si>
    <t>g cellulose converted/
g cellulose total</t>
  </si>
  <si>
    <r>
      <t>C</t>
    </r>
    <r>
      <rPr>
        <b/>
        <vertAlign val="subscript"/>
        <sz val="10"/>
        <rFont val="Arial"/>
      </rPr>
      <t>H</t>
    </r>
  </si>
  <si>
    <t>Xylan Conversion to Xylose (including pretreatment conversion)</t>
  </si>
  <si>
    <t>g xylan converted/
g xylan total</t>
  </si>
  <si>
    <r>
      <t>C</t>
    </r>
    <r>
      <rPr>
        <b/>
        <vertAlign val="subscript"/>
        <sz val="10"/>
        <rFont val="Arial"/>
      </rPr>
      <t>G</t>
    </r>
  </si>
  <si>
    <t>g glucose converted/
g glucose total</t>
  </si>
  <si>
    <t>Y       x</t>
  </si>
  <si>
    <t>(Fc + FH)         x</t>
  </si>
  <si>
    <t>1000          x</t>
  </si>
  <si>
    <t>.4535      x</t>
  </si>
  <si>
    <r>
      <t>C</t>
    </r>
    <r>
      <rPr>
        <b/>
        <vertAlign val="subscript"/>
        <sz val="10"/>
        <rFont val="Arial"/>
      </rPr>
      <t>X</t>
    </r>
  </si>
  <si>
    <t>g xylose converted/
g xylose total</t>
  </si>
  <si>
    <t>g cellulose + xylan</t>
  </si>
  <si>
    <t>kg</t>
  </si>
  <si>
    <t>2000 lb</t>
  </si>
  <si>
    <r>
      <t>R</t>
    </r>
    <r>
      <rPr>
        <b/>
        <vertAlign val="subscript"/>
        <sz val="10"/>
        <rFont val="Arial"/>
      </rPr>
      <t>C</t>
    </r>
  </si>
  <si>
    <t>g biomass</t>
  </si>
  <si>
    <t>2.205 lb</t>
  </si>
  <si>
    <t>ton</t>
  </si>
  <si>
    <r>
      <t>R</t>
    </r>
    <r>
      <rPr>
        <b/>
        <vertAlign val="subscript"/>
        <sz val="10"/>
        <rFont val="Arial"/>
      </rPr>
      <t>H</t>
    </r>
  </si>
  <si>
    <t>Table B-ex:  Enzyme Performance &amp; Cost Contribution Example</t>
  </si>
  <si>
    <t>J0507B, roughly</t>
  </si>
  <si>
    <t>SWAG</t>
  </si>
  <si>
    <t>J0601A with only glucose and xylose fermented and no contamination losses</t>
  </si>
  <si>
    <t>Feed Rate (MM dry ton/year)</t>
  </si>
  <si>
    <t>Enzymatic Hydrolysis &amp;/or SSF</t>
  </si>
  <si>
    <t>Capital Charge Factor (CCF) - 10 year life</t>
  </si>
  <si>
    <t>Line 3:  Annualized capital cost</t>
  </si>
  <si>
    <t>10 yr life (multiply line 2 by CCF)</t>
  </si>
  <si>
    <t>Pretreatment Chemicals</t>
  </si>
  <si>
    <t>Total non-enzyme operating costs (MM$/yr)</t>
  </si>
  <si>
    <t>Sum of operating costs</t>
  </si>
  <si>
    <t>Total non-enzyme operating costs ($/gal etoh)</t>
  </si>
  <si>
    <t>Enzyme Costs ($/gal etoh)</t>
  </si>
  <si>
    <t>From enzyme metrics table B</t>
  </si>
  <si>
    <t>Line 4: Total Operating Costs ($/gal)</t>
  </si>
  <si>
    <t>Non-enzyme operating costs plus enzyme costs</t>
  </si>
  <si>
    <t>Table C-ex:  Process Details and Cost Estimate for Dilute Acid Pretreatment - Example</t>
  </si>
  <si>
    <t>Rationale for value reduction or constant value</t>
  </si>
  <si>
    <t>Corn Stover</t>
  </si>
  <si>
    <t>Feedstock remains constant</t>
  </si>
  <si>
    <t>Equipment Costs (2002$)</t>
  </si>
  <si>
    <t>Dilute Acid</t>
  </si>
  <si>
    <t>No PT or conditioning R&amp;D so hold $ constant - imps. can be allowed but not towards success of project</t>
  </si>
  <si>
    <t>Separation &amp; Overliming</t>
  </si>
  <si>
    <t>Hydrolysis followed by SSF</t>
  </si>
  <si>
    <t>Hydrolysis time can be reduced</t>
  </si>
  <si>
    <t>Use this to get capital costs on some rational per gallon basis</t>
  </si>
  <si>
    <t>Operating Costs (2002$)</t>
  </si>
  <si>
    <t>Acid, Lime costs</t>
  </si>
  <si>
    <t>No PT or conditioning R&amp;D</t>
  </si>
  <si>
    <t>$20/dry ton for gypsum disposal</t>
  </si>
  <si>
    <t>$3/MM Btu</t>
  </si>
  <si>
    <t>Steam, mostly for PT should not change</t>
  </si>
  <si>
    <t>$0.04/kWh</t>
  </si>
  <si>
    <t>Represents one possible target case described in NREL's 2002 design report (NREL TP-510-32438).  Assumes cellulase activity only.</t>
  </si>
  <si>
    <t>Xylose oligomers to monomeric xylose (%)</t>
  </si>
  <si>
    <t>Cellobiose or other glucose oligomers to monomeric glucose (%)</t>
  </si>
  <si>
    <t>Xylan to xylose oligomers (%)</t>
  </si>
  <si>
    <t>Xylan to xylose monomers (%)</t>
  </si>
  <si>
    <t>Celluose to cellobiose or other glucose oligomers (%)</t>
  </si>
  <si>
    <t>Cellulose to glucose (%)</t>
  </si>
  <si>
    <t>Sugar Yields in PT &amp;Enzymatic Hydrolysis (% of theoretical)</t>
  </si>
  <si>
    <t>Enzyme Loading (mg protein/g glucan+xylan)</t>
  </si>
  <si>
    <t>Enzyme Loading (mg protein/g glucan)</t>
  </si>
  <si>
    <t>41-65</t>
  </si>
  <si>
    <t>Hydrolysis temperature (C)</t>
  </si>
  <si>
    <t>Hydrolysis Time (hours)</t>
  </si>
  <si>
    <t>Process Conditions</t>
  </si>
  <si>
    <t>Others (wt %)</t>
  </si>
  <si>
    <t>Lignin (wt %)</t>
  </si>
  <si>
    <t>Xylose oligomers (wt %)</t>
  </si>
  <si>
    <t>Xylose (wt %)</t>
  </si>
  <si>
    <t>Xylan (wt %)</t>
  </si>
  <si>
    <t>Glucose oligomers (wt %)</t>
  </si>
  <si>
    <t>Glucose (wt %)</t>
  </si>
  <si>
    <t>Cellulose (wt %)</t>
  </si>
  <si>
    <t>Initial composition</t>
  </si>
  <si>
    <t>Hydrolysis</t>
  </si>
  <si>
    <t>DA PT Corn stover hydrolysate</t>
  </si>
  <si>
    <t>AFEX pretreated corn stover</t>
  </si>
  <si>
    <t>Dilute Acid pretreated Poplar</t>
  </si>
  <si>
    <t>Avicel</t>
  </si>
  <si>
    <r>
      <t>Feed (</t>
    </r>
    <r>
      <rPr>
        <b/>
        <i/>
        <sz val="10"/>
        <rFont val="Arial"/>
        <family val="2"/>
      </rPr>
      <t xml:space="preserve">e.g. </t>
    </r>
    <r>
      <rPr>
        <b/>
        <sz val="10"/>
        <rFont val="Arial"/>
        <family val="2"/>
      </rPr>
      <t>pure cellulose, hydrolysate of what feed)</t>
    </r>
  </si>
  <si>
    <t>Final Target
(48 months)</t>
  </si>
  <si>
    <t>Stage Gate Target
(~24 months)</t>
  </si>
  <si>
    <t>Intermediate Target
(~12 months)</t>
  </si>
  <si>
    <t>Spezyme data on Alk PT matl from somewhere</t>
  </si>
  <si>
    <t>Spezyme data on DA PT matl from somewhere</t>
  </si>
  <si>
    <t>Journal of Imaginary Data</t>
  </si>
  <si>
    <r>
      <t>Process type (</t>
    </r>
    <r>
      <rPr>
        <b/>
        <i/>
        <sz val="10"/>
        <rFont val="Arial"/>
        <family val="2"/>
      </rPr>
      <t xml:space="preserve">e.g. </t>
    </r>
    <r>
      <rPr>
        <b/>
        <sz val="10"/>
        <rFont val="Arial"/>
        <family val="2"/>
      </rPr>
      <t>SSF, Hydrolysis, hybrid, other)</t>
    </r>
  </si>
  <si>
    <t>PROPRIETARY/BUSINESS SENSITIVE</t>
  </si>
  <si>
    <t>PROJECT TITLE::</t>
  </si>
  <si>
    <t>TECHNICAL DATA INPUTS</t>
  </si>
  <si>
    <t>EVALUATION DATE::</t>
  </si>
  <si>
    <t>Section</t>
  </si>
  <si>
    <t>Parameter</t>
  </si>
  <si>
    <r>
      <t>Currently Demonstrated Value(s)</t>
    </r>
    <r>
      <rPr>
        <b/>
        <vertAlign val="superscript"/>
        <sz val="11"/>
        <color theme="1"/>
        <rFont val="Arial"/>
        <family val="2"/>
      </rPr>
      <t>*</t>
    </r>
  </si>
  <si>
    <t>Target Value(s)*</t>
  </si>
  <si>
    <t>Basis/Justification and Methods**</t>
  </si>
  <si>
    <t>Notes / Directions / Examples</t>
  </si>
  <si>
    <t>Process Description</t>
  </si>
  <si>
    <t>Provide a block flow diagram and brief (one paragraph) description of the major process steps/unit operations and technologies employed. Include the type of major equipment and the type of catalyst used as appropriate for each major step. Include relevant process information (e.g. temperatures, pressures, residence times, etc.).</t>
  </si>
  <si>
    <t>[Please attach separately]</t>
  </si>
  <si>
    <t>Product (s) and By-Products</t>
  </si>
  <si>
    <t xml:space="preserve">Feedstock (as delivered) </t>
  </si>
  <si>
    <t>Moisture (wt%)</t>
  </si>
  <si>
    <t>C, H, N, O, S (wt %) (dry basis)</t>
  </si>
  <si>
    <t>Is this a good and clear definition?</t>
  </si>
  <si>
    <t>Overall Process Yield</t>
  </si>
  <si>
    <t>Overall Energy efficiency (%) (LHV) (GTG)</t>
  </si>
  <si>
    <t>Overall Usage Rates (based on demonstrated data and projected to commercial scale)</t>
  </si>
  <si>
    <t xml:space="preserve">Thermal Utilities Purchased:                                                                                         
--Electricity (kWhr/gal biofuel(s))                                                                                           
--Natural gas (MMBTU/gal biofuel(s))                                                                            
--Steam (MMBTU/gal biofuel(s)) </t>
  </si>
  <si>
    <t>Utilities imported/purchased by plant (above those generated by plant)</t>
  </si>
  <si>
    <t>Include process water, cooling water, boiler feed water, etc.</t>
  </si>
  <si>
    <t>Include assumptions for water recycle/re-use</t>
  </si>
  <si>
    <t>Do we want to separate process water, cooling tower, and boiler feed?</t>
  </si>
  <si>
    <t>**Describe  the basis or justification for result reported, and the scale it was demonstrated. Examples of basis include: number of hours at steady state (steady state typically defined as continuous operation of the integrated process for ≥3 residence times), or the results of a number of replicate short runs of the isolated process step.</t>
  </si>
  <si>
    <t>Process Indicators for Gaseous Intermediates for Production of Biofuels or High Energy Impact Bioproducts</t>
  </si>
  <si>
    <t xml:space="preserve">Example Products: renewable gasoline, naptha, renewable diesel                                                                                                                                </t>
  </si>
  <si>
    <t>List all products serving as outputs from Intermediate Transformation of gaseous intermediates</t>
  </si>
  <si>
    <r>
      <t>Process type (</t>
    </r>
    <r>
      <rPr>
        <i/>
        <sz val="10"/>
        <rFont val="Arial"/>
        <family val="2"/>
      </rPr>
      <t>e.g.</t>
    </r>
    <r>
      <rPr>
        <b/>
        <sz val="10"/>
        <rFont val="Arial"/>
        <family val="2"/>
      </rPr>
      <t>, SSF, Ferm, HHF, other -identified)</t>
    </r>
  </si>
  <si>
    <t>Feed (pure sugars, hydrolysate of what feed, other sources)</t>
  </si>
  <si>
    <t>Biofuel or Bioproduct Yield (gallons or lbs/dry ton)</t>
  </si>
  <si>
    <t>Line 1:  Annual Biofuel or Bioproduct Production (MM gallons or MM lbs)</t>
  </si>
  <si>
    <t>Total Installed Capital per Annual Gallon or lb (line 2 divided by line 1)</t>
  </si>
  <si>
    <t>Operating Costs (2005$) as applicable</t>
  </si>
  <si>
    <t>Equipment Costs (2005$) as applicable</t>
  </si>
  <si>
    <t>Based on ethanol theoretical yield.  For biofuel proposed, the values for theoretical yield will likely be different and need to be used in completing this data point.</t>
  </si>
  <si>
    <t>Biofuel or Bioproduct Yields (% theoretical)</t>
  </si>
  <si>
    <t>Glucose to biofuel or bioproduct (%)</t>
  </si>
  <si>
    <t>Xylose to biofuel or bioproduct (%)</t>
  </si>
  <si>
    <t>Other sugars to biofuel or bioproduct (%)</t>
  </si>
  <si>
    <t>Biofuel or bioproduct concentration</t>
  </si>
  <si>
    <t>Biofuel or bioproduct yield: fermentable sugars</t>
  </si>
  <si>
    <t>(g/l Biofuel or bioproduct / (0.51 x g/l initial fermentable sugar)) x 100</t>
  </si>
  <si>
    <t>Biofuel or bioproduct yield: total sugars</t>
  </si>
  <si>
    <t>(g/l Biofuel or bioproduct / (0.51 x g/l initial total sugar)) x 100</t>
  </si>
  <si>
    <t>Biofuel or bioproduct metabolic yield</t>
  </si>
  <si>
    <t>(g/l Biofuel or bioproduct / (0.51 x g/l sugars consumed)) x 100</t>
  </si>
  <si>
    <t>Volumetric Biofuel or bioproduct production rate</t>
  </si>
  <si>
    <t>Maximum g/l Biofuel or bioproduct / total time hrs</t>
  </si>
  <si>
    <t>Example provided is for cellulosic ethanol.  Applicant needs to modify or adapt for biofuel or product chosen such as providing the appropriate theoretical yield</t>
  </si>
  <si>
    <t>Net Biofuel or Bioproduct Production Costs ($/gal) (line 5 divided by line 1)</t>
  </si>
  <si>
    <t>Table A:  Pretreatment Reproducibility Data for Biomass Feedstocks or Processable Components. Provide what data is available from existing experiments</t>
  </si>
  <si>
    <t>g Biofuel or bioproduct</t>
  </si>
  <si>
    <t>1 L Biofuel or bioproduct</t>
  </si>
  <si>
    <t>Applicant will need to substitute correct values for biofuel or bioproduct chosen, viz. density of chosen biofuel rather than that shown for ethanol.</t>
  </si>
  <si>
    <t>0.789 kg ethanol (modify for biofuel or product chosen)</t>
  </si>
  <si>
    <t>Biofuel or bioproduct Process Yield</t>
  </si>
  <si>
    <t>gal Biofuel or g bioproduct/
(g cellulose + g xylan in raw feedstock)</t>
  </si>
  <si>
    <t>gal Biofuel or g bioproduct/
ton biomass</t>
  </si>
  <si>
    <t>Glucose Conversion to Biofuel or bioproduct</t>
  </si>
  <si>
    <t>Xylose Conversion to Biofuel or bioproduct</t>
  </si>
  <si>
    <t>Theoretical Cellulose per gallon Biofuel or bioproduct</t>
  </si>
  <si>
    <t>Theoretical Xylan per gallon Biofuel or bioproduct</t>
  </si>
  <si>
    <t>$/gal Biofuel or lb bioproduct</t>
  </si>
  <si>
    <t>$/L or lb-product</t>
  </si>
  <si>
    <t>g protein/
L or lb-product</t>
  </si>
  <si>
    <t>gal Biofuel or lb bioproduct/
(g cellulose + g xylan in raw feedstock)</t>
  </si>
  <si>
    <t>gal Biofuel or lb bioproduct/
ton biomass</t>
  </si>
  <si>
    <t>g cellulose/
gallon Biofuel or lb of bioproduct</t>
  </si>
  <si>
    <t>To calculate Biofuel or bioproduct per gram cellulose:</t>
  </si>
  <si>
    <t>g xylan/gallon Biofuel or lb bioproduct</t>
  </si>
  <si>
    <t>To calculate Biofuel or bioproduct per gram xylan:</t>
  </si>
  <si>
    <t>To calculate yield YT (gallon Biofuel or bioproduct per ton biomass) from yield Y (gallon Biofuel or bioproduct per g celluose + xylan):</t>
  </si>
  <si>
    <t>g cellulose/
gallon Biofuel or lb bioproduct</t>
  </si>
  <si>
    <t>Line 1:  Estimated annual Biofuel or bioproduct production (MM gal or lb/yr)</t>
  </si>
  <si>
    <t>Annualized per Annual Gallon or lb (line 3 divided by line 1)</t>
  </si>
  <si>
    <t>Combined Capital and Operating Costs ($/gal biofuel or lb bioproduct) (line 3 plus line 4)</t>
  </si>
  <si>
    <t>Operating costs divided by annual biofuel or lb bioproduct production</t>
  </si>
  <si>
    <t>Enzyme Costs ($/gal biofuel or lb bioproduct)</t>
  </si>
  <si>
    <t>Estimated yield (gal or lb/dry ton) (from enzyme metrics table B)</t>
  </si>
  <si>
    <t>Total non-enzyme operating costs ($/gal biofuel or lb bioproduct)</t>
  </si>
  <si>
    <t>Line 4: Total Operating Costs ($/gal or lb)</t>
  </si>
  <si>
    <t>Line 1:  Estimated annual biofuel or bioproduct production (MM gal or lb/yr)</t>
  </si>
  <si>
    <t>Annualized PerGallon Biofuel or per lb Bioproduct Capital Costs (line 3 divided by line 1)</t>
  </si>
  <si>
    <t>Data for MRC evaluation of criteria - Provided as an example of current level of technology</t>
  </si>
  <si>
    <t>Feed Gas #1</t>
  </si>
  <si>
    <t>Projected Biomass-Based Feed #2</t>
  </si>
  <si>
    <t>Feed Gas Type/Description</t>
  </si>
  <si>
    <t>Feed Gas Source</t>
  </si>
  <si>
    <t>Feed Gas Composition (wt%)</t>
  </si>
  <si>
    <t>list components separately</t>
  </si>
  <si>
    <t>Gas Cleanup (if applicable)</t>
  </si>
  <si>
    <t>Tar Conversion to Gas (wt %)</t>
  </si>
  <si>
    <t>if applicable</t>
  </si>
  <si>
    <t>H2S + COS removal (%)</t>
  </si>
  <si>
    <t>NH3 + HCN removal (%)</t>
  </si>
  <si>
    <t>Biofuel(s) Synthesis</t>
  </si>
  <si>
    <t>Biofuel(s) Synthesis Energy efficiency (%) (LHV)</t>
  </si>
  <si>
    <t>(Product(s) and by-Products out)/(feed gas plus other streams in)</t>
  </si>
  <si>
    <t>Provide separately for each product and by-product.
Include all process streams that will/could serve as revenue to the proposed process.
Insert additional products/streams as necessary to accurately reflect the proposed process.</t>
  </si>
  <si>
    <t>Overall GHG Emissions Reduction (%)</t>
  </si>
  <si>
    <t>Indicate tools/methods used to estimate GHG emissions reduction.
% reduction compared to conventional petroleum-derived fuel(s)/product(s).</t>
  </si>
  <si>
    <t>(Product(s) and by-products out)/(feeds plus other input fuels/chemical); GTG-gate-to-gate; lower heating value basis</t>
  </si>
  <si>
    <t>(imported to overall process)</t>
  </si>
  <si>
    <t>list consumption/use of all known chemicals/materials; list individually</t>
  </si>
  <si>
    <t>Purchased water consumed (gal/gal biofuel(s))</t>
  </si>
  <si>
    <t>Wastes and Gas Emissions (based on demo'd data/projected to commercial)</t>
  </si>
  <si>
    <t>Waste Water for Treatment (gal/gal biofuel(s))</t>
  </si>
  <si>
    <t>Total Gas Emissions Composition (wt%)
--CO2 (wt%)
--H2O (wt%)
--CH4 (wt%)
--Other Components (wt%)</t>
  </si>
  <si>
    <t>list components individually</t>
  </si>
  <si>
    <t>*Provide the best value achieved to date based on actual data, if available.</t>
  </si>
  <si>
    <t>Notes, directions and examples*</t>
  </si>
  <si>
    <t>* Provide best data based on current level of your technology development</t>
  </si>
  <si>
    <t>Benchmark (Current)*</t>
  </si>
  <si>
    <t>Benchmark or Current Process*</t>
  </si>
  <si>
    <t>Data*</t>
  </si>
  <si>
    <t>* Provide best data based on current level of your technology development or that of your feedstock provider</t>
  </si>
  <si>
    <t>Table C:  Process Details and Cost Estimate*</t>
  </si>
  <si>
    <t>* Provide best data based on current level of your technology development or your partners or known processing technology (please provide citations)</t>
  </si>
  <si>
    <t>Feed Gas Cost ($/lb gas)</t>
  </si>
  <si>
    <t>Enzyme effective cost can be reduced via loading and concentration improvements</t>
  </si>
  <si>
    <t>Electricity, mostly for agitation, should not change much unless solids loading is changed</t>
  </si>
  <si>
    <t>$/gal Biofuel or $/lb bioproduct</t>
  </si>
  <si>
    <t>Feed Gas Energy content (BTU/lb) (LHV, dry basis)</t>
  </si>
  <si>
    <t>Gas Yield in Cleanup (lb cleaned gas/lb inlet gas)</t>
  </si>
  <si>
    <t>Mass conversion to biofuel(s) (lb product(s)/lb feed gas)</t>
  </si>
  <si>
    <t>Overall Process Yield from Biomass or other sources (unit/lb feed gas):                                                          
--Gasoline (gal/BDMT)
--Naphtha (gal/BDMT)                                                                                               
--Diesel (gal/BDMT)                                                                                                                                                                          
--Other Fuel(s)/Product(s) (unit/BDMT)</t>
  </si>
  <si>
    <r>
      <t xml:space="preserve">H2 </t>
    </r>
    <r>
      <rPr>
        <u/>
        <sz val="11"/>
        <color theme="1"/>
        <rFont val="Arial"/>
        <family val="2"/>
      </rPr>
      <t>purchased</t>
    </r>
    <r>
      <rPr>
        <sz val="11"/>
        <color theme="1"/>
        <rFont val="Arial"/>
        <family val="2"/>
      </rPr>
      <t xml:space="preserve"> (lb/gal biofuel(s))</t>
    </r>
  </si>
  <si>
    <t>Other Chemicals and Materials (lb consumed or used/gal biofuel(s))</t>
  </si>
  <si>
    <t>Solid Waste (lb/gal biofuel(s))</t>
  </si>
  <si>
    <t>Total Gas Emissions from Process (lb/gal biofuel(s))</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</si>
</sst>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quot;$&quot;#,##0.00"/>
    <numFmt numFmtId="165" formatCode="0.0"/>
    <numFmt numFmtId="166" formatCode="#,##0.000"/>
    <numFmt numFmtId="167" formatCode="0.00000"/>
    <numFmt numFmtId="168" formatCode="0.000E+00"/>
    <numFmt numFmtId="169" formatCode="0.000"/>
    <numFmt numFmtId="170" formatCode="0.0000"/>
    <numFmt numFmtId="171" formatCode="&quot;$&quot;#,##0.000"/>
    <numFmt numFmtId="172" formatCode="0.0%"/>
  </numFmts>
  <fonts count="35" x14ac:knownFonts="1">
    <font>
      <sz val="10"/>
      <name val="Arial"/>
    </font>
    <font>
      <sz val="10"/>
      <name val="Arial"/>
    </font>
    <font>
      <b/>
      <sz val="10"/>
      <name val="Arial"/>
      <family val="2"/>
    </font>
    <font>
      <sz val="10"/>
      <name val="Arial"/>
      <family val="2"/>
    </font>
    <font>
      <i/>
      <sz val="10"/>
      <name val="Arial"/>
      <family val="2"/>
    </font>
    <font>
      <b/>
      <sz val="11"/>
      <name val="Arial"/>
      <family val="2"/>
    </font>
    <font>
      <sz val="11"/>
      <name val="Arial"/>
      <family val="2"/>
    </font>
    <font>
      <vertAlign val="subscript"/>
      <sz val="11"/>
      <name val="Arial"/>
      <family val="2"/>
    </font>
    <font>
      <b/>
      <sz val="12"/>
      <name val="Arial"/>
      <family val="2"/>
    </font>
    <font>
      <b/>
      <sz val="14"/>
      <name val="Arial"/>
      <family val="2"/>
    </font>
    <font>
      <b/>
      <vertAlign val="subscript"/>
      <sz val="14"/>
      <name val="Arial"/>
      <family val="2"/>
    </font>
    <font>
      <b/>
      <sz val="10"/>
      <name val="Arial"/>
    </font>
    <font>
      <vertAlign val="subscript"/>
      <sz val="10"/>
      <name val="Arial"/>
      <family val="2"/>
    </font>
    <font>
      <b/>
      <vertAlign val="subscript"/>
      <sz val="10"/>
      <name val="Arial"/>
    </font>
    <font>
      <u/>
      <sz val="10"/>
      <name val="Arial"/>
      <family val="2"/>
    </font>
    <font>
      <i/>
      <sz val="10"/>
      <name val="Arial"/>
    </font>
    <font>
      <u/>
      <sz val="10"/>
      <name val="Arial"/>
    </font>
    <font>
      <b/>
      <i/>
      <sz val="10"/>
      <name val="Arial"/>
      <family val="2"/>
    </font>
    <font>
      <sz val="11"/>
      <color rgb="FFFF0000"/>
      <name val="Calibri"/>
      <family val="2"/>
      <scheme val="minor"/>
    </font>
    <font>
      <b/>
      <sz val="11"/>
      <color theme="1"/>
      <name val="Calibri"/>
      <family val="2"/>
      <scheme val="minor"/>
    </font>
    <font>
      <b/>
      <sz val="16"/>
      <color theme="1"/>
      <name val="Arial"/>
      <family val="2"/>
    </font>
    <font>
      <sz val="11"/>
      <color theme="1"/>
      <name val="Arial"/>
      <family val="2"/>
    </font>
    <font>
      <b/>
      <sz val="14"/>
      <color rgb="FFFF0000"/>
      <name val="Arial"/>
      <family val="2"/>
    </font>
    <font>
      <b/>
      <u/>
      <sz val="16"/>
      <color theme="1"/>
      <name val="Arial"/>
      <family val="2"/>
    </font>
    <font>
      <b/>
      <sz val="18"/>
      <color rgb="FFFF0000"/>
      <name val="Arial"/>
      <family val="2"/>
    </font>
    <font>
      <b/>
      <sz val="14"/>
      <color theme="1"/>
      <name val="Arial"/>
      <family val="2"/>
    </font>
    <font>
      <b/>
      <i/>
      <sz val="11"/>
      <color theme="1"/>
      <name val="Arial"/>
      <family val="2"/>
    </font>
    <font>
      <u/>
      <sz val="11"/>
      <color theme="1"/>
      <name val="Arial"/>
      <family val="2"/>
    </font>
    <font>
      <b/>
      <sz val="11"/>
      <color theme="1"/>
      <name val="Arial"/>
      <family val="2"/>
    </font>
    <font>
      <b/>
      <vertAlign val="superscript"/>
      <sz val="11"/>
      <color theme="1"/>
      <name val="Arial"/>
      <family val="2"/>
    </font>
    <font>
      <i/>
      <sz val="11"/>
      <color theme="1"/>
      <name val="Arial"/>
      <family val="2"/>
    </font>
    <font>
      <sz val="11"/>
      <color rgb="FFFF0000"/>
      <name val="Arial"/>
      <family val="2"/>
    </font>
    <font>
      <sz val="12"/>
      <color rgb="FF0070C0"/>
      <name val="Arial"/>
      <family val="2"/>
    </font>
    <font>
      <b/>
      <u/>
      <sz val="11"/>
      <color theme="1"/>
      <name val="Arial"/>
      <family val="2"/>
    </font>
    <font>
      <b/>
      <u/>
      <sz val="11"/>
      <color theme="1"/>
      <name val="Calibri"/>
      <family val="2"/>
      <scheme val="minor"/>
    </font>
  </fonts>
  <fills count="12">
    <fill>
      <patternFill patternType="none"/>
    </fill>
    <fill>
      <patternFill patternType="gray125"/>
    </fill>
    <fill>
      <patternFill patternType="solid">
        <fgColor indexed="26"/>
        <bgColor indexed="64"/>
      </patternFill>
    </fill>
    <fill>
      <patternFill patternType="solid">
        <fgColor indexed="22"/>
        <bgColor indexed="64"/>
      </patternFill>
    </fill>
    <fill>
      <patternFill patternType="solid">
        <fgColor indexed="42"/>
        <bgColor indexed="64"/>
      </patternFill>
    </fill>
    <fill>
      <patternFill patternType="solid">
        <fgColor indexed="47"/>
        <bgColor indexed="64"/>
      </patternFill>
    </fill>
    <fill>
      <patternFill patternType="solid">
        <fgColor indexed="43"/>
        <bgColor indexed="64"/>
      </patternFill>
    </fill>
    <fill>
      <patternFill patternType="solid">
        <fgColor indexed="15"/>
        <bgColor indexed="64"/>
      </patternFill>
    </fill>
    <fill>
      <patternFill patternType="solid">
        <fgColor rgb="FF39F942"/>
        <bgColor indexed="64"/>
      </patternFill>
    </fill>
    <fill>
      <patternFill patternType="solid">
        <fgColor theme="2"/>
        <bgColor indexed="64"/>
      </patternFill>
    </fill>
    <fill>
      <patternFill patternType="lightUp"/>
    </fill>
    <fill>
      <patternFill patternType="solid">
        <fgColor theme="0"/>
        <bgColor indexed="64"/>
      </patternFill>
    </fill>
  </fills>
  <borders count="83">
    <border>
      <left/>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top style="thin">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dotted">
        <color indexed="64"/>
      </right>
      <top/>
      <bottom/>
      <diagonal/>
    </border>
    <border>
      <left/>
      <right style="thin">
        <color indexed="64"/>
      </right>
      <top/>
      <bottom/>
      <diagonal/>
    </border>
    <border>
      <left/>
      <right style="medium">
        <color indexed="64"/>
      </right>
      <top/>
      <bottom/>
      <diagonal/>
    </border>
    <border>
      <left style="medium">
        <color indexed="64"/>
      </left>
      <right style="dotted">
        <color indexed="64"/>
      </right>
      <top/>
      <bottom style="thin">
        <color indexed="64"/>
      </bottom>
      <diagonal/>
    </border>
    <border>
      <left style="medium">
        <color indexed="64"/>
      </left>
      <right style="thin">
        <color indexed="64"/>
      </right>
      <top/>
      <bottom/>
      <diagonal/>
    </border>
    <border>
      <left style="medium">
        <color indexed="64"/>
      </left>
      <right style="dotted">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indexed="64"/>
      </left>
      <right style="thin">
        <color indexed="64"/>
      </right>
      <top/>
      <bottom/>
      <diagonal/>
    </border>
    <border>
      <left style="dotted">
        <color indexed="64"/>
      </left>
      <right style="thin">
        <color indexed="64"/>
      </right>
      <top/>
      <bottom style="medium">
        <color indexed="64"/>
      </bottom>
      <diagonal/>
    </border>
    <border>
      <left/>
      <right style="dotted">
        <color indexed="64"/>
      </right>
      <top/>
      <bottom/>
      <diagonal/>
    </border>
    <border>
      <left style="medium">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style="dotted">
        <color indexed="64"/>
      </right>
      <top style="thin">
        <color indexed="64"/>
      </top>
      <bottom style="thin">
        <color indexed="64"/>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right style="dotted">
        <color indexed="64"/>
      </right>
      <top/>
      <bottom style="thin">
        <color indexed="64"/>
      </bottom>
      <diagonal/>
    </border>
    <border>
      <left/>
      <right style="dotted">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541">
    <xf numFmtId="0" fontId="0" fillId="0" borderId="0" xfId="0"/>
    <xf numFmtId="0" fontId="0" fillId="0" borderId="1" xfId="0" applyBorder="1"/>
    <xf numFmtId="0" fontId="0" fillId="0" borderId="2" xfId="0" applyBorder="1"/>
    <xf numFmtId="0" fontId="0" fillId="2" borderId="3" xfId="0" applyFill="1" applyBorder="1" applyAlignment="1">
      <alignment wrapText="1"/>
    </xf>
    <xf numFmtId="0" fontId="0" fillId="2" borderId="1" xfId="0" applyFill="1" applyBorder="1" applyAlignment="1">
      <alignment wrapText="1"/>
    </xf>
    <xf numFmtId="0" fontId="0" fillId="2" borderId="3" xfId="0" applyFill="1" applyBorder="1"/>
    <xf numFmtId="49" fontId="0" fillId="2" borderId="1" xfId="0" applyNumberFormat="1" applyFill="1" applyBorder="1" applyAlignment="1">
      <alignment wrapText="1"/>
    </xf>
    <xf numFmtId="0" fontId="0" fillId="2" borderId="4" xfId="0" applyFill="1" applyBorder="1"/>
    <xf numFmtId="0" fontId="2" fillId="0" borderId="5" xfId="0" applyFont="1" applyBorder="1"/>
    <xf numFmtId="0" fontId="0" fillId="0" borderId="6" xfId="0" applyBorder="1" applyAlignment="1">
      <alignment horizontal="center" wrapText="1"/>
    </xf>
    <xf numFmtId="0" fontId="0" fillId="0" borderId="7" xfId="0" applyBorder="1" applyAlignment="1">
      <alignment horizontal="center" wrapText="1"/>
    </xf>
    <xf numFmtId="0" fontId="0" fillId="2" borderId="8" xfId="0" applyFill="1" applyBorder="1" applyAlignment="1">
      <alignment horizontal="center" wrapText="1"/>
    </xf>
    <xf numFmtId="0" fontId="0" fillId="2" borderId="9" xfId="0" applyFill="1" applyBorder="1" applyAlignment="1">
      <alignment horizontal="center" wrapText="1"/>
    </xf>
    <xf numFmtId="0" fontId="0" fillId="2" borderId="6" xfId="0" applyFill="1" applyBorder="1" applyAlignment="1">
      <alignment horizontal="center" wrapText="1"/>
    </xf>
    <xf numFmtId="0" fontId="2" fillId="0" borderId="10" xfId="0" applyFont="1" applyBorder="1" applyAlignment="1">
      <alignment wrapText="1"/>
    </xf>
    <xf numFmtId="0" fontId="0" fillId="0" borderId="10" xfId="0" applyBorder="1" applyAlignment="1">
      <alignment horizontal="right" wrapText="1"/>
    </xf>
    <xf numFmtId="0" fontId="0" fillId="3" borderId="6" xfId="0" applyFill="1" applyBorder="1" applyAlignment="1">
      <alignment horizontal="center" wrapText="1"/>
    </xf>
    <xf numFmtId="0" fontId="0" fillId="3" borderId="7" xfId="0" applyFill="1" applyBorder="1" applyAlignment="1">
      <alignment horizontal="center" wrapText="1"/>
    </xf>
    <xf numFmtId="9" fontId="0" fillId="3" borderId="8" xfId="0" applyNumberFormat="1" applyFill="1" applyBorder="1" applyAlignment="1">
      <alignment horizontal="center" wrapText="1"/>
    </xf>
    <xf numFmtId="9" fontId="0" fillId="3" borderId="9" xfId="0" applyNumberFormat="1" applyFill="1" applyBorder="1" applyAlignment="1">
      <alignment horizontal="center" wrapText="1"/>
    </xf>
    <xf numFmtId="9" fontId="0" fillId="3" borderId="6" xfId="0" applyNumberFormat="1" applyFill="1" applyBorder="1" applyAlignment="1">
      <alignment horizontal="center" wrapText="1"/>
    </xf>
    <xf numFmtId="0" fontId="2" fillId="3" borderId="10" xfId="0" applyFont="1" applyFill="1" applyBorder="1" applyAlignment="1"/>
    <xf numFmtId="0" fontId="0" fillId="2" borderId="8" xfId="0" applyNumberFormat="1" applyFill="1" applyBorder="1" applyAlignment="1">
      <alignment horizontal="center" wrapText="1"/>
    </xf>
    <xf numFmtId="0" fontId="0" fillId="2" borderId="9" xfId="0" applyNumberFormat="1" applyFill="1" applyBorder="1" applyAlignment="1">
      <alignment horizontal="center" wrapText="1"/>
    </xf>
    <xf numFmtId="1" fontId="0" fillId="2" borderId="8" xfId="0" applyNumberFormat="1" applyFill="1" applyBorder="1" applyAlignment="1">
      <alignment horizontal="center"/>
    </xf>
    <xf numFmtId="1" fontId="0" fillId="2" borderId="6" xfId="0" applyNumberFormat="1" applyFill="1" applyBorder="1" applyAlignment="1">
      <alignment horizontal="center"/>
    </xf>
    <xf numFmtId="1" fontId="0" fillId="2" borderId="9" xfId="0" applyNumberFormat="1" applyFill="1" applyBorder="1" applyAlignment="1">
      <alignment horizontal="center"/>
    </xf>
    <xf numFmtId="0" fontId="2" fillId="0" borderId="10" xfId="0" applyFont="1" applyFill="1" applyBorder="1" applyAlignment="1">
      <alignment horizontal="left"/>
    </xf>
    <xf numFmtId="0" fontId="0" fillId="0" borderId="10" xfId="0" applyFill="1" applyBorder="1" applyAlignment="1">
      <alignment horizontal="right"/>
    </xf>
    <xf numFmtId="1" fontId="0" fillId="2" borderId="8" xfId="0" applyNumberFormat="1" applyFill="1" applyBorder="1" applyAlignment="1">
      <alignment horizontal="center" wrapText="1"/>
    </xf>
    <xf numFmtId="9" fontId="0" fillId="2" borderId="6" xfId="0" applyNumberFormat="1" applyFill="1" applyBorder="1" applyAlignment="1">
      <alignment horizontal="center" wrapText="1"/>
    </xf>
    <xf numFmtId="9" fontId="0" fillId="2" borderId="9" xfId="0" applyNumberFormat="1" applyFill="1" applyBorder="1" applyAlignment="1">
      <alignment horizontal="center" wrapText="1"/>
    </xf>
    <xf numFmtId="0" fontId="0" fillId="2" borderId="0" xfId="0" applyFill="1" applyBorder="1"/>
    <xf numFmtId="0" fontId="0" fillId="3" borderId="8" xfId="0" applyFill="1" applyBorder="1" applyAlignment="1">
      <alignment horizontal="center" wrapText="1"/>
    </xf>
    <xf numFmtId="0" fontId="0" fillId="3" borderId="9" xfId="0" applyFill="1" applyBorder="1" applyAlignment="1">
      <alignment horizontal="center" wrapText="1"/>
    </xf>
    <xf numFmtId="0" fontId="2" fillId="3" borderId="10" xfId="0" applyFont="1" applyFill="1" applyBorder="1" applyAlignment="1">
      <alignment horizontal="left"/>
    </xf>
    <xf numFmtId="0" fontId="3" fillId="0" borderId="10" xfId="0" applyFont="1" applyBorder="1" applyAlignment="1">
      <alignment horizontal="right"/>
    </xf>
    <xf numFmtId="1" fontId="0" fillId="2" borderId="9" xfId="0" applyNumberFormat="1" applyFill="1" applyBorder="1" applyAlignment="1">
      <alignment horizontal="center" wrapText="1"/>
    </xf>
    <xf numFmtId="9" fontId="0" fillId="2" borderId="8" xfId="1" applyFont="1" applyFill="1" applyBorder="1" applyAlignment="1">
      <alignment horizontal="center" wrapText="1"/>
    </xf>
    <xf numFmtId="9" fontId="0" fillId="2" borderId="9" xfId="1" applyFont="1" applyFill="1" applyBorder="1" applyAlignment="1">
      <alignment horizontal="center" wrapText="1"/>
    </xf>
    <xf numFmtId="0" fontId="2" fillId="3" borderId="10" xfId="0" applyFont="1" applyFill="1" applyBorder="1"/>
    <xf numFmtId="0" fontId="0" fillId="0" borderId="11" xfId="0" applyBorder="1" applyAlignment="1">
      <alignment wrapText="1"/>
    </xf>
    <xf numFmtId="0" fontId="0" fillId="0" borderId="12" xfId="0" applyBorder="1" applyAlignment="1">
      <alignment wrapText="1"/>
    </xf>
    <xf numFmtId="0" fontId="0" fillId="2" borderId="13" xfId="0" applyFill="1" applyBorder="1" applyAlignment="1">
      <alignment horizontal="center" wrapText="1"/>
    </xf>
    <xf numFmtId="0" fontId="0" fillId="2" borderId="14" xfId="0" applyFill="1" applyBorder="1" applyAlignment="1">
      <alignment horizontal="center" wrapText="1"/>
    </xf>
    <xf numFmtId="0" fontId="0" fillId="2" borderId="15" xfId="0" applyFill="1" applyBorder="1" applyAlignment="1">
      <alignment horizontal="center" wrapText="1"/>
    </xf>
    <xf numFmtId="0" fontId="0" fillId="2" borderId="11" xfId="0" applyFill="1" applyBorder="1" applyAlignment="1">
      <alignment horizontal="center" wrapText="1"/>
    </xf>
    <xf numFmtId="0" fontId="0" fillId="2" borderId="16" xfId="0" applyFill="1" applyBorder="1" applyAlignment="1">
      <alignment horizontal="center" wrapText="1"/>
    </xf>
    <xf numFmtId="49" fontId="2" fillId="0" borderId="17" xfId="0" applyNumberFormat="1" applyFont="1" applyBorder="1" applyAlignment="1">
      <alignment horizontal="left" wrapText="1"/>
    </xf>
    <xf numFmtId="0" fontId="3" fillId="4" borderId="18" xfId="0" applyFont="1" applyFill="1" applyBorder="1" applyAlignment="1">
      <alignment horizontal="center" wrapText="1"/>
    </xf>
    <xf numFmtId="0" fontId="3" fillId="5" borderId="19" xfId="0" applyFont="1" applyFill="1" applyBorder="1" applyAlignment="1">
      <alignment horizontal="center" wrapText="1"/>
    </xf>
    <xf numFmtId="0" fontId="3" fillId="5" borderId="20" xfId="0" applyFont="1" applyFill="1" applyBorder="1" applyAlignment="1">
      <alignment horizontal="center" wrapText="1"/>
    </xf>
    <xf numFmtId="0" fontId="4" fillId="6" borderId="19" xfId="0" applyFont="1" applyFill="1" applyBorder="1" applyAlignment="1">
      <alignment horizontal="center" wrapText="1"/>
    </xf>
    <xf numFmtId="0" fontId="0" fillId="6" borderId="21" xfId="0" applyFill="1" applyBorder="1" applyAlignment="1">
      <alignment horizontal="center" wrapText="1"/>
    </xf>
    <xf numFmtId="0" fontId="4" fillId="6" borderId="22" xfId="0" applyFont="1" applyFill="1" applyBorder="1" applyAlignment="1">
      <alignment horizontal="center" wrapText="1"/>
    </xf>
    <xf numFmtId="0" fontId="2" fillId="0" borderId="22" xfId="0" applyFont="1" applyBorder="1" applyAlignment="1">
      <alignment horizontal="left"/>
    </xf>
    <xf numFmtId="0" fontId="0" fillId="0" borderId="25" xfId="0" applyBorder="1"/>
    <xf numFmtId="0" fontId="5" fillId="3" borderId="1" xfId="0" applyFont="1" applyFill="1" applyBorder="1" applyAlignment="1">
      <alignment horizontal="center" wrapText="1"/>
    </xf>
    <xf numFmtId="0" fontId="2" fillId="3" borderId="1" xfId="0" applyFont="1" applyFill="1" applyBorder="1" applyAlignment="1">
      <alignment horizontal="center" wrapText="1"/>
    </xf>
    <xf numFmtId="0" fontId="6" fillId="0" borderId="11" xfId="0" applyFont="1" applyBorder="1" applyAlignment="1">
      <alignment horizontal="center" wrapText="1"/>
    </xf>
    <xf numFmtId="0" fontId="3" fillId="0" borderId="11" xfId="0" applyFont="1" applyBorder="1" applyAlignment="1">
      <alignment horizontal="center" wrapText="1"/>
    </xf>
    <xf numFmtId="0" fontId="2" fillId="0" borderId="11" xfId="0" applyFont="1" applyBorder="1" applyAlignment="1">
      <alignment vertical="top" wrapText="1"/>
    </xf>
    <xf numFmtId="0" fontId="0" fillId="0" borderId="11" xfId="0" applyBorder="1"/>
    <xf numFmtId="0" fontId="6" fillId="0" borderId="6" xfId="0" applyFont="1" applyBorder="1" applyAlignment="1">
      <alignment horizontal="center" wrapText="1"/>
    </xf>
    <xf numFmtId="0" fontId="3" fillId="0" borderId="6" xfId="0" applyFont="1" applyBorder="1" applyAlignment="1">
      <alignment horizontal="center" wrapText="1"/>
    </xf>
    <xf numFmtId="0" fontId="2" fillId="0" borderId="6" xfId="0" applyFont="1" applyBorder="1" applyAlignment="1">
      <alignment vertical="top" wrapText="1"/>
    </xf>
    <xf numFmtId="0" fontId="0" fillId="0" borderId="6" xfId="0" applyBorder="1"/>
    <xf numFmtId="0" fontId="8" fillId="0" borderId="28" xfId="0" applyFont="1" applyBorder="1"/>
    <xf numFmtId="0" fontId="0" fillId="0" borderId="28" xfId="0" applyBorder="1"/>
    <xf numFmtId="0" fontId="0" fillId="0" borderId="0" xfId="0" applyFill="1" applyBorder="1" applyAlignment="1">
      <alignment horizontal="center"/>
    </xf>
    <xf numFmtId="0" fontId="0" fillId="0" borderId="0" xfId="0" applyBorder="1" applyAlignment="1">
      <alignment horizontal="center" wrapText="1"/>
    </xf>
    <xf numFmtId="0" fontId="3" fillId="0" borderId="29" xfId="0" applyFont="1" applyBorder="1"/>
    <xf numFmtId="0" fontId="0" fillId="0" borderId="30" xfId="0" applyBorder="1" applyAlignment="1">
      <alignment horizontal="center"/>
    </xf>
    <xf numFmtId="0" fontId="3" fillId="0" borderId="4" xfId="0" applyFont="1" applyBorder="1"/>
    <xf numFmtId="0" fontId="0" fillId="0" borderId="3" xfId="0" applyBorder="1" applyAlignment="1">
      <alignment horizontal="center"/>
    </xf>
    <xf numFmtId="0" fontId="0" fillId="0" borderId="38" xfId="0" applyBorder="1" applyAlignment="1">
      <alignment horizontal="center"/>
    </xf>
    <xf numFmtId="0" fontId="0" fillId="0" borderId="11" xfId="0" applyBorder="1" applyAlignment="1">
      <alignment horizontal="center"/>
    </xf>
    <xf numFmtId="0" fontId="0" fillId="0" borderId="30" xfId="0" applyBorder="1" applyAlignment="1">
      <alignment wrapText="1"/>
    </xf>
    <xf numFmtId="0" fontId="0" fillId="0" borderId="41" xfId="0" applyBorder="1" applyAlignment="1">
      <alignment horizontal="center"/>
    </xf>
    <xf numFmtId="0" fontId="0" fillId="0" borderId="3" xfId="0" applyBorder="1" applyAlignment="1">
      <alignment wrapText="1"/>
    </xf>
    <xf numFmtId="0" fontId="2" fillId="3" borderId="29" xfId="0" applyFont="1" applyFill="1" applyBorder="1"/>
    <xf numFmtId="0" fontId="2" fillId="3" borderId="38" xfId="0" applyFont="1" applyFill="1" applyBorder="1"/>
    <xf numFmtId="0" fontId="2" fillId="3" borderId="38" xfId="0" applyFont="1" applyFill="1" applyBorder="1" applyAlignment="1">
      <alignment horizontal="center" wrapText="1"/>
    </xf>
    <xf numFmtId="0" fontId="0" fillId="3" borderId="30" xfId="0" applyFill="1" applyBorder="1" applyAlignment="1">
      <alignment wrapText="1"/>
    </xf>
    <xf numFmtId="0" fontId="0" fillId="0" borderId="9" xfId="0" applyBorder="1"/>
    <xf numFmtId="0" fontId="0" fillId="0" borderId="6" xfId="0" applyBorder="1" applyAlignment="1">
      <alignment horizontal="center"/>
    </xf>
    <xf numFmtId="0" fontId="0" fillId="3" borderId="8" xfId="0" applyFill="1"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42" xfId="0" applyBorder="1" applyAlignment="1">
      <alignment horizontal="center"/>
    </xf>
    <xf numFmtId="0" fontId="0" fillId="0" borderId="6" xfId="0" applyFill="1" applyBorder="1" applyAlignment="1">
      <alignment horizontal="center"/>
    </xf>
    <xf numFmtId="0" fontId="3" fillId="0" borderId="6" xfId="0" applyFont="1" applyFill="1" applyBorder="1" applyAlignment="1">
      <alignment horizontal="center"/>
    </xf>
    <xf numFmtId="0" fontId="2" fillId="0" borderId="10" xfId="0" applyFont="1" applyBorder="1"/>
    <xf numFmtId="0" fontId="0" fillId="0" borderId="7" xfId="0" applyBorder="1"/>
    <xf numFmtId="0" fontId="2" fillId="0" borderId="6" xfId="0" applyFont="1" applyBorder="1" applyAlignment="1">
      <alignment horizontal="center"/>
    </xf>
    <xf numFmtId="0" fontId="2" fillId="0" borderId="9" xfId="0" applyFont="1" applyBorder="1"/>
    <xf numFmtId="0" fontId="2" fillId="0" borderId="6" xfId="0" applyFont="1" applyBorder="1"/>
    <xf numFmtId="164" fontId="2" fillId="0" borderId="6" xfId="0" applyNumberFormat="1" applyFont="1" applyBorder="1" applyAlignment="1">
      <alignment horizontal="center"/>
    </xf>
    <xf numFmtId="0" fontId="2" fillId="3" borderId="8" xfId="0" applyFont="1" applyFill="1" applyBorder="1" applyAlignment="1">
      <alignment wrapText="1"/>
    </xf>
    <xf numFmtId="0" fontId="2" fillId="3" borderId="9" xfId="0" applyFont="1" applyFill="1" applyBorder="1"/>
    <xf numFmtId="0" fontId="2" fillId="3" borderId="6" xfId="0" applyFont="1" applyFill="1" applyBorder="1"/>
    <xf numFmtId="0" fontId="2" fillId="3" borderId="6" xfId="0" applyFont="1" applyFill="1" applyBorder="1" applyAlignment="1">
      <alignment horizontal="center"/>
    </xf>
    <xf numFmtId="0" fontId="0" fillId="0" borderId="8" xfId="0" applyFill="1" applyBorder="1" applyAlignment="1">
      <alignment wrapText="1"/>
    </xf>
    <xf numFmtId="0" fontId="3" fillId="0" borderId="9" xfId="0" applyFont="1" applyBorder="1"/>
    <xf numFmtId="0" fontId="3" fillId="0" borderId="10" xfId="0" applyFont="1" applyBorder="1"/>
    <xf numFmtId="0" fontId="3" fillId="0" borderId="7" xfId="0" applyFont="1" applyBorder="1"/>
    <xf numFmtId="165" fontId="3" fillId="0" borderId="6" xfId="0" applyNumberFormat="1" applyFont="1" applyBorder="1" applyAlignment="1">
      <alignment horizontal="center"/>
    </xf>
    <xf numFmtId="0" fontId="3" fillId="0" borderId="8" xfId="0" applyFont="1" applyBorder="1" applyAlignment="1">
      <alignment wrapText="1"/>
    </xf>
    <xf numFmtId="0" fontId="3" fillId="0" borderId="6" xfId="0" applyFont="1" applyBorder="1"/>
    <xf numFmtId="0" fontId="3" fillId="0" borderId="6" xfId="0" applyFont="1" applyBorder="1" applyAlignment="1">
      <alignment horizontal="center"/>
    </xf>
    <xf numFmtId="165" fontId="2" fillId="0" borderId="6" xfId="0" applyNumberFormat="1" applyFont="1" applyBorder="1" applyAlignment="1">
      <alignment horizontal="center"/>
    </xf>
    <xf numFmtId="0" fontId="2" fillId="0" borderId="4" xfId="0" applyFont="1" applyBorder="1"/>
    <xf numFmtId="164" fontId="0" fillId="0" borderId="1" xfId="0" applyNumberFormat="1" applyBorder="1"/>
    <xf numFmtId="164" fontId="2" fillId="0" borderId="1" xfId="0" applyNumberFormat="1" applyFont="1" applyBorder="1" applyAlignment="1">
      <alignment horizontal="center"/>
    </xf>
    <xf numFmtId="164" fontId="0" fillId="3" borderId="3" xfId="0" applyNumberFormat="1" applyFill="1" applyBorder="1" applyAlignment="1">
      <alignment wrapText="1"/>
    </xf>
    <xf numFmtId="0" fontId="5" fillId="0" borderId="0" xfId="0" applyFont="1"/>
    <xf numFmtId="0" fontId="5" fillId="0" borderId="0" xfId="0" applyFont="1" applyFill="1" applyBorder="1" applyAlignment="1">
      <alignment horizontal="center" wrapText="1"/>
    </xf>
    <xf numFmtId="0" fontId="0" fillId="3" borderId="1" xfId="0" applyFill="1" applyBorder="1"/>
    <xf numFmtId="0" fontId="6" fillId="0" borderId="11" xfId="0" applyFont="1" applyBorder="1" applyAlignment="1">
      <alignment horizontal="left" wrapText="1"/>
    </xf>
    <xf numFmtId="0" fontId="6" fillId="0" borderId="41" xfId="0" applyFont="1" applyFill="1" applyBorder="1" applyAlignment="1">
      <alignment horizontal="left" wrapText="1"/>
    </xf>
    <xf numFmtId="0" fontId="6" fillId="0" borderId="41" xfId="0" applyFont="1" applyFill="1" applyBorder="1" applyAlignment="1">
      <alignment horizontal="center" wrapText="1"/>
    </xf>
    <xf numFmtId="0" fontId="6" fillId="3" borderId="41" xfId="0" applyFont="1" applyFill="1" applyBorder="1" applyAlignment="1">
      <alignment horizontal="left" wrapText="1"/>
    </xf>
    <xf numFmtId="0" fontId="6" fillId="0" borderId="6" xfId="0" applyFont="1" applyBorder="1" applyAlignment="1">
      <alignment horizontal="left" wrapText="1"/>
    </xf>
    <xf numFmtId="0" fontId="5" fillId="3" borderId="6" xfId="0" applyFont="1" applyFill="1" applyBorder="1" applyAlignment="1">
      <alignment horizontal="left" wrapText="1"/>
    </xf>
    <xf numFmtId="0" fontId="6" fillId="3" borderId="6" xfId="0" applyFont="1" applyFill="1" applyBorder="1" applyAlignment="1">
      <alignment horizontal="center" wrapText="1"/>
    </xf>
    <xf numFmtId="0" fontId="2" fillId="3" borderId="6" xfId="0" applyFont="1" applyFill="1" applyBorder="1" applyAlignment="1">
      <alignment horizontal="center" wrapText="1"/>
    </xf>
    <xf numFmtId="0" fontId="3" fillId="3" borderId="6" xfId="0" applyFont="1" applyFill="1" applyBorder="1" applyAlignment="1">
      <alignment horizontal="center" wrapText="1"/>
    </xf>
    <xf numFmtId="0" fontId="2" fillId="3" borderId="6" xfId="0" applyFont="1" applyFill="1" applyBorder="1" applyAlignment="1">
      <alignment vertical="top" wrapText="1"/>
    </xf>
    <xf numFmtId="0" fontId="0" fillId="3" borderId="6" xfId="0" applyFill="1" applyBorder="1"/>
    <xf numFmtId="0" fontId="6" fillId="0" borderId="6" xfId="0" applyFont="1" applyFill="1" applyBorder="1" applyAlignment="1">
      <alignment horizontal="left" wrapText="1"/>
    </xf>
    <xf numFmtId="0" fontId="6" fillId="0" borderId="6" xfId="0" applyFont="1" applyFill="1" applyBorder="1" applyAlignment="1">
      <alignment horizontal="center" wrapText="1"/>
    </xf>
    <xf numFmtId="0" fontId="3" fillId="0" borderId="0" xfId="0" applyFont="1"/>
    <xf numFmtId="0" fontId="11" fillId="0" borderId="0" xfId="0" applyFont="1"/>
    <xf numFmtId="0" fontId="1" fillId="0" borderId="0" xfId="0" applyFont="1"/>
    <xf numFmtId="0" fontId="11" fillId="0" borderId="29" xfId="0" applyFont="1" applyBorder="1" applyAlignment="1">
      <alignment horizontal="center" wrapText="1"/>
    </xf>
    <xf numFmtId="0" fontId="11" fillId="0" borderId="38" xfId="0" applyFont="1" applyBorder="1" applyAlignment="1">
      <alignment horizontal="center" wrapText="1"/>
    </xf>
    <xf numFmtId="0" fontId="11" fillId="0" borderId="30" xfId="0" applyFont="1" applyBorder="1" applyAlignment="1">
      <alignment horizontal="center" wrapText="1"/>
    </xf>
    <xf numFmtId="0" fontId="11" fillId="0" borderId="0" xfId="0" applyFont="1" applyFill="1" applyBorder="1" applyAlignment="1">
      <alignment horizontal="center"/>
    </xf>
    <xf numFmtId="0" fontId="1" fillId="0" borderId="0" xfId="0" applyFont="1" applyFill="1" applyBorder="1" applyAlignment="1">
      <alignment horizontal="left"/>
    </xf>
    <xf numFmtId="164" fontId="1" fillId="0" borderId="29" xfId="0" applyNumberFormat="1" applyFont="1" applyFill="1" applyBorder="1" applyAlignment="1">
      <alignment horizontal="left" wrapText="1"/>
    </xf>
    <xf numFmtId="0" fontId="1" fillId="0" borderId="0" xfId="0" quotePrefix="1" applyFont="1" applyAlignment="1">
      <alignment horizontal="center"/>
    </xf>
    <xf numFmtId="9" fontId="1" fillId="0" borderId="42" xfId="1" applyFont="1" applyFill="1" applyBorder="1" applyAlignment="1">
      <alignment horizontal="center"/>
    </xf>
    <xf numFmtId="9" fontId="1" fillId="0" borderId="49" xfId="0" applyNumberFormat="1" applyFont="1" applyFill="1" applyBorder="1" applyAlignment="1">
      <alignment horizontal="center"/>
    </xf>
    <xf numFmtId="9" fontId="3" fillId="0" borderId="0" xfId="0" applyNumberFormat="1" applyFont="1"/>
    <xf numFmtId="0" fontId="0" fillId="0" borderId="0" xfId="0" applyAlignment="1">
      <alignment horizontal="left"/>
    </xf>
    <xf numFmtId="0" fontId="11" fillId="7" borderId="29" xfId="0" applyFont="1" applyFill="1" applyBorder="1" applyAlignment="1">
      <alignment horizontal="center"/>
    </xf>
    <xf numFmtId="0" fontId="1" fillId="7" borderId="38" xfId="0" applyFont="1" applyFill="1" applyBorder="1" applyAlignment="1">
      <alignment horizontal="left"/>
    </xf>
    <xf numFmtId="164" fontId="1" fillId="7" borderId="6" xfId="0" applyNumberFormat="1" applyFont="1" applyFill="1" applyBorder="1" applyAlignment="1">
      <alignment horizontal="center"/>
    </xf>
    <xf numFmtId="164" fontId="1" fillId="7" borderId="8" xfId="0" applyNumberFormat="1" applyFont="1" applyFill="1" applyBorder="1" applyAlignment="1">
      <alignment horizontal="center"/>
    </xf>
    <xf numFmtId="0" fontId="2" fillId="0" borderId="0" xfId="0" applyFont="1"/>
    <xf numFmtId="0" fontId="14" fillId="0" borderId="0" xfId="0" applyFont="1" applyAlignment="1">
      <alignment horizontal="center"/>
    </xf>
    <xf numFmtId="0" fontId="11" fillId="0" borderId="9" xfId="0" applyFont="1" applyBorder="1" applyAlignment="1">
      <alignment horizontal="center"/>
    </xf>
    <xf numFmtId="0" fontId="1" fillId="0" borderId="6" xfId="0" applyFont="1" applyBorder="1"/>
    <xf numFmtId="0" fontId="3" fillId="0" borderId="0" xfId="0" applyFont="1" applyAlignment="1">
      <alignment horizontal="left"/>
    </xf>
    <xf numFmtId="0" fontId="3" fillId="0" borderId="0" xfId="0" applyFont="1" applyAlignment="1">
      <alignment horizontal="center"/>
    </xf>
    <xf numFmtId="0" fontId="0" fillId="0" borderId="0" xfId="0" applyAlignment="1">
      <alignment horizontal="center"/>
    </xf>
    <xf numFmtId="0" fontId="1" fillId="0" borderId="6" xfId="0" applyFont="1" applyBorder="1" applyAlignment="1">
      <alignment horizontal="left"/>
    </xf>
    <xf numFmtId="0" fontId="1" fillId="0" borderId="6" xfId="0" applyFont="1" applyBorder="1" applyAlignment="1">
      <alignment horizontal="left" wrapText="1"/>
    </xf>
    <xf numFmtId="166" fontId="1" fillId="0" borderId="6" xfId="0" applyNumberFormat="1" applyFont="1" applyFill="1" applyBorder="1" applyAlignment="1">
      <alignment horizontal="center"/>
    </xf>
    <xf numFmtId="166" fontId="1" fillId="0" borderId="26" xfId="0" applyNumberFormat="1" applyFont="1" applyFill="1" applyBorder="1" applyAlignment="1">
      <alignment horizontal="center"/>
    </xf>
    <xf numFmtId="166" fontId="1" fillId="0" borderId="8" xfId="0" applyNumberFormat="1" applyFont="1" applyFill="1" applyBorder="1" applyAlignment="1">
      <alignment horizontal="center"/>
    </xf>
    <xf numFmtId="0" fontId="11" fillId="0" borderId="9" xfId="0" applyFont="1" applyBorder="1" applyAlignment="1">
      <alignment horizontal="right"/>
    </xf>
    <xf numFmtId="0" fontId="15" fillId="0" borderId="6" xfId="0" applyFont="1" applyBorder="1" applyAlignment="1">
      <alignment horizontal="left" indent="1"/>
    </xf>
    <xf numFmtId="164" fontId="1" fillId="0" borderId="8" xfId="0" applyNumberFormat="1" applyFont="1" applyFill="1" applyBorder="1" applyAlignment="1" applyProtection="1">
      <alignment horizontal="center"/>
      <protection locked="0" hidden="1"/>
    </xf>
    <xf numFmtId="0" fontId="15" fillId="0" borderId="6" xfId="0" applyFont="1" applyBorder="1" applyAlignment="1">
      <alignment horizontal="left" wrapText="1" indent="1"/>
    </xf>
    <xf numFmtId="4" fontId="1" fillId="0" borderId="8" xfId="0" applyNumberFormat="1" applyFont="1" applyFill="1" applyBorder="1" applyAlignment="1" applyProtection="1">
      <alignment horizontal="center"/>
      <protection locked="0" hidden="1"/>
    </xf>
    <xf numFmtId="9" fontId="1" fillId="0" borderId="8" xfId="0" applyNumberFormat="1" applyFont="1" applyFill="1" applyBorder="1" applyAlignment="1" applyProtection="1">
      <alignment horizontal="center"/>
      <protection locked="0" hidden="1"/>
    </xf>
    <xf numFmtId="0" fontId="1" fillId="0" borderId="6" xfId="0" applyFont="1" applyBorder="1" applyAlignment="1">
      <alignment wrapText="1"/>
    </xf>
    <xf numFmtId="0" fontId="11" fillId="0" borderId="16" xfId="0" applyFont="1" applyBorder="1" applyAlignment="1">
      <alignment horizontal="center"/>
    </xf>
    <xf numFmtId="0" fontId="1" fillId="0" borderId="11" xfId="0" applyFont="1" applyFill="1" applyBorder="1" applyAlignment="1">
      <alignment wrapText="1"/>
    </xf>
    <xf numFmtId="0" fontId="11" fillId="7" borderId="9" xfId="0" applyFont="1" applyFill="1" applyBorder="1" applyAlignment="1">
      <alignment horizontal="center"/>
    </xf>
    <xf numFmtId="0" fontId="1" fillId="7" borderId="6" xfId="0" applyFont="1" applyFill="1" applyBorder="1" applyAlignment="1">
      <alignment wrapText="1"/>
    </xf>
    <xf numFmtId="0" fontId="11" fillId="0" borderId="9" xfId="0" applyFont="1" applyFill="1" applyBorder="1" applyAlignment="1">
      <alignment horizontal="right"/>
    </xf>
    <xf numFmtId="0" fontId="15" fillId="0" borderId="6" xfId="0" applyFont="1" applyFill="1" applyBorder="1" applyAlignment="1">
      <alignment horizontal="left" wrapText="1" indent="1"/>
    </xf>
    <xf numFmtId="0" fontId="1" fillId="0" borderId="6" xfId="0" applyFont="1" applyFill="1" applyBorder="1"/>
    <xf numFmtId="0" fontId="1" fillId="0" borderId="6" xfId="0" applyFont="1" applyFill="1" applyBorder="1" applyAlignment="1">
      <alignment wrapText="1"/>
    </xf>
    <xf numFmtId="0" fontId="3" fillId="0" borderId="0" xfId="0" applyFont="1" applyFill="1" applyBorder="1"/>
    <xf numFmtId="0" fontId="16" fillId="0" borderId="0" xfId="0" applyFont="1" applyAlignment="1">
      <alignment horizontal="center"/>
    </xf>
    <xf numFmtId="0" fontId="11" fillId="0" borderId="4" xfId="0" applyFont="1" applyFill="1" applyBorder="1" applyAlignment="1">
      <alignment horizontal="right"/>
    </xf>
    <xf numFmtId="0" fontId="15" fillId="0" borderId="1" xfId="0" applyFont="1" applyFill="1" applyBorder="1" applyAlignment="1">
      <alignment horizontal="left" wrapText="1" indent="1"/>
    </xf>
    <xf numFmtId="1" fontId="0" fillId="0" borderId="0" xfId="0" applyNumberFormat="1"/>
    <xf numFmtId="2" fontId="0" fillId="0" borderId="0" xfId="0" applyNumberFormat="1"/>
    <xf numFmtId="0" fontId="2" fillId="0" borderId="0" xfId="0" applyFont="1" applyFill="1" applyBorder="1" applyAlignment="1">
      <alignment horizontal="center" wrapText="1"/>
    </xf>
    <xf numFmtId="170" fontId="0" fillId="0" borderId="0" xfId="0" applyNumberFormat="1" applyFill="1" applyBorder="1" applyAlignment="1">
      <alignment horizontal="center"/>
    </xf>
    <xf numFmtId="171" fontId="0" fillId="0" borderId="0" xfId="0" applyNumberFormat="1" applyFill="1" applyBorder="1" applyAlignment="1">
      <alignment horizontal="center"/>
    </xf>
    <xf numFmtId="171" fontId="3" fillId="0" borderId="0" xfId="0" applyNumberFormat="1" applyFont="1" applyFill="1" applyBorder="1" applyAlignment="1">
      <alignment horizontal="center"/>
    </xf>
    <xf numFmtId="0" fontId="8" fillId="0" borderId="0" xfId="0" applyFont="1" applyBorder="1"/>
    <xf numFmtId="0" fontId="0" fillId="0" borderId="0" xfId="0" applyBorder="1"/>
    <xf numFmtId="0" fontId="5" fillId="0" borderId="0" xfId="0" applyFont="1" applyBorder="1"/>
    <xf numFmtId="0" fontId="2" fillId="0" borderId="52" xfId="0" applyFont="1" applyBorder="1"/>
    <xf numFmtId="0" fontId="2" fillId="0" borderId="53" xfId="0" applyFont="1" applyBorder="1" applyAlignment="1">
      <alignment horizontal="center"/>
    </xf>
    <xf numFmtId="0" fontId="2" fillId="0" borderId="54" xfId="0" applyFont="1" applyBorder="1" applyAlignment="1">
      <alignment horizontal="center"/>
    </xf>
    <xf numFmtId="0" fontId="3" fillId="0" borderId="17" xfId="0" applyFont="1" applyBorder="1"/>
    <xf numFmtId="0" fontId="0" fillId="0" borderId="12" xfId="0" applyBorder="1"/>
    <xf numFmtId="0" fontId="2" fillId="0" borderId="0" xfId="0" applyFont="1" applyBorder="1" applyAlignment="1">
      <alignment wrapText="1"/>
    </xf>
    <xf numFmtId="0" fontId="0" fillId="0" borderId="0" xfId="0" applyAlignment="1">
      <alignment wrapText="1"/>
    </xf>
    <xf numFmtId="0" fontId="2" fillId="0" borderId="0" xfId="0" applyFont="1" applyBorder="1" applyAlignment="1">
      <alignment horizontal="center" wrapText="1"/>
    </xf>
    <xf numFmtId="0" fontId="0" fillId="0" borderId="27" xfId="0" applyBorder="1"/>
    <xf numFmtId="0" fontId="0" fillId="0" borderId="26" xfId="0" applyBorder="1" applyAlignment="1">
      <alignment horizontal="center"/>
    </xf>
    <xf numFmtId="0" fontId="0" fillId="0" borderId="8" xfId="0" applyBorder="1" applyAlignment="1">
      <alignment horizontal="center"/>
    </xf>
    <xf numFmtId="0" fontId="0" fillId="0" borderId="7" xfId="0" applyBorder="1" applyAlignment="1"/>
    <xf numFmtId="0" fontId="0" fillId="0" borderId="27" xfId="0" applyBorder="1" applyAlignment="1"/>
    <xf numFmtId="0" fontId="0" fillId="0" borderId="50" xfId="0" applyBorder="1" applyAlignment="1"/>
    <xf numFmtId="9" fontId="3" fillId="0" borderId="27" xfId="1" applyFont="1" applyBorder="1" applyAlignment="1">
      <alignment horizontal="left"/>
    </xf>
    <xf numFmtId="0" fontId="2" fillId="0" borderId="7" xfId="0" applyFont="1" applyBorder="1"/>
    <xf numFmtId="164" fontId="2" fillId="0" borderId="26" xfId="0" applyNumberFormat="1" applyFont="1" applyBorder="1" applyAlignment="1">
      <alignment horizontal="center"/>
    </xf>
    <xf numFmtId="164" fontId="2" fillId="0" borderId="8" xfId="0" applyNumberFormat="1" applyFont="1" applyBorder="1" applyAlignment="1">
      <alignment horizontal="center"/>
    </xf>
    <xf numFmtId="0" fontId="2" fillId="3" borderId="7" xfId="0" applyFont="1" applyFill="1" applyBorder="1"/>
    <xf numFmtId="0" fontId="0" fillId="0" borderId="0" xfId="0" applyBorder="1" applyAlignment="1">
      <alignment horizontal="left" wrapText="1"/>
    </xf>
    <xf numFmtId="0" fontId="2" fillId="0" borderId="0" xfId="0" applyFont="1" applyAlignment="1">
      <alignment wrapText="1"/>
    </xf>
    <xf numFmtId="2" fontId="0" fillId="0" borderId="6" xfId="0" applyNumberFormat="1" applyBorder="1" applyAlignment="1">
      <alignment horizontal="center"/>
    </xf>
    <xf numFmtId="2" fontId="0" fillId="0" borderId="26" xfId="0" applyNumberFormat="1" applyBorder="1" applyAlignment="1">
      <alignment horizontal="center"/>
    </xf>
    <xf numFmtId="2" fontId="0" fillId="0" borderId="8" xfId="0" applyNumberFormat="1" applyBorder="1" applyAlignment="1">
      <alignment horizontal="center"/>
    </xf>
    <xf numFmtId="0" fontId="0" fillId="0" borderId="0" xfId="0" applyAlignment="1"/>
    <xf numFmtId="0" fontId="2" fillId="0" borderId="40" xfId="0" applyFont="1" applyBorder="1"/>
    <xf numFmtId="164" fontId="2" fillId="0" borderId="41" xfId="0" applyNumberFormat="1" applyFont="1" applyBorder="1" applyAlignment="1">
      <alignment horizontal="center"/>
    </xf>
    <xf numFmtId="164" fontId="2" fillId="0" borderId="56" xfId="0" applyNumberFormat="1" applyFont="1" applyBorder="1" applyAlignment="1">
      <alignment horizontal="center"/>
    </xf>
    <xf numFmtId="0" fontId="17" fillId="4" borderId="5" xfId="0" applyFont="1" applyFill="1" applyBorder="1"/>
    <xf numFmtId="0" fontId="17" fillId="4" borderId="2" xfId="0" applyFont="1" applyFill="1" applyBorder="1"/>
    <xf numFmtId="164" fontId="17" fillId="4" borderId="1" xfId="0" applyNumberFormat="1" applyFont="1" applyFill="1" applyBorder="1" applyAlignment="1">
      <alignment horizontal="center"/>
    </xf>
    <xf numFmtId="164" fontId="17" fillId="4" borderId="3" xfId="0" applyNumberFormat="1" applyFont="1" applyFill="1" applyBorder="1" applyAlignment="1">
      <alignment horizontal="center"/>
    </xf>
    <xf numFmtId="0" fontId="17" fillId="0" borderId="57" xfId="0" applyFont="1" applyFill="1" applyBorder="1"/>
    <xf numFmtId="0" fontId="17" fillId="0" borderId="0" xfId="0" applyFont="1" applyFill="1" applyBorder="1"/>
    <xf numFmtId="164" fontId="17" fillId="0" borderId="0" xfId="0" applyNumberFormat="1" applyFont="1" applyFill="1" applyBorder="1" applyAlignment="1">
      <alignment horizontal="center"/>
    </xf>
    <xf numFmtId="0" fontId="0" fillId="0" borderId="0" xfId="0" applyFill="1" applyAlignment="1">
      <alignment wrapText="1"/>
    </xf>
    <xf numFmtId="0" fontId="0" fillId="0" borderId="0" xfId="0" applyFill="1"/>
    <xf numFmtId="0" fontId="0" fillId="0" borderId="52" xfId="0" applyBorder="1"/>
    <xf numFmtId="0" fontId="2" fillId="0" borderId="58" xfId="0" applyFont="1" applyBorder="1" applyAlignment="1">
      <alignment horizontal="center"/>
    </xf>
    <xf numFmtId="0" fontId="2" fillId="0" borderId="59" xfId="0" applyFont="1" applyBorder="1" applyAlignment="1">
      <alignment horizontal="center"/>
    </xf>
    <xf numFmtId="0" fontId="2" fillId="0" borderId="0" xfId="0" applyFont="1" applyFill="1" applyBorder="1" applyAlignment="1">
      <alignment horizontal="left"/>
    </xf>
    <xf numFmtId="0" fontId="0" fillId="0" borderId="0" xfId="0" applyBorder="1" applyAlignment="1">
      <alignment wrapText="1"/>
    </xf>
    <xf numFmtId="0" fontId="1" fillId="0" borderId="6" xfId="0" applyFont="1" applyBorder="1" applyAlignment="1">
      <alignment horizontal="center"/>
    </xf>
    <xf numFmtId="0" fontId="1" fillId="0" borderId="26" xfId="0" applyFont="1" applyBorder="1" applyAlignment="1">
      <alignment horizontal="center"/>
    </xf>
    <xf numFmtId="0" fontId="1" fillId="0" borderId="8" xfId="0" applyFont="1" applyBorder="1" applyAlignment="1">
      <alignment horizontal="center"/>
    </xf>
    <xf numFmtId="0" fontId="2" fillId="0" borderId="27" xfId="0" applyFont="1" applyBorder="1"/>
    <xf numFmtId="0" fontId="2" fillId="0" borderId="26" xfId="0" applyFont="1" applyBorder="1" applyAlignment="1">
      <alignment horizontal="center"/>
    </xf>
    <xf numFmtId="0" fontId="2" fillId="0" borderId="8" xfId="0" applyFont="1" applyBorder="1" applyAlignment="1">
      <alignment horizontal="center"/>
    </xf>
    <xf numFmtId="164" fontId="0" fillId="0" borderId="0" xfId="0" applyNumberFormat="1"/>
    <xf numFmtId="0" fontId="0" fillId="0" borderId="3" xfId="0" applyBorder="1"/>
    <xf numFmtId="0" fontId="0" fillId="0" borderId="8" xfId="0" applyBorder="1" applyAlignment="1">
      <alignment horizontal="center" wrapText="1"/>
    </xf>
    <xf numFmtId="1" fontId="0" fillId="2" borderId="7" xfId="1" applyNumberFormat="1" applyFont="1" applyFill="1" applyBorder="1" applyAlignment="1">
      <alignment horizontal="center"/>
    </xf>
    <xf numFmtId="1" fontId="0" fillId="2" borderId="9" xfId="1" applyNumberFormat="1" applyFont="1" applyFill="1" applyBorder="1" applyAlignment="1">
      <alignment horizontal="center"/>
    </xf>
    <xf numFmtId="0" fontId="3" fillId="0" borderId="10" xfId="0" applyFont="1" applyFill="1" applyBorder="1" applyAlignment="1">
      <alignment horizontal="right"/>
    </xf>
    <xf numFmtId="0" fontId="3" fillId="0" borderId="10" xfId="0" applyFont="1" applyFill="1" applyBorder="1" applyAlignment="1">
      <alignment horizontal="right" wrapText="1"/>
    </xf>
    <xf numFmtId="1" fontId="0" fillId="2" borderId="9" xfId="1" applyNumberFormat="1" applyFont="1" applyFill="1" applyBorder="1" applyAlignment="1">
      <alignment horizontal="center" wrapText="1"/>
    </xf>
    <xf numFmtId="0" fontId="0" fillId="0" borderId="10" xfId="0" applyFill="1" applyBorder="1" applyAlignment="1">
      <alignment horizontal="right" wrapText="1"/>
    </xf>
    <xf numFmtId="172" fontId="0" fillId="2" borderId="8" xfId="0" applyNumberFormat="1" applyFill="1" applyBorder="1" applyAlignment="1">
      <alignment horizontal="center" wrapText="1"/>
    </xf>
    <xf numFmtId="172" fontId="0" fillId="2" borderId="9" xfId="1" applyNumberFormat="1" applyFont="1" applyFill="1" applyBorder="1" applyAlignment="1">
      <alignment horizontal="center" wrapText="1"/>
    </xf>
    <xf numFmtId="172" fontId="0" fillId="2" borderId="8" xfId="1" applyNumberFormat="1" applyFont="1" applyFill="1" applyBorder="1" applyAlignment="1">
      <alignment horizontal="center" wrapText="1"/>
    </xf>
    <xf numFmtId="172" fontId="0" fillId="2" borderId="6" xfId="1" applyNumberFormat="1" applyFont="1" applyFill="1" applyBorder="1" applyAlignment="1">
      <alignment horizontal="center" wrapText="1"/>
    </xf>
    <xf numFmtId="9" fontId="0" fillId="2" borderId="8" xfId="1" applyNumberFormat="1" applyFont="1" applyFill="1" applyBorder="1" applyAlignment="1">
      <alignment horizontal="center" wrapText="1"/>
    </xf>
    <xf numFmtId="9" fontId="0" fillId="2" borderId="9" xfId="1" applyNumberFormat="1" applyFont="1" applyFill="1" applyBorder="1" applyAlignment="1">
      <alignment horizontal="center" wrapText="1"/>
    </xf>
    <xf numFmtId="9" fontId="0" fillId="2" borderId="6" xfId="1" applyNumberFormat="1" applyFont="1" applyFill="1" applyBorder="1" applyAlignment="1">
      <alignment horizontal="center" wrapText="1"/>
    </xf>
    <xf numFmtId="0" fontId="0" fillId="0" borderId="15" xfId="0" applyBorder="1" applyAlignment="1">
      <alignment wrapText="1"/>
    </xf>
    <xf numFmtId="0" fontId="3" fillId="4" borderId="19" xfId="0" applyFont="1" applyFill="1" applyBorder="1" applyAlignment="1">
      <alignment horizontal="center" wrapText="1"/>
    </xf>
    <xf numFmtId="0" fontId="4" fillId="6" borderId="21" xfId="0" applyFont="1" applyFill="1" applyBorder="1" applyAlignment="1">
      <alignment horizontal="center" wrapText="1"/>
    </xf>
    <xf numFmtId="0" fontId="0" fillId="0" borderId="0" xfId="0" applyAlignment="1">
      <alignment horizontal="center" vertical="center" wrapText="1"/>
    </xf>
    <xf numFmtId="0" fontId="3" fillId="0" borderId="0" xfId="0" applyFont="1" applyBorder="1" applyAlignment="1">
      <alignment wrapText="1"/>
    </xf>
    <xf numFmtId="0" fontId="3" fillId="0" borderId="0" xfId="0" applyFont="1" applyBorder="1" applyAlignment="1">
      <alignment horizontal="center" wrapText="1"/>
    </xf>
    <xf numFmtId="0" fontId="20" fillId="0" borderId="0" xfId="0" applyFont="1" applyBorder="1"/>
    <xf numFmtId="0" fontId="21" fillId="0" borderId="0" xfId="0" applyFont="1" applyBorder="1"/>
    <xf numFmtId="0" fontId="22" fillId="0" borderId="0" xfId="0" applyFont="1" applyBorder="1"/>
    <xf numFmtId="0" fontId="23" fillId="0" borderId="0" xfId="0" applyFont="1" applyBorder="1"/>
    <xf numFmtId="0" fontId="24" fillId="0" borderId="0" xfId="0" applyFont="1" applyBorder="1" applyAlignment="1">
      <alignment wrapText="1"/>
    </xf>
    <xf numFmtId="0" fontId="21" fillId="0" borderId="0" xfId="0" applyFont="1" applyFill="1" applyBorder="1"/>
    <xf numFmtId="0" fontId="26" fillId="0" borderId="0" xfId="0" applyFont="1" applyBorder="1" applyAlignment="1">
      <alignment horizontal="center"/>
    </xf>
    <xf numFmtId="0" fontId="19" fillId="0" borderId="0" xfId="0" applyFont="1" applyBorder="1" applyAlignment="1">
      <alignment horizontal="center"/>
    </xf>
    <xf numFmtId="0" fontId="21" fillId="0" borderId="61" xfId="0" applyFont="1" applyBorder="1" applyAlignment="1">
      <alignment horizontal="center" vertical="center" wrapText="1"/>
    </xf>
    <xf numFmtId="0" fontId="21" fillId="0" borderId="62" xfId="0" applyFont="1" applyBorder="1" applyAlignment="1">
      <alignment horizontal="center" vertical="center" wrapText="1"/>
    </xf>
    <xf numFmtId="0" fontId="28" fillId="0" borderId="63" xfId="0" applyFont="1" applyBorder="1" applyAlignment="1">
      <alignment horizontal="left" vertical="center" wrapText="1"/>
    </xf>
    <xf numFmtId="0" fontId="28" fillId="0" borderId="56" xfId="0" applyFont="1" applyBorder="1" applyAlignment="1">
      <alignment horizontal="center" vertical="center" wrapText="1"/>
    </xf>
    <xf numFmtId="0" fontId="28" fillId="0" borderId="64" xfId="0" applyFont="1" applyBorder="1" applyAlignment="1">
      <alignment horizontal="center" vertical="center" wrapText="1"/>
    </xf>
    <xf numFmtId="0" fontId="28" fillId="0" borderId="65" xfId="0" applyFont="1" applyBorder="1" applyAlignment="1">
      <alignment horizontal="center" vertical="center" wrapText="1"/>
    </xf>
    <xf numFmtId="0" fontId="26" fillId="0" borderId="66" xfId="0" applyFont="1" applyBorder="1" applyAlignment="1">
      <alignment horizontal="center" vertical="center"/>
    </xf>
    <xf numFmtId="0" fontId="26" fillId="0" borderId="29" xfId="0" applyFont="1" applyBorder="1" applyAlignment="1">
      <alignment vertical="top" wrapText="1"/>
    </xf>
    <xf numFmtId="0" fontId="21" fillId="10" borderId="24" xfId="0" applyFont="1" applyFill="1" applyBorder="1" applyAlignment="1">
      <alignment vertical="center"/>
    </xf>
    <xf numFmtId="0" fontId="30" fillId="0" borderId="24" xfId="0" applyFont="1" applyBorder="1" applyAlignment="1">
      <alignment vertical="center" wrapText="1"/>
    </xf>
    <xf numFmtId="0" fontId="0" fillId="0" borderId="0" xfId="0" applyFont="1" applyBorder="1"/>
    <xf numFmtId="0" fontId="18" fillId="0" borderId="0" xfId="0" applyFont="1" applyBorder="1"/>
    <xf numFmtId="0" fontId="21" fillId="0" borderId="67" xfId="0" applyFont="1" applyBorder="1" applyAlignment="1">
      <alignment vertical="center"/>
    </xf>
    <xf numFmtId="0" fontId="21" fillId="0" borderId="12" xfId="0" applyFont="1" applyBorder="1" applyAlignment="1">
      <alignment vertical="center"/>
    </xf>
    <xf numFmtId="0" fontId="30" fillId="0" borderId="13" xfId="0" applyFont="1" applyBorder="1" applyAlignment="1">
      <alignment horizontal="left" vertical="center" wrapText="1"/>
    </xf>
    <xf numFmtId="0" fontId="26" fillId="0" borderId="68" xfId="0" applyFont="1" applyBorder="1" applyAlignment="1">
      <alignment horizontal="left" vertical="center" wrapText="1"/>
    </xf>
    <xf numFmtId="0" fontId="21" fillId="0" borderId="64" xfId="0" applyFont="1" applyBorder="1" applyAlignment="1">
      <alignment vertical="center"/>
    </xf>
    <xf numFmtId="0" fontId="21" fillId="0" borderId="65" xfId="0" applyFont="1" applyBorder="1" applyAlignment="1">
      <alignment vertical="center"/>
    </xf>
    <xf numFmtId="0" fontId="21" fillId="0" borderId="66" xfId="0" applyFont="1" applyBorder="1" applyAlignment="1">
      <alignment horizontal="center" vertical="center"/>
    </xf>
    <xf numFmtId="0" fontId="30" fillId="0" borderId="66" xfId="0" applyFont="1" applyBorder="1" applyAlignment="1">
      <alignment horizontal="left" vertical="center" wrapText="1"/>
    </xf>
    <xf numFmtId="0" fontId="26" fillId="0" borderId="68" xfId="0" applyFont="1" applyBorder="1" applyAlignment="1">
      <alignment horizontal="right" vertical="center" wrapText="1"/>
    </xf>
    <xf numFmtId="0" fontId="26" fillId="0" borderId="16" xfId="0" applyFont="1" applyBorder="1" applyAlignment="1">
      <alignment horizontal="left" vertical="center" wrapText="1"/>
    </xf>
    <xf numFmtId="0" fontId="31" fillId="0" borderId="67" xfId="0" applyFont="1" applyBorder="1" applyAlignment="1">
      <alignment vertical="center" wrapText="1"/>
    </xf>
    <xf numFmtId="0" fontId="31" fillId="0" borderId="12" xfId="0" applyFont="1" applyBorder="1" applyAlignment="1">
      <alignment vertical="center" wrapText="1"/>
    </xf>
    <xf numFmtId="0" fontId="21" fillId="0" borderId="13" xfId="0" applyFont="1" applyBorder="1" applyAlignment="1">
      <alignment horizontal="center" vertical="center"/>
    </xf>
    <xf numFmtId="0" fontId="6" fillId="0" borderId="66" xfId="0" applyFont="1" applyFill="1" applyBorder="1" applyAlignment="1">
      <alignment vertical="center" wrapText="1"/>
    </xf>
    <xf numFmtId="0" fontId="26" fillId="0" borderId="68" xfId="0" applyFont="1" applyBorder="1" applyAlignment="1">
      <alignment vertical="center"/>
    </xf>
    <xf numFmtId="0" fontId="21" fillId="0" borderId="64" xfId="0" applyFont="1" applyBorder="1" applyAlignment="1">
      <alignment vertical="center" wrapText="1"/>
    </xf>
    <xf numFmtId="0" fontId="21" fillId="0" borderId="65" xfId="0" applyFont="1" applyBorder="1" applyAlignment="1">
      <alignment vertical="center" wrapText="1"/>
    </xf>
    <xf numFmtId="49" fontId="21" fillId="0" borderId="66" xfId="0" applyNumberFormat="1" applyFont="1" applyBorder="1" applyAlignment="1">
      <alignment horizontal="center" vertical="center"/>
    </xf>
    <xf numFmtId="49" fontId="21" fillId="0" borderId="66" xfId="0" applyNumberFormat="1" applyFont="1" applyBorder="1" applyAlignment="1">
      <alignment horizontal="left" vertical="center"/>
    </xf>
    <xf numFmtId="49" fontId="0" fillId="0" borderId="0" xfId="0" applyNumberFormat="1" applyBorder="1"/>
    <xf numFmtId="0" fontId="30" fillId="0" borderId="68" xfId="0" applyFont="1" applyBorder="1" applyAlignment="1">
      <alignment vertical="center"/>
    </xf>
    <xf numFmtId="49" fontId="30" fillId="0" borderId="66" xfId="0" applyNumberFormat="1" applyFont="1" applyBorder="1" applyAlignment="1">
      <alignment horizontal="left" vertical="center"/>
    </xf>
    <xf numFmtId="49" fontId="18" fillId="0" borderId="0" xfId="0" applyNumberFormat="1" applyFont="1" applyBorder="1"/>
    <xf numFmtId="0" fontId="30" fillId="0" borderId="16" xfId="0" applyFont="1" applyBorder="1" applyAlignment="1">
      <alignment vertical="center"/>
    </xf>
    <xf numFmtId="49" fontId="21" fillId="0" borderId="13" xfId="0" applyNumberFormat="1" applyFont="1" applyBorder="1" applyAlignment="1">
      <alignment horizontal="center" vertical="center"/>
    </xf>
    <xf numFmtId="0" fontId="6" fillId="0" borderId="64" xfId="0" applyFont="1" applyBorder="1" applyAlignment="1">
      <alignment vertical="center"/>
    </xf>
    <xf numFmtId="0" fontId="6" fillId="0" borderId="65" xfId="0" applyFont="1" applyBorder="1" applyAlignment="1">
      <alignment vertical="center"/>
    </xf>
    <xf numFmtId="49" fontId="21" fillId="0" borderId="52" xfId="0" applyNumberFormat="1" applyFont="1" applyBorder="1" applyAlignment="1">
      <alignment horizontal="center" vertical="center"/>
    </xf>
    <xf numFmtId="0" fontId="26" fillId="0" borderId="68" xfId="0" applyFont="1" applyBorder="1" applyAlignment="1">
      <alignment vertical="top"/>
    </xf>
    <xf numFmtId="49" fontId="21" fillId="0" borderId="66" xfId="0" applyNumberFormat="1" applyFont="1" applyBorder="1" applyAlignment="1">
      <alignment vertical="center"/>
    </xf>
    <xf numFmtId="49" fontId="21" fillId="0" borderId="13" xfId="0" applyNumberFormat="1" applyFont="1" applyBorder="1" applyAlignment="1">
      <alignment vertical="center"/>
    </xf>
    <xf numFmtId="0" fontId="30" fillId="0" borderId="72" xfId="0" applyFont="1" applyBorder="1" applyAlignment="1">
      <alignment horizontal="left" vertical="center" wrapText="1"/>
    </xf>
    <xf numFmtId="0" fontId="21" fillId="0" borderId="64" xfId="0" applyFont="1" applyFill="1" applyBorder="1" applyAlignment="1">
      <alignment vertical="center" wrapText="1"/>
    </xf>
    <xf numFmtId="0" fontId="21" fillId="0" borderId="65" xfId="0" applyFont="1" applyFill="1" applyBorder="1" applyAlignment="1">
      <alignment vertical="center" wrapText="1"/>
    </xf>
    <xf numFmtId="49" fontId="6" fillId="0" borderId="66" xfId="0" applyNumberFormat="1" applyFont="1" applyBorder="1" applyAlignment="1">
      <alignment vertical="center"/>
    </xf>
    <xf numFmtId="0" fontId="18" fillId="0" borderId="0" xfId="0" applyFont="1" applyBorder="1" applyAlignment="1">
      <alignment wrapText="1"/>
    </xf>
    <xf numFmtId="0" fontId="21" fillId="0" borderId="69" xfId="0" applyFont="1" applyFill="1" applyBorder="1" applyAlignment="1">
      <alignment vertical="center" wrapText="1"/>
    </xf>
    <xf numFmtId="0" fontId="21" fillId="0" borderId="70" xfId="0" applyFont="1" applyFill="1" applyBorder="1" applyAlignment="1">
      <alignment vertical="center" wrapText="1"/>
    </xf>
    <xf numFmtId="49" fontId="6" fillId="0" borderId="52" xfId="0" applyNumberFormat="1" applyFont="1" applyBorder="1" applyAlignment="1">
      <alignment vertical="center"/>
    </xf>
    <xf numFmtId="0" fontId="21" fillId="0" borderId="0" xfId="0" applyFont="1" applyBorder="1" applyAlignment="1">
      <alignment horizontal="left" vertical="top"/>
    </xf>
    <xf numFmtId="0" fontId="30" fillId="0" borderId="0" xfId="0" applyFont="1" applyBorder="1"/>
    <xf numFmtId="0" fontId="21" fillId="0" borderId="0" xfId="0" applyFont="1" applyBorder="1" applyAlignment="1">
      <alignment vertical="top"/>
    </xf>
    <xf numFmtId="0" fontId="3" fillId="11" borderId="0" xfId="0" applyFont="1" applyFill="1" applyBorder="1" applyAlignment="1">
      <alignment horizontal="center" wrapText="1"/>
    </xf>
    <xf numFmtId="0" fontId="0" fillId="11" borderId="0" xfId="0" applyFill="1" applyBorder="1" applyAlignment="1">
      <alignment horizontal="center" wrapText="1"/>
    </xf>
    <xf numFmtId="0" fontId="0" fillId="11" borderId="0" xfId="0" applyFill="1"/>
    <xf numFmtId="0" fontId="2" fillId="11" borderId="57" xfId="0" applyFont="1" applyFill="1" applyBorder="1" applyAlignment="1">
      <alignment horizontal="center" wrapText="1"/>
    </xf>
    <xf numFmtId="0" fontId="30" fillId="0" borderId="71" xfId="0" applyFont="1" applyBorder="1" applyAlignment="1">
      <alignment horizontal="left" vertical="center" wrapText="1"/>
    </xf>
    <xf numFmtId="0" fontId="2" fillId="3" borderId="9" xfId="0" applyFont="1" applyFill="1" applyBorder="1" applyAlignment="1">
      <alignment wrapText="1"/>
    </xf>
    <xf numFmtId="0" fontId="2" fillId="3" borderId="29" xfId="0" applyFont="1" applyFill="1" applyBorder="1" applyAlignment="1">
      <alignment wrapText="1"/>
    </xf>
    <xf numFmtId="0" fontId="2" fillId="3" borderId="73" xfId="0" applyFont="1" applyFill="1" applyBorder="1" applyAlignment="1">
      <alignment horizontal="center" wrapText="1"/>
    </xf>
    <xf numFmtId="0" fontId="14" fillId="0" borderId="0" xfId="0" applyFont="1" applyAlignment="1">
      <alignment horizontal="center" wrapText="1"/>
    </xf>
    <xf numFmtId="0" fontId="3" fillId="0" borderId="0" xfId="0" applyFont="1" applyAlignment="1">
      <alignment horizontal="center" wrapText="1"/>
    </xf>
    <xf numFmtId="0" fontId="3" fillId="0" borderId="11" xfId="0" applyFont="1" applyFill="1" applyBorder="1" applyAlignment="1">
      <alignment wrapText="1"/>
    </xf>
    <xf numFmtId="0" fontId="3" fillId="7" borderId="6" xfId="0" applyFont="1" applyFill="1" applyBorder="1" applyAlignment="1">
      <alignment wrapText="1"/>
    </xf>
    <xf numFmtId="0" fontId="3" fillId="7" borderId="11" xfId="0" applyFont="1" applyFill="1" applyBorder="1" applyAlignment="1">
      <alignment horizontal="left" wrapText="1"/>
    </xf>
    <xf numFmtId="0" fontId="3" fillId="0" borderId="6" xfId="0" applyFont="1" applyBorder="1" applyAlignment="1">
      <alignment wrapText="1"/>
    </xf>
    <xf numFmtId="0" fontId="3" fillId="0" borderId="6" xfId="0" applyFont="1" applyFill="1" applyBorder="1" applyAlignment="1">
      <alignment wrapText="1"/>
    </xf>
    <xf numFmtId="0" fontId="3" fillId="0" borderId="1" xfId="0" applyFont="1" applyFill="1" applyBorder="1" applyAlignment="1">
      <alignment wrapText="1"/>
    </xf>
    <xf numFmtId="0" fontId="3" fillId="0" borderId="7" xfId="0" applyFont="1" applyBorder="1" applyAlignment="1">
      <alignment wrapText="1"/>
    </xf>
    <xf numFmtId="0" fontId="3" fillId="0" borderId="9" xfId="0" applyFont="1" applyBorder="1" applyAlignment="1">
      <alignment wrapText="1"/>
    </xf>
    <xf numFmtId="0" fontId="27" fillId="0" borderId="57" xfId="0" applyFont="1" applyBorder="1" applyAlignment="1">
      <alignment horizontal="right" vertical="center" wrapText="1"/>
    </xf>
    <xf numFmtId="0" fontId="27" fillId="0" borderId="66" xfId="0" applyFont="1" applyBorder="1" applyAlignment="1">
      <alignment horizontal="right" vertical="center" wrapText="1"/>
    </xf>
    <xf numFmtId="0" fontId="21" fillId="0" borderId="66" xfId="0" applyFont="1" applyBorder="1" applyAlignment="1">
      <alignment horizontal="center" vertical="center" wrapText="1"/>
    </xf>
    <xf numFmtId="0" fontId="28" fillId="0" borderId="74" xfId="0" applyFont="1" applyBorder="1" applyAlignment="1">
      <alignment horizontal="center" vertical="center" wrapText="1"/>
    </xf>
    <xf numFmtId="0" fontId="28" fillId="0" borderId="75" xfId="0" applyFont="1" applyBorder="1" applyAlignment="1">
      <alignment horizontal="center" vertical="center" wrapText="1"/>
    </xf>
    <xf numFmtId="0" fontId="28" fillId="0" borderId="66" xfId="0" applyFont="1" applyBorder="1" applyAlignment="1">
      <alignment horizontal="center" vertical="center"/>
    </xf>
    <xf numFmtId="0" fontId="21" fillId="0" borderId="30" xfId="0" applyFont="1" applyFill="1" applyBorder="1" applyAlignment="1">
      <alignment vertical="center" wrapText="1"/>
    </xf>
    <xf numFmtId="0" fontId="26" fillId="0" borderId="9" xfId="0" applyFont="1" applyBorder="1" applyAlignment="1">
      <alignment vertical="center" wrapText="1"/>
    </xf>
    <xf numFmtId="0" fontId="21" fillId="0" borderId="8" xfId="0" applyFont="1" applyFill="1" applyBorder="1" applyAlignment="1">
      <alignment vertical="center" wrapText="1"/>
    </xf>
    <xf numFmtId="0" fontId="21" fillId="0" borderId="76" xfId="0" applyFont="1" applyBorder="1" applyAlignment="1">
      <alignment vertical="center"/>
    </xf>
    <xf numFmtId="0" fontId="21" fillId="0" borderId="77" xfId="0" applyFont="1" applyBorder="1" applyAlignment="1">
      <alignment vertical="center"/>
    </xf>
    <xf numFmtId="0" fontId="21" fillId="0" borderId="78" xfId="0" applyFont="1" applyBorder="1" applyAlignment="1">
      <alignment vertical="center"/>
    </xf>
    <xf numFmtId="0" fontId="21" fillId="0" borderId="7" xfId="0" applyFont="1" applyBorder="1" applyAlignment="1">
      <alignment vertical="center"/>
    </xf>
    <xf numFmtId="0" fontId="21" fillId="0" borderId="50" xfId="0" applyFont="1" applyBorder="1" applyAlignment="1">
      <alignment vertical="center"/>
    </xf>
    <xf numFmtId="0" fontId="30" fillId="0" borderId="50" xfId="0" applyFont="1" applyBorder="1" applyAlignment="1">
      <alignment vertical="center" wrapText="1"/>
    </xf>
    <xf numFmtId="0" fontId="21" fillId="0" borderId="66" xfId="0" applyFont="1" applyFill="1" applyBorder="1" applyAlignment="1">
      <alignment vertical="center" wrapText="1"/>
    </xf>
    <xf numFmtId="0" fontId="21" fillId="0" borderId="79" xfId="0" applyFont="1" applyBorder="1" applyAlignment="1">
      <alignment vertical="center"/>
    </xf>
    <xf numFmtId="0" fontId="21" fillId="0" borderId="75" xfId="0" applyFont="1" applyBorder="1" applyAlignment="1">
      <alignment vertical="center"/>
    </xf>
    <xf numFmtId="0" fontId="6" fillId="0" borderId="13" xfId="0" applyFont="1" applyFill="1" applyBorder="1" applyAlignment="1">
      <alignment vertical="center" wrapText="1"/>
    </xf>
    <xf numFmtId="0" fontId="31" fillId="0" borderId="80" xfId="0" applyFont="1" applyBorder="1" applyAlignment="1">
      <alignment vertical="center" wrapText="1"/>
    </xf>
    <xf numFmtId="0" fontId="31" fillId="0" borderId="81" xfId="0" applyFont="1" applyBorder="1" applyAlignment="1">
      <alignment vertical="center" wrapText="1"/>
    </xf>
    <xf numFmtId="0" fontId="21" fillId="0" borderId="79" xfId="0" applyFont="1" applyBorder="1" applyAlignment="1">
      <alignment vertical="center" wrapText="1"/>
    </xf>
    <xf numFmtId="0" fontId="21" fillId="0" borderId="75" xfId="0" applyFont="1" applyBorder="1" applyAlignment="1">
      <alignment vertical="center" wrapText="1"/>
    </xf>
    <xf numFmtId="0" fontId="21" fillId="0" borderId="80" xfId="0" applyFont="1" applyBorder="1" applyAlignment="1">
      <alignment vertical="center"/>
    </xf>
    <xf numFmtId="0" fontId="21" fillId="0" borderId="81" xfId="0" applyFont="1" applyBorder="1" applyAlignment="1">
      <alignment vertical="center"/>
    </xf>
    <xf numFmtId="49" fontId="30" fillId="0" borderId="13" xfId="0" applyNumberFormat="1" applyFont="1" applyBorder="1" applyAlignment="1">
      <alignment horizontal="left" vertical="center"/>
    </xf>
    <xf numFmtId="0" fontId="6" fillId="0" borderId="79" xfId="0" applyFont="1" applyBorder="1" applyAlignment="1">
      <alignment vertical="center"/>
    </xf>
    <xf numFmtId="0" fontId="6" fillId="0" borderId="75" xfId="0" applyFont="1" applyBorder="1" applyAlignment="1">
      <alignment vertical="center"/>
    </xf>
    <xf numFmtId="0" fontId="26" fillId="0" borderId="35" xfId="0" applyFont="1" applyBorder="1" applyAlignment="1">
      <alignment vertical="center"/>
    </xf>
    <xf numFmtId="0" fontId="6" fillId="0" borderId="52" xfId="0" applyFont="1" applyFill="1" applyBorder="1" applyAlignment="1">
      <alignment vertical="center"/>
    </xf>
    <xf numFmtId="0" fontId="21" fillId="0" borderId="69" xfId="0" applyFont="1" applyBorder="1" applyAlignment="1">
      <alignment vertical="center"/>
    </xf>
    <xf numFmtId="0" fontId="21" fillId="0" borderId="74" xfId="0" applyFont="1" applyBorder="1" applyAlignment="1">
      <alignment vertical="center"/>
    </xf>
    <xf numFmtId="0" fontId="21" fillId="0" borderId="82" xfId="0" applyFont="1" applyBorder="1" applyAlignment="1">
      <alignment vertical="center"/>
    </xf>
    <xf numFmtId="0" fontId="21" fillId="0" borderId="70" xfId="0" applyFont="1" applyBorder="1" applyAlignment="1">
      <alignment vertical="center"/>
    </xf>
    <xf numFmtId="0" fontId="30" fillId="0" borderId="52" xfId="0" applyFont="1" applyFill="1" applyBorder="1" applyAlignment="1">
      <alignment vertical="center" wrapText="1"/>
    </xf>
    <xf numFmtId="0" fontId="21" fillId="0" borderId="13" xfId="0" applyFont="1" applyFill="1" applyBorder="1" applyAlignment="1">
      <alignment vertical="center" wrapText="1"/>
    </xf>
    <xf numFmtId="0" fontId="21" fillId="0" borderId="79" xfId="0" applyFont="1" applyFill="1" applyBorder="1" applyAlignment="1">
      <alignment vertical="center" wrapText="1"/>
    </xf>
    <xf numFmtId="0" fontId="21" fillId="0" borderId="75" xfId="0" applyFont="1" applyFill="1" applyBorder="1" applyAlignment="1">
      <alignment vertical="center" wrapText="1"/>
    </xf>
    <xf numFmtId="0" fontId="21" fillId="0" borderId="15" xfId="0" applyFont="1" applyFill="1" applyBorder="1" applyAlignment="1">
      <alignment vertical="center" wrapText="1"/>
    </xf>
    <xf numFmtId="0" fontId="21" fillId="0" borderId="67" xfId="0" applyFont="1" applyFill="1" applyBorder="1" applyAlignment="1">
      <alignment vertical="center" wrapText="1"/>
    </xf>
    <xf numFmtId="0" fontId="21" fillId="0" borderId="80" xfId="0" applyFont="1" applyFill="1" applyBorder="1" applyAlignment="1">
      <alignment vertical="center" wrapText="1"/>
    </xf>
    <xf numFmtId="0" fontId="21" fillId="0" borderId="81" xfId="0" applyFont="1" applyFill="1" applyBorder="1" applyAlignment="1">
      <alignment vertical="center" wrapText="1"/>
    </xf>
    <xf numFmtId="0" fontId="21" fillId="0" borderId="12" xfId="0" applyFont="1" applyFill="1" applyBorder="1" applyAlignment="1">
      <alignment vertical="center" wrapText="1"/>
    </xf>
    <xf numFmtId="49" fontId="6" fillId="0" borderId="13" xfId="0" applyNumberFormat="1" applyFont="1" applyBorder="1" applyAlignment="1">
      <alignment vertical="center"/>
    </xf>
    <xf numFmtId="0" fontId="21" fillId="0" borderId="0" xfId="0" applyFont="1" applyFill="1" applyBorder="1" applyAlignment="1">
      <alignment vertical="center" wrapText="1"/>
    </xf>
    <xf numFmtId="0" fontId="21" fillId="0" borderId="28" xfId="0" applyFont="1" applyFill="1" applyBorder="1" applyAlignment="1">
      <alignment vertical="center" wrapText="1"/>
    </xf>
    <xf numFmtId="0" fontId="21" fillId="0" borderId="74" xfId="0" applyFont="1" applyFill="1" applyBorder="1" applyAlignment="1">
      <alignment vertical="center" wrapText="1"/>
    </xf>
    <xf numFmtId="0" fontId="21" fillId="0" borderId="82" xfId="0" applyFont="1" applyFill="1" applyBorder="1" applyAlignment="1">
      <alignment vertical="center" wrapText="1"/>
    </xf>
    <xf numFmtId="0" fontId="30" fillId="0" borderId="34" xfId="0" applyFont="1" applyBorder="1" applyAlignment="1">
      <alignment horizontal="left" vertical="center" wrapText="1"/>
    </xf>
    <xf numFmtId="0" fontId="21" fillId="0" borderId="0" xfId="0" applyFont="1" applyFill="1" applyAlignment="1">
      <alignment wrapText="1"/>
    </xf>
    <xf numFmtId="0" fontId="6" fillId="0" borderId="0" xfId="0" applyFont="1" applyFill="1" applyBorder="1" applyAlignment="1">
      <alignment horizontal="center" wrapText="1"/>
    </xf>
    <xf numFmtId="0" fontId="0" fillId="7" borderId="11" xfId="0" applyFont="1" applyFill="1" applyBorder="1" applyAlignment="1">
      <alignment horizontal="left" wrapText="1"/>
    </xf>
    <xf numFmtId="0" fontId="2" fillId="0" borderId="0" xfId="0" applyFont="1" applyBorder="1" applyAlignment="1">
      <alignment horizontal="center"/>
    </xf>
    <xf numFmtId="0" fontId="2" fillId="6" borderId="25" xfId="0" applyFont="1" applyFill="1" applyBorder="1" applyAlignment="1">
      <alignment horizontal="center" wrapText="1"/>
    </xf>
    <xf numFmtId="0" fontId="2" fillId="6" borderId="23" xfId="0" applyFont="1" applyFill="1" applyBorder="1" applyAlignment="1">
      <alignment horizontal="center" wrapText="1"/>
    </xf>
    <xf numFmtId="0" fontId="2" fillId="6" borderId="24" xfId="0" applyFont="1" applyFill="1" applyBorder="1" applyAlignment="1">
      <alignment horizontal="center" wrapText="1"/>
    </xf>
    <xf numFmtId="0" fontId="2" fillId="5" borderId="25" xfId="0" applyFont="1" applyFill="1" applyBorder="1" applyAlignment="1">
      <alignment horizontal="center" wrapText="1"/>
    </xf>
    <xf numFmtId="0" fontId="2" fillId="5" borderId="24" xfId="0" applyFont="1" applyFill="1" applyBorder="1" applyAlignment="1">
      <alignment horizontal="center" wrapText="1"/>
    </xf>
    <xf numFmtId="0" fontId="2" fillId="4" borderId="23" xfId="0" applyFont="1" applyFill="1" applyBorder="1" applyAlignment="1">
      <alignment horizontal="center" wrapText="1"/>
    </xf>
    <xf numFmtId="0" fontId="3" fillId="0" borderId="61" xfId="0" applyFont="1" applyBorder="1" applyAlignment="1">
      <alignment horizontal="center"/>
    </xf>
    <xf numFmtId="0" fontId="0" fillId="0" borderId="61" xfId="0" applyBorder="1" applyAlignment="1">
      <alignment horizontal="center"/>
    </xf>
    <xf numFmtId="0" fontId="2" fillId="0" borderId="26" xfId="0" applyFont="1" applyBorder="1" applyAlignment="1">
      <alignment vertical="top" wrapText="1"/>
    </xf>
    <xf numFmtId="0" fontId="2" fillId="0" borderId="27" xfId="0" applyFont="1" applyBorder="1" applyAlignment="1">
      <alignment vertical="top" wrapText="1"/>
    </xf>
    <xf numFmtId="0" fontId="0" fillId="0" borderId="7" xfId="0" applyBorder="1" applyAlignment="1"/>
    <xf numFmtId="0" fontId="32" fillId="0" borderId="46" xfId="0" applyFont="1" applyBorder="1" applyAlignment="1">
      <alignment wrapText="1"/>
    </xf>
    <xf numFmtId="0" fontId="2" fillId="0" borderId="31" xfId="0" applyFont="1" applyBorder="1" applyAlignment="1">
      <alignment horizontal="center" wrapText="1"/>
    </xf>
    <xf numFmtId="0" fontId="2" fillId="0" borderId="34" xfId="0" applyFont="1" applyBorder="1" applyAlignment="1">
      <alignment horizontal="center" wrapText="1"/>
    </xf>
    <xf numFmtId="0" fontId="3" fillId="0" borderId="25" xfId="0" applyFont="1" applyBorder="1" applyAlignment="1">
      <alignment horizontal="left"/>
    </xf>
    <xf numFmtId="0" fontId="3" fillId="0" borderId="37" xfId="0" applyFont="1" applyBorder="1" applyAlignment="1">
      <alignment horizontal="left"/>
    </xf>
    <xf numFmtId="0" fontId="3" fillId="0" borderId="61" xfId="0" applyFont="1" applyBorder="1" applyAlignment="1">
      <alignment horizontal="center" wrapText="1"/>
    </xf>
    <xf numFmtId="0" fontId="0" fillId="0" borderId="61" xfId="0" applyBorder="1" applyAlignment="1">
      <alignment horizontal="center" wrapText="1"/>
    </xf>
    <xf numFmtId="0" fontId="3" fillId="0" borderId="39" xfId="0" applyFont="1" applyBorder="1" applyAlignment="1">
      <alignment horizontal="left"/>
    </xf>
    <xf numFmtId="0" fontId="3" fillId="0" borderId="40" xfId="0" applyFont="1" applyBorder="1" applyAlignment="1">
      <alignment horizontal="left"/>
    </xf>
    <xf numFmtId="0" fontId="2" fillId="0" borderId="32" xfId="0" applyFont="1" applyBorder="1" applyAlignment="1">
      <alignment horizontal="center" wrapText="1"/>
    </xf>
    <xf numFmtId="0" fontId="2" fillId="0" borderId="35" xfId="0" applyFont="1" applyBorder="1" applyAlignment="1">
      <alignment horizontal="center" wrapText="1"/>
    </xf>
    <xf numFmtId="0" fontId="2" fillId="0" borderId="33" xfId="0" applyFont="1" applyBorder="1" applyAlignment="1">
      <alignment horizontal="center" wrapText="1"/>
    </xf>
    <xf numFmtId="0" fontId="2" fillId="0" borderId="36" xfId="0" applyFont="1" applyBorder="1" applyAlignment="1">
      <alignment horizontal="center" wrapText="1"/>
    </xf>
    <xf numFmtId="0" fontId="3" fillId="0" borderId="47" xfId="0" applyFont="1" applyFill="1" applyBorder="1" applyAlignment="1">
      <alignment horizontal="center" wrapText="1"/>
    </xf>
    <xf numFmtId="0" fontId="3" fillId="0" borderId="48" xfId="0" applyFont="1" applyFill="1" applyBorder="1" applyAlignment="1">
      <alignment horizontal="center" wrapText="1"/>
    </xf>
    <xf numFmtId="0" fontId="3" fillId="0" borderId="40" xfId="0" applyFont="1" applyFill="1" applyBorder="1" applyAlignment="1">
      <alignment horizontal="center" wrapText="1"/>
    </xf>
    <xf numFmtId="0" fontId="5" fillId="0" borderId="0" xfId="0" applyFont="1" applyFill="1" applyBorder="1" applyAlignment="1">
      <alignment horizontal="left" wrapText="1"/>
    </xf>
    <xf numFmtId="0" fontId="5" fillId="3" borderId="43" xfId="0" applyFont="1" applyFill="1" applyBorder="1" applyAlignment="1">
      <alignment horizontal="center"/>
    </xf>
    <xf numFmtId="0" fontId="5" fillId="3" borderId="44" xfId="0" applyFont="1" applyFill="1" applyBorder="1" applyAlignment="1">
      <alignment horizontal="center"/>
    </xf>
    <xf numFmtId="0" fontId="5" fillId="3" borderId="2" xfId="0" applyFont="1" applyFill="1" applyBorder="1" applyAlignment="1">
      <alignment horizontal="center"/>
    </xf>
    <xf numFmtId="0" fontId="3" fillId="0" borderId="45" xfId="0" applyFont="1" applyBorder="1" applyAlignment="1">
      <alignment horizontal="center" wrapText="1"/>
    </xf>
    <xf numFmtId="0" fontId="3" fillId="0" borderId="46" xfId="0" applyFont="1" applyBorder="1" applyAlignment="1">
      <alignment horizontal="center" wrapText="1"/>
    </xf>
    <xf numFmtId="0" fontId="3" fillId="0" borderId="12" xfId="0" applyFont="1" applyBorder="1" applyAlignment="1">
      <alignment horizontal="center" wrapText="1"/>
    </xf>
    <xf numFmtId="0" fontId="3" fillId="3" borderId="47" xfId="0" applyFont="1" applyFill="1" applyBorder="1" applyAlignment="1">
      <alignment horizontal="center" wrapText="1"/>
    </xf>
    <xf numFmtId="0" fontId="3" fillId="3" borderId="48" xfId="0" applyFont="1" applyFill="1" applyBorder="1" applyAlignment="1">
      <alignment horizontal="center" wrapText="1"/>
    </xf>
    <xf numFmtId="0" fontId="3" fillId="3" borderId="40" xfId="0" applyFont="1" applyFill="1" applyBorder="1" applyAlignment="1">
      <alignment horizontal="center" wrapText="1"/>
    </xf>
    <xf numFmtId="0" fontId="3" fillId="0" borderId="48" xfId="0" applyFont="1" applyBorder="1" applyAlignment="1">
      <alignment horizontal="center" wrapText="1"/>
    </xf>
    <xf numFmtId="0" fontId="0" fillId="0" borderId="48" xfId="0" applyBorder="1" applyAlignment="1">
      <alignment horizontal="center" wrapText="1"/>
    </xf>
    <xf numFmtId="0" fontId="0" fillId="0" borderId="0" xfId="0" applyAlignment="1">
      <alignment horizontal="center" wrapText="1"/>
    </xf>
    <xf numFmtId="0" fontId="3" fillId="0" borderId="26" xfId="0" applyFont="1" applyBorder="1" applyAlignment="1">
      <alignment horizontal="center" wrapText="1"/>
    </xf>
    <xf numFmtId="0" fontId="3" fillId="0" borderId="27" xfId="0" applyFont="1" applyBorder="1" applyAlignment="1">
      <alignment horizontal="center" wrapText="1"/>
    </xf>
    <xf numFmtId="0" fontId="3" fillId="0" borderId="7" xfId="0" applyFont="1" applyBorder="1" applyAlignment="1">
      <alignment horizontal="center" wrapText="1"/>
    </xf>
    <xf numFmtId="0" fontId="3" fillId="0" borderId="47" xfId="0" applyFont="1" applyBorder="1" applyAlignment="1">
      <alignment horizontal="center" wrapText="1"/>
    </xf>
    <xf numFmtId="0" fontId="3" fillId="0" borderId="40" xfId="0" applyFont="1" applyBorder="1" applyAlignment="1">
      <alignment horizontal="center" wrapText="1"/>
    </xf>
    <xf numFmtId="0" fontId="11" fillId="0" borderId="0" xfId="0" applyFont="1" applyFill="1" applyBorder="1" applyAlignment="1">
      <alignment horizontal="left" wrapText="1"/>
    </xf>
    <xf numFmtId="164" fontId="1" fillId="0" borderId="26" xfId="0" applyNumberFormat="1" applyFont="1" applyFill="1" applyBorder="1" applyAlignment="1" applyProtection="1">
      <alignment horizontal="center"/>
      <protection locked="0" hidden="1"/>
    </xf>
    <xf numFmtId="164" fontId="1" fillId="0" borderId="27" xfId="0" applyNumberFormat="1" applyFont="1" applyFill="1" applyBorder="1" applyAlignment="1" applyProtection="1">
      <alignment horizontal="center"/>
      <protection locked="0" hidden="1"/>
    </xf>
    <xf numFmtId="164" fontId="1" fillId="0" borderId="50" xfId="0" applyNumberFormat="1" applyFont="1" applyFill="1" applyBorder="1" applyAlignment="1" applyProtection="1">
      <alignment horizontal="center"/>
      <protection locked="0" hidden="1"/>
    </xf>
    <xf numFmtId="2" fontId="1" fillId="0" borderId="26" xfId="0" applyNumberFormat="1" applyFont="1" applyFill="1" applyBorder="1" applyAlignment="1">
      <alignment horizontal="center"/>
    </xf>
    <xf numFmtId="2" fontId="1" fillId="0" borderId="27" xfId="0" applyNumberFormat="1" applyFont="1" applyFill="1" applyBorder="1" applyAlignment="1">
      <alignment horizontal="center"/>
    </xf>
    <xf numFmtId="2" fontId="1" fillId="0" borderId="50" xfId="0" applyNumberFormat="1" applyFont="1" applyFill="1" applyBorder="1" applyAlignment="1">
      <alignment horizontal="center"/>
    </xf>
    <xf numFmtId="0" fontId="9" fillId="0" borderId="0" xfId="0" applyFont="1" applyAlignment="1">
      <alignment horizontal="center"/>
    </xf>
    <xf numFmtId="3" fontId="1" fillId="0" borderId="26" xfId="0" applyNumberFormat="1" applyFont="1" applyFill="1" applyBorder="1" applyAlignment="1" applyProtection="1">
      <alignment horizontal="center"/>
      <protection locked="0" hidden="1"/>
    </xf>
    <xf numFmtId="3" fontId="1" fillId="0" borderId="27" xfId="0" applyNumberFormat="1" applyFont="1" applyFill="1" applyBorder="1" applyAlignment="1" applyProtection="1">
      <alignment horizontal="center"/>
      <protection locked="0" hidden="1"/>
    </xf>
    <xf numFmtId="3" fontId="1" fillId="0" borderId="50" xfId="0" applyNumberFormat="1" applyFont="1" applyFill="1" applyBorder="1" applyAlignment="1" applyProtection="1">
      <alignment horizontal="center"/>
      <protection locked="0" hidden="1"/>
    </xf>
    <xf numFmtId="167" fontId="1" fillId="0" borderId="26" xfId="0" applyNumberFormat="1" applyFont="1" applyFill="1" applyBorder="1" applyAlignment="1" applyProtection="1">
      <alignment horizontal="center"/>
      <protection locked="0" hidden="1"/>
    </xf>
    <xf numFmtId="167" fontId="1" fillId="0" borderId="27" xfId="0" applyNumberFormat="1" applyFont="1" applyFill="1" applyBorder="1" applyAlignment="1" applyProtection="1">
      <alignment horizontal="center"/>
      <protection locked="0" hidden="1"/>
    </xf>
    <xf numFmtId="167" fontId="1" fillId="0" borderId="50" xfId="0" applyNumberFormat="1" applyFont="1" applyFill="1" applyBorder="1" applyAlignment="1" applyProtection="1">
      <alignment horizontal="center"/>
      <protection locked="0" hidden="1"/>
    </xf>
    <xf numFmtId="2" fontId="1" fillId="7" borderId="26" xfId="0" applyNumberFormat="1" applyFont="1" applyFill="1" applyBorder="1" applyAlignment="1" applyProtection="1">
      <alignment horizontal="center"/>
      <protection locked="0" hidden="1"/>
    </xf>
    <xf numFmtId="2" fontId="1" fillId="7" borderId="27" xfId="0" applyNumberFormat="1" applyFont="1" applyFill="1" applyBorder="1" applyAlignment="1" applyProtection="1">
      <alignment horizontal="center"/>
      <protection locked="0" hidden="1"/>
    </xf>
    <xf numFmtId="2" fontId="1" fillId="7" borderId="50" xfId="0" applyNumberFormat="1" applyFont="1" applyFill="1" applyBorder="1" applyAlignment="1" applyProtection="1">
      <alignment horizontal="center"/>
      <protection locked="0" hidden="1"/>
    </xf>
    <xf numFmtId="4" fontId="1" fillId="0" borderId="26" xfId="0" applyNumberFormat="1" applyFont="1" applyFill="1" applyBorder="1" applyAlignment="1" applyProtection="1">
      <alignment horizontal="center"/>
      <protection locked="0" hidden="1"/>
    </xf>
    <xf numFmtId="4" fontId="1" fillId="0" borderId="27" xfId="0" applyNumberFormat="1" applyFont="1" applyFill="1" applyBorder="1" applyAlignment="1" applyProtection="1">
      <alignment horizontal="center"/>
      <protection locked="0" hidden="1"/>
    </xf>
    <xf numFmtId="4" fontId="1" fillId="0" borderId="50" xfId="0" applyNumberFormat="1" applyFont="1" applyFill="1" applyBorder="1" applyAlignment="1" applyProtection="1">
      <alignment horizontal="center"/>
      <protection locked="0" hidden="1"/>
    </xf>
    <xf numFmtId="0" fontId="2" fillId="0" borderId="28" xfId="0" applyFont="1" applyFill="1" applyBorder="1" applyAlignment="1">
      <alignment horizontal="center" wrapText="1"/>
    </xf>
    <xf numFmtId="0" fontId="11" fillId="0" borderId="52" xfId="0" applyFont="1" applyFill="1" applyBorder="1" applyAlignment="1">
      <alignment horizontal="center" wrapText="1"/>
    </xf>
    <xf numFmtId="166" fontId="1" fillId="0" borderId="26" xfId="0" applyNumberFormat="1" applyFont="1" applyFill="1" applyBorder="1" applyAlignment="1" applyProtection="1">
      <alignment horizontal="center"/>
      <protection locked="0" hidden="1"/>
    </xf>
    <xf numFmtId="166" fontId="1" fillId="0" borderId="27" xfId="0" applyNumberFormat="1" applyFont="1" applyFill="1" applyBorder="1" applyAlignment="1" applyProtection="1">
      <alignment horizontal="center"/>
      <protection locked="0" hidden="1"/>
    </xf>
    <xf numFmtId="166" fontId="1" fillId="0" borderId="50" xfId="0" applyNumberFormat="1" applyFont="1" applyFill="1" applyBorder="1" applyAlignment="1" applyProtection="1">
      <alignment horizontal="center"/>
      <protection locked="0" hidden="1"/>
    </xf>
    <xf numFmtId="1" fontId="1" fillId="0" borderId="26" xfId="0" applyNumberFormat="1" applyFont="1" applyFill="1" applyBorder="1" applyAlignment="1">
      <alignment horizontal="center"/>
    </xf>
    <xf numFmtId="1" fontId="1" fillId="0" borderId="27" xfId="0" applyNumberFormat="1" applyFont="1" applyFill="1" applyBorder="1" applyAlignment="1">
      <alignment horizontal="center"/>
    </xf>
    <xf numFmtId="1" fontId="1" fillId="0" borderId="50" xfId="0" applyNumberFormat="1" applyFont="1" applyFill="1" applyBorder="1" applyAlignment="1">
      <alignment horizontal="center"/>
    </xf>
    <xf numFmtId="1" fontId="1" fillId="0" borderId="43" xfId="0" applyNumberFormat="1" applyFont="1" applyFill="1" applyBorder="1" applyAlignment="1">
      <alignment horizontal="center"/>
    </xf>
    <xf numFmtId="1" fontId="1" fillId="0" borderId="44" xfId="0" applyNumberFormat="1" applyFont="1" applyFill="1" applyBorder="1" applyAlignment="1">
      <alignment horizontal="center"/>
    </xf>
    <xf numFmtId="1" fontId="1" fillId="0" borderId="51" xfId="0" applyNumberFormat="1" applyFont="1" applyFill="1" applyBorder="1" applyAlignment="1">
      <alignment horizontal="center"/>
    </xf>
    <xf numFmtId="0" fontId="2" fillId="0" borderId="0" xfId="0" applyFont="1" applyFill="1" applyBorder="1" applyAlignment="1">
      <alignment horizontal="center"/>
    </xf>
    <xf numFmtId="168" fontId="1" fillId="0" borderId="26" xfId="0" applyNumberFormat="1" applyFont="1" applyFill="1" applyBorder="1" applyAlignment="1" applyProtection="1">
      <alignment horizontal="center"/>
      <protection locked="0" hidden="1"/>
    </xf>
    <xf numFmtId="168" fontId="1" fillId="0" borderId="27" xfId="0" applyNumberFormat="1" applyFont="1" applyFill="1" applyBorder="1" applyAlignment="1" applyProtection="1">
      <alignment horizontal="center"/>
      <protection locked="0" hidden="1"/>
    </xf>
    <xf numFmtId="168" fontId="1" fillId="0" borderId="50" xfId="0" applyNumberFormat="1" applyFont="1" applyFill="1" applyBorder="1" applyAlignment="1" applyProtection="1">
      <alignment horizontal="center"/>
      <protection locked="0" hidden="1"/>
    </xf>
    <xf numFmtId="165" fontId="1" fillId="7" borderId="26" xfId="0" applyNumberFormat="1" applyFont="1" applyFill="1" applyBorder="1" applyAlignment="1" applyProtection="1">
      <alignment horizontal="center"/>
      <protection locked="0" hidden="1"/>
    </xf>
    <xf numFmtId="165" fontId="1" fillId="7" borderId="27" xfId="0" applyNumberFormat="1" applyFont="1" applyFill="1" applyBorder="1" applyAlignment="1" applyProtection="1">
      <alignment horizontal="center"/>
      <protection locked="0" hidden="1"/>
    </xf>
    <xf numFmtId="165" fontId="1" fillId="7" borderId="50" xfId="0" applyNumberFormat="1" applyFont="1" applyFill="1" applyBorder="1" applyAlignment="1" applyProtection="1">
      <alignment horizontal="center"/>
      <protection locked="0" hidden="1"/>
    </xf>
    <xf numFmtId="169" fontId="1" fillId="0" borderId="26" xfId="0" applyNumberFormat="1" applyFont="1" applyFill="1" applyBorder="1" applyAlignment="1">
      <alignment horizontal="center"/>
    </xf>
    <xf numFmtId="169" fontId="1" fillId="0" borderId="27" xfId="0" applyNumberFormat="1" applyFont="1" applyFill="1" applyBorder="1" applyAlignment="1">
      <alignment horizontal="center"/>
    </xf>
    <xf numFmtId="169" fontId="1" fillId="0" borderId="50" xfId="0" applyNumberFormat="1" applyFont="1" applyFill="1" applyBorder="1" applyAlignment="1">
      <alignment horizontal="center"/>
    </xf>
    <xf numFmtId="0" fontId="2" fillId="3" borderId="55" xfId="0" applyFont="1" applyFill="1" applyBorder="1" applyAlignment="1">
      <alignment horizontal="center" wrapText="1"/>
    </xf>
    <xf numFmtId="0" fontId="2" fillId="3" borderId="23" xfId="0" applyFont="1" applyFill="1" applyBorder="1" applyAlignment="1">
      <alignment horizontal="center" wrapText="1"/>
    </xf>
    <xf numFmtId="0" fontId="2" fillId="3" borderId="24" xfId="0" applyFont="1" applyFill="1" applyBorder="1" applyAlignment="1">
      <alignment horizontal="center" wrapText="1"/>
    </xf>
    <xf numFmtId="0" fontId="0" fillId="0" borderId="55"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0" xfId="0" applyBorder="1" applyAlignment="1">
      <alignment horizontal="center"/>
    </xf>
    <xf numFmtId="170" fontId="3" fillId="0" borderId="26" xfId="0" applyNumberFormat="1" applyFont="1" applyBorder="1" applyAlignment="1">
      <alignment horizontal="center" wrapText="1"/>
    </xf>
    <xf numFmtId="170" fontId="3" fillId="0" borderId="27" xfId="0" applyNumberFormat="1" applyFont="1" applyBorder="1" applyAlignment="1">
      <alignment horizontal="center" wrapText="1"/>
    </xf>
    <xf numFmtId="170" fontId="3" fillId="0" borderId="50" xfId="0" applyNumberFormat="1" applyFont="1" applyBorder="1" applyAlignment="1">
      <alignment horizontal="center" wrapText="1"/>
    </xf>
    <xf numFmtId="2" fontId="3" fillId="0" borderId="26" xfId="0" applyNumberFormat="1" applyFont="1" applyBorder="1" applyAlignment="1">
      <alignment horizontal="center" wrapText="1"/>
    </xf>
    <xf numFmtId="2" fontId="3" fillId="0" borderId="27" xfId="0" applyNumberFormat="1" applyFont="1" applyBorder="1" applyAlignment="1">
      <alignment horizontal="center" wrapText="1"/>
    </xf>
    <xf numFmtId="2" fontId="3" fillId="0" borderId="50" xfId="0" applyNumberFormat="1" applyFont="1" applyBorder="1" applyAlignment="1">
      <alignment horizontal="center" wrapText="1"/>
    </xf>
    <xf numFmtId="165" fontId="2" fillId="0" borderId="43" xfId="0" applyNumberFormat="1" applyFont="1" applyBorder="1" applyAlignment="1">
      <alignment horizontal="center"/>
    </xf>
    <xf numFmtId="165" fontId="2" fillId="0" borderId="44" xfId="0" applyNumberFormat="1" applyFont="1" applyBorder="1" applyAlignment="1">
      <alignment horizontal="center"/>
    </xf>
    <xf numFmtId="165" fontId="2" fillId="0" borderId="51" xfId="0" applyNumberFormat="1" applyFont="1" applyBorder="1" applyAlignment="1">
      <alignment horizontal="center"/>
    </xf>
    <xf numFmtId="0" fontId="3" fillId="0" borderId="57" xfId="0" applyFont="1" applyBorder="1" applyAlignment="1">
      <alignment horizontal="left" vertical="center" wrapText="1"/>
    </xf>
    <xf numFmtId="0" fontId="2" fillId="0" borderId="57" xfId="0" applyFont="1" applyBorder="1" applyAlignment="1">
      <alignment horizontal="left" vertical="center" wrapText="1"/>
    </xf>
    <xf numFmtId="9" fontId="3" fillId="3" borderId="26" xfId="1" applyFont="1" applyFill="1" applyBorder="1" applyAlignment="1">
      <alignment horizontal="center"/>
    </xf>
    <xf numFmtId="9" fontId="3" fillId="3" borderId="27" xfId="1" applyFont="1" applyFill="1" applyBorder="1" applyAlignment="1">
      <alignment horizontal="center"/>
    </xf>
    <xf numFmtId="9" fontId="3" fillId="3" borderId="50" xfId="1" applyFont="1" applyFill="1" applyBorder="1" applyAlignment="1">
      <alignment horizontal="center"/>
    </xf>
    <xf numFmtId="0" fontId="2" fillId="3" borderId="26" xfId="0" applyFont="1" applyFill="1" applyBorder="1" applyAlignment="1">
      <alignment horizontal="center"/>
    </xf>
    <xf numFmtId="0" fontId="2" fillId="3" borderId="27" xfId="0" applyFont="1" applyFill="1" applyBorder="1" applyAlignment="1">
      <alignment horizontal="center"/>
    </xf>
    <xf numFmtId="0" fontId="2" fillId="3" borderId="50" xfId="0" applyFont="1" applyFill="1" applyBorder="1" applyAlignment="1">
      <alignment horizontal="center"/>
    </xf>
    <xf numFmtId="165" fontId="1" fillId="0" borderId="26" xfId="0" applyNumberFormat="1" applyFont="1" applyBorder="1" applyAlignment="1">
      <alignment horizontal="center"/>
    </xf>
    <xf numFmtId="165" fontId="1" fillId="0" borderId="27" xfId="0" applyNumberFormat="1" applyFont="1" applyBorder="1" applyAlignment="1">
      <alignment horizontal="center"/>
    </xf>
    <xf numFmtId="165" fontId="1" fillId="0" borderId="50" xfId="0" applyNumberFormat="1" applyFont="1" applyBorder="1" applyAlignment="1">
      <alignment horizontal="center"/>
    </xf>
    <xf numFmtId="2" fontId="3" fillId="0" borderId="26" xfId="0" applyNumberFormat="1" applyFont="1" applyBorder="1" applyAlignment="1">
      <alignment horizontal="center"/>
    </xf>
    <xf numFmtId="2" fontId="3" fillId="0" borderId="27" xfId="0" applyNumberFormat="1" applyFont="1" applyBorder="1" applyAlignment="1">
      <alignment horizontal="center"/>
    </xf>
    <xf numFmtId="2" fontId="3" fillId="0" borderId="50" xfId="0" applyNumberFormat="1" applyFont="1" applyBorder="1" applyAlignment="1">
      <alignment horizontal="center"/>
    </xf>
    <xf numFmtId="165" fontId="3" fillId="0" borderId="26" xfId="0" applyNumberFormat="1" applyFont="1" applyBorder="1" applyAlignment="1">
      <alignment horizontal="center" wrapText="1"/>
    </xf>
    <xf numFmtId="165" fontId="3" fillId="0" borderId="27" xfId="0" applyNumberFormat="1" applyFont="1" applyBorder="1" applyAlignment="1">
      <alignment horizontal="center" wrapText="1"/>
    </xf>
    <xf numFmtId="165" fontId="3" fillId="0" borderId="50" xfId="0" applyNumberFormat="1" applyFont="1" applyBorder="1" applyAlignment="1">
      <alignment horizontal="center" wrapText="1"/>
    </xf>
    <xf numFmtId="0" fontId="1" fillId="0" borderId="26" xfId="0" applyFont="1" applyBorder="1" applyAlignment="1">
      <alignment horizontal="center"/>
    </xf>
    <xf numFmtId="0" fontId="1" fillId="0" borderId="27" xfId="0" applyFont="1" applyBorder="1" applyAlignment="1">
      <alignment horizontal="center"/>
    </xf>
    <xf numFmtId="0" fontId="1" fillId="0" borderId="50" xfId="0" applyFont="1" applyBorder="1" applyAlignment="1">
      <alignment horizontal="center"/>
    </xf>
    <xf numFmtId="0" fontId="0" fillId="0" borderId="57" xfId="0" applyBorder="1" applyAlignment="1">
      <alignment horizontal="left" wrapText="1"/>
    </xf>
    <xf numFmtId="0" fontId="0" fillId="0" borderId="0" xfId="0" applyBorder="1" applyAlignment="1">
      <alignment horizontal="left" wrapText="1"/>
    </xf>
    <xf numFmtId="0" fontId="0" fillId="0" borderId="0" xfId="0" applyAlignment="1">
      <alignment horizontal="left" wrapText="1"/>
    </xf>
    <xf numFmtId="0" fontId="2" fillId="4" borderId="24" xfId="0" applyFont="1" applyFill="1" applyBorder="1" applyAlignment="1">
      <alignment horizontal="center" wrapText="1"/>
    </xf>
    <xf numFmtId="0" fontId="2" fillId="11" borderId="0" xfId="0" applyFont="1" applyFill="1" applyBorder="1" applyAlignment="1">
      <alignment horizontal="center" wrapText="1"/>
    </xf>
    <xf numFmtId="0" fontId="26" fillId="0" borderId="65" xfId="0" applyFont="1" applyFill="1" applyBorder="1" applyAlignment="1">
      <alignment vertical="top" wrapText="1"/>
    </xf>
    <xf numFmtId="0" fontId="0" fillId="0" borderId="65" xfId="0" applyFill="1" applyBorder="1" applyAlignment="1">
      <alignment vertical="top" wrapText="1"/>
    </xf>
    <xf numFmtId="0" fontId="0" fillId="0" borderId="70" xfId="0" applyFill="1" applyBorder="1" applyAlignment="1">
      <alignment vertical="top" wrapText="1"/>
    </xf>
    <xf numFmtId="0" fontId="21" fillId="0" borderId="0" xfId="0" applyFont="1" applyBorder="1" applyAlignment="1">
      <alignment vertical="center" wrapText="1"/>
    </xf>
    <xf numFmtId="0" fontId="0" fillId="0" borderId="0" xfId="0" applyAlignment="1">
      <alignment vertical="center" wrapText="1"/>
    </xf>
    <xf numFmtId="0" fontId="21" fillId="0" borderId="0" xfId="0" applyNumberFormat="1" applyFont="1" applyBorder="1" applyAlignment="1">
      <alignment vertical="center" wrapText="1"/>
    </xf>
    <xf numFmtId="0" fontId="25" fillId="8" borderId="60" xfId="0" applyFont="1" applyFill="1" applyBorder="1" applyAlignment="1">
      <alignment horizontal="center" vertical="center" wrapText="1"/>
    </xf>
    <xf numFmtId="0" fontId="25" fillId="8" borderId="61" xfId="0" applyFont="1" applyFill="1" applyBorder="1" applyAlignment="1">
      <alignment horizontal="center" vertical="center" wrapText="1"/>
    </xf>
    <xf numFmtId="0" fontId="25" fillId="8" borderId="62" xfId="0" applyFont="1" applyFill="1" applyBorder="1" applyAlignment="1">
      <alignment horizontal="center" vertical="center" wrapText="1"/>
    </xf>
    <xf numFmtId="0" fontId="27" fillId="0" borderId="25" xfId="0" applyFont="1" applyBorder="1" applyAlignment="1">
      <alignment horizontal="right" vertical="center" wrapText="1"/>
    </xf>
    <xf numFmtId="0" fontId="27" fillId="0" borderId="24" xfId="0" applyFont="1" applyBorder="1" applyAlignment="1">
      <alignment horizontal="right" vertical="center" wrapText="1"/>
    </xf>
    <xf numFmtId="0" fontId="33" fillId="0" borderId="57" xfId="0" applyFont="1" applyBorder="1" applyAlignment="1">
      <alignment horizontal="center" vertical="center" wrapText="1"/>
    </xf>
    <xf numFmtId="0" fontId="34" fillId="0" borderId="65" xfId="0" applyFont="1" applyBorder="1" applyAlignment="1">
      <alignment horizontal="center" vertical="center" wrapText="1"/>
    </xf>
    <xf numFmtId="0" fontId="33" fillId="0" borderId="42" xfId="0" applyFont="1" applyBorder="1" applyAlignment="1">
      <alignment horizontal="center" vertical="center" wrapText="1"/>
    </xf>
    <xf numFmtId="0" fontId="21" fillId="9" borderId="25" xfId="0" applyFont="1" applyFill="1" applyBorder="1" applyAlignment="1">
      <alignment horizontal="center" vertical="center" wrapText="1"/>
    </xf>
    <xf numFmtId="0" fontId="0" fillId="0" borderId="23" xfId="0" applyBorder="1" applyAlignment="1">
      <alignment horizontal="center" vertical="center" wrapText="1"/>
    </xf>
    <xf numFmtId="0" fontId="0" fillId="0" borderId="37" xfId="0" applyBorder="1" applyAlignment="1">
      <alignment horizontal="center" vertical="center" wrapText="1"/>
    </xf>
    <xf numFmtId="0" fontId="26" fillId="0" borderId="63" xfId="0" applyFont="1" applyFill="1" applyBorder="1" applyAlignment="1">
      <alignment vertical="top" wrapText="1"/>
    </xf>
    <xf numFmtId="0" fontId="0" fillId="0" borderId="68" xfId="0" applyFill="1" applyBorder="1" applyAlignment="1">
      <alignment vertical="top" wrapText="1"/>
    </xf>
    <xf numFmtId="0" fontId="0" fillId="0" borderId="16" xfId="0" applyFill="1" applyBorder="1" applyAlignment="1">
      <alignmen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ble%20D%20-%20Hydrolysis-Saccharification%20type_%20Tables_SynB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A PT Reproducibility"/>
      <sheetName val="Table B Enzyme Perf &amp; Cost Cont"/>
      <sheetName val="Table C Process Detail Economic"/>
    </sheetNames>
    <sheetDataSet>
      <sheetData sheetId="0" refreshError="1"/>
      <sheetData sheetId="1">
        <row r="32">
          <cell r="D32">
            <v>0.42233915980641007</v>
          </cell>
          <cell r="E32">
            <v>0.31675436985480754</v>
          </cell>
          <cell r="F32">
            <v>9.5026310956442261E-2</v>
          </cell>
        </row>
        <row r="41">
          <cell r="D41">
            <v>83.757683460085929</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25"/>
  <sheetViews>
    <sheetView topLeftCell="A19" workbookViewId="0">
      <selection activeCell="K32" sqref="K32"/>
    </sheetView>
  </sheetViews>
  <sheetFormatPr defaultRowHeight="12.75" x14ac:dyDescent="0.2"/>
  <cols>
    <col min="1" max="1" width="19.85546875" customWidth="1"/>
    <col min="2" max="2" width="19.42578125" customWidth="1"/>
    <col min="3" max="3" width="18.7109375" customWidth="1"/>
    <col min="4" max="4" width="16.7109375" customWidth="1"/>
    <col min="5" max="5" width="13.140625" customWidth="1"/>
    <col min="6" max="6" width="13.42578125" customWidth="1"/>
    <col min="7" max="9" width="11.85546875" customWidth="1"/>
  </cols>
  <sheetData>
    <row r="1" spans="1:10" ht="18.75" thickBot="1" x14ac:dyDescent="0.3">
      <c r="A1" s="391" t="s">
        <v>43</v>
      </c>
      <c r="B1" s="391"/>
      <c r="C1" s="391"/>
      <c r="D1" s="391"/>
      <c r="E1" s="391"/>
      <c r="F1" s="391"/>
      <c r="G1" s="391"/>
      <c r="H1" s="391"/>
      <c r="I1" s="391"/>
      <c r="J1" s="261" t="s">
        <v>322</v>
      </c>
    </row>
    <row r="2" spans="1:10" x14ac:dyDescent="0.2">
      <c r="A2" s="56"/>
      <c r="B2" s="392" t="s">
        <v>42</v>
      </c>
      <c r="C2" s="393"/>
      <c r="D2" s="394"/>
      <c r="E2" s="395" t="s">
        <v>41</v>
      </c>
      <c r="F2" s="396"/>
      <c r="G2" s="397" t="s">
        <v>40</v>
      </c>
      <c r="H2" s="397"/>
      <c r="I2" s="397"/>
    </row>
    <row r="3" spans="1:10" ht="51.75" thickBot="1" x14ac:dyDescent="0.25">
      <c r="A3" s="55" t="s">
        <v>39</v>
      </c>
      <c r="B3" s="54" t="s">
        <v>38</v>
      </c>
      <c r="C3" s="53" t="s">
        <v>37</v>
      </c>
      <c r="D3" s="52" t="s">
        <v>36</v>
      </c>
      <c r="E3" s="51" t="s">
        <v>35</v>
      </c>
      <c r="F3" s="50" t="s">
        <v>34</v>
      </c>
      <c r="G3" s="49" t="s">
        <v>437</v>
      </c>
      <c r="H3" s="49" t="s">
        <v>32</v>
      </c>
      <c r="I3" s="49" t="s">
        <v>31</v>
      </c>
    </row>
    <row r="4" spans="1:10" ht="39" thickTop="1" x14ac:dyDescent="0.2">
      <c r="A4" s="48" t="s">
        <v>353</v>
      </c>
      <c r="B4" s="47" t="s">
        <v>30</v>
      </c>
      <c r="C4" s="46" t="s">
        <v>30</v>
      </c>
      <c r="D4" s="45" t="s">
        <v>29</v>
      </c>
      <c r="E4" s="44" t="s">
        <v>28</v>
      </c>
      <c r="F4" s="43" t="s">
        <v>28</v>
      </c>
      <c r="G4" s="42"/>
      <c r="H4" s="41"/>
      <c r="I4" s="41"/>
    </row>
    <row r="5" spans="1:10" ht="38.25" x14ac:dyDescent="0.2">
      <c r="A5" s="14" t="s">
        <v>352</v>
      </c>
      <c r="B5" s="12" t="s">
        <v>27</v>
      </c>
      <c r="C5" s="13" t="s">
        <v>27</v>
      </c>
      <c r="D5" s="11" t="s">
        <v>26</v>
      </c>
      <c r="E5" s="12" t="s">
        <v>25</v>
      </c>
      <c r="F5" s="11" t="s">
        <v>24</v>
      </c>
      <c r="G5" s="10"/>
      <c r="H5" s="9"/>
      <c r="I5" s="9"/>
    </row>
    <row r="6" spans="1:10" x14ac:dyDescent="0.2">
      <c r="A6" s="40" t="s">
        <v>23</v>
      </c>
      <c r="B6" s="34"/>
      <c r="C6" s="16"/>
      <c r="D6" s="33"/>
      <c r="E6" s="34"/>
      <c r="F6" s="33"/>
      <c r="G6" s="17"/>
      <c r="H6" s="16"/>
      <c r="I6" s="16"/>
    </row>
    <row r="7" spans="1:10" x14ac:dyDescent="0.2">
      <c r="A7" s="36" t="s">
        <v>22</v>
      </c>
      <c r="B7" s="12"/>
      <c r="C7" s="13"/>
      <c r="D7" s="11"/>
      <c r="E7" s="39">
        <v>0.2</v>
      </c>
      <c r="F7" s="38">
        <v>0.2</v>
      </c>
      <c r="G7" s="10"/>
      <c r="H7" s="9"/>
      <c r="I7" s="9"/>
    </row>
    <row r="8" spans="1:10" x14ac:dyDescent="0.2">
      <c r="A8" s="36" t="s">
        <v>21</v>
      </c>
      <c r="B8" s="12">
        <v>75</v>
      </c>
      <c r="C8" s="13">
        <v>90</v>
      </c>
      <c r="D8" s="11">
        <v>140</v>
      </c>
      <c r="E8" s="37">
        <f>27579*1000/418163</f>
        <v>65.952750482467366</v>
      </c>
      <c r="F8" s="29">
        <f>28176*1000/433898</f>
        <v>64.936920658772337</v>
      </c>
      <c r="G8" s="10"/>
      <c r="H8" s="9"/>
      <c r="I8" s="9"/>
    </row>
    <row r="9" spans="1:10" x14ac:dyDescent="0.2">
      <c r="A9" s="36" t="s">
        <v>20</v>
      </c>
      <c r="B9" s="12">
        <v>75</v>
      </c>
      <c r="C9" s="13">
        <v>44</v>
      </c>
      <c r="D9" s="11">
        <v>140</v>
      </c>
      <c r="E9" s="37">
        <f>10247*1000/418163</f>
        <v>24.504798368100477</v>
      </c>
      <c r="F9" s="29">
        <f>16435*1000/433898</f>
        <v>37.877565695163376</v>
      </c>
      <c r="G9" s="10"/>
      <c r="H9" s="9"/>
      <c r="I9" s="9"/>
    </row>
    <row r="10" spans="1:10" x14ac:dyDescent="0.2">
      <c r="A10" s="36" t="s">
        <v>19</v>
      </c>
      <c r="B10" s="12"/>
      <c r="C10" s="13"/>
      <c r="D10" s="11"/>
      <c r="E10" s="37">
        <f>(1708+993+1139)*1000/418163</f>
        <v>9.1830219316390984</v>
      </c>
      <c r="F10" s="29">
        <f>(2306+1498+1205)*1000/433898</f>
        <v>11.54418780450705</v>
      </c>
      <c r="G10" s="10"/>
      <c r="H10" s="9"/>
      <c r="I10" s="9"/>
    </row>
    <row r="11" spans="1:10" x14ac:dyDescent="0.2">
      <c r="A11" s="36" t="s">
        <v>18</v>
      </c>
      <c r="B11" s="12"/>
      <c r="C11" s="13"/>
      <c r="D11" s="11"/>
      <c r="E11" s="37">
        <f>4229*1000/418163</f>
        <v>10.113281184609829</v>
      </c>
      <c r="F11" s="29">
        <f>4629*1000/433898</f>
        <v>10.668405938722925</v>
      </c>
      <c r="G11" s="10"/>
      <c r="H11" s="9"/>
      <c r="I11" s="9"/>
    </row>
    <row r="12" spans="1:10" x14ac:dyDescent="0.2">
      <c r="A12" s="21" t="s">
        <v>17</v>
      </c>
      <c r="B12" s="34"/>
      <c r="C12" s="16"/>
      <c r="D12" s="33"/>
      <c r="E12" s="34"/>
      <c r="F12" s="33"/>
      <c r="G12" s="17"/>
      <c r="H12" s="16"/>
      <c r="I12" s="16"/>
    </row>
    <row r="13" spans="1:10" x14ac:dyDescent="0.2">
      <c r="A13" s="36" t="s">
        <v>16</v>
      </c>
      <c r="B13" s="12">
        <v>100</v>
      </c>
      <c r="C13" s="13">
        <v>100</v>
      </c>
      <c r="D13" s="11"/>
      <c r="E13" s="12">
        <v>100</v>
      </c>
      <c r="F13" s="11">
        <v>100</v>
      </c>
      <c r="G13" s="10"/>
      <c r="H13" s="9"/>
      <c r="I13" s="9"/>
    </row>
    <row r="14" spans="1:10" x14ac:dyDescent="0.2">
      <c r="A14" s="36" t="s">
        <v>15</v>
      </c>
      <c r="B14" s="12">
        <v>84</v>
      </c>
      <c r="C14" s="13">
        <v>90</v>
      </c>
      <c r="D14" s="11"/>
      <c r="E14" s="12">
        <v>85</v>
      </c>
      <c r="F14" s="11">
        <v>94</v>
      </c>
      <c r="G14" s="10"/>
      <c r="H14" s="9"/>
      <c r="I14" s="9"/>
    </row>
    <row r="15" spans="1:10" x14ac:dyDescent="0.2">
      <c r="A15" s="36" t="s">
        <v>14</v>
      </c>
      <c r="B15" s="12"/>
      <c r="C15" s="13"/>
      <c r="D15" s="11"/>
      <c r="E15" s="12">
        <v>0</v>
      </c>
      <c r="F15" s="11">
        <v>90</v>
      </c>
      <c r="G15" s="10"/>
      <c r="H15" s="9"/>
      <c r="I15" s="9"/>
    </row>
    <row r="16" spans="1:10" x14ac:dyDescent="0.2">
      <c r="A16" s="35" t="s">
        <v>360</v>
      </c>
      <c r="B16" s="34"/>
      <c r="C16" s="16"/>
      <c r="D16" s="33"/>
      <c r="E16" s="34"/>
      <c r="F16" s="33"/>
      <c r="G16" s="17"/>
      <c r="H16" s="16"/>
      <c r="I16" s="16"/>
    </row>
    <row r="17" spans="1:9" ht="25.5" x14ac:dyDescent="0.2">
      <c r="A17" s="245" t="s">
        <v>361</v>
      </c>
      <c r="B17" s="31"/>
      <c r="C17" s="32"/>
      <c r="D17" s="29">
        <v>85.6</v>
      </c>
      <c r="E17" s="23">
        <v>95</v>
      </c>
      <c r="F17" s="22">
        <v>95</v>
      </c>
      <c r="G17" s="10"/>
      <c r="H17" s="9"/>
      <c r="I17" s="9"/>
    </row>
    <row r="18" spans="1:9" ht="25.5" x14ac:dyDescent="0.2">
      <c r="A18" s="245" t="s">
        <v>362</v>
      </c>
      <c r="B18" s="31"/>
      <c r="C18" s="30"/>
      <c r="D18" s="29">
        <v>89.4</v>
      </c>
      <c r="E18" s="23">
        <v>75</v>
      </c>
      <c r="F18" s="22">
        <v>85</v>
      </c>
      <c r="G18" s="10"/>
      <c r="H18" s="9"/>
      <c r="I18" s="9"/>
    </row>
    <row r="19" spans="1:9" ht="38.25" x14ac:dyDescent="0.2">
      <c r="A19" s="245" t="s">
        <v>363</v>
      </c>
      <c r="B19" s="12"/>
      <c r="C19" s="13"/>
      <c r="D19" s="11"/>
      <c r="E19" s="23">
        <v>0</v>
      </c>
      <c r="F19" s="22">
        <v>85</v>
      </c>
      <c r="G19" s="10"/>
      <c r="H19" s="9"/>
      <c r="I19" s="9"/>
    </row>
    <row r="20" spans="1:9" x14ac:dyDescent="0.2">
      <c r="A20" s="27" t="s">
        <v>13</v>
      </c>
      <c r="B20" s="26">
        <v>67</v>
      </c>
      <c r="C20" s="25">
        <v>60</v>
      </c>
      <c r="D20" s="24">
        <v>63.8</v>
      </c>
      <c r="E20" s="23">
        <v>50</v>
      </c>
      <c r="F20" s="22">
        <v>62</v>
      </c>
      <c r="G20" s="10"/>
      <c r="H20" s="9"/>
      <c r="I20" s="9"/>
    </row>
    <row r="21" spans="1:9" x14ac:dyDescent="0.2">
      <c r="A21" s="21" t="s">
        <v>12</v>
      </c>
      <c r="B21" s="19"/>
      <c r="C21" s="20"/>
      <c r="D21" s="18"/>
      <c r="E21" s="19"/>
      <c r="F21" s="18"/>
      <c r="G21" s="17"/>
      <c r="H21" s="16"/>
      <c r="I21" s="16"/>
    </row>
    <row r="22" spans="1:9" ht="38.25" x14ac:dyDescent="0.2">
      <c r="A22" s="15" t="s">
        <v>11</v>
      </c>
      <c r="B22" s="12">
        <v>80</v>
      </c>
      <c r="C22" s="13">
        <v>52</v>
      </c>
      <c r="D22" s="11">
        <v>96</v>
      </c>
      <c r="E22" s="12" t="s">
        <v>10</v>
      </c>
      <c r="F22" s="11" t="s">
        <v>9</v>
      </c>
      <c r="G22" s="10"/>
      <c r="H22" s="9"/>
      <c r="I22" s="9"/>
    </row>
    <row r="23" spans="1:9" ht="38.25" x14ac:dyDescent="0.2">
      <c r="A23" s="14" t="s">
        <v>8</v>
      </c>
      <c r="B23" s="12" t="s">
        <v>7</v>
      </c>
      <c r="C23" s="13" t="s">
        <v>6</v>
      </c>
      <c r="D23" s="11" t="s">
        <v>6</v>
      </c>
      <c r="E23" s="12" t="s">
        <v>5</v>
      </c>
      <c r="F23" s="11" t="s">
        <v>4</v>
      </c>
      <c r="G23" s="10"/>
      <c r="H23" s="9"/>
      <c r="I23" s="9"/>
    </row>
    <row r="24" spans="1:9" ht="102.75" thickBot="1" x14ac:dyDescent="0.25">
      <c r="A24" s="8" t="s">
        <v>3</v>
      </c>
      <c r="B24" s="7"/>
      <c r="C24" s="6" t="s">
        <v>2</v>
      </c>
      <c r="D24" s="5"/>
      <c r="E24" s="4" t="s">
        <v>1</v>
      </c>
      <c r="F24" s="3" t="s">
        <v>0</v>
      </c>
      <c r="G24" s="2"/>
      <c r="H24" s="1"/>
      <c r="I24" s="1"/>
    </row>
    <row r="25" spans="1:9" x14ac:dyDescent="0.2">
      <c r="A25" s="398" t="s">
        <v>436</v>
      </c>
      <c r="B25" s="399"/>
      <c r="C25" s="399"/>
      <c r="D25" s="399"/>
    </row>
  </sheetData>
  <mergeCells count="5">
    <mergeCell ref="A1:I1"/>
    <mergeCell ref="B2:D2"/>
    <mergeCell ref="E2:F2"/>
    <mergeCell ref="G2:I2"/>
    <mergeCell ref="A25:D25"/>
  </mergeCells>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25"/>
  <sheetViews>
    <sheetView topLeftCell="A8" workbookViewId="0">
      <selection activeCell="B25" sqref="B25"/>
    </sheetView>
  </sheetViews>
  <sheetFormatPr defaultRowHeight="12.75" x14ac:dyDescent="0.2"/>
  <cols>
    <col min="1" max="1" width="36.140625" customWidth="1"/>
    <col min="2" max="2" width="42.28515625" customWidth="1"/>
    <col min="3" max="4" width="15.5703125" customWidth="1"/>
    <col min="5" max="6" width="15.42578125" customWidth="1"/>
    <col min="7" max="7" width="15.140625" customWidth="1"/>
    <col min="8" max="8" width="14.28515625" customWidth="1"/>
    <col min="9" max="9" width="45.7109375" customWidth="1"/>
    <col min="10" max="10" width="12.28515625" customWidth="1"/>
    <col min="11" max="11" width="11.85546875" customWidth="1"/>
  </cols>
  <sheetData>
    <row r="1" spans="1:9" ht="39.75" customHeight="1" x14ac:dyDescent="0.25">
      <c r="A1" s="403" t="s">
        <v>373</v>
      </c>
      <c r="B1" s="403"/>
      <c r="G1" s="261" t="s">
        <v>322</v>
      </c>
    </row>
    <row r="2" spans="1:9" ht="39.75" thickBot="1" x14ac:dyDescent="0.3">
      <c r="A2" s="57" t="s">
        <v>44</v>
      </c>
      <c r="B2" s="57" t="s">
        <v>45</v>
      </c>
      <c r="C2" s="58" t="s">
        <v>46</v>
      </c>
      <c r="D2" s="58" t="s">
        <v>47</v>
      </c>
      <c r="E2" s="58" t="s">
        <v>48</v>
      </c>
      <c r="F2" s="58" t="s">
        <v>49</v>
      </c>
      <c r="G2" s="58" t="s">
        <v>50</v>
      </c>
      <c r="H2" s="58" t="s">
        <v>51</v>
      </c>
      <c r="I2" s="328" t="s">
        <v>435</v>
      </c>
    </row>
    <row r="3" spans="1:9" ht="14.25" x14ac:dyDescent="0.2">
      <c r="A3" s="59" t="s">
        <v>52</v>
      </c>
      <c r="B3" s="59" t="s">
        <v>53</v>
      </c>
      <c r="C3" s="60"/>
      <c r="D3" s="60"/>
      <c r="E3" s="60"/>
      <c r="F3" s="60"/>
      <c r="G3" s="61"/>
      <c r="H3" s="62"/>
    </row>
    <row r="4" spans="1:9" ht="14.25" x14ac:dyDescent="0.2">
      <c r="A4" s="63" t="s">
        <v>54</v>
      </c>
      <c r="B4" s="63" t="s">
        <v>55</v>
      </c>
      <c r="C4" s="64"/>
      <c r="D4" s="64"/>
      <c r="E4" s="64"/>
      <c r="F4" s="64"/>
      <c r="G4" s="65"/>
      <c r="H4" s="66"/>
    </row>
    <row r="5" spans="1:9" ht="14.25" x14ac:dyDescent="0.2">
      <c r="A5" s="63" t="s">
        <v>56</v>
      </c>
      <c r="B5" s="63" t="s">
        <v>57</v>
      </c>
      <c r="C5" s="64"/>
      <c r="D5" s="64"/>
      <c r="E5" s="64"/>
      <c r="F5" s="64"/>
      <c r="G5" s="65"/>
      <c r="H5" s="66"/>
    </row>
    <row r="6" spans="1:9" ht="14.25" x14ac:dyDescent="0.2">
      <c r="A6" s="63" t="s">
        <v>58</v>
      </c>
      <c r="B6" s="63" t="s">
        <v>59</v>
      </c>
      <c r="C6" s="64"/>
      <c r="D6" s="64"/>
      <c r="E6" s="64"/>
      <c r="F6" s="64"/>
      <c r="G6" s="65"/>
      <c r="H6" s="66"/>
    </row>
    <row r="7" spans="1:9" ht="14.25" x14ac:dyDescent="0.2">
      <c r="A7" s="63" t="s">
        <v>60</v>
      </c>
      <c r="B7" s="63"/>
      <c r="C7" s="64"/>
      <c r="D7" s="64"/>
      <c r="E7" s="64"/>
      <c r="F7" s="64"/>
      <c r="G7" s="65"/>
      <c r="H7" s="66"/>
    </row>
    <row r="8" spans="1:9" ht="14.25" x14ac:dyDescent="0.2">
      <c r="A8" s="63" t="s">
        <v>61</v>
      </c>
      <c r="B8" s="63" t="s">
        <v>62</v>
      </c>
      <c r="C8" s="64"/>
      <c r="D8" s="64"/>
      <c r="E8" s="64"/>
      <c r="F8" s="64"/>
      <c r="G8" s="65"/>
      <c r="H8" s="66"/>
    </row>
    <row r="9" spans="1:9" ht="18.75" x14ac:dyDescent="0.35">
      <c r="A9" s="63" t="s">
        <v>63</v>
      </c>
      <c r="B9" s="63" t="s">
        <v>64</v>
      </c>
      <c r="C9" s="64"/>
      <c r="D9" s="64"/>
      <c r="E9" s="64"/>
      <c r="F9" s="64"/>
      <c r="G9" s="65"/>
      <c r="H9" s="66"/>
    </row>
    <row r="10" spans="1:9" ht="18.75" x14ac:dyDescent="0.35">
      <c r="A10" s="63" t="s">
        <v>65</v>
      </c>
      <c r="B10" s="63" t="s">
        <v>64</v>
      </c>
      <c r="C10" s="64"/>
      <c r="D10" s="64"/>
      <c r="E10" s="64"/>
      <c r="F10" s="64"/>
      <c r="G10" s="65"/>
      <c r="H10" s="66"/>
    </row>
    <row r="11" spans="1:9" ht="14.25" x14ac:dyDescent="0.2">
      <c r="A11" s="63" t="s">
        <v>66</v>
      </c>
      <c r="B11" s="63" t="s">
        <v>67</v>
      </c>
      <c r="C11" s="64"/>
      <c r="D11" s="64"/>
      <c r="E11" s="64"/>
      <c r="F11" s="64"/>
      <c r="G11" s="65"/>
      <c r="H11" s="66"/>
    </row>
    <row r="12" spans="1:9" ht="14.25" x14ac:dyDescent="0.2">
      <c r="A12" s="63" t="s">
        <v>68</v>
      </c>
      <c r="B12" s="63" t="s">
        <v>69</v>
      </c>
      <c r="C12" s="64"/>
      <c r="D12" s="64"/>
      <c r="E12" s="64"/>
      <c r="F12" s="64"/>
      <c r="G12" s="65"/>
      <c r="H12" s="66"/>
    </row>
    <row r="13" spans="1:9" ht="14.25" x14ac:dyDescent="0.2">
      <c r="A13" s="63" t="s">
        <v>364</v>
      </c>
      <c r="B13" s="63" t="s">
        <v>70</v>
      </c>
      <c r="C13" s="64"/>
      <c r="D13" s="64"/>
      <c r="E13" s="64"/>
      <c r="F13" s="64"/>
      <c r="G13" s="65"/>
      <c r="H13" s="66"/>
    </row>
    <row r="14" spans="1:9" ht="14.25" x14ac:dyDescent="0.2">
      <c r="A14" s="63" t="s">
        <v>71</v>
      </c>
      <c r="B14" s="63" t="s">
        <v>72</v>
      </c>
      <c r="C14" s="64" t="s">
        <v>73</v>
      </c>
      <c r="D14" s="64"/>
      <c r="E14" s="64" t="s">
        <v>73</v>
      </c>
      <c r="F14" s="64"/>
      <c r="G14" s="64" t="s">
        <v>73</v>
      </c>
      <c r="H14" s="66"/>
    </row>
    <row r="15" spans="1:9" ht="14.25" x14ac:dyDescent="0.2">
      <c r="A15" s="63" t="s">
        <v>74</v>
      </c>
      <c r="B15" s="63" t="s">
        <v>72</v>
      </c>
      <c r="C15" s="64" t="s">
        <v>73</v>
      </c>
      <c r="D15" s="64"/>
      <c r="E15" s="64" t="s">
        <v>73</v>
      </c>
      <c r="F15" s="64"/>
      <c r="G15" s="64" t="s">
        <v>73</v>
      </c>
      <c r="H15" s="66"/>
    </row>
    <row r="16" spans="1:9" ht="14.25" x14ac:dyDescent="0.2">
      <c r="A16" s="63" t="s">
        <v>75</v>
      </c>
      <c r="B16" s="63" t="s">
        <v>76</v>
      </c>
      <c r="C16" s="64" t="s">
        <v>73</v>
      </c>
      <c r="D16" s="64"/>
      <c r="E16" s="64" t="s">
        <v>73</v>
      </c>
      <c r="F16" s="64"/>
      <c r="G16" s="64" t="s">
        <v>73</v>
      </c>
      <c r="H16" s="66"/>
    </row>
    <row r="17" spans="1:9" ht="14.25" x14ac:dyDescent="0.2">
      <c r="A17" s="63" t="s">
        <v>77</v>
      </c>
      <c r="B17" s="63" t="s">
        <v>72</v>
      </c>
      <c r="C17" s="64" t="s">
        <v>73</v>
      </c>
      <c r="D17" s="64"/>
      <c r="E17" s="64" t="s">
        <v>73</v>
      </c>
      <c r="F17" s="64"/>
      <c r="G17" s="64" t="s">
        <v>73</v>
      </c>
      <c r="H17" s="66"/>
    </row>
    <row r="18" spans="1:9" ht="14.25" x14ac:dyDescent="0.2">
      <c r="A18" s="63" t="s">
        <v>78</v>
      </c>
      <c r="B18" s="63" t="s">
        <v>72</v>
      </c>
      <c r="C18" s="64" t="s">
        <v>73</v>
      </c>
      <c r="D18" s="64"/>
      <c r="E18" s="64" t="s">
        <v>73</v>
      </c>
      <c r="F18" s="64"/>
      <c r="G18" s="64" t="s">
        <v>73</v>
      </c>
      <c r="H18" s="66"/>
    </row>
    <row r="19" spans="1:9" ht="51" x14ac:dyDescent="0.2">
      <c r="A19" s="63" t="s">
        <v>365</v>
      </c>
      <c r="B19" s="63" t="s">
        <v>366</v>
      </c>
      <c r="C19" s="64" t="s">
        <v>73</v>
      </c>
      <c r="D19" s="64"/>
      <c r="E19" s="64" t="s">
        <v>73</v>
      </c>
      <c r="F19" s="64"/>
      <c r="G19" s="64" t="s">
        <v>73</v>
      </c>
      <c r="H19" s="66"/>
      <c r="I19" s="195" t="s">
        <v>359</v>
      </c>
    </row>
    <row r="20" spans="1:9" ht="28.5" x14ac:dyDescent="0.2">
      <c r="A20" s="63" t="s">
        <v>367</v>
      </c>
      <c r="B20" s="63" t="s">
        <v>368</v>
      </c>
      <c r="C20" s="64" t="s">
        <v>73</v>
      </c>
      <c r="D20" s="64"/>
      <c r="E20" s="64" t="s">
        <v>73</v>
      </c>
      <c r="F20" s="64"/>
      <c r="G20" s="64" t="s">
        <v>73</v>
      </c>
      <c r="H20" s="66"/>
    </row>
    <row r="21" spans="1:9" ht="28.5" x14ac:dyDescent="0.2">
      <c r="A21" s="63" t="s">
        <v>369</v>
      </c>
      <c r="B21" s="63" t="s">
        <v>370</v>
      </c>
      <c r="C21" s="64" t="s">
        <v>73</v>
      </c>
      <c r="D21" s="64"/>
      <c r="E21" s="64" t="s">
        <v>73</v>
      </c>
      <c r="F21" s="64"/>
      <c r="G21" s="64" t="s">
        <v>73</v>
      </c>
      <c r="H21" s="66"/>
    </row>
    <row r="22" spans="1:9" ht="28.5" x14ac:dyDescent="0.2">
      <c r="A22" s="63" t="s">
        <v>371</v>
      </c>
      <c r="B22" s="63" t="s">
        <v>372</v>
      </c>
      <c r="C22" s="64" t="s">
        <v>79</v>
      </c>
      <c r="D22" s="64"/>
      <c r="E22" s="64" t="s">
        <v>79</v>
      </c>
      <c r="F22" s="64"/>
      <c r="G22" s="64" t="s">
        <v>79</v>
      </c>
      <c r="H22" s="66"/>
    </row>
    <row r="23" spans="1:9" ht="14.25" x14ac:dyDescent="0.2">
      <c r="A23" s="63" t="s">
        <v>80</v>
      </c>
      <c r="B23" s="63" t="s">
        <v>81</v>
      </c>
      <c r="C23" s="64" t="s">
        <v>82</v>
      </c>
      <c r="D23" s="64"/>
      <c r="E23" s="64" t="s">
        <v>82</v>
      </c>
      <c r="F23" s="64"/>
      <c r="G23" s="64" t="s">
        <v>82</v>
      </c>
      <c r="H23" s="66"/>
    </row>
    <row r="24" spans="1:9" x14ac:dyDescent="0.2">
      <c r="A24" s="400" t="s">
        <v>83</v>
      </c>
      <c r="B24" s="401"/>
      <c r="C24" s="401"/>
      <c r="D24" s="401"/>
      <c r="E24" s="401"/>
      <c r="F24" s="401"/>
      <c r="G24" s="401"/>
      <c r="H24" s="402"/>
    </row>
    <row r="25" spans="1:9" ht="28.5" x14ac:dyDescent="0.2">
      <c r="B25" s="389" t="s">
        <v>436</v>
      </c>
    </row>
  </sheetData>
  <mergeCells count="2">
    <mergeCell ref="A24:H24"/>
    <mergeCell ref="A1:B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F33"/>
  <sheetViews>
    <sheetView topLeftCell="A13" workbookViewId="0">
      <selection activeCell="D37" sqref="D37"/>
    </sheetView>
  </sheetViews>
  <sheetFormatPr defaultColWidth="20.85546875" defaultRowHeight="12.75" x14ac:dyDescent="0.2"/>
  <cols>
    <col min="1" max="1" width="29.5703125" customWidth="1"/>
    <col min="2" max="2" width="20.85546875" customWidth="1"/>
    <col min="3" max="3" width="18.7109375" customWidth="1"/>
    <col min="4" max="4" width="16.7109375" customWidth="1"/>
    <col min="5" max="5" width="17.42578125" customWidth="1"/>
    <col min="6" max="6" width="25" customWidth="1"/>
  </cols>
  <sheetData>
    <row r="1" spans="1:6" ht="18.75" thickBot="1" x14ac:dyDescent="0.3">
      <c r="A1" s="67" t="s">
        <v>84</v>
      </c>
      <c r="B1" s="68"/>
      <c r="C1" s="69"/>
      <c r="D1" s="261" t="s">
        <v>322</v>
      </c>
      <c r="E1" s="69"/>
      <c r="F1" s="70"/>
    </row>
    <row r="2" spans="1:6" ht="12.75" customHeight="1" x14ac:dyDescent="0.2">
      <c r="A2" s="71" t="s">
        <v>85</v>
      </c>
      <c r="B2" s="72"/>
      <c r="C2" s="404" t="s">
        <v>438</v>
      </c>
      <c r="D2" s="412" t="s">
        <v>32</v>
      </c>
      <c r="E2" s="414" t="s">
        <v>31</v>
      </c>
      <c r="F2" s="404" t="s">
        <v>86</v>
      </c>
    </row>
    <row r="3" spans="1:6" ht="28.5" customHeight="1" thickBot="1" x14ac:dyDescent="0.25">
      <c r="A3" s="73" t="s">
        <v>87</v>
      </c>
      <c r="B3" s="74"/>
      <c r="C3" s="405"/>
      <c r="D3" s="413"/>
      <c r="E3" s="415"/>
      <c r="F3" s="405"/>
    </row>
    <row r="4" spans="1:6" x14ac:dyDescent="0.2">
      <c r="A4" s="406" t="s">
        <v>354</v>
      </c>
      <c r="B4" s="407"/>
      <c r="C4" s="75"/>
      <c r="D4" s="76"/>
      <c r="E4" s="76"/>
      <c r="F4" s="77"/>
    </row>
    <row r="5" spans="1:6" ht="13.5" thickBot="1" x14ac:dyDescent="0.25">
      <c r="A5" s="410" t="s">
        <v>355</v>
      </c>
      <c r="B5" s="411"/>
      <c r="C5" s="78"/>
      <c r="D5" s="78"/>
      <c r="E5" s="78"/>
      <c r="F5" s="79"/>
    </row>
    <row r="6" spans="1:6" ht="25.5" x14ac:dyDescent="0.2">
      <c r="A6" s="327" t="s">
        <v>358</v>
      </c>
      <c r="B6" s="81" t="s">
        <v>89</v>
      </c>
      <c r="C6" s="82" t="s">
        <v>90</v>
      </c>
      <c r="D6" s="82"/>
      <c r="E6" s="82" t="s">
        <v>90</v>
      </c>
      <c r="F6" s="83"/>
    </row>
    <row r="7" spans="1:6" x14ac:dyDescent="0.2">
      <c r="A7" s="84" t="s">
        <v>91</v>
      </c>
      <c r="B7" s="66"/>
      <c r="C7" s="85"/>
      <c r="D7" s="85"/>
      <c r="E7" s="85"/>
      <c r="F7" s="86"/>
    </row>
    <row r="8" spans="1:6" x14ac:dyDescent="0.2">
      <c r="A8" s="84" t="s">
        <v>92</v>
      </c>
      <c r="B8" s="66"/>
      <c r="C8" s="85"/>
      <c r="D8" s="85"/>
      <c r="E8" s="85"/>
      <c r="F8" s="86"/>
    </row>
    <row r="9" spans="1:6" x14ac:dyDescent="0.2">
      <c r="A9" s="84" t="s">
        <v>93</v>
      </c>
      <c r="B9" s="66"/>
      <c r="C9" s="85"/>
      <c r="D9" s="85"/>
      <c r="E9" s="85"/>
      <c r="F9" s="87"/>
    </row>
    <row r="10" spans="1:6" ht="38.25" x14ac:dyDescent="0.2">
      <c r="A10" s="88" t="s">
        <v>94</v>
      </c>
      <c r="B10" s="66"/>
      <c r="C10" s="85"/>
      <c r="D10" s="89"/>
      <c r="E10" s="89"/>
      <c r="F10" s="87"/>
    </row>
    <row r="11" spans="1:6" x14ac:dyDescent="0.2">
      <c r="A11" s="84" t="s">
        <v>95</v>
      </c>
      <c r="B11" s="66"/>
      <c r="C11" s="90"/>
      <c r="D11" s="90"/>
      <c r="E11" s="90"/>
      <c r="F11" s="87"/>
    </row>
    <row r="12" spans="1:6" x14ac:dyDescent="0.2">
      <c r="A12" s="84" t="s">
        <v>96</v>
      </c>
      <c r="B12" s="66"/>
      <c r="C12" s="91"/>
      <c r="D12" s="91"/>
      <c r="E12" s="91"/>
      <c r="F12" s="87"/>
    </row>
    <row r="13" spans="1:6" x14ac:dyDescent="0.2">
      <c r="A13" s="84" t="s">
        <v>97</v>
      </c>
      <c r="B13" s="66"/>
      <c r="C13" s="91"/>
      <c r="D13" s="91"/>
      <c r="E13" s="91"/>
      <c r="F13" s="87"/>
    </row>
    <row r="14" spans="1:6" x14ac:dyDescent="0.2">
      <c r="A14" s="84" t="s">
        <v>98</v>
      </c>
      <c r="B14" s="66"/>
      <c r="C14" s="90"/>
      <c r="D14" s="90"/>
      <c r="E14" s="90"/>
      <c r="F14" s="87"/>
    </row>
    <row r="15" spans="1:6" ht="25.5" x14ac:dyDescent="0.2">
      <c r="A15" s="88" t="s">
        <v>99</v>
      </c>
      <c r="B15" s="66"/>
      <c r="C15" s="91"/>
      <c r="D15" s="91"/>
      <c r="E15" s="91"/>
      <c r="F15" s="87"/>
    </row>
    <row r="16" spans="1:6" x14ac:dyDescent="0.2">
      <c r="A16" s="92" t="s">
        <v>100</v>
      </c>
      <c r="B16" s="93"/>
      <c r="C16" s="94"/>
      <c r="D16" s="94"/>
      <c r="E16" s="94"/>
      <c r="F16" s="86"/>
    </row>
    <row r="17" spans="1:6" x14ac:dyDescent="0.2">
      <c r="A17" s="95" t="s">
        <v>356</v>
      </c>
      <c r="B17" s="96"/>
      <c r="C17" s="97"/>
      <c r="D17" s="97"/>
      <c r="E17" s="97"/>
      <c r="F17" s="98"/>
    </row>
    <row r="18" spans="1:6" ht="25.5" x14ac:dyDescent="0.2">
      <c r="A18" s="326" t="s">
        <v>357</v>
      </c>
      <c r="B18" s="100" t="s">
        <v>89</v>
      </c>
      <c r="C18" s="101" t="s">
        <v>102</v>
      </c>
      <c r="D18" s="101"/>
      <c r="E18" s="101" t="s">
        <v>102</v>
      </c>
      <c r="F18" s="86"/>
    </row>
    <row r="19" spans="1:6" x14ac:dyDescent="0.2">
      <c r="A19" s="84" t="s">
        <v>103</v>
      </c>
      <c r="B19" s="66"/>
      <c r="C19" s="85"/>
      <c r="D19" s="85"/>
      <c r="E19" s="85"/>
      <c r="F19" s="86"/>
    </row>
    <row r="20" spans="1:6" x14ac:dyDescent="0.2">
      <c r="A20" s="84" t="s">
        <v>104</v>
      </c>
      <c r="B20" s="66"/>
      <c r="C20" s="85"/>
      <c r="D20" s="85"/>
      <c r="E20" s="85"/>
      <c r="F20" s="102"/>
    </row>
    <row r="21" spans="1:6" x14ac:dyDescent="0.2">
      <c r="A21" s="84" t="s">
        <v>105</v>
      </c>
      <c r="B21" s="66"/>
      <c r="C21" s="85"/>
      <c r="D21" s="85"/>
      <c r="E21" s="85"/>
      <c r="F21" s="87"/>
    </row>
    <row r="22" spans="1:6" x14ac:dyDescent="0.2">
      <c r="A22" s="84" t="s">
        <v>106</v>
      </c>
      <c r="B22" s="66"/>
      <c r="C22" s="85"/>
      <c r="D22" s="85"/>
      <c r="E22" s="85"/>
      <c r="F22" s="86"/>
    </row>
    <row r="23" spans="1:6" ht="25.5" x14ac:dyDescent="0.2">
      <c r="A23" s="88" t="s">
        <v>107</v>
      </c>
      <c r="B23" s="66"/>
      <c r="C23" s="85"/>
      <c r="D23" s="85"/>
      <c r="E23" s="85"/>
      <c r="F23" s="87"/>
    </row>
    <row r="24" spans="1:6" x14ac:dyDescent="0.2">
      <c r="A24" s="84" t="s">
        <v>108</v>
      </c>
      <c r="B24" s="66"/>
      <c r="C24" s="85"/>
      <c r="D24" s="85"/>
      <c r="E24" s="85"/>
      <c r="F24" s="87"/>
    </row>
    <row r="25" spans="1:6" x14ac:dyDescent="0.2">
      <c r="A25" s="84" t="s">
        <v>109</v>
      </c>
      <c r="B25" s="66"/>
      <c r="C25" s="85"/>
      <c r="D25" s="85"/>
      <c r="E25" s="85"/>
      <c r="F25" s="87"/>
    </row>
    <row r="26" spans="1:6" x14ac:dyDescent="0.2">
      <c r="A26" s="84" t="s">
        <v>110</v>
      </c>
      <c r="B26" s="66"/>
      <c r="C26" s="85"/>
      <c r="D26" s="85"/>
      <c r="E26" s="85"/>
      <c r="F26" s="87"/>
    </row>
    <row r="27" spans="1:6" x14ac:dyDescent="0.2">
      <c r="A27" s="84" t="s">
        <v>111</v>
      </c>
      <c r="B27" s="66"/>
      <c r="C27" s="85"/>
      <c r="D27" s="85"/>
      <c r="E27" s="85"/>
      <c r="F27" s="87"/>
    </row>
    <row r="28" spans="1:6" x14ac:dyDescent="0.2">
      <c r="A28" s="103" t="s">
        <v>112</v>
      </c>
      <c r="B28" s="66"/>
      <c r="C28" s="85"/>
      <c r="D28" s="85"/>
      <c r="E28" s="85"/>
      <c r="F28" s="87"/>
    </row>
    <row r="29" spans="1:6" x14ac:dyDescent="0.2">
      <c r="A29" s="104" t="s">
        <v>113</v>
      </c>
      <c r="B29" s="105"/>
      <c r="C29" s="106"/>
      <c r="D29" s="106"/>
      <c r="E29" s="106"/>
      <c r="F29" s="107"/>
    </row>
    <row r="30" spans="1:6" x14ac:dyDescent="0.2">
      <c r="A30" s="103" t="s">
        <v>114</v>
      </c>
      <c r="B30" s="108"/>
      <c r="C30" s="109"/>
      <c r="D30" s="109"/>
      <c r="E30" s="109"/>
      <c r="F30" s="107"/>
    </row>
    <row r="31" spans="1:6" x14ac:dyDescent="0.2">
      <c r="A31" s="95" t="s">
        <v>115</v>
      </c>
      <c r="B31" s="66"/>
      <c r="C31" s="110"/>
      <c r="D31" s="110"/>
      <c r="E31" s="110"/>
      <c r="F31" s="86"/>
    </row>
    <row r="32" spans="1:6" ht="13.5" thickBot="1" x14ac:dyDescent="0.25">
      <c r="A32" s="111" t="s">
        <v>374</v>
      </c>
      <c r="B32" s="112"/>
      <c r="C32" s="113"/>
      <c r="D32" s="113"/>
      <c r="E32" s="113"/>
      <c r="F32" s="114"/>
    </row>
    <row r="33" spans="1:4" x14ac:dyDescent="0.2">
      <c r="A33" s="408" t="s">
        <v>436</v>
      </c>
      <c r="B33" s="409"/>
      <c r="C33" s="409"/>
      <c r="D33" s="409"/>
    </row>
  </sheetData>
  <mergeCells count="7">
    <mergeCell ref="F2:F3"/>
    <mergeCell ref="A4:B4"/>
    <mergeCell ref="A33:D33"/>
    <mergeCell ref="A5:B5"/>
    <mergeCell ref="C2:C3"/>
    <mergeCell ref="D2:D3"/>
    <mergeCell ref="E2:E3"/>
  </mergeCell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E49"/>
  <sheetViews>
    <sheetView topLeftCell="A37" workbookViewId="0">
      <selection activeCell="B59" sqref="B59"/>
    </sheetView>
  </sheetViews>
  <sheetFormatPr defaultRowHeight="12.75" x14ac:dyDescent="0.2"/>
  <cols>
    <col min="1" max="1" width="44.42578125" customWidth="1"/>
    <col min="2" max="2" width="42.28515625" customWidth="1"/>
    <col min="3" max="3" width="15.5703125" customWidth="1"/>
    <col min="4" max="4" width="15.42578125" customWidth="1"/>
    <col min="5" max="5" width="15.140625" customWidth="1"/>
  </cols>
  <sheetData>
    <row r="1" spans="1:5" ht="15" x14ac:dyDescent="0.25">
      <c r="A1" s="115"/>
    </row>
    <row r="2" spans="1:5" ht="36.75" customHeight="1" x14ac:dyDescent="0.25">
      <c r="A2" s="419" t="s">
        <v>375</v>
      </c>
      <c r="B2" s="419"/>
      <c r="C2" s="261" t="s">
        <v>322</v>
      </c>
    </row>
    <row r="3" spans="1:5" ht="15" x14ac:dyDescent="0.25">
      <c r="A3" s="116"/>
    </row>
    <row r="4" spans="1:5" ht="15.75" thickBot="1" x14ac:dyDescent="0.3">
      <c r="A4" s="117"/>
      <c r="B4" s="57" t="s">
        <v>116</v>
      </c>
      <c r="C4" s="420" t="s">
        <v>439</v>
      </c>
      <c r="D4" s="421"/>
      <c r="E4" s="422"/>
    </row>
    <row r="5" spans="1:5" ht="14.25" x14ac:dyDescent="0.2">
      <c r="A5" s="118" t="s">
        <v>85</v>
      </c>
      <c r="B5" s="59"/>
      <c r="C5" s="423"/>
      <c r="D5" s="424"/>
      <c r="E5" s="425"/>
    </row>
    <row r="6" spans="1:5" ht="14.25" x14ac:dyDescent="0.2">
      <c r="A6" s="119" t="s">
        <v>117</v>
      </c>
      <c r="B6" s="120" t="s">
        <v>118</v>
      </c>
      <c r="C6" s="416"/>
      <c r="D6" s="417"/>
      <c r="E6" s="418"/>
    </row>
    <row r="7" spans="1:5" ht="14.25" x14ac:dyDescent="0.2">
      <c r="A7" s="119" t="s">
        <v>119</v>
      </c>
      <c r="B7" s="120" t="s">
        <v>120</v>
      </c>
      <c r="C7" s="416"/>
      <c r="D7" s="417"/>
      <c r="E7" s="418"/>
    </row>
    <row r="8" spans="1:5" ht="14.25" x14ac:dyDescent="0.2">
      <c r="A8" s="119" t="s">
        <v>121</v>
      </c>
      <c r="B8" s="121"/>
      <c r="C8" s="426"/>
      <c r="D8" s="427"/>
      <c r="E8" s="428"/>
    </row>
    <row r="9" spans="1:5" ht="14.25" x14ac:dyDescent="0.2">
      <c r="A9" s="119" t="s">
        <v>122</v>
      </c>
      <c r="B9" s="120" t="s">
        <v>123</v>
      </c>
      <c r="C9" s="416"/>
      <c r="D9" s="417"/>
      <c r="E9" s="418"/>
    </row>
    <row r="10" spans="1:5" ht="14.25" x14ac:dyDescent="0.2">
      <c r="A10" s="119" t="s">
        <v>124</v>
      </c>
      <c r="B10" s="120" t="s">
        <v>123</v>
      </c>
      <c r="C10" s="416"/>
      <c r="D10" s="417"/>
      <c r="E10" s="418"/>
    </row>
    <row r="11" spans="1:5" ht="14.25" x14ac:dyDescent="0.2">
      <c r="A11" s="119" t="s">
        <v>125</v>
      </c>
      <c r="B11" s="120" t="s">
        <v>123</v>
      </c>
      <c r="C11" s="416"/>
      <c r="D11" s="417"/>
      <c r="E11" s="418"/>
    </row>
    <row r="12" spans="1:5" ht="14.25" x14ac:dyDescent="0.2">
      <c r="A12" s="119" t="s">
        <v>126</v>
      </c>
      <c r="B12" s="120" t="s">
        <v>123</v>
      </c>
      <c r="C12" s="416"/>
      <c r="D12" s="417"/>
      <c r="E12" s="418"/>
    </row>
    <row r="13" spans="1:5" ht="14.25" x14ac:dyDescent="0.2">
      <c r="A13" s="119" t="s">
        <v>127</v>
      </c>
      <c r="B13" s="120" t="s">
        <v>123</v>
      </c>
      <c r="C13" s="416"/>
      <c r="D13" s="417"/>
      <c r="E13" s="418"/>
    </row>
    <row r="14" spans="1:5" ht="14.25" x14ac:dyDescent="0.2">
      <c r="A14" s="119" t="s">
        <v>128</v>
      </c>
      <c r="B14" s="120" t="s">
        <v>123</v>
      </c>
      <c r="C14" s="416"/>
      <c r="D14" s="417"/>
      <c r="E14" s="418"/>
    </row>
    <row r="15" spans="1:5" ht="14.25" x14ac:dyDescent="0.2">
      <c r="A15" s="119" t="s">
        <v>129</v>
      </c>
      <c r="B15" s="120" t="s">
        <v>123</v>
      </c>
      <c r="C15" s="416"/>
      <c r="D15" s="417"/>
      <c r="E15" s="418"/>
    </row>
    <row r="16" spans="1:5" ht="14.25" x14ac:dyDescent="0.2">
      <c r="A16" s="119" t="s">
        <v>130</v>
      </c>
      <c r="B16" s="120" t="s">
        <v>123</v>
      </c>
      <c r="C16" s="416"/>
      <c r="D16" s="417"/>
      <c r="E16" s="418"/>
    </row>
    <row r="17" spans="1:5" ht="14.25" x14ac:dyDescent="0.2">
      <c r="A17" s="122" t="s">
        <v>131</v>
      </c>
      <c r="B17" s="63" t="s">
        <v>132</v>
      </c>
      <c r="C17" s="435"/>
      <c r="D17" s="429"/>
      <c r="E17" s="436"/>
    </row>
    <row r="18" spans="1:5" ht="14.25" x14ac:dyDescent="0.2">
      <c r="A18" s="122" t="s">
        <v>133</v>
      </c>
      <c r="B18" s="63" t="s">
        <v>134</v>
      </c>
      <c r="C18" s="432"/>
      <c r="D18" s="433"/>
      <c r="E18" s="434"/>
    </row>
    <row r="19" spans="1:5" ht="14.25" x14ac:dyDescent="0.2">
      <c r="A19" s="122" t="s">
        <v>135</v>
      </c>
      <c r="B19" s="63" t="s">
        <v>136</v>
      </c>
      <c r="C19" s="423"/>
      <c r="D19" s="424"/>
      <c r="E19" s="425"/>
    </row>
    <row r="20" spans="1:5" ht="14.25" x14ac:dyDescent="0.2">
      <c r="A20" s="122" t="s">
        <v>137</v>
      </c>
      <c r="B20" s="63" t="s">
        <v>138</v>
      </c>
      <c r="C20" s="432"/>
      <c r="D20" s="433"/>
      <c r="E20" s="434"/>
    </row>
    <row r="21" spans="1:5" ht="14.25" x14ac:dyDescent="0.2">
      <c r="A21" s="122" t="s">
        <v>139</v>
      </c>
      <c r="B21" s="63" t="s">
        <v>140</v>
      </c>
      <c r="C21" s="432"/>
      <c r="D21" s="433"/>
      <c r="E21" s="434"/>
    </row>
    <row r="22" spans="1:5" ht="14.25" x14ac:dyDescent="0.2">
      <c r="A22" s="122" t="s">
        <v>141</v>
      </c>
      <c r="B22" s="63" t="s">
        <v>142</v>
      </c>
      <c r="C22" s="432"/>
      <c r="D22" s="433"/>
      <c r="E22" s="434"/>
    </row>
    <row r="23" spans="1:5" ht="15" x14ac:dyDescent="0.25">
      <c r="A23" s="123" t="s">
        <v>143</v>
      </c>
      <c r="B23" s="124"/>
      <c r="C23" s="125" t="s">
        <v>144</v>
      </c>
      <c r="D23" s="125" t="s">
        <v>145</v>
      </c>
      <c r="E23" s="125" t="s">
        <v>146</v>
      </c>
    </row>
    <row r="24" spans="1:5" ht="14.25" x14ac:dyDescent="0.2">
      <c r="A24" s="122" t="s">
        <v>147</v>
      </c>
      <c r="B24" s="63" t="s">
        <v>148</v>
      </c>
      <c r="C24" s="60"/>
      <c r="D24" s="60"/>
      <c r="E24" s="61"/>
    </row>
    <row r="25" spans="1:5" ht="14.25" x14ac:dyDescent="0.2">
      <c r="A25" s="122" t="s">
        <v>149</v>
      </c>
      <c r="B25" s="63" t="s">
        <v>150</v>
      </c>
      <c r="C25" s="64"/>
      <c r="D25" s="64"/>
      <c r="E25" s="65"/>
    </row>
    <row r="26" spans="1:5" ht="14.25" x14ac:dyDescent="0.2">
      <c r="A26" s="118" t="s">
        <v>151</v>
      </c>
      <c r="B26" s="59" t="s">
        <v>120</v>
      </c>
      <c r="C26" s="60"/>
      <c r="D26" s="60"/>
      <c r="E26" s="61"/>
    </row>
    <row r="27" spans="1:5" ht="14.25" x14ac:dyDescent="0.2">
      <c r="A27" s="122" t="s">
        <v>152</v>
      </c>
      <c r="B27" s="63" t="s">
        <v>120</v>
      </c>
      <c r="C27" s="64"/>
      <c r="D27" s="64"/>
      <c r="E27" s="65"/>
    </row>
    <row r="28" spans="1:5" ht="14.25" x14ac:dyDescent="0.2">
      <c r="A28" s="122" t="s">
        <v>153</v>
      </c>
      <c r="B28" s="124"/>
      <c r="C28" s="126"/>
      <c r="D28" s="126"/>
      <c r="E28" s="127"/>
    </row>
    <row r="29" spans="1:5" ht="14.25" x14ac:dyDescent="0.2">
      <c r="A29" s="122" t="s">
        <v>122</v>
      </c>
      <c r="B29" s="63" t="s">
        <v>123</v>
      </c>
      <c r="C29" s="64"/>
      <c r="D29" s="64"/>
      <c r="E29" s="65"/>
    </row>
    <row r="30" spans="1:5" ht="14.25" x14ac:dyDescent="0.2">
      <c r="A30" s="122" t="s">
        <v>154</v>
      </c>
      <c r="B30" s="63" t="s">
        <v>123</v>
      </c>
      <c r="C30" s="64"/>
      <c r="D30" s="64"/>
      <c r="E30" s="65"/>
    </row>
    <row r="31" spans="1:5" ht="14.25" x14ac:dyDescent="0.2">
      <c r="A31" s="122" t="s">
        <v>125</v>
      </c>
      <c r="B31" s="63" t="s">
        <v>123</v>
      </c>
      <c r="C31" s="64"/>
      <c r="D31" s="64"/>
      <c r="E31" s="65"/>
    </row>
    <row r="32" spans="1:5" ht="14.25" x14ac:dyDescent="0.2">
      <c r="A32" s="122" t="s">
        <v>126</v>
      </c>
      <c r="B32" s="63" t="s">
        <v>123</v>
      </c>
      <c r="C32" s="64"/>
      <c r="D32" s="64"/>
      <c r="E32" s="65"/>
    </row>
    <row r="33" spans="1:5" ht="14.25" x14ac:dyDescent="0.2">
      <c r="A33" s="122" t="s">
        <v>127</v>
      </c>
      <c r="B33" s="63" t="s">
        <v>123</v>
      </c>
      <c r="C33" s="64"/>
      <c r="D33" s="64"/>
      <c r="E33" s="65"/>
    </row>
    <row r="34" spans="1:5" ht="14.25" x14ac:dyDescent="0.2">
      <c r="A34" s="122" t="s">
        <v>155</v>
      </c>
      <c r="B34" s="63" t="s">
        <v>123</v>
      </c>
      <c r="C34" s="64"/>
      <c r="D34" s="64"/>
      <c r="E34" s="65"/>
    </row>
    <row r="35" spans="1:5" ht="14.25" x14ac:dyDescent="0.2">
      <c r="A35" s="122" t="s">
        <v>156</v>
      </c>
      <c r="B35" s="63" t="s">
        <v>123</v>
      </c>
      <c r="C35" s="64"/>
      <c r="D35" s="64"/>
      <c r="E35" s="65"/>
    </row>
    <row r="36" spans="1:5" ht="14.25" x14ac:dyDescent="0.2">
      <c r="A36" s="122" t="s">
        <v>157</v>
      </c>
      <c r="B36" s="63" t="s">
        <v>123</v>
      </c>
      <c r="C36" s="64"/>
      <c r="D36" s="64"/>
      <c r="E36" s="65"/>
    </row>
    <row r="37" spans="1:5" ht="14.25" x14ac:dyDescent="0.2">
      <c r="A37" s="122" t="s">
        <v>158</v>
      </c>
      <c r="B37" s="63" t="s">
        <v>123</v>
      </c>
      <c r="C37" s="64"/>
      <c r="D37" s="64"/>
      <c r="E37" s="65"/>
    </row>
    <row r="38" spans="1:5" ht="14.25" x14ac:dyDescent="0.2">
      <c r="A38" s="122" t="s">
        <v>159</v>
      </c>
      <c r="B38" s="63" t="s">
        <v>123</v>
      </c>
      <c r="C38" s="64"/>
      <c r="D38" s="64"/>
      <c r="E38" s="65"/>
    </row>
    <row r="39" spans="1:5" ht="14.25" x14ac:dyDescent="0.2">
      <c r="A39" s="122" t="s">
        <v>160</v>
      </c>
      <c r="B39" s="63" t="s">
        <v>123</v>
      </c>
      <c r="C39" s="64"/>
      <c r="D39" s="64"/>
      <c r="E39" s="65"/>
    </row>
    <row r="40" spans="1:5" ht="14.25" x14ac:dyDescent="0.2">
      <c r="A40" s="122" t="s">
        <v>161</v>
      </c>
      <c r="B40" s="63" t="s">
        <v>123</v>
      </c>
      <c r="C40" s="64"/>
      <c r="D40" s="64"/>
      <c r="E40" s="65"/>
    </row>
    <row r="41" spans="1:5" ht="14.25" x14ac:dyDescent="0.2">
      <c r="A41" s="122" t="s">
        <v>130</v>
      </c>
      <c r="B41" s="63" t="s">
        <v>123</v>
      </c>
      <c r="C41" s="64"/>
      <c r="D41" s="64"/>
      <c r="E41" s="65"/>
    </row>
    <row r="42" spans="1:5" ht="14.25" x14ac:dyDescent="0.2">
      <c r="A42" s="122" t="s">
        <v>162</v>
      </c>
      <c r="B42" s="63" t="s">
        <v>163</v>
      </c>
      <c r="C42" s="64"/>
      <c r="D42" s="64"/>
      <c r="E42" s="64"/>
    </row>
    <row r="43" spans="1:5" ht="14.25" x14ac:dyDescent="0.2">
      <c r="A43" s="122" t="s">
        <v>164</v>
      </c>
      <c r="B43" s="63" t="s">
        <v>163</v>
      </c>
      <c r="C43" s="64"/>
      <c r="D43" s="64"/>
      <c r="E43" s="64"/>
    </row>
    <row r="44" spans="1:5" ht="30" x14ac:dyDescent="0.25">
      <c r="A44" s="123" t="s">
        <v>165</v>
      </c>
      <c r="B44" s="128"/>
      <c r="C44" s="128"/>
      <c r="D44" s="128"/>
      <c r="E44" s="128"/>
    </row>
    <row r="45" spans="1:5" ht="42.75" x14ac:dyDescent="0.2">
      <c r="A45" s="129" t="s">
        <v>166</v>
      </c>
      <c r="B45" s="130" t="s">
        <v>167</v>
      </c>
      <c r="C45" s="66"/>
      <c r="D45" s="66"/>
      <c r="E45" s="66"/>
    </row>
    <row r="46" spans="1:5" ht="16.5" customHeight="1" x14ac:dyDescent="0.2">
      <c r="A46" s="129" t="s">
        <v>168</v>
      </c>
      <c r="B46" s="63" t="s">
        <v>163</v>
      </c>
      <c r="C46" s="66"/>
      <c r="D46" s="66"/>
      <c r="E46" s="66"/>
    </row>
    <row r="47" spans="1:5" ht="14.25" x14ac:dyDescent="0.2">
      <c r="A47" s="129" t="s">
        <v>169</v>
      </c>
      <c r="B47" s="63" t="s">
        <v>163</v>
      </c>
      <c r="C47" s="66"/>
      <c r="D47" s="66"/>
      <c r="E47" s="66"/>
    </row>
    <row r="48" spans="1:5" x14ac:dyDescent="0.2">
      <c r="A48" s="429" t="s">
        <v>440</v>
      </c>
      <c r="B48" s="430"/>
    </row>
    <row r="49" spans="1:2" x14ac:dyDescent="0.2">
      <c r="A49" s="431"/>
      <c r="B49" s="431"/>
    </row>
  </sheetData>
  <mergeCells count="21">
    <mergeCell ref="A48:B49"/>
    <mergeCell ref="C21:E21"/>
    <mergeCell ref="C22:E22"/>
    <mergeCell ref="C15:E15"/>
    <mergeCell ref="C16:E16"/>
    <mergeCell ref="C17:E17"/>
    <mergeCell ref="C18:E18"/>
    <mergeCell ref="C19:E19"/>
    <mergeCell ref="C20:E20"/>
    <mergeCell ref="C14:E14"/>
    <mergeCell ref="A2:B2"/>
    <mergeCell ref="C4:E4"/>
    <mergeCell ref="C5:E5"/>
    <mergeCell ref="C6:E6"/>
    <mergeCell ref="C7:E7"/>
    <mergeCell ref="C8:E8"/>
    <mergeCell ref="C9:E9"/>
    <mergeCell ref="C10:E10"/>
    <mergeCell ref="C11:E11"/>
    <mergeCell ref="C12:E12"/>
    <mergeCell ref="C13:E13"/>
  </mergeCells>
  <pageMargins left="0.75" right="0.75" top="1" bottom="1" header="0.5" footer="0.5"/>
  <pageSetup scale="9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pageSetUpPr fitToPage="1"/>
  </sheetPr>
  <dimension ref="A2:O51"/>
  <sheetViews>
    <sheetView topLeftCell="A43" zoomScale="95" workbookViewId="0">
      <selection activeCell="G59" sqref="G59"/>
    </sheetView>
  </sheetViews>
  <sheetFormatPr defaultRowHeight="12.75" x14ac:dyDescent="0.2"/>
  <cols>
    <col min="1" max="1" width="12.42578125" customWidth="1"/>
    <col min="2" max="2" width="40" customWidth="1"/>
    <col min="3" max="3" width="37.5703125" customWidth="1"/>
    <col min="4" max="4" width="13.5703125" customWidth="1"/>
    <col min="5" max="5" width="12.85546875" customWidth="1"/>
    <col min="6" max="6" width="13.42578125" customWidth="1"/>
    <col min="7" max="7" width="15" style="131" bestFit="1" customWidth="1"/>
    <col min="8" max="8" width="10.42578125" style="131" customWidth="1"/>
    <col min="9" max="9" width="19.140625" style="131" customWidth="1"/>
    <col min="10" max="10" width="16" bestFit="1" customWidth="1"/>
    <col min="11" max="11" width="18.5703125" bestFit="1" customWidth="1"/>
    <col min="12" max="12" width="13.42578125" bestFit="1" customWidth="1"/>
    <col min="14" max="14" width="15.5703125" bestFit="1" customWidth="1"/>
  </cols>
  <sheetData>
    <row r="2" spans="1:15" ht="18" x14ac:dyDescent="0.25">
      <c r="A2" s="444" t="s">
        <v>170</v>
      </c>
      <c r="B2" s="444"/>
      <c r="C2" s="444"/>
      <c r="D2" s="261" t="s">
        <v>322</v>
      </c>
    </row>
    <row r="3" spans="1:15" ht="21" x14ac:dyDescent="0.35">
      <c r="A3" s="444" t="s">
        <v>171</v>
      </c>
      <c r="B3" s="444"/>
      <c r="C3" s="444"/>
    </row>
    <row r="4" spans="1:15" ht="21" hidden="1" x14ac:dyDescent="0.35">
      <c r="A4" s="444" t="s">
        <v>172</v>
      </c>
      <c r="B4" s="444"/>
      <c r="C4" s="444"/>
    </row>
    <row r="5" spans="1:15" ht="21.75" thickBot="1" x14ac:dyDescent="0.4">
      <c r="A5" s="444" t="s">
        <v>173</v>
      </c>
      <c r="B5" s="444"/>
      <c r="C5" s="444"/>
    </row>
    <row r="6" spans="1:15" ht="30.75" customHeight="1" thickBot="1" x14ac:dyDescent="0.3">
      <c r="A6" s="115" t="s">
        <v>174</v>
      </c>
      <c r="B6" s="132"/>
      <c r="C6" s="133"/>
      <c r="D6" s="134" t="s">
        <v>35</v>
      </c>
      <c r="E6" s="135" t="s">
        <v>175</v>
      </c>
      <c r="F6" s="136" t="s">
        <v>176</v>
      </c>
      <c r="H6" s="437" t="s">
        <v>393</v>
      </c>
      <c r="I6" s="437"/>
      <c r="J6" s="437"/>
      <c r="K6" s="437"/>
      <c r="L6" s="437"/>
    </row>
    <row r="7" spans="1:15" ht="45" customHeight="1" thickBot="1" x14ac:dyDescent="0.35">
      <c r="A7" s="457" t="s">
        <v>378</v>
      </c>
      <c r="B7" s="458"/>
      <c r="C7" s="139" t="s">
        <v>177</v>
      </c>
      <c r="D7" s="140" t="s">
        <v>178</v>
      </c>
      <c r="E7" s="141"/>
      <c r="F7" s="142"/>
      <c r="G7" s="143"/>
      <c r="H7" s="131" t="s">
        <v>179</v>
      </c>
      <c r="I7" s="131" t="s">
        <v>180</v>
      </c>
      <c r="J7" s="144" t="s">
        <v>181</v>
      </c>
      <c r="K7" t="s">
        <v>182</v>
      </c>
      <c r="L7" s="144" t="s">
        <v>183</v>
      </c>
      <c r="M7" t="s">
        <v>184</v>
      </c>
      <c r="N7" s="144" t="s">
        <v>185</v>
      </c>
      <c r="O7" s="144">
        <v>0.26419999999999999</v>
      </c>
    </row>
    <row r="8" spans="1:15" ht="27.75" customHeight="1" x14ac:dyDescent="0.25">
      <c r="A8" s="145" t="s">
        <v>186</v>
      </c>
      <c r="B8" s="146" t="s">
        <v>187</v>
      </c>
      <c r="C8" s="390" t="s">
        <v>446</v>
      </c>
      <c r="D8" s="147"/>
      <c r="E8" s="147"/>
      <c r="F8" s="148"/>
      <c r="G8" s="149"/>
      <c r="H8" s="150" t="s">
        <v>188</v>
      </c>
      <c r="I8" s="150" t="s">
        <v>189</v>
      </c>
      <c r="J8" s="150" t="s">
        <v>190</v>
      </c>
      <c r="K8" s="150" t="s">
        <v>191</v>
      </c>
      <c r="L8" s="329" t="s">
        <v>376</v>
      </c>
      <c r="M8" s="150" t="s">
        <v>192</v>
      </c>
      <c r="N8" s="329" t="s">
        <v>377</v>
      </c>
      <c r="O8" s="150" t="s">
        <v>193</v>
      </c>
    </row>
    <row r="9" spans="1:15" ht="63.75" customHeight="1" x14ac:dyDescent="0.25">
      <c r="A9" s="151" t="s">
        <v>194</v>
      </c>
      <c r="B9" s="152" t="s">
        <v>195</v>
      </c>
      <c r="C9" s="152" t="s">
        <v>196</v>
      </c>
      <c r="D9" s="438"/>
      <c r="E9" s="439"/>
      <c r="F9" s="440"/>
      <c r="G9" s="153"/>
      <c r="H9" s="154" t="s">
        <v>197</v>
      </c>
      <c r="I9" s="154" t="s">
        <v>188</v>
      </c>
      <c r="J9" s="155" t="s">
        <v>188</v>
      </c>
      <c r="K9" s="155" t="s">
        <v>190</v>
      </c>
      <c r="L9" s="155" t="s">
        <v>190</v>
      </c>
      <c r="M9" s="155" t="s">
        <v>198</v>
      </c>
      <c r="N9" s="330" t="s">
        <v>379</v>
      </c>
      <c r="O9" s="155" t="s">
        <v>199</v>
      </c>
    </row>
    <row r="10" spans="1:15" ht="42.75" customHeight="1" x14ac:dyDescent="0.25">
      <c r="A10" s="151" t="s">
        <v>200</v>
      </c>
      <c r="B10" s="156" t="s">
        <v>201</v>
      </c>
      <c r="C10" s="157" t="s">
        <v>167</v>
      </c>
      <c r="D10" s="158"/>
      <c r="E10" s="159"/>
      <c r="F10" s="160"/>
    </row>
    <row r="11" spans="1:15" ht="14.25" hidden="1" x14ac:dyDescent="0.25">
      <c r="A11" s="161" t="s">
        <v>202</v>
      </c>
      <c r="B11" s="162" t="s">
        <v>203</v>
      </c>
      <c r="C11" s="152" t="s">
        <v>204</v>
      </c>
      <c r="D11" s="163"/>
      <c r="E11" s="163"/>
      <c r="F11" s="163"/>
    </row>
    <row r="12" spans="1:15" ht="15.75" hidden="1" customHeight="1" x14ac:dyDescent="0.25">
      <c r="A12" s="161" t="s">
        <v>205</v>
      </c>
      <c r="B12" s="164" t="s">
        <v>206</v>
      </c>
      <c r="C12" s="152" t="s">
        <v>204</v>
      </c>
      <c r="D12" s="163"/>
      <c r="E12" s="163"/>
      <c r="F12" s="163"/>
    </row>
    <row r="13" spans="1:15" ht="14.25" hidden="1" x14ac:dyDescent="0.25">
      <c r="A13" s="161" t="s">
        <v>207</v>
      </c>
      <c r="B13" s="162" t="s">
        <v>208</v>
      </c>
      <c r="C13" s="152" t="s">
        <v>209</v>
      </c>
      <c r="D13" s="165"/>
      <c r="E13" s="165"/>
      <c r="F13" s="165"/>
    </row>
    <row r="14" spans="1:15" hidden="1" x14ac:dyDescent="0.2">
      <c r="A14" s="161" t="s">
        <v>210</v>
      </c>
      <c r="B14" s="164" t="s">
        <v>211</v>
      </c>
      <c r="C14" s="152" t="s">
        <v>73</v>
      </c>
      <c r="D14" s="166"/>
      <c r="E14" s="166"/>
      <c r="F14" s="166"/>
    </row>
    <row r="15" spans="1:15" ht="26.25" x14ac:dyDescent="0.25">
      <c r="A15" s="151" t="s">
        <v>212</v>
      </c>
      <c r="B15" s="152" t="s">
        <v>213</v>
      </c>
      <c r="C15" s="167" t="s">
        <v>214</v>
      </c>
      <c r="D15" s="445"/>
      <c r="E15" s="446"/>
      <c r="F15" s="447"/>
      <c r="H15" s="437" t="s">
        <v>395</v>
      </c>
      <c r="I15" s="437"/>
      <c r="J15" s="437"/>
      <c r="K15" s="437"/>
      <c r="L15" s="437"/>
    </row>
    <row r="16" spans="1:15" ht="27" x14ac:dyDescent="0.3">
      <c r="A16" s="168" t="s">
        <v>215</v>
      </c>
      <c r="B16" s="169" t="s">
        <v>380</v>
      </c>
      <c r="C16" s="331" t="s">
        <v>381</v>
      </c>
      <c r="D16" s="448"/>
      <c r="E16" s="449"/>
      <c r="F16" s="450"/>
      <c r="H16" s="131" t="s">
        <v>216</v>
      </c>
      <c r="I16" s="131" t="s">
        <v>217</v>
      </c>
      <c r="J16" s="144" t="s">
        <v>218</v>
      </c>
      <c r="K16" t="s">
        <v>219</v>
      </c>
      <c r="L16" s="144" t="s">
        <v>183</v>
      </c>
      <c r="M16" t="s">
        <v>184</v>
      </c>
      <c r="N16" s="144" t="s">
        <v>185</v>
      </c>
      <c r="O16" s="144">
        <v>0.26419999999999999</v>
      </c>
    </row>
    <row r="17" spans="1:15" ht="25.5" x14ac:dyDescent="0.2">
      <c r="A17" s="170"/>
      <c r="B17" s="171" t="s">
        <v>380</v>
      </c>
      <c r="C17" s="332" t="s">
        <v>382</v>
      </c>
      <c r="D17" s="451"/>
      <c r="E17" s="452"/>
      <c r="F17" s="453"/>
      <c r="H17" s="150" t="s">
        <v>220</v>
      </c>
      <c r="I17" s="150" t="s">
        <v>221</v>
      </c>
      <c r="J17" s="150" t="s">
        <v>222</v>
      </c>
      <c r="K17" s="150" t="s">
        <v>223</v>
      </c>
      <c r="L17" s="329" t="s">
        <v>376</v>
      </c>
      <c r="M17" s="150" t="s">
        <v>192</v>
      </c>
      <c r="N17" s="329" t="s">
        <v>377</v>
      </c>
      <c r="O17" s="150" t="s">
        <v>193</v>
      </c>
    </row>
    <row r="18" spans="1:15" ht="51.75" x14ac:dyDescent="0.25">
      <c r="A18" s="172" t="s">
        <v>224</v>
      </c>
      <c r="B18" s="173" t="s">
        <v>225</v>
      </c>
      <c r="C18" s="174" t="s">
        <v>226</v>
      </c>
      <c r="D18" s="454"/>
      <c r="E18" s="455"/>
      <c r="F18" s="456"/>
      <c r="H18" s="154" t="s">
        <v>197</v>
      </c>
      <c r="I18" s="154" t="s">
        <v>220</v>
      </c>
      <c r="J18" s="155" t="s">
        <v>220</v>
      </c>
      <c r="K18" s="155" t="s">
        <v>222</v>
      </c>
      <c r="L18" s="155" t="s">
        <v>222</v>
      </c>
      <c r="M18" s="155" t="s">
        <v>198</v>
      </c>
      <c r="N18" s="330" t="s">
        <v>379</v>
      </c>
      <c r="O18" s="155" t="s">
        <v>199</v>
      </c>
    </row>
    <row r="19" spans="1:15" ht="14.25" x14ac:dyDescent="0.25">
      <c r="A19" s="172" t="s">
        <v>227</v>
      </c>
      <c r="B19" s="173" t="s">
        <v>228</v>
      </c>
      <c r="C19" s="175" t="s">
        <v>226</v>
      </c>
      <c r="D19" s="441"/>
      <c r="E19" s="442"/>
      <c r="F19" s="443"/>
    </row>
    <row r="20" spans="1:15" ht="28.5" customHeight="1" x14ac:dyDescent="0.25">
      <c r="A20" s="172" t="s">
        <v>229</v>
      </c>
      <c r="B20" s="173" t="s">
        <v>230</v>
      </c>
      <c r="C20" s="175" t="s">
        <v>231</v>
      </c>
      <c r="D20" s="441">
        <v>0.9</v>
      </c>
      <c r="E20" s="442"/>
      <c r="F20" s="443"/>
    </row>
    <row r="21" spans="1:15" ht="26.25" x14ac:dyDescent="0.25">
      <c r="A21" s="172" t="s">
        <v>232</v>
      </c>
      <c r="B21" s="173" t="s">
        <v>233</v>
      </c>
      <c r="C21" s="175" t="s">
        <v>234</v>
      </c>
      <c r="D21" s="441">
        <v>0.9</v>
      </c>
      <c r="E21" s="442"/>
      <c r="F21" s="443"/>
      <c r="H21" s="149" t="s">
        <v>396</v>
      </c>
    </row>
    <row r="22" spans="1:15" ht="27" customHeight="1" x14ac:dyDescent="0.25">
      <c r="A22" s="172" t="s">
        <v>235</v>
      </c>
      <c r="B22" s="173" t="s">
        <v>383</v>
      </c>
      <c r="C22" s="175" t="s">
        <v>236</v>
      </c>
      <c r="D22" s="441">
        <v>0.95</v>
      </c>
      <c r="E22" s="442"/>
      <c r="F22" s="443"/>
      <c r="H22" s="131" t="s">
        <v>237</v>
      </c>
      <c r="I22" s="131" t="s">
        <v>238</v>
      </c>
      <c r="J22" s="176" t="s">
        <v>239</v>
      </c>
      <c r="K22" s="176" t="s">
        <v>240</v>
      </c>
      <c r="L22" s="144">
        <v>2000</v>
      </c>
    </row>
    <row r="23" spans="1:15" ht="26.25" x14ac:dyDescent="0.25">
      <c r="A23" s="172" t="s">
        <v>241</v>
      </c>
      <c r="B23" s="173" t="s">
        <v>384</v>
      </c>
      <c r="C23" s="175" t="s">
        <v>242</v>
      </c>
      <c r="D23" s="441">
        <v>0.85</v>
      </c>
      <c r="E23" s="442"/>
      <c r="F23" s="443"/>
      <c r="I23" s="150" t="s">
        <v>243</v>
      </c>
      <c r="J23" s="177" t="s">
        <v>198</v>
      </c>
      <c r="K23" s="177" t="s">
        <v>244</v>
      </c>
      <c r="L23" s="177" t="s">
        <v>245</v>
      </c>
    </row>
    <row r="24" spans="1:15" ht="26.25" x14ac:dyDescent="0.25">
      <c r="A24" s="172" t="s">
        <v>246</v>
      </c>
      <c r="B24" s="173" t="s">
        <v>385</v>
      </c>
      <c r="C24" s="335" t="s">
        <v>397</v>
      </c>
      <c r="D24" s="462">
        <v>5250</v>
      </c>
      <c r="E24" s="463"/>
      <c r="F24" s="464"/>
      <c r="I24" s="154" t="s">
        <v>247</v>
      </c>
      <c r="J24" s="155" t="s">
        <v>244</v>
      </c>
      <c r="K24" s="155" t="s">
        <v>248</v>
      </c>
      <c r="L24" s="155" t="s">
        <v>249</v>
      </c>
    </row>
    <row r="25" spans="1:15" ht="30" customHeight="1" thickBot="1" x14ac:dyDescent="0.3">
      <c r="A25" s="178" t="s">
        <v>250</v>
      </c>
      <c r="B25" s="179" t="s">
        <v>386</v>
      </c>
      <c r="C25" s="336" t="s">
        <v>394</v>
      </c>
      <c r="D25" s="465">
        <v>5135</v>
      </c>
      <c r="E25" s="466"/>
      <c r="F25" s="467"/>
    </row>
    <row r="26" spans="1:15" x14ac:dyDescent="0.2">
      <c r="C26" s="180"/>
      <c r="D26" s="181"/>
      <c r="E26" s="181"/>
    </row>
    <row r="27" spans="1:15" x14ac:dyDescent="0.2">
      <c r="A27" s="182"/>
      <c r="B27" s="468"/>
      <c r="C27" s="468"/>
      <c r="D27" s="468"/>
      <c r="E27" s="468"/>
      <c r="F27" s="468"/>
      <c r="G27" s="468"/>
      <c r="H27" s="468"/>
    </row>
    <row r="29" spans="1:15" ht="13.5" thickBot="1" x14ac:dyDescent="0.25"/>
    <row r="30" spans="1:15" ht="30.75" customHeight="1" thickBot="1" x14ac:dyDescent="0.3">
      <c r="A30" s="115" t="s">
        <v>251</v>
      </c>
      <c r="B30" s="132"/>
      <c r="C30" s="133"/>
      <c r="D30" s="134" t="s">
        <v>35</v>
      </c>
      <c r="E30" s="135" t="s">
        <v>175</v>
      </c>
      <c r="F30" s="136" t="s">
        <v>176</v>
      </c>
    </row>
    <row r="31" spans="1:15" ht="26.25" thickBot="1" x14ac:dyDescent="0.25">
      <c r="A31" s="137"/>
      <c r="B31" s="138"/>
      <c r="C31" s="139" t="s">
        <v>177</v>
      </c>
      <c r="D31" s="140" t="s">
        <v>178</v>
      </c>
      <c r="E31" s="141">
        <f>D32/E32*100%</f>
        <v>1.3333333333333335</v>
      </c>
      <c r="F31" s="142">
        <f>D32/F32*100%</f>
        <v>4.4444444444444446</v>
      </c>
      <c r="G31" s="143"/>
    </row>
    <row r="32" spans="1:15" ht="27" customHeight="1" x14ac:dyDescent="0.25">
      <c r="A32" s="145" t="s">
        <v>186</v>
      </c>
      <c r="B32" s="146" t="s">
        <v>187</v>
      </c>
      <c r="C32" s="333" t="s">
        <v>387</v>
      </c>
      <c r="D32" s="147">
        <f>D34*D33/D40/D39</f>
        <v>0.42233915980641007</v>
      </c>
      <c r="E32" s="147">
        <f>E34*D33/D40/D39</f>
        <v>0.31675436985480754</v>
      </c>
      <c r="F32" s="148">
        <f>F34*D33/D40/D39</f>
        <v>9.5026310956442261E-2</v>
      </c>
      <c r="G32" s="149"/>
    </row>
    <row r="33" spans="1:8" ht="25.5" customHeight="1" x14ac:dyDescent="0.25">
      <c r="A33" s="151" t="s">
        <v>194</v>
      </c>
      <c r="B33" s="152" t="s">
        <v>195</v>
      </c>
      <c r="C33" s="108" t="s">
        <v>388</v>
      </c>
      <c r="D33" s="438">
        <v>0.5</v>
      </c>
      <c r="E33" s="439"/>
      <c r="F33" s="440"/>
      <c r="G33" s="153"/>
      <c r="H33" s="154"/>
    </row>
    <row r="34" spans="1:8" ht="39" x14ac:dyDescent="0.25">
      <c r="A34" s="151" t="s">
        <v>200</v>
      </c>
      <c r="B34" s="156" t="s">
        <v>201</v>
      </c>
      <c r="C34" s="157" t="s">
        <v>167</v>
      </c>
      <c r="D34" s="158">
        <f>20/1000</f>
        <v>0.02</v>
      </c>
      <c r="E34" s="159">
        <f>15/1000</f>
        <v>1.4999999999999999E-2</v>
      </c>
      <c r="F34" s="160">
        <v>4.4999999999999997E-3</v>
      </c>
    </row>
    <row r="35" spans="1:8" ht="14.25" hidden="1" x14ac:dyDescent="0.25">
      <c r="A35" s="161" t="s">
        <v>202</v>
      </c>
      <c r="B35" s="162" t="s">
        <v>203</v>
      </c>
      <c r="C35" s="152" t="s">
        <v>204</v>
      </c>
      <c r="D35" s="163"/>
      <c r="E35" s="163"/>
      <c r="F35" s="163"/>
    </row>
    <row r="36" spans="1:8" ht="15.75" hidden="1" customHeight="1" x14ac:dyDescent="0.25">
      <c r="A36" s="161" t="s">
        <v>205</v>
      </c>
      <c r="B36" s="164" t="s">
        <v>206</v>
      </c>
      <c r="C36" s="152" t="s">
        <v>204</v>
      </c>
      <c r="D36" s="163"/>
      <c r="E36" s="163"/>
      <c r="F36" s="163"/>
    </row>
    <row r="37" spans="1:8" ht="14.25" hidden="1" x14ac:dyDescent="0.25">
      <c r="A37" s="161" t="s">
        <v>207</v>
      </c>
      <c r="B37" s="162" t="s">
        <v>208</v>
      </c>
      <c r="C37" s="152" t="s">
        <v>209</v>
      </c>
      <c r="D37" s="165"/>
      <c r="E37" s="165"/>
      <c r="F37" s="165"/>
    </row>
    <row r="38" spans="1:8" hidden="1" x14ac:dyDescent="0.2">
      <c r="A38" s="161" t="s">
        <v>210</v>
      </c>
      <c r="B38" s="164" t="s">
        <v>211</v>
      </c>
      <c r="C38" s="152" t="s">
        <v>73</v>
      </c>
      <c r="D38" s="166"/>
      <c r="E38" s="166"/>
      <c r="F38" s="166"/>
    </row>
    <row r="39" spans="1:8" ht="26.25" x14ac:dyDescent="0.25">
      <c r="A39" s="151" t="s">
        <v>212</v>
      </c>
      <c r="B39" s="152" t="s">
        <v>213</v>
      </c>
      <c r="C39" s="334" t="s">
        <v>389</v>
      </c>
      <c r="D39" s="445">
        <v>150</v>
      </c>
      <c r="E39" s="446"/>
      <c r="F39" s="447"/>
    </row>
    <row r="40" spans="1:8" ht="25.5" x14ac:dyDescent="0.2">
      <c r="A40" s="168" t="s">
        <v>215</v>
      </c>
      <c r="B40" s="169" t="s">
        <v>380</v>
      </c>
      <c r="C40" s="331" t="s">
        <v>390</v>
      </c>
      <c r="D40" s="469">
        <f>((D42*D44*D46/D48)+(D43*D45*D47/D49))/(D42+D43)</f>
        <v>1.5785101882862351E-4</v>
      </c>
      <c r="E40" s="470"/>
      <c r="F40" s="471"/>
    </row>
    <row r="41" spans="1:8" ht="25.5" x14ac:dyDescent="0.2">
      <c r="A41" s="170"/>
      <c r="B41" s="171" t="s">
        <v>380</v>
      </c>
      <c r="C41" s="332" t="s">
        <v>391</v>
      </c>
      <c r="D41" s="472">
        <f>D40*(D42+D43)*1000*2000/2.205</f>
        <v>83.757683460085929</v>
      </c>
      <c r="E41" s="473"/>
      <c r="F41" s="474"/>
    </row>
    <row r="42" spans="1:8" ht="14.25" x14ac:dyDescent="0.25">
      <c r="A42" s="172" t="s">
        <v>224</v>
      </c>
      <c r="B42" s="173" t="s">
        <v>225</v>
      </c>
      <c r="C42" s="174" t="s">
        <v>226</v>
      </c>
      <c r="D42" s="459">
        <v>0.374</v>
      </c>
      <c r="E42" s="460"/>
      <c r="F42" s="461"/>
    </row>
    <row r="43" spans="1:8" ht="14.25" x14ac:dyDescent="0.25">
      <c r="A43" s="172" t="s">
        <v>227</v>
      </c>
      <c r="B43" s="173" t="s">
        <v>228</v>
      </c>
      <c r="C43" s="175" t="s">
        <v>226</v>
      </c>
      <c r="D43" s="475">
        <v>0.21099999999999999</v>
      </c>
      <c r="E43" s="476"/>
      <c r="F43" s="477"/>
    </row>
    <row r="44" spans="1:8" ht="28.5" customHeight="1" x14ac:dyDescent="0.25">
      <c r="A44" s="172" t="s">
        <v>229</v>
      </c>
      <c r="B44" s="173" t="s">
        <v>230</v>
      </c>
      <c r="C44" s="175" t="s">
        <v>231</v>
      </c>
      <c r="D44" s="441">
        <v>0.9</v>
      </c>
      <c r="E44" s="442"/>
      <c r="F44" s="443"/>
    </row>
    <row r="45" spans="1:8" ht="26.25" x14ac:dyDescent="0.25">
      <c r="A45" s="172" t="s">
        <v>232</v>
      </c>
      <c r="B45" s="173" t="s">
        <v>233</v>
      </c>
      <c r="C45" s="175" t="s">
        <v>234</v>
      </c>
      <c r="D45" s="441">
        <v>0.9</v>
      </c>
      <c r="E45" s="442"/>
      <c r="F45" s="443"/>
    </row>
    <row r="46" spans="1:8" ht="27" customHeight="1" x14ac:dyDescent="0.25">
      <c r="A46" s="172" t="s">
        <v>235</v>
      </c>
      <c r="B46" s="173" t="s">
        <v>383</v>
      </c>
      <c r="C46" s="175" t="s">
        <v>236</v>
      </c>
      <c r="D46" s="441">
        <v>0.95</v>
      </c>
      <c r="E46" s="442"/>
      <c r="F46" s="443"/>
    </row>
    <row r="47" spans="1:8" ht="26.25" x14ac:dyDescent="0.25">
      <c r="A47" s="172" t="s">
        <v>241</v>
      </c>
      <c r="B47" s="173" t="s">
        <v>384</v>
      </c>
      <c r="C47" s="175" t="s">
        <v>242</v>
      </c>
      <c r="D47" s="441">
        <v>0.85</v>
      </c>
      <c r="E47" s="442"/>
      <c r="F47" s="443"/>
    </row>
    <row r="48" spans="1:8" ht="26.25" x14ac:dyDescent="0.25">
      <c r="A48" s="172" t="s">
        <v>246</v>
      </c>
      <c r="B48" s="173" t="s">
        <v>385</v>
      </c>
      <c r="C48" s="335" t="s">
        <v>392</v>
      </c>
      <c r="D48" s="462">
        <v>5250</v>
      </c>
      <c r="E48" s="463"/>
      <c r="F48" s="464"/>
    </row>
    <row r="49" spans="1:8" ht="30" customHeight="1" thickBot="1" x14ac:dyDescent="0.3">
      <c r="A49" s="178" t="s">
        <v>250</v>
      </c>
      <c r="B49" s="179" t="s">
        <v>386</v>
      </c>
      <c r="C49" s="336" t="s">
        <v>394</v>
      </c>
      <c r="D49" s="465">
        <v>5135</v>
      </c>
      <c r="E49" s="466"/>
      <c r="F49" s="467"/>
    </row>
    <row r="51" spans="1:8" x14ac:dyDescent="0.2">
      <c r="A51" s="183"/>
      <c r="B51" s="184"/>
      <c r="C51" s="184"/>
      <c r="D51" t="s">
        <v>252</v>
      </c>
      <c r="E51" s="155" t="s">
        <v>253</v>
      </c>
      <c r="F51" s="131" t="s">
        <v>254</v>
      </c>
      <c r="G51" s="185"/>
      <c r="H51" s="185"/>
    </row>
  </sheetData>
  <mergeCells count="32">
    <mergeCell ref="D49:F49"/>
    <mergeCell ref="D43:F43"/>
    <mergeCell ref="D44:F44"/>
    <mergeCell ref="D45:F45"/>
    <mergeCell ref="D46:F46"/>
    <mergeCell ref="D47:F47"/>
    <mergeCell ref="D48:F48"/>
    <mergeCell ref="D42:F42"/>
    <mergeCell ref="D20:F20"/>
    <mergeCell ref="D21:F21"/>
    <mergeCell ref="D22:F22"/>
    <mergeCell ref="D23:F23"/>
    <mergeCell ref="D24:F24"/>
    <mergeCell ref="D25:F25"/>
    <mergeCell ref="B27:H27"/>
    <mergeCell ref="D33:F33"/>
    <mergeCell ref="D39:F39"/>
    <mergeCell ref="D40:F40"/>
    <mergeCell ref="D41:F41"/>
    <mergeCell ref="H6:L6"/>
    <mergeCell ref="D9:F9"/>
    <mergeCell ref="D19:F19"/>
    <mergeCell ref="A2:C2"/>
    <mergeCell ref="A3:C3"/>
    <mergeCell ref="A4:C4"/>
    <mergeCell ref="A5:C5"/>
    <mergeCell ref="D15:F15"/>
    <mergeCell ref="H15:L15"/>
    <mergeCell ref="D16:F16"/>
    <mergeCell ref="D17:F17"/>
    <mergeCell ref="D18:F18"/>
    <mergeCell ref="A7:B7"/>
  </mergeCells>
  <pageMargins left="0.32" right="0.23" top="1" bottom="1" header="0.5" footer="0.5"/>
  <pageSetup scale="54"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A1:I55"/>
  <sheetViews>
    <sheetView zoomScaleNormal="100" workbookViewId="0">
      <selection activeCell="F1" sqref="F1"/>
    </sheetView>
  </sheetViews>
  <sheetFormatPr defaultColWidth="20.85546875" defaultRowHeight="12.75" x14ac:dyDescent="0.2"/>
  <cols>
    <col min="1" max="1" width="41" customWidth="1"/>
    <col min="2" max="2" width="47.42578125" customWidth="1"/>
    <col min="3" max="3" width="21.140625" bestFit="1" customWidth="1"/>
    <col min="4" max="4" width="21.140625" customWidth="1"/>
    <col min="5" max="5" width="18.7109375" customWidth="1"/>
    <col min="6" max="6" width="27.7109375" customWidth="1"/>
    <col min="7" max="7" width="17.42578125" customWidth="1"/>
    <col min="8" max="8" width="17.140625" customWidth="1"/>
    <col min="9" max="9" width="25" customWidth="1"/>
  </cols>
  <sheetData>
    <row r="1" spans="1:9" ht="18" x14ac:dyDescent="0.25">
      <c r="A1" s="186"/>
      <c r="B1" s="186"/>
      <c r="C1" s="261" t="s">
        <v>322</v>
      </c>
      <c r="D1" s="187"/>
      <c r="E1" s="69"/>
      <c r="F1" s="69"/>
      <c r="G1" s="69"/>
      <c r="H1" s="69"/>
      <c r="I1" s="70"/>
    </row>
    <row r="2" spans="1:9" ht="16.5" thickBot="1" x14ac:dyDescent="0.3">
      <c r="A2" s="188" t="s">
        <v>441</v>
      </c>
      <c r="B2" s="186"/>
      <c r="C2" s="187"/>
      <c r="D2" s="187"/>
      <c r="E2" s="69"/>
      <c r="F2" s="69"/>
      <c r="G2" s="69"/>
      <c r="H2" s="69"/>
      <c r="I2" s="70"/>
    </row>
    <row r="3" spans="1:9" ht="13.5" thickBot="1" x14ac:dyDescent="0.25">
      <c r="A3" s="68"/>
      <c r="B3" s="189"/>
      <c r="C3" s="190" t="s">
        <v>35</v>
      </c>
      <c r="D3" s="190" t="s">
        <v>175</v>
      </c>
      <c r="E3" s="191" t="s">
        <v>176</v>
      </c>
    </row>
    <row r="4" spans="1:9" ht="12.75" customHeight="1" x14ac:dyDescent="0.2">
      <c r="A4" s="192" t="s">
        <v>85</v>
      </c>
      <c r="B4" s="193"/>
      <c r="C4" s="481"/>
      <c r="D4" s="482"/>
      <c r="E4" s="483"/>
      <c r="F4" s="194"/>
      <c r="H4" s="195"/>
    </row>
    <row r="5" spans="1:9" x14ac:dyDescent="0.2">
      <c r="A5" s="104" t="s">
        <v>87</v>
      </c>
      <c r="B5" s="93"/>
      <c r="C5" s="484"/>
      <c r="D5" s="485"/>
      <c r="E5" s="486"/>
      <c r="F5" s="194"/>
      <c r="G5" s="195"/>
    </row>
    <row r="6" spans="1:9" ht="12.75" customHeight="1" x14ac:dyDescent="0.2">
      <c r="A6" s="104" t="s">
        <v>255</v>
      </c>
      <c r="B6" s="93"/>
      <c r="C6" s="487"/>
      <c r="D6" s="488"/>
      <c r="E6" s="489"/>
      <c r="F6" s="194"/>
      <c r="H6" s="195"/>
    </row>
    <row r="7" spans="1:9" ht="12.75" customHeight="1" x14ac:dyDescent="0.2">
      <c r="A7" s="104" t="s">
        <v>403</v>
      </c>
      <c r="B7" s="93"/>
      <c r="C7" s="490"/>
      <c r="D7" s="491"/>
      <c r="E7" s="492"/>
      <c r="F7" s="194"/>
      <c r="H7" s="195"/>
    </row>
    <row r="8" spans="1:9" ht="13.5" thickBot="1" x14ac:dyDescent="0.25">
      <c r="A8" s="111" t="s">
        <v>398</v>
      </c>
      <c r="B8" s="1"/>
      <c r="C8" s="493"/>
      <c r="D8" s="494"/>
      <c r="E8" s="495"/>
      <c r="F8" s="196"/>
      <c r="G8" s="195"/>
    </row>
    <row r="9" spans="1:9" x14ac:dyDescent="0.2">
      <c r="A9" s="80" t="s">
        <v>88</v>
      </c>
      <c r="B9" s="81" t="s">
        <v>89</v>
      </c>
      <c r="C9" s="478" t="s">
        <v>90</v>
      </c>
      <c r="D9" s="479"/>
      <c r="E9" s="480"/>
      <c r="F9" s="195"/>
    </row>
    <row r="10" spans="1:9" x14ac:dyDescent="0.2">
      <c r="A10" s="84" t="s">
        <v>92</v>
      </c>
      <c r="B10" s="66"/>
      <c r="C10" s="484"/>
      <c r="D10" s="485"/>
      <c r="E10" s="486"/>
      <c r="F10" s="195"/>
    </row>
    <row r="11" spans="1:9" x14ac:dyDescent="0.2">
      <c r="A11" s="84" t="s">
        <v>93</v>
      </c>
      <c r="B11" s="93"/>
      <c r="C11" s="484"/>
      <c r="D11" s="485"/>
      <c r="E11" s="486"/>
    </row>
    <row r="12" spans="1:9" x14ac:dyDescent="0.2">
      <c r="A12" s="84" t="s">
        <v>256</v>
      </c>
      <c r="B12" s="197"/>
      <c r="C12" s="85"/>
      <c r="D12" s="198"/>
      <c r="E12" s="199"/>
      <c r="F12" s="195"/>
    </row>
    <row r="13" spans="1:9" x14ac:dyDescent="0.2">
      <c r="A13" s="95" t="s">
        <v>100</v>
      </c>
      <c r="B13" s="96"/>
      <c r="C13" s="200"/>
      <c r="D13" s="201"/>
      <c r="E13" s="202"/>
    </row>
    <row r="14" spans="1:9" x14ac:dyDescent="0.2">
      <c r="A14" s="103" t="s">
        <v>257</v>
      </c>
      <c r="B14" s="203"/>
      <c r="C14" s="498">
        <v>0.2</v>
      </c>
      <c r="D14" s="499"/>
      <c r="E14" s="500"/>
      <c r="F14" s="195"/>
    </row>
    <row r="15" spans="1:9" x14ac:dyDescent="0.2">
      <c r="A15" s="95" t="s">
        <v>258</v>
      </c>
      <c r="B15" s="204" t="s">
        <v>259</v>
      </c>
      <c r="C15" s="97"/>
      <c r="D15" s="205"/>
      <c r="E15" s="206"/>
      <c r="F15" s="195"/>
    </row>
    <row r="16" spans="1:9" x14ac:dyDescent="0.2">
      <c r="A16" s="95" t="s">
        <v>399</v>
      </c>
      <c r="B16" s="204"/>
      <c r="C16" s="97"/>
      <c r="D16" s="205"/>
      <c r="E16" s="206"/>
      <c r="F16" s="195"/>
    </row>
    <row r="17" spans="1:9" x14ac:dyDescent="0.2">
      <c r="A17" s="99" t="s">
        <v>101</v>
      </c>
      <c r="B17" s="207" t="s">
        <v>89</v>
      </c>
      <c r="C17" s="501" t="s">
        <v>102</v>
      </c>
      <c r="D17" s="502"/>
      <c r="E17" s="503"/>
    </row>
    <row r="18" spans="1:9" x14ac:dyDescent="0.2">
      <c r="A18" s="84" t="s">
        <v>260</v>
      </c>
      <c r="B18" s="93"/>
      <c r="C18" s="484"/>
      <c r="D18" s="485"/>
      <c r="E18" s="486"/>
    </row>
    <row r="19" spans="1:9" x14ac:dyDescent="0.2">
      <c r="A19" s="84" t="s">
        <v>109</v>
      </c>
      <c r="B19" s="93"/>
      <c r="C19" s="484"/>
      <c r="D19" s="485"/>
      <c r="E19" s="486"/>
    </row>
    <row r="20" spans="1:9" x14ac:dyDescent="0.2">
      <c r="A20" s="84" t="s">
        <v>110</v>
      </c>
      <c r="B20" s="93"/>
      <c r="C20" s="484"/>
      <c r="D20" s="485"/>
      <c r="E20" s="486"/>
    </row>
    <row r="21" spans="1:9" x14ac:dyDescent="0.2">
      <c r="A21" s="84" t="s">
        <v>111</v>
      </c>
      <c r="B21" s="93"/>
      <c r="C21" s="484"/>
      <c r="D21" s="485"/>
      <c r="E21" s="486"/>
    </row>
    <row r="22" spans="1:9" ht="12.75" customHeight="1" x14ac:dyDescent="0.2">
      <c r="A22" s="84" t="s">
        <v>261</v>
      </c>
      <c r="B22" s="93" t="s">
        <v>262</v>
      </c>
      <c r="C22" s="504"/>
      <c r="D22" s="505"/>
      <c r="E22" s="506"/>
      <c r="F22" s="208"/>
      <c r="G22" s="208"/>
      <c r="H22" s="208"/>
      <c r="I22" s="208"/>
    </row>
    <row r="23" spans="1:9" s="149" customFormat="1" ht="25.5" x14ac:dyDescent="0.2">
      <c r="A23" s="338" t="s">
        <v>404</v>
      </c>
      <c r="B23" s="337" t="s">
        <v>401</v>
      </c>
      <c r="C23" s="507"/>
      <c r="D23" s="508"/>
      <c r="E23" s="509"/>
      <c r="F23" s="209"/>
    </row>
    <row r="24" spans="1:9" x14ac:dyDescent="0.2">
      <c r="A24" s="88" t="s">
        <v>402</v>
      </c>
      <c r="B24" s="93" t="s">
        <v>265</v>
      </c>
      <c r="C24" s="210"/>
      <c r="D24" s="211"/>
      <c r="E24" s="212"/>
      <c r="F24" s="213" t="s">
        <v>444</v>
      </c>
    </row>
    <row r="25" spans="1:9" x14ac:dyDescent="0.2">
      <c r="A25" s="95" t="s">
        <v>405</v>
      </c>
      <c r="B25" s="214" t="s">
        <v>267</v>
      </c>
      <c r="C25" s="215"/>
      <c r="D25" s="215"/>
      <c r="E25" s="216"/>
      <c r="F25" s="195"/>
    </row>
    <row r="26" spans="1:9" ht="13.5" thickBot="1" x14ac:dyDescent="0.25">
      <c r="A26" s="217" t="s">
        <v>400</v>
      </c>
      <c r="B26" s="218"/>
      <c r="C26" s="219"/>
      <c r="D26" s="219"/>
      <c r="E26" s="220"/>
      <c r="F26" s="195"/>
    </row>
    <row r="27" spans="1:9" s="225" customFormat="1" x14ac:dyDescent="0.2">
      <c r="A27" s="221"/>
      <c r="B27" s="222"/>
      <c r="C27" s="223"/>
      <c r="D27" s="223"/>
      <c r="E27" s="223"/>
      <c r="F27" s="224"/>
    </row>
    <row r="28" spans="1:9" s="225" customFormat="1" x14ac:dyDescent="0.2">
      <c r="A28" s="221"/>
      <c r="B28" s="222"/>
      <c r="C28" s="223"/>
      <c r="D28" s="223"/>
      <c r="E28" s="223"/>
      <c r="F28" s="224"/>
    </row>
    <row r="29" spans="1:9" ht="15.75" thickBot="1" x14ac:dyDescent="0.3">
      <c r="A29" s="188" t="s">
        <v>268</v>
      </c>
    </row>
    <row r="30" spans="1:9" ht="13.5" thickBot="1" x14ac:dyDescent="0.25">
      <c r="A30" s="68"/>
      <c r="B30" s="226"/>
      <c r="C30" s="190" t="s">
        <v>35</v>
      </c>
      <c r="D30" s="227" t="s">
        <v>175</v>
      </c>
      <c r="E30" s="228" t="s">
        <v>34</v>
      </c>
      <c r="F30" s="229" t="s">
        <v>269</v>
      </c>
    </row>
    <row r="31" spans="1:9" ht="12.75" customHeight="1" x14ac:dyDescent="0.2">
      <c r="A31" s="192" t="s">
        <v>85</v>
      </c>
      <c r="B31" s="193"/>
      <c r="C31" s="481" t="s">
        <v>270</v>
      </c>
      <c r="D31" s="482"/>
      <c r="E31" s="483"/>
      <c r="F31" s="496" t="s">
        <v>271</v>
      </c>
      <c r="H31" s="195"/>
    </row>
    <row r="32" spans="1:9" x14ac:dyDescent="0.2">
      <c r="A32" s="104" t="s">
        <v>87</v>
      </c>
      <c r="B32" s="93"/>
      <c r="C32" s="484">
        <f>2205</f>
        <v>2205</v>
      </c>
      <c r="D32" s="485"/>
      <c r="E32" s="486"/>
      <c r="F32" s="497"/>
      <c r="G32" s="195"/>
    </row>
    <row r="33" spans="1:9" ht="12.75" customHeight="1" x14ac:dyDescent="0.2">
      <c r="A33" s="104" t="s">
        <v>255</v>
      </c>
      <c r="B33" s="93"/>
      <c r="C33" s="487">
        <f>C32*350/1000000</f>
        <v>0.77175000000000005</v>
      </c>
      <c r="D33" s="488"/>
      <c r="E33" s="489"/>
      <c r="F33" s="497"/>
      <c r="H33" s="195"/>
    </row>
    <row r="34" spans="1:9" ht="12.75" customHeight="1" x14ac:dyDescent="0.2">
      <c r="A34" s="104" t="s">
        <v>403</v>
      </c>
      <c r="B34" s="93"/>
      <c r="C34" s="510">
        <f>'[1]Table B Enzyme Perf &amp; Cost Cont'!D41</f>
        <v>83.757683460085929</v>
      </c>
      <c r="D34" s="511"/>
      <c r="E34" s="512"/>
      <c r="F34" s="194"/>
      <c r="H34" s="195"/>
    </row>
    <row r="35" spans="1:9" ht="13.5" thickBot="1" x14ac:dyDescent="0.25">
      <c r="A35" s="111" t="s">
        <v>406</v>
      </c>
      <c r="B35" s="1"/>
      <c r="C35" s="493">
        <f>C33*C34</f>
        <v>64.639992210321324</v>
      </c>
      <c r="D35" s="494"/>
      <c r="E35" s="495"/>
      <c r="F35" s="196"/>
      <c r="G35" s="195"/>
    </row>
    <row r="36" spans="1:9" x14ac:dyDescent="0.2">
      <c r="A36" s="80" t="s">
        <v>272</v>
      </c>
      <c r="B36" s="81" t="s">
        <v>89</v>
      </c>
      <c r="C36" s="478" t="s">
        <v>90</v>
      </c>
      <c r="D36" s="479"/>
      <c r="E36" s="480"/>
      <c r="F36" s="195"/>
    </row>
    <row r="37" spans="1:9" ht="12.75" customHeight="1" x14ac:dyDescent="0.2">
      <c r="A37" s="84" t="s">
        <v>92</v>
      </c>
      <c r="B37" s="66" t="s">
        <v>273</v>
      </c>
      <c r="C37" s="513">
        <v>19.100000000000001</v>
      </c>
      <c r="D37" s="514"/>
      <c r="E37" s="515"/>
      <c r="F37" s="516" t="s">
        <v>274</v>
      </c>
      <c r="G37" s="517"/>
      <c r="H37" s="230"/>
      <c r="I37" s="230"/>
    </row>
    <row r="38" spans="1:9" x14ac:dyDescent="0.2">
      <c r="A38" s="84" t="s">
        <v>93</v>
      </c>
      <c r="B38" s="66" t="s">
        <v>275</v>
      </c>
      <c r="C38" s="513">
        <v>7.8</v>
      </c>
      <c r="D38" s="514"/>
      <c r="E38" s="515"/>
      <c r="F38" s="516"/>
      <c r="G38" s="517"/>
      <c r="H38" s="230"/>
      <c r="I38" s="230"/>
    </row>
    <row r="39" spans="1:9" x14ac:dyDescent="0.2">
      <c r="A39" s="84" t="s">
        <v>256</v>
      </c>
      <c r="B39" s="197" t="s">
        <v>276</v>
      </c>
      <c r="C39" s="231">
        <v>16</v>
      </c>
      <c r="D39" s="232">
        <v>12</v>
      </c>
      <c r="E39" s="233">
        <v>9.4</v>
      </c>
      <c r="F39" s="516" t="s">
        <v>277</v>
      </c>
      <c r="G39" s="518"/>
    </row>
    <row r="40" spans="1:9" x14ac:dyDescent="0.2">
      <c r="A40" s="95" t="s">
        <v>100</v>
      </c>
      <c r="B40" s="234"/>
      <c r="C40" s="94">
        <f>SUM(C37:C39)</f>
        <v>42.900000000000006</v>
      </c>
      <c r="D40" s="235">
        <f>C37+C38+D39</f>
        <v>38.900000000000006</v>
      </c>
      <c r="E40" s="236">
        <f>C37+C38+E39</f>
        <v>36.300000000000004</v>
      </c>
      <c r="F40" s="195"/>
    </row>
    <row r="41" spans="1:9" x14ac:dyDescent="0.2">
      <c r="A41" s="103" t="s">
        <v>257</v>
      </c>
      <c r="B41" s="203"/>
      <c r="C41" s="498">
        <v>0.2</v>
      </c>
      <c r="D41" s="499"/>
      <c r="E41" s="500"/>
      <c r="F41" s="516" t="s">
        <v>278</v>
      </c>
      <c r="G41" s="517"/>
      <c r="H41" s="517"/>
    </row>
    <row r="42" spans="1:9" x14ac:dyDescent="0.2">
      <c r="A42" s="95" t="s">
        <v>258</v>
      </c>
      <c r="B42" s="204" t="s">
        <v>259</v>
      </c>
      <c r="C42" s="97">
        <f>C40*C41</f>
        <v>8.5800000000000018</v>
      </c>
      <c r="D42" s="205">
        <f>D40*C41</f>
        <v>7.7800000000000011</v>
      </c>
      <c r="E42" s="206">
        <f>E40*C41</f>
        <v>7.2600000000000016</v>
      </c>
      <c r="F42" s="195"/>
    </row>
    <row r="43" spans="1:9" x14ac:dyDescent="0.2">
      <c r="A43" s="95" t="s">
        <v>407</v>
      </c>
      <c r="B43" s="204"/>
      <c r="C43" s="97">
        <f>C42/C35</f>
        <v>0.13273516451058606</v>
      </c>
      <c r="D43" s="97">
        <f>D42/C35</f>
        <v>0.12035892539537989</v>
      </c>
      <c r="E43" s="206">
        <f>E42/C35</f>
        <v>0.11231436997049589</v>
      </c>
      <c r="F43" s="195"/>
    </row>
    <row r="44" spans="1:9" x14ac:dyDescent="0.2">
      <c r="A44" s="99" t="s">
        <v>279</v>
      </c>
      <c r="B44" s="207" t="s">
        <v>89</v>
      </c>
      <c r="C44" s="501" t="s">
        <v>102</v>
      </c>
      <c r="D44" s="502"/>
      <c r="E44" s="503"/>
      <c r="F44" s="195"/>
    </row>
    <row r="45" spans="1:9" x14ac:dyDescent="0.2">
      <c r="A45" s="84" t="s">
        <v>260</v>
      </c>
      <c r="B45" s="93" t="s">
        <v>280</v>
      </c>
      <c r="C45" s="513">
        <v>2.4</v>
      </c>
      <c r="D45" s="514"/>
      <c r="E45" s="515"/>
      <c r="F45" s="195" t="s">
        <v>281</v>
      </c>
    </row>
    <row r="46" spans="1:9" x14ac:dyDescent="0.2">
      <c r="A46" s="84" t="s">
        <v>109</v>
      </c>
      <c r="B46" s="93" t="s">
        <v>282</v>
      </c>
      <c r="C46" s="513">
        <v>1.5</v>
      </c>
      <c r="D46" s="514"/>
      <c r="E46" s="515"/>
      <c r="F46" s="195" t="s">
        <v>281</v>
      </c>
    </row>
    <row r="47" spans="1:9" x14ac:dyDescent="0.2">
      <c r="A47" s="84" t="s">
        <v>110</v>
      </c>
      <c r="B47" s="93" t="s">
        <v>283</v>
      </c>
      <c r="C47" s="504">
        <f>(128000000*8406/1000000)*3/1000000</f>
        <v>3.2279040000000001</v>
      </c>
      <c r="D47" s="505"/>
      <c r="E47" s="506"/>
      <c r="F47" s="517" t="s">
        <v>284</v>
      </c>
      <c r="G47" s="518"/>
      <c r="H47" s="518"/>
    </row>
    <row r="48" spans="1:9" ht="12.75" customHeight="1" x14ac:dyDescent="0.2">
      <c r="A48" s="84" t="s">
        <v>111</v>
      </c>
      <c r="B48" s="93" t="s">
        <v>285</v>
      </c>
      <c r="C48" s="504">
        <f>4000*0.04*8406/1000000</f>
        <v>1.3449599999999999</v>
      </c>
      <c r="D48" s="505"/>
      <c r="E48" s="506"/>
      <c r="F48" s="517" t="s">
        <v>445</v>
      </c>
      <c r="G48" s="517"/>
      <c r="H48" s="517"/>
      <c r="I48" s="517"/>
    </row>
    <row r="49" spans="1:9" ht="12.75" customHeight="1" x14ac:dyDescent="0.2">
      <c r="A49" s="84" t="s">
        <v>261</v>
      </c>
      <c r="B49" s="93" t="s">
        <v>262</v>
      </c>
      <c r="C49" s="504">
        <f>SUM(C45:E48)</f>
        <v>8.4728639999999995</v>
      </c>
      <c r="D49" s="505"/>
      <c r="E49" s="506"/>
      <c r="F49" s="208"/>
      <c r="G49" s="208"/>
      <c r="H49" s="208"/>
      <c r="I49" s="208"/>
    </row>
    <row r="50" spans="1:9" s="149" customFormat="1" ht="25.5" x14ac:dyDescent="0.2">
      <c r="A50" s="84" t="s">
        <v>263</v>
      </c>
      <c r="B50" s="337" t="s">
        <v>401</v>
      </c>
      <c r="C50" s="507">
        <f>C49/C35</f>
        <v>0.13107773856827762</v>
      </c>
      <c r="D50" s="508"/>
      <c r="E50" s="509"/>
      <c r="F50" s="209"/>
    </row>
    <row r="51" spans="1:9" x14ac:dyDescent="0.2">
      <c r="A51" s="84" t="s">
        <v>264</v>
      </c>
      <c r="B51" s="93" t="s">
        <v>265</v>
      </c>
      <c r="C51" s="210">
        <f>'[1]Table B Enzyme Perf &amp; Cost Cont'!D32</f>
        <v>0.42233915980641007</v>
      </c>
      <c r="D51" s="211">
        <f>'[1]Table B Enzyme Perf &amp; Cost Cont'!E32</f>
        <v>0.31675436985480754</v>
      </c>
      <c r="E51" s="212">
        <f>'[1]Table B Enzyme Perf &amp; Cost Cont'!F32</f>
        <v>9.5026310956442261E-2</v>
      </c>
      <c r="F51" s="213" t="s">
        <v>444</v>
      </c>
    </row>
    <row r="52" spans="1:9" x14ac:dyDescent="0.2">
      <c r="A52" s="95" t="s">
        <v>266</v>
      </c>
      <c r="B52" s="214" t="s">
        <v>267</v>
      </c>
      <c r="C52" s="215">
        <f>C50+C51</f>
        <v>0.55341689837468766</v>
      </c>
      <c r="D52" s="215">
        <f>C50+D51</f>
        <v>0.44783210842308518</v>
      </c>
      <c r="E52" s="216">
        <f>C50+E51</f>
        <v>0.22610404952471988</v>
      </c>
      <c r="F52" s="195"/>
    </row>
    <row r="53" spans="1:9" ht="13.5" thickBot="1" x14ac:dyDescent="0.25">
      <c r="A53" s="217" t="s">
        <v>400</v>
      </c>
      <c r="B53" s="218"/>
      <c r="C53" s="219">
        <f>C43+C52</f>
        <v>0.68615206288527375</v>
      </c>
      <c r="D53" s="219">
        <f>D43+D52</f>
        <v>0.56819103381846503</v>
      </c>
      <c r="E53" s="220">
        <f>E43+E52</f>
        <v>0.33841841949521578</v>
      </c>
      <c r="F53" s="195"/>
    </row>
    <row r="54" spans="1:9" x14ac:dyDescent="0.2">
      <c r="A54" s="408" t="s">
        <v>442</v>
      </c>
      <c r="B54" s="409"/>
    </row>
    <row r="55" spans="1:9" x14ac:dyDescent="0.2">
      <c r="A55" s="431"/>
      <c r="B55" s="431"/>
      <c r="C55" s="237"/>
      <c r="D55" s="237"/>
      <c r="E55" s="237"/>
    </row>
  </sheetData>
  <mergeCells count="39">
    <mergeCell ref="A54:B55"/>
    <mergeCell ref="C50:E50"/>
    <mergeCell ref="F39:G39"/>
    <mergeCell ref="C41:E41"/>
    <mergeCell ref="F41:H41"/>
    <mergeCell ref="C44:E44"/>
    <mergeCell ref="C45:E45"/>
    <mergeCell ref="C46:E46"/>
    <mergeCell ref="C47:E47"/>
    <mergeCell ref="F47:H47"/>
    <mergeCell ref="C48:E48"/>
    <mergeCell ref="F48:I48"/>
    <mergeCell ref="C49:E49"/>
    <mergeCell ref="C34:E34"/>
    <mergeCell ref="C35:E35"/>
    <mergeCell ref="C36:E36"/>
    <mergeCell ref="C37:E37"/>
    <mergeCell ref="F37:G38"/>
    <mergeCell ref="C38:E38"/>
    <mergeCell ref="F31:F33"/>
    <mergeCell ref="C32:E32"/>
    <mergeCell ref="C33:E33"/>
    <mergeCell ref="C10:E10"/>
    <mergeCell ref="C11:E11"/>
    <mergeCell ref="C14:E14"/>
    <mergeCell ref="C17:E17"/>
    <mergeCell ref="C18:E18"/>
    <mergeCell ref="C19:E19"/>
    <mergeCell ref="C20:E20"/>
    <mergeCell ref="C21:E21"/>
    <mergeCell ref="C22:E22"/>
    <mergeCell ref="C23:E23"/>
    <mergeCell ref="C31:E31"/>
    <mergeCell ref="C9:E9"/>
    <mergeCell ref="C4:E4"/>
    <mergeCell ref="C5:E5"/>
    <mergeCell ref="C6:E6"/>
    <mergeCell ref="C7:E7"/>
    <mergeCell ref="C8:E8"/>
  </mergeCells>
  <pageMargins left="0.23" right="0.26" top="0.75" bottom="0.61" header="0.5" footer="0.5"/>
  <pageSetup scale="5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M29"/>
  <sheetViews>
    <sheetView workbookViewId="0">
      <selection sqref="A1:J1"/>
    </sheetView>
  </sheetViews>
  <sheetFormatPr defaultRowHeight="12.75" x14ac:dyDescent="0.2"/>
  <cols>
    <col min="1" max="1" width="40.5703125" bestFit="1" customWidth="1"/>
    <col min="2" max="2" width="19.42578125" customWidth="1"/>
    <col min="3" max="3" width="18.7109375" customWidth="1"/>
    <col min="4" max="4" width="16.7109375" customWidth="1"/>
    <col min="5" max="5" width="13.140625" customWidth="1"/>
    <col min="6" max="6" width="13.42578125" customWidth="1"/>
    <col min="7" max="7" width="13.7109375" hidden="1" customWidth="1"/>
    <col min="8" max="10" width="11.85546875" hidden="1" customWidth="1"/>
    <col min="11" max="13" width="13.7109375" customWidth="1"/>
  </cols>
  <sheetData>
    <row r="1" spans="1:13" ht="18.75" thickBot="1" x14ac:dyDescent="0.3">
      <c r="A1" s="391" t="s">
        <v>408</v>
      </c>
      <c r="B1" s="391"/>
      <c r="C1" s="391"/>
      <c r="D1" s="391"/>
      <c r="E1" s="391"/>
      <c r="F1" s="391"/>
      <c r="G1" s="391"/>
      <c r="H1" s="391"/>
      <c r="I1" s="391"/>
      <c r="J1" s="391"/>
      <c r="K1" s="261" t="s">
        <v>322</v>
      </c>
    </row>
    <row r="2" spans="1:13" x14ac:dyDescent="0.2">
      <c r="A2" s="56"/>
      <c r="B2" s="392" t="s">
        <v>42</v>
      </c>
      <c r="C2" s="393"/>
      <c r="D2" s="394"/>
      <c r="E2" s="395" t="s">
        <v>41</v>
      </c>
      <c r="F2" s="396"/>
      <c r="G2" s="397" t="s">
        <v>40</v>
      </c>
      <c r="H2" s="397"/>
      <c r="I2" s="397"/>
      <c r="J2" s="519"/>
      <c r="K2" s="324"/>
      <c r="L2" s="520"/>
      <c r="M2" s="520"/>
    </row>
    <row r="3" spans="1:13" ht="51.75" thickBot="1" x14ac:dyDescent="0.25">
      <c r="A3" s="55" t="s">
        <v>39</v>
      </c>
      <c r="B3" s="54" t="s">
        <v>320</v>
      </c>
      <c r="C3" s="255" t="s">
        <v>319</v>
      </c>
      <c r="D3" s="255" t="s">
        <v>318</v>
      </c>
      <c r="E3" s="51" t="s">
        <v>35</v>
      </c>
      <c r="F3" s="50" t="s">
        <v>34</v>
      </c>
      <c r="G3" s="49" t="s">
        <v>33</v>
      </c>
      <c r="H3" s="49" t="s">
        <v>317</v>
      </c>
      <c r="I3" s="49" t="s">
        <v>316</v>
      </c>
      <c r="J3" s="254" t="s">
        <v>315</v>
      </c>
      <c r="K3" s="321"/>
      <c r="L3" s="321"/>
      <c r="M3" s="321"/>
    </row>
    <row r="4" spans="1:13" ht="39" thickTop="1" x14ac:dyDescent="0.2">
      <c r="A4" s="48" t="s">
        <v>314</v>
      </c>
      <c r="B4" s="47" t="s">
        <v>313</v>
      </c>
      <c r="C4" s="46" t="s">
        <v>312</v>
      </c>
      <c r="D4" s="45" t="s">
        <v>311</v>
      </c>
      <c r="E4" s="44" t="s">
        <v>310</v>
      </c>
      <c r="F4" s="43" t="s">
        <v>310</v>
      </c>
      <c r="G4" s="42"/>
      <c r="H4" s="41"/>
      <c r="I4" s="41"/>
      <c r="J4" s="253"/>
      <c r="K4" s="257"/>
      <c r="L4" s="256"/>
      <c r="M4" s="256"/>
    </row>
    <row r="5" spans="1:13" ht="38.25" x14ac:dyDescent="0.2">
      <c r="A5" s="14" t="s">
        <v>321</v>
      </c>
      <c r="B5" s="12" t="s">
        <v>309</v>
      </c>
      <c r="C5" s="13" t="s">
        <v>25</v>
      </c>
      <c r="D5" s="11" t="s">
        <v>25</v>
      </c>
      <c r="E5" s="11" t="s">
        <v>276</v>
      </c>
      <c r="F5" s="11" t="s">
        <v>276</v>
      </c>
      <c r="G5" s="10"/>
      <c r="H5" s="9"/>
      <c r="I5" s="9"/>
      <c r="J5" s="239"/>
      <c r="K5" s="258"/>
    </row>
    <row r="6" spans="1:13" x14ac:dyDescent="0.2">
      <c r="A6" s="40" t="s">
        <v>308</v>
      </c>
      <c r="B6" s="34"/>
      <c r="C6" s="16"/>
      <c r="D6" s="33"/>
      <c r="E6" s="34"/>
      <c r="F6" s="33"/>
      <c r="G6" s="17"/>
      <c r="H6" s="16"/>
      <c r="I6" s="16"/>
      <c r="J6" s="33"/>
      <c r="K6" s="322"/>
      <c r="L6" s="323"/>
      <c r="M6" s="323"/>
    </row>
    <row r="7" spans="1:13" x14ac:dyDescent="0.2">
      <c r="A7" s="36" t="s">
        <v>22</v>
      </c>
      <c r="B7" s="251">
        <v>0.05</v>
      </c>
      <c r="C7" s="252">
        <v>0.1</v>
      </c>
      <c r="D7" s="250">
        <v>0.1</v>
      </c>
      <c r="E7" s="251">
        <v>0.2</v>
      </c>
      <c r="F7" s="250">
        <v>0.2</v>
      </c>
      <c r="G7" s="10"/>
      <c r="H7" s="9"/>
      <c r="I7" s="9"/>
      <c r="J7" s="239"/>
      <c r="K7" s="322"/>
      <c r="L7" s="323"/>
      <c r="M7" s="323"/>
    </row>
    <row r="8" spans="1:13" x14ac:dyDescent="0.2">
      <c r="A8" s="36" t="s">
        <v>307</v>
      </c>
      <c r="B8" s="247">
        <v>0.05</v>
      </c>
      <c r="C8" s="249">
        <v>0.03</v>
      </c>
      <c r="D8" s="248">
        <v>0.03</v>
      </c>
      <c r="E8" s="247">
        <f>24463/413934</f>
        <v>5.9098793527470564E-2</v>
      </c>
      <c r="F8" s="248">
        <f>28432/428008</f>
        <v>6.6428664884768507E-2</v>
      </c>
      <c r="G8" s="10"/>
      <c r="H8" s="9"/>
      <c r="I8" s="9"/>
      <c r="J8" s="239"/>
      <c r="K8" s="322"/>
      <c r="L8" s="323"/>
      <c r="M8" s="323"/>
    </row>
    <row r="9" spans="1:13" x14ac:dyDescent="0.2">
      <c r="A9" s="36" t="s">
        <v>306</v>
      </c>
      <c r="B9" s="247">
        <v>0</v>
      </c>
      <c r="C9" s="249">
        <v>5.0000000000000001E-3</v>
      </c>
      <c r="D9" s="248">
        <v>0</v>
      </c>
      <c r="E9" s="247">
        <f>5659/413934</f>
        <v>1.3671261602091155E-2</v>
      </c>
      <c r="F9" s="248">
        <f>2432/428008</f>
        <v>5.6821367824900467E-3</v>
      </c>
      <c r="G9" s="10"/>
      <c r="H9" s="9"/>
      <c r="I9" s="9"/>
      <c r="J9" s="239"/>
      <c r="K9" s="322"/>
      <c r="L9" s="323"/>
      <c r="M9" s="323"/>
    </row>
    <row r="10" spans="1:13" x14ac:dyDescent="0.2">
      <c r="A10" s="36" t="s">
        <v>305</v>
      </c>
      <c r="B10" s="247">
        <v>0</v>
      </c>
      <c r="C10" s="249">
        <v>5.0000000000000001E-3</v>
      </c>
      <c r="D10" s="248">
        <v>0</v>
      </c>
      <c r="E10" s="247">
        <f>913/413934</f>
        <v>2.205665637517092E-3</v>
      </c>
      <c r="F10" s="248">
        <f>931/428008</f>
        <v>2.1751929870469709E-3</v>
      </c>
      <c r="G10" s="10"/>
      <c r="H10" s="9"/>
      <c r="I10" s="9"/>
      <c r="J10" s="239"/>
      <c r="K10" s="322"/>
      <c r="L10" s="323"/>
      <c r="M10" s="323"/>
    </row>
    <row r="11" spans="1:13" x14ac:dyDescent="0.2">
      <c r="A11" s="36" t="s">
        <v>304</v>
      </c>
      <c r="B11" s="247">
        <v>0</v>
      </c>
      <c r="C11" s="249">
        <v>0</v>
      </c>
      <c r="D11" s="248">
        <v>0.02</v>
      </c>
      <c r="E11" s="247">
        <f>2424/413934</f>
        <v>5.8560060299468033E-3</v>
      </c>
      <c r="F11" s="248">
        <f>439/428008</f>
        <v>1.0256817629577016E-3</v>
      </c>
      <c r="G11" s="10"/>
      <c r="H11" s="9"/>
      <c r="I11" s="9"/>
      <c r="J11" s="239"/>
      <c r="K11" s="322"/>
      <c r="L11" s="323"/>
      <c r="M11" s="323"/>
    </row>
    <row r="12" spans="1:13" x14ac:dyDescent="0.2">
      <c r="A12" s="36" t="s">
        <v>303</v>
      </c>
      <c r="B12" s="247">
        <v>0</v>
      </c>
      <c r="C12" s="249">
        <v>0.02</v>
      </c>
      <c r="D12" s="248">
        <v>0</v>
      </c>
      <c r="E12" s="247">
        <f>11278/413934</f>
        <v>2.7245889441311899E-2</v>
      </c>
      <c r="F12" s="248">
        <f>18088/428008</f>
        <v>4.2260892319769726E-2</v>
      </c>
      <c r="G12" s="10"/>
      <c r="H12" s="9"/>
      <c r="I12" s="9"/>
      <c r="J12" s="239"/>
      <c r="K12" s="322"/>
      <c r="L12" s="323"/>
      <c r="M12" s="323"/>
    </row>
    <row r="13" spans="1:13" x14ac:dyDescent="0.2">
      <c r="A13" s="36" t="s">
        <v>302</v>
      </c>
      <c r="B13" s="247">
        <v>0</v>
      </c>
      <c r="C13" s="249">
        <v>0.01</v>
      </c>
      <c r="D13" s="248">
        <v>0</v>
      </c>
      <c r="E13" s="247">
        <f>2279/413934</f>
        <v>5.5057086395415697E-3</v>
      </c>
      <c r="F13" s="248">
        <f>566/428008</f>
        <v>1.3224051886880619E-3</v>
      </c>
      <c r="G13" s="10"/>
      <c r="H13" s="9"/>
      <c r="I13" s="9"/>
      <c r="J13" s="239"/>
      <c r="K13" s="322"/>
      <c r="L13" s="323"/>
      <c r="M13" s="323"/>
    </row>
    <row r="14" spans="1:13" x14ac:dyDescent="0.2">
      <c r="A14" s="36" t="s">
        <v>301</v>
      </c>
      <c r="B14" s="247">
        <v>0</v>
      </c>
      <c r="C14" s="249">
        <v>1.4999999999999999E-2</v>
      </c>
      <c r="D14" s="248">
        <v>1.4999999999999999E-2</v>
      </c>
      <c r="E14" s="247">
        <f>13501/413934</f>
        <v>3.2616310812834899E-2</v>
      </c>
      <c r="F14" s="248">
        <f>14251/428008</f>
        <v>3.3296106614829631E-2</v>
      </c>
      <c r="G14" s="10"/>
      <c r="H14" s="9"/>
      <c r="I14" s="9"/>
      <c r="J14" s="239"/>
      <c r="K14" s="322"/>
      <c r="L14" s="323"/>
      <c r="M14" s="323"/>
    </row>
    <row r="15" spans="1:13" x14ac:dyDescent="0.2">
      <c r="A15" s="36" t="s">
        <v>300</v>
      </c>
      <c r="B15" s="247"/>
      <c r="C15" s="249"/>
      <c r="D15" s="248"/>
      <c r="E15" s="247"/>
      <c r="F15" s="246"/>
      <c r="G15" s="10"/>
      <c r="H15" s="9"/>
      <c r="I15" s="9"/>
      <c r="J15" s="239"/>
      <c r="K15" s="322"/>
      <c r="L15" s="323"/>
      <c r="M15" s="323"/>
    </row>
    <row r="16" spans="1:13" x14ac:dyDescent="0.2">
      <c r="A16" s="21" t="s">
        <v>299</v>
      </c>
      <c r="B16" s="19"/>
      <c r="C16" s="20"/>
      <c r="D16" s="18"/>
      <c r="E16" s="19"/>
      <c r="F16" s="18"/>
      <c r="G16" s="17"/>
      <c r="H16" s="16"/>
      <c r="I16" s="16"/>
      <c r="J16" s="33"/>
      <c r="K16" s="322"/>
      <c r="L16" s="323"/>
      <c r="M16" s="323"/>
    </row>
    <row r="17" spans="1:13" x14ac:dyDescent="0.2">
      <c r="A17" s="15" t="s">
        <v>298</v>
      </c>
      <c r="B17" s="12">
        <v>48</v>
      </c>
      <c r="C17" s="13">
        <f>7*24</f>
        <v>168</v>
      </c>
      <c r="D17" s="11">
        <v>168</v>
      </c>
      <c r="E17" s="12">
        <v>168</v>
      </c>
      <c r="F17" s="11">
        <v>72</v>
      </c>
      <c r="G17" s="10"/>
      <c r="H17" s="9"/>
      <c r="I17" s="9"/>
      <c r="J17" s="239"/>
      <c r="K17" s="321"/>
      <c r="L17" s="323"/>
      <c r="M17" s="323"/>
    </row>
    <row r="18" spans="1:13" x14ac:dyDescent="0.2">
      <c r="A18" s="36" t="s">
        <v>297</v>
      </c>
      <c r="B18" s="12">
        <v>45</v>
      </c>
      <c r="C18" s="13">
        <v>42</v>
      </c>
      <c r="D18" s="11">
        <v>42</v>
      </c>
      <c r="E18" s="12" t="s">
        <v>296</v>
      </c>
      <c r="F18" s="11" t="s">
        <v>296</v>
      </c>
      <c r="G18" s="10"/>
      <c r="H18" s="9"/>
      <c r="I18" s="9"/>
      <c r="J18" s="239"/>
      <c r="K18" s="321"/>
      <c r="L18" s="323"/>
      <c r="M18" s="323"/>
    </row>
    <row r="19" spans="1:13" x14ac:dyDescent="0.2">
      <c r="A19" s="36" t="s">
        <v>295</v>
      </c>
      <c r="B19" s="12">
        <v>20</v>
      </c>
      <c r="C19" s="13">
        <v>40</v>
      </c>
      <c r="D19" s="11">
        <v>40</v>
      </c>
      <c r="E19" s="12">
        <v>40</v>
      </c>
      <c r="F19" s="11">
        <v>20</v>
      </c>
      <c r="G19" s="10"/>
      <c r="H19" s="9"/>
      <c r="I19" s="9"/>
      <c r="J19" s="239"/>
      <c r="K19" s="321"/>
      <c r="L19" s="323"/>
      <c r="M19" s="323"/>
    </row>
    <row r="20" spans="1:13" x14ac:dyDescent="0.2">
      <c r="A20" s="36" t="s">
        <v>294</v>
      </c>
      <c r="B20" s="12">
        <v>20</v>
      </c>
      <c r="C20" s="13"/>
      <c r="D20" s="11"/>
      <c r="E20" s="12">
        <v>40</v>
      </c>
      <c r="F20" s="11">
        <v>20</v>
      </c>
      <c r="G20" s="10"/>
      <c r="H20" s="9"/>
      <c r="I20" s="9"/>
      <c r="J20" s="239"/>
      <c r="K20" s="322"/>
      <c r="L20" s="323"/>
      <c r="M20" s="323"/>
    </row>
    <row r="21" spans="1:13" x14ac:dyDescent="0.2">
      <c r="A21" s="35" t="s">
        <v>293</v>
      </c>
      <c r="B21" s="34"/>
      <c r="C21" s="16"/>
      <c r="D21" s="33"/>
      <c r="E21" s="34"/>
      <c r="F21" s="33"/>
      <c r="G21" s="17"/>
      <c r="H21" s="16"/>
      <c r="I21" s="16"/>
      <c r="J21" s="33"/>
      <c r="K21" s="322"/>
      <c r="L21" s="323"/>
      <c r="M21" s="323"/>
    </row>
    <row r="22" spans="1:13" x14ac:dyDescent="0.2">
      <c r="A22" s="28" t="s">
        <v>292</v>
      </c>
      <c r="B22" s="244">
        <v>90</v>
      </c>
      <c r="C22" s="244">
        <v>82</v>
      </c>
      <c r="D22" s="29">
        <v>85</v>
      </c>
      <c r="E22" s="23">
        <v>90</v>
      </c>
      <c r="F22" s="22">
        <v>91.5</v>
      </c>
      <c r="G22" s="10"/>
      <c r="H22" s="9"/>
      <c r="I22" s="9"/>
      <c r="J22" s="239"/>
      <c r="K22" s="70"/>
    </row>
    <row r="23" spans="1:13" ht="25.5" x14ac:dyDescent="0.2">
      <c r="A23" s="245" t="s">
        <v>291</v>
      </c>
      <c r="B23" s="244">
        <v>0</v>
      </c>
      <c r="C23" s="244">
        <v>0</v>
      </c>
      <c r="D23" s="29">
        <v>0</v>
      </c>
      <c r="E23" s="23">
        <v>5.2</v>
      </c>
      <c r="F23" s="22">
        <v>5.2</v>
      </c>
      <c r="G23" s="10"/>
      <c r="H23" s="9"/>
      <c r="I23" s="9"/>
      <c r="J23" s="239"/>
      <c r="K23" s="70"/>
    </row>
    <row r="24" spans="1:13" x14ac:dyDescent="0.2">
      <c r="A24" s="28" t="s">
        <v>290</v>
      </c>
      <c r="B24" s="244">
        <v>0</v>
      </c>
      <c r="C24" s="244">
        <v>0</v>
      </c>
      <c r="D24" s="11">
        <v>80</v>
      </c>
      <c r="E24" s="23">
        <v>0</v>
      </c>
      <c r="F24" s="22">
        <v>0</v>
      </c>
      <c r="G24" s="10"/>
      <c r="H24" s="9"/>
      <c r="I24" s="9"/>
      <c r="J24" s="239"/>
      <c r="K24" s="70"/>
    </row>
    <row r="25" spans="1:13" x14ac:dyDescent="0.2">
      <c r="A25" s="242" t="s">
        <v>289</v>
      </c>
      <c r="B25" s="241">
        <v>0</v>
      </c>
      <c r="C25" s="241">
        <v>0</v>
      </c>
      <c r="D25" s="24">
        <v>10</v>
      </c>
      <c r="E25" s="23">
        <v>0</v>
      </c>
      <c r="F25" s="22">
        <v>0</v>
      </c>
      <c r="G25" s="10"/>
      <c r="H25" s="9"/>
      <c r="I25" s="9"/>
      <c r="J25" s="239"/>
      <c r="K25" s="70"/>
    </row>
    <row r="26" spans="1:13" ht="25.5" customHeight="1" x14ac:dyDescent="0.2">
      <c r="A26" s="243" t="s">
        <v>288</v>
      </c>
      <c r="B26" s="241">
        <v>100</v>
      </c>
      <c r="C26" s="240">
        <v>100</v>
      </c>
      <c r="D26" s="24">
        <v>100</v>
      </c>
      <c r="E26" s="23">
        <v>100</v>
      </c>
      <c r="F26" s="22">
        <v>100</v>
      </c>
      <c r="G26" s="10"/>
      <c r="H26" s="9"/>
      <c r="I26" s="9"/>
      <c r="J26" s="239"/>
      <c r="K26" s="70"/>
    </row>
    <row r="27" spans="1:13" x14ac:dyDescent="0.2">
      <c r="A27" s="242" t="s">
        <v>287</v>
      </c>
      <c r="B27" s="241">
        <v>0</v>
      </c>
      <c r="C27" s="240">
        <v>2</v>
      </c>
      <c r="D27" s="24">
        <v>0</v>
      </c>
      <c r="E27" s="23">
        <v>0</v>
      </c>
      <c r="F27" s="22">
        <v>0</v>
      </c>
      <c r="G27" s="10"/>
      <c r="H27" s="9"/>
      <c r="I27" s="9"/>
      <c r="J27" s="239"/>
      <c r="K27" s="70"/>
    </row>
    <row r="28" spans="1:13" ht="14.25" customHeight="1" x14ac:dyDescent="0.2">
      <c r="A28" s="14" t="s">
        <v>8</v>
      </c>
      <c r="B28" s="12" t="s">
        <v>6</v>
      </c>
      <c r="C28" s="13" t="s">
        <v>5</v>
      </c>
      <c r="D28" s="11" t="s">
        <v>5</v>
      </c>
      <c r="E28" s="12" t="s">
        <v>5</v>
      </c>
      <c r="F28" s="11"/>
      <c r="G28" s="10"/>
      <c r="H28" s="9"/>
      <c r="I28" s="9"/>
      <c r="J28" s="239"/>
      <c r="K28" s="196"/>
    </row>
    <row r="29" spans="1:13" ht="141" customHeight="1" thickBot="1" x14ac:dyDescent="0.25">
      <c r="A29" s="8" t="s">
        <v>3</v>
      </c>
      <c r="B29" s="7"/>
      <c r="C29" s="6"/>
      <c r="D29" s="5"/>
      <c r="E29" s="4" t="s">
        <v>1</v>
      </c>
      <c r="F29" s="3" t="s">
        <v>286</v>
      </c>
      <c r="G29" s="2"/>
      <c r="H29" s="1"/>
      <c r="I29" s="1"/>
      <c r="J29" s="238"/>
      <c r="K29" s="187"/>
    </row>
  </sheetData>
  <mergeCells count="5">
    <mergeCell ref="A1:J1"/>
    <mergeCell ref="B2:D2"/>
    <mergeCell ref="E2:F2"/>
    <mergeCell ref="G2:J2"/>
    <mergeCell ref="L2:M2"/>
  </mergeCells>
  <pageMargins left="0.18" right="0.32" top="0.54" bottom="0.48" header="0.5" footer="0.5"/>
  <pageSetup scale="85"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tabSelected="1" zoomScale="75" zoomScaleNormal="75" workbookViewId="0">
      <selection activeCell="B36" sqref="B36"/>
    </sheetView>
  </sheetViews>
  <sheetFormatPr defaultRowHeight="12.75" x14ac:dyDescent="0.2"/>
  <cols>
    <col min="1" max="1" width="29.42578125" style="187" customWidth="1"/>
    <col min="2" max="2" width="69" style="187" bestFit="1" customWidth="1"/>
    <col min="3" max="3" width="15.42578125" style="187" customWidth="1"/>
    <col min="4" max="4" width="10" style="187" bestFit="1" customWidth="1"/>
    <col min="5" max="5" width="15.42578125" style="187" customWidth="1"/>
    <col min="6" max="6" width="10" style="187" bestFit="1" customWidth="1"/>
    <col min="7" max="7" width="36.7109375" style="187" customWidth="1"/>
    <col min="8" max="8" width="82.85546875" style="187" bestFit="1" customWidth="1"/>
    <col min="9" max="9" width="67.140625" style="187" customWidth="1"/>
    <col min="10" max="10" width="67.7109375" style="187" hidden="1" customWidth="1"/>
    <col min="11" max="11" width="50.7109375" style="187" customWidth="1"/>
    <col min="12" max="16384" width="9.140625" style="187"/>
  </cols>
  <sheetData>
    <row r="1" spans="1:10" ht="20.25" x14ac:dyDescent="0.3">
      <c r="A1" s="259" t="s">
        <v>349</v>
      </c>
      <c r="B1" s="260"/>
      <c r="C1" s="260"/>
      <c r="D1" s="260"/>
      <c r="E1" s="260"/>
      <c r="F1" s="260"/>
      <c r="H1" s="261" t="s">
        <v>322</v>
      </c>
      <c r="I1" s="260"/>
    </row>
    <row r="2" spans="1:10" ht="23.25" x14ac:dyDescent="0.35">
      <c r="A2" s="262" t="s">
        <v>323</v>
      </c>
      <c r="B2" s="263"/>
      <c r="C2" s="264"/>
      <c r="D2" s="264"/>
      <c r="E2" s="264"/>
      <c r="F2" s="264"/>
      <c r="G2" s="260"/>
      <c r="H2" s="264"/>
      <c r="I2" s="260"/>
    </row>
    <row r="3" spans="1:10" ht="15" thickBot="1" x14ac:dyDescent="0.25">
      <c r="A3" s="260"/>
      <c r="B3" s="260"/>
      <c r="C3" s="260"/>
      <c r="D3" s="260"/>
      <c r="E3" s="260"/>
      <c r="F3" s="260"/>
      <c r="G3" s="260"/>
      <c r="H3" s="176"/>
      <c r="I3" s="260"/>
    </row>
    <row r="4" spans="1:10" s="266" customFormat="1" ht="18.75" thickBot="1" x14ac:dyDescent="0.3">
      <c r="A4" s="527" t="s">
        <v>324</v>
      </c>
      <c r="B4" s="528"/>
      <c r="C4" s="528"/>
      <c r="D4" s="528"/>
      <c r="E4" s="528"/>
      <c r="F4" s="528"/>
      <c r="G4" s="528"/>
      <c r="H4" s="529"/>
      <c r="I4" s="265"/>
    </row>
    <row r="5" spans="1:10" s="266" customFormat="1" ht="15" x14ac:dyDescent="0.25">
      <c r="A5" s="530" t="s">
        <v>325</v>
      </c>
      <c r="B5" s="531"/>
      <c r="C5" s="267"/>
      <c r="D5" s="267"/>
      <c r="E5" s="267"/>
      <c r="F5" s="267"/>
      <c r="G5" s="268"/>
      <c r="H5" s="268"/>
      <c r="I5" s="265"/>
    </row>
    <row r="6" spans="1:10" s="266" customFormat="1" ht="15" x14ac:dyDescent="0.25">
      <c r="A6" s="339"/>
      <c r="B6" s="340"/>
      <c r="C6" s="532" t="s">
        <v>409</v>
      </c>
      <c r="D6" s="533"/>
      <c r="E6" s="534" t="s">
        <v>410</v>
      </c>
      <c r="F6" s="533"/>
      <c r="G6" s="341"/>
      <c r="H6" s="341"/>
      <c r="I6" s="265"/>
    </row>
    <row r="7" spans="1:10" s="266" customFormat="1" ht="48" thickBot="1" x14ac:dyDescent="0.3">
      <c r="A7" s="269" t="s">
        <v>326</v>
      </c>
      <c r="B7" s="270" t="s">
        <v>327</v>
      </c>
      <c r="C7" s="271" t="s">
        <v>328</v>
      </c>
      <c r="D7" s="342" t="s">
        <v>329</v>
      </c>
      <c r="E7" s="343" t="s">
        <v>328</v>
      </c>
      <c r="F7" s="272" t="s">
        <v>329</v>
      </c>
      <c r="G7" s="344" t="s">
        <v>330</v>
      </c>
      <c r="H7" s="273" t="s">
        <v>331</v>
      </c>
      <c r="I7" s="265"/>
    </row>
    <row r="8" spans="1:10" s="277" customFormat="1" ht="71.25" x14ac:dyDescent="0.25">
      <c r="A8" s="274" t="s">
        <v>332</v>
      </c>
      <c r="B8" s="345" t="s">
        <v>333</v>
      </c>
      <c r="C8" s="535" t="s">
        <v>334</v>
      </c>
      <c r="D8" s="536"/>
      <c r="E8" s="536"/>
      <c r="F8" s="537"/>
      <c r="G8" s="275"/>
      <c r="H8" s="276"/>
      <c r="J8" s="278"/>
    </row>
    <row r="9" spans="1:10" s="277" customFormat="1" ht="28.5" x14ac:dyDescent="0.25">
      <c r="A9" s="346" t="s">
        <v>335</v>
      </c>
      <c r="B9" s="347" t="s">
        <v>351</v>
      </c>
      <c r="C9" s="348"/>
      <c r="D9" s="349"/>
      <c r="E9" s="350"/>
      <c r="F9" s="351"/>
      <c r="G9" s="352"/>
      <c r="H9" s="353" t="s">
        <v>350</v>
      </c>
      <c r="J9" s="278"/>
    </row>
    <row r="10" spans="1:10" ht="15" x14ac:dyDescent="0.25">
      <c r="A10" s="282" t="s">
        <v>336</v>
      </c>
      <c r="B10" s="354" t="s">
        <v>411</v>
      </c>
      <c r="C10" s="283"/>
      <c r="D10" s="355"/>
      <c r="E10" s="356"/>
      <c r="F10" s="284"/>
      <c r="G10" s="285"/>
      <c r="H10" s="286"/>
      <c r="J10" s="278"/>
    </row>
    <row r="11" spans="1:10" ht="15" x14ac:dyDescent="0.25">
      <c r="A11" s="282"/>
      <c r="B11" s="354" t="s">
        <v>412</v>
      </c>
      <c r="C11" s="283"/>
      <c r="D11" s="355"/>
      <c r="E11" s="356"/>
      <c r="F11" s="284"/>
      <c r="G11" s="285"/>
      <c r="H11" s="286"/>
      <c r="J11" s="278"/>
    </row>
    <row r="12" spans="1:10" ht="15" x14ac:dyDescent="0.25">
      <c r="A12" s="282"/>
      <c r="B12" s="292" t="s">
        <v>447</v>
      </c>
      <c r="C12" s="283"/>
      <c r="D12" s="355"/>
      <c r="E12" s="356"/>
      <c r="F12" s="284"/>
      <c r="G12" s="285"/>
      <c r="H12" s="286"/>
      <c r="J12" s="278"/>
    </row>
    <row r="13" spans="1:10" ht="15" x14ac:dyDescent="0.25">
      <c r="A13" s="282"/>
      <c r="B13" s="292" t="s">
        <v>443</v>
      </c>
      <c r="C13" s="283"/>
      <c r="D13" s="355"/>
      <c r="E13" s="356"/>
      <c r="F13" s="284"/>
      <c r="G13" s="285"/>
      <c r="H13" s="286"/>
      <c r="J13" s="278"/>
    </row>
    <row r="14" spans="1:10" ht="15" x14ac:dyDescent="0.25">
      <c r="A14" s="287"/>
      <c r="B14" s="292" t="s">
        <v>413</v>
      </c>
      <c r="C14" s="283"/>
      <c r="D14" s="355"/>
      <c r="E14" s="356"/>
      <c r="F14" s="284"/>
      <c r="G14" s="285"/>
      <c r="H14" s="286" t="s">
        <v>414</v>
      </c>
      <c r="J14" s="278"/>
    </row>
    <row r="15" spans="1:10" ht="15" x14ac:dyDescent="0.25">
      <c r="A15" s="287"/>
      <c r="B15" s="292" t="s">
        <v>337</v>
      </c>
      <c r="C15" s="283"/>
      <c r="D15" s="355"/>
      <c r="E15" s="356"/>
      <c r="F15" s="284"/>
      <c r="G15" s="285"/>
      <c r="H15" s="286"/>
      <c r="J15" s="278"/>
    </row>
    <row r="16" spans="1:10" ht="15" x14ac:dyDescent="0.25">
      <c r="A16" s="288"/>
      <c r="B16" s="357" t="s">
        <v>338</v>
      </c>
      <c r="C16" s="289"/>
      <c r="D16" s="358"/>
      <c r="E16" s="359"/>
      <c r="F16" s="290"/>
      <c r="G16" s="291"/>
      <c r="H16" s="281"/>
      <c r="J16" s="278"/>
    </row>
    <row r="17" spans="1:11" ht="14.25" x14ac:dyDescent="0.2">
      <c r="A17" s="293" t="s">
        <v>415</v>
      </c>
      <c r="B17" s="292" t="s">
        <v>416</v>
      </c>
      <c r="C17" s="294"/>
      <c r="D17" s="360"/>
      <c r="E17" s="361"/>
      <c r="F17" s="295"/>
      <c r="G17" s="296"/>
      <c r="H17" s="297" t="s">
        <v>417</v>
      </c>
      <c r="K17" s="298"/>
    </row>
    <row r="18" spans="1:11" ht="14.25" x14ac:dyDescent="0.2">
      <c r="A18" s="299"/>
      <c r="B18" s="292" t="s">
        <v>418</v>
      </c>
      <c r="C18" s="283"/>
      <c r="D18" s="355"/>
      <c r="E18" s="356"/>
      <c r="F18" s="284"/>
      <c r="G18" s="296"/>
      <c r="H18" s="297" t="s">
        <v>417</v>
      </c>
      <c r="K18" s="298"/>
    </row>
    <row r="19" spans="1:11" ht="14.25" x14ac:dyDescent="0.2">
      <c r="A19" s="299"/>
      <c r="B19" s="292" t="s">
        <v>419</v>
      </c>
      <c r="C19" s="283"/>
      <c r="D19" s="355"/>
      <c r="E19" s="356"/>
      <c r="F19" s="284"/>
      <c r="G19" s="296"/>
      <c r="H19" s="297" t="s">
        <v>417</v>
      </c>
      <c r="K19" s="298"/>
    </row>
    <row r="20" spans="1:11" ht="14.25" x14ac:dyDescent="0.2">
      <c r="A20" s="302"/>
      <c r="B20" s="357" t="s">
        <v>448</v>
      </c>
      <c r="C20" s="279"/>
      <c r="D20" s="362"/>
      <c r="E20" s="363"/>
      <c r="F20" s="280"/>
      <c r="G20" s="303"/>
      <c r="H20" s="364"/>
      <c r="K20" s="298"/>
    </row>
    <row r="21" spans="1:11" ht="14.25" x14ac:dyDescent="0.2">
      <c r="A21" s="293" t="s">
        <v>420</v>
      </c>
      <c r="B21" s="292" t="s">
        <v>449</v>
      </c>
      <c r="C21" s="304"/>
      <c r="D21" s="365"/>
      <c r="E21" s="366"/>
      <c r="F21" s="305"/>
      <c r="G21" s="296"/>
      <c r="H21" s="300"/>
      <c r="K21" s="298"/>
    </row>
    <row r="22" spans="1:11" ht="15" thickBot="1" x14ac:dyDescent="0.25">
      <c r="A22" s="367"/>
      <c r="B22" s="368" t="s">
        <v>421</v>
      </c>
      <c r="C22" s="369"/>
      <c r="D22" s="370"/>
      <c r="E22" s="371"/>
      <c r="F22" s="372"/>
      <c r="G22" s="306"/>
      <c r="H22" s="373" t="s">
        <v>422</v>
      </c>
      <c r="K22" s="298"/>
    </row>
    <row r="23" spans="1:11" ht="75" customHeight="1" x14ac:dyDescent="0.25">
      <c r="A23" s="307" t="s">
        <v>340</v>
      </c>
      <c r="B23" s="354" t="s">
        <v>450</v>
      </c>
      <c r="C23" s="283"/>
      <c r="D23" s="355"/>
      <c r="E23" s="356"/>
      <c r="F23" s="284"/>
      <c r="G23" s="308"/>
      <c r="H23" s="325" t="s">
        <v>423</v>
      </c>
      <c r="J23" s="301"/>
    </row>
    <row r="24" spans="1:11" ht="28.5" x14ac:dyDescent="0.25">
      <c r="A24" s="307"/>
      <c r="B24" s="354" t="s">
        <v>424</v>
      </c>
      <c r="C24" s="283"/>
      <c r="D24" s="355"/>
      <c r="E24" s="356"/>
      <c r="F24" s="284"/>
      <c r="G24" s="308"/>
      <c r="H24" s="325" t="s">
        <v>425</v>
      </c>
      <c r="J24" s="301"/>
    </row>
    <row r="25" spans="1:11" ht="28.5" x14ac:dyDescent="0.25">
      <c r="A25" s="302"/>
      <c r="B25" s="374" t="s">
        <v>341</v>
      </c>
      <c r="C25" s="279"/>
      <c r="D25" s="362"/>
      <c r="E25" s="363"/>
      <c r="F25" s="280"/>
      <c r="G25" s="309"/>
      <c r="H25" s="310" t="s">
        <v>426</v>
      </c>
      <c r="J25" s="301"/>
    </row>
    <row r="26" spans="1:11" ht="15" x14ac:dyDescent="0.25">
      <c r="A26" s="538" t="s">
        <v>342</v>
      </c>
      <c r="B26" s="354" t="s">
        <v>451</v>
      </c>
      <c r="C26" s="311"/>
      <c r="D26" s="375"/>
      <c r="E26" s="376"/>
      <c r="F26" s="312"/>
      <c r="G26" s="313"/>
      <c r="H26" s="325" t="s">
        <v>427</v>
      </c>
      <c r="J26" s="301" t="s">
        <v>339</v>
      </c>
    </row>
    <row r="27" spans="1:11" ht="14.25" x14ac:dyDescent="0.2">
      <c r="A27" s="539"/>
      <c r="B27" s="354" t="s">
        <v>452</v>
      </c>
      <c r="C27" s="311"/>
      <c r="D27" s="375"/>
      <c r="E27" s="376"/>
      <c r="F27" s="312"/>
      <c r="G27" s="313"/>
      <c r="H27" s="325" t="s">
        <v>428</v>
      </c>
    </row>
    <row r="28" spans="1:11" ht="57" x14ac:dyDescent="0.2">
      <c r="A28" s="539"/>
      <c r="B28" s="354" t="s">
        <v>343</v>
      </c>
      <c r="C28" s="311"/>
      <c r="D28" s="375"/>
      <c r="E28" s="376"/>
      <c r="F28" s="312"/>
      <c r="G28" s="313"/>
      <c r="H28" s="325" t="s">
        <v>344</v>
      </c>
    </row>
    <row r="29" spans="1:11" ht="14.25" x14ac:dyDescent="0.2">
      <c r="A29" s="540"/>
      <c r="B29" s="377" t="s">
        <v>429</v>
      </c>
      <c r="C29" s="378"/>
      <c r="D29" s="379"/>
      <c r="E29" s="380"/>
      <c r="F29" s="381"/>
      <c r="G29" s="382"/>
      <c r="H29" s="310" t="s">
        <v>345</v>
      </c>
    </row>
    <row r="30" spans="1:11" ht="15" x14ac:dyDescent="0.25">
      <c r="A30" s="521" t="s">
        <v>430</v>
      </c>
      <c r="B30" s="354" t="s">
        <v>431</v>
      </c>
      <c r="C30" s="311"/>
      <c r="D30" s="375"/>
      <c r="E30" s="376"/>
      <c r="F30" s="312"/>
      <c r="G30" s="313"/>
      <c r="H30" s="325" t="s">
        <v>346</v>
      </c>
      <c r="J30" s="314" t="s">
        <v>347</v>
      </c>
    </row>
    <row r="31" spans="1:11" ht="15" x14ac:dyDescent="0.25">
      <c r="A31" s="522"/>
      <c r="B31" s="354" t="s">
        <v>453</v>
      </c>
      <c r="C31" s="311"/>
      <c r="D31" s="375"/>
      <c r="E31" s="376"/>
      <c r="F31" s="312"/>
      <c r="G31" s="313"/>
      <c r="H31" s="325"/>
      <c r="J31" s="314"/>
    </row>
    <row r="32" spans="1:11" ht="15" x14ac:dyDescent="0.25">
      <c r="A32" s="522"/>
      <c r="B32" s="383" t="s">
        <v>454</v>
      </c>
      <c r="C32" s="311"/>
      <c r="D32" s="375"/>
      <c r="E32" s="376"/>
      <c r="F32" s="312"/>
      <c r="G32" s="313"/>
      <c r="H32" s="325"/>
      <c r="J32" s="314"/>
    </row>
    <row r="33" spans="1:10" ht="72" thickBot="1" x14ac:dyDescent="0.3">
      <c r="A33" s="523"/>
      <c r="B33" s="384" t="s">
        <v>432</v>
      </c>
      <c r="C33" s="315"/>
      <c r="D33" s="385"/>
      <c r="E33" s="386"/>
      <c r="F33" s="316"/>
      <c r="G33" s="317"/>
      <c r="H33" s="387" t="s">
        <v>433</v>
      </c>
      <c r="J33" s="314"/>
    </row>
    <row r="34" spans="1:10" ht="14.25" x14ac:dyDescent="0.2">
      <c r="A34" s="524" t="s">
        <v>434</v>
      </c>
      <c r="B34" s="525"/>
      <c r="C34" s="525"/>
      <c r="D34" s="525"/>
      <c r="E34" s="525"/>
      <c r="F34" s="525"/>
      <c r="G34" s="525"/>
      <c r="H34" s="525"/>
      <c r="I34" s="318"/>
    </row>
    <row r="35" spans="1:10" ht="14.25" x14ac:dyDescent="0.2">
      <c r="A35" s="526" t="s">
        <v>348</v>
      </c>
      <c r="B35" s="525"/>
      <c r="C35" s="525"/>
      <c r="D35" s="525"/>
      <c r="E35" s="525"/>
      <c r="F35" s="525"/>
      <c r="G35" s="525"/>
      <c r="H35" s="525"/>
      <c r="I35" s="319"/>
    </row>
    <row r="36" spans="1:10" ht="14.25" x14ac:dyDescent="0.2">
      <c r="A36" s="388"/>
      <c r="B36" s="320"/>
      <c r="C36" s="320"/>
      <c r="D36" s="320"/>
      <c r="E36" s="320"/>
      <c r="F36" s="320"/>
      <c r="G36" s="320"/>
      <c r="H36" s="320"/>
      <c r="I36" s="320"/>
    </row>
    <row r="37" spans="1:10" ht="14.25" x14ac:dyDescent="0.2">
      <c r="A37" s="388"/>
    </row>
    <row r="38" spans="1:10" ht="14.25" x14ac:dyDescent="0.2">
      <c r="A38" s="388"/>
    </row>
    <row r="39" spans="1:10" ht="14.25" x14ac:dyDescent="0.2">
      <c r="A39" s="388"/>
    </row>
    <row r="40" spans="1:10" ht="14.25" x14ac:dyDescent="0.2">
      <c r="A40" s="388"/>
    </row>
    <row r="41" spans="1:10" ht="14.25" x14ac:dyDescent="0.2">
      <c r="A41" s="388"/>
    </row>
    <row r="42" spans="1:10" ht="14.25" x14ac:dyDescent="0.2">
      <c r="A42" s="388"/>
    </row>
    <row r="43" spans="1:10" ht="14.25" x14ac:dyDescent="0.2">
      <c r="A43" s="388"/>
    </row>
    <row r="44" spans="1:10" ht="14.25" x14ac:dyDescent="0.2">
      <c r="A44" s="388"/>
    </row>
    <row r="45" spans="1:10" ht="14.25" x14ac:dyDescent="0.2">
      <c r="A45" s="388"/>
    </row>
  </sheetData>
  <mergeCells count="9">
    <mergeCell ref="A30:A33"/>
    <mergeCell ref="A34:H34"/>
    <mergeCell ref="A35:H35"/>
    <mergeCell ref="A4:H4"/>
    <mergeCell ref="A5:B5"/>
    <mergeCell ref="C6:D6"/>
    <mergeCell ref="E6:F6"/>
    <mergeCell ref="C8:F8"/>
    <mergeCell ref="A26:A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A - Performance_Feedstock</vt:lpstr>
      <vt:lpstr>Table B - Performance_ Exper</vt:lpstr>
      <vt:lpstr>Table C - Economics Synbio</vt:lpstr>
      <vt:lpstr>Table D.1 - PT Reproducibility</vt:lpstr>
      <vt:lpstr>Table D.2 - Enzy Perf &amp; Cost</vt:lpstr>
      <vt:lpstr>Table D.3 - Pro. Detail Econ.</vt:lpstr>
      <vt:lpstr>Table D.4 - State of the Art</vt:lpstr>
      <vt:lpstr>Table D.5 Process Indic Gaseous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Walker, Geoffrey</dc:creator>
  <cp:lastModifiedBy>gina lynch</cp:lastModifiedBy>
  <cp:lastPrinted>2012-05-23T19:27:15Z</cp:lastPrinted>
  <dcterms:created xsi:type="dcterms:W3CDTF">2012-05-02T20:03:47Z</dcterms:created>
  <dcterms:modified xsi:type="dcterms:W3CDTF">2012-05-24T17:17:38Z</dcterms:modified>
</cp:coreProperties>
</file>