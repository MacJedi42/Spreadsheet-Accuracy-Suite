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bookViews>
    <workbookView xWindow="120" yWindow="120" windowWidth="15180" windowHeight="8835" tabRatio="729" activeTab="2"/>
  </bookViews>
  <sheets>
    <sheet name="Instructions" sheetId="1" r:id="rId1"/>
    <sheet name="General" sheetId="2" r:id="rId2"/>
    <sheet name="Salaries" sheetId="3" r:id="rId3"/>
    <sheet name="Operating Costs" sheetId="8" r:id="rId4"/>
    <sheet name="Capital Equip" sheetId="14" r:id="rId5"/>
    <sheet name="Add'l Costs" sheetId="11" r:id="rId6"/>
    <sheet name="Notes" sheetId="15" r:id="rId7"/>
    <sheet name="Summary" sheetId="4" r:id="rId8"/>
  </sheets>
  <definedNames>
    <definedName name="_xlnm.Print_Area" localSheetId="5">'Add''l Costs'!$A$1:$D$38</definedName>
    <definedName name="_xlnm.Print_Area" localSheetId="4">'Capital Equip'!$A$3:$M$42</definedName>
    <definedName name="_xlnm.Print_Area" localSheetId="1">General!$A$1:$H$38</definedName>
    <definedName name="_xlnm.Print_Area" localSheetId="0">Instructions!$A$1:$D$25</definedName>
    <definedName name="_xlnm.Print_Area" localSheetId="6">Notes!$A$1:$D$33</definedName>
    <definedName name="_xlnm.Print_Area" localSheetId="3">'Operating Costs'!$A$3:$F$44</definedName>
    <definedName name="_xlnm.Print_Area" localSheetId="2">Salaries!$A$1:$L$42</definedName>
    <definedName name="_xlnm.Print_Area" localSheetId="7">Summary!$A$1:$F$35</definedName>
    <definedName name="_xlnm.Print_Titles" localSheetId="3">'Operating Costs'!$1:$2</definedName>
  </definedNames>
  <calcPr calcId="145621"/>
</workbook>
</file>

<file path=xl/calcChain.xml><?xml version="1.0" encoding="utf-8"?>
<calcChain xmlns="http://schemas.openxmlformats.org/spreadsheetml/2006/main">
  <c r="D33" i="8" l="1"/>
  <c r="D34" i="8"/>
  <c r="D35" i="8"/>
  <c r="D12" i="8"/>
  <c r="D22" i="8"/>
  <c r="D23" i="8"/>
  <c r="D24" i="8"/>
  <c r="F19" i="3"/>
  <c r="G19" i="3" s="1"/>
  <c r="I19" i="3" s="1"/>
  <c r="A2" i="4"/>
  <c r="D1" i="14"/>
  <c r="B1" i="8"/>
  <c r="D1" i="3"/>
  <c r="C33" i="15"/>
  <c r="C1" i="15"/>
  <c r="C21" i="4"/>
  <c r="B21" i="4"/>
  <c r="F30" i="4"/>
  <c r="E30" i="4"/>
  <c r="E27" i="4"/>
  <c r="F29" i="4"/>
  <c r="E29" i="4"/>
  <c r="G27" i="2"/>
  <c r="B7" i="4" s="1"/>
  <c r="C27" i="4"/>
  <c r="C26" i="4"/>
  <c r="C32" i="4" s="1"/>
  <c r="M1" i="14"/>
  <c r="C1" i="11"/>
  <c r="G29" i="14"/>
  <c r="F29" i="14"/>
  <c r="L13" i="14"/>
  <c r="J13" i="14"/>
  <c r="G24" i="14"/>
  <c r="I16" i="14"/>
  <c r="M16" i="14" s="1"/>
  <c r="I17" i="14"/>
  <c r="M17" i="14" s="1"/>
  <c r="I18" i="14"/>
  <c r="M18" i="14" s="1"/>
  <c r="I19" i="14"/>
  <c r="M19" i="14" s="1"/>
  <c r="I20" i="14"/>
  <c r="M20" i="14" s="1"/>
  <c r="I21" i="14"/>
  <c r="M21" i="14" s="1"/>
  <c r="I22" i="14"/>
  <c r="M22" i="14" s="1"/>
  <c r="I15" i="14"/>
  <c r="M15" i="14" s="1"/>
  <c r="F20" i="3"/>
  <c r="G20" i="3" s="1"/>
  <c r="F21" i="3"/>
  <c r="F22" i="3"/>
  <c r="G22" i="3" s="1"/>
  <c r="I22" i="3" s="1"/>
  <c r="F23" i="3"/>
  <c r="F24" i="3"/>
  <c r="G24" i="3" s="1"/>
  <c r="F25" i="3"/>
  <c r="F26" i="3"/>
  <c r="G26" i="3" s="1"/>
  <c r="I26" i="3" s="1"/>
  <c r="F27" i="3"/>
  <c r="F28" i="3"/>
  <c r="G28" i="3" s="1"/>
  <c r="F1" i="8"/>
  <c r="B27" i="4"/>
  <c r="B26" i="4"/>
  <c r="B32" i="4" s="1"/>
  <c r="A3" i="4"/>
  <c r="A1" i="4"/>
  <c r="C9" i="4"/>
  <c r="B9" i="4"/>
  <c r="K1" i="3"/>
  <c r="C33" i="11"/>
  <c r="E20" i="8"/>
  <c r="C20" i="8"/>
  <c r="E10" i="8"/>
  <c r="C10" i="8"/>
  <c r="G21" i="3"/>
  <c r="I21" i="3" s="1"/>
  <c r="G23" i="3"/>
  <c r="I23" i="3" s="1"/>
  <c r="G25" i="3"/>
  <c r="I25" i="3" s="1"/>
  <c r="G27" i="3"/>
  <c r="I27" i="3" s="1"/>
  <c r="J17" i="3"/>
  <c r="H17" i="3"/>
  <c r="F1" i="2"/>
  <c r="F12" i="8"/>
  <c r="D13" i="8"/>
  <c r="F13" i="8"/>
  <c r="D14" i="8"/>
  <c r="F14" i="8"/>
  <c r="D15" i="8"/>
  <c r="F15" i="8"/>
  <c r="F22" i="8"/>
  <c r="F23" i="8"/>
  <c r="F24" i="8"/>
  <c r="D25" i="8"/>
  <c r="F25" i="8"/>
  <c r="D26" i="8"/>
  <c r="F26" i="8"/>
  <c r="F28" i="8" s="1"/>
  <c r="C13" i="4" s="1"/>
  <c r="D28" i="8"/>
  <c r="B13" i="4" s="1"/>
  <c r="F33" i="8"/>
  <c r="F34" i="8"/>
  <c r="F35" i="8"/>
  <c r="D36" i="8"/>
  <c r="F36" i="8"/>
  <c r="D37" i="8"/>
  <c r="F37" i="8"/>
  <c r="D38" i="8"/>
  <c r="F38" i="8"/>
  <c r="D39" i="8"/>
  <c r="F39" i="8"/>
  <c r="D30" i="3"/>
  <c r="K22" i="14"/>
  <c r="K20" i="14"/>
  <c r="K18" i="14"/>
  <c r="K16" i="14"/>
  <c r="I24" i="14"/>
  <c r="K15" i="14"/>
  <c r="K21" i="14"/>
  <c r="K19" i="14"/>
  <c r="K17" i="14"/>
  <c r="K23" i="3"/>
  <c r="K21" i="3"/>
  <c r="D41" i="8"/>
  <c r="B14" i="4" s="1"/>
  <c r="D17" i="8"/>
  <c r="B12" i="4" s="1"/>
  <c r="I20" i="3" l="1"/>
  <c r="K20" i="3"/>
  <c r="I28" i="3"/>
  <c r="K28" i="3"/>
  <c r="I24" i="3"/>
  <c r="K24" i="3"/>
  <c r="K25" i="3"/>
  <c r="K24" i="14"/>
  <c r="B15" i="4" s="1"/>
  <c r="F17" i="8"/>
  <c r="C12" i="4" s="1"/>
  <c r="F41" i="8"/>
  <c r="C14" i="4" s="1"/>
  <c r="M24" i="14"/>
  <c r="C15" i="4" s="1"/>
  <c r="K27" i="3"/>
  <c r="K19" i="3"/>
  <c r="K22" i="3"/>
  <c r="G30" i="3"/>
  <c r="K26" i="3"/>
  <c r="C29" i="4"/>
  <c r="I30" i="3"/>
  <c r="B11" i="4" s="1"/>
  <c r="B17" i="4" s="1"/>
  <c r="B22" i="4" l="1"/>
  <c r="B24" i="4"/>
  <c r="K30" i="3"/>
  <c r="C11" i="4" s="1"/>
  <c r="C17" i="4" s="1"/>
  <c r="B19" i="4"/>
  <c r="B29" i="4" l="1"/>
  <c r="C22" i="4"/>
  <c r="C24" i="4" s="1"/>
  <c r="C19" i="4"/>
</calcChain>
</file>

<file path=xl/comments1.xml><?xml version="1.0" encoding="utf-8"?>
<comments xmlns="http://schemas.openxmlformats.org/spreadsheetml/2006/main">
  <authors>
    <author>Ruchi Aggarwal</author>
  </authors>
  <commentList>
    <comment ref="E17" authorId="0">
      <text>
        <r>
          <rPr>
            <sz val="8"/>
            <color indexed="81"/>
            <rFont val="Tahoma"/>
          </rPr>
          <t>Use actual fringe benefit percentage for each object code.</t>
        </r>
      </text>
    </comment>
  </commentList>
</comments>
</file>

<file path=xl/sharedStrings.xml><?xml version="1.0" encoding="utf-8"?>
<sst xmlns="http://schemas.openxmlformats.org/spreadsheetml/2006/main" count="221" uniqueCount="136">
  <si>
    <t>1.  General - provides an overall description of the services and methodology used in the proposal.</t>
  </si>
  <si>
    <t>2.  Salaries - provides a calculation of the salaries &amp; benefits included in the proposal.</t>
  </si>
  <si>
    <t>Service Center Billing Rate Proposal Worksheet</t>
  </si>
  <si>
    <t>University of Idaho</t>
  </si>
  <si>
    <t>General Information</t>
  </si>
  <si>
    <t>Contact Information</t>
  </si>
  <si>
    <t>NAME</t>
  </si>
  <si>
    <t>FTE %</t>
  </si>
  <si>
    <t>Amount</t>
  </si>
  <si>
    <t>Name</t>
  </si>
  <si>
    <t>%</t>
  </si>
  <si>
    <t>Totals</t>
  </si>
  <si>
    <t>Description</t>
  </si>
  <si>
    <t>Annual Amt</t>
  </si>
  <si>
    <t>Additional Cost Worksheet</t>
  </si>
  <si>
    <t>Description of Cost</t>
  </si>
  <si>
    <t>Budget Number</t>
  </si>
  <si>
    <t>Travel</t>
  </si>
  <si>
    <t>Prior Year Balance (Add Deficit, Subtract Surplus)</t>
  </si>
  <si>
    <t># of Annual Units</t>
  </si>
  <si>
    <t>Unit Base</t>
  </si>
  <si>
    <t>Email</t>
  </si>
  <si>
    <t>Phone #</t>
  </si>
  <si>
    <t>Budget #</t>
  </si>
  <si>
    <t>Service Center Name</t>
  </si>
  <si>
    <t xml:space="preserve"> </t>
  </si>
  <si>
    <t>Variable</t>
  </si>
  <si>
    <t>1)</t>
  </si>
  <si>
    <t>2)</t>
  </si>
  <si>
    <t>Unit*</t>
  </si>
  <si>
    <t>*Unit is how the rate is charged such as per hour, each, etc.</t>
  </si>
  <si>
    <t>Service 1</t>
  </si>
  <si>
    <t>Service 2</t>
  </si>
  <si>
    <t>ANNUAL SALARY</t>
  </si>
  <si>
    <t>FTE</t>
  </si>
  <si>
    <t>FRINGES</t>
  </si>
  <si>
    <t>TOTAL COST</t>
  </si>
  <si>
    <t>SERVICE 1</t>
  </si>
  <si>
    <t>SERVICE 2</t>
  </si>
  <si>
    <t>TOTAL SALARIES</t>
  </si>
  <si>
    <t>PCN</t>
  </si>
  <si>
    <t>Budgeted operating costs</t>
  </si>
  <si>
    <t>TYPE*</t>
  </si>
  <si>
    <t>TH</t>
  </si>
  <si>
    <t>Operating Expenses</t>
  </si>
  <si>
    <t>Equipment &lt; $5,000</t>
  </si>
  <si>
    <t>Equipment &lt; $5,000*</t>
  </si>
  <si>
    <t>Purpose: To detail non-salary and non-equipment costs associated with the service center services</t>
  </si>
  <si>
    <t>Department</t>
  </si>
  <si>
    <t>General Instructions</t>
  </si>
  <si>
    <t>1) Fill in only the yellow highlighted areas.  Do not enter data in non-highlighted areas</t>
  </si>
  <si>
    <t>2) Use this worksheet for one budget number only</t>
  </si>
  <si>
    <t>Salaries and Fringe Benefits</t>
  </si>
  <si>
    <t>Operating Costs</t>
  </si>
  <si>
    <t>% of Total Costs</t>
  </si>
  <si>
    <t>Sheet Instructions</t>
  </si>
  <si>
    <t>1) Fill in only yellow highlighted areas</t>
  </si>
  <si>
    <t>2) Additional lines may be inserted as necessary</t>
  </si>
  <si>
    <t>1) Only fill in the areas shaded in yellow</t>
  </si>
  <si>
    <t>Service Center Calculations</t>
  </si>
  <si>
    <t>Purpose:  To list personnel paid on the service center and allocate personnel costs to each service.</t>
  </si>
  <si>
    <t>Fill in only the yellow highlighted areas</t>
  </si>
  <si>
    <t>Revenue</t>
  </si>
  <si>
    <t>Expenditures</t>
  </si>
  <si>
    <t>Transfers</t>
  </si>
  <si>
    <t>Previous fiscal year carryover</t>
  </si>
  <si>
    <t>Ending balance</t>
  </si>
  <si>
    <t>ANNUAL COSTS</t>
  </si>
  <si>
    <t>Estimated 2 months working capital</t>
  </si>
  <si>
    <t>Estmated # of annual units</t>
  </si>
  <si>
    <t>Brief description of the service</t>
  </si>
  <si>
    <t>Instructions</t>
  </si>
  <si>
    <t>Fill in the yellow highlighted areas</t>
  </si>
  <si>
    <t>Service Name (short)</t>
  </si>
  <si>
    <t>Service Name (short) - A short name of the service.  For example: copier chgs, field tests, etc.</t>
  </si>
  <si>
    <t>3.  Operating Costs - lists the non-salary and non-depreciation costs included in the proposal.</t>
  </si>
  <si>
    <t>4.  Add'l Costs - lists the cost center costs paid for by non-cost center budgets and whether they are included in the proposal.</t>
  </si>
  <si>
    <t>The following worksheets (see worksheet tabs below) are designed to assist in the calculation of the Service Center Billing Rates.  Detailed explanations are included as comments in the worksheets.  Please do them in order.</t>
  </si>
  <si>
    <t>*&lt;&lt;Type is EX for exempt, CL for classified, TH for temporary help, or GA for graduate assistant&gt;&gt;</t>
  </si>
  <si>
    <t>GA</t>
  </si>
  <si>
    <t>Most Recent Complete Fiscal Year Information (Statement of Changes - FWRDSTR)</t>
  </si>
  <si>
    <t>Salaries &amp; Benefits Expenditures</t>
  </si>
  <si>
    <t>2) Fill in the name of the person(s) that is providing the service (board apptd only)</t>
  </si>
  <si>
    <t>3) For TH employee costs you may put in a lump sum total for the estimated expenditures.</t>
  </si>
  <si>
    <t>4) Fill in that person's PCN</t>
  </si>
  <si>
    <t>5) Enter in the employee type</t>
  </si>
  <si>
    <t>6) Enter in the employee's annual salary</t>
  </si>
  <si>
    <t>7) Enter in the employee's annual FTE (0.5, 1, 0.75, etc.)</t>
  </si>
  <si>
    <t>8) Enter in the FTE % of this employee's time associated with the service and this budget</t>
  </si>
  <si>
    <t>Fixed (Health)</t>
  </si>
  <si>
    <t>Equipment &gt;$5,000 - See next worksheet</t>
  </si>
  <si>
    <t>Desc/Type of Equipment</t>
  </si>
  <si>
    <t>U of I Tag Number</t>
  </si>
  <si>
    <t>Acquisition Budget No.</t>
  </si>
  <si>
    <t>Acquistion Date</t>
  </si>
  <si>
    <t>Depr Start Date</t>
  </si>
  <si>
    <t>Depr End Date</t>
  </si>
  <si>
    <t>Acquisition Cost</t>
  </si>
  <si>
    <t>Useful Life (years)</t>
  </si>
  <si>
    <t>Equipment &gt; $5,000</t>
  </si>
  <si>
    <t>The purpose of this sheet is to track depreciation costs of capitalized equipment used to provide the service(s)</t>
  </si>
  <si>
    <t>Sheet instructions</t>
  </si>
  <si>
    <t>Fill in only yellow highlighted areas</t>
  </si>
  <si>
    <t>Annual depreciation</t>
  </si>
  <si>
    <t>UI Property Tag#</t>
  </si>
  <si>
    <t>Column J - Identify the % of use of the equipment for each service</t>
  </si>
  <si>
    <t>Other Equipment Used to Provide Service But Not Included in the Costs</t>
  </si>
  <si>
    <t>Percentage of Use</t>
  </si>
  <si>
    <t>Add additional lines as needed</t>
  </si>
  <si>
    <t>Capital equipment depreciation</t>
  </si>
  <si>
    <t>Fringe Benefits*</t>
  </si>
  <si>
    <t>Rate</t>
  </si>
  <si>
    <t>*The FB rates can be modified if needed in this rate box</t>
  </si>
  <si>
    <t>You may insert additional lines as necessary.</t>
  </si>
  <si>
    <t>Purpose:  Used to identify other costs that support the service but are paid by other budgets</t>
  </si>
  <si>
    <t>TOTAL ANNUAL COSTS</t>
  </si>
  <si>
    <t>TOTAL REVISED COSTS</t>
  </si>
  <si>
    <t>CALCULATED RATE PER SERVICE PER UNIT</t>
  </si>
  <si>
    <t>UNIT RATE THAT WILL BE CHARGED TO CUSTOMERS</t>
  </si>
  <si>
    <t>*If you have any questions about the accounting for equipment &gt;$5,000 for this service center, please contact BAAS</t>
  </si>
  <si>
    <t>SUBSIDY</t>
  </si>
  <si>
    <t>Subsidized Rate</t>
  </si>
  <si>
    <t>Depreciation Schedule - Please Fill in Only Yellow Highlighted Areas</t>
  </si>
  <si>
    <t>Current Rate</t>
  </si>
  <si>
    <t>FY2012</t>
  </si>
  <si>
    <t>Most recent fiscal year used</t>
  </si>
  <si>
    <t xml:space="preserve">Proposed New Rate  </t>
  </si>
  <si>
    <t>Rates</t>
  </si>
  <si>
    <t>FY2011</t>
  </si>
  <si>
    <t>Notes and Comments</t>
  </si>
  <si>
    <t>Purpose:  To include comments that clarify how this rate sheet was developed or notes about the service center</t>
  </si>
  <si>
    <t>6.  Summary - rate calculation page where all costs are summarized for each service and the rates are calculated.</t>
  </si>
  <si>
    <t>5.  Notes - provide any clarifications or explanations as needed</t>
  </si>
  <si>
    <t>The proposal contains the following worksheets with named tabs:</t>
  </si>
  <si>
    <t>Service Center Summary Sheet</t>
  </si>
  <si>
    <t>FY2013</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</si>
</sst>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quot;$&quot;#,##0.00_);[Red]\(&quot;$&quot;#,##0.00\)"/>
    <numFmt numFmtId="44" formatCode="_(&quot;$&quot;* #,##0.00_);_(&quot;$&quot;* \(#,##0.00\);_(&quot;$&quot;* &quot;-&quot;??_);_(@_)"/>
    <numFmt numFmtId="43" formatCode="_(* #,##0.00_);_(* \(#,##0.00\);_(* &quot;-&quot;??_);_(@_)"/>
    <numFmt numFmtId="164" formatCode="mm/dd/yy;@"/>
    <numFmt numFmtId="165" formatCode="_(* #,##0_);_(* \(#,##0\);_(* &quot;-&quot;??_);_(@_)"/>
    <numFmt numFmtId="166" formatCode="0.0%"/>
    <numFmt numFmtId="167" formatCode="m/d/yy;@"/>
    <numFmt numFmtId="168" formatCode="&quot;$&quot;#,##0.00"/>
    <numFmt numFmtId="169" formatCode="&quot;$&quot;#,##0"/>
  </numFmts>
  <fonts count="21" x14ac:knownFonts="1">
    <font>
      <sz val="10"/>
      <name val="Arial"/>
    </font>
    <font>
      <sz val="10"/>
      <name val="Arial"/>
    </font>
    <font>
      <sz val="8"/>
      <color indexed="81"/>
      <name val="Tahoma"/>
    </font>
    <font>
      <sz val="10"/>
      <name val="Arial"/>
      <family val="2"/>
    </font>
    <font>
      <u/>
      <sz val="11"/>
      <color indexed="12"/>
      <name val="Times New Roman"/>
      <family val="1"/>
    </font>
    <font>
      <b/>
      <i/>
      <sz val="14"/>
      <name val="Franklin Gothic Book"/>
      <family val="2"/>
    </font>
    <font>
      <sz val="10"/>
      <name val="Franklin Gothic Book"/>
      <family val="2"/>
    </font>
    <font>
      <sz val="12"/>
      <name val="Franklin Gothic Book"/>
      <family val="2"/>
    </font>
    <font>
      <sz val="11"/>
      <name val="Franklin Gothic Book"/>
      <family val="2"/>
    </font>
    <font>
      <b/>
      <sz val="14"/>
      <name val="Franklin Gothic Book"/>
      <family val="2"/>
    </font>
    <font>
      <sz val="14"/>
      <name val="Franklin Gothic Book"/>
      <family val="2"/>
    </font>
    <font>
      <b/>
      <sz val="10"/>
      <name val="Franklin Gothic Book"/>
      <family val="2"/>
    </font>
    <font>
      <b/>
      <sz val="12"/>
      <name val="Franklin Gothic Book"/>
      <family val="2"/>
    </font>
    <font>
      <b/>
      <sz val="11"/>
      <name val="Franklin Gothic Book"/>
      <family val="2"/>
    </font>
    <font>
      <b/>
      <sz val="9"/>
      <name val="Franklin Gothic Book"/>
      <family val="2"/>
    </font>
    <font>
      <sz val="9"/>
      <name val="Franklin Gothic Book"/>
      <family val="2"/>
    </font>
    <font>
      <b/>
      <i/>
      <sz val="10"/>
      <name val="Franklin Gothic Book"/>
      <family val="2"/>
    </font>
    <font>
      <u/>
      <sz val="10"/>
      <color indexed="12"/>
      <name val="Franklin Gothic Book"/>
      <family val="2"/>
    </font>
    <font>
      <b/>
      <i/>
      <sz val="12"/>
      <name val="Franklin Gothic Book"/>
      <family val="2"/>
    </font>
    <font>
      <i/>
      <sz val="10"/>
      <name val="Franklin Gothic Book"/>
      <family val="2"/>
    </font>
    <font>
      <b/>
      <sz val="10"/>
      <color rgb="FFFF0000"/>
      <name val="Franklin Gothic Book"/>
      <family val="2"/>
    </font>
  </fonts>
  <fills count="6">
    <fill>
      <patternFill patternType="none"/>
    </fill>
    <fill>
      <patternFill patternType="gray125"/>
    </fill>
    <fill>
      <patternFill patternType="solid">
        <fgColor rgb="FFFFFF99"/>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0"/>
        <bgColor indexed="64"/>
      </patternFill>
    </fill>
  </fills>
  <borders count="16">
    <border>
      <left/>
      <right/>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8">
    <xf numFmtId="0" fontId="0" fillId="0" borderId="0"/>
    <xf numFmtId="43" fontId="1" fillId="0" borderId="0" applyFont="0" applyFill="0" applyBorder="0" applyAlignment="0" applyProtection="0"/>
    <xf numFmtId="43" fontId="3" fillId="0" borderId="0" applyFont="0" applyFill="0" applyBorder="0" applyAlignment="0" applyProtection="0"/>
    <xf numFmtId="44" fontId="1" fillId="0" borderId="0" applyFont="0" applyFill="0" applyBorder="0" applyAlignment="0" applyProtection="0"/>
    <xf numFmtId="0" fontId="4" fillId="0" borderId="0" applyNumberFormat="0" applyFill="0" applyBorder="0" applyAlignment="0" applyProtection="0">
      <alignment vertical="top"/>
      <protection locked="0"/>
    </xf>
    <xf numFmtId="0" fontId="3" fillId="0" borderId="0"/>
    <xf numFmtId="9" fontId="1" fillId="0" borderId="0" applyFont="0" applyFill="0" applyBorder="0" applyAlignment="0" applyProtection="0"/>
    <xf numFmtId="9" fontId="3" fillId="0" borderId="0" applyFont="0" applyFill="0" applyBorder="0" applyAlignment="0" applyProtection="0"/>
  </cellStyleXfs>
  <cellXfs count="203">
    <xf numFmtId="0" fontId="0" fillId="0" borderId="0" xfId="0"/>
    <xf numFmtId="0" fontId="5" fillId="0" borderId="0" xfId="0" applyFont="1" applyAlignment="1"/>
    <xf numFmtId="0" fontId="6" fillId="0" borderId="0" xfId="0" applyFont="1" applyAlignment="1"/>
    <xf numFmtId="0" fontId="8" fillId="0" borderId="0" xfId="0" applyFont="1" applyAlignment="1"/>
    <xf numFmtId="0" fontId="8" fillId="0" borderId="0" xfId="0" applyFont="1" applyAlignment="1">
      <alignment wrapText="1"/>
    </xf>
    <xf numFmtId="0" fontId="9" fillId="0" borderId="0" xfId="0" applyFont="1" applyFill="1"/>
    <xf numFmtId="0" fontId="10" fillId="0" borderId="0" xfId="0" applyFont="1" applyFill="1"/>
    <xf numFmtId="0" fontId="6" fillId="0" borderId="1" xfId="0" applyFont="1" applyFill="1" applyBorder="1"/>
    <xf numFmtId="0" fontId="6" fillId="0" borderId="0" xfId="0" applyFont="1" applyFill="1"/>
    <xf numFmtId="0" fontId="6" fillId="0" borderId="2" xfId="0" applyFont="1" applyFill="1" applyBorder="1" applyAlignment="1">
      <alignment horizontal="left" vertical="top"/>
    </xf>
    <xf numFmtId="0" fontId="6" fillId="0" borderId="0" xfId="0" applyFont="1" applyFill="1" applyBorder="1"/>
    <xf numFmtId="0" fontId="6" fillId="0" borderId="3" xfId="0" applyFont="1" applyFill="1" applyBorder="1"/>
    <xf numFmtId="0" fontId="6" fillId="0" borderId="4" xfId="0" applyFont="1" applyFill="1" applyBorder="1"/>
    <xf numFmtId="0" fontId="6" fillId="0" borderId="0" xfId="0" applyFont="1" applyFill="1" applyAlignment="1">
      <alignment vertical="top" wrapText="1"/>
    </xf>
    <xf numFmtId="0" fontId="12" fillId="0" borderId="0" xfId="0" applyFont="1" applyFill="1"/>
    <xf numFmtId="0" fontId="7" fillId="0" borderId="0" xfId="0" applyFont="1" applyFill="1"/>
    <xf numFmtId="0" fontId="6" fillId="0" borderId="0" xfId="0" applyFont="1" applyFill="1" applyAlignment="1">
      <alignment horizontal="right" indent="1"/>
    </xf>
    <xf numFmtId="0" fontId="6" fillId="2" borderId="5" xfId="0" applyFont="1" applyFill="1" applyBorder="1"/>
    <xf numFmtId="0" fontId="6" fillId="2" borderId="1" xfId="0" applyFont="1" applyFill="1" applyBorder="1"/>
    <xf numFmtId="0" fontId="6" fillId="0" borderId="0" xfId="0" applyFont="1" applyFill="1" applyAlignment="1">
      <alignment horizontal="left" indent="1"/>
    </xf>
    <xf numFmtId="0" fontId="13" fillId="0" borderId="0" xfId="0" applyFont="1" applyFill="1"/>
    <xf numFmtId="0" fontId="6" fillId="0" borderId="0" xfId="0" applyFont="1" applyFill="1" applyAlignment="1">
      <alignment horizontal="left"/>
    </xf>
    <xf numFmtId="0" fontId="6" fillId="0" borderId="0" xfId="0" applyFont="1" applyFill="1" applyAlignment="1">
      <alignment horizontal="right"/>
    </xf>
    <xf numFmtId="168" fontId="6" fillId="2" borderId="5" xfId="3" applyNumberFormat="1" applyFont="1" applyFill="1" applyBorder="1"/>
    <xf numFmtId="168" fontId="6" fillId="2" borderId="1" xfId="3" applyNumberFormat="1" applyFont="1" applyFill="1" applyBorder="1"/>
    <xf numFmtId="0" fontId="6" fillId="0" borderId="5" xfId="0" applyFont="1" applyFill="1" applyBorder="1" applyAlignment="1">
      <alignment horizontal="left"/>
    </xf>
    <xf numFmtId="0" fontId="6" fillId="0" borderId="5" xfId="0" applyFont="1" applyFill="1" applyBorder="1"/>
    <xf numFmtId="0" fontId="6" fillId="0" borderId="5" xfId="0" applyFont="1" applyFill="1" applyBorder="1" applyAlignment="1">
      <alignment horizontal="center"/>
    </xf>
    <xf numFmtId="0" fontId="6" fillId="0" borderId="0" xfId="0" applyFont="1" applyFill="1" applyAlignment="1">
      <alignment horizontal="center" wrapText="1"/>
    </xf>
    <xf numFmtId="0" fontId="6" fillId="0" borderId="0" xfId="0" applyFont="1" applyFill="1" applyAlignment="1">
      <alignment horizontal="right" vertical="center"/>
    </xf>
    <xf numFmtId="164" fontId="6" fillId="2" borderId="1" xfId="0" applyNumberFormat="1" applyFont="1" applyFill="1" applyBorder="1" applyAlignment="1">
      <alignment horizontal="left"/>
    </xf>
    <xf numFmtId="0" fontId="6" fillId="2" borderId="1" xfId="0" applyFont="1" applyFill="1" applyBorder="1" applyAlignment="1">
      <alignment wrapText="1"/>
    </xf>
    <xf numFmtId="0" fontId="6" fillId="0" borderId="6" xfId="0" applyFont="1" applyFill="1" applyBorder="1"/>
    <xf numFmtId="0" fontId="7" fillId="3" borderId="0" xfId="0" applyFont="1" applyFill="1" applyAlignment="1"/>
    <xf numFmtId="0" fontId="6" fillId="0" borderId="7" xfId="0" applyFont="1" applyFill="1" applyBorder="1" applyAlignment="1">
      <alignment vertical="top" wrapText="1"/>
    </xf>
    <xf numFmtId="0" fontId="6" fillId="0" borderId="5" xfId="0" applyFont="1" applyFill="1" applyBorder="1" applyAlignment="1">
      <alignment vertical="top"/>
    </xf>
    <xf numFmtId="0" fontId="0" fillId="0" borderId="5" xfId="0" applyBorder="1"/>
    <xf numFmtId="0" fontId="6" fillId="0" borderId="0" xfId="0" applyFont="1" applyFill="1" applyBorder="1" applyAlignment="1">
      <alignment vertical="top" wrapText="1"/>
    </xf>
    <xf numFmtId="0" fontId="11" fillId="3" borderId="8" xfId="0" applyFont="1" applyFill="1" applyBorder="1"/>
    <xf numFmtId="0" fontId="6" fillId="3" borderId="1" xfId="0" applyFont="1" applyFill="1" applyBorder="1"/>
    <xf numFmtId="0" fontId="6" fillId="3" borderId="9" xfId="0" applyFont="1" applyFill="1" applyBorder="1"/>
    <xf numFmtId="0" fontId="12" fillId="0" borderId="0" xfId="0" applyFont="1" applyBorder="1"/>
    <xf numFmtId="0" fontId="7" fillId="0" borderId="0" xfId="0" applyFont="1"/>
    <xf numFmtId="0" fontId="8" fillId="0" borderId="0" xfId="0" applyFont="1" applyBorder="1"/>
    <xf numFmtId="0" fontId="6" fillId="0" borderId="0" xfId="0" applyFont="1"/>
    <xf numFmtId="0" fontId="6" fillId="0" borderId="2" xfId="0" applyFont="1" applyBorder="1"/>
    <xf numFmtId="0" fontId="6" fillId="0" borderId="0" xfId="0" applyFont="1" applyBorder="1"/>
    <xf numFmtId="0" fontId="6" fillId="0" borderId="3" xfId="0" applyFont="1" applyBorder="1"/>
    <xf numFmtId="0" fontId="6" fillId="0" borderId="2" xfId="0" applyFont="1" applyFill="1" applyBorder="1"/>
    <xf numFmtId="0" fontId="6" fillId="0" borderId="7" xfId="0" applyFont="1" applyFill="1" applyBorder="1"/>
    <xf numFmtId="0" fontId="6" fillId="4" borderId="6" xfId="0" applyFont="1" applyFill="1" applyBorder="1"/>
    <xf numFmtId="0" fontId="6" fillId="4" borderId="6" xfId="0" applyFont="1" applyFill="1" applyBorder="1" applyAlignment="1">
      <alignment horizontal="left" wrapText="1"/>
    </xf>
    <xf numFmtId="0" fontId="6" fillId="4" borderId="6" xfId="0" applyFont="1" applyFill="1" applyBorder="1" applyAlignment="1">
      <alignment horizontal="center" wrapText="1"/>
    </xf>
    <xf numFmtId="0" fontId="6" fillId="4" borderId="5" xfId="0" applyFont="1" applyFill="1" applyBorder="1" applyAlignment="1">
      <alignment horizontal="center"/>
    </xf>
    <xf numFmtId="0" fontId="6" fillId="4" borderId="5" xfId="0" applyFont="1" applyFill="1" applyBorder="1" applyAlignment="1">
      <alignment horizontal="center" wrapText="1"/>
    </xf>
    <xf numFmtId="9" fontId="6" fillId="4" borderId="10" xfId="6" applyFont="1" applyFill="1" applyBorder="1" applyAlignment="1">
      <alignment horizontal="right"/>
    </xf>
    <xf numFmtId="0" fontId="6" fillId="2" borderId="11" xfId="0" applyFont="1" applyFill="1" applyBorder="1"/>
    <xf numFmtId="49" fontId="6" fillId="2" borderId="11" xfId="0" applyNumberFormat="1" applyFont="1" applyFill="1" applyBorder="1"/>
    <xf numFmtId="169" fontId="6" fillId="2" borderId="11" xfId="1" applyNumberFormat="1" applyFont="1" applyFill="1" applyBorder="1"/>
    <xf numFmtId="43" fontId="6" fillId="2" borderId="11" xfId="1" applyFont="1" applyFill="1" applyBorder="1"/>
    <xf numFmtId="169" fontId="6" fillId="0" borderId="11" xfId="1" applyNumberFormat="1" applyFont="1" applyFill="1" applyBorder="1"/>
    <xf numFmtId="9" fontId="6" fillId="2" borderId="9" xfId="6" applyFont="1" applyFill="1" applyBorder="1"/>
    <xf numFmtId="169" fontId="6" fillId="0" borderId="10" xfId="1" applyNumberFormat="1" applyFont="1" applyFill="1" applyBorder="1"/>
    <xf numFmtId="9" fontId="6" fillId="2" borderId="10" xfId="6" applyFont="1" applyFill="1" applyBorder="1"/>
    <xf numFmtId="0" fontId="6" fillId="2" borderId="10" xfId="0" applyFont="1" applyFill="1" applyBorder="1"/>
    <xf numFmtId="49" fontId="6" fillId="2" borderId="10" xfId="0" applyNumberFormat="1" applyFont="1" applyFill="1" applyBorder="1"/>
    <xf numFmtId="43" fontId="6" fillId="2" borderId="10" xfId="1" applyFont="1" applyFill="1" applyBorder="1"/>
    <xf numFmtId="169" fontId="6" fillId="2" borderId="10" xfId="1" applyNumberFormat="1" applyFont="1" applyFill="1" applyBorder="1"/>
    <xf numFmtId="0" fontId="6" fillId="0" borderId="10" xfId="0" applyFont="1" applyBorder="1" applyAlignment="1">
      <alignment horizontal="left" indent="1"/>
    </xf>
    <xf numFmtId="0" fontId="6" fillId="0" borderId="10" xfId="0" applyFont="1" applyBorder="1"/>
    <xf numFmtId="43" fontId="6" fillId="0" borderId="10" xfId="1" applyFont="1" applyFill="1" applyBorder="1"/>
    <xf numFmtId="166" fontId="6" fillId="0" borderId="10" xfId="0" applyNumberFormat="1" applyFont="1" applyFill="1" applyBorder="1"/>
    <xf numFmtId="9" fontId="6" fillId="0" borderId="10" xfId="6" applyFont="1" applyFill="1" applyBorder="1"/>
    <xf numFmtId="0" fontId="6" fillId="2" borderId="8" xfId="0" applyFont="1" applyFill="1" applyBorder="1"/>
    <xf numFmtId="0" fontId="6" fillId="2" borderId="9" xfId="0" applyFont="1" applyFill="1" applyBorder="1" applyAlignment="1">
      <alignment horizontal="center"/>
    </xf>
    <xf numFmtId="0" fontId="6" fillId="0" borderId="4" xfId="0" applyFont="1" applyBorder="1"/>
    <xf numFmtId="0" fontId="6" fillId="0" borderId="7" xfId="0" applyFont="1" applyBorder="1"/>
    <xf numFmtId="0" fontId="11" fillId="3" borderId="1" xfId="0" applyFont="1" applyFill="1" applyBorder="1"/>
    <xf numFmtId="0" fontId="8" fillId="0" borderId="0" xfId="0" applyFont="1" applyFill="1"/>
    <xf numFmtId="0" fontId="6" fillId="0" borderId="12" xfId="0" applyFont="1" applyFill="1" applyBorder="1"/>
    <xf numFmtId="0" fontId="6" fillId="0" borderId="13" xfId="0" applyFont="1" applyFill="1" applyBorder="1"/>
    <xf numFmtId="0" fontId="5" fillId="0" borderId="0" xfId="0" applyFont="1" applyFill="1"/>
    <xf numFmtId="43" fontId="6" fillId="0" borderId="0" xfId="1" applyFont="1" applyFill="1"/>
    <xf numFmtId="0" fontId="11" fillId="0" borderId="1" xfId="0" applyFont="1" applyFill="1" applyBorder="1"/>
    <xf numFmtId="0" fontId="11" fillId="0" borderId="9" xfId="0" applyFont="1" applyFill="1" applyBorder="1"/>
    <xf numFmtId="9" fontId="11" fillId="0" borderId="8" xfId="6" applyFont="1" applyFill="1" applyBorder="1" applyAlignment="1">
      <alignment horizontal="center"/>
    </xf>
    <xf numFmtId="9" fontId="11" fillId="0" borderId="9" xfId="6" applyFont="1" applyFill="1" applyBorder="1" applyAlignment="1">
      <alignment horizontal="center"/>
    </xf>
    <xf numFmtId="43" fontId="6" fillId="2" borderId="9" xfId="1" applyFont="1" applyFill="1" applyBorder="1"/>
    <xf numFmtId="0" fontId="16" fillId="0" borderId="0" xfId="0" applyFont="1" applyFill="1"/>
    <xf numFmtId="0" fontId="11" fillId="3" borderId="10" xfId="0" applyFont="1" applyFill="1" applyBorder="1"/>
    <xf numFmtId="0" fontId="9" fillId="0" borderId="0" xfId="0" applyFont="1"/>
    <xf numFmtId="0" fontId="6" fillId="0" borderId="5" xfId="0" applyFont="1" applyBorder="1"/>
    <xf numFmtId="0" fontId="13" fillId="0" borderId="0" xfId="5" applyFont="1"/>
    <xf numFmtId="0" fontId="6" fillId="0" borderId="0" xfId="5" applyFont="1"/>
    <xf numFmtId="0" fontId="12" fillId="0" borderId="0" xfId="5" applyFont="1"/>
    <xf numFmtId="0" fontId="6" fillId="0" borderId="10" xfId="5" applyFont="1" applyFill="1" applyBorder="1"/>
    <xf numFmtId="0" fontId="6" fillId="0" borderId="10" xfId="5" applyFont="1" applyFill="1" applyBorder="1" applyAlignment="1">
      <alignment horizontal="center" wrapText="1"/>
    </xf>
    <xf numFmtId="0" fontId="6" fillId="0" borderId="10" xfId="5" applyFont="1" applyFill="1" applyBorder="1" applyAlignment="1">
      <alignment horizontal="center" wrapText="1" shrinkToFit="1"/>
    </xf>
    <xf numFmtId="0" fontId="6" fillId="0" borderId="1" xfId="5" applyFont="1" applyFill="1" applyBorder="1" applyAlignment="1">
      <alignment wrapText="1"/>
    </xf>
    <xf numFmtId="9" fontId="11" fillId="0" borderId="8" xfId="7" applyFont="1" applyFill="1" applyBorder="1" applyAlignment="1">
      <alignment horizontal="center"/>
    </xf>
    <xf numFmtId="9" fontId="11" fillId="0" borderId="9" xfId="7" applyFont="1" applyFill="1" applyBorder="1" applyAlignment="1"/>
    <xf numFmtId="0" fontId="6" fillId="2" borderId="10" xfId="5" applyFont="1" applyFill="1" applyBorder="1"/>
    <xf numFmtId="0" fontId="6" fillId="2" borderId="10" xfId="5" applyFont="1" applyFill="1" applyBorder="1" applyAlignment="1">
      <alignment horizontal="left"/>
    </xf>
    <xf numFmtId="14" fontId="6" fillId="2" borderId="10" xfId="5" applyNumberFormat="1" applyFont="1" applyFill="1" applyBorder="1" applyAlignment="1">
      <alignment horizontal="left"/>
    </xf>
    <xf numFmtId="43" fontId="6" fillId="2" borderId="10" xfId="2" applyFont="1" applyFill="1" applyBorder="1" applyAlignment="1">
      <alignment horizontal="left"/>
    </xf>
    <xf numFmtId="9" fontId="6" fillId="2" borderId="10" xfId="7" applyFont="1" applyFill="1" applyBorder="1"/>
    <xf numFmtId="0" fontId="6" fillId="0" borderId="0" xfId="5" applyFont="1" applyBorder="1"/>
    <xf numFmtId="0" fontId="6" fillId="0" borderId="0" xfId="5" applyFont="1" applyBorder="1" applyAlignment="1">
      <alignment horizontal="left"/>
    </xf>
    <xf numFmtId="14" fontId="6" fillId="0" borderId="0" xfId="5" applyNumberFormat="1" applyFont="1" applyBorder="1" applyAlignment="1">
      <alignment horizontal="left"/>
    </xf>
    <xf numFmtId="43" fontId="6" fillId="0" borderId="0" xfId="2" applyFont="1" applyBorder="1" applyAlignment="1">
      <alignment horizontal="left"/>
    </xf>
    <xf numFmtId="165" fontId="6" fillId="0" borderId="0" xfId="2" applyNumberFormat="1" applyFont="1" applyBorder="1" applyAlignment="1">
      <alignment horizontal="center"/>
    </xf>
    <xf numFmtId="43" fontId="6" fillId="0" borderId="0" xfId="2" applyFont="1"/>
    <xf numFmtId="0" fontId="6" fillId="0" borderId="10" xfId="5" applyFont="1" applyBorder="1"/>
    <xf numFmtId="0" fontId="6" fillId="0" borderId="0" xfId="5" applyFont="1" applyAlignment="1">
      <alignment horizontal="left"/>
    </xf>
    <xf numFmtId="43" fontId="6" fillId="0" borderId="10" xfId="2" applyFont="1" applyBorder="1" applyAlignment="1">
      <alignment horizontal="left"/>
    </xf>
    <xf numFmtId="43" fontId="6" fillId="0" borderId="10" xfId="2" applyFont="1" applyFill="1" applyBorder="1"/>
    <xf numFmtId="14" fontId="6" fillId="0" borderId="0" xfId="5" applyNumberFormat="1" applyFont="1" applyAlignment="1">
      <alignment horizontal="left"/>
    </xf>
    <xf numFmtId="43" fontId="6" fillId="0" borderId="0" xfId="2" applyFont="1" applyAlignment="1">
      <alignment horizontal="left"/>
    </xf>
    <xf numFmtId="14" fontId="11" fillId="0" borderId="8" xfId="5" applyNumberFormat="1" applyFont="1" applyBorder="1" applyAlignment="1">
      <alignment horizontal="centerContinuous"/>
    </xf>
    <xf numFmtId="43" fontId="11" fillId="0" borderId="9" xfId="2" applyFont="1" applyBorder="1" applyAlignment="1">
      <alignment horizontal="centerContinuous"/>
    </xf>
    <xf numFmtId="0" fontId="14" fillId="0" borderId="8" xfId="5" applyFont="1" applyBorder="1" applyAlignment="1">
      <alignment horizontal="center"/>
    </xf>
    <xf numFmtId="0" fontId="14" fillId="0" borderId="10" xfId="5" applyFont="1" applyBorder="1" applyAlignment="1">
      <alignment horizontal="center"/>
    </xf>
    <xf numFmtId="43" fontId="15" fillId="0" borderId="2" xfId="2" applyFont="1" applyBorder="1" applyAlignment="1">
      <alignment horizontal="center" wrapText="1" shrinkToFit="1"/>
    </xf>
    <xf numFmtId="43" fontId="15" fillId="0" borderId="13" xfId="2" applyFont="1" applyBorder="1" applyAlignment="1">
      <alignment horizontal="center" wrapText="1" shrinkToFit="1"/>
    </xf>
    <xf numFmtId="9" fontId="11" fillId="0" borderId="10" xfId="7" applyFont="1" applyFill="1" applyBorder="1" applyAlignment="1">
      <alignment horizontal="center"/>
    </xf>
    <xf numFmtId="0" fontId="17" fillId="0" borderId="0" xfId="4" applyFont="1" applyAlignment="1" applyProtection="1">
      <alignment horizontal="left"/>
    </xf>
    <xf numFmtId="0" fontId="6" fillId="0" borderId="0" xfId="0" applyFont="1" applyFill="1" applyAlignment="1">
      <alignment horizontal="center"/>
    </xf>
    <xf numFmtId="0" fontId="13" fillId="0" borderId="10" xfId="0" applyFont="1" applyFill="1" applyBorder="1" applyAlignment="1">
      <alignment horizontal="center"/>
    </xf>
    <xf numFmtId="0" fontId="13" fillId="0" borderId="9" xfId="0" applyFont="1" applyFill="1" applyBorder="1" applyAlignment="1">
      <alignment horizontal="center"/>
    </xf>
    <xf numFmtId="0" fontId="13" fillId="0" borderId="10" xfId="0" applyFont="1" applyFill="1" applyBorder="1" applyAlignment="1">
      <alignment horizontal="center" wrapText="1"/>
    </xf>
    <xf numFmtId="0" fontId="13" fillId="0" borderId="9" xfId="0" applyFont="1" applyFill="1" applyBorder="1" applyAlignment="1">
      <alignment horizontal="center" wrapText="1"/>
    </xf>
    <xf numFmtId="0" fontId="15" fillId="0" borderId="5" xfId="0" applyFont="1" applyFill="1" applyBorder="1" applyAlignment="1"/>
    <xf numFmtId="0" fontId="15" fillId="0" borderId="10" xfId="0" applyFont="1" applyFill="1" applyBorder="1" applyAlignment="1">
      <alignment horizontal="left" indent="1"/>
    </xf>
    <xf numFmtId="43" fontId="13" fillId="0" borderId="10" xfId="1" applyNumberFormat="1" applyFont="1" applyFill="1" applyBorder="1"/>
    <xf numFmtId="165" fontId="8" fillId="0" borderId="0" xfId="1" applyNumberFormat="1" applyFont="1" applyFill="1" applyBorder="1"/>
    <xf numFmtId="0" fontId="6" fillId="0" borderId="10" xfId="0" applyFont="1" applyFill="1" applyBorder="1"/>
    <xf numFmtId="10" fontId="8" fillId="0" borderId="10" xfId="6" applyNumberFormat="1" applyFont="1" applyFill="1" applyBorder="1"/>
    <xf numFmtId="10" fontId="8" fillId="0" borderId="8" xfId="6" applyNumberFormat="1" applyFont="1" applyFill="1" applyBorder="1"/>
    <xf numFmtId="0" fontId="6" fillId="0" borderId="8" xfId="0" applyFont="1" applyFill="1" applyBorder="1"/>
    <xf numFmtId="165" fontId="6" fillId="0" borderId="0" xfId="1" applyNumberFormat="1" applyFont="1" applyFill="1" applyBorder="1"/>
    <xf numFmtId="165" fontId="6" fillId="0" borderId="0" xfId="1" applyNumberFormat="1" applyFont="1" applyFill="1"/>
    <xf numFmtId="0" fontId="13" fillId="0" borderId="10" xfId="0" applyFont="1" applyFill="1" applyBorder="1" applyAlignment="1">
      <alignment horizontal="left"/>
    </xf>
    <xf numFmtId="0" fontId="13" fillId="0" borderId="8" xfId="0" applyFont="1" applyFill="1" applyBorder="1"/>
    <xf numFmtId="0" fontId="10" fillId="0" borderId="0" xfId="0" applyFont="1"/>
    <xf numFmtId="0" fontId="9" fillId="0" borderId="0" xfId="0" applyFont="1" applyAlignment="1">
      <alignment horizontal="right"/>
    </xf>
    <xf numFmtId="43" fontId="10" fillId="0" borderId="0" xfId="1" applyFont="1"/>
    <xf numFmtId="0" fontId="6" fillId="0" borderId="12" xfId="0" applyFont="1" applyBorder="1"/>
    <xf numFmtId="0" fontId="6" fillId="0" borderId="13" xfId="0" applyFont="1" applyBorder="1"/>
    <xf numFmtId="43" fontId="8" fillId="0" borderId="0" xfId="1" applyFont="1"/>
    <xf numFmtId="0" fontId="18" fillId="0" borderId="0" xfId="0" applyFont="1"/>
    <xf numFmtId="0" fontId="18" fillId="0" borderId="0" xfId="0" applyFont="1" applyAlignment="1">
      <alignment horizontal="center"/>
    </xf>
    <xf numFmtId="43" fontId="18" fillId="0" borderId="0" xfId="1" applyFont="1" applyAlignment="1">
      <alignment horizontal="right"/>
    </xf>
    <xf numFmtId="0" fontId="19" fillId="0" borderId="0" xfId="0" applyFont="1"/>
    <xf numFmtId="43" fontId="6" fillId="2" borderId="1" xfId="1" applyFont="1" applyFill="1" applyBorder="1"/>
    <xf numFmtId="43" fontId="6" fillId="0" borderId="1" xfId="0" applyNumberFormat="1" applyFont="1" applyBorder="1"/>
    <xf numFmtId="0" fontId="9" fillId="0" borderId="0" xfId="0" applyFont="1" applyFill="1" applyAlignment="1">
      <alignment horizontal="right"/>
    </xf>
    <xf numFmtId="0" fontId="11" fillId="0" borderId="2" xfId="0" applyFont="1" applyBorder="1"/>
    <xf numFmtId="0" fontId="6" fillId="5" borderId="10" xfId="5" applyFont="1" applyFill="1" applyBorder="1" applyAlignment="1">
      <alignment horizontal="left"/>
    </xf>
    <xf numFmtId="14" fontId="6" fillId="5" borderId="10" xfId="5" applyNumberFormat="1" applyFont="1" applyFill="1" applyBorder="1" applyAlignment="1">
      <alignment horizontal="left"/>
    </xf>
    <xf numFmtId="167" fontId="6" fillId="5" borderId="10" xfId="5" applyNumberFormat="1" applyFont="1" applyFill="1" applyBorder="1" applyAlignment="1">
      <alignment horizontal="left"/>
    </xf>
    <xf numFmtId="43" fontId="6" fillId="5" borderId="10" xfId="2" applyFont="1" applyFill="1" applyBorder="1" applyAlignment="1">
      <alignment horizontal="left"/>
    </xf>
    <xf numFmtId="165" fontId="6" fillId="5" borderId="10" xfId="2" applyNumberFormat="1" applyFont="1" applyFill="1" applyBorder="1" applyAlignment="1">
      <alignment horizontal="center"/>
    </xf>
    <xf numFmtId="165" fontId="6" fillId="5" borderId="10" xfId="2" applyNumberFormat="1" applyFont="1" applyFill="1" applyBorder="1"/>
    <xf numFmtId="0" fontId="9" fillId="0" borderId="0" xfId="0" applyFont="1" applyFill="1" applyAlignment="1">
      <alignment horizontal="center"/>
    </xf>
    <xf numFmtId="0" fontId="20" fillId="0" borderId="10" xfId="0" applyFont="1" applyFill="1" applyBorder="1" applyAlignment="1">
      <alignment horizontal="center" wrapText="1"/>
    </xf>
    <xf numFmtId="168" fontId="11" fillId="2" borderId="5" xfId="3" applyNumberFormat="1" applyFont="1" applyFill="1" applyBorder="1" applyAlignment="1">
      <alignment horizontal="right"/>
    </xf>
    <xf numFmtId="0" fontId="9" fillId="0" borderId="8" xfId="0" applyFont="1" applyFill="1" applyBorder="1" applyAlignment="1">
      <alignment horizontal="centerContinuous"/>
    </xf>
    <xf numFmtId="0" fontId="9" fillId="0" borderId="9" xfId="0" applyFont="1" applyFill="1" applyBorder="1" applyAlignment="1">
      <alignment horizontal="centerContinuous"/>
    </xf>
    <xf numFmtId="0" fontId="12" fillId="0" borderId="0" xfId="0" applyFont="1" applyFill="1" applyBorder="1" applyAlignment="1">
      <alignment horizontal="center"/>
    </xf>
    <xf numFmtId="0" fontId="11" fillId="0" borderId="10" xfId="0" applyFont="1" applyFill="1" applyBorder="1" applyAlignment="1">
      <alignment horizontal="center" wrapText="1"/>
    </xf>
    <xf numFmtId="0" fontId="12" fillId="0" borderId="9" xfId="0" applyFont="1" applyFill="1" applyBorder="1" applyAlignment="1">
      <alignment horizontal="centerContinuous"/>
    </xf>
    <xf numFmtId="168" fontId="12" fillId="0" borderId="10" xfId="0" applyNumberFormat="1" applyFont="1" applyFill="1" applyBorder="1" applyAlignment="1">
      <alignment horizontal="center"/>
    </xf>
    <xf numFmtId="0" fontId="7" fillId="0" borderId="0" xfId="0" applyFont="1" applyFill="1" applyBorder="1" applyAlignment="1">
      <alignment horizontal="right"/>
    </xf>
    <xf numFmtId="0" fontId="10" fillId="0" borderId="0" xfId="0" applyFont="1" applyFill="1" applyBorder="1"/>
    <xf numFmtId="168" fontId="12" fillId="0" borderId="5" xfId="0" applyNumberFormat="1" applyFont="1" applyFill="1" applyBorder="1" applyAlignment="1">
      <alignment horizontal="center"/>
    </xf>
    <xf numFmtId="0" fontId="11" fillId="2" borderId="10" xfId="0" applyFont="1" applyFill="1" applyBorder="1" applyAlignment="1">
      <alignment horizontal="center"/>
    </xf>
    <xf numFmtId="0" fontId="13" fillId="0" borderId="0" xfId="0" applyFont="1" applyFill="1" applyBorder="1"/>
    <xf numFmtId="43" fontId="13" fillId="0" borderId="0" xfId="1" applyNumberFormat="1" applyFont="1" applyFill="1" applyBorder="1"/>
    <xf numFmtId="168" fontId="12" fillId="0" borderId="0" xfId="0" applyNumberFormat="1" applyFont="1" applyFill="1" applyBorder="1" applyAlignment="1">
      <alignment horizontal="center"/>
    </xf>
    <xf numFmtId="168" fontId="13" fillId="0" borderId="10" xfId="1" applyNumberFormat="1" applyFont="1" applyFill="1" applyBorder="1"/>
    <xf numFmtId="43" fontId="13" fillId="2" borderId="10" xfId="1" applyNumberFormat="1" applyFont="1" applyFill="1" applyBorder="1"/>
    <xf numFmtId="0" fontId="12" fillId="0" borderId="0" xfId="0" applyFont="1"/>
    <xf numFmtId="0" fontId="10" fillId="0" borderId="0" xfId="0" applyFont="1" applyFill="1" applyAlignment="1">
      <alignment horizontal="centerContinuous"/>
    </xf>
    <xf numFmtId="0" fontId="4" fillId="2" borderId="1" xfId="4" applyFill="1" applyBorder="1" applyAlignment="1" applyProtection="1"/>
    <xf numFmtId="8" fontId="6" fillId="2" borderId="1" xfId="0" applyNumberFormat="1" applyFont="1" applyFill="1" applyBorder="1"/>
    <xf numFmtId="8" fontId="6" fillId="2" borderId="10" xfId="0" applyNumberFormat="1" applyFont="1" applyFill="1" applyBorder="1"/>
    <xf numFmtId="8" fontId="6" fillId="2" borderId="1" xfId="1" applyNumberFormat="1" applyFont="1" applyFill="1" applyBorder="1"/>
    <xf numFmtId="0" fontId="11" fillId="0" borderId="14" xfId="0" applyFont="1" applyBorder="1" applyAlignment="1">
      <alignment horizontal="center"/>
    </xf>
    <xf numFmtId="0" fontId="11" fillId="0" borderId="15" xfId="0" applyFont="1" applyBorder="1" applyAlignment="1">
      <alignment horizontal="center"/>
    </xf>
    <xf numFmtId="43" fontId="6" fillId="0" borderId="2" xfId="1" applyFont="1" applyBorder="1" applyAlignment="1">
      <alignment horizontal="center" wrapText="1" shrinkToFit="1"/>
    </xf>
    <xf numFmtId="43" fontId="6" fillId="0" borderId="3" xfId="1" applyFont="1" applyBorder="1" applyAlignment="1">
      <alignment horizontal="center" wrapText="1" shrinkToFit="1"/>
    </xf>
    <xf numFmtId="43" fontId="15" fillId="0" borderId="2" xfId="1" applyFont="1" applyFill="1" applyBorder="1" applyAlignment="1">
      <alignment horizontal="center" wrapText="1" shrinkToFit="1"/>
    </xf>
    <xf numFmtId="43" fontId="15" fillId="0" borderId="3" xfId="1" applyFont="1" applyFill="1" applyBorder="1" applyAlignment="1">
      <alignment horizontal="center" wrapText="1" shrinkToFit="1"/>
    </xf>
    <xf numFmtId="0" fontId="14" fillId="0" borderId="14" xfId="0" applyFont="1" applyFill="1" applyBorder="1" applyAlignment="1">
      <alignment horizontal="center"/>
    </xf>
    <xf numFmtId="0" fontId="14" fillId="0" borderId="15" xfId="0" applyFont="1" applyFill="1" applyBorder="1" applyAlignment="1">
      <alignment horizontal="center"/>
    </xf>
    <xf numFmtId="0" fontId="14" fillId="0" borderId="2" xfId="0" applyFont="1" applyFill="1" applyBorder="1" applyAlignment="1">
      <alignment horizontal="center"/>
    </xf>
    <xf numFmtId="0" fontId="14" fillId="0" borderId="3" xfId="0" applyFont="1" applyFill="1" applyBorder="1" applyAlignment="1">
      <alignment horizontal="center"/>
    </xf>
    <xf numFmtId="43" fontId="15" fillId="0" borderId="2" xfId="2" applyFont="1" applyBorder="1" applyAlignment="1">
      <alignment horizontal="center" wrapText="1" shrinkToFit="1"/>
    </xf>
    <xf numFmtId="43" fontId="15" fillId="0" borderId="3" xfId="2" applyFont="1" applyBorder="1" applyAlignment="1">
      <alignment horizontal="center" wrapText="1" shrinkToFit="1"/>
    </xf>
    <xf numFmtId="0" fontId="14" fillId="0" borderId="8" xfId="5" applyFont="1" applyBorder="1" applyAlignment="1">
      <alignment horizontal="center"/>
    </xf>
    <xf numFmtId="0" fontId="14" fillId="0" borderId="9" xfId="5" applyFont="1" applyBorder="1" applyAlignment="1">
      <alignment horizontal="center"/>
    </xf>
    <xf numFmtId="0" fontId="9" fillId="0" borderId="0" xfId="0" applyFont="1" applyFill="1" applyAlignment="1">
      <alignment horizontal="center"/>
    </xf>
    <xf numFmtId="167" fontId="5" fillId="0" borderId="0" xfId="0" applyNumberFormat="1" applyFont="1" applyFill="1" applyAlignment="1">
      <alignment horizontal="center"/>
    </xf>
  </cellXfs>
  <cellStyles count="8">
    <cellStyle name="Comma" xfId="1" builtinId="3"/>
    <cellStyle name="Comma 2" xfId="2"/>
    <cellStyle name="Currency" xfId="3" builtinId="4"/>
    <cellStyle name="Hyperlink" xfId="4" builtinId="8"/>
    <cellStyle name="Normal" xfId="0" builtinId="0"/>
    <cellStyle name="Normal 2" xfId="5"/>
    <cellStyle name="Percent" xfId="6" builtinId="5"/>
    <cellStyle name="Percent 2" xfId="7"/>
  </cellStyles>
  <dxfs count="0"/>
  <tableStyles count="0" defaultTableStyle="TableStyleMedium9" defaultPivotStyle="PivotStyleLight16"/>
  <colors>
    <mruColors>
      <color rgb="FFFFFF99"/>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mailto:tfischer@uidaho.edu"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18"/>
  <sheetViews>
    <sheetView workbookViewId="0">
      <selection activeCell="A3" sqref="A3"/>
    </sheetView>
  </sheetViews>
  <sheetFormatPr defaultRowHeight="13.5" x14ac:dyDescent="0.25"/>
  <cols>
    <col min="1" max="1" width="104.7109375" style="2" customWidth="1"/>
    <col min="2" max="16384" width="9.140625" style="2"/>
  </cols>
  <sheetData>
    <row r="1" spans="1:1" ht="19.5" x14ac:dyDescent="0.35">
      <c r="A1" s="1" t="s">
        <v>2</v>
      </c>
    </row>
    <row r="2" spans="1:1" ht="19.5" x14ac:dyDescent="0.35">
      <c r="A2" s="1" t="s">
        <v>3</v>
      </c>
    </row>
    <row r="3" spans="1:1" ht="19.5" x14ac:dyDescent="0.35">
      <c r="A3" s="1" t="s">
        <v>135</v>
      </c>
    </row>
    <row r="4" spans="1:1" ht="19.5" x14ac:dyDescent="0.35">
      <c r="A4" s="1"/>
    </row>
    <row r="5" spans="1:1" ht="16.5" x14ac:dyDescent="0.3">
      <c r="A5" s="33" t="s">
        <v>49</v>
      </c>
    </row>
    <row r="6" spans="1:1" s="3" customFormat="1" ht="15.75" x14ac:dyDescent="0.3">
      <c r="A6" s="3" t="s">
        <v>50</v>
      </c>
    </row>
    <row r="7" spans="1:1" s="3" customFormat="1" ht="15.75" x14ac:dyDescent="0.3">
      <c r="A7" s="3" t="s">
        <v>51</v>
      </c>
    </row>
    <row r="8" spans="1:1" s="3" customFormat="1" ht="15.75" x14ac:dyDescent="0.3"/>
    <row r="9" spans="1:1" s="3" customFormat="1" ht="47.25" x14ac:dyDescent="0.3">
      <c r="A9" s="4" t="s">
        <v>77</v>
      </c>
    </row>
    <row r="10" spans="1:1" s="3" customFormat="1" ht="15.75" x14ac:dyDescent="0.3"/>
    <row r="11" spans="1:1" s="3" customFormat="1" ht="15.75" x14ac:dyDescent="0.3">
      <c r="A11" s="3" t="s">
        <v>133</v>
      </c>
    </row>
    <row r="12" spans="1:1" s="3" customFormat="1" ht="15.75" x14ac:dyDescent="0.3"/>
    <row r="13" spans="1:1" s="3" customFormat="1" ht="15.75" x14ac:dyDescent="0.3">
      <c r="A13" s="3" t="s">
        <v>0</v>
      </c>
    </row>
    <row r="14" spans="1:1" s="3" customFormat="1" ht="15.75" x14ac:dyDescent="0.3">
      <c r="A14" s="3" t="s">
        <v>1</v>
      </c>
    </row>
    <row r="15" spans="1:1" s="3" customFormat="1" ht="15.75" x14ac:dyDescent="0.3">
      <c r="A15" s="3" t="s">
        <v>75</v>
      </c>
    </row>
    <row r="16" spans="1:1" s="3" customFormat="1" ht="15.75" x14ac:dyDescent="0.3">
      <c r="A16" s="3" t="s">
        <v>76</v>
      </c>
    </row>
    <row r="17" spans="1:1" s="3" customFormat="1" ht="15.75" x14ac:dyDescent="0.3">
      <c r="A17" s="3" t="s">
        <v>132</v>
      </c>
    </row>
    <row r="18" spans="1:1" s="3" customFormat="1" ht="15.75" x14ac:dyDescent="0.3">
      <c r="A18" s="3" t="s">
        <v>131</v>
      </c>
    </row>
  </sheetData>
  <phoneticPr fontId="0" type="noConversion"/>
  <pageMargins left="0.3" right="0.25" top="0.25" bottom="0.2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3"/>
  <sheetViews>
    <sheetView topLeftCell="A6" workbookViewId="0"/>
  </sheetViews>
  <sheetFormatPr defaultRowHeight="13.5" x14ac:dyDescent="0.25"/>
  <cols>
    <col min="1" max="1" width="5.85546875" style="8" customWidth="1"/>
    <col min="2" max="2" width="27.28515625" style="8" customWidth="1"/>
    <col min="3" max="3" width="38.7109375" style="8" customWidth="1"/>
    <col min="4" max="4" width="12" style="8" customWidth="1"/>
    <col min="5" max="5" width="11.140625" style="8" customWidth="1"/>
    <col min="6" max="6" width="13.28515625" style="8" customWidth="1"/>
    <col min="7" max="7" width="12.28515625" style="8" customWidth="1"/>
    <col min="8" max="16384" width="9.140625" style="8"/>
  </cols>
  <sheetData>
    <row r="1" spans="1:6" s="6" customFormat="1" ht="19.5" x14ac:dyDescent="0.35">
      <c r="A1" s="5" t="s">
        <v>4</v>
      </c>
      <c r="F1" s="155" t="str">
        <f>Instructions!A3</f>
        <v>FY2013</v>
      </c>
    </row>
    <row r="2" spans="1:6" s="6" customFormat="1" ht="19.5" x14ac:dyDescent="0.35"/>
    <row r="3" spans="1:6" x14ac:dyDescent="0.25">
      <c r="A3" s="38" t="s">
        <v>71</v>
      </c>
      <c r="B3" s="39"/>
      <c r="C3" s="39"/>
      <c r="D3" s="40"/>
      <c r="E3" s="10"/>
      <c r="F3" s="10"/>
    </row>
    <row r="4" spans="1:6" x14ac:dyDescent="0.25">
      <c r="A4" s="9" t="s">
        <v>25</v>
      </c>
      <c r="B4" s="10" t="s">
        <v>72</v>
      </c>
      <c r="C4" s="10"/>
      <c r="D4" s="11"/>
      <c r="E4" s="10"/>
      <c r="F4" s="10"/>
    </row>
    <row r="5" spans="1:6" ht="13.5" customHeight="1" x14ac:dyDescent="0.25">
      <c r="A5" s="12"/>
      <c r="B5" s="35" t="s">
        <v>74</v>
      </c>
      <c r="C5" s="36"/>
      <c r="D5" s="34"/>
      <c r="E5" s="37"/>
      <c r="F5" s="37"/>
    </row>
    <row r="6" spans="1:6" x14ac:dyDescent="0.25">
      <c r="B6" s="13"/>
      <c r="C6" s="13"/>
      <c r="D6" s="13"/>
      <c r="E6" s="13"/>
      <c r="F6" s="13"/>
    </row>
    <row r="7" spans="1:6" s="15" customFormat="1" ht="16.5" x14ac:dyDescent="0.3">
      <c r="A7" s="14" t="s">
        <v>5</v>
      </c>
    </row>
    <row r="8" spans="1:6" x14ac:dyDescent="0.25">
      <c r="B8" s="16" t="s">
        <v>9</v>
      </c>
      <c r="C8" s="17" t="s">
        <v>25</v>
      </c>
    </row>
    <row r="9" spans="1:6" ht="15" x14ac:dyDescent="0.25">
      <c r="B9" s="16" t="s">
        <v>21</v>
      </c>
      <c r="C9" s="183" t="s">
        <v>25</v>
      </c>
    </row>
    <row r="10" spans="1:6" x14ac:dyDescent="0.25">
      <c r="B10" s="16" t="s">
        <v>22</v>
      </c>
      <c r="C10" s="18" t="s">
        <v>25</v>
      </c>
    </row>
    <row r="11" spans="1:6" x14ac:dyDescent="0.25">
      <c r="B11" s="16" t="s">
        <v>48</v>
      </c>
      <c r="C11" s="18" t="s">
        <v>25</v>
      </c>
    </row>
    <row r="12" spans="1:6" x14ac:dyDescent="0.25">
      <c r="A12" s="19"/>
    </row>
    <row r="13" spans="1:6" ht="15.75" x14ac:dyDescent="0.3">
      <c r="A13" s="20" t="s">
        <v>24</v>
      </c>
      <c r="C13" s="17" t="s">
        <v>25</v>
      </c>
    </row>
    <row r="14" spans="1:6" ht="15.75" x14ac:dyDescent="0.3">
      <c r="A14" s="20" t="s">
        <v>23</v>
      </c>
      <c r="B14" s="21"/>
      <c r="C14" s="18" t="s">
        <v>25</v>
      </c>
    </row>
    <row r="15" spans="1:6" x14ac:dyDescent="0.25">
      <c r="B15" s="21"/>
    </row>
    <row r="16" spans="1:6" x14ac:dyDescent="0.25">
      <c r="B16" s="21"/>
    </row>
    <row r="17" spans="1:7" ht="15.75" x14ac:dyDescent="0.3">
      <c r="A17" s="20" t="s">
        <v>80</v>
      </c>
      <c r="B17" s="21"/>
    </row>
    <row r="18" spans="1:7" ht="15.75" x14ac:dyDescent="0.3">
      <c r="A18" s="20"/>
      <c r="B18" s="22" t="s">
        <v>125</v>
      </c>
      <c r="C18" s="165" t="s">
        <v>128</v>
      </c>
    </row>
    <row r="19" spans="1:7" x14ac:dyDescent="0.25">
      <c r="B19" s="22" t="s">
        <v>65</v>
      </c>
      <c r="C19" s="23">
        <v>0</v>
      </c>
    </row>
    <row r="20" spans="1:7" x14ac:dyDescent="0.25">
      <c r="B20" s="22" t="s">
        <v>62</v>
      </c>
      <c r="C20" s="24">
        <v>0</v>
      </c>
    </row>
    <row r="21" spans="1:7" x14ac:dyDescent="0.25">
      <c r="B21" s="22" t="s">
        <v>63</v>
      </c>
      <c r="C21" s="24">
        <v>0</v>
      </c>
    </row>
    <row r="22" spans="1:7" x14ac:dyDescent="0.25">
      <c r="B22" s="22" t="s">
        <v>64</v>
      </c>
      <c r="C22" s="24">
        <v>0</v>
      </c>
    </row>
    <row r="23" spans="1:7" x14ac:dyDescent="0.25">
      <c r="B23" s="22" t="s">
        <v>66</v>
      </c>
      <c r="C23" s="24">
        <v>0</v>
      </c>
    </row>
    <row r="24" spans="1:7" x14ac:dyDescent="0.25">
      <c r="B24" s="21"/>
    </row>
    <row r="25" spans="1:7" x14ac:dyDescent="0.25">
      <c r="B25" s="21"/>
    </row>
    <row r="26" spans="1:7" ht="27" x14ac:dyDescent="0.25">
      <c r="B26" s="21"/>
      <c r="D26" s="169" t="s">
        <v>123</v>
      </c>
      <c r="G26" s="164" t="s">
        <v>126</v>
      </c>
    </row>
    <row r="27" spans="1:7" ht="27" x14ac:dyDescent="0.25">
      <c r="B27" s="25" t="s">
        <v>73</v>
      </c>
      <c r="C27" s="26" t="s">
        <v>70</v>
      </c>
      <c r="D27" s="175" t="s">
        <v>124</v>
      </c>
      <c r="E27" s="27" t="s">
        <v>29</v>
      </c>
      <c r="F27" s="28" t="s">
        <v>69</v>
      </c>
      <c r="G27" s="164" t="str">
        <f>Instructions!A3</f>
        <v>FY2013</v>
      </c>
    </row>
    <row r="28" spans="1:7" ht="33" customHeight="1" x14ac:dyDescent="0.25">
      <c r="A28" s="29" t="s">
        <v>27</v>
      </c>
      <c r="B28" s="30" t="s">
        <v>25</v>
      </c>
      <c r="C28" s="31" t="s">
        <v>25</v>
      </c>
      <c r="D28" s="184">
        <v>0</v>
      </c>
      <c r="E28" s="18">
        <v>0</v>
      </c>
      <c r="F28" s="18">
        <v>0</v>
      </c>
      <c r="G28" s="185">
        <v>0</v>
      </c>
    </row>
    <row r="29" spans="1:7" ht="35.25" customHeight="1" x14ac:dyDescent="0.25">
      <c r="A29" s="29" t="s">
        <v>28</v>
      </c>
      <c r="B29" s="30"/>
      <c r="C29" s="31"/>
      <c r="D29" s="184">
        <v>0</v>
      </c>
      <c r="E29" s="18">
        <v>0</v>
      </c>
      <c r="F29" s="18">
        <v>0</v>
      </c>
      <c r="G29" s="185">
        <v>0</v>
      </c>
    </row>
    <row r="30" spans="1:7" x14ac:dyDescent="0.25">
      <c r="B30" s="21"/>
      <c r="F30" s="32"/>
    </row>
    <row r="31" spans="1:7" x14ac:dyDescent="0.25">
      <c r="A31" s="8" t="s">
        <v>30</v>
      </c>
      <c r="B31" s="21"/>
    </row>
    <row r="32" spans="1:7" x14ac:dyDescent="0.25">
      <c r="B32" s="21"/>
    </row>
    <row r="33" spans="2:2" x14ac:dyDescent="0.25">
      <c r="B33" s="21"/>
    </row>
  </sheetData>
  <phoneticPr fontId="0" type="noConversion"/>
  <hyperlinks>
    <hyperlink ref="C9" r:id="rId1" display="tfischer@uidaho.edu"/>
  </hyperlinks>
  <pageMargins left="0.3" right="0.25" top="0.25" bottom="0.25" header="0.5" footer="0.5"/>
  <pageSetup scale="98" orientation="landscape" r:id="rId2"/>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42"/>
  <sheetViews>
    <sheetView tabSelected="1" topLeftCell="A9" workbookViewId="0">
      <selection activeCell="B34" sqref="B34:B37"/>
    </sheetView>
  </sheetViews>
  <sheetFormatPr defaultRowHeight="13.5" x14ac:dyDescent="0.25"/>
  <cols>
    <col min="1" max="1" width="24" style="8" customWidth="1"/>
    <col min="2" max="3" width="9.42578125" style="8" customWidth="1"/>
    <col min="4" max="4" width="15.140625" style="8" customWidth="1"/>
    <col min="5" max="5" width="10.140625" style="8" customWidth="1"/>
    <col min="6" max="6" width="14.85546875" style="8" customWidth="1"/>
    <col min="7" max="7" width="13.140625" style="8" customWidth="1"/>
    <col min="8" max="8" width="9.140625" style="8"/>
    <col min="9" max="9" width="12.7109375" style="8" customWidth="1"/>
    <col min="10" max="10" width="9.140625" style="8"/>
    <col min="11" max="11" width="11.7109375" style="8" customWidth="1"/>
    <col min="12" max="16384" width="9.140625" style="8"/>
  </cols>
  <sheetData>
    <row r="1" spans="1:11" s="5" customFormat="1" ht="19.5" x14ac:dyDescent="0.35">
      <c r="A1" s="5" t="s">
        <v>59</v>
      </c>
      <c r="D1" s="14" t="str">
        <f>General!C14</f>
        <v xml:space="preserve"> </v>
      </c>
      <c r="K1" s="5" t="str">
        <f>Instructions!A3</f>
        <v>FY2013</v>
      </c>
    </row>
    <row r="3" spans="1:11" s="15" customFormat="1" ht="16.5" x14ac:dyDescent="0.3">
      <c r="A3" s="41" t="s">
        <v>81</v>
      </c>
      <c r="B3" s="42"/>
      <c r="C3" s="42"/>
      <c r="D3" s="42"/>
      <c r="E3" s="42"/>
      <c r="F3" s="42"/>
      <c r="G3" s="42"/>
      <c r="H3" s="42"/>
      <c r="I3" s="42"/>
      <c r="J3" s="42"/>
      <c r="K3" s="42"/>
    </row>
    <row r="4" spans="1:11" ht="15.75" x14ac:dyDescent="0.3">
      <c r="A4" s="43" t="s">
        <v>60</v>
      </c>
      <c r="B4" s="44"/>
      <c r="C4" s="44"/>
      <c r="D4" s="44"/>
      <c r="E4" s="44"/>
      <c r="F4" s="44"/>
      <c r="G4" s="44"/>
      <c r="H4" s="44"/>
      <c r="I4" s="44"/>
      <c r="J4" s="44"/>
      <c r="K4" s="44"/>
    </row>
    <row r="5" spans="1:11" ht="15.75" x14ac:dyDescent="0.3">
      <c r="A5" s="43"/>
      <c r="B5" s="44"/>
      <c r="C5" s="44"/>
      <c r="D5" s="44"/>
      <c r="E5" s="44"/>
      <c r="F5" s="44"/>
      <c r="G5" s="44"/>
      <c r="H5" s="44"/>
      <c r="I5" s="44"/>
      <c r="J5" s="44"/>
      <c r="K5" s="44"/>
    </row>
    <row r="6" spans="1:11" x14ac:dyDescent="0.25">
      <c r="A6" s="38" t="s">
        <v>55</v>
      </c>
      <c r="B6" s="77"/>
      <c r="C6" s="39"/>
      <c r="D6" s="39"/>
      <c r="E6" s="39"/>
      <c r="F6" s="39"/>
      <c r="G6" s="39"/>
      <c r="H6" s="39"/>
      <c r="I6" s="40"/>
      <c r="J6" s="46"/>
      <c r="K6" s="46"/>
    </row>
    <row r="7" spans="1:11" x14ac:dyDescent="0.25">
      <c r="A7" s="45" t="s">
        <v>58</v>
      </c>
      <c r="B7" s="46"/>
      <c r="C7" s="46"/>
      <c r="D7" s="46"/>
      <c r="E7" s="46"/>
      <c r="F7" s="46"/>
      <c r="G7" s="46"/>
      <c r="H7" s="46"/>
      <c r="I7" s="47"/>
      <c r="J7" s="46"/>
      <c r="K7" s="46"/>
    </row>
    <row r="8" spans="1:11" x14ac:dyDescent="0.25">
      <c r="A8" s="45" t="s">
        <v>82</v>
      </c>
      <c r="B8" s="46"/>
      <c r="C8" s="46"/>
      <c r="D8" s="46"/>
      <c r="E8" s="46"/>
      <c r="F8" s="46"/>
      <c r="G8" s="46"/>
      <c r="H8" s="46"/>
      <c r="I8" s="47"/>
      <c r="J8" s="46"/>
      <c r="K8" s="46"/>
    </row>
    <row r="9" spans="1:11" x14ac:dyDescent="0.25">
      <c r="A9" s="45" t="s">
        <v>83</v>
      </c>
      <c r="B9" s="46"/>
      <c r="C9" s="46"/>
      <c r="D9" s="46"/>
      <c r="E9" s="46"/>
      <c r="F9" s="46"/>
      <c r="G9" s="46"/>
      <c r="H9" s="46"/>
      <c r="I9" s="47"/>
      <c r="J9" s="46"/>
      <c r="K9" s="46"/>
    </row>
    <row r="10" spans="1:11" x14ac:dyDescent="0.25">
      <c r="A10" s="45" t="s">
        <v>84</v>
      </c>
      <c r="B10" s="46"/>
      <c r="C10" s="46"/>
      <c r="D10" s="46"/>
      <c r="E10" s="46"/>
      <c r="F10" s="46"/>
      <c r="G10" s="46"/>
      <c r="H10" s="46"/>
      <c r="I10" s="47"/>
      <c r="J10" s="46"/>
      <c r="K10" s="46"/>
    </row>
    <row r="11" spans="1:11" x14ac:dyDescent="0.25">
      <c r="A11" s="45" t="s">
        <v>85</v>
      </c>
      <c r="B11" s="46"/>
      <c r="C11" s="10" t="s">
        <v>78</v>
      </c>
      <c r="D11" s="46"/>
      <c r="E11" s="46"/>
      <c r="F11" s="46"/>
      <c r="G11" s="46"/>
      <c r="H11" s="46"/>
      <c r="I11" s="47"/>
      <c r="J11" s="46"/>
      <c r="K11" s="46"/>
    </row>
    <row r="12" spans="1:11" x14ac:dyDescent="0.25">
      <c r="A12" s="48" t="s">
        <v>86</v>
      </c>
      <c r="B12" s="46"/>
      <c r="C12" s="46"/>
      <c r="D12" s="46"/>
      <c r="E12" s="46"/>
      <c r="F12" s="46"/>
      <c r="G12" s="46"/>
      <c r="H12" s="46"/>
      <c r="I12" s="47"/>
      <c r="J12" s="46"/>
      <c r="K12" s="46"/>
    </row>
    <row r="13" spans="1:11" x14ac:dyDescent="0.25">
      <c r="A13" s="48" t="s">
        <v>87</v>
      </c>
      <c r="B13" s="10"/>
      <c r="C13" s="10"/>
      <c r="D13" s="10"/>
      <c r="E13" s="10"/>
      <c r="F13" s="10"/>
      <c r="G13" s="10"/>
      <c r="H13" s="10"/>
      <c r="I13" s="11"/>
      <c r="J13" s="10"/>
      <c r="K13" s="10"/>
    </row>
    <row r="14" spans="1:11" x14ac:dyDescent="0.25">
      <c r="A14" s="12" t="s">
        <v>88</v>
      </c>
      <c r="B14" s="26"/>
      <c r="C14" s="26"/>
      <c r="D14" s="26"/>
      <c r="E14" s="26"/>
      <c r="F14" s="26"/>
      <c r="G14" s="26"/>
      <c r="H14" s="26"/>
      <c r="I14" s="49"/>
      <c r="J14" s="10"/>
      <c r="K14" s="10"/>
    </row>
    <row r="16" spans="1:11" x14ac:dyDescent="0.25">
      <c r="H16" s="187" t="s">
        <v>37</v>
      </c>
      <c r="I16" s="188"/>
      <c r="J16" s="187" t="s">
        <v>38</v>
      </c>
      <c r="K16" s="188"/>
    </row>
    <row r="17" spans="1:11" x14ac:dyDescent="0.25">
      <c r="A17" s="50" t="s">
        <v>25</v>
      </c>
      <c r="B17" s="51" t="s">
        <v>25</v>
      </c>
      <c r="C17" s="51"/>
      <c r="D17" s="52" t="s">
        <v>25</v>
      </c>
      <c r="E17" s="52" t="s">
        <v>25</v>
      </c>
      <c r="F17" s="52" t="s">
        <v>25</v>
      </c>
      <c r="G17" s="52" t="s">
        <v>25</v>
      </c>
      <c r="H17" s="189" t="str">
        <f>General!B28</f>
        <v xml:space="preserve"> </v>
      </c>
      <c r="I17" s="190"/>
      <c r="J17" s="189">
        <f>General!B29</f>
        <v>0</v>
      </c>
      <c r="K17" s="190"/>
    </row>
    <row r="18" spans="1:11" x14ac:dyDescent="0.25">
      <c r="A18" s="53" t="s">
        <v>6</v>
      </c>
      <c r="B18" s="54" t="s">
        <v>40</v>
      </c>
      <c r="C18" s="54" t="s">
        <v>42</v>
      </c>
      <c r="D18" s="54" t="s">
        <v>33</v>
      </c>
      <c r="E18" s="54" t="s">
        <v>34</v>
      </c>
      <c r="F18" s="54" t="s">
        <v>35</v>
      </c>
      <c r="G18" s="54" t="s">
        <v>36</v>
      </c>
      <c r="H18" s="55" t="s">
        <v>7</v>
      </c>
      <c r="I18" s="55" t="s">
        <v>8</v>
      </c>
      <c r="J18" s="55" t="s">
        <v>7</v>
      </c>
      <c r="K18" s="55" t="s">
        <v>8</v>
      </c>
    </row>
    <row r="19" spans="1:11" x14ac:dyDescent="0.25">
      <c r="A19" s="56"/>
      <c r="B19" s="57"/>
      <c r="C19" s="57" t="s">
        <v>25</v>
      </c>
      <c r="D19" s="58">
        <v>0</v>
      </c>
      <c r="E19" s="59">
        <v>0</v>
      </c>
      <c r="F19" s="60">
        <f>IF(D19=0,0,IF(C19="ex",E19*Salaries!$B$35+Salaries!$B$34*Salaries!D19,IF(C19="cl",E19*Salaries!$B$35+Salaries!$B$34*D19,IF(C19="GA",Salaries!$B$37*D19,IF(C19="TH",Salaries!$B$36*D19,"Need TYPE")))))</f>
        <v>0</v>
      </c>
      <c r="G19" s="60">
        <f>F19+D19</f>
        <v>0</v>
      </c>
      <c r="H19" s="61">
        <v>0</v>
      </c>
      <c r="I19" s="62">
        <f>H19*G19</f>
        <v>0</v>
      </c>
      <c r="J19" s="63">
        <v>0</v>
      </c>
      <c r="K19" s="62">
        <f>J19*G19</f>
        <v>0</v>
      </c>
    </row>
    <row r="20" spans="1:11" x14ac:dyDescent="0.25">
      <c r="A20" s="56"/>
      <c r="B20" s="57"/>
      <c r="C20" s="57"/>
      <c r="D20" s="58">
        <v>0</v>
      </c>
      <c r="E20" s="59">
        <v>0</v>
      </c>
      <c r="F20" s="60">
        <f>IF(D20=0,0,IF(C20="ex",E20*Salaries!$B$35+Salaries!$B$34*Salaries!D20,IF(C20="cl",E20*Salaries!$B$35+Salaries!$B$34*D20,IF(C20="GA",Salaries!$B$37*D20,IF(C20="TH",Salaries!$B$36*D20,"Need TYPE")))))</f>
        <v>0</v>
      </c>
      <c r="G20" s="60">
        <f t="shared" ref="G20:G28" si="0">F20+D20</f>
        <v>0</v>
      </c>
      <c r="H20" s="61">
        <v>0</v>
      </c>
      <c r="I20" s="62">
        <f t="shared" ref="I20:I28" si="1">H20*G20</f>
        <v>0</v>
      </c>
      <c r="J20" s="63">
        <v>0</v>
      </c>
      <c r="K20" s="62">
        <f t="shared" ref="K20:K28" si="2">J20*G20</f>
        <v>0</v>
      </c>
    </row>
    <row r="21" spans="1:11" x14ac:dyDescent="0.25">
      <c r="A21" s="64"/>
      <c r="B21" s="65"/>
      <c r="C21" s="57"/>
      <c r="D21" s="58">
        <v>0</v>
      </c>
      <c r="E21" s="66">
        <v>0</v>
      </c>
      <c r="F21" s="60">
        <f>IF(D21=0,0,IF(C21="ex",E21*Salaries!$B$35+Salaries!$B$34*Salaries!D21,IF(C21="cl",E21*Salaries!$B$35+Salaries!$B$34*D21,IF(C21="GA",Salaries!$B$37*D21,IF(C21="TH",Salaries!$B$36*D21,"Need TYPE")))))</f>
        <v>0</v>
      </c>
      <c r="G21" s="60">
        <f t="shared" si="0"/>
        <v>0</v>
      </c>
      <c r="H21" s="61">
        <v>0</v>
      </c>
      <c r="I21" s="62">
        <f t="shared" si="1"/>
        <v>0</v>
      </c>
      <c r="J21" s="63">
        <v>0</v>
      </c>
      <c r="K21" s="62">
        <f t="shared" si="2"/>
        <v>0</v>
      </c>
    </row>
    <row r="22" spans="1:11" x14ac:dyDescent="0.25">
      <c r="A22" s="64"/>
      <c r="B22" s="65"/>
      <c r="C22" s="57"/>
      <c r="D22" s="58">
        <v>0</v>
      </c>
      <c r="E22" s="66">
        <v>0</v>
      </c>
      <c r="F22" s="60">
        <f>IF(D22=0,0,IF(C22="ex",E22*Salaries!$B$35+Salaries!$B$34*Salaries!D22,IF(C22="cl",E22*Salaries!$B$35+Salaries!$B$34*D22,IF(C22="GA",Salaries!$B$37*D22,IF(C22="TH",Salaries!$B$36*D22,"Need TYPE")))))</f>
        <v>0</v>
      </c>
      <c r="G22" s="60">
        <f t="shared" si="0"/>
        <v>0</v>
      </c>
      <c r="H22" s="61">
        <v>0</v>
      </c>
      <c r="I22" s="62">
        <f t="shared" si="1"/>
        <v>0</v>
      </c>
      <c r="J22" s="63">
        <v>0</v>
      </c>
      <c r="K22" s="62">
        <f t="shared" si="2"/>
        <v>0</v>
      </c>
    </row>
    <row r="23" spans="1:11" x14ac:dyDescent="0.25">
      <c r="A23" s="64"/>
      <c r="B23" s="65"/>
      <c r="C23" s="57"/>
      <c r="D23" s="58">
        <v>0</v>
      </c>
      <c r="E23" s="66">
        <v>0</v>
      </c>
      <c r="F23" s="60">
        <f>IF(D23=0,0,IF(C23="ex",E23*Salaries!$B$35+Salaries!$B$34*Salaries!D23,IF(C23="cl",E23*Salaries!$B$35+Salaries!$B$34*D23,IF(C23="GA",Salaries!$B$37*D23,IF(C23="TH",Salaries!$B$36*D23,"Need TYPE")))))</f>
        <v>0</v>
      </c>
      <c r="G23" s="60">
        <f t="shared" si="0"/>
        <v>0</v>
      </c>
      <c r="H23" s="61">
        <v>0</v>
      </c>
      <c r="I23" s="62">
        <f t="shared" si="1"/>
        <v>0</v>
      </c>
      <c r="J23" s="63">
        <v>0</v>
      </c>
      <c r="K23" s="62">
        <f t="shared" si="2"/>
        <v>0</v>
      </c>
    </row>
    <row r="24" spans="1:11" x14ac:dyDescent="0.25">
      <c r="A24" s="64"/>
      <c r="B24" s="65"/>
      <c r="C24" s="57"/>
      <c r="D24" s="58">
        <v>0</v>
      </c>
      <c r="E24" s="66">
        <v>0</v>
      </c>
      <c r="F24" s="60">
        <f>IF(D24=0,0,IF(C24="ex",E24*Salaries!$B$35+Salaries!$B$34*Salaries!D24,IF(C24="cl",E24*Salaries!$B$35+Salaries!$B$34*D24,IF(C24="GA",Salaries!$B$37*D24,IF(C24="TH",Salaries!$B$36*D24,"Need TYPE")))))</f>
        <v>0</v>
      </c>
      <c r="G24" s="60">
        <f t="shared" si="0"/>
        <v>0</v>
      </c>
      <c r="H24" s="61">
        <v>0</v>
      </c>
      <c r="I24" s="62">
        <f t="shared" si="1"/>
        <v>0</v>
      </c>
      <c r="J24" s="63">
        <v>0</v>
      </c>
      <c r="K24" s="62">
        <f t="shared" si="2"/>
        <v>0</v>
      </c>
    </row>
    <row r="25" spans="1:11" x14ac:dyDescent="0.25">
      <c r="A25" s="64"/>
      <c r="B25" s="65"/>
      <c r="C25" s="57"/>
      <c r="D25" s="58">
        <v>0</v>
      </c>
      <c r="E25" s="66">
        <v>0</v>
      </c>
      <c r="F25" s="60">
        <f>IF(D25=0,0,IF(C25="ex",E25*Salaries!$B$35+Salaries!$B$34*Salaries!D25,IF(C25="cl",E25*Salaries!$B$35+Salaries!$B$34*D25,IF(C25="GA",Salaries!$B$37*D25,IF(C25="TH",Salaries!$B$36*D25,"Need TYPE")))))</f>
        <v>0</v>
      </c>
      <c r="G25" s="60">
        <f t="shared" si="0"/>
        <v>0</v>
      </c>
      <c r="H25" s="61">
        <v>0</v>
      </c>
      <c r="I25" s="62">
        <f t="shared" si="1"/>
        <v>0</v>
      </c>
      <c r="J25" s="63">
        <v>0</v>
      </c>
      <c r="K25" s="62">
        <f t="shared" si="2"/>
        <v>0</v>
      </c>
    </row>
    <row r="26" spans="1:11" x14ac:dyDescent="0.25">
      <c r="A26" s="64"/>
      <c r="B26" s="65"/>
      <c r="C26" s="57"/>
      <c r="D26" s="58">
        <v>0</v>
      </c>
      <c r="E26" s="66">
        <v>0</v>
      </c>
      <c r="F26" s="60">
        <f>IF(D26=0,0,IF(C26="ex",E26*Salaries!$B$35+Salaries!$B$34*Salaries!D26,IF(C26="cl",E26*Salaries!$B$35+Salaries!$B$34*D26,IF(C26="GA",Salaries!$B$37*D26,IF(C26="TH",Salaries!$B$36*D26,"Need TYPE")))))</f>
        <v>0</v>
      </c>
      <c r="G26" s="60">
        <f t="shared" si="0"/>
        <v>0</v>
      </c>
      <c r="H26" s="61">
        <v>0</v>
      </c>
      <c r="I26" s="62">
        <f t="shared" si="1"/>
        <v>0</v>
      </c>
      <c r="J26" s="63">
        <v>0</v>
      </c>
      <c r="K26" s="62">
        <f t="shared" si="2"/>
        <v>0</v>
      </c>
    </row>
    <row r="27" spans="1:11" x14ac:dyDescent="0.25">
      <c r="A27" s="64"/>
      <c r="B27" s="65"/>
      <c r="C27" s="57"/>
      <c r="D27" s="58">
        <v>0</v>
      </c>
      <c r="E27" s="66">
        <v>0</v>
      </c>
      <c r="F27" s="60">
        <f>IF(D27=0,0,IF(C27="ex",E27*Salaries!$B$35+Salaries!$B$34*Salaries!D27,IF(C27="cl",E27*Salaries!$B$35+Salaries!$B$34*D27,IF(C27="GA",Salaries!$B$37*D27,IF(C27="TH",Salaries!$B$36*D27,"Need TYPE")))))</f>
        <v>0</v>
      </c>
      <c r="G27" s="60">
        <f t="shared" si="0"/>
        <v>0</v>
      </c>
      <c r="H27" s="61">
        <v>0</v>
      </c>
      <c r="I27" s="62">
        <f t="shared" si="1"/>
        <v>0</v>
      </c>
      <c r="J27" s="63">
        <v>0</v>
      </c>
      <c r="K27" s="62">
        <f t="shared" si="2"/>
        <v>0</v>
      </c>
    </row>
    <row r="28" spans="1:11" x14ac:dyDescent="0.25">
      <c r="A28" s="64"/>
      <c r="B28" s="65"/>
      <c r="C28" s="65"/>
      <c r="D28" s="67">
        <v>0</v>
      </c>
      <c r="E28" s="66">
        <v>0</v>
      </c>
      <c r="F28" s="62">
        <f>IF(D28=0,0,IF(C28="ex",E28*Salaries!$B$35+Salaries!$B$34*Salaries!D28,IF(C28="cl",E28*Salaries!$B$35+Salaries!$B$34*D28,IF(C28="GA",Salaries!$B$37*D28,IF(C28="TH",Salaries!$B$36*D28,"Need TYPE")))))</f>
        <v>0</v>
      </c>
      <c r="G28" s="62">
        <f t="shared" si="0"/>
        <v>0</v>
      </c>
      <c r="H28" s="61">
        <v>0</v>
      </c>
      <c r="I28" s="62">
        <f t="shared" si="1"/>
        <v>0</v>
      </c>
      <c r="J28" s="63">
        <v>0</v>
      </c>
      <c r="K28" s="62">
        <f t="shared" si="2"/>
        <v>0</v>
      </c>
    </row>
    <row r="29" spans="1:11" x14ac:dyDescent="0.25">
      <c r="A29" s="44"/>
      <c r="B29" s="44"/>
      <c r="C29" s="44"/>
      <c r="D29" s="44"/>
      <c r="E29" s="44"/>
      <c r="F29" s="44"/>
      <c r="G29" s="44"/>
      <c r="H29" s="44"/>
      <c r="I29" s="44"/>
      <c r="J29" s="44"/>
      <c r="K29" s="44"/>
    </row>
    <row r="30" spans="1:11" x14ac:dyDescent="0.25">
      <c r="A30" s="68" t="s">
        <v>39</v>
      </c>
      <c r="B30" s="69"/>
      <c r="C30" s="69"/>
      <c r="D30" s="70">
        <f>SUM(D19:D28)</f>
        <v>0</v>
      </c>
      <c r="E30" s="71"/>
      <c r="F30" s="72"/>
      <c r="G30" s="70">
        <f>SUM(G19:G28)</f>
        <v>0</v>
      </c>
      <c r="H30" s="70"/>
      <c r="I30" s="70">
        <f>SUM(I19:I28)</f>
        <v>0</v>
      </c>
      <c r="J30" s="70"/>
      <c r="K30" s="70">
        <f>SUM(K19:K28)</f>
        <v>0</v>
      </c>
    </row>
    <row r="31" spans="1:11" x14ac:dyDescent="0.25">
      <c r="A31" s="44"/>
      <c r="B31" s="44"/>
      <c r="C31" s="44"/>
      <c r="D31" s="44"/>
      <c r="E31" s="44"/>
      <c r="F31" s="44"/>
      <c r="G31" s="44"/>
      <c r="H31" s="44"/>
      <c r="I31" s="44"/>
      <c r="J31" s="44"/>
      <c r="K31" s="44"/>
    </row>
    <row r="32" spans="1:11" x14ac:dyDescent="0.25">
      <c r="A32" s="44"/>
      <c r="B32" s="44"/>
      <c r="C32" s="44"/>
      <c r="D32" s="44"/>
      <c r="E32" s="44"/>
      <c r="F32" s="44"/>
      <c r="G32" s="44"/>
      <c r="H32" s="44"/>
      <c r="I32" s="44"/>
      <c r="J32" s="44"/>
      <c r="K32" s="44"/>
    </row>
    <row r="33" spans="1:2" x14ac:dyDescent="0.25">
      <c r="A33" s="73" t="s">
        <v>110</v>
      </c>
      <c r="B33" s="74" t="s">
        <v>111</v>
      </c>
    </row>
    <row r="34" spans="1:2" x14ac:dyDescent="0.25">
      <c r="A34" s="45" t="s">
        <v>26</v>
      </c>
      <c r="B34" s="47">
        <v>0.24</v>
      </c>
    </row>
    <row r="35" spans="1:2" x14ac:dyDescent="0.25">
      <c r="A35" s="45" t="s">
        <v>89</v>
      </c>
      <c r="B35" s="47">
        <v>8600</v>
      </c>
    </row>
    <row r="36" spans="1:2" x14ac:dyDescent="0.25">
      <c r="A36" s="45" t="s">
        <v>43</v>
      </c>
      <c r="B36" s="47">
        <v>8.72E-2</v>
      </c>
    </row>
    <row r="37" spans="1:2" x14ac:dyDescent="0.25">
      <c r="A37" s="75" t="s">
        <v>79</v>
      </c>
      <c r="B37" s="76">
        <v>5.1000000000000004E-3</v>
      </c>
    </row>
    <row r="39" spans="1:2" x14ac:dyDescent="0.25">
      <c r="A39" s="8" t="s">
        <v>112</v>
      </c>
    </row>
    <row r="42" spans="1:2" x14ac:dyDescent="0.25">
      <c r="A42" s="8" t="s">
        <v>25</v>
      </c>
    </row>
  </sheetData>
  <mergeCells count="4">
    <mergeCell ref="H16:I16"/>
    <mergeCell ref="J16:K16"/>
    <mergeCell ref="H17:I17"/>
    <mergeCell ref="J17:K17"/>
  </mergeCells>
  <phoneticPr fontId="0" type="noConversion"/>
  <pageMargins left="0.3" right="0.25" top="0.25" bottom="0.25" header="0.5" footer="0.5"/>
  <pageSetup scale="91"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4"/>
  <sheetViews>
    <sheetView workbookViewId="0"/>
  </sheetViews>
  <sheetFormatPr defaultRowHeight="13.5" x14ac:dyDescent="0.25"/>
  <cols>
    <col min="1" max="1" width="45.85546875" style="8" customWidth="1"/>
    <col min="2" max="2" width="18.140625" style="8" customWidth="1"/>
    <col min="3" max="3" width="10.5703125" style="8" customWidth="1"/>
    <col min="4" max="4" width="17.85546875" style="8" customWidth="1"/>
    <col min="5" max="5" width="9.140625" style="8"/>
    <col min="6" max="6" width="15.85546875" style="8" customWidth="1"/>
    <col min="7" max="16384" width="9.140625" style="8"/>
  </cols>
  <sheetData>
    <row r="1" spans="1:6" s="6" customFormat="1" ht="19.5" x14ac:dyDescent="0.35">
      <c r="A1" s="5" t="s">
        <v>59</v>
      </c>
      <c r="B1" s="15" t="str">
        <f>General!C14</f>
        <v xml:space="preserve"> </v>
      </c>
      <c r="F1" s="155" t="str">
        <f>Instructions!A3</f>
        <v>FY2013</v>
      </c>
    </row>
    <row r="2" spans="1:6" s="6" customFormat="1" ht="19.5" x14ac:dyDescent="0.35">
      <c r="B2" s="15"/>
      <c r="F2" s="155"/>
    </row>
    <row r="3" spans="1:6" s="6" customFormat="1" ht="19.5" x14ac:dyDescent="0.35">
      <c r="A3" s="14" t="s">
        <v>41</v>
      </c>
    </row>
    <row r="4" spans="1:6" ht="15.75" x14ac:dyDescent="0.3">
      <c r="A4" s="78" t="s">
        <v>47</v>
      </c>
    </row>
    <row r="5" spans="1:6" ht="15.75" x14ac:dyDescent="0.3">
      <c r="A5" s="78"/>
    </row>
    <row r="6" spans="1:6" x14ac:dyDescent="0.25">
      <c r="A6" s="89" t="s">
        <v>55</v>
      </c>
    </row>
    <row r="7" spans="1:6" x14ac:dyDescent="0.25">
      <c r="A7" s="79" t="s">
        <v>61</v>
      </c>
    </row>
    <row r="8" spans="1:6" x14ac:dyDescent="0.25">
      <c r="A8" s="80" t="s">
        <v>113</v>
      </c>
      <c r="C8" s="26"/>
      <c r="D8" s="26"/>
      <c r="E8" s="26"/>
      <c r="F8" s="26"/>
    </row>
    <row r="9" spans="1:6" x14ac:dyDescent="0.25">
      <c r="C9" s="195" t="s">
        <v>37</v>
      </c>
      <c r="D9" s="196"/>
      <c r="E9" s="195" t="s">
        <v>38</v>
      </c>
      <c r="F9" s="196"/>
    </row>
    <row r="10" spans="1:6" ht="19.5" x14ac:dyDescent="0.35">
      <c r="A10" s="81" t="s">
        <v>17</v>
      </c>
      <c r="B10" s="82"/>
      <c r="C10" s="191" t="str">
        <f>General!B28</f>
        <v xml:space="preserve"> </v>
      </c>
      <c r="D10" s="192"/>
      <c r="E10" s="191">
        <f>General!B29</f>
        <v>0</v>
      </c>
      <c r="F10" s="192"/>
    </row>
    <row r="11" spans="1:6" x14ac:dyDescent="0.25">
      <c r="A11" s="83" t="s">
        <v>12</v>
      </c>
      <c r="B11" s="84" t="s">
        <v>13</v>
      </c>
      <c r="C11" s="85" t="s">
        <v>10</v>
      </c>
      <c r="D11" s="86" t="s">
        <v>8</v>
      </c>
      <c r="E11" s="85" t="s">
        <v>10</v>
      </c>
      <c r="F11" s="86" t="s">
        <v>8</v>
      </c>
    </row>
    <row r="12" spans="1:6" x14ac:dyDescent="0.25">
      <c r="A12" s="18"/>
      <c r="B12" s="87">
        <v>0</v>
      </c>
      <c r="C12" s="63"/>
      <c r="D12" s="70">
        <f t="shared" ref="D12:F15" si="0">$B12*C12</f>
        <v>0</v>
      </c>
      <c r="E12" s="63">
        <v>0</v>
      </c>
      <c r="F12" s="70">
        <f>$B12*E12</f>
        <v>0</v>
      </c>
    </row>
    <row r="13" spans="1:6" x14ac:dyDescent="0.25">
      <c r="A13" s="18"/>
      <c r="B13" s="87">
        <v>0</v>
      </c>
      <c r="C13" s="63">
        <v>0</v>
      </c>
      <c r="D13" s="70">
        <f t="shared" si="0"/>
        <v>0</v>
      </c>
      <c r="E13" s="63">
        <v>0</v>
      </c>
      <c r="F13" s="70">
        <f t="shared" si="0"/>
        <v>0</v>
      </c>
    </row>
    <row r="14" spans="1:6" x14ac:dyDescent="0.25">
      <c r="A14" s="18"/>
      <c r="B14" s="87">
        <v>0</v>
      </c>
      <c r="C14" s="63">
        <v>0</v>
      </c>
      <c r="D14" s="70">
        <f t="shared" si="0"/>
        <v>0</v>
      </c>
      <c r="E14" s="63">
        <v>0</v>
      </c>
      <c r="F14" s="70">
        <f t="shared" si="0"/>
        <v>0</v>
      </c>
    </row>
    <row r="15" spans="1:6" x14ac:dyDescent="0.25">
      <c r="A15" s="18"/>
      <c r="B15" s="87">
        <v>0</v>
      </c>
      <c r="C15" s="63">
        <v>0</v>
      </c>
      <c r="D15" s="70">
        <f t="shared" si="0"/>
        <v>0</v>
      </c>
      <c r="E15" s="63">
        <v>0</v>
      </c>
      <c r="F15" s="70">
        <f t="shared" si="0"/>
        <v>0</v>
      </c>
    </row>
    <row r="16" spans="1:6" ht="6.75" customHeight="1" x14ac:dyDescent="0.25">
      <c r="B16" s="82"/>
    </row>
    <row r="17" spans="1:6" x14ac:dyDescent="0.25">
      <c r="B17" s="88" t="s">
        <v>11</v>
      </c>
      <c r="C17" s="70"/>
      <c r="D17" s="70">
        <f>SUM(D12:D15)</f>
        <v>0</v>
      </c>
      <c r="E17" s="70"/>
      <c r="F17" s="70">
        <f>SUM(F12:F15)</f>
        <v>0</v>
      </c>
    </row>
    <row r="18" spans="1:6" x14ac:dyDescent="0.25">
      <c r="B18" s="82"/>
    </row>
    <row r="19" spans="1:6" x14ac:dyDescent="0.25">
      <c r="C19" s="193" t="s">
        <v>37</v>
      </c>
      <c r="D19" s="194"/>
      <c r="E19" s="193" t="s">
        <v>38</v>
      </c>
      <c r="F19" s="194"/>
    </row>
    <row r="20" spans="1:6" ht="19.5" x14ac:dyDescent="0.35">
      <c r="A20" s="81" t="s">
        <v>44</v>
      </c>
      <c r="B20" s="82"/>
      <c r="C20" s="191" t="str">
        <f>General!B28</f>
        <v xml:space="preserve"> </v>
      </c>
      <c r="D20" s="192"/>
      <c r="E20" s="191">
        <f>General!B29</f>
        <v>0</v>
      </c>
      <c r="F20" s="192"/>
    </row>
    <row r="21" spans="1:6" x14ac:dyDescent="0.25">
      <c r="A21" s="83" t="s">
        <v>12</v>
      </c>
      <c r="B21" s="84" t="s">
        <v>13</v>
      </c>
      <c r="C21" s="85" t="s">
        <v>10</v>
      </c>
      <c r="D21" s="86" t="s">
        <v>8</v>
      </c>
      <c r="E21" s="85" t="s">
        <v>10</v>
      </c>
      <c r="F21" s="86" t="s">
        <v>8</v>
      </c>
    </row>
    <row r="22" spans="1:6" x14ac:dyDescent="0.25">
      <c r="A22" s="18" t="s">
        <v>25</v>
      </c>
      <c r="B22" s="87"/>
      <c r="C22" s="63">
        <v>0</v>
      </c>
      <c r="D22" s="70">
        <f t="shared" ref="D22:D24" si="1">$B22*C22</f>
        <v>0</v>
      </c>
      <c r="E22" s="63">
        <v>0</v>
      </c>
      <c r="F22" s="70">
        <f>$B22*E22</f>
        <v>0</v>
      </c>
    </row>
    <row r="23" spans="1:6" x14ac:dyDescent="0.25">
      <c r="A23" s="18"/>
      <c r="B23" s="87"/>
      <c r="C23" s="63">
        <v>0</v>
      </c>
      <c r="D23" s="70">
        <f t="shared" si="1"/>
        <v>0</v>
      </c>
      <c r="E23" s="63">
        <v>0</v>
      </c>
      <c r="F23" s="70">
        <f>$B23*E23</f>
        <v>0</v>
      </c>
    </row>
    <row r="24" spans="1:6" x14ac:dyDescent="0.25">
      <c r="A24" s="18"/>
      <c r="B24" s="87"/>
      <c r="C24" s="63">
        <v>0</v>
      </c>
      <c r="D24" s="70">
        <f t="shared" si="1"/>
        <v>0</v>
      </c>
      <c r="E24" s="63">
        <v>0</v>
      </c>
      <c r="F24" s="70">
        <f>$B24*E24</f>
        <v>0</v>
      </c>
    </row>
    <row r="25" spans="1:6" x14ac:dyDescent="0.25">
      <c r="A25" s="18"/>
      <c r="B25" s="87"/>
      <c r="C25" s="63">
        <v>0</v>
      </c>
      <c r="D25" s="70">
        <f>$B25*C25</f>
        <v>0</v>
      </c>
      <c r="E25" s="63">
        <v>0</v>
      </c>
      <c r="F25" s="70">
        <f>$B25*E25</f>
        <v>0</v>
      </c>
    </row>
    <row r="26" spans="1:6" x14ac:dyDescent="0.25">
      <c r="A26" s="18"/>
      <c r="B26" s="87"/>
      <c r="C26" s="63">
        <v>0</v>
      </c>
      <c r="D26" s="70">
        <f>$B26*C26</f>
        <v>0</v>
      </c>
      <c r="E26" s="63">
        <v>0</v>
      </c>
      <c r="F26" s="70">
        <f>$B26*E26</f>
        <v>0</v>
      </c>
    </row>
    <row r="27" spans="1:6" ht="5.25" customHeight="1" x14ac:dyDescent="0.25">
      <c r="B27" s="82"/>
    </row>
    <row r="28" spans="1:6" x14ac:dyDescent="0.25">
      <c r="B28" s="88" t="s">
        <v>11</v>
      </c>
      <c r="C28" s="70"/>
      <c r="D28" s="70">
        <f>SUM(D22:D26)</f>
        <v>0</v>
      </c>
      <c r="E28" s="70"/>
      <c r="F28" s="70">
        <f>SUM(F22:F26)</f>
        <v>0</v>
      </c>
    </row>
    <row r="30" spans="1:6" x14ac:dyDescent="0.25">
      <c r="C30" s="193" t="s">
        <v>37</v>
      </c>
      <c r="D30" s="194"/>
      <c r="E30" s="193" t="s">
        <v>38</v>
      </c>
      <c r="F30" s="194"/>
    </row>
    <row r="31" spans="1:6" ht="19.5" x14ac:dyDescent="0.35">
      <c r="A31" s="81" t="s">
        <v>46</v>
      </c>
      <c r="B31" s="82"/>
      <c r="C31" s="191"/>
      <c r="D31" s="192"/>
      <c r="E31" s="191"/>
      <c r="F31" s="192"/>
    </row>
    <row r="32" spans="1:6" x14ac:dyDescent="0.25">
      <c r="A32" s="83" t="s">
        <v>12</v>
      </c>
      <c r="B32" s="84" t="s">
        <v>13</v>
      </c>
      <c r="C32" s="85" t="s">
        <v>10</v>
      </c>
      <c r="D32" s="86" t="s">
        <v>8</v>
      </c>
      <c r="E32" s="85" t="s">
        <v>10</v>
      </c>
      <c r="F32" s="86" t="s">
        <v>8</v>
      </c>
    </row>
    <row r="33" spans="1:6" x14ac:dyDescent="0.25">
      <c r="A33" s="18" t="s">
        <v>25</v>
      </c>
      <c r="B33" s="87">
        <v>0</v>
      </c>
      <c r="C33" s="63">
        <v>0</v>
      </c>
      <c r="D33" s="70">
        <f t="shared" ref="D33:D35" si="2">$B33*C33</f>
        <v>0</v>
      </c>
      <c r="E33" s="63">
        <v>0</v>
      </c>
      <c r="F33" s="70">
        <f t="shared" ref="F33:F39" si="3">$B33*E33</f>
        <v>0</v>
      </c>
    </row>
    <row r="34" spans="1:6" x14ac:dyDescent="0.25">
      <c r="A34" s="18" t="s">
        <v>25</v>
      </c>
      <c r="B34" s="87">
        <v>0</v>
      </c>
      <c r="C34" s="63">
        <v>0</v>
      </c>
      <c r="D34" s="70">
        <f t="shared" si="2"/>
        <v>0</v>
      </c>
      <c r="E34" s="63">
        <v>0</v>
      </c>
      <c r="F34" s="70">
        <f t="shared" si="3"/>
        <v>0</v>
      </c>
    </row>
    <row r="35" spans="1:6" x14ac:dyDescent="0.25">
      <c r="A35" s="18" t="s">
        <v>25</v>
      </c>
      <c r="B35" s="87">
        <v>0</v>
      </c>
      <c r="C35" s="63">
        <v>0</v>
      </c>
      <c r="D35" s="70">
        <f t="shared" si="2"/>
        <v>0</v>
      </c>
      <c r="E35" s="63">
        <v>0</v>
      </c>
      <c r="F35" s="70">
        <f t="shared" si="3"/>
        <v>0</v>
      </c>
    </row>
    <row r="36" spans="1:6" x14ac:dyDescent="0.25">
      <c r="A36" s="18"/>
      <c r="B36" s="87">
        <v>0</v>
      </c>
      <c r="C36" s="63">
        <v>0</v>
      </c>
      <c r="D36" s="70">
        <f t="shared" ref="D36:D39" si="4">$B36*C36</f>
        <v>0</v>
      </c>
      <c r="E36" s="63">
        <v>0</v>
      </c>
      <c r="F36" s="70">
        <f t="shared" si="3"/>
        <v>0</v>
      </c>
    </row>
    <row r="37" spans="1:6" x14ac:dyDescent="0.25">
      <c r="A37" s="18"/>
      <c r="B37" s="87">
        <v>0</v>
      </c>
      <c r="C37" s="63">
        <v>0</v>
      </c>
      <c r="D37" s="70">
        <f t="shared" si="4"/>
        <v>0</v>
      </c>
      <c r="E37" s="63">
        <v>0</v>
      </c>
      <c r="F37" s="70">
        <f t="shared" si="3"/>
        <v>0</v>
      </c>
    </row>
    <row r="38" spans="1:6" x14ac:dyDescent="0.25">
      <c r="A38" s="18"/>
      <c r="B38" s="87">
        <v>0</v>
      </c>
      <c r="C38" s="63">
        <v>0</v>
      </c>
      <c r="D38" s="70">
        <f t="shared" si="4"/>
        <v>0</v>
      </c>
      <c r="E38" s="63">
        <v>0</v>
      </c>
      <c r="F38" s="70">
        <f t="shared" si="3"/>
        <v>0</v>
      </c>
    </row>
    <row r="39" spans="1:6" x14ac:dyDescent="0.25">
      <c r="A39" s="18"/>
      <c r="B39" s="87">
        <v>0</v>
      </c>
      <c r="C39" s="63">
        <v>0</v>
      </c>
      <c r="D39" s="70">
        <f t="shared" si="4"/>
        <v>0</v>
      </c>
      <c r="E39" s="63">
        <v>0</v>
      </c>
      <c r="F39" s="70">
        <f t="shared" si="3"/>
        <v>0</v>
      </c>
    </row>
    <row r="40" spans="1:6" ht="6.75" customHeight="1" x14ac:dyDescent="0.25">
      <c r="B40" s="82"/>
    </row>
    <row r="41" spans="1:6" x14ac:dyDescent="0.25">
      <c r="B41" s="88" t="s">
        <v>11</v>
      </c>
      <c r="C41" s="70"/>
      <c r="D41" s="70">
        <f>SUM(D33:D39)</f>
        <v>0</v>
      </c>
      <c r="E41" s="70"/>
      <c r="F41" s="70">
        <f>SUM(F33:F39)</f>
        <v>0</v>
      </c>
    </row>
    <row r="43" spans="1:6" ht="19.5" x14ac:dyDescent="0.35">
      <c r="A43" s="5" t="s">
        <v>90</v>
      </c>
    </row>
    <row r="44" spans="1:6" x14ac:dyDescent="0.25">
      <c r="A44" s="8" t="s">
        <v>25</v>
      </c>
    </row>
  </sheetData>
  <mergeCells count="12">
    <mergeCell ref="C9:D9"/>
    <mergeCell ref="E9:F9"/>
    <mergeCell ref="C10:D10"/>
    <mergeCell ref="E10:F10"/>
    <mergeCell ref="C19:D19"/>
    <mergeCell ref="E19:F19"/>
    <mergeCell ref="C20:D20"/>
    <mergeCell ref="E20:F20"/>
    <mergeCell ref="C30:D30"/>
    <mergeCell ref="E30:F30"/>
    <mergeCell ref="C31:D31"/>
    <mergeCell ref="E31:F31"/>
  </mergeCells>
  <phoneticPr fontId="0" type="noConversion"/>
  <pageMargins left="0.3" right="0.25" top="0.25" bottom="0.25" header="0.5" footer="0.5"/>
  <pageSetup fitToHeight="3"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42"/>
  <sheetViews>
    <sheetView workbookViewId="0">
      <selection activeCell="L5" sqref="L5"/>
    </sheetView>
  </sheetViews>
  <sheetFormatPr defaultRowHeight="13.5" x14ac:dyDescent="0.25"/>
  <cols>
    <col min="1" max="1" width="33.28515625" style="44" customWidth="1"/>
    <col min="2" max="2" width="12.28515625" style="44" customWidth="1"/>
    <col min="3" max="3" width="13" style="44" customWidth="1"/>
    <col min="4" max="4" width="15" style="44" customWidth="1"/>
    <col min="5" max="5" width="14.140625" style="44" customWidth="1"/>
    <col min="6" max="6" width="13.42578125" style="44" customWidth="1"/>
    <col min="7" max="7" width="13.5703125" style="44" customWidth="1"/>
    <col min="8" max="8" width="12.7109375" style="44" customWidth="1"/>
    <col min="9" max="9" width="13.28515625" style="44" customWidth="1"/>
    <col min="10" max="10" width="9.140625" style="44"/>
    <col min="11" max="11" width="11.140625" style="44" customWidth="1"/>
    <col min="12" max="12" width="9.140625" style="44"/>
    <col min="13" max="13" width="13.140625" style="44" customWidth="1"/>
    <col min="14" max="16384" width="9.140625" style="44"/>
  </cols>
  <sheetData>
    <row r="1" spans="1:13" ht="19.5" x14ac:dyDescent="0.35">
      <c r="A1" s="5" t="s">
        <v>59</v>
      </c>
      <c r="D1" s="15" t="str">
        <f>General!C14</f>
        <v xml:space="preserve"> </v>
      </c>
      <c r="M1" s="144" t="str">
        <f>Instructions!A3</f>
        <v>FY2013</v>
      </c>
    </row>
    <row r="3" spans="1:13" ht="16.5" x14ac:dyDescent="0.3">
      <c r="A3" s="181" t="s">
        <v>99</v>
      </c>
    </row>
    <row r="4" spans="1:13" x14ac:dyDescent="0.25">
      <c r="A4" s="44" t="s">
        <v>100</v>
      </c>
    </row>
    <row r="5" spans="1:13" x14ac:dyDescent="0.25">
      <c r="A5" s="44" t="s">
        <v>119</v>
      </c>
    </row>
    <row r="7" spans="1:13" x14ac:dyDescent="0.25">
      <c r="A7" s="38" t="s">
        <v>101</v>
      </c>
      <c r="B7" s="39"/>
      <c r="C7" s="40"/>
      <c r="D7" s="46"/>
      <c r="E7" s="46"/>
    </row>
    <row r="8" spans="1:13" x14ac:dyDescent="0.25">
      <c r="A8" s="156" t="s">
        <v>102</v>
      </c>
      <c r="B8" s="46"/>
      <c r="C8" s="47"/>
      <c r="D8" s="46"/>
      <c r="E8" s="46"/>
    </row>
    <row r="9" spans="1:13" x14ac:dyDescent="0.25">
      <c r="A9" s="45" t="s">
        <v>105</v>
      </c>
      <c r="B9" s="46"/>
      <c r="C9" s="47"/>
      <c r="D9" s="46"/>
      <c r="E9" s="46"/>
    </row>
    <row r="10" spans="1:13" x14ac:dyDescent="0.25">
      <c r="A10" s="75" t="s">
        <v>108</v>
      </c>
      <c r="B10" s="91"/>
      <c r="C10" s="76"/>
      <c r="D10" s="46"/>
      <c r="E10" s="46"/>
    </row>
    <row r="12" spans="1:13" ht="15.75" x14ac:dyDescent="0.3">
      <c r="A12" s="92"/>
      <c r="B12" s="93"/>
      <c r="C12" s="93"/>
      <c r="D12" s="93"/>
      <c r="E12" s="93"/>
      <c r="F12" s="93"/>
      <c r="G12" s="93"/>
      <c r="H12" s="93"/>
      <c r="I12" s="93"/>
      <c r="J12" s="199" t="s">
        <v>37</v>
      </c>
      <c r="K12" s="200"/>
      <c r="L12" s="199" t="s">
        <v>38</v>
      </c>
      <c r="M12" s="200"/>
    </row>
    <row r="13" spans="1:13" ht="16.5" x14ac:dyDescent="0.3">
      <c r="A13" s="94" t="s">
        <v>122</v>
      </c>
      <c r="B13" s="93"/>
      <c r="C13" s="92"/>
      <c r="D13" s="93"/>
      <c r="E13" s="93"/>
      <c r="F13" s="93"/>
      <c r="G13" s="93"/>
      <c r="H13" s="93"/>
      <c r="I13" s="93"/>
      <c r="J13" s="197" t="str">
        <f>General!B28</f>
        <v xml:space="preserve"> </v>
      </c>
      <c r="K13" s="198"/>
      <c r="L13" s="197">
        <f>General!B29</f>
        <v>0</v>
      </c>
      <c r="M13" s="198"/>
    </row>
    <row r="14" spans="1:13" ht="27" x14ac:dyDescent="0.25">
      <c r="A14" s="95" t="s">
        <v>91</v>
      </c>
      <c r="B14" s="96" t="s">
        <v>104</v>
      </c>
      <c r="C14" s="96" t="s">
        <v>93</v>
      </c>
      <c r="D14" s="96" t="s">
        <v>94</v>
      </c>
      <c r="E14" s="96" t="s">
        <v>95</v>
      </c>
      <c r="F14" s="96" t="s">
        <v>96</v>
      </c>
      <c r="G14" s="96" t="s">
        <v>97</v>
      </c>
      <c r="H14" s="97" t="s">
        <v>98</v>
      </c>
      <c r="I14" s="98" t="s">
        <v>103</v>
      </c>
      <c r="J14" s="99" t="s">
        <v>10</v>
      </c>
      <c r="K14" s="100" t="s">
        <v>8</v>
      </c>
      <c r="L14" s="99" t="s">
        <v>10</v>
      </c>
      <c r="M14" s="100" t="s">
        <v>8</v>
      </c>
    </row>
    <row r="15" spans="1:13" x14ac:dyDescent="0.25">
      <c r="A15" s="101"/>
      <c r="B15" s="102"/>
      <c r="C15" s="157"/>
      <c r="D15" s="158"/>
      <c r="E15" s="159"/>
      <c r="F15" s="159"/>
      <c r="G15" s="160">
        <v>0</v>
      </c>
      <c r="H15" s="161">
        <v>0</v>
      </c>
      <c r="I15" s="160">
        <f>IF(G15=0,0,G15/H15)</f>
        <v>0</v>
      </c>
      <c r="J15" s="105">
        <v>0</v>
      </c>
      <c r="K15" s="162">
        <f>I15*J15</f>
        <v>0</v>
      </c>
      <c r="L15" s="105">
        <v>0</v>
      </c>
      <c r="M15" s="162">
        <f>L15*I15</f>
        <v>0</v>
      </c>
    </row>
    <row r="16" spans="1:13" x14ac:dyDescent="0.25">
      <c r="A16" s="101"/>
      <c r="B16" s="102"/>
      <c r="C16" s="157"/>
      <c r="D16" s="158"/>
      <c r="E16" s="159"/>
      <c r="F16" s="159"/>
      <c r="G16" s="160">
        <v>0</v>
      </c>
      <c r="H16" s="161">
        <v>0</v>
      </c>
      <c r="I16" s="160">
        <f t="shared" ref="I16:I22" si="0">IF(G16=0,0,G16/H16)</f>
        <v>0</v>
      </c>
      <c r="J16" s="105">
        <v>0</v>
      </c>
      <c r="K16" s="162">
        <f t="shared" ref="K16:K22" si="1">I16*J16</f>
        <v>0</v>
      </c>
      <c r="L16" s="105">
        <v>0</v>
      </c>
      <c r="M16" s="162">
        <f t="shared" ref="M16:M22" si="2">L16*I16</f>
        <v>0</v>
      </c>
    </row>
    <row r="17" spans="1:13" x14ac:dyDescent="0.25">
      <c r="A17" s="101"/>
      <c r="B17" s="102"/>
      <c r="C17" s="157"/>
      <c r="D17" s="158"/>
      <c r="E17" s="159"/>
      <c r="F17" s="159"/>
      <c r="G17" s="160">
        <v>0</v>
      </c>
      <c r="H17" s="161">
        <v>0</v>
      </c>
      <c r="I17" s="160">
        <f t="shared" si="0"/>
        <v>0</v>
      </c>
      <c r="J17" s="105">
        <v>0</v>
      </c>
      <c r="K17" s="162">
        <f t="shared" si="1"/>
        <v>0</v>
      </c>
      <c r="L17" s="105">
        <v>0</v>
      </c>
      <c r="M17" s="162">
        <f t="shared" si="2"/>
        <v>0</v>
      </c>
    </row>
    <row r="18" spans="1:13" x14ac:dyDescent="0.25">
      <c r="A18" s="101"/>
      <c r="B18" s="102"/>
      <c r="C18" s="157"/>
      <c r="D18" s="158"/>
      <c r="E18" s="159"/>
      <c r="F18" s="159"/>
      <c r="G18" s="160">
        <v>0</v>
      </c>
      <c r="H18" s="161">
        <v>0</v>
      </c>
      <c r="I18" s="160">
        <f t="shared" si="0"/>
        <v>0</v>
      </c>
      <c r="J18" s="105">
        <v>0</v>
      </c>
      <c r="K18" s="162">
        <f t="shared" si="1"/>
        <v>0</v>
      </c>
      <c r="L18" s="105">
        <v>0</v>
      </c>
      <c r="M18" s="162">
        <f t="shared" si="2"/>
        <v>0</v>
      </c>
    </row>
    <row r="19" spans="1:13" x14ac:dyDescent="0.25">
      <c r="A19" s="101"/>
      <c r="B19" s="102"/>
      <c r="C19" s="157"/>
      <c r="D19" s="158"/>
      <c r="E19" s="159"/>
      <c r="F19" s="159"/>
      <c r="G19" s="160">
        <v>0</v>
      </c>
      <c r="H19" s="161">
        <v>0</v>
      </c>
      <c r="I19" s="160">
        <f t="shared" si="0"/>
        <v>0</v>
      </c>
      <c r="J19" s="105">
        <v>0</v>
      </c>
      <c r="K19" s="162">
        <f t="shared" si="1"/>
        <v>0</v>
      </c>
      <c r="L19" s="105">
        <v>0</v>
      </c>
      <c r="M19" s="162">
        <f t="shared" si="2"/>
        <v>0</v>
      </c>
    </row>
    <row r="20" spans="1:13" x14ac:dyDescent="0.25">
      <c r="A20" s="101"/>
      <c r="B20" s="102"/>
      <c r="C20" s="157"/>
      <c r="D20" s="158"/>
      <c r="E20" s="159"/>
      <c r="F20" s="159"/>
      <c r="G20" s="160">
        <v>0</v>
      </c>
      <c r="H20" s="161">
        <v>0</v>
      </c>
      <c r="I20" s="160">
        <f t="shared" si="0"/>
        <v>0</v>
      </c>
      <c r="J20" s="105">
        <v>0</v>
      </c>
      <c r="K20" s="162">
        <f t="shared" si="1"/>
        <v>0</v>
      </c>
      <c r="L20" s="105">
        <v>0</v>
      </c>
      <c r="M20" s="162">
        <f t="shared" si="2"/>
        <v>0</v>
      </c>
    </row>
    <row r="21" spans="1:13" x14ac:dyDescent="0.25">
      <c r="A21" s="101"/>
      <c r="B21" s="102"/>
      <c r="C21" s="157"/>
      <c r="D21" s="158"/>
      <c r="E21" s="159"/>
      <c r="F21" s="159"/>
      <c r="G21" s="160">
        <v>0</v>
      </c>
      <c r="H21" s="161">
        <v>0</v>
      </c>
      <c r="I21" s="160">
        <f t="shared" si="0"/>
        <v>0</v>
      </c>
      <c r="J21" s="105">
        <v>0</v>
      </c>
      <c r="K21" s="162">
        <f t="shared" si="1"/>
        <v>0</v>
      </c>
      <c r="L21" s="105">
        <v>0</v>
      </c>
      <c r="M21" s="162">
        <f t="shared" si="2"/>
        <v>0</v>
      </c>
    </row>
    <row r="22" spans="1:13" x14ac:dyDescent="0.25">
      <c r="A22" s="101"/>
      <c r="B22" s="102"/>
      <c r="C22" s="157"/>
      <c r="D22" s="158"/>
      <c r="E22" s="159"/>
      <c r="F22" s="159"/>
      <c r="G22" s="160"/>
      <c r="H22" s="161"/>
      <c r="I22" s="160">
        <f t="shared" si="0"/>
        <v>0</v>
      </c>
      <c r="J22" s="105">
        <v>0</v>
      </c>
      <c r="K22" s="162">
        <f t="shared" si="1"/>
        <v>0</v>
      </c>
      <c r="L22" s="105">
        <v>0</v>
      </c>
      <c r="M22" s="162">
        <f t="shared" si="2"/>
        <v>0</v>
      </c>
    </row>
    <row r="23" spans="1:13" x14ac:dyDescent="0.25">
      <c r="A23" s="106"/>
      <c r="B23" s="107"/>
      <c r="C23" s="107"/>
      <c r="D23" s="108"/>
      <c r="E23" s="108"/>
      <c r="F23" s="108"/>
      <c r="G23" s="109"/>
      <c r="H23" s="110"/>
      <c r="I23" s="109"/>
      <c r="J23" s="93"/>
      <c r="K23" s="111"/>
      <c r="L23" s="93"/>
      <c r="M23" s="93"/>
    </row>
    <row r="24" spans="1:13" x14ac:dyDescent="0.25">
      <c r="A24" s="112" t="s">
        <v>11</v>
      </c>
      <c r="B24" s="113"/>
      <c r="C24" s="113"/>
      <c r="D24" s="113"/>
      <c r="E24" s="113"/>
      <c r="F24" s="113"/>
      <c r="G24" s="114">
        <f>SUM(G15:G23)</f>
        <v>0</v>
      </c>
      <c r="H24" s="113"/>
      <c r="I24" s="114">
        <f>SUM(I15:I23)</f>
        <v>0</v>
      </c>
      <c r="J24" s="115"/>
      <c r="K24" s="115">
        <f>SUM(K15:K23)</f>
        <v>0</v>
      </c>
      <c r="L24" s="115"/>
      <c r="M24" s="115">
        <f>SUM(M15:M23)</f>
        <v>0</v>
      </c>
    </row>
    <row r="25" spans="1:13" x14ac:dyDescent="0.25">
      <c r="A25" s="93"/>
      <c r="B25" s="113"/>
      <c r="C25" s="113"/>
      <c r="D25" s="116"/>
      <c r="E25" s="116"/>
      <c r="F25" s="116"/>
      <c r="G25" s="117"/>
      <c r="H25" s="117"/>
      <c r="I25" s="113"/>
      <c r="J25" s="117"/>
      <c r="K25" s="93"/>
      <c r="L25" s="93"/>
      <c r="M25" s="93"/>
    </row>
    <row r="26" spans="1:13" x14ac:dyDescent="0.25">
      <c r="A26" s="93"/>
      <c r="B26" s="113"/>
      <c r="C26" s="113"/>
      <c r="D26" s="116"/>
      <c r="E26" s="116"/>
      <c r="F26" s="116"/>
      <c r="G26" s="117"/>
      <c r="H26" s="117"/>
      <c r="I26" s="113"/>
      <c r="J26" s="117"/>
      <c r="K26" s="93"/>
      <c r="L26" s="93"/>
      <c r="M26" s="93"/>
    </row>
    <row r="27" spans="1:13" x14ac:dyDescent="0.25">
      <c r="A27" s="93"/>
      <c r="B27" s="113"/>
      <c r="C27" s="113"/>
      <c r="D27" s="116"/>
      <c r="E27" s="116"/>
      <c r="F27" s="118" t="s">
        <v>107</v>
      </c>
      <c r="G27" s="119"/>
      <c r="H27" s="117"/>
      <c r="I27" s="113"/>
      <c r="J27" s="93"/>
      <c r="K27" s="93"/>
      <c r="L27" s="93"/>
      <c r="M27" s="93"/>
    </row>
    <row r="28" spans="1:13" x14ac:dyDescent="0.25">
      <c r="A28" s="93"/>
      <c r="B28" s="113"/>
      <c r="C28" s="113"/>
      <c r="D28" s="116"/>
      <c r="E28" s="116"/>
      <c r="F28" s="120" t="s">
        <v>37</v>
      </c>
      <c r="G28" s="121" t="s">
        <v>38</v>
      </c>
      <c r="I28" s="113"/>
    </row>
    <row r="29" spans="1:13" ht="16.5" x14ac:dyDescent="0.3">
      <c r="A29" s="94" t="s">
        <v>106</v>
      </c>
      <c r="B29" s="93"/>
      <c r="C29" s="93"/>
      <c r="D29" s="93"/>
      <c r="E29" s="93"/>
      <c r="F29" s="122" t="str">
        <f>General!B28</f>
        <v xml:space="preserve"> </v>
      </c>
      <c r="G29" s="123">
        <f>General!B29</f>
        <v>0</v>
      </c>
      <c r="I29" s="113"/>
    </row>
    <row r="30" spans="1:13" ht="27" x14ac:dyDescent="0.25">
      <c r="A30" s="95" t="s">
        <v>91</v>
      </c>
      <c r="B30" s="96" t="s">
        <v>92</v>
      </c>
      <c r="C30" s="96" t="s">
        <v>93</v>
      </c>
      <c r="D30" s="96" t="s">
        <v>94</v>
      </c>
      <c r="E30" s="96" t="s">
        <v>97</v>
      </c>
      <c r="F30" s="124" t="s">
        <v>10</v>
      </c>
      <c r="G30" s="124" t="s">
        <v>10</v>
      </c>
      <c r="I30" s="113"/>
    </row>
    <row r="31" spans="1:13" x14ac:dyDescent="0.25">
      <c r="A31" s="101"/>
      <c r="B31" s="102"/>
      <c r="C31" s="102"/>
      <c r="D31" s="103"/>
      <c r="E31" s="104">
        <v>0</v>
      </c>
      <c r="F31" s="105">
        <v>0</v>
      </c>
      <c r="G31" s="105">
        <v>0</v>
      </c>
      <c r="I31" s="113"/>
    </row>
    <row r="32" spans="1:13" x14ac:dyDescent="0.25">
      <c r="A32" s="101"/>
      <c r="B32" s="102"/>
      <c r="C32" s="102"/>
      <c r="D32" s="103"/>
      <c r="E32" s="104">
        <v>0</v>
      </c>
      <c r="F32" s="105">
        <v>0</v>
      </c>
      <c r="G32" s="105">
        <v>0</v>
      </c>
      <c r="I32" s="113"/>
    </row>
    <row r="33" spans="1:13" x14ac:dyDescent="0.25">
      <c r="A33" s="101"/>
      <c r="B33" s="102"/>
      <c r="C33" s="102"/>
      <c r="D33" s="103"/>
      <c r="E33" s="104">
        <v>0</v>
      </c>
      <c r="F33" s="105">
        <v>0</v>
      </c>
      <c r="G33" s="105">
        <v>0</v>
      </c>
      <c r="I33" s="113"/>
    </row>
    <row r="34" spans="1:13" x14ac:dyDescent="0.25">
      <c r="A34" s="101"/>
      <c r="B34" s="102"/>
      <c r="C34" s="102"/>
      <c r="D34" s="103"/>
      <c r="E34" s="104">
        <v>0</v>
      </c>
      <c r="F34" s="105">
        <v>0</v>
      </c>
      <c r="G34" s="105">
        <v>0</v>
      </c>
      <c r="I34" s="113"/>
    </row>
    <row r="35" spans="1:13" x14ac:dyDescent="0.25">
      <c r="A35" s="101"/>
      <c r="B35" s="102"/>
      <c r="C35" s="102"/>
      <c r="D35" s="103"/>
      <c r="E35" s="104">
        <v>0</v>
      </c>
      <c r="F35" s="105">
        <v>0</v>
      </c>
      <c r="G35" s="105">
        <v>0</v>
      </c>
      <c r="I35" s="113"/>
    </row>
    <row r="36" spans="1:13" x14ac:dyDescent="0.25">
      <c r="A36" s="101"/>
      <c r="B36" s="102"/>
      <c r="C36" s="102"/>
      <c r="D36" s="103"/>
      <c r="E36" s="104">
        <v>0</v>
      </c>
      <c r="F36" s="105">
        <v>0</v>
      </c>
      <c r="G36" s="105">
        <v>0</v>
      </c>
      <c r="I36" s="113"/>
    </row>
    <row r="37" spans="1:13" x14ac:dyDescent="0.25">
      <c r="A37" s="101"/>
      <c r="B37" s="102"/>
      <c r="C37" s="102"/>
      <c r="D37" s="103"/>
      <c r="E37" s="104">
        <v>0</v>
      </c>
      <c r="F37" s="105">
        <v>0</v>
      </c>
      <c r="G37" s="105">
        <v>0</v>
      </c>
      <c r="I37" s="113"/>
    </row>
    <row r="38" spans="1:13" x14ac:dyDescent="0.25">
      <c r="A38" s="101"/>
      <c r="B38" s="102"/>
      <c r="C38" s="102"/>
      <c r="D38" s="103"/>
      <c r="E38" s="104">
        <v>0</v>
      </c>
      <c r="F38" s="105">
        <v>0</v>
      </c>
      <c r="G38" s="105">
        <v>0</v>
      </c>
      <c r="I38" s="113"/>
    </row>
    <row r="39" spans="1:13" x14ac:dyDescent="0.25">
      <c r="A39" s="106"/>
      <c r="B39" s="107"/>
      <c r="C39" s="107"/>
      <c r="D39" s="108"/>
      <c r="E39" s="109"/>
      <c r="F39" s="93"/>
      <c r="G39" s="93"/>
      <c r="I39" s="113"/>
    </row>
    <row r="40" spans="1:13" x14ac:dyDescent="0.25">
      <c r="A40" s="93"/>
      <c r="B40" s="113"/>
      <c r="C40" s="93"/>
      <c r="D40" s="116"/>
      <c r="E40" s="117"/>
      <c r="F40" s="116"/>
      <c r="G40" s="113"/>
      <c r="H40" s="93"/>
      <c r="I40" s="113"/>
      <c r="J40" s="93"/>
      <c r="K40" s="93"/>
      <c r="L40" s="93"/>
      <c r="M40" s="93"/>
    </row>
    <row r="41" spans="1:13" x14ac:dyDescent="0.25">
      <c r="A41" s="93"/>
      <c r="B41" s="113"/>
      <c r="C41" s="125"/>
      <c r="D41" s="116"/>
      <c r="E41" s="116"/>
      <c r="F41" s="116"/>
      <c r="G41" s="117"/>
      <c r="H41" s="117"/>
      <c r="I41" s="113"/>
      <c r="J41" s="113"/>
      <c r="K41" s="93"/>
      <c r="L41" s="93"/>
      <c r="M41" s="93"/>
    </row>
    <row r="42" spans="1:13" x14ac:dyDescent="0.25">
      <c r="F42" s="116"/>
    </row>
  </sheetData>
  <mergeCells count="4">
    <mergeCell ref="J13:K13"/>
    <mergeCell ref="L13:M13"/>
    <mergeCell ref="J12:K12"/>
    <mergeCell ref="L12:M12"/>
  </mergeCells>
  <pageMargins left="0.3" right="0.25" top="0.25" bottom="0.25" header="0.5" footer="0.5"/>
  <pageSetup scale="74" fitToHeight="7"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heetViews>
  <sheetFormatPr defaultColWidth="28.42578125" defaultRowHeight="13.5" x14ac:dyDescent="0.25"/>
  <cols>
    <col min="1" max="1" width="58.7109375" style="44" customWidth="1"/>
    <col min="2" max="2" width="19.140625" style="44" customWidth="1"/>
    <col min="3" max="3" width="16.5703125" style="44" customWidth="1"/>
    <col min="4" max="4" width="10.5703125" style="44" bestFit="1" customWidth="1"/>
    <col min="5" max="16384" width="28.42578125" style="44"/>
  </cols>
  <sheetData>
    <row r="1" spans="1:4" s="143" customFormat="1" ht="19.5" x14ac:dyDescent="0.35">
      <c r="A1" s="90" t="s">
        <v>14</v>
      </c>
      <c r="C1" s="144" t="str">
        <f>Instructions!A3</f>
        <v>FY2013</v>
      </c>
    </row>
    <row r="2" spans="1:4" s="143" customFormat="1" ht="19.5" x14ac:dyDescent="0.35">
      <c r="A2" s="42" t="s">
        <v>114</v>
      </c>
      <c r="C2" s="145"/>
    </row>
    <row r="3" spans="1:4" s="143" customFormat="1" ht="19.5" x14ac:dyDescent="0.35">
      <c r="C3" s="145"/>
    </row>
    <row r="4" spans="1:4" s="143" customFormat="1" ht="19.5" x14ac:dyDescent="0.35">
      <c r="A4" s="89" t="s">
        <v>55</v>
      </c>
      <c r="C4" s="145"/>
    </row>
    <row r="5" spans="1:4" s="143" customFormat="1" ht="19.5" x14ac:dyDescent="0.35">
      <c r="A5" s="146" t="s">
        <v>56</v>
      </c>
      <c r="C5" s="145"/>
    </row>
    <row r="6" spans="1:4" s="143" customFormat="1" ht="19.5" x14ac:dyDescent="0.35">
      <c r="A6" s="147" t="s">
        <v>57</v>
      </c>
      <c r="C6" s="145"/>
    </row>
    <row r="7" spans="1:4" ht="15.75" x14ac:dyDescent="0.3">
      <c r="C7" s="148"/>
    </row>
    <row r="8" spans="1:4" ht="16.5" x14ac:dyDescent="0.3">
      <c r="A8" s="149" t="s">
        <v>15</v>
      </c>
      <c r="B8" s="150" t="s">
        <v>16</v>
      </c>
      <c r="C8" s="151" t="s">
        <v>8</v>
      </c>
      <c r="D8" s="152"/>
    </row>
    <row r="9" spans="1:4" x14ac:dyDescent="0.25">
      <c r="A9" s="31" t="s">
        <v>25</v>
      </c>
      <c r="B9" s="18" t="s">
        <v>25</v>
      </c>
      <c r="C9" s="186" t="s">
        <v>25</v>
      </c>
    </row>
    <row r="10" spans="1:4" x14ac:dyDescent="0.25">
      <c r="A10" s="31" t="s">
        <v>25</v>
      </c>
      <c r="B10" s="18" t="s">
        <v>25</v>
      </c>
      <c r="C10" s="186" t="s">
        <v>25</v>
      </c>
    </row>
    <row r="11" spans="1:4" x14ac:dyDescent="0.25">
      <c r="A11" s="31" t="s">
        <v>25</v>
      </c>
      <c r="B11" s="18" t="s">
        <v>25</v>
      </c>
      <c r="C11" s="186" t="s">
        <v>25</v>
      </c>
    </row>
    <row r="12" spans="1:4" x14ac:dyDescent="0.25">
      <c r="A12" s="31"/>
      <c r="B12" s="18"/>
      <c r="C12" s="18"/>
    </row>
    <row r="13" spans="1:4" x14ac:dyDescent="0.25">
      <c r="A13" s="31"/>
      <c r="B13" s="18"/>
      <c r="C13" s="18"/>
    </row>
    <row r="14" spans="1:4" x14ac:dyDescent="0.25">
      <c r="A14" s="31"/>
      <c r="B14" s="18"/>
      <c r="C14" s="18"/>
    </row>
    <row r="15" spans="1:4" x14ac:dyDescent="0.25">
      <c r="A15" s="31"/>
      <c r="B15" s="18"/>
      <c r="C15" s="18"/>
    </row>
    <row r="16" spans="1:4" x14ac:dyDescent="0.25">
      <c r="A16" s="31"/>
      <c r="B16" s="18"/>
      <c r="C16" s="18"/>
    </row>
    <row r="17" spans="1:3" x14ac:dyDescent="0.25">
      <c r="A17" s="31"/>
      <c r="B17" s="18"/>
      <c r="C17" s="18"/>
    </row>
    <row r="18" spans="1:3" x14ac:dyDescent="0.25">
      <c r="A18" s="31"/>
      <c r="B18" s="18"/>
      <c r="C18" s="18"/>
    </row>
    <row r="19" spans="1:3" x14ac:dyDescent="0.25">
      <c r="A19" s="31"/>
      <c r="B19" s="18"/>
      <c r="C19" s="18"/>
    </row>
    <row r="20" spans="1:3" x14ac:dyDescent="0.25">
      <c r="A20" s="31"/>
      <c r="B20" s="18"/>
      <c r="C20" s="18"/>
    </row>
    <row r="21" spans="1:3" x14ac:dyDescent="0.25">
      <c r="A21" s="31"/>
      <c r="B21" s="18"/>
      <c r="C21" s="18"/>
    </row>
    <row r="22" spans="1:3" x14ac:dyDescent="0.25">
      <c r="A22" s="31"/>
      <c r="B22" s="18"/>
      <c r="C22" s="18"/>
    </row>
    <row r="23" spans="1:3" x14ac:dyDescent="0.25">
      <c r="A23" s="31"/>
      <c r="B23" s="18"/>
      <c r="C23" s="18"/>
    </row>
    <row r="24" spans="1:3" x14ac:dyDescent="0.25">
      <c r="A24" s="31"/>
      <c r="B24" s="18"/>
      <c r="C24" s="18"/>
    </row>
    <row r="25" spans="1:3" x14ac:dyDescent="0.25">
      <c r="A25" s="31"/>
      <c r="B25" s="18"/>
      <c r="C25" s="18"/>
    </row>
    <row r="26" spans="1:3" x14ac:dyDescent="0.25">
      <c r="A26" s="31"/>
      <c r="B26" s="18"/>
      <c r="C26" s="18"/>
    </row>
    <row r="27" spans="1:3" x14ac:dyDescent="0.25">
      <c r="A27" s="31"/>
      <c r="B27" s="18"/>
      <c r="C27" s="18"/>
    </row>
    <row r="28" spans="1:3" x14ac:dyDescent="0.25">
      <c r="A28" s="31"/>
      <c r="B28" s="18"/>
      <c r="C28" s="18"/>
    </row>
    <row r="29" spans="1:3" x14ac:dyDescent="0.25">
      <c r="A29" s="31"/>
      <c r="B29" s="18"/>
      <c r="C29" s="18"/>
    </row>
    <row r="30" spans="1:3" x14ac:dyDescent="0.25">
      <c r="A30" s="31"/>
      <c r="B30" s="18"/>
      <c r="C30" s="18"/>
    </row>
    <row r="31" spans="1:3" x14ac:dyDescent="0.25">
      <c r="A31" s="31"/>
      <c r="B31" s="18"/>
      <c r="C31" s="18"/>
    </row>
    <row r="32" spans="1:3" x14ac:dyDescent="0.25">
      <c r="A32" s="18"/>
      <c r="B32" s="18"/>
      <c r="C32" s="18"/>
    </row>
    <row r="33" spans="3:3" x14ac:dyDescent="0.25">
      <c r="C33" s="154">
        <f>SUM(C9:C32)</f>
        <v>0</v>
      </c>
    </row>
  </sheetData>
  <phoneticPr fontId="0" type="noConversion"/>
  <pageMargins left="0.3" right="0.25" top="0.25" bottom="0.25" header="0.5" footer="0.5"/>
  <pageSetup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3"/>
  <sheetViews>
    <sheetView workbookViewId="0">
      <selection activeCell="A10" sqref="A10"/>
    </sheetView>
  </sheetViews>
  <sheetFormatPr defaultColWidth="28.42578125" defaultRowHeight="13.5" x14ac:dyDescent="0.25"/>
  <cols>
    <col min="1" max="1" width="58.7109375" style="44" customWidth="1"/>
    <col min="2" max="2" width="35" style="44" customWidth="1"/>
    <col min="3" max="3" width="16.5703125" style="44" customWidth="1"/>
    <col min="4" max="4" width="10.5703125" style="44" bestFit="1" customWidth="1"/>
    <col min="5" max="16384" width="28.42578125" style="44"/>
  </cols>
  <sheetData>
    <row r="1" spans="1:4" s="143" customFormat="1" ht="19.5" x14ac:dyDescent="0.35">
      <c r="A1" s="90" t="s">
        <v>129</v>
      </c>
      <c r="C1" s="144" t="str">
        <f>Instructions!A3</f>
        <v>FY2013</v>
      </c>
    </row>
    <row r="2" spans="1:4" s="143" customFormat="1" ht="19.5" x14ac:dyDescent="0.35">
      <c r="A2" s="42" t="s">
        <v>130</v>
      </c>
      <c r="C2" s="145"/>
    </row>
    <row r="3" spans="1:4" s="143" customFormat="1" ht="19.5" x14ac:dyDescent="0.35">
      <c r="C3" s="145"/>
    </row>
    <row r="4" spans="1:4" s="143" customFormat="1" ht="19.5" x14ac:dyDescent="0.35">
      <c r="A4" s="89" t="s">
        <v>55</v>
      </c>
      <c r="C4" s="145"/>
    </row>
    <row r="5" spans="1:4" s="143" customFormat="1" ht="19.5" x14ac:dyDescent="0.35">
      <c r="A5" s="146" t="s">
        <v>56</v>
      </c>
      <c r="C5" s="145"/>
    </row>
    <row r="6" spans="1:4" s="143" customFormat="1" ht="19.5" x14ac:dyDescent="0.35">
      <c r="A6" s="147" t="s">
        <v>57</v>
      </c>
      <c r="C6" s="145"/>
    </row>
    <row r="7" spans="1:4" ht="15.75" x14ac:dyDescent="0.3">
      <c r="C7" s="148"/>
    </row>
    <row r="8" spans="1:4" ht="16.5" x14ac:dyDescent="0.3">
      <c r="A8" s="149" t="s">
        <v>25</v>
      </c>
      <c r="B8" s="150" t="s">
        <v>25</v>
      </c>
      <c r="C8" s="151" t="s">
        <v>25</v>
      </c>
      <c r="D8" s="152"/>
    </row>
    <row r="9" spans="1:4" x14ac:dyDescent="0.25">
      <c r="A9" s="31" t="s">
        <v>25</v>
      </c>
      <c r="B9" s="18"/>
      <c r="C9" s="153"/>
    </row>
    <row r="10" spans="1:4" x14ac:dyDescent="0.25">
      <c r="A10" s="31"/>
      <c r="B10" s="18"/>
      <c r="C10" s="153"/>
    </row>
    <row r="11" spans="1:4" x14ac:dyDescent="0.25">
      <c r="A11" s="31"/>
      <c r="B11" s="18"/>
      <c r="C11" s="153"/>
    </row>
    <row r="12" spans="1:4" x14ac:dyDescent="0.25">
      <c r="A12" s="31"/>
      <c r="B12" s="18"/>
      <c r="C12" s="18"/>
    </row>
    <row r="13" spans="1:4" x14ac:dyDescent="0.25">
      <c r="A13" s="31"/>
      <c r="B13" s="18"/>
      <c r="C13" s="18"/>
    </row>
    <row r="14" spans="1:4" x14ac:dyDescent="0.25">
      <c r="A14" s="31"/>
      <c r="B14" s="18"/>
      <c r="C14" s="18"/>
    </row>
    <row r="15" spans="1:4" x14ac:dyDescent="0.25">
      <c r="A15" s="31"/>
      <c r="B15" s="18"/>
      <c r="C15" s="18"/>
    </row>
    <row r="16" spans="1:4" x14ac:dyDescent="0.25">
      <c r="A16" s="31"/>
      <c r="B16" s="18"/>
      <c r="C16" s="18"/>
    </row>
    <row r="17" spans="1:3" x14ac:dyDescent="0.25">
      <c r="A17" s="31"/>
      <c r="B17" s="18"/>
      <c r="C17" s="18"/>
    </row>
    <row r="18" spans="1:3" x14ac:dyDescent="0.25">
      <c r="A18" s="31"/>
      <c r="B18" s="18"/>
      <c r="C18" s="18"/>
    </row>
    <row r="19" spans="1:3" x14ac:dyDescent="0.25">
      <c r="A19" s="31"/>
      <c r="B19" s="18"/>
      <c r="C19" s="18"/>
    </row>
    <row r="20" spans="1:3" x14ac:dyDescent="0.25">
      <c r="A20" s="31"/>
      <c r="B20" s="18"/>
      <c r="C20" s="18"/>
    </row>
    <row r="21" spans="1:3" x14ac:dyDescent="0.25">
      <c r="A21" s="31"/>
      <c r="B21" s="18"/>
      <c r="C21" s="18"/>
    </row>
    <row r="22" spans="1:3" x14ac:dyDescent="0.25">
      <c r="A22" s="31"/>
      <c r="B22" s="18"/>
      <c r="C22" s="18"/>
    </row>
    <row r="23" spans="1:3" x14ac:dyDescent="0.25">
      <c r="A23" s="31"/>
      <c r="B23" s="18"/>
      <c r="C23" s="18"/>
    </row>
    <row r="24" spans="1:3" x14ac:dyDescent="0.25">
      <c r="A24" s="31"/>
      <c r="B24" s="18"/>
      <c r="C24" s="18"/>
    </row>
    <row r="25" spans="1:3" x14ac:dyDescent="0.25">
      <c r="A25" s="31"/>
      <c r="B25" s="18"/>
      <c r="C25" s="18"/>
    </row>
    <row r="26" spans="1:3" x14ac:dyDescent="0.25">
      <c r="A26" s="31"/>
      <c r="B26" s="18"/>
      <c r="C26" s="18"/>
    </row>
    <row r="27" spans="1:3" x14ac:dyDescent="0.25">
      <c r="A27" s="31"/>
      <c r="B27" s="18"/>
      <c r="C27" s="18"/>
    </row>
    <row r="28" spans="1:3" x14ac:dyDescent="0.25">
      <c r="A28" s="31"/>
      <c r="B28" s="18"/>
      <c r="C28" s="18"/>
    </row>
    <row r="29" spans="1:3" x14ac:dyDescent="0.25">
      <c r="A29" s="31"/>
      <c r="B29" s="18"/>
      <c r="C29" s="18"/>
    </row>
    <row r="30" spans="1:3" x14ac:dyDescent="0.25">
      <c r="A30" s="31"/>
      <c r="B30" s="18"/>
      <c r="C30" s="18"/>
    </row>
    <row r="31" spans="1:3" x14ac:dyDescent="0.25">
      <c r="A31" s="31"/>
      <c r="B31" s="18"/>
      <c r="C31" s="18"/>
    </row>
    <row r="32" spans="1:3" x14ac:dyDescent="0.25">
      <c r="A32" s="18"/>
      <c r="B32" s="18"/>
      <c r="C32" s="18"/>
    </row>
    <row r="33" spans="3:3" x14ac:dyDescent="0.25">
      <c r="C33" s="154">
        <f>SUM(C9:C32)</f>
        <v>0</v>
      </c>
    </row>
  </sheetData>
  <pageMargins left="0.45" right="0.2" top="0.5" bottom="0.25" header="0.3" footer="0.3"/>
  <pageSetup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34"/>
  <sheetViews>
    <sheetView workbookViewId="0">
      <selection activeCell="B21" sqref="B21"/>
    </sheetView>
  </sheetViews>
  <sheetFormatPr defaultRowHeight="13.5" x14ac:dyDescent="0.25"/>
  <cols>
    <col min="1" max="1" width="57.85546875" style="8" customWidth="1"/>
    <col min="2" max="2" width="17.5703125" style="8" customWidth="1"/>
    <col min="3" max="3" width="18.85546875" style="8" customWidth="1"/>
    <col min="4" max="4" width="9.140625" style="8"/>
    <col min="5" max="5" width="17.140625" style="8" customWidth="1"/>
    <col min="6" max="6" width="14.85546875" style="8" customWidth="1"/>
    <col min="7" max="16384" width="9.140625" style="8"/>
  </cols>
  <sheetData>
    <row r="1" spans="1:4" ht="19.5" x14ac:dyDescent="0.35">
      <c r="A1" s="201" t="str">
        <f>General!C13</f>
        <v xml:space="preserve"> </v>
      </c>
      <c r="B1" s="201"/>
      <c r="C1" s="201"/>
    </row>
    <row r="2" spans="1:4" s="6" customFormat="1" ht="19.5" x14ac:dyDescent="0.35">
      <c r="A2" s="182" t="str">
        <f>General!C14</f>
        <v xml:space="preserve"> </v>
      </c>
      <c r="B2" s="182"/>
      <c r="C2" s="182"/>
    </row>
    <row r="3" spans="1:4" s="6" customFormat="1" ht="19.5" x14ac:dyDescent="0.35">
      <c r="A3" s="202" t="str">
        <f>Instructions!A3</f>
        <v>FY2013</v>
      </c>
      <c r="B3" s="202"/>
      <c r="C3" s="202"/>
    </row>
    <row r="4" spans="1:4" s="6" customFormat="1" ht="19.5" x14ac:dyDescent="0.35">
      <c r="A4" s="201" t="s">
        <v>134</v>
      </c>
      <c r="B4" s="201"/>
      <c r="C4" s="201"/>
    </row>
    <row r="5" spans="1:4" s="6" customFormat="1" ht="19.5" x14ac:dyDescent="0.35">
      <c r="A5" s="163"/>
      <c r="B5" s="173"/>
      <c r="C5" s="173"/>
    </row>
    <row r="6" spans="1:4" ht="19.5" x14ac:dyDescent="0.35">
      <c r="A6" s="172"/>
      <c r="B6" s="174"/>
      <c r="C6" s="174"/>
      <c r="D6" s="173"/>
    </row>
    <row r="7" spans="1:4" ht="19.5" x14ac:dyDescent="0.35">
      <c r="A7" s="126"/>
      <c r="B7" s="166" t="str">
        <f>General!G27</f>
        <v>FY2013</v>
      </c>
      <c r="C7" s="170"/>
      <c r="D7" s="168"/>
    </row>
    <row r="8" spans="1:4" ht="15.75" x14ac:dyDescent="0.3">
      <c r="B8" s="127" t="s">
        <v>31</v>
      </c>
      <c r="C8" s="128" t="s">
        <v>32</v>
      </c>
    </row>
    <row r="9" spans="1:4" ht="15.75" x14ac:dyDescent="0.3">
      <c r="B9" s="129" t="str">
        <f>General!B28</f>
        <v xml:space="preserve"> </v>
      </c>
      <c r="C9" s="130">
        <f>General!B29</f>
        <v>0</v>
      </c>
    </row>
    <row r="10" spans="1:4" ht="15.75" x14ac:dyDescent="0.3">
      <c r="A10" s="20" t="s">
        <v>67</v>
      </c>
      <c r="B10" s="131"/>
      <c r="C10" s="131"/>
    </row>
    <row r="11" spans="1:4" ht="15.75" x14ac:dyDescent="0.3">
      <c r="A11" s="132" t="s">
        <v>52</v>
      </c>
      <c r="B11" s="133">
        <f>Salaries!I30</f>
        <v>0</v>
      </c>
      <c r="C11" s="133">
        <f>Salaries!K30</f>
        <v>0</v>
      </c>
    </row>
    <row r="12" spans="1:4" ht="15.75" x14ac:dyDescent="0.3">
      <c r="A12" s="132" t="s">
        <v>17</v>
      </c>
      <c r="B12" s="133">
        <f>'Operating Costs'!D17</f>
        <v>0</v>
      </c>
      <c r="C12" s="133">
        <f>'Operating Costs'!F17</f>
        <v>0</v>
      </c>
    </row>
    <row r="13" spans="1:4" ht="15.75" x14ac:dyDescent="0.3">
      <c r="A13" s="132" t="s">
        <v>53</v>
      </c>
      <c r="B13" s="133">
        <f>'Operating Costs'!D28</f>
        <v>0</v>
      </c>
      <c r="C13" s="133">
        <f>'Operating Costs'!F28</f>
        <v>0</v>
      </c>
    </row>
    <row r="14" spans="1:4" ht="15.75" x14ac:dyDescent="0.3">
      <c r="A14" s="132" t="s">
        <v>45</v>
      </c>
      <c r="B14" s="133">
        <f>'Operating Costs'!D41</f>
        <v>0</v>
      </c>
      <c r="C14" s="133">
        <f>'Operating Costs'!F41</f>
        <v>0</v>
      </c>
    </row>
    <row r="15" spans="1:4" ht="15.75" x14ac:dyDescent="0.3">
      <c r="A15" s="132" t="s">
        <v>109</v>
      </c>
      <c r="B15" s="133">
        <f>'Capital Equip'!K24</f>
        <v>0</v>
      </c>
      <c r="C15" s="133">
        <f>'Capital Equip'!M24</f>
        <v>0</v>
      </c>
    </row>
    <row r="16" spans="1:4" ht="8.25" customHeight="1" x14ac:dyDescent="0.3">
      <c r="B16" s="134"/>
      <c r="C16" s="134"/>
    </row>
    <row r="17" spans="1:6" ht="15.75" x14ac:dyDescent="0.3">
      <c r="A17" s="142" t="s">
        <v>115</v>
      </c>
      <c r="B17" s="133">
        <f>SUM(B11:B16)</f>
        <v>0</v>
      </c>
      <c r="C17" s="133">
        <f>SUM(C11:C16)</f>
        <v>0</v>
      </c>
    </row>
    <row r="18" spans="1:6" x14ac:dyDescent="0.25">
      <c r="A18" s="10"/>
      <c r="B18" s="10"/>
      <c r="C18" s="10"/>
    </row>
    <row r="19" spans="1:6" ht="15.75" x14ac:dyDescent="0.3">
      <c r="A19" s="135" t="s">
        <v>54</v>
      </c>
      <c r="B19" s="136">
        <f>IF(B17=0,0,B17/SUM(B17:C17))</f>
        <v>0</v>
      </c>
      <c r="C19" s="137">
        <f>IF(C17=0,0,C17/SUM(B17:C17))</f>
        <v>0</v>
      </c>
    </row>
    <row r="20" spans="1:6" x14ac:dyDescent="0.25">
      <c r="A20" s="10"/>
      <c r="B20" s="10"/>
      <c r="C20" s="10"/>
    </row>
    <row r="21" spans="1:6" ht="15.75" x14ac:dyDescent="0.3">
      <c r="A21" s="138" t="s">
        <v>18</v>
      </c>
      <c r="B21" s="133">
        <f>-1*General!$C$23</f>
        <v>0</v>
      </c>
      <c r="C21" s="133">
        <f>-1*General!$C$23</f>
        <v>0</v>
      </c>
    </row>
    <row r="22" spans="1:6" ht="15.75" x14ac:dyDescent="0.3">
      <c r="A22" s="7" t="s">
        <v>68</v>
      </c>
      <c r="B22" s="133">
        <f>B17/12*2</f>
        <v>0</v>
      </c>
      <c r="C22" s="133">
        <f>C17/12*2</f>
        <v>0</v>
      </c>
    </row>
    <row r="23" spans="1:6" x14ac:dyDescent="0.25">
      <c r="A23" s="10"/>
      <c r="B23" s="139"/>
      <c r="C23" s="139"/>
    </row>
    <row r="24" spans="1:6" ht="15.75" x14ac:dyDescent="0.3">
      <c r="A24" s="142" t="s">
        <v>116</v>
      </c>
      <c r="B24" s="133">
        <f>B17+SUM(B21:B22)</f>
        <v>0</v>
      </c>
      <c r="C24" s="133">
        <f>C17+SUM(C21:C22)</f>
        <v>0</v>
      </c>
    </row>
    <row r="25" spans="1:6" ht="15.75" x14ac:dyDescent="0.3">
      <c r="A25" s="176"/>
      <c r="B25" s="177"/>
      <c r="C25" s="177"/>
    </row>
    <row r="26" spans="1:6" ht="19.5" x14ac:dyDescent="0.35">
      <c r="A26" s="138" t="s">
        <v>19</v>
      </c>
      <c r="B26" s="133">
        <f>General!F28</f>
        <v>0</v>
      </c>
      <c r="C26" s="133">
        <f>General!F29</f>
        <v>0</v>
      </c>
      <c r="E26" s="166" t="s">
        <v>127</v>
      </c>
      <c r="F26" s="167"/>
    </row>
    <row r="27" spans="1:6" ht="19.5" x14ac:dyDescent="0.35">
      <c r="A27" s="135" t="s">
        <v>20</v>
      </c>
      <c r="B27" s="133">
        <f>General!E28</f>
        <v>0</v>
      </c>
      <c r="C27" s="133">
        <f>General!E29</f>
        <v>0</v>
      </c>
      <c r="E27" s="166" t="str">
        <f>General!D27</f>
        <v>FY2012</v>
      </c>
      <c r="F27" s="167"/>
    </row>
    <row r="28" spans="1:6" ht="15.75" x14ac:dyDescent="0.3">
      <c r="B28" s="140"/>
      <c r="C28" s="140"/>
      <c r="E28" s="127" t="s">
        <v>31</v>
      </c>
      <c r="F28" s="128" t="s">
        <v>32</v>
      </c>
    </row>
    <row r="29" spans="1:6" ht="15.75" x14ac:dyDescent="0.3">
      <c r="A29" s="142" t="s">
        <v>117</v>
      </c>
      <c r="B29" s="179">
        <f>IF(B26&lt;&gt;0,B24/B26,0)</f>
        <v>0</v>
      </c>
      <c r="C29" s="179">
        <f>IF(C26&lt;&gt;0,C24/C26,0)</f>
        <v>0</v>
      </c>
      <c r="E29" s="129">
        <f>General!B24</f>
        <v>0</v>
      </c>
      <c r="F29" s="130">
        <f>General!B25</f>
        <v>0</v>
      </c>
    </row>
    <row r="30" spans="1:6" ht="16.5" x14ac:dyDescent="0.3">
      <c r="E30" s="171">
        <f>General!D28</f>
        <v>0</v>
      </c>
      <c r="F30" s="171">
        <f>General!D29</f>
        <v>0</v>
      </c>
    </row>
    <row r="31" spans="1:6" ht="16.5" x14ac:dyDescent="0.3">
      <c r="A31" s="141" t="s">
        <v>120</v>
      </c>
      <c r="B31" s="180"/>
      <c r="C31" s="180"/>
      <c r="E31" s="178"/>
      <c r="F31" s="178"/>
    </row>
    <row r="32" spans="1:6" ht="16.5" x14ac:dyDescent="0.3">
      <c r="A32" s="141" t="s">
        <v>121</v>
      </c>
      <c r="B32" s="179">
        <f>IF(B26=0,0,(B24-B31)/B26)</f>
        <v>0</v>
      </c>
      <c r="C32" s="179">
        <f>IF(C26=0,0,(C24-C31)/C26)</f>
        <v>0</v>
      </c>
      <c r="E32" s="178"/>
      <c r="F32" s="178"/>
    </row>
    <row r="33" spans="1:6" ht="16.5" x14ac:dyDescent="0.3">
      <c r="E33" s="178"/>
      <c r="F33" s="178"/>
    </row>
    <row r="34" spans="1:6" ht="15.75" x14ac:dyDescent="0.3">
      <c r="A34" s="141" t="s">
        <v>118</v>
      </c>
      <c r="B34" s="180">
        <v>0</v>
      </c>
      <c r="C34" s="180">
        <v>0</v>
      </c>
    </row>
  </sheetData>
  <mergeCells count="3">
    <mergeCell ref="A1:C1"/>
    <mergeCell ref="A3:C3"/>
    <mergeCell ref="A4:C4"/>
  </mergeCells>
  <phoneticPr fontId="0" type="noConversion"/>
  <pageMargins left="0.3" right="0.25" top="0.25" bottom="0.25" header="0.5" footer="0.5"/>
  <pageSetup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Instructions</vt:lpstr>
      <vt:lpstr>General</vt:lpstr>
      <vt:lpstr>Salaries</vt:lpstr>
      <vt:lpstr>Operating Costs</vt:lpstr>
      <vt:lpstr>Capital Equip</vt:lpstr>
      <vt:lpstr>Add'l Costs</vt:lpstr>
      <vt:lpstr>Notes</vt:lpstr>
      <vt:lpstr>Summary</vt:lpstr>
      <vt:lpstr>'Add''l Costs'!Print_Area</vt:lpstr>
      <vt:lpstr>'Capital Equip'!Print_Area</vt:lpstr>
      <vt:lpstr>General!Print_Area</vt:lpstr>
      <vt:lpstr>Instructions!Print_Area</vt:lpstr>
      <vt:lpstr>Notes!Print_Area</vt:lpstr>
      <vt:lpstr>'Operating Costs'!Print_Area</vt:lpstr>
      <vt:lpstr>Salaries!Print_Area</vt:lpstr>
      <vt:lpstr>Summary!Print_Area</vt:lpstr>
      <vt:lpstr>'Operating Costs'!Print_Titles</vt:lpstr>
    </vt:vector>
  </TitlesOfParts>
  <Company>University of Idaho</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Steven Cofield</dc:creator>
  <cp:lastModifiedBy>Husebye, Melissa</cp:lastModifiedBy>
  <cp:lastPrinted>2011-06-01T18:35:05Z</cp:lastPrinted>
  <dcterms:created xsi:type="dcterms:W3CDTF">2005-06-22T15:39:48Z</dcterms:created>
  <dcterms:modified xsi:type="dcterms:W3CDTF">2012-01-13T21:54:51Z</dcterms:modified>
</cp:coreProperties>
</file>