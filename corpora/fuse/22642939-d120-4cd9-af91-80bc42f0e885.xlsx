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externalReferences>
    <externalReference r:id="rId2"/>
  </externalReferences>
  <calcPr calcId="145621" calcOnSave="0"/>
</workbook>
</file>

<file path=xl/sharedStrings.xml><?xml version="1.0" encoding="utf-8"?>
<sst xmlns="http://schemas.openxmlformats.org/spreadsheetml/2006/main" count="88" uniqueCount="88">
  <si>
    <t/>
  </si>
  <si>
    <t>ID:</t>
  </si>
  <si>
    <t>100040584</t>
  </si>
  <si>
    <t>Notes/Supplemental Information:</t>
  </si>
  <si>
    <t>REIT Name:</t>
  </si>
  <si>
    <t>Sabra Health Care REIT,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</si>
  <si>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</si>
  <si>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</si>
  <si>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</si>
  <si>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</si>
  <si>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</si>
  <si>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</si>
  <si>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</si>
  <si>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</si>
  <si>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</si>
  <si>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</si>
  <si>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</si>
  <si>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</si>
  <si>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</si>
  <si>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</si>
  <si>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</si>
  <si>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</si>
  <si>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</si>
  <si>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</si>
  <si>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</si>
  <si>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</si>
  <si>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</si>
  <si>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</si>
  <si>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</si>
  <si>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</si>
  <si>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</si>
  <si>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</si>
  <si>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</si>
  <si>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</si>
  <si>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</si>
  <si>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</si>
  <si>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</si>
  <si>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</si>
  <si>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</si>
  <si>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</si>
  <si>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</si>
  <si>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</si>
  <si>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</si>
  <si>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</si>
  <si>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</si>
  <si>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</si>
  <si>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</si>
  <si>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</si>
  <si>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</si>
  <si>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</si>
  <si>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</si>
  <si>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</si>
  <si>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</si>
  <si>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</si>
  <si>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</si>
  <si>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</si>
  <si>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</si>
  <si>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</si>
  <si>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</si>
  <si>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</si>
  <si>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</si>
  <si>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</si>
  <si>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</si>
  <si>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</si>
  <si>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</si>
  <si>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</si>
  <si>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</si>
  <si>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</si>
  <si>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</si>
  <si>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</si>
  <si>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</si>
  <si>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</si>
  <si>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</si>
  <si>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</si>
  <si>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</si>
  <si>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</si>
  <si>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</si>
  <si>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</si>
  <si>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</si>
  <si>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</si>
  <si>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</si>
  <si>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</si>
  <si>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</si>
  <si>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</si>
  <si>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</si>
  <si>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78573L106</t>
  </si>
  <si>
    <t>SBRA</t>
  </si>
  <si>
    <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</si>
</sst>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externalLink" Target="externalLinks/externalLink1.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Tax\2012\Sabra%202012%20E&amp;P%201099-DI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_##PARKEDGET##"/>
      <sheetName val="EV_##PARKEDCOM##"/>
      <sheetName val="EV_##PARKEDPROPS##"/>
      <sheetName val="2012"/>
      <sheetName val="Depreciation"/>
      <sheetName val="REIT I (Using Accrual)"/>
      <sheetName val="REIT I (9.30.09)"/>
      <sheetName val="REIT I (9.30.09 Using Accrual)"/>
      <sheetName val="NIP (Accrual)"/>
      <sheetName val="NIP (9.30.09)"/>
      <sheetName val="NIP (9.30.09 Using Accrual)"/>
      <sheetName val="REIT - Summary Deprec"/>
      <sheetName val="Dividends"/>
      <sheetName val="Mayfair"/>
    </sheetNames>
    <sheetDataSet>
      <sheetData sheetId="0"/>
      <sheetData sheetId="1"/>
      <sheetData sheetId="2"/>
      <sheetData sheetId="3">
        <row r="57">
          <cell r="H57">
            <v>0.60535000000000005</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topLeftCell="M1" workbookViewId="0">
      <pane ySplit="18" topLeftCell="A20" activePane="bottomLeft" state="frozen"/>
      <selection pane="bottomLeft" activeCell="Z23" sqref="Z23"/>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9" customFormat="1">
      <c r="B1" s="88"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20"/>
      <c r="O9" s="20"/>
      <c r="P9" s="20"/>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t="s">
        <v>87</v>
      </c>
      <c r="E20" s="62"/>
      <c r="F20" s="62"/>
      <c r="G20" s="63">
        <v>40983</v>
      </c>
      <c r="H20" s="63">
        <v>40981</v>
      </c>
      <c r="I20" s="63">
        <v>40998</v>
      </c>
      <c r="J20" s="64">
        <v>0.33</v>
      </c>
      <c r="K20" s="54"/>
      <c r="L20" s="54"/>
      <c r="M20" s="54">
        <v>0.33</v>
      </c>
      <c r="N20" s="66">
        <f>M20*'[1]2012'!$H$57</f>
      </c>
      <c r="O20" s="65">
        <v>0</v>
      </c>
      <c r="P20" s="56"/>
      <c r="Q20" s="66">
        <f>+N20+O20</f>
      </c>
      <c r="R20" s="64"/>
      <c r="S20" s="56"/>
      <c r="T20" s="56"/>
      <c r="U20" s="64"/>
      <c r="V20" s="64">
        <v>0</v>
      </c>
      <c r="W20" s="64">
        <v>0</v>
      </c>
      <c r="X20" s="56"/>
      <c r="Y20" s="64">
        <v>0</v>
      </c>
      <c r="Z20" s="64">
        <f>M20-Q20</f>
      </c>
      <c r="AA20" s="56"/>
      <c r="AB20" s="64">
        <v>0</v>
      </c>
      <c r="AC20" s="64">
        <v>0</v>
      </c>
      <c r="AD20" s="56"/>
      <c r="AE20" s="56"/>
      <c r="AF20" s="67"/>
      <c r="AG20" s="38"/>
    </row>
    <row r="21">
      <c r="A21" s="60" t="s">
        <v>84</v>
      </c>
      <c r="B21" s="61" t="s">
        <v>85</v>
      </c>
      <c r="C21" s="61" t="s">
        <v>86</v>
      </c>
      <c r="D21" s="62" t="s">
        <v>87</v>
      </c>
      <c r="E21" s="62"/>
      <c r="F21" s="62"/>
      <c r="G21" s="63">
        <v>41044</v>
      </c>
      <c r="H21" s="63">
        <v>41040</v>
      </c>
      <c r="I21" s="63">
        <v>41060</v>
      </c>
      <c r="J21" s="64">
        <v>0.33</v>
      </c>
      <c r="K21" s="54"/>
      <c r="L21" s="54"/>
      <c r="M21" s="54">
        <v>0.33</v>
      </c>
      <c r="N21" s="66">
        <f>M21*'[1]2012'!$H$57</f>
      </c>
      <c r="O21" s="65">
        <v>0</v>
      </c>
      <c r="P21" s="56"/>
      <c r="Q21" s="66">
        <f ref="Q21:Q23" t="shared" si="1">+N21+O21</f>
      </c>
      <c r="R21" s="64"/>
      <c r="S21" s="56"/>
      <c r="T21" s="56"/>
      <c r="U21" s="64"/>
      <c r="V21" s="64">
        <v>0</v>
      </c>
      <c r="W21" s="64">
        <v>0</v>
      </c>
      <c r="X21" s="56"/>
      <c r="Y21" s="64">
        <v>0</v>
      </c>
      <c r="Z21" s="64">
        <f>M21-Q21</f>
      </c>
      <c r="AA21" s="56"/>
      <c r="AB21" s="64">
        <v>0</v>
      </c>
      <c r="AC21" s="64">
        <v>0</v>
      </c>
      <c r="AD21" s="56"/>
      <c r="AE21" s="56"/>
      <c r="AF21" s="67"/>
      <c r="AG21" s="38"/>
    </row>
    <row r="22">
      <c r="A22" s="60" t="s">
        <v>84</v>
      </c>
      <c r="B22" s="61" t="s">
        <v>85</v>
      </c>
      <c r="C22" s="61" t="s">
        <v>86</v>
      </c>
      <c r="D22" s="62" t="s">
        <v>87</v>
      </c>
      <c r="E22" s="62"/>
      <c r="F22" s="62"/>
      <c r="G22" s="63">
        <v>41136</v>
      </c>
      <c r="H22" s="63">
        <v>41134</v>
      </c>
      <c r="I22" s="63">
        <v>41152</v>
      </c>
      <c r="J22" s="64">
        <v>0.33</v>
      </c>
      <c r="K22" s="54"/>
      <c r="L22" s="54"/>
      <c r="M22" s="54">
        <v>0.33</v>
      </c>
      <c r="N22" s="66">
        <f>M22*'[1]2012'!$H$57</f>
      </c>
      <c r="O22" s="68">
        <v>0</v>
      </c>
      <c r="P22" s="69"/>
      <c r="Q22" s="66">
        <f t="shared" si="1"/>
      </c>
      <c r="R22" s="54"/>
      <c r="S22" s="69"/>
      <c r="T22" s="69"/>
      <c r="U22" s="54"/>
      <c r="V22" s="54">
        <v>0</v>
      </c>
      <c r="W22" s="54">
        <v>0</v>
      </c>
      <c r="X22" s="69"/>
      <c r="Y22" s="54">
        <v>0</v>
      </c>
      <c r="Z22" s="64">
        <f>M22-Q22</f>
      </c>
      <c r="AA22" s="69"/>
      <c r="AB22" s="54">
        <v>0</v>
      </c>
      <c r="AC22" s="54">
        <v>0</v>
      </c>
      <c r="AD22" s="69"/>
      <c r="AE22" s="69"/>
      <c r="AF22" s="71"/>
      <c r="AG22" s="38"/>
    </row>
    <row r="23">
      <c r="A23" s="60" t="s">
        <v>84</v>
      </c>
      <c r="B23" s="61" t="s">
        <v>85</v>
      </c>
      <c r="C23" s="61" t="s">
        <v>86</v>
      </c>
      <c r="D23" s="74" t="s">
        <v>87</v>
      </c>
      <c r="E23" s="74"/>
      <c r="F23" s="74"/>
      <c r="G23" s="75">
        <v>41228</v>
      </c>
      <c r="H23" s="75">
        <v>41226</v>
      </c>
      <c r="I23" s="75">
        <v>41243</v>
      </c>
      <c r="J23" s="54">
        <v>0.33</v>
      </c>
      <c r="K23" s="54"/>
      <c r="L23" s="54"/>
      <c r="M23" s="54">
        <v>0.33</v>
      </c>
      <c r="N23" s="70">
        <f>M23*'[1]2012'!$H$57</f>
      </c>
      <c r="O23" s="68">
        <v>0</v>
      </c>
      <c r="P23" s="69"/>
      <c r="Q23" s="66">
        <f t="shared" si="1"/>
      </c>
      <c r="R23" s="54"/>
      <c r="S23" s="69"/>
      <c r="T23" s="69"/>
      <c r="U23" s="54"/>
      <c r="V23" s="54">
        <v>0</v>
      </c>
      <c r="W23" s="54">
        <v>0</v>
      </c>
      <c r="X23" s="69"/>
      <c r="Y23" s="54">
        <v>0</v>
      </c>
      <c r="Z23" s="54">
        <f>M23-Q23</f>
      </c>
      <c r="AA23" s="69"/>
      <c r="AB23" s="54">
        <v>0</v>
      </c>
      <c r="AC23" s="54">
        <v>0</v>
      </c>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Michael Costa</cp:lastModifiedBy>
  <dcterms:created xsi:type="dcterms:W3CDTF">2012-11-27T14:14:45Z</dcterms:created>
  <dcterms:modified xsi:type="dcterms:W3CDTF">2013-01-18T16:37:42Z</dcterms:modified>
</cp:coreProperties>
</file>