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810" windowWidth="11250" windowHeight="1425" activeTab="3"/>
  </bookViews>
  <sheets>
    <sheet name="Stretch  " sheetId="6" r:id="rId1"/>
    <sheet name="Measurements" sheetId="5" r:id="rId2"/>
    <sheet name="Stretch Calcs " sheetId="1" r:id="rId3"/>
    <sheet name="Times" sheetId="4" r:id="rId4"/>
  </sheets>
  <definedNames>
    <definedName name="_xlnm._FilterDatabase" localSheetId="0" hidden="1">'Stretch  '!#REF!</definedName>
    <definedName name="_xlnm._FilterDatabase" localSheetId="2" hidden="1">'Stretch Calcs '!$K$1:$U$16</definedName>
  </definedNames>
  <calcPr calcId="145621"/>
</workbook>
</file>

<file path=xl/calcChain.xml><?xml version="1.0" encoding="utf-8"?>
<calcChain xmlns="http://schemas.openxmlformats.org/spreadsheetml/2006/main">
  <c r="Q2" i="6" l="1"/>
  <c r="Q5" i="6"/>
  <c r="Q8" i="6"/>
  <c r="Q11" i="6"/>
  <c r="Q14" i="6"/>
  <c r="P14" i="6"/>
  <c r="P11" i="6"/>
  <c r="P8" i="6"/>
  <c r="P5" i="6"/>
  <c r="P2" i="6"/>
  <c r="O14" i="6"/>
  <c r="O11" i="6"/>
  <c r="O8" i="6"/>
  <c r="O5" i="6"/>
  <c r="O2" i="6"/>
  <c r="T20" i="5" l="1"/>
  <c r="V20" i="5"/>
  <c r="X20" i="5"/>
  <c r="T21" i="5"/>
  <c r="V21" i="5"/>
  <c r="X21" i="5"/>
  <c r="T22" i="5"/>
  <c r="V22" i="5"/>
  <c r="X22" i="5"/>
  <c r="T23" i="5"/>
  <c r="V23" i="5"/>
  <c r="X23" i="5"/>
  <c r="T24" i="5"/>
  <c r="V24" i="5"/>
  <c r="X24" i="5"/>
  <c r="T25" i="5"/>
  <c r="V25" i="5"/>
  <c r="X25" i="5"/>
  <c r="T26" i="5"/>
  <c r="V26" i="5"/>
  <c r="X26" i="5"/>
  <c r="T27" i="5"/>
  <c r="V27" i="5"/>
  <c r="X27" i="5"/>
  <c r="T28" i="5"/>
  <c r="V28" i="5"/>
  <c r="X28" i="5"/>
  <c r="T29" i="5"/>
  <c r="V29" i="5"/>
  <c r="X29" i="5"/>
  <c r="T30" i="5"/>
  <c r="V30" i="5"/>
  <c r="X30" i="5"/>
  <c r="T31" i="5"/>
  <c r="V31" i="5"/>
  <c r="X31" i="5"/>
  <c r="T32" i="5"/>
  <c r="V32" i="5"/>
  <c r="X32" i="5"/>
  <c r="T33" i="5"/>
  <c r="V33" i="5"/>
  <c r="X33" i="5"/>
  <c r="V19" i="5"/>
  <c r="X19" i="5"/>
  <c r="T19" i="5"/>
  <c r="H17" i="6" l="1"/>
  <c r="F17" i="6"/>
  <c r="D17" i="6"/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  <c r="D17" i="1" l="1"/>
  <c r="F17" i="1"/>
  <c r="H17" i="1"/>
  <c r="Q16" i="5" l="1"/>
  <c r="Q13" i="5"/>
  <c r="Q10" i="5"/>
  <c r="Q7" i="5"/>
  <c r="Q4" i="5"/>
  <c r="O16" i="5"/>
  <c r="O13" i="5"/>
  <c r="O10" i="5"/>
  <c r="O7" i="5"/>
  <c r="O4" i="5"/>
  <c r="M13" i="5"/>
  <c r="M10" i="5"/>
  <c r="M7" i="5"/>
  <c r="M4" i="5"/>
  <c r="K13" i="5"/>
  <c r="K10" i="5"/>
  <c r="K7" i="5"/>
  <c r="K4" i="5"/>
  <c r="Y4" i="5" l="1"/>
  <c r="Y7" i="5"/>
  <c r="Y10" i="5"/>
  <c r="Y13" i="5"/>
  <c r="Y16" i="5"/>
  <c r="W16" i="5"/>
  <c r="W13" i="5"/>
  <c r="W10" i="5"/>
  <c r="W7" i="5"/>
  <c r="W4" i="5"/>
  <c r="U16" i="5"/>
  <c r="U13" i="5"/>
  <c r="U10" i="5"/>
  <c r="U7" i="5"/>
  <c r="U4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2" i="5"/>
  <c r="G13" i="5" l="1"/>
  <c r="G4" i="5"/>
  <c r="G10" i="5"/>
  <c r="G16" i="5"/>
  <c r="G7" i="5"/>
  <c r="AE3" i="1"/>
  <c r="AJ3" i="1"/>
  <c r="AK3" i="1"/>
  <c r="AM3" i="1"/>
  <c r="AN3" i="1"/>
  <c r="Y3" i="1" s="1"/>
  <c r="AE4" i="1"/>
  <c r="AJ4" i="1"/>
  <c r="AK4" i="1" s="1"/>
  <c r="AM4" i="1"/>
  <c r="AE5" i="1"/>
  <c r="AJ5" i="1"/>
  <c r="AK5" i="1" s="1"/>
  <c r="AM5" i="1"/>
  <c r="AE6" i="1"/>
  <c r="AJ6" i="1"/>
  <c r="AK6" i="1" s="1"/>
  <c r="AM6" i="1"/>
  <c r="AE7" i="1"/>
  <c r="AJ7" i="1"/>
  <c r="AK7" i="1" s="1"/>
  <c r="AN7" i="1" s="1"/>
  <c r="AM7" i="1"/>
  <c r="AE8" i="1"/>
  <c r="AJ8" i="1"/>
  <c r="AK8" i="1" s="1"/>
  <c r="AN8" i="1" s="1"/>
  <c r="AM8" i="1"/>
  <c r="AE9" i="1"/>
  <c r="AJ9" i="1"/>
  <c r="AK9" i="1" s="1"/>
  <c r="AM9" i="1"/>
  <c r="AE10" i="1"/>
  <c r="AJ10" i="1"/>
  <c r="AK10" i="1" s="1"/>
  <c r="AM10" i="1"/>
  <c r="AE11" i="1"/>
  <c r="AJ11" i="1"/>
  <c r="AK11" i="1" s="1"/>
  <c r="AM11" i="1"/>
  <c r="AE12" i="1"/>
  <c r="AJ12" i="1"/>
  <c r="AK12" i="1" s="1"/>
  <c r="AN12" i="1" s="1"/>
  <c r="AM12" i="1"/>
  <c r="AE13" i="1"/>
  <c r="AJ13" i="1"/>
  <c r="AK13" i="1" s="1"/>
  <c r="AM13" i="1"/>
  <c r="AE14" i="1"/>
  <c r="AJ14" i="1"/>
  <c r="AK14" i="1" s="1"/>
  <c r="AM14" i="1"/>
  <c r="AE15" i="1"/>
  <c r="AJ15" i="1"/>
  <c r="AK15" i="1" s="1"/>
  <c r="AN15" i="1" s="1"/>
  <c r="AM15" i="1"/>
  <c r="AE16" i="1"/>
  <c r="AJ16" i="1"/>
  <c r="AK16" i="1" s="1"/>
  <c r="AN16" i="1" s="1"/>
  <c r="Y16" i="1" s="1"/>
  <c r="AL16" i="1" s="1"/>
  <c r="AM16" i="1"/>
  <c r="AM2" i="1"/>
  <c r="AJ2" i="1"/>
  <c r="AK2" i="1" s="1"/>
  <c r="AE2" i="1"/>
  <c r="Y7" i="1" l="1"/>
  <c r="AL7" i="1" s="1"/>
  <c r="Y12" i="1"/>
  <c r="AL12" i="1" s="1"/>
  <c r="AN11" i="1"/>
  <c r="Y11" i="1" s="1"/>
  <c r="Y15" i="1"/>
  <c r="Y8" i="1"/>
  <c r="AL3" i="1"/>
  <c r="AN10" i="1"/>
  <c r="Y10" i="1" s="1"/>
  <c r="AN9" i="1"/>
  <c r="Y9" i="1" s="1"/>
  <c r="AN4" i="1"/>
  <c r="Y4" i="1" s="1"/>
  <c r="AN13" i="1"/>
  <c r="Y13" i="1" s="1"/>
  <c r="AN5" i="1"/>
  <c r="Y5" i="1" s="1"/>
  <c r="AN6" i="1"/>
  <c r="Y6" i="1" s="1"/>
  <c r="AN14" i="1"/>
  <c r="Y14" i="1" s="1"/>
  <c r="AN2" i="1"/>
  <c r="Y2" i="1" s="1"/>
  <c r="AL11" i="1" l="1"/>
  <c r="AL2" i="1"/>
  <c r="AL14" i="1"/>
  <c r="AL5" i="1"/>
  <c r="AL4" i="1"/>
  <c r="AL10" i="1"/>
  <c r="AL8" i="1"/>
  <c r="AL6" i="1"/>
  <c r="AL13" i="1"/>
  <c r="AL9" i="1"/>
  <c r="AL15" i="1"/>
  <c r="L14" i="5"/>
  <c r="M16" i="5" s="1"/>
  <c r="J14" i="5"/>
  <c r="K16" i="5" s="1"/>
  <c r="T12" i="1" l="1"/>
  <c r="T6" i="1"/>
  <c r="T15" i="1"/>
  <c r="T5" i="1"/>
  <c r="T14" i="1"/>
  <c r="U5" i="1" l="1"/>
  <c r="U15" i="1"/>
  <c r="U2" i="1"/>
  <c r="U6" i="1"/>
  <c r="U12" i="1"/>
  <c r="U14" i="1"/>
  <c r="T13" i="1" l="1"/>
  <c r="U13" i="1" s="1"/>
  <c r="T16" i="1" l="1"/>
  <c r="U16" i="1" s="1"/>
  <c r="T10" i="1"/>
  <c r="U10" i="1" s="1"/>
  <c r="T9" i="1" l="1"/>
  <c r="U9" i="1" s="1"/>
  <c r="T4" i="1"/>
  <c r="U4" i="1" s="1"/>
  <c r="T7" i="1"/>
  <c r="U7" i="1" s="1"/>
  <c r="T8" i="1"/>
  <c r="U8" i="1" s="1"/>
  <c r="T11" i="1" l="1"/>
  <c r="U11" i="1" s="1"/>
  <c r="T3" i="1" l="1"/>
  <c r="U3" i="1" s="1"/>
</calcChain>
</file>

<file path=xl/sharedStrings.xml><?xml version="1.0" encoding="utf-8"?>
<sst xmlns="http://schemas.openxmlformats.org/spreadsheetml/2006/main" count="118" uniqueCount="69">
  <si>
    <t>Stretch Level (%)</t>
  </si>
  <si>
    <t>Replicate</t>
  </si>
  <si>
    <t>Tples PreStrch</t>
  </si>
  <si>
    <t>Mrk Wh Stretch</t>
  </si>
  <si>
    <t>Tples M</t>
  </si>
  <si>
    <t>39.5,40,40.5</t>
  </si>
  <si>
    <t>Input Stretch</t>
  </si>
  <si>
    <t>25.5,25.25,25</t>
  </si>
  <si>
    <t>39.75,39.75,40</t>
  </si>
  <si>
    <t>20.25,20.25,20+3/8</t>
  </si>
  <si>
    <t>25.56,25+1/8,25+3/8</t>
  </si>
  <si>
    <t>19+7/8,19.75,20</t>
  </si>
  <si>
    <t>34+1/8,35+1/8,35.5</t>
  </si>
  <si>
    <t>35,35+3/8,35</t>
  </si>
  <si>
    <t>30.5,30,30+3/8</t>
  </si>
  <si>
    <t>20.5,20.5,21+3/8</t>
  </si>
  <si>
    <t>26.5,26+1/4,25+3/4</t>
  </si>
  <si>
    <t>30+5/8,31,30+7/8,30</t>
  </si>
  <si>
    <t>30,29+5/8,29+5/8</t>
  </si>
  <si>
    <t>40.25,40+3/8,40+5/8</t>
  </si>
  <si>
    <t>35.5,35.5,35</t>
  </si>
  <si>
    <t>Top Mrk Wh Stretch</t>
  </si>
  <si>
    <t>Middle Mrk Wh Stretch</t>
  </si>
  <si>
    <t>Bottom Mrk Wh Stretch</t>
  </si>
  <si>
    <t>Average MWS</t>
  </si>
  <si>
    <t>Input vs Mrk Wh</t>
  </si>
  <si>
    <t>Input vs PreStrch</t>
  </si>
  <si>
    <t>Start</t>
  </si>
  <si>
    <t>Inc Imp F2</t>
  </si>
  <si>
    <t>Inc Imp F4</t>
  </si>
  <si>
    <t>Inc Imp F5</t>
  </si>
  <si>
    <t>Rot Edg F4-3</t>
  </si>
  <si>
    <t>Rot Edg F6-3</t>
  </si>
  <si>
    <t>Comp 3K LBS</t>
  </si>
  <si>
    <t>Vib Trck I</t>
  </si>
  <si>
    <t>Rot Edg F2-3</t>
  </si>
  <si>
    <t>Rot Edg F5-3</t>
  </si>
  <si>
    <t>Wrap Weight (g)</t>
  </si>
  <si>
    <t>B</t>
  </si>
  <si>
    <t>A</t>
  </si>
  <si>
    <t>C</t>
  </si>
  <si>
    <t>Pallet Used</t>
  </si>
  <si>
    <t>Test #</t>
  </si>
  <si>
    <t>WW Stretch</t>
  </si>
  <si>
    <t>Weight (Ounces)</t>
  </si>
  <si>
    <t>Input vs WW</t>
  </si>
  <si>
    <t xml:space="preserve"> Pre-Stretch</t>
  </si>
  <si>
    <t>2 OH (in)</t>
  </si>
  <si>
    <t>4 OH (in)</t>
  </si>
  <si>
    <t>5 OH (in)</t>
  </si>
  <si>
    <t>6 OH (in)</t>
  </si>
  <si>
    <t>Total OH (in)</t>
  </si>
  <si>
    <t>Average (in)</t>
  </si>
  <si>
    <t>2 PP (lbs)</t>
  </si>
  <si>
    <t>2 PP Avg (lbs)</t>
  </si>
  <si>
    <t>4 PP (lbs)</t>
  </si>
  <si>
    <t>4 PP Avg (lbs)</t>
  </si>
  <si>
    <t>5 PP (lbs)</t>
  </si>
  <si>
    <t>5 PP Avg (lbs)</t>
  </si>
  <si>
    <t>6 PP (lbs)</t>
  </si>
  <si>
    <t>6 PP Avg (lbs)</t>
  </si>
  <si>
    <t>T Per (in)</t>
  </si>
  <si>
    <t>T Avg (in)</t>
  </si>
  <si>
    <t>M Per (in)</t>
  </si>
  <si>
    <t>M Avg (in)</t>
  </si>
  <si>
    <t>B Per (in)</t>
  </si>
  <si>
    <t>B Avg (in)</t>
  </si>
  <si>
    <t>ANOVA</t>
  </si>
  <si>
    <t>Input vs Tples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</si>
</sst>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83">
    <xf numFmtId="0" fontId="0" fillId="0" borderId="0" xfId="0"/>
    <xf numFmtId="0" fontId="0" fillId="0" borderId="0" xfId="0" applyFill="1"/>
    <xf numFmtId="0" fontId="0" fillId="0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10" fontId="0" fillId="0" borderId="1" xfId="0" applyNumberFormat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1" xfId="0" applyFont="1" applyFill="1" applyBorder="1"/>
    <xf numFmtId="2" fontId="0" fillId="0" borderId="1" xfId="0" applyNumberFormat="1" applyFill="1" applyBorder="1"/>
    <xf numFmtId="0" fontId="1" fillId="2" borderId="1" xfId="0" applyFont="1" applyFill="1" applyBorder="1"/>
    <xf numFmtId="164" fontId="4" fillId="8" borderId="1" xfId="2" applyNumberFormat="1" applyFont="1" applyFill="1" applyBorder="1" applyAlignment="1" applyProtection="1">
      <alignment horizontal="center"/>
      <protection locked="0" hidden="1"/>
    </xf>
    <xf numFmtId="43" fontId="4" fillId="8" borderId="1" xfId="2" applyNumberFormat="1" applyFont="1" applyFill="1" applyBorder="1" applyAlignment="1" applyProtection="1">
      <alignment horizontal="center"/>
      <protection locked="0" hidden="1"/>
    </xf>
    <xf numFmtId="43" fontId="4" fillId="8" borderId="1" xfId="2" applyNumberFormat="1" applyFont="1" applyFill="1" applyBorder="1" applyAlignment="1" applyProtection="1">
      <alignment horizontal="right"/>
      <protection locked="0" hidden="1"/>
    </xf>
    <xf numFmtId="43" fontId="5" fillId="9" borderId="1" xfId="2" applyNumberFormat="1" applyFont="1" applyFill="1" applyBorder="1" applyProtection="1">
      <protection hidden="1"/>
    </xf>
    <xf numFmtId="165" fontId="4" fillId="8" borderId="1" xfId="2" applyNumberFormat="1" applyFont="1" applyFill="1" applyBorder="1" applyAlignment="1" applyProtection="1">
      <alignment horizontal="center"/>
      <protection locked="0" hidden="1"/>
    </xf>
    <xf numFmtId="43" fontId="5" fillId="9" borderId="1" xfId="2" applyNumberFormat="1" applyFont="1" applyFill="1" applyBorder="1" applyAlignment="1" applyProtection="1">
      <alignment horizontal="center"/>
      <protection hidden="1"/>
    </xf>
    <xf numFmtId="43" fontId="5" fillId="9" borderId="1" xfId="1" applyFont="1" applyFill="1" applyBorder="1"/>
    <xf numFmtId="43" fontId="5" fillId="9" borderId="1" xfId="2" applyNumberFormat="1" applyFont="1" applyFill="1" applyBorder="1"/>
    <xf numFmtId="10" fontId="0" fillId="10" borderId="1" xfId="0" applyNumberFormat="1" applyFill="1" applyBorder="1"/>
    <xf numFmtId="0" fontId="1" fillId="2" borderId="8" xfId="0" applyFont="1" applyFill="1" applyBorder="1"/>
    <xf numFmtId="9" fontId="1" fillId="11" borderId="10" xfId="0" applyNumberFormat="1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9" fontId="1" fillId="11" borderId="11" xfId="0" applyNumberFormat="1" applyFont="1" applyFill="1" applyBorder="1" applyAlignment="1">
      <alignment horizontal="center"/>
    </xf>
    <xf numFmtId="0" fontId="1" fillId="2" borderId="16" xfId="0" applyFont="1" applyFill="1" applyBorder="1"/>
    <xf numFmtId="2" fontId="1" fillId="11" borderId="11" xfId="0" applyNumberFormat="1" applyFont="1" applyFill="1" applyBorder="1" applyAlignment="1">
      <alignment horizontal="center"/>
    </xf>
    <xf numFmtId="2" fontId="0" fillId="11" borderId="11" xfId="0" applyNumberFormat="1" applyFont="1" applyFill="1" applyBorder="1" applyAlignment="1">
      <alignment horizontal="center"/>
    </xf>
    <xf numFmtId="2" fontId="0" fillId="11" borderId="10" xfId="0" applyNumberFormat="1" applyFont="1" applyFill="1" applyBorder="1" applyAlignment="1">
      <alignment horizontal="center"/>
    </xf>
    <xf numFmtId="2" fontId="0" fillId="11" borderId="12" xfId="0" applyNumberFormat="1" applyFont="1" applyFill="1" applyBorder="1" applyAlignment="1">
      <alignment horizontal="center"/>
    </xf>
    <xf numFmtId="2" fontId="1" fillId="11" borderId="12" xfId="0" applyNumberFormat="1" applyFont="1" applyFill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2" fontId="0" fillId="0" borderId="17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0" fillId="0" borderId="19" xfId="0" applyNumberFormat="1" applyFont="1" applyBorder="1" applyAlignment="1">
      <alignment horizontal="center"/>
    </xf>
    <xf numFmtId="2" fontId="0" fillId="0" borderId="20" xfId="0" applyNumberFormat="1" applyFont="1" applyBorder="1" applyAlignment="1">
      <alignment horizontal="center"/>
    </xf>
    <xf numFmtId="2" fontId="1" fillId="0" borderId="21" xfId="0" applyNumberFormat="1" applyFont="1" applyBorder="1" applyAlignment="1">
      <alignment horizontal="center"/>
    </xf>
    <xf numFmtId="0" fontId="1" fillId="2" borderId="15" xfId="0" applyFont="1" applyFill="1" applyBorder="1"/>
    <xf numFmtId="2" fontId="0" fillId="0" borderId="10" xfId="0" applyNumberFormat="1" applyFont="1" applyBorder="1" applyAlignment="1">
      <alignment horizontal="center"/>
    </xf>
    <xf numFmtId="2" fontId="0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0" fillId="0" borderId="12" xfId="0" applyNumberFormat="1" applyFont="1" applyBorder="1" applyAlignment="1">
      <alignment horizontal="center"/>
    </xf>
    <xf numFmtId="0" fontId="6" fillId="0" borderId="1" xfId="0" applyFont="1" applyFill="1" applyBorder="1"/>
    <xf numFmtId="10" fontId="6" fillId="0" borderId="1" xfId="0" applyNumberFormat="1" applyFont="1" applyFill="1" applyBorder="1"/>
    <xf numFmtId="0" fontId="1" fillId="2" borderId="0" xfId="0" applyFont="1" applyFill="1" applyBorder="1"/>
    <xf numFmtId="0" fontId="0" fillId="0" borderId="0" xfId="0" applyFill="1" applyBorder="1"/>
    <xf numFmtId="0" fontId="0" fillId="11" borderId="11" xfId="0" applyFont="1" applyFill="1" applyBorder="1" applyAlignment="1">
      <alignment horizontal="center"/>
    </xf>
    <xf numFmtId="9" fontId="1" fillId="11" borderId="13" xfId="0" applyNumberFormat="1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9" fontId="1" fillId="11" borderId="9" xfId="0" applyNumberFormat="1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0" fillId="11" borderId="10" xfId="0" applyFont="1" applyFill="1" applyBorder="1" applyAlignment="1">
      <alignment horizontal="center"/>
    </xf>
    <xf numFmtId="0" fontId="0" fillId="11" borderId="12" xfId="0" applyFont="1" applyFill="1" applyBorder="1" applyAlignment="1">
      <alignment horizontal="center"/>
    </xf>
    <xf numFmtId="2" fontId="0" fillId="11" borderId="19" xfId="0" applyNumberFormat="1" applyFont="1" applyFill="1" applyBorder="1" applyAlignment="1">
      <alignment horizontal="center"/>
    </xf>
    <xf numFmtId="2" fontId="0" fillId="11" borderId="20" xfId="0" applyNumberFormat="1" applyFont="1" applyFill="1" applyBorder="1" applyAlignment="1">
      <alignment horizontal="center"/>
    </xf>
    <xf numFmtId="2" fontId="0" fillId="11" borderId="21" xfId="0" applyNumberFormat="1" applyFont="1" applyFill="1" applyBorder="1" applyAlignment="1">
      <alignment horizontal="center"/>
    </xf>
    <xf numFmtId="2" fontId="0" fillId="0" borderId="10" xfId="0" applyNumberFormat="1" applyFont="1" applyFill="1" applyBorder="1" applyAlignment="1">
      <alignment horizontal="center"/>
    </xf>
    <xf numFmtId="2" fontId="0" fillId="0" borderId="11" xfId="0" applyNumberFormat="1" applyFont="1" applyFill="1" applyBorder="1" applyAlignment="1">
      <alignment horizontal="center"/>
    </xf>
    <xf numFmtId="2" fontId="0" fillId="0" borderId="12" xfId="0" applyNumberFormat="1" applyFont="1" applyFill="1" applyBorder="1" applyAlignment="1">
      <alignment horizontal="center"/>
    </xf>
    <xf numFmtId="2" fontId="0" fillId="0" borderId="21" xfId="0" applyNumberFormat="1" applyFont="1" applyBorder="1" applyAlignment="1">
      <alignment horizontal="center"/>
    </xf>
    <xf numFmtId="10" fontId="0" fillId="0" borderId="0" xfId="0" applyNumberFormat="1"/>
    <xf numFmtId="0" fontId="1" fillId="11" borderId="10" xfId="0" applyFont="1" applyFill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0" fontId="6" fillId="11" borderId="1" xfId="0" applyFont="1" applyFill="1" applyBorder="1"/>
    <xf numFmtId="10" fontId="6" fillId="11" borderId="1" xfId="0" applyNumberFormat="1" applyFont="1" applyFill="1" applyBorder="1"/>
    <xf numFmtId="10" fontId="7" fillId="0" borderId="1" xfId="0" applyNumberFormat="1" applyFont="1" applyFill="1" applyBorder="1"/>
    <xf numFmtId="10" fontId="7" fillId="11" borderId="1" xfId="0" applyNumberFormat="1" applyFont="1" applyFill="1" applyBorder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2" fillId="0" borderId="0" xfId="0" applyNumberFormat="1" applyFont="1"/>
    <xf numFmtId="10" fontId="0" fillId="0" borderId="0" xfId="0" applyNumberFormat="1" applyFill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zoomScaleNormal="100" workbookViewId="0">
      <pane ySplit="1" topLeftCell="A2" activePane="bottomLeft" state="frozen"/>
      <selection pane="bottomLeft" activeCell="N1" sqref="N1:Q14"/>
    </sheetView>
  </sheetViews>
  <sheetFormatPr defaultRowHeight="15" x14ac:dyDescent="0.25"/>
  <cols>
    <col min="1" max="1" width="16" bestFit="1" customWidth="1"/>
    <col min="2" max="2" width="12.42578125" bestFit="1" customWidth="1"/>
    <col min="3" max="3" width="13.7109375" bestFit="1" customWidth="1"/>
    <col min="4" max="4" width="15.7109375" bestFit="1" customWidth="1"/>
    <col min="5" max="5" width="13.7109375" bestFit="1" customWidth="1"/>
    <col min="6" max="6" width="16" bestFit="1" customWidth="1"/>
    <col min="7" max="7" width="11.7109375" bestFit="1" customWidth="1"/>
    <col min="8" max="8" width="12.42578125" bestFit="1" customWidth="1"/>
    <col min="9" max="9" width="13.7109375" bestFit="1" customWidth="1"/>
    <col min="10" max="10" width="12" bestFit="1" customWidth="1"/>
    <col min="11" max="11" width="9.28515625" bestFit="1" customWidth="1"/>
    <col min="12" max="13" width="16" bestFit="1" customWidth="1"/>
    <col min="14" max="14" width="14.85546875" bestFit="1" customWidth="1"/>
    <col min="15" max="15" width="15.140625" bestFit="1" customWidth="1"/>
    <col min="16" max="17" width="12.140625" bestFit="1" customWidth="1"/>
    <col min="18" max="18" width="12.140625" customWidth="1"/>
    <col min="19" max="21" width="11.7109375" bestFit="1" customWidth="1"/>
    <col min="22" max="22" width="15.85546875" bestFit="1" customWidth="1"/>
    <col min="23" max="23" width="11.7109375" bestFit="1" customWidth="1"/>
    <col min="35" max="35" width="15.85546875" bestFit="1" customWidth="1"/>
  </cols>
  <sheetData>
    <row r="1" spans="1:17" ht="16.149999999999999" customHeight="1" x14ac:dyDescent="0.3">
      <c r="A1" s="4" t="s">
        <v>0</v>
      </c>
      <c r="B1" s="5" t="s">
        <v>6</v>
      </c>
      <c r="C1" s="5" t="s">
        <v>24</v>
      </c>
      <c r="D1" s="5" t="s">
        <v>25</v>
      </c>
      <c r="E1" s="5" t="s">
        <v>2</v>
      </c>
      <c r="F1" s="5" t="s">
        <v>68</v>
      </c>
      <c r="G1" s="5" t="s">
        <v>43</v>
      </c>
      <c r="H1" s="5" t="s">
        <v>45</v>
      </c>
      <c r="J1" s="5"/>
      <c r="K1" s="5" t="s">
        <v>25</v>
      </c>
      <c r="L1" s="5" t="s">
        <v>68</v>
      </c>
      <c r="M1" s="5" t="s">
        <v>45</v>
      </c>
      <c r="N1" s="5" t="s">
        <v>6</v>
      </c>
      <c r="O1" s="5" t="s">
        <v>25</v>
      </c>
      <c r="P1" s="5" t="s">
        <v>68</v>
      </c>
      <c r="Q1" s="5" t="s">
        <v>45</v>
      </c>
    </row>
    <row r="2" spans="1:17" s="1" customFormat="1" ht="14.45" x14ac:dyDescent="0.3">
      <c r="A2" s="52">
        <v>100</v>
      </c>
      <c r="B2" s="53">
        <v>1.1000000000000001</v>
      </c>
      <c r="C2" s="76">
        <v>1.0291666666666668</v>
      </c>
      <c r="D2" s="53">
        <v>-7.0833333333333304E-2</v>
      </c>
      <c r="E2" s="76">
        <v>0.89873417721518978</v>
      </c>
      <c r="F2" s="53">
        <v>0.20126582278481031</v>
      </c>
      <c r="G2" s="76">
        <v>1.1557262222222227</v>
      </c>
      <c r="H2" s="53">
        <v>-5.5726222222222566E-2</v>
      </c>
      <c r="J2" s="53">
        <v>1.1000000000000001</v>
      </c>
      <c r="K2" s="53">
        <v>-7.0833333333333304E-2</v>
      </c>
      <c r="L2" s="53">
        <v>0.20126582278481031</v>
      </c>
      <c r="M2" s="53">
        <v>-5.5726222222222566E-2</v>
      </c>
      <c r="N2" s="53">
        <v>1.1000000000000001</v>
      </c>
      <c r="O2" s="82">
        <f>AVERAGE(K2:K4)</f>
        <v>-6.8055555555555536E-2</v>
      </c>
      <c r="P2" s="82">
        <f>AVERAGE(L2:L4)</f>
        <v>-2.8818110461364215E-2</v>
      </c>
      <c r="Q2" s="82">
        <f>AVERAGE(M2:M4)</f>
        <v>5.314224737238845E-2</v>
      </c>
    </row>
    <row r="3" spans="1:17" s="1" customFormat="1" ht="14.45" x14ac:dyDescent="0.3">
      <c r="A3" s="52">
        <v>100</v>
      </c>
      <c r="B3" s="53">
        <v>1.1000000000000001</v>
      </c>
      <c r="C3" s="76">
        <v>0.98750000000000004</v>
      </c>
      <c r="D3" s="53">
        <v>-0.11250000000000004</v>
      </c>
      <c r="E3" s="76">
        <v>0.92233009708737879</v>
      </c>
      <c r="F3" s="53">
        <v>-0.1776699029126213</v>
      </c>
      <c r="G3" s="76">
        <v>1.1527731726027399</v>
      </c>
      <c r="H3" s="53">
        <v>5.2773172602739837E-2</v>
      </c>
      <c r="J3" s="53">
        <v>1.1000000000000001</v>
      </c>
      <c r="K3" s="53">
        <v>-0.11250000000000004</v>
      </c>
      <c r="L3" s="53">
        <v>-0.1776699029126213</v>
      </c>
      <c r="M3" s="53">
        <v>5.2773172602739837E-2</v>
      </c>
    </row>
    <row r="4" spans="1:17" s="1" customFormat="1" x14ac:dyDescent="0.25">
      <c r="A4" s="52">
        <v>100</v>
      </c>
      <c r="B4" s="53">
        <v>1.1000000000000001</v>
      </c>
      <c r="C4" s="76">
        <v>1.0791666666666668</v>
      </c>
      <c r="D4" s="53">
        <v>-2.0833333333333259E-2</v>
      </c>
      <c r="E4" s="76">
        <v>0.98994974874371844</v>
      </c>
      <c r="F4" s="53">
        <v>-0.11005025125628165</v>
      </c>
      <c r="G4" s="76">
        <v>1.2623797917366482</v>
      </c>
      <c r="H4" s="53">
        <v>0.16237979173664807</v>
      </c>
      <c r="J4" s="53">
        <v>1.1000000000000001</v>
      </c>
      <c r="K4" s="53">
        <v>-2.0833333333333259E-2</v>
      </c>
      <c r="L4" s="53">
        <v>-0.11005025125628165</v>
      </c>
      <c r="M4" s="53">
        <v>0.16237979173664807</v>
      </c>
    </row>
    <row r="5" spans="1:17" s="1" customFormat="1" x14ac:dyDescent="0.25">
      <c r="A5" s="74">
        <v>150</v>
      </c>
      <c r="B5" s="75">
        <v>1.63</v>
      </c>
      <c r="C5" s="77">
        <v>1.5249999999999999</v>
      </c>
      <c r="D5" s="75">
        <v>-0.10499999999999998</v>
      </c>
      <c r="E5" s="77">
        <v>1.3404255319148937</v>
      </c>
      <c r="F5" s="75">
        <v>-0.28957446808510623</v>
      </c>
      <c r="G5" s="77">
        <v>1.6525111106110051</v>
      </c>
      <c r="H5" s="75">
        <v>2.2511110611005192E-2</v>
      </c>
      <c r="J5" s="75">
        <v>1.63</v>
      </c>
      <c r="K5" s="75">
        <v>-0.10499999999999998</v>
      </c>
      <c r="L5" s="75">
        <v>-0.28957446808510623</v>
      </c>
      <c r="M5" s="75">
        <v>2.2511110611005192E-2</v>
      </c>
      <c r="N5" s="75">
        <v>1.63</v>
      </c>
      <c r="O5" s="82">
        <f>AVERAGE(K5:K7)</f>
        <v>-7.0999999999999883E-2</v>
      </c>
      <c r="P5" s="82">
        <f>AVERAGE(L5:L7)</f>
        <v>-0.25389430958454962</v>
      </c>
      <c r="Q5" s="82">
        <f>AVERAGE(M5:M7)</f>
        <v>5.926873383296679E-2</v>
      </c>
    </row>
    <row r="6" spans="1:17" s="1" customFormat="1" x14ac:dyDescent="0.25">
      <c r="A6" s="74">
        <v>150</v>
      </c>
      <c r="B6" s="75">
        <v>1.63</v>
      </c>
      <c r="C6" s="77">
        <v>1.5353333333333334</v>
      </c>
      <c r="D6" s="75">
        <v>-9.4666666666666455E-2</v>
      </c>
      <c r="E6" s="77">
        <v>1.3404255319148937</v>
      </c>
      <c r="F6" s="75">
        <v>-0.28957446808510623</v>
      </c>
      <c r="G6" s="77">
        <v>1.6353120447177194</v>
      </c>
      <c r="H6" s="75">
        <v>5.3120447177195107E-3</v>
      </c>
      <c r="J6" s="75">
        <v>1.63</v>
      </c>
      <c r="K6" s="75">
        <v>-9.4666666666666455E-2</v>
      </c>
      <c r="L6" s="75">
        <v>-0.28957446808510623</v>
      </c>
      <c r="M6" s="75">
        <v>5.3120447177195107E-3</v>
      </c>
    </row>
    <row r="7" spans="1:17" s="1" customFormat="1" x14ac:dyDescent="0.25">
      <c r="A7" s="74">
        <v>150</v>
      </c>
      <c r="B7" s="75">
        <v>1.63</v>
      </c>
      <c r="C7" s="77">
        <v>1.6166666666666667</v>
      </c>
      <c r="D7" s="75">
        <v>-1.3333333333333197E-2</v>
      </c>
      <c r="E7" s="77">
        <v>1.4474660074165635</v>
      </c>
      <c r="F7" s="75">
        <v>-0.18253399258343639</v>
      </c>
      <c r="G7" s="77">
        <v>1.7799830461701756</v>
      </c>
      <c r="H7" s="75">
        <v>0.14998304617017566</v>
      </c>
      <c r="J7" s="75">
        <v>1.63</v>
      </c>
      <c r="K7" s="75">
        <v>-1.3333333333333197E-2</v>
      </c>
      <c r="L7" s="75">
        <v>-0.18253399258343639</v>
      </c>
      <c r="M7" s="75">
        <v>0.14998304617017566</v>
      </c>
      <c r="O7" s="82"/>
    </row>
    <row r="8" spans="1:17" s="1" customFormat="1" x14ac:dyDescent="0.25">
      <c r="A8" s="52">
        <v>200</v>
      </c>
      <c r="B8" s="53">
        <v>2.0499999999999998</v>
      </c>
      <c r="C8" s="76">
        <v>2.0291666666666668</v>
      </c>
      <c r="D8" s="53">
        <v>-2.0833333333333037E-2</v>
      </c>
      <c r="E8" s="76">
        <v>1.7653631284916202</v>
      </c>
      <c r="F8" s="53">
        <v>-0.28463687150837957</v>
      </c>
      <c r="G8" s="76">
        <v>2.1365665943716325</v>
      </c>
      <c r="H8" s="53">
        <v>8.6566594371632721E-2</v>
      </c>
      <c r="J8" s="53">
        <v>2.0499999999999998</v>
      </c>
      <c r="K8" s="53">
        <v>-2.0833333333333037E-2</v>
      </c>
      <c r="L8" s="53">
        <v>-0.28463687150837957</v>
      </c>
      <c r="M8" s="53">
        <v>8.6566594371632721E-2</v>
      </c>
      <c r="N8" s="53">
        <v>2.0499999999999998</v>
      </c>
      <c r="O8" s="82">
        <f>AVERAGE(K8:K10)</f>
        <v>-2.0833333333333186E-2</v>
      </c>
      <c r="P8" s="82">
        <f>AVERAGE(L8:L10)</f>
        <v>-0.2804398677920843</v>
      </c>
      <c r="Q8" s="82">
        <f>AVERAGE(M8:M10)</f>
        <v>5.9847151913987005E-2</v>
      </c>
    </row>
    <row r="9" spans="1:17" s="1" customFormat="1" x14ac:dyDescent="0.25">
      <c r="A9" s="52">
        <v>200</v>
      </c>
      <c r="B9" s="53">
        <v>2.0499999999999998</v>
      </c>
      <c r="C9" s="76">
        <v>2.083333333333333</v>
      </c>
      <c r="D9" s="53">
        <v>3.3333333333333215E-2</v>
      </c>
      <c r="E9" s="76">
        <v>1.8085106382978724</v>
      </c>
      <c r="F9" s="53">
        <v>-0.24148936170212743</v>
      </c>
      <c r="G9" s="76">
        <v>2.1522955656592671</v>
      </c>
      <c r="H9" s="53">
        <v>0.10229556565926723</v>
      </c>
      <c r="J9" s="53">
        <v>2.0499999999999998</v>
      </c>
      <c r="K9" s="53">
        <v>3.3333333333333215E-2</v>
      </c>
      <c r="L9" s="53">
        <v>-0.24148936170212743</v>
      </c>
      <c r="M9" s="53">
        <v>0.10229556565926723</v>
      </c>
    </row>
    <row r="10" spans="1:17" s="1" customFormat="1" x14ac:dyDescent="0.25">
      <c r="A10" s="52">
        <v>200</v>
      </c>
      <c r="B10" s="53">
        <v>2.0499999999999998</v>
      </c>
      <c r="C10" s="76">
        <v>1.9750000000000001</v>
      </c>
      <c r="D10" s="53">
        <v>-7.4999999999999734E-2</v>
      </c>
      <c r="E10" s="76">
        <v>1.7348066298342539</v>
      </c>
      <c r="F10" s="53">
        <v>-0.31519337016574589</v>
      </c>
      <c r="G10" s="76">
        <v>2.0406792957110609</v>
      </c>
      <c r="H10" s="53">
        <v>-9.3207042889389413E-3</v>
      </c>
      <c r="J10" s="53">
        <v>2.0499999999999998</v>
      </c>
      <c r="K10" s="53">
        <v>-7.4999999999999734E-2</v>
      </c>
      <c r="L10" s="53">
        <v>-0.31519337016574589</v>
      </c>
      <c r="M10" s="53">
        <v>-9.3207042889389413E-3</v>
      </c>
    </row>
    <row r="11" spans="1:17" s="1" customFormat="1" x14ac:dyDescent="0.25">
      <c r="A11" s="74">
        <v>250</v>
      </c>
      <c r="B11" s="75">
        <v>2.6</v>
      </c>
      <c r="C11" s="77">
        <v>2.4916666666666663</v>
      </c>
      <c r="D11" s="75">
        <v>-0.10833333333333384</v>
      </c>
      <c r="E11" s="77">
        <v>2.1428571428571428</v>
      </c>
      <c r="F11" s="75">
        <v>-0.4571428571428573</v>
      </c>
      <c r="G11" s="77">
        <v>2.5501304578313255</v>
      </c>
      <c r="H11" s="75">
        <v>-4.9869542168674563E-2</v>
      </c>
      <c r="J11" s="75">
        <v>2.6</v>
      </c>
      <c r="K11" s="75">
        <v>-0.10833333333333384</v>
      </c>
      <c r="L11" s="75">
        <v>-0.4571428571428573</v>
      </c>
      <c r="M11" s="75">
        <v>-4.9869542168674563E-2</v>
      </c>
      <c r="N11" s="75">
        <v>2.6</v>
      </c>
      <c r="O11" s="82">
        <f>AVERAGE(K11:K13)</f>
        <v>-8.7500000000000064E-2</v>
      </c>
      <c r="P11" s="82">
        <f>AVERAGE(L11:L13)</f>
        <v>-0.44038095238095271</v>
      </c>
      <c r="Q11" s="82">
        <f>AVERAGE(M11:M13)</f>
        <v>-3.8248517245839921E-2</v>
      </c>
    </row>
    <row r="12" spans="1:17" s="1" customFormat="1" x14ac:dyDescent="0.25">
      <c r="A12" s="74">
        <v>250</v>
      </c>
      <c r="B12" s="75">
        <v>2.6</v>
      </c>
      <c r="C12" s="77">
        <v>2.5125000000000002</v>
      </c>
      <c r="D12" s="75">
        <v>-8.7499999999999911E-2</v>
      </c>
      <c r="E12" s="77">
        <v>2.1679999999999997</v>
      </c>
      <c r="F12" s="75">
        <v>-0.43200000000000038</v>
      </c>
      <c r="G12" s="77">
        <v>2.6428475104311548</v>
      </c>
      <c r="H12" s="75">
        <v>4.2847510431154756E-2</v>
      </c>
      <c r="J12" s="75">
        <v>2.6</v>
      </c>
      <c r="K12" s="75">
        <v>-8.7499999999999911E-2</v>
      </c>
      <c r="L12" s="75">
        <v>-0.43200000000000038</v>
      </c>
      <c r="M12" s="75">
        <v>4.2847510431154756E-2</v>
      </c>
    </row>
    <row r="13" spans="1:17" s="1" customFormat="1" x14ac:dyDescent="0.25">
      <c r="A13" s="74">
        <v>250</v>
      </c>
      <c r="B13" s="75">
        <v>2.6</v>
      </c>
      <c r="C13" s="77">
        <v>2.5333333333333337</v>
      </c>
      <c r="D13" s="75">
        <v>-6.666666666666643E-2</v>
      </c>
      <c r="E13" s="77">
        <v>2.1679999999999997</v>
      </c>
      <c r="F13" s="75">
        <v>-0.43200000000000038</v>
      </c>
      <c r="G13" s="77">
        <v>2.4922764800000001</v>
      </c>
      <c r="H13" s="75">
        <v>-0.10772351999999996</v>
      </c>
      <c r="J13" s="75">
        <v>2.6</v>
      </c>
      <c r="K13" s="75">
        <v>-6.666666666666643E-2</v>
      </c>
      <c r="L13" s="75">
        <v>-0.43200000000000038</v>
      </c>
      <c r="M13" s="75">
        <v>-0.10772351999999996</v>
      </c>
    </row>
    <row r="14" spans="1:17" s="1" customFormat="1" x14ac:dyDescent="0.25">
      <c r="A14" s="52">
        <v>300</v>
      </c>
      <c r="B14" s="53">
        <v>3.15</v>
      </c>
      <c r="C14" s="76">
        <v>3</v>
      </c>
      <c r="D14" s="53">
        <v>-0.14999999999999991</v>
      </c>
      <c r="E14" s="76">
        <v>2.5611510791366903</v>
      </c>
      <c r="F14" s="53">
        <v>-0.58884892086330964</v>
      </c>
      <c r="G14" s="76">
        <v>2.9180364397905763</v>
      </c>
      <c r="H14" s="53">
        <v>-0.23196356020942366</v>
      </c>
      <c r="J14" s="53">
        <v>3.15</v>
      </c>
      <c r="K14" s="53">
        <v>-0.14999999999999991</v>
      </c>
      <c r="L14" s="53">
        <v>-0.58884892086330964</v>
      </c>
      <c r="M14" s="53">
        <v>-0.23196356020942366</v>
      </c>
      <c r="N14" s="53">
        <v>3.15</v>
      </c>
      <c r="O14" s="82">
        <f>AVERAGE(K14:K16)</f>
        <v>-0.14166666666666661</v>
      </c>
      <c r="P14" s="82">
        <f>AVERAGE(L14:L16)</f>
        <v>-0.60368335312774457</v>
      </c>
      <c r="Q14" s="82">
        <f>AVERAGE(M14:M16)</f>
        <v>-0.23143315948268098</v>
      </c>
    </row>
    <row r="15" spans="1:17" s="1" customFormat="1" x14ac:dyDescent="0.25">
      <c r="A15" s="52">
        <v>300</v>
      </c>
      <c r="B15" s="53">
        <v>3.15</v>
      </c>
      <c r="C15" s="76">
        <v>2.9833333333333334</v>
      </c>
      <c r="D15" s="53">
        <v>-0.16666666666666652</v>
      </c>
      <c r="E15" s="76">
        <v>2.5294117647058822</v>
      </c>
      <c r="F15" s="53">
        <v>-0.62058823529411766</v>
      </c>
      <c r="G15" s="76">
        <v>2.8950539061467286</v>
      </c>
      <c r="H15" s="53">
        <v>-0.25494609385327127</v>
      </c>
      <c r="J15" s="53">
        <v>3.15</v>
      </c>
      <c r="K15" s="53">
        <v>-0.16666666666666652</v>
      </c>
      <c r="L15" s="53">
        <v>-0.62058823529411766</v>
      </c>
      <c r="M15" s="53">
        <v>-0.25494609385327127</v>
      </c>
    </row>
    <row r="16" spans="1:17" s="1" customFormat="1" x14ac:dyDescent="0.25">
      <c r="A16" s="52">
        <v>300</v>
      </c>
      <c r="B16" s="53">
        <v>3.15</v>
      </c>
      <c r="C16" s="76">
        <v>3.0416666666666665</v>
      </c>
      <c r="D16" s="53">
        <v>-0.10833333333333339</v>
      </c>
      <c r="E16" s="76">
        <v>2.5483870967741935</v>
      </c>
      <c r="F16" s="53">
        <v>-0.60161290322580641</v>
      </c>
      <c r="G16" s="76">
        <v>2.9426101756146519</v>
      </c>
      <c r="H16" s="53">
        <v>-0.20738982438534803</v>
      </c>
      <c r="J16" s="53">
        <v>3.15</v>
      </c>
      <c r="K16" s="53">
        <v>-0.10833333333333339</v>
      </c>
      <c r="L16" s="53">
        <v>-0.60161290322580641</v>
      </c>
      <c r="M16" s="53">
        <v>-0.20738982438534803</v>
      </c>
    </row>
    <row r="17" spans="4:8" x14ac:dyDescent="0.25">
      <c r="D17" s="70">
        <f>AVERAGE(D2:D16)</f>
        <v>-7.7811111111111053E-2</v>
      </c>
      <c r="F17" s="70">
        <f>AVERAGE(F2:F16)</f>
        <v>-0.32144331866933912</v>
      </c>
      <c r="H17" s="70">
        <f>AVERAGE(H2:H16)</f>
        <v>-1.9484708721835733E-2</v>
      </c>
    </row>
    <row r="19" spans="4:8" x14ac:dyDescent="0.25">
      <c r="D19" s="81">
        <v>6.2E-2</v>
      </c>
      <c r="E19" s="81"/>
      <c r="F19" s="81">
        <v>0</v>
      </c>
      <c r="G19" s="81"/>
      <c r="H19" s="81">
        <v>3.0000000000000001E-3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"/>
  <sheetViews>
    <sheetView topLeftCell="P1" zoomScaleNormal="100" workbookViewId="0">
      <selection activeCell="Z33" sqref="Z33"/>
    </sheetView>
  </sheetViews>
  <sheetFormatPr defaultRowHeight="15" x14ac:dyDescent="0.25"/>
  <cols>
    <col min="1" max="1" width="11.42578125" bestFit="1" customWidth="1"/>
    <col min="2" max="5" width="8.7109375" bestFit="1" customWidth="1"/>
    <col min="6" max="6" width="12.140625" bestFit="1" customWidth="1"/>
    <col min="7" max="7" width="11.85546875" bestFit="1" customWidth="1"/>
    <col min="8" max="8" width="5.5703125" bestFit="1" customWidth="1"/>
    <col min="9" max="9" width="11.42578125" bestFit="1" customWidth="1"/>
    <col min="10" max="10" width="9.140625" bestFit="1" customWidth="1"/>
    <col min="11" max="11" width="12.85546875" bestFit="1" customWidth="1"/>
    <col min="12" max="12" width="9.140625" bestFit="1" customWidth="1"/>
    <col min="13" max="13" width="12.85546875" bestFit="1" customWidth="1"/>
    <col min="14" max="14" width="9.140625" bestFit="1" customWidth="1"/>
    <col min="15" max="15" width="12.85546875" bestFit="1" customWidth="1"/>
    <col min="16" max="16" width="9.140625" bestFit="1" customWidth="1"/>
    <col min="17" max="17" width="12.85546875" bestFit="1" customWidth="1"/>
    <col min="18" max="18" width="10.85546875" bestFit="1" customWidth="1"/>
    <col min="19" max="19" width="11.42578125" bestFit="1" customWidth="1"/>
    <col min="20" max="20" width="9" bestFit="1" customWidth="1"/>
    <col min="21" max="21" width="9.28515625" bestFit="1" customWidth="1"/>
    <col min="22" max="22" width="9.85546875" bestFit="1" customWidth="1"/>
    <col min="23" max="23" width="10.140625" bestFit="1" customWidth="1"/>
    <col min="24" max="24" width="9.140625" bestFit="1" customWidth="1"/>
    <col min="25" max="26" width="9.42578125" bestFit="1" customWidth="1"/>
    <col min="27" max="27" width="8.7109375" bestFit="1" customWidth="1"/>
    <col min="28" max="28" width="10.28515625" bestFit="1" customWidth="1"/>
    <col min="29" max="29" width="15.140625" bestFit="1" customWidth="1"/>
    <col min="30" max="30" width="16" bestFit="1" customWidth="1"/>
    <col min="31" max="31" width="16" customWidth="1"/>
  </cols>
  <sheetData>
    <row r="1" spans="1:31" ht="15.75" thickBot="1" x14ac:dyDescent="0.3">
      <c r="A1" s="47" t="s">
        <v>46</v>
      </c>
      <c r="B1" s="27" t="s">
        <v>47</v>
      </c>
      <c r="C1" s="27" t="s">
        <v>48</v>
      </c>
      <c r="D1" s="27" t="s">
        <v>49</v>
      </c>
      <c r="E1" s="27" t="s">
        <v>50</v>
      </c>
      <c r="F1" s="27" t="s">
        <v>51</v>
      </c>
      <c r="G1" s="27" t="s">
        <v>52</v>
      </c>
      <c r="I1" s="47" t="s">
        <v>46</v>
      </c>
      <c r="J1" s="32" t="s">
        <v>53</v>
      </c>
      <c r="K1" s="47" t="s">
        <v>54</v>
      </c>
      <c r="L1" s="32" t="s">
        <v>55</v>
      </c>
      <c r="M1" s="47" t="s">
        <v>56</v>
      </c>
      <c r="N1" s="32" t="s">
        <v>57</v>
      </c>
      <c r="O1" s="47" t="s">
        <v>58</v>
      </c>
      <c r="P1" s="32" t="s">
        <v>59</v>
      </c>
      <c r="Q1" s="47" t="s">
        <v>60</v>
      </c>
      <c r="S1" s="47" t="s">
        <v>46</v>
      </c>
      <c r="T1" s="47" t="s">
        <v>61</v>
      </c>
      <c r="U1" s="47" t="s">
        <v>62</v>
      </c>
      <c r="V1" s="47" t="s">
        <v>63</v>
      </c>
      <c r="W1" s="47" t="s">
        <v>64</v>
      </c>
      <c r="X1" s="47" t="s">
        <v>65</v>
      </c>
      <c r="Y1" s="47" t="s">
        <v>66</v>
      </c>
      <c r="AA1" s="4" t="s">
        <v>42</v>
      </c>
      <c r="AB1" s="17" t="s">
        <v>41</v>
      </c>
      <c r="AC1" s="17" t="s">
        <v>1</v>
      </c>
      <c r="AD1" s="17" t="s">
        <v>0</v>
      </c>
      <c r="AE1" s="54"/>
    </row>
    <row r="2" spans="1:31" x14ac:dyDescent="0.25">
      <c r="A2" s="57">
        <v>1</v>
      </c>
      <c r="B2" s="61">
        <v>1.125</v>
      </c>
      <c r="C2" s="61">
        <v>5.875</v>
      </c>
      <c r="D2" s="61">
        <v>4.5</v>
      </c>
      <c r="E2" s="61">
        <v>3.625</v>
      </c>
      <c r="F2" s="71">
        <f>B2+C2+D2+E2</f>
        <v>15.125</v>
      </c>
      <c r="G2" s="63"/>
      <c r="I2" s="31">
        <v>1</v>
      </c>
      <c r="J2" s="34">
        <v>22.375</v>
      </c>
      <c r="K2" s="34"/>
      <c r="L2" s="34">
        <v>39.0625</v>
      </c>
      <c r="M2" s="34"/>
      <c r="N2" s="34">
        <v>21.5625</v>
      </c>
      <c r="O2" s="34"/>
      <c r="P2" s="34">
        <v>35.5625</v>
      </c>
      <c r="Q2" s="34"/>
      <c r="S2" s="31">
        <v>1</v>
      </c>
      <c r="T2" s="34">
        <v>182.5</v>
      </c>
      <c r="U2" s="34"/>
      <c r="V2" s="34">
        <v>181.5</v>
      </c>
      <c r="W2" s="34"/>
      <c r="X2" s="34">
        <v>180.05555555555554</v>
      </c>
      <c r="Y2" s="34"/>
      <c r="AA2" s="2">
        <v>4</v>
      </c>
      <c r="AB2" s="2" t="s">
        <v>39</v>
      </c>
      <c r="AC2" s="2">
        <v>1</v>
      </c>
      <c r="AD2" s="2">
        <v>100</v>
      </c>
      <c r="AE2" s="55"/>
    </row>
    <row r="3" spans="1:31" x14ac:dyDescent="0.25">
      <c r="A3" s="58"/>
      <c r="B3" s="56">
        <v>1.75</v>
      </c>
      <c r="C3" s="56">
        <v>5.625</v>
      </c>
      <c r="D3" s="56">
        <v>5.75</v>
      </c>
      <c r="E3" s="56">
        <v>3.75</v>
      </c>
      <c r="F3" s="29">
        <f t="shared" ref="F3:F16" si="0">B3+C3+D3+E3</f>
        <v>16.875</v>
      </c>
      <c r="G3" s="64"/>
      <c r="I3" s="29"/>
      <c r="J3" s="34">
        <v>37.0625</v>
      </c>
      <c r="K3" s="34"/>
      <c r="L3" s="34">
        <v>34.5625</v>
      </c>
      <c r="M3" s="34"/>
      <c r="N3" s="34">
        <v>27.375</v>
      </c>
      <c r="O3" s="34"/>
      <c r="P3" s="34">
        <v>34.125</v>
      </c>
      <c r="Q3" s="34"/>
      <c r="S3" s="29"/>
      <c r="T3" s="34">
        <v>182.25</v>
      </c>
      <c r="U3" s="34"/>
      <c r="V3" s="34">
        <v>182.25</v>
      </c>
      <c r="W3" s="34"/>
      <c r="X3" s="34">
        <v>180.25</v>
      </c>
      <c r="Y3" s="34"/>
      <c r="AA3" s="2">
        <v>6</v>
      </c>
      <c r="AB3" s="2" t="s">
        <v>39</v>
      </c>
      <c r="AC3" s="2">
        <v>2</v>
      </c>
      <c r="AD3" s="2">
        <v>100</v>
      </c>
      <c r="AE3" s="55"/>
    </row>
    <row r="4" spans="1:31" ht="15.75" thickBot="1" x14ac:dyDescent="0.3">
      <c r="A4" s="58"/>
      <c r="B4" s="62">
        <v>1.375</v>
      </c>
      <c r="C4" s="62">
        <v>5.125</v>
      </c>
      <c r="D4" s="62">
        <v>3.875</v>
      </c>
      <c r="E4" s="62">
        <v>4</v>
      </c>
      <c r="F4" s="30">
        <f t="shared" si="0"/>
        <v>14.375</v>
      </c>
      <c r="G4" s="65">
        <f>(F2+F3+F4)/3</f>
        <v>15.458333333333334</v>
      </c>
      <c r="I4" s="29"/>
      <c r="J4" s="34">
        <v>17.8125</v>
      </c>
      <c r="K4" s="33">
        <f>(J2+J3+J4)/3</f>
        <v>25.75</v>
      </c>
      <c r="L4" s="34">
        <v>43.25</v>
      </c>
      <c r="M4" s="33">
        <f>(L2+L3+L4)/3</f>
        <v>38.958333333333336</v>
      </c>
      <c r="N4" s="34">
        <v>23.6875</v>
      </c>
      <c r="O4" s="33">
        <f>(N2+N3+N4)/3</f>
        <v>24.208333333333332</v>
      </c>
      <c r="P4" s="34">
        <v>38.375</v>
      </c>
      <c r="Q4" s="33">
        <f>(P2+P3+P4)/3</f>
        <v>36.020833333333336</v>
      </c>
      <c r="S4" s="29"/>
      <c r="T4" s="34">
        <v>181.875</v>
      </c>
      <c r="U4" s="33">
        <f>(T2+T3+T4)/3</f>
        <v>182.20833333333334</v>
      </c>
      <c r="V4" s="34">
        <v>182.5</v>
      </c>
      <c r="W4" s="33">
        <f>(V2+V3+V4)/3</f>
        <v>182.08333333333334</v>
      </c>
      <c r="X4" s="34">
        <v>180.375</v>
      </c>
      <c r="Y4" s="33">
        <f>(X2+X3+X4)/3</f>
        <v>180.22685185185185</v>
      </c>
      <c r="AA4" s="2">
        <v>10</v>
      </c>
      <c r="AB4" s="2" t="s">
        <v>39</v>
      </c>
      <c r="AC4" s="2">
        <v>3</v>
      </c>
      <c r="AD4" s="2">
        <v>100</v>
      </c>
      <c r="AE4" s="55"/>
    </row>
    <row r="5" spans="1:31" x14ac:dyDescent="0.25">
      <c r="A5" s="38">
        <v>1.5</v>
      </c>
      <c r="B5" s="66">
        <v>4.375</v>
      </c>
      <c r="C5" s="66">
        <v>2.375</v>
      </c>
      <c r="D5" s="66">
        <v>9.25</v>
      </c>
      <c r="E5" s="66">
        <v>0</v>
      </c>
      <c r="F5" s="72">
        <f t="shared" si="0"/>
        <v>16</v>
      </c>
      <c r="G5" s="44"/>
      <c r="I5" s="38">
        <v>1.5</v>
      </c>
      <c r="J5" s="66">
        <v>34.5625</v>
      </c>
      <c r="K5" s="48"/>
      <c r="L5" s="48">
        <v>24.125</v>
      </c>
      <c r="M5" s="48"/>
      <c r="N5" s="66">
        <v>28.1875</v>
      </c>
      <c r="O5" s="48"/>
      <c r="P5" s="48">
        <v>32.25</v>
      </c>
      <c r="Q5" s="44"/>
      <c r="S5" s="38">
        <v>1.5</v>
      </c>
      <c r="T5" s="66">
        <v>182.5</v>
      </c>
      <c r="U5" s="41"/>
      <c r="V5" s="66">
        <v>182.5</v>
      </c>
      <c r="W5" s="41"/>
      <c r="X5" s="66">
        <v>181.25</v>
      </c>
      <c r="Y5" s="44"/>
      <c r="AA5" s="2">
        <v>2</v>
      </c>
      <c r="AB5" s="2" t="s">
        <v>39</v>
      </c>
      <c r="AC5" s="2">
        <v>1</v>
      </c>
      <c r="AD5" s="2">
        <v>150</v>
      </c>
      <c r="AE5" s="55"/>
    </row>
    <row r="6" spans="1:31" x14ac:dyDescent="0.25">
      <c r="A6" s="39"/>
      <c r="B6" s="67">
        <v>2.875</v>
      </c>
      <c r="C6" s="67">
        <v>3.125</v>
      </c>
      <c r="D6" s="67">
        <v>4.75</v>
      </c>
      <c r="E6" s="67">
        <v>5.25</v>
      </c>
      <c r="F6" s="73">
        <f t="shared" si="0"/>
        <v>16</v>
      </c>
      <c r="G6" s="45"/>
      <c r="I6" s="39"/>
      <c r="J6" s="67">
        <v>26</v>
      </c>
      <c r="K6" s="49"/>
      <c r="L6" s="49">
        <v>28.5</v>
      </c>
      <c r="M6" s="49"/>
      <c r="N6" s="67">
        <v>26.0625</v>
      </c>
      <c r="O6" s="49"/>
      <c r="P6" s="49">
        <v>31.125</v>
      </c>
      <c r="Q6" s="45"/>
      <c r="S6" s="39"/>
      <c r="T6" s="67">
        <v>182.625</v>
      </c>
      <c r="U6" s="42"/>
      <c r="V6" s="67">
        <v>183.75</v>
      </c>
      <c r="W6" s="42"/>
      <c r="X6" s="67">
        <v>180.25</v>
      </c>
      <c r="Y6" s="45"/>
      <c r="AA6" s="2">
        <v>5</v>
      </c>
      <c r="AB6" s="2" t="s">
        <v>38</v>
      </c>
      <c r="AC6" s="2">
        <v>2</v>
      </c>
      <c r="AD6" s="2">
        <v>150</v>
      </c>
      <c r="AE6" s="55"/>
    </row>
    <row r="7" spans="1:31" ht="15.75" thickBot="1" x14ac:dyDescent="0.3">
      <c r="A7" s="40"/>
      <c r="B7" s="68">
        <v>1.875</v>
      </c>
      <c r="C7" s="68">
        <v>2</v>
      </c>
      <c r="D7" s="68">
        <v>6.125</v>
      </c>
      <c r="E7" s="68">
        <v>1.875</v>
      </c>
      <c r="F7" s="50">
        <f t="shared" si="0"/>
        <v>11.875</v>
      </c>
      <c r="G7" s="69">
        <f>(F5+F6+F7)/3</f>
        <v>14.625</v>
      </c>
      <c r="I7" s="40"/>
      <c r="J7" s="68">
        <v>28</v>
      </c>
      <c r="K7" s="50">
        <f>(J5+J6+J7)/3</f>
        <v>29.520833333333332</v>
      </c>
      <c r="L7" s="51">
        <v>22.125</v>
      </c>
      <c r="M7" s="50">
        <f>(L5+L6+L7)/3</f>
        <v>24.916666666666668</v>
      </c>
      <c r="N7" s="68">
        <v>21.75</v>
      </c>
      <c r="O7" s="50">
        <f>(N5+N6+N7)/3</f>
        <v>25.333333333333332</v>
      </c>
      <c r="P7" s="51">
        <v>35.1875</v>
      </c>
      <c r="Q7" s="46">
        <f>(P5+P6+P7)/3</f>
        <v>32.854166666666664</v>
      </c>
      <c r="S7" s="40"/>
      <c r="T7" s="68">
        <v>180.5</v>
      </c>
      <c r="U7" s="43">
        <f>(T5+T6+T7)/3</f>
        <v>181.875</v>
      </c>
      <c r="V7" s="68">
        <v>181.5</v>
      </c>
      <c r="W7" s="43">
        <f>(V5+V6+V7)/3</f>
        <v>182.58333333333334</v>
      </c>
      <c r="X7" s="68">
        <v>180.375</v>
      </c>
      <c r="Y7" s="46">
        <f>(X5+X6+X7)/3</f>
        <v>180.625</v>
      </c>
      <c r="AA7" s="2">
        <v>11</v>
      </c>
      <c r="AB7" s="2" t="s">
        <v>40</v>
      </c>
      <c r="AC7" s="2">
        <v>3</v>
      </c>
      <c r="AD7" s="2">
        <v>150</v>
      </c>
      <c r="AE7" s="55"/>
    </row>
    <row r="8" spans="1:31" x14ac:dyDescent="0.25">
      <c r="A8" s="57">
        <v>2</v>
      </c>
      <c r="B8" s="61">
        <v>3.125</v>
      </c>
      <c r="C8" s="61">
        <v>2.875</v>
      </c>
      <c r="D8" s="61">
        <v>3</v>
      </c>
      <c r="E8" s="61">
        <v>5.375</v>
      </c>
      <c r="F8" s="71">
        <f t="shared" si="0"/>
        <v>14.375</v>
      </c>
      <c r="G8" s="63"/>
      <c r="I8" s="31">
        <v>2</v>
      </c>
      <c r="J8" s="34">
        <v>29.4375</v>
      </c>
      <c r="K8" s="34"/>
      <c r="L8" s="34">
        <v>31</v>
      </c>
      <c r="M8" s="34"/>
      <c r="N8" s="34">
        <v>29.13</v>
      </c>
      <c r="O8" s="34"/>
      <c r="P8" s="34">
        <v>36.25</v>
      </c>
      <c r="Q8" s="34"/>
      <c r="S8" s="31">
        <v>2</v>
      </c>
      <c r="T8" s="34">
        <v>181.75</v>
      </c>
      <c r="U8" s="34"/>
      <c r="V8" s="34">
        <v>182.375</v>
      </c>
      <c r="W8" s="34"/>
      <c r="X8" s="34">
        <v>180.75</v>
      </c>
      <c r="Y8" s="34"/>
      <c r="AA8" s="2">
        <v>9</v>
      </c>
      <c r="AB8" s="2" t="s">
        <v>38</v>
      </c>
      <c r="AC8" s="2">
        <v>1</v>
      </c>
      <c r="AD8" s="2">
        <v>200</v>
      </c>
      <c r="AE8" s="55"/>
    </row>
    <row r="9" spans="1:31" x14ac:dyDescent="0.25">
      <c r="A9" s="58"/>
      <c r="B9" s="56">
        <v>0.25</v>
      </c>
      <c r="C9" s="56">
        <v>5.75</v>
      </c>
      <c r="D9" s="56">
        <v>5.25</v>
      </c>
      <c r="E9" s="56">
        <v>3.5</v>
      </c>
      <c r="F9" s="29">
        <f t="shared" si="0"/>
        <v>14.75</v>
      </c>
      <c r="G9" s="64"/>
      <c r="I9" s="29"/>
      <c r="J9" s="34">
        <v>33.8125</v>
      </c>
      <c r="K9" s="34"/>
      <c r="L9" s="34">
        <v>35.875</v>
      </c>
      <c r="M9" s="34"/>
      <c r="N9" s="34">
        <v>31.6875</v>
      </c>
      <c r="O9" s="34"/>
      <c r="P9" s="34">
        <v>35.5625</v>
      </c>
      <c r="Q9" s="34"/>
      <c r="S9" s="29"/>
      <c r="T9" s="34">
        <v>181.75</v>
      </c>
      <c r="U9" s="34"/>
      <c r="V9" s="34">
        <v>182</v>
      </c>
      <c r="W9" s="34"/>
      <c r="X9" s="34">
        <v>180.25</v>
      </c>
      <c r="Y9" s="34"/>
      <c r="AA9" s="2">
        <v>12</v>
      </c>
      <c r="AB9" s="2" t="s">
        <v>39</v>
      </c>
      <c r="AC9" s="2">
        <v>2</v>
      </c>
      <c r="AD9" s="2">
        <v>200</v>
      </c>
      <c r="AE9" s="55"/>
    </row>
    <row r="10" spans="1:31" ht="15.75" thickBot="1" x14ac:dyDescent="0.3">
      <c r="A10" s="58"/>
      <c r="B10" s="62">
        <v>4.25</v>
      </c>
      <c r="C10" s="62">
        <v>1.5</v>
      </c>
      <c r="D10" s="62">
        <v>4.375</v>
      </c>
      <c r="E10" s="62">
        <v>3.25</v>
      </c>
      <c r="F10" s="30">
        <f t="shared" si="0"/>
        <v>13.375</v>
      </c>
      <c r="G10" s="65">
        <f>(F8+F9+F10)/3</f>
        <v>14.166666666666666</v>
      </c>
      <c r="I10" s="29"/>
      <c r="J10" s="34">
        <v>34.3125</v>
      </c>
      <c r="K10" s="33">
        <f>(J8+J9+J10)/3</f>
        <v>32.520833333333336</v>
      </c>
      <c r="L10" s="34">
        <v>28.5625</v>
      </c>
      <c r="M10" s="33">
        <f>(L8+L9+L10)/3</f>
        <v>31.8125</v>
      </c>
      <c r="N10" s="34">
        <v>23.3125</v>
      </c>
      <c r="O10" s="33">
        <f>(N8+N9+N10)/3</f>
        <v>28.043333333333333</v>
      </c>
      <c r="P10" s="34">
        <v>37.625</v>
      </c>
      <c r="Q10" s="33">
        <f>(P8+P9+P10)/3</f>
        <v>36.479166666666664</v>
      </c>
      <c r="S10" s="29"/>
      <c r="T10" s="34">
        <v>181.75</v>
      </c>
      <c r="U10" s="33">
        <f>(T8+T9+T10)/3</f>
        <v>181.75</v>
      </c>
      <c r="V10" s="34">
        <v>182.25</v>
      </c>
      <c r="W10" s="33">
        <f>(V8+V9+V10)/3</f>
        <v>182.20833333333334</v>
      </c>
      <c r="X10" s="34">
        <v>179.875</v>
      </c>
      <c r="Y10" s="33">
        <f>(X8+X9+X10)/3</f>
        <v>180.29166666666666</v>
      </c>
      <c r="AA10" s="2">
        <v>13</v>
      </c>
      <c r="AB10" s="2" t="s">
        <v>40</v>
      </c>
      <c r="AC10" s="2">
        <v>3</v>
      </c>
      <c r="AD10" s="2">
        <v>200</v>
      </c>
      <c r="AE10" s="55"/>
    </row>
    <row r="11" spans="1:31" x14ac:dyDescent="0.25">
      <c r="A11" s="38">
        <v>2.5</v>
      </c>
      <c r="B11" s="66">
        <v>2.5</v>
      </c>
      <c r="C11" s="66">
        <v>2.5</v>
      </c>
      <c r="D11" s="66">
        <v>4</v>
      </c>
      <c r="E11" s="66">
        <v>4.875</v>
      </c>
      <c r="F11" s="72">
        <f t="shared" si="0"/>
        <v>13.875</v>
      </c>
      <c r="G11" s="44"/>
      <c r="I11" s="38">
        <v>2.5</v>
      </c>
      <c r="J11" s="66">
        <v>29.0625</v>
      </c>
      <c r="K11" s="48"/>
      <c r="L11" s="48">
        <v>31.1875</v>
      </c>
      <c r="M11" s="48"/>
      <c r="N11" s="66">
        <v>24.125</v>
      </c>
      <c r="O11" s="48"/>
      <c r="P11" s="48">
        <v>37.5625</v>
      </c>
      <c r="Q11" s="44"/>
      <c r="S11" s="38">
        <v>2.5</v>
      </c>
      <c r="T11" s="66">
        <v>181.75</v>
      </c>
      <c r="U11" s="41"/>
      <c r="V11" s="66">
        <v>182.625</v>
      </c>
      <c r="W11" s="41"/>
      <c r="X11" s="66">
        <v>180.5</v>
      </c>
      <c r="Y11" s="44"/>
      <c r="AA11" s="2">
        <v>7</v>
      </c>
      <c r="AB11" s="2" t="s">
        <v>38</v>
      </c>
      <c r="AC11" s="2">
        <v>1</v>
      </c>
      <c r="AD11" s="2">
        <v>250</v>
      </c>
      <c r="AE11" s="55"/>
    </row>
    <row r="12" spans="1:31" x14ac:dyDescent="0.25">
      <c r="A12" s="39"/>
      <c r="B12" s="67">
        <v>1.375</v>
      </c>
      <c r="C12" s="67">
        <v>3.75</v>
      </c>
      <c r="D12" s="67">
        <v>2.625</v>
      </c>
      <c r="E12" s="67">
        <v>6.125</v>
      </c>
      <c r="F12" s="73">
        <f t="shared" si="0"/>
        <v>13.875</v>
      </c>
      <c r="G12" s="45"/>
      <c r="I12" s="39"/>
      <c r="J12" s="67">
        <v>31.3125</v>
      </c>
      <c r="K12" s="49"/>
      <c r="L12" s="49">
        <v>28.3125</v>
      </c>
      <c r="M12" s="49"/>
      <c r="N12" s="67">
        <v>28.625</v>
      </c>
      <c r="O12" s="49"/>
      <c r="P12" s="49">
        <v>41.125</v>
      </c>
      <c r="Q12" s="45"/>
      <c r="S12" s="39"/>
      <c r="T12" s="67">
        <v>181.375</v>
      </c>
      <c r="U12" s="42"/>
      <c r="V12" s="67">
        <v>181.875</v>
      </c>
      <c r="W12" s="42"/>
      <c r="X12" s="67">
        <v>180.25</v>
      </c>
      <c r="Y12" s="45"/>
      <c r="AA12" s="2">
        <v>8</v>
      </c>
      <c r="AB12" s="2" t="s">
        <v>39</v>
      </c>
      <c r="AC12" s="2">
        <v>2</v>
      </c>
      <c r="AD12" s="2">
        <v>250</v>
      </c>
      <c r="AE12" s="55"/>
    </row>
    <row r="13" spans="1:31" ht="15.75" thickBot="1" x14ac:dyDescent="0.3">
      <c r="A13" s="40"/>
      <c r="B13" s="68">
        <v>4.375</v>
      </c>
      <c r="C13" s="68">
        <v>1.375</v>
      </c>
      <c r="D13" s="68">
        <v>5.25</v>
      </c>
      <c r="E13" s="68">
        <v>2.75</v>
      </c>
      <c r="F13" s="50">
        <f t="shared" si="0"/>
        <v>13.75</v>
      </c>
      <c r="G13" s="69">
        <f>(F11+F12+F13)/3</f>
        <v>13.833333333333334</v>
      </c>
      <c r="I13" s="40"/>
      <c r="J13" s="68">
        <v>35.25</v>
      </c>
      <c r="K13" s="50">
        <f>(J11+J12+J13)/3</f>
        <v>31.875</v>
      </c>
      <c r="L13" s="51">
        <v>26.5625</v>
      </c>
      <c r="M13" s="50">
        <f>(L11+L12+L13)/3</f>
        <v>28.6875</v>
      </c>
      <c r="N13" s="68">
        <v>23.0625</v>
      </c>
      <c r="O13" s="50">
        <f>(N11+N12+N13)/3</f>
        <v>25.270833333333332</v>
      </c>
      <c r="P13" s="51">
        <v>40.375</v>
      </c>
      <c r="Q13" s="46">
        <f>(P11+P12+P13)/3</f>
        <v>39.6875</v>
      </c>
      <c r="S13" s="40"/>
      <c r="T13" s="68">
        <v>180.875</v>
      </c>
      <c r="U13" s="43">
        <f>(T11+T12+T13)/3</f>
        <v>181.33333333333334</v>
      </c>
      <c r="V13" s="68">
        <v>182.25</v>
      </c>
      <c r="W13" s="43">
        <f>(V11+V12+V13)/3</f>
        <v>182.25</v>
      </c>
      <c r="X13" s="68">
        <v>180</v>
      </c>
      <c r="Y13" s="46">
        <f>(X11+X12+X13)/3</f>
        <v>180.25</v>
      </c>
      <c r="AA13" s="2">
        <v>15</v>
      </c>
      <c r="AB13" s="2" t="s">
        <v>40</v>
      </c>
      <c r="AC13" s="2">
        <v>3</v>
      </c>
      <c r="AD13" s="2">
        <v>250</v>
      </c>
      <c r="AE13" s="55"/>
    </row>
    <row r="14" spans="1:31" x14ac:dyDescent="0.25">
      <c r="A14" s="59">
        <v>3</v>
      </c>
      <c r="B14" s="61">
        <v>6.125</v>
      </c>
      <c r="C14" s="61">
        <v>1.375</v>
      </c>
      <c r="D14" s="61">
        <v>10.25</v>
      </c>
      <c r="E14" s="61">
        <v>0</v>
      </c>
      <c r="F14" s="71">
        <f t="shared" si="0"/>
        <v>17.75</v>
      </c>
      <c r="G14" s="63"/>
      <c r="I14" s="28">
        <v>3</v>
      </c>
      <c r="J14" s="34">
        <f>28.125</f>
        <v>28.125</v>
      </c>
      <c r="K14" s="35"/>
      <c r="L14" s="35">
        <f>26.375</f>
        <v>26.375</v>
      </c>
      <c r="M14" s="35"/>
      <c r="N14" s="34">
        <v>27.3125</v>
      </c>
      <c r="O14" s="35"/>
      <c r="P14" s="35">
        <v>36.1875</v>
      </c>
      <c r="Q14" s="35"/>
      <c r="S14" s="28">
        <v>3</v>
      </c>
      <c r="T14" s="34">
        <v>181.5</v>
      </c>
      <c r="U14" s="35"/>
      <c r="V14" s="34">
        <v>183.25</v>
      </c>
      <c r="W14" s="35"/>
      <c r="X14" s="34">
        <v>180.5</v>
      </c>
      <c r="Y14" s="35"/>
      <c r="AA14" s="2">
        <v>1</v>
      </c>
      <c r="AB14" s="2" t="s">
        <v>38</v>
      </c>
      <c r="AC14" s="2">
        <v>1</v>
      </c>
      <c r="AD14" s="2">
        <v>300</v>
      </c>
      <c r="AE14" s="55"/>
    </row>
    <row r="15" spans="1:31" x14ac:dyDescent="0.25">
      <c r="A15" s="58"/>
      <c r="B15" s="56">
        <v>1.75</v>
      </c>
      <c r="C15" s="56">
        <v>2.125</v>
      </c>
      <c r="D15" s="56">
        <v>4.25</v>
      </c>
      <c r="E15" s="56">
        <v>3.875</v>
      </c>
      <c r="F15" s="29">
        <f t="shared" si="0"/>
        <v>12</v>
      </c>
      <c r="G15" s="64"/>
      <c r="I15" s="29"/>
      <c r="J15" s="34">
        <v>24.25</v>
      </c>
      <c r="K15" s="34"/>
      <c r="L15" s="34">
        <v>32.5625</v>
      </c>
      <c r="M15" s="34"/>
      <c r="N15" s="34">
        <v>36.1875</v>
      </c>
      <c r="O15" s="34"/>
      <c r="P15" s="34">
        <v>32.5</v>
      </c>
      <c r="Q15" s="34"/>
      <c r="S15" s="29"/>
      <c r="T15" s="34">
        <v>181.5</v>
      </c>
      <c r="U15" s="34"/>
      <c r="V15" s="34">
        <v>181.5</v>
      </c>
      <c r="W15" s="34"/>
      <c r="X15" s="34">
        <v>180.75</v>
      </c>
      <c r="Y15" s="34"/>
      <c r="AA15" s="2">
        <v>3</v>
      </c>
      <c r="AB15" s="2" t="s">
        <v>38</v>
      </c>
      <c r="AC15" s="2">
        <v>2</v>
      </c>
      <c r="AD15" s="2">
        <v>300</v>
      </c>
      <c r="AE15" s="55"/>
    </row>
    <row r="16" spans="1:31" ht="15.75" thickBot="1" x14ac:dyDescent="0.3">
      <c r="A16" s="60"/>
      <c r="B16" s="62">
        <v>0.5</v>
      </c>
      <c r="C16" s="62">
        <v>4.875</v>
      </c>
      <c r="D16" s="62">
        <v>4.75</v>
      </c>
      <c r="E16" s="62">
        <v>4.5</v>
      </c>
      <c r="F16" s="30">
        <f t="shared" si="0"/>
        <v>14.625</v>
      </c>
      <c r="G16" s="65">
        <f>(F14+F15+F16)/3</f>
        <v>14.791666666666666</v>
      </c>
      <c r="I16" s="30"/>
      <c r="J16" s="36">
        <v>32.125</v>
      </c>
      <c r="K16" s="37">
        <f>(J14+J15+J16)/3</f>
        <v>28.166666666666668</v>
      </c>
      <c r="L16" s="36">
        <v>42.25</v>
      </c>
      <c r="M16" s="37">
        <f>(L14+L15+L16)/3</f>
        <v>33.729166666666664</v>
      </c>
      <c r="N16" s="36">
        <v>23.375</v>
      </c>
      <c r="O16" s="37">
        <f>(N14+N15+N16)/3</f>
        <v>28.958333333333332</v>
      </c>
      <c r="P16" s="36">
        <v>44.1875</v>
      </c>
      <c r="Q16" s="37">
        <f>(P14+P15+P16)/3</f>
        <v>37.625</v>
      </c>
      <c r="S16" s="30"/>
      <c r="T16" s="36">
        <v>180.5</v>
      </c>
      <c r="U16" s="37">
        <f>(T14+T15+T16)/3</f>
        <v>181.16666666666666</v>
      </c>
      <c r="V16" s="36">
        <v>181.25</v>
      </c>
      <c r="W16" s="37">
        <f>(V14+V15+V16)/3</f>
        <v>182</v>
      </c>
      <c r="X16" s="36">
        <v>180.25</v>
      </c>
      <c r="Y16" s="37">
        <f>(X14+X15+X16)/3</f>
        <v>180.5</v>
      </c>
      <c r="AA16" s="2">
        <v>14</v>
      </c>
      <c r="AB16" s="2" t="s">
        <v>39</v>
      </c>
      <c r="AC16" s="2">
        <v>3</v>
      </c>
      <c r="AD16" s="2">
        <v>300</v>
      </c>
      <c r="AE16" s="55"/>
    </row>
    <row r="17" spans="1:25" ht="15.75" thickBot="1" x14ac:dyDescent="0.3"/>
    <row r="18" spans="1:25" ht="15.75" thickBot="1" x14ac:dyDescent="0.3">
      <c r="A18" t="s">
        <v>67</v>
      </c>
      <c r="B18" s="78">
        <v>0.83299999999999996</v>
      </c>
      <c r="C18" s="78">
        <v>0.115</v>
      </c>
      <c r="D18" s="78">
        <v>0.36799999999999999</v>
      </c>
      <c r="E18" s="78">
        <v>0.59799999999999998</v>
      </c>
      <c r="F18" s="78">
        <v>0.83199999999999996</v>
      </c>
      <c r="J18" s="79">
        <v>0.58199999999999996</v>
      </c>
      <c r="L18" s="79">
        <v>4.2000000000000003E-2</v>
      </c>
      <c r="N18" s="79">
        <v>0.61599999999999999</v>
      </c>
      <c r="P18" s="79">
        <v>0.188</v>
      </c>
      <c r="S18" s="47" t="s">
        <v>46</v>
      </c>
      <c r="T18" s="47" t="s">
        <v>61</v>
      </c>
      <c r="U18" s="47" t="s">
        <v>62</v>
      </c>
      <c r="V18" s="47" t="s">
        <v>63</v>
      </c>
      <c r="W18" s="47" t="s">
        <v>64</v>
      </c>
      <c r="X18" s="47" t="s">
        <v>65</v>
      </c>
      <c r="Y18" s="47" t="s">
        <v>66</v>
      </c>
    </row>
    <row r="19" spans="1:25" x14ac:dyDescent="0.25">
      <c r="S19" s="31">
        <v>1</v>
      </c>
      <c r="T19" s="80">
        <f>T2-181.25</f>
        <v>1.25</v>
      </c>
      <c r="U19" s="80"/>
      <c r="V19" s="80">
        <f t="shared" ref="V19:X19" si="1">V2-181.25</f>
        <v>0.25</v>
      </c>
      <c r="W19" s="80"/>
      <c r="X19" s="80">
        <f t="shared" si="1"/>
        <v>-1.1944444444444571</v>
      </c>
      <c r="Y19" s="80"/>
    </row>
    <row r="20" spans="1:25" x14ac:dyDescent="0.25">
      <c r="S20" s="29"/>
      <c r="T20" s="80">
        <f t="shared" ref="T20:X20" si="2">T3-181.25</f>
        <v>1</v>
      </c>
      <c r="U20" s="80"/>
      <c r="V20" s="80">
        <f t="shared" si="2"/>
        <v>1</v>
      </c>
      <c r="W20" s="80"/>
      <c r="X20" s="80">
        <f t="shared" si="2"/>
        <v>-1</v>
      </c>
      <c r="Y20" s="80"/>
    </row>
    <row r="21" spans="1:25" ht="15.75" thickBot="1" x14ac:dyDescent="0.3">
      <c r="S21" s="29"/>
      <c r="T21" s="80">
        <f t="shared" ref="T21:X21" si="3">T4-181.25</f>
        <v>0.625</v>
      </c>
      <c r="U21" s="80"/>
      <c r="V21" s="80">
        <f t="shared" si="3"/>
        <v>1.25</v>
      </c>
      <c r="W21" s="80"/>
      <c r="X21" s="80">
        <f t="shared" si="3"/>
        <v>-0.875</v>
      </c>
      <c r="Y21" s="80"/>
    </row>
    <row r="22" spans="1:25" x14ac:dyDescent="0.25">
      <c r="S22" s="38">
        <v>1.5</v>
      </c>
      <c r="T22" s="80">
        <f t="shared" ref="T22:X22" si="4">T5-181.25</f>
        <v>1.25</v>
      </c>
      <c r="U22" s="80"/>
      <c r="V22" s="80">
        <f t="shared" si="4"/>
        <v>1.25</v>
      </c>
      <c r="W22" s="80"/>
      <c r="X22" s="80">
        <f t="shared" si="4"/>
        <v>0</v>
      </c>
      <c r="Y22" s="80"/>
    </row>
    <row r="23" spans="1:25" x14ac:dyDescent="0.25">
      <c r="S23" s="39"/>
      <c r="T23" s="80">
        <f t="shared" ref="T23:X23" si="5">T6-181.25</f>
        <v>1.375</v>
      </c>
      <c r="U23" s="80"/>
      <c r="V23" s="80">
        <f t="shared" si="5"/>
        <v>2.5</v>
      </c>
      <c r="W23" s="80"/>
      <c r="X23" s="80">
        <f t="shared" si="5"/>
        <v>-1</v>
      </c>
      <c r="Y23" s="80"/>
    </row>
    <row r="24" spans="1:25" ht="15.75" thickBot="1" x14ac:dyDescent="0.3">
      <c r="S24" s="40"/>
      <c r="T24" s="80">
        <f t="shared" ref="T24:X24" si="6">T7-181.25</f>
        <v>-0.75</v>
      </c>
      <c r="U24" s="80"/>
      <c r="V24" s="80">
        <f t="shared" si="6"/>
        <v>0.25</v>
      </c>
      <c r="W24" s="80"/>
      <c r="X24" s="80">
        <f t="shared" si="6"/>
        <v>-0.875</v>
      </c>
      <c r="Y24" s="80"/>
    </row>
    <row r="25" spans="1:25" x14ac:dyDescent="0.25">
      <c r="S25" s="31">
        <v>2</v>
      </c>
      <c r="T25" s="80">
        <f t="shared" ref="T25:X25" si="7">T8-181.25</f>
        <v>0.5</v>
      </c>
      <c r="U25" s="80"/>
      <c r="V25" s="80">
        <f t="shared" si="7"/>
        <v>1.125</v>
      </c>
      <c r="W25" s="80"/>
      <c r="X25" s="80">
        <f t="shared" si="7"/>
        <v>-0.5</v>
      </c>
      <c r="Y25" s="80"/>
    </row>
    <row r="26" spans="1:25" x14ac:dyDescent="0.25">
      <c r="S26" s="29"/>
      <c r="T26" s="80">
        <f t="shared" ref="T26:X26" si="8">T9-181.25</f>
        <v>0.5</v>
      </c>
      <c r="U26" s="80"/>
      <c r="V26" s="80">
        <f t="shared" si="8"/>
        <v>0.75</v>
      </c>
      <c r="W26" s="80"/>
      <c r="X26" s="80">
        <f t="shared" si="8"/>
        <v>-1</v>
      </c>
      <c r="Y26" s="80"/>
    </row>
    <row r="27" spans="1:25" ht="15.75" thickBot="1" x14ac:dyDescent="0.3">
      <c r="S27" s="29"/>
      <c r="T27" s="80">
        <f t="shared" ref="T27:X27" si="9">T10-181.25</f>
        <v>0.5</v>
      </c>
      <c r="U27" s="80"/>
      <c r="V27" s="80">
        <f t="shared" si="9"/>
        <v>1</v>
      </c>
      <c r="W27" s="80"/>
      <c r="X27" s="80">
        <f t="shared" si="9"/>
        <v>-1.375</v>
      </c>
      <c r="Y27" s="80"/>
    </row>
    <row r="28" spans="1:25" x14ac:dyDescent="0.25">
      <c r="S28" s="38">
        <v>2.5</v>
      </c>
      <c r="T28" s="80">
        <f t="shared" ref="T28:X28" si="10">T11-181.25</f>
        <v>0.5</v>
      </c>
      <c r="U28" s="80"/>
      <c r="V28" s="80">
        <f t="shared" si="10"/>
        <v>1.375</v>
      </c>
      <c r="W28" s="80"/>
      <c r="X28" s="80">
        <f t="shared" si="10"/>
        <v>-0.75</v>
      </c>
      <c r="Y28" s="80"/>
    </row>
    <row r="29" spans="1:25" x14ac:dyDescent="0.25">
      <c r="S29" s="39"/>
      <c r="T29" s="80">
        <f t="shared" ref="T29:X29" si="11">T12-181.25</f>
        <v>0.125</v>
      </c>
      <c r="U29" s="80"/>
      <c r="V29" s="80">
        <f t="shared" si="11"/>
        <v>0.625</v>
      </c>
      <c r="W29" s="80"/>
      <c r="X29" s="80">
        <f t="shared" si="11"/>
        <v>-1</v>
      </c>
      <c r="Y29" s="80"/>
    </row>
    <row r="30" spans="1:25" ht="15.75" thickBot="1" x14ac:dyDescent="0.3">
      <c r="S30" s="40"/>
      <c r="T30" s="80">
        <f t="shared" ref="T30:X30" si="12">T13-181.25</f>
        <v>-0.375</v>
      </c>
      <c r="U30" s="80"/>
      <c r="V30" s="80">
        <f t="shared" si="12"/>
        <v>1</v>
      </c>
      <c r="W30" s="80"/>
      <c r="X30" s="80">
        <f t="shared" si="12"/>
        <v>-1.25</v>
      </c>
      <c r="Y30" s="80"/>
    </row>
    <row r="31" spans="1:25" x14ac:dyDescent="0.25">
      <c r="S31" s="28">
        <v>3</v>
      </c>
      <c r="T31" s="80">
        <f t="shared" ref="T31:X31" si="13">T14-181.25</f>
        <v>0.25</v>
      </c>
      <c r="U31" s="80"/>
      <c r="V31" s="80">
        <f t="shared" si="13"/>
        <v>2</v>
      </c>
      <c r="W31" s="80"/>
      <c r="X31" s="80">
        <f t="shared" si="13"/>
        <v>-0.75</v>
      </c>
      <c r="Y31" s="80"/>
    </row>
    <row r="32" spans="1:25" x14ac:dyDescent="0.25">
      <c r="S32" s="29"/>
      <c r="T32" s="80">
        <f t="shared" ref="T32:X32" si="14">T15-181.25</f>
        <v>0.25</v>
      </c>
      <c r="U32" s="80"/>
      <c r="V32" s="80">
        <f t="shared" si="14"/>
        <v>0.25</v>
      </c>
      <c r="W32" s="80"/>
      <c r="X32" s="80">
        <f t="shared" si="14"/>
        <v>-0.5</v>
      </c>
      <c r="Y32" s="80"/>
    </row>
    <row r="33" spans="19:25" ht="15.75" thickBot="1" x14ac:dyDescent="0.3">
      <c r="S33" s="30"/>
      <c r="T33" s="80">
        <f t="shared" ref="T33:X33" si="15">T16-181.25</f>
        <v>-0.75</v>
      </c>
      <c r="U33" s="80"/>
      <c r="V33" s="80">
        <f t="shared" si="15"/>
        <v>0</v>
      </c>
      <c r="W33" s="80"/>
      <c r="X33" s="80">
        <f t="shared" si="15"/>
        <v>-1</v>
      </c>
      <c r="Y33" s="80"/>
    </row>
    <row r="34" spans="19:25" x14ac:dyDescent="0.25">
      <c r="T34" s="80"/>
      <c r="U34" s="80"/>
      <c r="V34" s="80"/>
      <c r="W34" s="80"/>
      <c r="X34" s="80"/>
      <c r="Y34" s="80"/>
    </row>
    <row r="35" spans="19:25" x14ac:dyDescent="0.25">
      <c r="T35" s="79">
        <v>0.33700000000000002</v>
      </c>
      <c r="V35" s="79">
        <v>0.89800000000000002</v>
      </c>
      <c r="X35" s="79">
        <v>0.59899999999999998</v>
      </c>
      <c r="Y35" s="80"/>
    </row>
    <row r="36" spans="19:25" x14ac:dyDescent="0.25">
      <c r="T36" s="80"/>
      <c r="U36" s="80"/>
      <c r="V36" s="80"/>
      <c r="W36" s="80"/>
      <c r="X36" s="80"/>
      <c r="Y36" s="80"/>
    </row>
    <row r="37" spans="19:25" x14ac:dyDescent="0.25">
      <c r="T37" s="80"/>
      <c r="U37" s="80"/>
      <c r="V37" s="80"/>
      <c r="W37" s="80"/>
      <c r="X37" s="80"/>
      <c r="Y37" s="80"/>
    </row>
    <row r="38" spans="19:25" x14ac:dyDescent="0.25">
      <c r="T38" s="80"/>
      <c r="U38" s="80"/>
      <c r="V38" s="80"/>
      <c r="W38" s="80"/>
      <c r="X38" s="80"/>
      <c r="Y38" s="80"/>
    </row>
    <row r="39" spans="19:25" x14ac:dyDescent="0.25">
      <c r="T39" s="80"/>
      <c r="U39" s="80"/>
      <c r="V39" s="80"/>
      <c r="W39" s="80"/>
      <c r="X39" s="80"/>
      <c r="Y39" s="80"/>
    </row>
    <row r="40" spans="19:25" x14ac:dyDescent="0.25">
      <c r="T40" s="80"/>
      <c r="U40" s="80"/>
      <c r="V40" s="80"/>
      <c r="W40" s="80"/>
      <c r="X40" s="80"/>
      <c r="Y40" s="8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7"/>
  <sheetViews>
    <sheetView topLeftCell="AB1" zoomScaleNormal="100" workbookViewId="0">
      <pane ySplit="1" topLeftCell="A3" activePane="bottomLeft" state="frozen"/>
      <selection pane="bottomLeft" activeCell="D18" sqref="D18"/>
    </sheetView>
  </sheetViews>
  <sheetFormatPr defaultRowHeight="15" x14ac:dyDescent="0.25"/>
  <cols>
    <col min="1" max="1" width="16" bestFit="1" customWidth="1"/>
    <col min="2" max="2" width="12.42578125" bestFit="1" customWidth="1"/>
    <col min="3" max="3" width="13.7109375" bestFit="1" customWidth="1"/>
    <col min="4" max="4" width="15.7109375" bestFit="1" customWidth="1"/>
    <col min="5" max="5" width="13.7109375" bestFit="1" customWidth="1"/>
    <col min="6" max="6" width="16" bestFit="1" customWidth="1"/>
    <col min="7" max="7" width="11.7109375" bestFit="1" customWidth="1"/>
    <col min="8" max="8" width="12.42578125" bestFit="1" customWidth="1"/>
    <col min="9" max="9" width="13.7109375" bestFit="1" customWidth="1"/>
    <col min="10" max="10" width="6.140625" bestFit="1" customWidth="1"/>
    <col min="11" max="11" width="9.28515625" bestFit="1" customWidth="1"/>
    <col min="12" max="13" width="16" bestFit="1" customWidth="1"/>
    <col min="14" max="14" width="14.85546875" bestFit="1" customWidth="1"/>
    <col min="15" max="15" width="15.140625" bestFit="1" customWidth="1"/>
    <col min="16" max="17" width="12.140625" bestFit="1" customWidth="1"/>
    <col min="18" max="18" width="12.140625" customWidth="1"/>
    <col min="19" max="21" width="11.7109375" bestFit="1" customWidth="1"/>
    <col min="22" max="22" width="15.85546875" bestFit="1" customWidth="1"/>
    <col min="23" max="23" width="11.7109375" bestFit="1" customWidth="1"/>
    <col min="35" max="35" width="15.85546875" bestFit="1" customWidth="1"/>
  </cols>
  <sheetData>
    <row r="1" spans="1:40" ht="16.149999999999999" customHeight="1" x14ac:dyDescent="0.25">
      <c r="A1" s="4" t="s">
        <v>0</v>
      </c>
      <c r="B1" s="5" t="s">
        <v>6</v>
      </c>
      <c r="C1" s="5" t="s">
        <v>24</v>
      </c>
      <c r="D1" s="5" t="s">
        <v>25</v>
      </c>
      <c r="E1" s="5" t="s">
        <v>2</v>
      </c>
      <c r="F1" s="5" t="s">
        <v>26</v>
      </c>
      <c r="G1" s="5" t="s">
        <v>43</v>
      </c>
      <c r="H1" s="5" t="s">
        <v>45</v>
      </c>
      <c r="J1" s="4" t="s">
        <v>42</v>
      </c>
      <c r="K1" s="4" t="s">
        <v>1</v>
      </c>
      <c r="L1" s="4" t="s">
        <v>0</v>
      </c>
      <c r="M1" s="5" t="s">
        <v>6</v>
      </c>
      <c r="N1" s="3" t="s">
        <v>3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4" t="s">
        <v>4</v>
      </c>
      <c r="U1" s="4" t="s">
        <v>2</v>
      </c>
      <c r="V1" s="8" t="s">
        <v>26</v>
      </c>
      <c r="W1" s="17" t="s">
        <v>37</v>
      </c>
      <c r="X1" s="17" t="s">
        <v>44</v>
      </c>
      <c r="Y1" s="17" t="s">
        <v>43</v>
      </c>
      <c r="Z1" s="8" t="s">
        <v>45</v>
      </c>
    </row>
    <row r="2" spans="1:40" s="1" customFormat="1" ht="14.45" x14ac:dyDescent="0.3">
      <c r="A2" s="52">
        <v>100</v>
      </c>
      <c r="B2" s="53">
        <v>1.1000000000000001</v>
      </c>
      <c r="C2" s="53">
        <v>1.0291666666666668</v>
      </c>
      <c r="D2" s="53">
        <v>-7.0833333333333304E-2</v>
      </c>
      <c r="E2" s="53">
        <v>0.89873417721518978</v>
      </c>
      <c r="F2" s="53">
        <v>0.20126582278481031</v>
      </c>
      <c r="G2" s="53">
        <v>1.1557262222222227</v>
      </c>
      <c r="H2" s="53">
        <v>-5.5726222222222566E-2</v>
      </c>
      <c r="J2" s="2">
        <v>4</v>
      </c>
      <c r="K2" s="2">
        <v>1</v>
      </c>
      <c r="L2" s="2">
        <v>100</v>
      </c>
      <c r="M2" s="26">
        <v>1.1000000000000001</v>
      </c>
      <c r="N2" s="2" t="s">
        <v>9</v>
      </c>
      <c r="O2" s="7">
        <v>1.0249999999999999</v>
      </c>
      <c r="P2" s="7">
        <v>1.0249999999999999</v>
      </c>
      <c r="Q2" s="7">
        <v>1.0375000000000001</v>
      </c>
      <c r="R2" s="26">
        <v>1.0291666666666668</v>
      </c>
      <c r="S2" s="26">
        <f>R2-M2</f>
        <v>-7.0833333333333304E-2</v>
      </c>
      <c r="T2" s="2">
        <v>86.9</v>
      </c>
      <c r="U2" s="26">
        <f t="shared" ref="U2:U16" si="0">((165-T2)/T2)</f>
        <v>0.89873417721518978</v>
      </c>
      <c r="V2" s="26">
        <f>U2-M2</f>
        <v>-0.20126582278481031</v>
      </c>
      <c r="W2" s="2">
        <v>218.7</v>
      </c>
      <c r="X2" s="16">
        <v>7.7142857142857135</v>
      </c>
      <c r="Y2" s="26">
        <f t="shared" ref="Y2:Y16" si="1">(AN2-AM2)/AM2</f>
        <v>1.1557262222222227</v>
      </c>
      <c r="Z2" s="26">
        <f>Y2-M2</f>
        <v>5.5726222222222566E-2</v>
      </c>
      <c r="AA2"/>
      <c r="AB2" s="18">
        <v>19.684999999999999</v>
      </c>
      <c r="AC2" s="19">
        <v>0.8</v>
      </c>
      <c r="AD2" s="20">
        <v>10250</v>
      </c>
      <c r="AE2" s="21">
        <f>AB2*AC2*AD2*0.0004</f>
        <v>64.566800000000001</v>
      </c>
      <c r="AF2" s="22">
        <v>11</v>
      </c>
      <c r="AG2" s="19">
        <v>0</v>
      </c>
      <c r="AH2" s="19">
        <v>49</v>
      </c>
      <c r="AI2" s="19">
        <v>41</v>
      </c>
      <c r="AJ2" s="23">
        <f>((AH2+AI2)*2)/12</f>
        <v>15</v>
      </c>
      <c r="AK2" s="23">
        <f>AJ2*AF2</f>
        <v>165</v>
      </c>
      <c r="AL2" s="24">
        <f t="shared" ref="AL2:AL16" si="2">AK2*(1/(1+Y2))</f>
        <v>76.540331652091865</v>
      </c>
      <c r="AM2" s="20">
        <f>X2</f>
        <v>7.7142857142857135</v>
      </c>
      <c r="AN2" s="25">
        <f>AB2*AC2*AK2*0.0004*16</f>
        <v>16.629888000000001</v>
      </c>
    </row>
    <row r="3" spans="1:40" s="1" customFormat="1" ht="14.45" x14ac:dyDescent="0.3">
      <c r="A3" s="52">
        <v>100</v>
      </c>
      <c r="B3" s="53">
        <v>1.1000000000000001</v>
      </c>
      <c r="C3" s="53">
        <v>0.98750000000000004</v>
      </c>
      <c r="D3" s="53">
        <v>-0.11250000000000004</v>
      </c>
      <c r="E3" s="53">
        <v>0.92233009708737879</v>
      </c>
      <c r="F3" s="53">
        <v>-0.1776699029126213</v>
      </c>
      <c r="G3" s="53">
        <v>1.1527731726027399</v>
      </c>
      <c r="H3" s="53">
        <v>5.2773172602739837E-2</v>
      </c>
      <c r="J3" s="2">
        <v>6</v>
      </c>
      <c r="K3" s="2">
        <v>2</v>
      </c>
      <c r="L3" s="2">
        <v>100</v>
      </c>
      <c r="M3" s="26">
        <v>1.1000000000000001</v>
      </c>
      <c r="N3" s="2" t="s">
        <v>11</v>
      </c>
      <c r="O3" s="7">
        <v>0.98750000000000004</v>
      </c>
      <c r="P3" s="7">
        <v>0.97499999999999998</v>
      </c>
      <c r="Q3" s="7">
        <v>1</v>
      </c>
      <c r="R3" s="26">
        <v>0.98750000000000004</v>
      </c>
      <c r="S3" s="26">
        <f t="shared" ref="S3:S16" si="3">R3-M3</f>
        <v>-0.11250000000000004</v>
      </c>
      <c r="T3" s="2">
        <f>85+10/12</f>
        <v>85.833333333333329</v>
      </c>
      <c r="U3" s="26">
        <f t="shared" si="0"/>
        <v>0.92233009708737879</v>
      </c>
      <c r="V3" s="26">
        <f t="shared" ref="V3:V16" si="4">U3-M3</f>
        <v>-0.1776699029126213</v>
      </c>
      <c r="W3" s="2">
        <v>219</v>
      </c>
      <c r="X3" s="16">
        <v>7.7248677248677247</v>
      </c>
      <c r="Y3" s="26">
        <f t="shared" si="1"/>
        <v>1.1527731726027399</v>
      </c>
      <c r="Z3" s="26">
        <f t="shared" ref="Z3:Z16" si="5">Y3-M3</f>
        <v>5.2773172602739837E-2</v>
      </c>
      <c r="AA3"/>
      <c r="AB3" s="18">
        <v>19.684999999999999</v>
      </c>
      <c r="AC3" s="19">
        <v>0.8</v>
      </c>
      <c r="AD3" s="20">
        <v>10250</v>
      </c>
      <c r="AE3" s="21">
        <f t="shared" ref="AE3:AE16" si="6">AB3*AC3*AD3*0.0004</f>
        <v>64.566800000000001</v>
      </c>
      <c r="AF3" s="22">
        <v>11</v>
      </c>
      <c r="AG3" s="19">
        <v>0</v>
      </c>
      <c r="AH3" s="19">
        <v>49</v>
      </c>
      <c r="AI3" s="19">
        <v>41</v>
      </c>
      <c r="AJ3" s="23">
        <f t="shared" ref="AJ3:AJ16" si="7">((AH3+AI3)*2)/12</f>
        <v>15</v>
      </c>
      <c r="AK3" s="23">
        <f t="shared" ref="AK3:AK16" si="8">AJ3*AF3</f>
        <v>165</v>
      </c>
      <c r="AL3" s="24">
        <f t="shared" si="2"/>
        <v>76.64532524832245</v>
      </c>
      <c r="AM3" s="20">
        <f t="shared" ref="AM3:AM16" si="9">X3</f>
        <v>7.7248677248677247</v>
      </c>
      <c r="AN3" s="25">
        <f t="shared" ref="AN3:AN16" si="10">AB3*AC3*AK3*0.0004*16</f>
        <v>16.629888000000001</v>
      </c>
    </row>
    <row r="4" spans="1:40" s="1" customFormat="1" ht="14.45" x14ac:dyDescent="0.3">
      <c r="A4" s="52">
        <v>100</v>
      </c>
      <c r="B4" s="53">
        <v>1.1000000000000001</v>
      </c>
      <c r="C4" s="53">
        <v>1.0791666666666668</v>
      </c>
      <c r="D4" s="53">
        <v>-2.0833333333333259E-2</v>
      </c>
      <c r="E4" s="53">
        <v>0.98994974874371844</v>
      </c>
      <c r="F4" s="53">
        <v>-0.11005025125628165</v>
      </c>
      <c r="G4" s="53">
        <v>1.2623797917366482</v>
      </c>
      <c r="H4" s="53">
        <v>0.16237979173664807</v>
      </c>
      <c r="J4" s="2">
        <v>10</v>
      </c>
      <c r="K4" s="2">
        <v>3</v>
      </c>
      <c r="L4" s="2">
        <v>100</v>
      </c>
      <c r="M4" s="26">
        <v>1.1000000000000001</v>
      </c>
      <c r="N4" s="2" t="s">
        <v>15</v>
      </c>
      <c r="O4" s="7">
        <v>1.05</v>
      </c>
      <c r="P4" s="7">
        <v>1.05</v>
      </c>
      <c r="Q4" s="7">
        <v>1.1375</v>
      </c>
      <c r="R4" s="26">
        <v>1.0791666666666668</v>
      </c>
      <c r="S4" s="26">
        <f t="shared" si="3"/>
        <v>-2.0833333333333259E-2</v>
      </c>
      <c r="T4" s="2">
        <f>82+11/12</f>
        <v>82.916666666666671</v>
      </c>
      <c r="U4" s="26">
        <f t="shared" si="0"/>
        <v>0.98994974874371844</v>
      </c>
      <c r="V4" s="26">
        <f t="shared" si="4"/>
        <v>-0.11005025125628165</v>
      </c>
      <c r="W4" s="2">
        <v>208.39</v>
      </c>
      <c r="X4" s="16">
        <v>7.3506172839506165</v>
      </c>
      <c r="Y4" s="26">
        <f t="shared" si="1"/>
        <v>1.2623797917366482</v>
      </c>
      <c r="Z4" s="26">
        <f t="shared" si="5"/>
        <v>0.16237979173664807</v>
      </c>
      <c r="AA4"/>
      <c r="AB4" s="18">
        <v>19.684999999999999</v>
      </c>
      <c r="AC4" s="19">
        <v>0.8</v>
      </c>
      <c r="AD4" s="20">
        <v>10250</v>
      </c>
      <c r="AE4" s="21">
        <f t="shared" si="6"/>
        <v>64.566800000000001</v>
      </c>
      <c r="AF4" s="22">
        <v>11</v>
      </c>
      <c r="AG4" s="19">
        <v>0</v>
      </c>
      <c r="AH4" s="19">
        <v>49</v>
      </c>
      <c r="AI4" s="19">
        <v>41</v>
      </c>
      <c r="AJ4" s="23">
        <f t="shared" si="7"/>
        <v>15</v>
      </c>
      <c r="AK4" s="23">
        <f t="shared" si="8"/>
        <v>165</v>
      </c>
      <c r="AL4" s="24">
        <f t="shared" si="2"/>
        <v>72.932051728300976</v>
      </c>
      <c r="AM4" s="20">
        <f t="shared" si="9"/>
        <v>7.3506172839506165</v>
      </c>
      <c r="AN4" s="25">
        <f t="shared" si="10"/>
        <v>16.629888000000001</v>
      </c>
    </row>
    <row r="5" spans="1:40" s="1" customFormat="1" x14ac:dyDescent="0.25">
      <c r="A5" s="52">
        <v>150</v>
      </c>
      <c r="B5" s="53">
        <v>1.63</v>
      </c>
      <c r="C5" s="53">
        <v>1.5249999999999999</v>
      </c>
      <c r="D5" s="53">
        <v>-0.10499999999999998</v>
      </c>
      <c r="E5" s="53">
        <v>1.3404255319148937</v>
      </c>
      <c r="F5" s="53">
        <v>-0.28957446808510623</v>
      </c>
      <c r="G5" s="53">
        <v>1.6525111106110051</v>
      </c>
      <c r="H5" s="53">
        <v>2.2511110611005192E-2</v>
      </c>
      <c r="J5" s="2">
        <v>2</v>
      </c>
      <c r="K5" s="2">
        <v>1</v>
      </c>
      <c r="L5" s="2">
        <v>150</v>
      </c>
      <c r="M5" s="26">
        <v>1.63</v>
      </c>
      <c r="N5" s="2" t="s">
        <v>7</v>
      </c>
      <c r="O5" s="7">
        <v>1.55</v>
      </c>
      <c r="P5" s="7">
        <v>1.5249999999999999</v>
      </c>
      <c r="Q5" s="7">
        <v>1.5</v>
      </c>
      <c r="R5" s="26">
        <v>1.5249999999999999</v>
      </c>
      <c r="S5" s="26">
        <f t="shared" si="3"/>
        <v>-0.10499999999999998</v>
      </c>
      <c r="T5" s="2">
        <f>70+6/12</f>
        <v>70.5</v>
      </c>
      <c r="U5" s="26">
        <f t="shared" si="0"/>
        <v>1.3404255319148937</v>
      </c>
      <c r="V5" s="26">
        <f t="shared" si="4"/>
        <v>-0.28957446808510623</v>
      </c>
      <c r="W5" s="2">
        <v>177.74</v>
      </c>
      <c r="X5" s="16">
        <v>6.2694885361552029</v>
      </c>
      <c r="Y5" s="26">
        <f t="shared" si="1"/>
        <v>1.6525111106110051</v>
      </c>
      <c r="Z5" s="26">
        <f t="shared" si="5"/>
        <v>2.2511110611005192E-2</v>
      </c>
      <c r="AA5"/>
      <c r="AB5" s="18">
        <v>19.684999999999999</v>
      </c>
      <c r="AC5" s="19">
        <v>0.8</v>
      </c>
      <c r="AD5" s="20">
        <v>10250</v>
      </c>
      <c r="AE5" s="21">
        <f t="shared" si="6"/>
        <v>64.566800000000001</v>
      </c>
      <c r="AF5" s="22">
        <v>11</v>
      </c>
      <c r="AG5" s="19">
        <v>0</v>
      </c>
      <c r="AH5" s="19">
        <v>49</v>
      </c>
      <c r="AI5" s="19">
        <v>41</v>
      </c>
      <c r="AJ5" s="23">
        <f t="shared" si="7"/>
        <v>15</v>
      </c>
      <c r="AK5" s="23">
        <f t="shared" si="8"/>
        <v>165</v>
      </c>
      <c r="AL5" s="24">
        <f t="shared" si="2"/>
        <v>62.205205980076855</v>
      </c>
      <c r="AM5" s="20">
        <f t="shared" si="9"/>
        <v>6.2694885361552029</v>
      </c>
      <c r="AN5" s="25">
        <f t="shared" si="10"/>
        <v>16.629888000000001</v>
      </c>
    </row>
    <row r="6" spans="1:40" s="1" customFormat="1" x14ac:dyDescent="0.25">
      <c r="A6" s="52">
        <v>150</v>
      </c>
      <c r="B6" s="53">
        <v>1.63</v>
      </c>
      <c r="C6" s="53">
        <v>1.5353333333333334</v>
      </c>
      <c r="D6" s="53">
        <v>-9.4666666666666455E-2</v>
      </c>
      <c r="E6" s="53">
        <v>1.3404255319148937</v>
      </c>
      <c r="F6" s="53">
        <v>-0.28957446808510623</v>
      </c>
      <c r="G6" s="53">
        <v>1.6353120447177194</v>
      </c>
      <c r="H6" s="53">
        <v>5.3120447177195107E-3</v>
      </c>
      <c r="J6" s="2">
        <v>5</v>
      </c>
      <c r="K6" s="2">
        <v>2</v>
      </c>
      <c r="L6" s="2">
        <v>150</v>
      </c>
      <c r="M6" s="26">
        <v>1.63</v>
      </c>
      <c r="N6" s="2" t="s">
        <v>10</v>
      </c>
      <c r="O6" s="7">
        <v>1.5559999999999998</v>
      </c>
      <c r="P6" s="7">
        <v>1.5125</v>
      </c>
      <c r="Q6" s="7">
        <v>1.5375000000000001</v>
      </c>
      <c r="R6" s="26">
        <v>1.5353333333333334</v>
      </c>
      <c r="S6" s="26">
        <f t="shared" si="3"/>
        <v>-9.4666666666666455E-2</v>
      </c>
      <c r="T6" s="2">
        <f>70+6/12</f>
        <v>70.5</v>
      </c>
      <c r="U6" s="26">
        <f t="shared" si="0"/>
        <v>1.3404255319148937</v>
      </c>
      <c r="V6" s="26">
        <f t="shared" si="4"/>
        <v>-0.28957446808510623</v>
      </c>
      <c r="W6" s="2">
        <v>178.9</v>
      </c>
      <c r="X6" s="16">
        <v>6.3104056437389771</v>
      </c>
      <c r="Y6" s="26">
        <f t="shared" si="1"/>
        <v>1.6353120447177194</v>
      </c>
      <c r="Z6" s="26">
        <f t="shared" si="5"/>
        <v>5.3120447177195107E-3</v>
      </c>
      <c r="AA6"/>
      <c r="AB6" s="18">
        <v>19.684999999999999</v>
      </c>
      <c r="AC6" s="19">
        <v>0.8</v>
      </c>
      <c r="AD6" s="20">
        <v>10250</v>
      </c>
      <c r="AE6" s="21">
        <f t="shared" si="6"/>
        <v>64.566800000000001</v>
      </c>
      <c r="AF6" s="22">
        <v>11</v>
      </c>
      <c r="AG6" s="19">
        <v>0</v>
      </c>
      <c r="AH6" s="19">
        <v>49</v>
      </c>
      <c r="AI6" s="19">
        <v>41</v>
      </c>
      <c r="AJ6" s="23">
        <f t="shared" si="7"/>
        <v>15</v>
      </c>
      <c r="AK6" s="23">
        <f t="shared" si="8"/>
        <v>165</v>
      </c>
      <c r="AL6" s="24">
        <f t="shared" si="2"/>
        <v>62.611181218835107</v>
      </c>
      <c r="AM6" s="20">
        <f t="shared" si="9"/>
        <v>6.3104056437389771</v>
      </c>
      <c r="AN6" s="25">
        <f t="shared" si="10"/>
        <v>16.629888000000001</v>
      </c>
    </row>
    <row r="7" spans="1:40" s="1" customFormat="1" x14ac:dyDescent="0.25">
      <c r="A7" s="52">
        <v>150</v>
      </c>
      <c r="B7" s="53">
        <v>1.63</v>
      </c>
      <c r="C7" s="53">
        <v>1.6166666666666667</v>
      </c>
      <c r="D7" s="53">
        <v>-1.3333333333333197E-2</v>
      </c>
      <c r="E7" s="53">
        <v>1.4474660074165635</v>
      </c>
      <c r="F7" s="53">
        <v>-0.18253399258343639</v>
      </c>
      <c r="G7" s="53">
        <v>1.7799830461701756</v>
      </c>
      <c r="H7" s="53">
        <v>0.14998304617017566</v>
      </c>
      <c r="J7" s="2">
        <v>11</v>
      </c>
      <c r="K7" s="2">
        <v>3</v>
      </c>
      <c r="L7" s="2">
        <v>150</v>
      </c>
      <c r="M7" s="26">
        <v>1.63</v>
      </c>
      <c r="N7" s="2" t="s">
        <v>16</v>
      </c>
      <c r="O7" s="7">
        <v>1.65</v>
      </c>
      <c r="P7" s="7">
        <v>1.625</v>
      </c>
      <c r="Q7" s="7">
        <v>1.575</v>
      </c>
      <c r="R7" s="26">
        <v>1.6166666666666667</v>
      </c>
      <c r="S7" s="26">
        <f t="shared" si="3"/>
        <v>-1.3333333333333197E-2</v>
      </c>
      <c r="T7" s="2">
        <f>67+5/12</f>
        <v>67.416666666666671</v>
      </c>
      <c r="U7" s="26">
        <f t="shared" si="0"/>
        <v>1.4474660074165635</v>
      </c>
      <c r="V7" s="26">
        <f t="shared" si="4"/>
        <v>-0.18253399258343639</v>
      </c>
      <c r="W7" s="2">
        <v>169.59</v>
      </c>
      <c r="X7" s="16">
        <v>5.9820105820105818</v>
      </c>
      <c r="Y7" s="26">
        <f t="shared" si="1"/>
        <v>1.7799830461701756</v>
      </c>
      <c r="Z7" s="26">
        <f t="shared" si="5"/>
        <v>0.14998304617017566</v>
      </c>
      <c r="AA7"/>
      <c r="AB7" s="18">
        <v>19.684999999999999</v>
      </c>
      <c r="AC7" s="19">
        <v>0.8</v>
      </c>
      <c r="AD7" s="20">
        <v>10250</v>
      </c>
      <c r="AE7" s="21">
        <f t="shared" si="6"/>
        <v>64.566800000000001</v>
      </c>
      <c r="AF7" s="22">
        <v>11</v>
      </c>
      <c r="AG7" s="19">
        <v>0</v>
      </c>
      <c r="AH7" s="19">
        <v>49</v>
      </c>
      <c r="AI7" s="19">
        <v>41</v>
      </c>
      <c r="AJ7" s="23">
        <f t="shared" si="7"/>
        <v>15</v>
      </c>
      <c r="AK7" s="23">
        <f t="shared" si="8"/>
        <v>165</v>
      </c>
      <c r="AL7" s="24">
        <f t="shared" si="2"/>
        <v>59.352879949146121</v>
      </c>
      <c r="AM7" s="20">
        <f t="shared" si="9"/>
        <v>5.9820105820105818</v>
      </c>
      <c r="AN7" s="25">
        <f t="shared" si="10"/>
        <v>16.629888000000001</v>
      </c>
    </row>
    <row r="8" spans="1:40" s="1" customFormat="1" x14ac:dyDescent="0.25">
      <c r="A8" s="52">
        <v>200</v>
      </c>
      <c r="B8" s="53">
        <v>2.0499999999999998</v>
      </c>
      <c r="C8" s="53">
        <v>2.0291666666666668</v>
      </c>
      <c r="D8" s="53">
        <v>-2.0833333333333037E-2</v>
      </c>
      <c r="E8" s="53">
        <v>1.7653631284916202</v>
      </c>
      <c r="F8" s="53">
        <v>-0.28463687150837957</v>
      </c>
      <c r="G8" s="53">
        <v>2.1365665943716325</v>
      </c>
      <c r="H8" s="53">
        <v>8.6566594371632721E-2</v>
      </c>
      <c r="J8" s="2">
        <v>9</v>
      </c>
      <c r="K8" s="2">
        <v>1</v>
      </c>
      <c r="L8" s="2">
        <v>200</v>
      </c>
      <c r="M8" s="26">
        <v>2.0499999999999998</v>
      </c>
      <c r="N8" s="2" t="s">
        <v>14</v>
      </c>
      <c r="O8" s="7">
        <v>2.0499999999999998</v>
      </c>
      <c r="P8" s="7">
        <v>2</v>
      </c>
      <c r="Q8" s="7">
        <v>2.0375000000000001</v>
      </c>
      <c r="R8" s="26">
        <v>2.0291666666666668</v>
      </c>
      <c r="S8" s="26">
        <f t="shared" si="3"/>
        <v>-2.0833333333333037E-2</v>
      </c>
      <c r="T8" s="2">
        <f>59+8/12</f>
        <v>59.666666666666664</v>
      </c>
      <c r="U8" s="26">
        <f t="shared" si="0"/>
        <v>1.7653631284916202</v>
      </c>
      <c r="V8" s="26">
        <f t="shared" si="4"/>
        <v>-0.28463687150837957</v>
      </c>
      <c r="W8" s="2">
        <v>150.31</v>
      </c>
      <c r="X8" s="16">
        <v>5.3019400352733683</v>
      </c>
      <c r="Y8" s="26">
        <f t="shared" si="1"/>
        <v>2.1365665943716325</v>
      </c>
      <c r="Z8" s="26">
        <f t="shared" si="5"/>
        <v>8.6566594371632721E-2</v>
      </c>
      <c r="AA8"/>
      <c r="AB8" s="18">
        <v>19.684999999999999</v>
      </c>
      <c r="AC8" s="19">
        <v>0.8</v>
      </c>
      <c r="AD8" s="20">
        <v>10250</v>
      </c>
      <c r="AE8" s="21">
        <f t="shared" si="6"/>
        <v>64.566800000000001</v>
      </c>
      <c r="AF8" s="22">
        <v>11</v>
      </c>
      <c r="AG8" s="19">
        <v>0</v>
      </c>
      <c r="AH8" s="19">
        <v>49</v>
      </c>
      <c r="AI8" s="19">
        <v>41</v>
      </c>
      <c r="AJ8" s="23">
        <f t="shared" si="7"/>
        <v>15</v>
      </c>
      <c r="AK8" s="23">
        <f t="shared" si="8"/>
        <v>165</v>
      </c>
      <c r="AL8" s="24">
        <f t="shared" si="2"/>
        <v>52.605291498060936</v>
      </c>
      <c r="AM8" s="20">
        <f t="shared" si="9"/>
        <v>5.3019400352733683</v>
      </c>
      <c r="AN8" s="25">
        <f t="shared" si="10"/>
        <v>16.629888000000001</v>
      </c>
    </row>
    <row r="9" spans="1:40" s="1" customFormat="1" x14ac:dyDescent="0.25">
      <c r="A9" s="52">
        <v>200</v>
      </c>
      <c r="B9" s="53">
        <v>2.0499999999999998</v>
      </c>
      <c r="C9" s="53">
        <v>2.083333333333333</v>
      </c>
      <c r="D9" s="53">
        <v>3.3333333333333215E-2</v>
      </c>
      <c r="E9" s="53">
        <v>1.8085106382978724</v>
      </c>
      <c r="F9" s="53">
        <v>-0.24148936170212743</v>
      </c>
      <c r="G9" s="53">
        <v>2.1522955656592671</v>
      </c>
      <c r="H9" s="53">
        <v>0.10229556565926723</v>
      </c>
      <c r="J9" s="2">
        <v>12</v>
      </c>
      <c r="K9" s="2">
        <v>2</v>
      </c>
      <c r="L9" s="2">
        <v>200</v>
      </c>
      <c r="M9" s="26">
        <v>2.0499999999999998</v>
      </c>
      <c r="N9" s="2" t="s">
        <v>17</v>
      </c>
      <c r="O9" s="7">
        <v>2.0625</v>
      </c>
      <c r="P9" s="7">
        <v>2.1</v>
      </c>
      <c r="Q9" s="7">
        <v>2.0874999999999999</v>
      </c>
      <c r="R9" s="26">
        <v>2.083333333333333</v>
      </c>
      <c r="S9" s="26">
        <f t="shared" si="3"/>
        <v>3.3333333333333215E-2</v>
      </c>
      <c r="T9" s="2">
        <f>58+9/12</f>
        <v>58.75</v>
      </c>
      <c r="U9" s="26">
        <f t="shared" si="0"/>
        <v>1.8085106382978724</v>
      </c>
      <c r="V9" s="26">
        <f t="shared" si="4"/>
        <v>-0.24148936170212743</v>
      </c>
      <c r="W9" s="2">
        <v>149.56</v>
      </c>
      <c r="X9" s="16">
        <v>5.2754850088183423</v>
      </c>
      <c r="Y9" s="26">
        <f t="shared" si="1"/>
        <v>2.1522955656592671</v>
      </c>
      <c r="Z9" s="26">
        <f t="shared" si="5"/>
        <v>0.10229556565926723</v>
      </c>
      <c r="AA9"/>
      <c r="AB9" s="18">
        <v>19.684999999999999</v>
      </c>
      <c r="AC9" s="19">
        <v>0.8</v>
      </c>
      <c r="AD9" s="20">
        <v>10250</v>
      </c>
      <c r="AE9" s="21">
        <f t="shared" si="6"/>
        <v>64.566800000000001</v>
      </c>
      <c r="AF9" s="22">
        <v>11</v>
      </c>
      <c r="AG9" s="19">
        <v>0</v>
      </c>
      <c r="AH9" s="19">
        <v>49</v>
      </c>
      <c r="AI9" s="19">
        <v>41</v>
      </c>
      <c r="AJ9" s="23">
        <f t="shared" si="7"/>
        <v>15</v>
      </c>
      <c r="AK9" s="23">
        <f t="shared" si="8"/>
        <v>165</v>
      </c>
      <c r="AL9" s="24">
        <f t="shared" si="2"/>
        <v>52.342807507484508</v>
      </c>
      <c r="AM9" s="20">
        <f t="shared" si="9"/>
        <v>5.2754850088183423</v>
      </c>
      <c r="AN9" s="25">
        <f t="shared" si="10"/>
        <v>16.629888000000001</v>
      </c>
    </row>
    <row r="10" spans="1:40" s="1" customFormat="1" x14ac:dyDescent="0.25">
      <c r="A10" s="52">
        <v>200</v>
      </c>
      <c r="B10" s="53">
        <v>2.0499999999999998</v>
      </c>
      <c r="C10" s="53">
        <v>1.9750000000000001</v>
      </c>
      <c r="D10" s="53">
        <v>-7.4999999999999734E-2</v>
      </c>
      <c r="E10" s="53">
        <v>1.7348066298342539</v>
      </c>
      <c r="F10" s="53">
        <v>-0.31519337016574589</v>
      </c>
      <c r="G10" s="53">
        <v>2.0406792957110609</v>
      </c>
      <c r="H10" s="53">
        <v>-9.3207042889389413E-3</v>
      </c>
      <c r="J10" s="2">
        <v>13</v>
      </c>
      <c r="K10" s="2">
        <v>3</v>
      </c>
      <c r="L10" s="2">
        <v>200</v>
      </c>
      <c r="M10" s="26">
        <v>2.0499999999999998</v>
      </c>
      <c r="N10" s="2" t="s">
        <v>18</v>
      </c>
      <c r="O10" s="7">
        <v>2</v>
      </c>
      <c r="P10" s="7">
        <v>1.9624999999999999</v>
      </c>
      <c r="Q10" s="7">
        <v>1.9624999999999999</v>
      </c>
      <c r="R10" s="26">
        <v>1.9750000000000001</v>
      </c>
      <c r="S10" s="26">
        <f t="shared" si="3"/>
        <v>-7.4999999999999734E-2</v>
      </c>
      <c r="T10" s="2">
        <f>60+4/12</f>
        <v>60.333333333333336</v>
      </c>
      <c r="U10" s="26">
        <f t="shared" si="0"/>
        <v>1.7348066298342539</v>
      </c>
      <c r="V10" s="26">
        <f t="shared" si="4"/>
        <v>-0.31519337016574589</v>
      </c>
      <c r="W10" s="2">
        <v>155.05000000000001</v>
      </c>
      <c r="X10" s="16">
        <v>5.4691358024691361</v>
      </c>
      <c r="Y10" s="26">
        <f t="shared" si="1"/>
        <v>2.0406792957110609</v>
      </c>
      <c r="Z10" s="26">
        <f t="shared" si="5"/>
        <v>-9.3207042889389413E-3</v>
      </c>
      <c r="AA10"/>
      <c r="AB10" s="18">
        <v>19.684999999999999</v>
      </c>
      <c r="AC10" s="19">
        <v>0.8</v>
      </c>
      <c r="AD10" s="20">
        <v>10250</v>
      </c>
      <c r="AE10" s="21">
        <f t="shared" si="6"/>
        <v>64.566800000000001</v>
      </c>
      <c r="AF10" s="22">
        <v>11</v>
      </c>
      <c r="AG10" s="19">
        <v>0</v>
      </c>
      <c r="AH10" s="19">
        <v>49</v>
      </c>
      <c r="AI10" s="19">
        <v>41</v>
      </c>
      <c r="AJ10" s="23">
        <f t="shared" si="7"/>
        <v>15</v>
      </c>
      <c r="AK10" s="23">
        <f t="shared" si="8"/>
        <v>165</v>
      </c>
      <c r="AL10" s="24">
        <f t="shared" si="2"/>
        <v>54.264190318504092</v>
      </c>
      <c r="AM10" s="20">
        <f t="shared" si="9"/>
        <v>5.4691358024691361</v>
      </c>
      <c r="AN10" s="25">
        <f t="shared" si="10"/>
        <v>16.629888000000001</v>
      </c>
    </row>
    <row r="11" spans="1:40" s="1" customFormat="1" x14ac:dyDescent="0.25">
      <c r="A11" s="52">
        <v>250</v>
      </c>
      <c r="B11" s="53">
        <v>2.6</v>
      </c>
      <c r="C11" s="53">
        <v>2.4916666666666663</v>
      </c>
      <c r="D11" s="53">
        <v>-0.10833333333333384</v>
      </c>
      <c r="E11" s="53">
        <v>2.1428571428571428</v>
      </c>
      <c r="F11" s="53">
        <v>-0.4571428571428573</v>
      </c>
      <c r="G11" s="53">
        <v>2.5501304578313255</v>
      </c>
      <c r="H11" s="53">
        <v>-4.9869542168674563E-2</v>
      </c>
      <c r="J11" s="2">
        <v>7</v>
      </c>
      <c r="K11" s="2">
        <v>1</v>
      </c>
      <c r="L11" s="2">
        <v>250</v>
      </c>
      <c r="M11" s="26">
        <v>2.6</v>
      </c>
      <c r="N11" s="2" t="s">
        <v>12</v>
      </c>
      <c r="O11" s="7">
        <v>2.4125000000000001</v>
      </c>
      <c r="P11" s="7">
        <v>2.5125000000000002</v>
      </c>
      <c r="Q11" s="7">
        <v>2.5499999999999998</v>
      </c>
      <c r="R11" s="26">
        <v>2.4916666666666663</v>
      </c>
      <c r="S11" s="26">
        <f t="shared" si="3"/>
        <v>-0.10833333333333384</v>
      </c>
      <c r="T11" s="2">
        <f>52+6/12</f>
        <v>52.5</v>
      </c>
      <c r="U11" s="26">
        <f t="shared" si="0"/>
        <v>2.1428571428571428</v>
      </c>
      <c r="V11" s="26">
        <f t="shared" si="4"/>
        <v>-0.4571428571428573</v>
      </c>
      <c r="W11" s="2">
        <v>132.80000000000001</v>
      </c>
      <c r="X11" s="16">
        <v>4.6843033509700174</v>
      </c>
      <c r="Y11" s="26">
        <f t="shared" si="1"/>
        <v>2.5501304578313255</v>
      </c>
      <c r="Z11" s="26">
        <f t="shared" si="5"/>
        <v>-4.9869542168674563E-2</v>
      </c>
      <c r="AA11"/>
      <c r="AB11" s="18">
        <v>19.684999999999999</v>
      </c>
      <c r="AC11" s="19">
        <v>0.8</v>
      </c>
      <c r="AD11" s="20">
        <v>10250</v>
      </c>
      <c r="AE11" s="21">
        <f t="shared" si="6"/>
        <v>64.566800000000001</v>
      </c>
      <c r="AF11" s="22">
        <v>11</v>
      </c>
      <c r="AG11" s="19">
        <v>0</v>
      </c>
      <c r="AH11" s="19">
        <v>49</v>
      </c>
      <c r="AI11" s="19">
        <v>41</v>
      </c>
      <c r="AJ11" s="23">
        <f t="shared" si="7"/>
        <v>15</v>
      </c>
      <c r="AK11" s="23">
        <f t="shared" si="8"/>
        <v>165</v>
      </c>
      <c r="AL11" s="24">
        <f t="shared" si="2"/>
        <v>46.477165264736172</v>
      </c>
      <c r="AM11" s="20">
        <f t="shared" si="9"/>
        <v>4.6843033509700174</v>
      </c>
      <c r="AN11" s="25">
        <f t="shared" si="10"/>
        <v>16.629888000000001</v>
      </c>
    </row>
    <row r="12" spans="1:40" s="1" customFormat="1" x14ac:dyDescent="0.25">
      <c r="A12" s="52">
        <v>250</v>
      </c>
      <c r="B12" s="53">
        <v>2.6</v>
      </c>
      <c r="C12" s="53">
        <v>2.5125000000000002</v>
      </c>
      <c r="D12" s="53">
        <v>-8.7499999999999911E-2</v>
      </c>
      <c r="E12" s="53">
        <v>2.1679999999999997</v>
      </c>
      <c r="F12" s="53">
        <v>-0.43200000000000038</v>
      </c>
      <c r="G12" s="53">
        <v>2.6428475104311548</v>
      </c>
      <c r="H12" s="53">
        <v>4.2847510431154756E-2</v>
      </c>
      <c r="J12" s="2">
        <v>8</v>
      </c>
      <c r="K12" s="2">
        <v>2</v>
      </c>
      <c r="L12" s="2">
        <v>250</v>
      </c>
      <c r="M12" s="26">
        <v>2.6</v>
      </c>
      <c r="N12" s="2" t="s">
        <v>13</v>
      </c>
      <c r="O12" s="7">
        <v>2.5</v>
      </c>
      <c r="P12" s="7">
        <v>2.5375000000000001</v>
      </c>
      <c r="Q12" s="7">
        <v>2.5</v>
      </c>
      <c r="R12" s="26">
        <v>2.5125000000000002</v>
      </c>
      <c r="S12" s="26">
        <f t="shared" si="3"/>
        <v>-8.7499999999999911E-2</v>
      </c>
      <c r="T12" s="2">
        <f>52+1/12</f>
        <v>52.083333333333336</v>
      </c>
      <c r="U12" s="26">
        <f t="shared" si="0"/>
        <v>2.1679999999999997</v>
      </c>
      <c r="V12" s="26">
        <f t="shared" si="4"/>
        <v>-0.43200000000000038</v>
      </c>
      <c r="W12" s="2">
        <v>129.41999999999999</v>
      </c>
      <c r="X12" s="16">
        <v>4.5650793650793648</v>
      </c>
      <c r="Y12" s="26">
        <f t="shared" si="1"/>
        <v>2.6428475104311548</v>
      </c>
      <c r="Z12" s="26">
        <f t="shared" si="5"/>
        <v>4.2847510431154756E-2</v>
      </c>
      <c r="AA12"/>
      <c r="AB12" s="18">
        <v>19.684999999999999</v>
      </c>
      <c r="AC12" s="19">
        <v>0.8</v>
      </c>
      <c r="AD12" s="20">
        <v>10250</v>
      </c>
      <c r="AE12" s="21">
        <f t="shared" si="6"/>
        <v>64.566800000000001</v>
      </c>
      <c r="AF12" s="22">
        <v>11</v>
      </c>
      <c r="AG12" s="19">
        <v>0</v>
      </c>
      <c r="AH12" s="19">
        <v>49</v>
      </c>
      <c r="AI12" s="19">
        <v>41</v>
      </c>
      <c r="AJ12" s="23">
        <f t="shared" si="7"/>
        <v>15</v>
      </c>
      <c r="AK12" s="23">
        <f t="shared" si="8"/>
        <v>165</v>
      </c>
      <c r="AL12" s="24">
        <f t="shared" si="2"/>
        <v>45.294237413871649</v>
      </c>
      <c r="AM12" s="20">
        <f t="shared" si="9"/>
        <v>4.5650793650793648</v>
      </c>
      <c r="AN12" s="25">
        <f t="shared" si="10"/>
        <v>16.629888000000001</v>
      </c>
    </row>
    <row r="13" spans="1:40" s="1" customFormat="1" x14ac:dyDescent="0.25">
      <c r="A13" s="52">
        <v>250</v>
      </c>
      <c r="B13" s="53">
        <v>2.6</v>
      </c>
      <c r="C13" s="53">
        <v>2.5333333333333337</v>
      </c>
      <c r="D13" s="53">
        <v>-6.666666666666643E-2</v>
      </c>
      <c r="E13" s="53">
        <v>2.1679999999999997</v>
      </c>
      <c r="F13" s="53">
        <v>-0.43200000000000038</v>
      </c>
      <c r="G13" s="53">
        <v>2.4922764800000001</v>
      </c>
      <c r="H13" s="53">
        <v>-0.10772351999999996</v>
      </c>
      <c r="J13" s="2">
        <v>15</v>
      </c>
      <c r="K13" s="2">
        <v>3</v>
      </c>
      <c r="L13" s="2">
        <v>250</v>
      </c>
      <c r="M13" s="26">
        <v>2.6</v>
      </c>
      <c r="N13" s="2" t="s">
        <v>20</v>
      </c>
      <c r="O13" s="7">
        <v>2.5499999999999998</v>
      </c>
      <c r="P13" s="7">
        <v>2.5499999999999998</v>
      </c>
      <c r="Q13" s="7">
        <v>2.5</v>
      </c>
      <c r="R13" s="26">
        <v>2.5333333333333337</v>
      </c>
      <c r="S13" s="26">
        <f t="shared" si="3"/>
        <v>-6.666666666666643E-2</v>
      </c>
      <c r="T13" s="2">
        <f>52+1/12</f>
        <v>52.083333333333336</v>
      </c>
      <c r="U13" s="26">
        <f t="shared" si="0"/>
        <v>2.1679999999999997</v>
      </c>
      <c r="V13" s="26">
        <f t="shared" si="4"/>
        <v>-0.43200000000000038</v>
      </c>
      <c r="W13" s="2">
        <v>135</v>
      </c>
      <c r="X13" s="16">
        <v>4.7619047619047619</v>
      </c>
      <c r="Y13" s="26">
        <f t="shared" si="1"/>
        <v>2.4922764800000001</v>
      </c>
      <c r="Z13" s="26">
        <f t="shared" si="5"/>
        <v>-0.10772351999999996</v>
      </c>
      <c r="AA13"/>
      <c r="AB13" s="18">
        <v>19.684999999999999</v>
      </c>
      <c r="AC13" s="19">
        <v>0.8</v>
      </c>
      <c r="AD13" s="20">
        <v>10250</v>
      </c>
      <c r="AE13" s="21">
        <f t="shared" si="6"/>
        <v>64.566800000000001</v>
      </c>
      <c r="AF13" s="22">
        <v>11</v>
      </c>
      <c r="AG13" s="19">
        <v>0</v>
      </c>
      <c r="AH13" s="19">
        <v>49</v>
      </c>
      <c r="AI13" s="19">
        <v>41</v>
      </c>
      <c r="AJ13" s="23">
        <f t="shared" si="7"/>
        <v>15</v>
      </c>
      <c r="AK13" s="23">
        <f t="shared" si="8"/>
        <v>165</v>
      </c>
      <c r="AL13" s="24">
        <f t="shared" si="2"/>
        <v>47.247118303760416</v>
      </c>
      <c r="AM13" s="20">
        <f t="shared" si="9"/>
        <v>4.7619047619047619</v>
      </c>
      <c r="AN13" s="25">
        <f t="shared" si="10"/>
        <v>16.629888000000001</v>
      </c>
    </row>
    <row r="14" spans="1:40" s="1" customFormat="1" x14ac:dyDescent="0.25">
      <c r="A14" s="52">
        <v>300</v>
      </c>
      <c r="B14" s="53">
        <v>3.15</v>
      </c>
      <c r="C14" s="53">
        <v>3</v>
      </c>
      <c r="D14" s="53">
        <v>-0.14999999999999991</v>
      </c>
      <c r="E14" s="53">
        <v>2.5611510791366903</v>
      </c>
      <c r="F14" s="53">
        <v>-0.58884892086330964</v>
      </c>
      <c r="G14" s="53">
        <v>2.9180364397905763</v>
      </c>
      <c r="H14" s="53">
        <v>-0.23196356020942366</v>
      </c>
      <c r="J14" s="2">
        <v>1</v>
      </c>
      <c r="K14" s="2">
        <v>1</v>
      </c>
      <c r="L14" s="2">
        <v>300</v>
      </c>
      <c r="M14" s="26">
        <v>3.15</v>
      </c>
      <c r="N14" s="2" t="s">
        <v>5</v>
      </c>
      <c r="O14" s="7">
        <v>2.95</v>
      </c>
      <c r="P14" s="7">
        <v>3</v>
      </c>
      <c r="Q14" s="7">
        <v>3.05</v>
      </c>
      <c r="R14" s="26">
        <v>3</v>
      </c>
      <c r="S14" s="26">
        <f t="shared" si="3"/>
        <v>-0.14999999999999991</v>
      </c>
      <c r="T14" s="2">
        <f>46+4/12</f>
        <v>46.333333333333336</v>
      </c>
      <c r="U14" s="26">
        <f t="shared" si="0"/>
        <v>2.5611510791366903</v>
      </c>
      <c r="V14" s="26">
        <f t="shared" si="4"/>
        <v>-0.58884892086330964</v>
      </c>
      <c r="W14" s="2">
        <v>120.33</v>
      </c>
      <c r="X14" s="16">
        <v>4.2444444444444445</v>
      </c>
      <c r="Y14" s="26">
        <f t="shared" si="1"/>
        <v>2.9180364397905763</v>
      </c>
      <c r="Z14" s="26">
        <f t="shared" si="5"/>
        <v>-0.23196356020942366</v>
      </c>
      <c r="AA14"/>
      <c r="AB14" s="18">
        <v>19.684999999999999</v>
      </c>
      <c r="AC14" s="19">
        <v>0.8</v>
      </c>
      <c r="AD14" s="20">
        <v>10250</v>
      </c>
      <c r="AE14" s="21">
        <f t="shared" si="6"/>
        <v>64.566800000000001</v>
      </c>
      <c r="AF14" s="22">
        <v>11</v>
      </c>
      <c r="AG14" s="19">
        <v>0</v>
      </c>
      <c r="AH14" s="19">
        <v>49</v>
      </c>
      <c r="AI14" s="19">
        <v>41</v>
      </c>
      <c r="AJ14" s="23">
        <f t="shared" si="7"/>
        <v>15</v>
      </c>
      <c r="AK14" s="23">
        <f t="shared" si="8"/>
        <v>165</v>
      </c>
      <c r="AL14" s="24">
        <f t="shared" si="2"/>
        <v>42.112931448085114</v>
      </c>
      <c r="AM14" s="20">
        <f t="shared" si="9"/>
        <v>4.2444444444444445</v>
      </c>
      <c r="AN14" s="25">
        <f t="shared" si="10"/>
        <v>16.629888000000001</v>
      </c>
    </row>
    <row r="15" spans="1:40" s="1" customFormat="1" x14ac:dyDescent="0.25">
      <c r="A15" s="52">
        <v>300</v>
      </c>
      <c r="B15" s="53">
        <v>3.15</v>
      </c>
      <c r="C15" s="53">
        <v>2.9833333333333334</v>
      </c>
      <c r="D15" s="53">
        <v>-0.16666666666666652</v>
      </c>
      <c r="E15" s="53">
        <v>2.5294117647058822</v>
      </c>
      <c r="F15" s="53">
        <v>-0.62058823529411766</v>
      </c>
      <c r="G15" s="53">
        <v>2.8950539061467286</v>
      </c>
      <c r="H15" s="53">
        <v>-0.25494609385327127</v>
      </c>
      <c r="J15" s="2">
        <v>3</v>
      </c>
      <c r="K15" s="2">
        <v>2</v>
      </c>
      <c r="L15" s="2">
        <v>300</v>
      </c>
      <c r="M15" s="26">
        <v>3.15</v>
      </c>
      <c r="N15" s="2" t="s">
        <v>8</v>
      </c>
      <c r="O15" s="7">
        <v>2.9750000000000001</v>
      </c>
      <c r="P15" s="7">
        <v>2.9750000000000001</v>
      </c>
      <c r="Q15" s="7">
        <v>3</v>
      </c>
      <c r="R15" s="26">
        <v>2.9833333333333334</v>
      </c>
      <c r="S15" s="26">
        <f t="shared" si="3"/>
        <v>-0.16666666666666652</v>
      </c>
      <c r="T15" s="2">
        <f>46+9/12</f>
        <v>46.75</v>
      </c>
      <c r="U15" s="26">
        <f t="shared" si="0"/>
        <v>2.5294117647058822</v>
      </c>
      <c r="V15" s="26">
        <f t="shared" si="4"/>
        <v>-0.62058823529411766</v>
      </c>
      <c r="W15" s="2">
        <v>121.04</v>
      </c>
      <c r="X15" s="16">
        <v>4.2694885361552029</v>
      </c>
      <c r="Y15" s="26">
        <f t="shared" si="1"/>
        <v>2.8950539061467286</v>
      </c>
      <c r="Z15" s="26">
        <f t="shared" si="5"/>
        <v>-0.25494609385327127</v>
      </c>
      <c r="AA15"/>
      <c r="AB15" s="18">
        <v>19.684999999999999</v>
      </c>
      <c r="AC15" s="19">
        <v>0.8</v>
      </c>
      <c r="AD15" s="20">
        <v>10250</v>
      </c>
      <c r="AE15" s="21">
        <f t="shared" si="6"/>
        <v>64.566800000000001</v>
      </c>
      <c r="AF15" s="22">
        <v>11</v>
      </c>
      <c r="AG15" s="19">
        <v>0</v>
      </c>
      <c r="AH15" s="19">
        <v>49</v>
      </c>
      <c r="AI15" s="19">
        <v>41</v>
      </c>
      <c r="AJ15" s="23">
        <f t="shared" si="7"/>
        <v>15</v>
      </c>
      <c r="AK15" s="23">
        <f t="shared" si="8"/>
        <v>165</v>
      </c>
      <c r="AL15" s="24">
        <f t="shared" si="2"/>
        <v>42.361416292497488</v>
      </c>
      <c r="AM15" s="20">
        <f t="shared" si="9"/>
        <v>4.2694885361552029</v>
      </c>
      <c r="AN15" s="25">
        <f t="shared" si="10"/>
        <v>16.629888000000001</v>
      </c>
    </row>
    <row r="16" spans="1:40" s="1" customFormat="1" x14ac:dyDescent="0.25">
      <c r="A16" s="52">
        <v>300</v>
      </c>
      <c r="B16" s="53">
        <v>3.15</v>
      </c>
      <c r="C16" s="53">
        <v>3.0416666666666665</v>
      </c>
      <c r="D16" s="53">
        <v>-0.10833333333333339</v>
      </c>
      <c r="E16" s="53">
        <v>2.5483870967741935</v>
      </c>
      <c r="F16" s="53">
        <v>-0.60161290322580641</v>
      </c>
      <c r="G16" s="53">
        <v>2.9426101756146519</v>
      </c>
      <c r="H16" s="53">
        <v>-0.20738982438534803</v>
      </c>
      <c r="J16" s="2">
        <v>14</v>
      </c>
      <c r="K16" s="2">
        <v>3</v>
      </c>
      <c r="L16" s="2">
        <v>300</v>
      </c>
      <c r="M16" s="26">
        <v>3.15</v>
      </c>
      <c r="N16" s="2" t="s">
        <v>19</v>
      </c>
      <c r="O16" s="7">
        <v>3.0249999999999999</v>
      </c>
      <c r="P16" s="7">
        <v>3.0375000000000001</v>
      </c>
      <c r="Q16" s="7">
        <v>3.0625</v>
      </c>
      <c r="R16" s="26">
        <v>3.0416666666666665</v>
      </c>
      <c r="S16" s="26">
        <f t="shared" si="3"/>
        <v>-0.10833333333333339</v>
      </c>
      <c r="T16" s="2">
        <f>46+6/12</f>
        <v>46.5</v>
      </c>
      <c r="U16" s="26">
        <f t="shared" si="0"/>
        <v>2.5483870967741935</v>
      </c>
      <c r="V16" s="26">
        <f t="shared" si="4"/>
        <v>-0.60161290322580641</v>
      </c>
      <c r="W16" s="2">
        <v>119.58</v>
      </c>
      <c r="X16" s="16">
        <v>4.2179894179894175</v>
      </c>
      <c r="Y16" s="26">
        <f t="shared" si="1"/>
        <v>2.9426101756146519</v>
      </c>
      <c r="Z16" s="26">
        <f t="shared" si="5"/>
        <v>-0.20738982438534803</v>
      </c>
      <c r="AA16"/>
      <c r="AB16" s="18">
        <v>19.684999999999999</v>
      </c>
      <c r="AC16" s="19">
        <v>0.8</v>
      </c>
      <c r="AD16" s="20">
        <v>10250</v>
      </c>
      <c r="AE16" s="21">
        <f t="shared" si="6"/>
        <v>64.566800000000001</v>
      </c>
      <c r="AF16" s="22">
        <v>11</v>
      </c>
      <c r="AG16" s="19">
        <v>0</v>
      </c>
      <c r="AH16" s="19">
        <v>49</v>
      </c>
      <c r="AI16" s="19">
        <v>41</v>
      </c>
      <c r="AJ16" s="23">
        <f t="shared" si="7"/>
        <v>15</v>
      </c>
      <c r="AK16" s="23">
        <f t="shared" si="8"/>
        <v>165</v>
      </c>
      <c r="AL16" s="24">
        <f t="shared" si="2"/>
        <v>41.850447457508658</v>
      </c>
      <c r="AM16" s="20">
        <f t="shared" si="9"/>
        <v>4.2179894179894175</v>
      </c>
      <c r="AN16" s="25">
        <f t="shared" si="10"/>
        <v>16.629888000000001</v>
      </c>
    </row>
    <row r="17" spans="4:8" x14ac:dyDescent="0.25">
      <c r="D17" s="70">
        <f>AVERAGE(D2:D16)</f>
        <v>-7.7811111111111053E-2</v>
      </c>
      <c r="F17" s="70">
        <f>AVERAGE(F2:F16)</f>
        <v>-0.32144331866933912</v>
      </c>
      <c r="H17" s="70">
        <f>AVERAGE(H2:H16)</f>
        <v>-1.9484708721835733E-2</v>
      </c>
    </row>
  </sheetData>
  <sortState ref="A2:O37">
    <sortCondition ref="C1"/>
  </sortState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B1" zoomScaleNormal="100" workbookViewId="0">
      <pane ySplit="1" topLeftCell="A2" activePane="bottomLeft" state="frozen"/>
      <selection pane="bottomLeft" activeCell="L15" sqref="L15"/>
    </sheetView>
  </sheetViews>
  <sheetFormatPr defaultRowHeight="15" x14ac:dyDescent="0.25"/>
  <cols>
    <col min="2" max="2" width="8.7109375" bestFit="1" customWidth="1"/>
    <col min="3" max="3" width="9.28515625" customWidth="1"/>
    <col min="4" max="4" width="4.85546875" customWidth="1"/>
    <col min="5" max="7" width="9.7109375" bestFit="1" customWidth="1"/>
    <col min="8" max="8" width="11.42578125" bestFit="1" customWidth="1"/>
    <col min="9" max="9" width="12" bestFit="1" customWidth="1"/>
    <col min="10" max="11" width="8.7109375" bestFit="1" customWidth="1"/>
    <col min="12" max="13" width="11.42578125" bestFit="1" customWidth="1"/>
  </cols>
  <sheetData>
    <row r="1" spans="1:13" x14ac:dyDescent="0.25">
      <c r="A1" s="4" t="s">
        <v>42</v>
      </c>
      <c r="B1" s="3" t="s">
        <v>1</v>
      </c>
      <c r="C1" s="4" t="s">
        <v>0</v>
      </c>
      <c r="D1" s="9" t="s">
        <v>27</v>
      </c>
      <c r="E1" s="6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</row>
    <row r="2" spans="1:13" x14ac:dyDescent="0.25">
      <c r="A2" s="2">
        <v>4</v>
      </c>
      <c r="B2" s="2">
        <v>1</v>
      </c>
      <c r="C2" s="2">
        <v>100</v>
      </c>
      <c r="D2" s="2">
        <v>0</v>
      </c>
      <c r="E2" s="10">
        <v>660</v>
      </c>
      <c r="F2" s="10">
        <v>960</v>
      </c>
      <c r="G2" s="10">
        <v>1200</v>
      </c>
      <c r="H2" s="11">
        <v>1440</v>
      </c>
      <c r="I2" s="11">
        <v>1800</v>
      </c>
      <c r="J2" s="12">
        <v>1980</v>
      </c>
      <c r="K2" s="13">
        <v>3300</v>
      </c>
      <c r="L2" s="14">
        <v>7080</v>
      </c>
      <c r="M2" s="14">
        <v>9660</v>
      </c>
    </row>
    <row r="3" spans="1:13" x14ac:dyDescent="0.25">
      <c r="A3" s="2">
        <v>6</v>
      </c>
      <c r="B3" s="2">
        <v>2</v>
      </c>
      <c r="C3" s="2">
        <v>100</v>
      </c>
      <c r="D3" s="2">
        <v>0</v>
      </c>
      <c r="E3" s="10">
        <v>600</v>
      </c>
      <c r="F3" s="10">
        <v>900</v>
      </c>
      <c r="G3" s="10">
        <v>1140</v>
      </c>
      <c r="H3" s="11">
        <v>1320</v>
      </c>
      <c r="I3" s="11">
        <v>1560</v>
      </c>
      <c r="J3" s="12">
        <v>1740</v>
      </c>
      <c r="K3" s="13">
        <v>2460</v>
      </c>
      <c r="L3" s="14">
        <v>6300</v>
      </c>
      <c r="M3" s="14">
        <v>6420</v>
      </c>
    </row>
    <row r="4" spans="1:13" x14ac:dyDescent="0.25">
      <c r="A4" s="2">
        <v>10</v>
      </c>
      <c r="B4" s="2">
        <v>3</v>
      </c>
      <c r="C4" s="2">
        <v>100</v>
      </c>
      <c r="D4" s="2">
        <v>0</v>
      </c>
      <c r="E4" s="10">
        <v>480</v>
      </c>
      <c r="F4" s="10">
        <v>720</v>
      </c>
      <c r="G4" s="10">
        <v>960</v>
      </c>
      <c r="H4" s="11">
        <v>1080</v>
      </c>
      <c r="I4" s="11">
        <v>1200</v>
      </c>
      <c r="J4" s="12">
        <v>1320</v>
      </c>
      <c r="K4" s="13">
        <v>2220</v>
      </c>
      <c r="L4" s="14">
        <v>6600</v>
      </c>
      <c r="M4" s="14">
        <v>6720</v>
      </c>
    </row>
    <row r="5" spans="1:13" x14ac:dyDescent="0.25">
      <c r="A5" s="2">
        <v>2</v>
      </c>
      <c r="B5" s="2">
        <v>1</v>
      </c>
      <c r="C5" s="2">
        <v>150</v>
      </c>
      <c r="D5" s="2">
        <v>0</v>
      </c>
      <c r="E5" s="10">
        <v>540</v>
      </c>
      <c r="F5" s="10">
        <v>780</v>
      </c>
      <c r="G5" s="10">
        <v>960</v>
      </c>
      <c r="H5" s="11">
        <v>1200</v>
      </c>
      <c r="I5" s="11">
        <v>1440</v>
      </c>
      <c r="J5" s="12">
        <v>1620</v>
      </c>
      <c r="K5" s="13">
        <v>2160</v>
      </c>
      <c r="L5" s="14">
        <v>6060</v>
      </c>
      <c r="M5" s="14">
        <v>6240</v>
      </c>
    </row>
    <row r="6" spans="1:13" x14ac:dyDescent="0.25">
      <c r="A6" s="2">
        <v>5</v>
      </c>
      <c r="B6" s="2">
        <v>2</v>
      </c>
      <c r="C6" s="2">
        <v>150</v>
      </c>
      <c r="D6" s="2">
        <v>0</v>
      </c>
      <c r="E6" s="10">
        <v>720</v>
      </c>
      <c r="F6" s="10">
        <v>1020</v>
      </c>
      <c r="G6" s="10">
        <v>1260</v>
      </c>
      <c r="H6" s="11">
        <v>1440</v>
      </c>
      <c r="I6" s="11">
        <v>1680</v>
      </c>
      <c r="J6" s="12">
        <v>1860</v>
      </c>
      <c r="K6" s="13">
        <v>2520</v>
      </c>
      <c r="L6" s="14">
        <v>6420</v>
      </c>
      <c r="M6" s="14">
        <v>6600</v>
      </c>
    </row>
    <row r="7" spans="1:13" x14ac:dyDescent="0.25">
      <c r="A7" s="2">
        <v>11</v>
      </c>
      <c r="B7" s="2">
        <v>3</v>
      </c>
      <c r="C7" s="2">
        <v>150</v>
      </c>
      <c r="D7" s="2">
        <v>0</v>
      </c>
      <c r="E7" s="10">
        <v>480</v>
      </c>
      <c r="F7" s="10">
        <v>720</v>
      </c>
      <c r="G7" s="10">
        <v>900</v>
      </c>
      <c r="H7" s="11">
        <v>1020</v>
      </c>
      <c r="I7" s="11">
        <v>1140</v>
      </c>
      <c r="J7" s="12">
        <v>1260</v>
      </c>
      <c r="K7" s="13">
        <v>1980</v>
      </c>
      <c r="L7" s="14">
        <v>6060</v>
      </c>
      <c r="M7" s="14">
        <v>6240</v>
      </c>
    </row>
    <row r="8" spans="1:13" x14ac:dyDescent="0.25">
      <c r="A8" s="2">
        <v>9</v>
      </c>
      <c r="B8" s="2">
        <v>1</v>
      </c>
      <c r="C8" s="2">
        <v>200</v>
      </c>
      <c r="D8" s="2">
        <v>0</v>
      </c>
      <c r="E8" s="10">
        <v>420</v>
      </c>
      <c r="F8" s="10">
        <v>660</v>
      </c>
      <c r="G8" s="10">
        <v>840</v>
      </c>
      <c r="H8" s="11">
        <v>960</v>
      </c>
      <c r="I8" s="11">
        <v>1140</v>
      </c>
      <c r="J8" s="12">
        <v>1320</v>
      </c>
      <c r="K8" s="13">
        <v>2220</v>
      </c>
      <c r="L8" s="14">
        <v>6180</v>
      </c>
      <c r="M8" s="14">
        <v>6360</v>
      </c>
    </row>
    <row r="9" spans="1:13" x14ac:dyDescent="0.25">
      <c r="A9" s="2">
        <v>12</v>
      </c>
      <c r="B9" s="2">
        <v>2</v>
      </c>
      <c r="C9" s="2">
        <v>200</v>
      </c>
      <c r="D9" s="2">
        <v>0</v>
      </c>
      <c r="E9" s="10">
        <v>380</v>
      </c>
      <c r="F9" s="10">
        <v>1140</v>
      </c>
      <c r="G9" s="10">
        <v>1380</v>
      </c>
      <c r="H9" s="11">
        <v>1620</v>
      </c>
      <c r="I9" s="11">
        <v>1800</v>
      </c>
      <c r="J9" s="12">
        <v>1920</v>
      </c>
      <c r="K9" s="13">
        <v>2880</v>
      </c>
      <c r="L9" s="14">
        <v>6900</v>
      </c>
      <c r="M9" s="14">
        <v>7080</v>
      </c>
    </row>
    <row r="10" spans="1:13" x14ac:dyDescent="0.25">
      <c r="A10" s="2">
        <v>13</v>
      </c>
      <c r="B10" s="2">
        <v>3</v>
      </c>
      <c r="C10" s="2">
        <v>200</v>
      </c>
      <c r="D10" s="2">
        <v>0</v>
      </c>
      <c r="E10" s="10">
        <v>420</v>
      </c>
      <c r="F10" s="10">
        <v>600</v>
      </c>
      <c r="G10" s="10">
        <v>720</v>
      </c>
      <c r="H10" s="11">
        <v>840</v>
      </c>
      <c r="I10" s="11">
        <v>960</v>
      </c>
      <c r="J10" s="12">
        <v>1140</v>
      </c>
      <c r="K10" s="13">
        <v>1800</v>
      </c>
      <c r="L10" s="14">
        <v>5820</v>
      </c>
      <c r="M10" s="14">
        <v>6000</v>
      </c>
    </row>
    <row r="11" spans="1:13" x14ac:dyDescent="0.25">
      <c r="A11" s="2">
        <v>7</v>
      </c>
      <c r="B11" s="2">
        <v>1</v>
      </c>
      <c r="C11" s="2">
        <v>250</v>
      </c>
      <c r="D11" s="2">
        <v>0</v>
      </c>
      <c r="E11" s="10">
        <v>360</v>
      </c>
      <c r="F11" s="10">
        <v>600</v>
      </c>
      <c r="G11" s="10">
        <v>780</v>
      </c>
      <c r="H11" s="11">
        <v>1080</v>
      </c>
      <c r="I11" s="11">
        <v>1320</v>
      </c>
      <c r="J11" s="12">
        <v>1440</v>
      </c>
      <c r="K11" s="13">
        <v>2160</v>
      </c>
      <c r="L11" s="14">
        <v>6360</v>
      </c>
      <c r="M11" s="14">
        <v>6540</v>
      </c>
    </row>
    <row r="12" spans="1:13" x14ac:dyDescent="0.25">
      <c r="A12" s="2">
        <v>8</v>
      </c>
      <c r="B12" s="2">
        <v>2</v>
      </c>
      <c r="C12" s="2">
        <v>250</v>
      </c>
      <c r="D12" s="2">
        <v>0</v>
      </c>
      <c r="E12" s="10">
        <v>480</v>
      </c>
      <c r="F12" s="10">
        <v>600</v>
      </c>
      <c r="G12" s="10">
        <v>840</v>
      </c>
      <c r="H12" s="11">
        <v>960</v>
      </c>
      <c r="I12" s="11">
        <v>1140</v>
      </c>
      <c r="J12" s="12">
        <v>1320</v>
      </c>
      <c r="K12" s="13">
        <v>1980</v>
      </c>
      <c r="L12" s="14">
        <v>5940</v>
      </c>
      <c r="M12" s="14">
        <v>6060</v>
      </c>
    </row>
    <row r="13" spans="1:13" x14ac:dyDescent="0.25">
      <c r="A13" s="2">
        <v>15</v>
      </c>
      <c r="B13" s="2">
        <v>3</v>
      </c>
      <c r="C13" s="2">
        <v>250</v>
      </c>
      <c r="D13" s="2">
        <v>0</v>
      </c>
      <c r="E13" s="10">
        <v>480</v>
      </c>
      <c r="F13" s="10">
        <v>600</v>
      </c>
      <c r="G13" s="10">
        <v>840</v>
      </c>
      <c r="H13" s="11">
        <v>900</v>
      </c>
      <c r="I13" s="11">
        <v>1020</v>
      </c>
      <c r="J13" s="12">
        <v>1080</v>
      </c>
      <c r="K13" s="13">
        <v>1740</v>
      </c>
      <c r="L13" s="14">
        <v>5760</v>
      </c>
      <c r="M13" s="15">
        <v>6000</v>
      </c>
    </row>
    <row r="14" spans="1:13" x14ac:dyDescent="0.25">
      <c r="A14" s="2">
        <v>1</v>
      </c>
      <c r="B14" s="2">
        <v>1</v>
      </c>
      <c r="C14" s="2">
        <v>300</v>
      </c>
      <c r="D14" s="2">
        <v>0</v>
      </c>
      <c r="E14" s="10">
        <v>480</v>
      </c>
      <c r="F14" s="10">
        <v>720</v>
      </c>
      <c r="G14" s="10">
        <v>960</v>
      </c>
      <c r="H14" s="11">
        <v>1140</v>
      </c>
      <c r="I14" s="11">
        <v>1380</v>
      </c>
      <c r="J14" s="12">
        <v>1740</v>
      </c>
      <c r="K14" s="13">
        <v>2100</v>
      </c>
      <c r="L14" s="14">
        <v>6240</v>
      </c>
      <c r="M14" s="14">
        <v>6480</v>
      </c>
    </row>
    <row r="15" spans="1:13" x14ac:dyDescent="0.25">
      <c r="A15" s="2">
        <v>3</v>
      </c>
      <c r="B15" s="2">
        <v>2</v>
      </c>
      <c r="C15" s="2">
        <v>300</v>
      </c>
      <c r="D15" s="2">
        <v>0</v>
      </c>
      <c r="E15" s="10">
        <v>660</v>
      </c>
      <c r="F15" s="10">
        <v>840</v>
      </c>
      <c r="G15" s="10">
        <v>1020</v>
      </c>
      <c r="H15" s="11">
        <v>1380</v>
      </c>
      <c r="I15" s="11">
        <v>1740</v>
      </c>
      <c r="J15" s="12">
        <v>2460</v>
      </c>
      <c r="K15" s="13">
        <v>3480</v>
      </c>
      <c r="L15" s="14">
        <v>7140</v>
      </c>
      <c r="M15" s="14">
        <v>7440</v>
      </c>
    </row>
    <row r="16" spans="1:13" x14ac:dyDescent="0.25">
      <c r="A16" s="2">
        <v>14</v>
      </c>
      <c r="B16" s="2">
        <v>3</v>
      </c>
      <c r="C16" s="2">
        <v>300</v>
      </c>
      <c r="D16" s="2">
        <v>0</v>
      </c>
      <c r="E16" s="10">
        <v>720</v>
      </c>
      <c r="F16" s="10">
        <v>900</v>
      </c>
      <c r="G16" s="10">
        <v>1080</v>
      </c>
      <c r="H16" s="11">
        <v>1200</v>
      </c>
      <c r="I16" s="11">
        <v>1380</v>
      </c>
      <c r="J16" s="12">
        <v>1440</v>
      </c>
      <c r="K16" s="13">
        <v>2160</v>
      </c>
      <c r="L16" s="15">
        <v>6420</v>
      </c>
      <c r="M16" s="15">
        <v>6540</v>
      </c>
    </row>
  </sheetData>
  <sortState ref="A2:M16">
    <sortCondition ref="C1"/>
  </sortState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Stretch  </vt:lpstr>
      <vt:lpstr>Measurements</vt:lpstr>
      <vt:lpstr>Stretch Calcs </vt:lpstr>
      <vt:lpstr>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ladmin</dc:creator>
  <cp:lastModifiedBy>Evan Cernokus</cp:lastModifiedBy>
  <cp:lastPrinted>2012-07-20T01:56:11Z</cp:lastPrinted>
  <dcterms:created xsi:type="dcterms:W3CDTF">2012-05-30T17:12:51Z</dcterms:created>
  <dcterms:modified xsi:type="dcterms:W3CDTF">2012-09-07T22:08:37Z</dcterms:modified>
</cp:coreProperties>
</file>