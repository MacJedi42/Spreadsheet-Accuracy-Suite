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3955" windowHeight="11055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calcPr calcId="145621"/>
</workbook>
</file>

<file path=xl/calcChain.xml><?xml version="1.0" encoding="utf-8"?>
<calcChain xmlns="http://schemas.openxmlformats.org/spreadsheetml/2006/main">
  <c r="E9" i="1" l="1"/>
  <c r="H9" i="1"/>
  <c r="K9" i="1"/>
  <c r="N9" i="1"/>
  <c r="B9" i="1"/>
  <c r="P23" i="1" l="1"/>
  <c r="P24" i="1"/>
  <c r="P25" i="1"/>
  <c r="P26" i="1"/>
  <c r="P8" i="1"/>
  <c r="P7" i="1"/>
  <c r="P17" i="1" s="1"/>
  <c r="P6" i="1"/>
  <c r="P16" i="1" s="1"/>
  <c r="P5" i="1"/>
  <c r="P15" i="1" s="1"/>
  <c r="B6" i="1" l="1"/>
  <c r="C6" i="1"/>
  <c r="D6" i="1"/>
  <c r="E6" i="1"/>
  <c r="F6" i="1"/>
  <c r="G6" i="1"/>
  <c r="H6" i="1"/>
  <c r="I6" i="1"/>
  <c r="J6" i="1"/>
  <c r="K6" i="1"/>
  <c r="L6" i="1"/>
  <c r="M6" i="1"/>
  <c r="N6" i="1"/>
  <c r="O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C5" i="1"/>
  <c r="D5" i="1"/>
  <c r="D15" i="1" s="1"/>
  <c r="E5" i="1"/>
  <c r="F5" i="1"/>
  <c r="F15" i="1" s="1"/>
  <c r="G5" i="1"/>
  <c r="H5" i="1"/>
  <c r="H15" i="1" s="1"/>
  <c r="I5" i="1"/>
  <c r="J5" i="1"/>
  <c r="J15" i="1" s="1"/>
  <c r="K5" i="1"/>
  <c r="L5" i="1"/>
  <c r="L15" i="1" s="1"/>
  <c r="M5" i="1"/>
  <c r="N5" i="1"/>
  <c r="N15" i="1" s="1"/>
  <c r="O5" i="1"/>
  <c r="B5" i="1"/>
  <c r="B15" i="1" s="1"/>
  <c r="O17" i="1" l="1"/>
  <c r="M17" i="1"/>
  <c r="K17" i="1"/>
  <c r="I17" i="1"/>
  <c r="G17" i="1"/>
  <c r="E17" i="1"/>
  <c r="C17" i="1"/>
  <c r="O16" i="1"/>
  <c r="M16" i="1"/>
  <c r="K16" i="1"/>
  <c r="I16" i="1"/>
  <c r="G16" i="1"/>
  <c r="E16" i="1"/>
  <c r="C16" i="1"/>
  <c r="O15" i="1"/>
  <c r="M15" i="1"/>
  <c r="K15" i="1"/>
  <c r="I15" i="1"/>
  <c r="G15" i="1"/>
  <c r="E15" i="1"/>
  <c r="C15" i="1"/>
  <c r="N17" i="1"/>
  <c r="L17" i="1"/>
  <c r="J17" i="1"/>
  <c r="H17" i="1"/>
  <c r="F17" i="1"/>
  <c r="D17" i="1"/>
  <c r="B17" i="1"/>
  <c r="N16" i="1"/>
  <c r="L16" i="1"/>
  <c r="J16" i="1"/>
  <c r="H16" i="1"/>
  <c r="F16" i="1"/>
  <c r="D16" i="1"/>
  <c r="B16" i="1"/>
  <c r="E23" i="1"/>
  <c r="F23" i="1"/>
  <c r="G23" i="1"/>
  <c r="H23" i="1"/>
  <c r="I23" i="1"/>
  <c r="J23" i="1"/>
  <c r="K23" i="1"/>
  <c r="L23" i="1"/>
  <c r="M23" i="1"/>
  <c r="N23" i="1"/>
  <c r="O23" i="1"/>
  <c r="E24" i="1"/>
  <c r="F24" i="1"/>
  <c r="G24" i="1"/>
  <c r="H24" i="1"/>
  <c r="I24" i="1"/>
  <c r="J24" i="1"/>
  <c r="K24" i="1"/>
  <c r="L24" i="1"/>
  <c r="M24" i="1"/>
  <c r="N24" i="1"/>
  <c r="O24" i="1"/>
  <c r="E25" i="1"/>
  <c r="F25" i="1"/>
  <c r="G25" i="1"/>
  <c r="H25" i="1"/>
  <c r="I25" i="1"/>
  <c r="J25" i="1"/>
  <c r="K25" i="1"/>
  <c r="L25" i="1"/>
  <c r="M25" i="1"/>
  <c r="N25" i="1"/>
  <c r="O25" i="1"/>
  <c r="E26" i="1"/>
  <c r="F26" i="1"/>
  <c r="G26" i="1"/>
  <c r="H26" i="1"/>
  <c r="I26" i="1"/>
  <c r="J26" i="1"/>
  <c r="K26" i="1"/>
  <c r="L26" i="1"/>
  <c r="M26" i="1"/>
  <c r="N26" i="1"/>
  <c r="O26" i="1"/>
  <c r="C26" i="1"/>
  <c r="D26" i="1"/>
  <c r="B26" i="1"/>
  <c r="B24" i="1"/>
  <c r="C24" i="1"/>
  <c r="D24" i="1"/>
  <c r="B25" i="1"/>
  <c r="C25" i="1"/>
  <c r="D25" i="1"/>
  <c r="C23" i="1"/>
  <c r="D23" i="1"/>
  <c r="B23" i="1"/>
</calcChain>
</file>

<file path=xl/sharedStrings.xml><?xml version="1.0" encoding="utf-8"?>
<sst xmlns="http://schemas.openxmlformats.org/spreadsheetml/2006/main" count="85" uniqueCount="34">
  <si>
    <t>Credit  Headcount At Census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</si>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</sst>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</cellStyleXfs>
  <cellXfs count="94">
    <xf numFmtId="0" fontId="0" fillId="0" borderId="0" xfId="0"/>
    <xf numFmtId="0" fontId="0" fillId="0" borderId="0" xfId="0"/>
    <xf numFmtId="0" fontId="16" fillId="0" borderId="26" xfId="45" applyFont="1" applyBorder="1" applyAlignment="1">
      <alignment horizontal="center" vertical="center"/>
    </xf>
    <xf numFmtId="9" fontId="24" fillId="0" borderId="22" xfId="2" applyFont="1" applyBorder="1" applyAlignment="1" applyProtection="1">
      <alignment horizontal="center" vertical="center"/>
    </xf>
    <xf numFmtId="0" fontId="23" fillId="33" borderId="31" xfId="45" applyFont="1" applyFill="1" applyBorder="1" applyAlignment="1">
      <alignment horizontal="center" vertical="center"/>
    </xf>
    <xf numFmtId="0" fontId="23" fillId="33" borderId="32" xfId="45" applyFont="1" applyFill="1" applyBorder="1" applyAlignment="1">
      <alignment horizontal="center" vertical="center"/>
    </xf>
    <xf numFmtId="0" fontId="23" fillId="33" borderId="33" xfId="45" applyFont="1" applyFill="1" applyBorder="1" applyAlignment="1">
      <alignment horizontal="center" vertical="center"/>
    </xf>
    <xf numFmtId="0" fontId="22" fillId="34" borderId="32" xfId="45" applyFont="1" applyFill="1" applyBorder="1" applyAlignment="1">
      <alignment horizontal="center" vertical="center"/>
    </xf>
    <xf numFmtId="0" fontId="22" fillId="34" borderId="33" xfId="45" applyFont="1" applyFill="1" applyBorder="1" applyAlignment="1">
      <alignment horizontal="center" vertical="center"/>
    </xf>
    <xf numFmtId="0" fontId="22" fillId="34" borderId="31" xfId="45" applyFont="1" applyFill="1" applyBorder="1" applyAlignment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3" xfId="1" applyNumberFormat="1" applyFont="1" applyBorder="1" applyAlignment="1" applyProtection="1">
      <alignment horizontal="center" vertical="center"/>
    </xf>
    <xf numFmtId="164" fontId="26" fillId="0" borderId="34" xfId="1" applyNumberFormat="1" applyFont="1" applyBorder="1" applyAlignment="1" applyProtection="1">
      <alignment horizontal="center" vertical="center"/>
    </xf>
    <xf numFmtId="9" fontId="24" fillId="0" borderId="10" xfId="2" applyFont="1" applyBorder="1" applyAlignment="1" applyProtection="1">
      <alignment horizontal="center" vertical="center"/>
    </xf>
    <xf numFmtId="9" fontId="24" fillId="0" borderId="23" xfId="2" applyFont="1" applyBorder="1" applyAlignment="1" applyProtection="1">
      <alignment horizontal="center" vertical="center"/>
    </xf>
    <xf numFmtId="9" fontId="24" fillId="0" borderId="19" xfId="2" applyFont="1" applyBorder="1" applyAlignment="1" applyProtection="1">
      <alignment horizontal="center" vertical="center"/>
    </xf>
    <xf numFmtId="9" fontId="24" fillId="0" borderId="20" xfId="2" applyFont="1" applyBorder="1" applyAlignment="1" applyProtection="1">
      <alignment horizontal="center" vertical="center"/>
    </xf>
    <xf numFmtId="9" fontId="24" fillId="0" borderId="21" xfId="2" applyFont="1" applyBorder="1" applyAlignment="1" applyProtection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6" fillId="0" borderId="13" xfId="47" applyFont="1" applyBorder="1" applyAlignment="1" applyProtection="1"/>
    <xf numFmtId="9" fontId="24" fillId="0" borderId="18" xfId="2" applyFont="1" applyBorder="1" applyAlignment="1" applyProtection="1">
      <alignment horizontal="center" vertical="center"/>
    </xf>
    <xf numFmtId="9" fontId="24" fillId="0" borderId="17" xfId="2" applyFont="1" applyBorder="1" applyAlignment="1" applyProtection="1">
      <alignment horizontal="center" vertical="center"/>
    </xf>
    <xf numFmtId="0" fontId="26" fillId="0" borderId="36" xfId="47" applyFont="1" applyBorder="1" applyAlignment="1" applyProtection="1"/>
    <xf numFmtId="0" fontId="26" fillId="0" borderId="27" xfId="47" applyFont="1" applyBorder="1" applyAlignment="1" applyProtection="1"/>
    <xf numFmtId="0" fontId="26" fillId="0" borderId="35" xfId="47" applyFont="1" applyBorder="1" applyAlignment="1" applyProtection="1"/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57" applyFont="1"/>
    <xf numFmtId="0" fontId="28" fillId="0" borderId="26" xfId="47" applyFont="1" applyBorder="1" applyAlignment="1" applyProtection="1">
      <alignment horizontal="center" vertical="center"/>
    </xf>
    <xf numFmtId="164" fontId="24" fillId="0" borderId="10" xfId="1" applyNumberFormat="1" applyFont="1" applyBorder="1" applyAlignment="1" applyProtection="1">
      <alignment horizontal="center" vertical="center"/>
    </xf>
    <xf numFmtId="164" fontId="24" fillId="0" borderId="40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4" fontId="24" fillId="0" borderId="41" xfId="1" applyNumberFormat="1" applyFont="1" applyBorder="1" applyAlignment="1" applyProtection="1">
      <alignment horizontal="center" vertical="center"/>
    </xf>
    <xf numFmtId="164" fontId="24" fillId="0" borderId="45" xfId="1" applyNumberFormat="1" applyFont="1" applyBorder="1" applyAlignment="1" applyProtection="1">
      <alignment horizontal="center" vertical="center"/>
    </xf>
    <xf numFmtId="164" fontId="24" fillId="0" borderId="46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32" xfId="1" applyNumberFormat="1" applyFont="1" applyBorder="1" applyAlignment="1" applyProtection="1">
      <alignment horizontal="center" vertical="center"/>
    </xf>
    <xf numFmtId="164" fontId="24" fillId="0" borderId="33" xfId="1" applyNumberFormat="1" applyFont="1" applyBorder="1" applyAlignment="1" applyProtection="1">
      <alignment horizontal="center" vertical="center"/>
    </xf>
    <xf numFmtId="164" fontId="24" fillId="0" borderId="49" xfId="1" applyNumberFormat="1" applyFont="1" applyBorder="1" applyAlignment="1" applyProtection="1">
      <alignment horizontal="center" vertical="center"/>
    </xf>
    <xf numFmtId="164" fontId="24" fillId="0" borderId="50" xfId="1" applyNumberFormat="1" applyFont="1" applyBorder="1" applyAlignment="1" applyProtection="1">
      <alignment horizontal="center" vertical="center"/>
    </xf>
    <xf numFmtId="164" fontId="26" fillId="0" borderId="51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4" fontId="26" fillId="0" borderId="53" xfId="1" applyNumberFormat="1" applyFont="1" applyBorder="1" applyAlignment="1" applyProtection="1">
      <alignment horizontal="center" vertical="center"/>
    </xf>
    <xf numFmtId="164" fontId="26" fillId="0" borderId="54" xfId="1" applyNumberFormat="1" applyFont="1" applyBorder="1" applyAlignment="1" applyProtection="1">
      <alignment horizontal="center" vertical="center"/>
    </xf>
    <xf numFmtId="9" fontId="24" fillId="0" borderId="16" xfId="2" applyFont="1" applyBorder="1" applyAlignment="1" applyProtection="1">
      <alignment horizontal="center" vertical="center"/>
    </xf>
    <xf numFmtId="9" fontId="24" fillId="0" borderId="46" xfId="2" applyFont="1" applyBorder="1" applyAlignment="1" applyProtection="1">
      <alignment horizontal="center" vertical="center"/>
    </xf>
    <xf numFmtId="9" fontId="24" fillId="0" borderId="41" xfId="2" applyFont="1" applyBorder="1" applyAlignment="1" applyProtection="1">
      <alignment horizontal="center" vertical="center"/>
    </xf>
    <xf numFmtId="9" fontId="24" fillId="0" borderId="48" xfId="2" applyFont="1" applyBorder="1" applyAlignment="1" applyProtection="1">
      <alignment horizontal="center" vertical="center"/>
    </xf>
    <xf numFmtId="9" fontId="24" fillId="0" borderId="45" xfId="2" applyFont="1" applyBorder="1" applyAlignment="1" applyProtection="1">
      <alignment horizontal="center" vertical="center"/>
    </xf>
    <xf numFmtId="9" fontId="24" fillId="0" borderId="40" xfId="2" applyFont="1" applyBorder="1" applyAlignment="1" applyProtection="1">
      <alignment horizontal="center" vertical="center"/>
    </xf>
    <xf numFmtId="9" fontId="24" fillId="0" borderId="47" xfId="2" applyFont="1" applyBorder="1" applyAlignment="1" applyProtection="1">
      <alignment horizontal="center" vertical="center"/>
    </xf>
    <xf numFmtId="9" fontId="24" fillId="0" borderId="31" xfId="2" applyFont="1" applyBorder="1" applyAlignment="1" applyProtection="1">
      <alignment horizontal="center" vertical="center"/>
    </xf>
    <xf numFmtId="9" fontId="24" fillId="0" borderId="32" xfId="2" applyFont="1" applyBorder="1" applyAlignment="1" applyProtection="1">
      <alignment horizontal="center" vertical="center"/>
    </xf>
    <xf numFmtId="9" fontId="24" fillId="0" borderId="33" xfId="2" applyFont="1" applyBorder="1" applyAlignment="1" applyProtection="1">
      <alignment horizontal="center" vertical="center"/>
    </xf>
    <xf numFmtId="9" fontId="26" fillId="0" borderId="51" xfId="2" applyFont="1" applyBorder="1" applyAlignment="1" applyProtection="1">
      <alignment horizontal="center" vertical="center"/>
    </xf>
    <xf numFmtId="9" fontId="26" fillId="0" borderId="52" xfId="2" applyFont="1" applyBorder="1" applyAlignment="1" applyProtection="1">
      <alignment horizontal="center" vertical="center"/>
    </xf>
    <xf numFmtId="9" fontId="26" fillId="0" borderId="34" xfId="2" applyFont="1" applyBorder="1" applyAlignment="1" applyProtection="1">
      <alignment horizontal="center" vertical="center"/>
    </xf>
    <xf numFmtId="164" fontId="24" fillId="0" borderId="38" xfId="1" applyNumberFormat="1" applyFont="1" applyBorder="1" applyAlignment="1" applyProtection="1">
      <alignment horizontal="center" vertical="center"/>
    </xf>
    <xf numFmtId="9" fontId="0" fillId="0" borderId="0" xfId="2" applyFont="1"/>
    <xf numFmtId="165" fontId="0" fillId="0" borderId="0" xfId="2" applyNumberFormat="1" applyFont="1"/>
    <xf numFmtId="165" fontId="0" fillId="0" borderId="0" xfId="0" applyNumberFormat="1"/>
    <xf numFmtId="0" fontId="0" fillId="0" borderId="0" xfId="2" applyNumberFormat="1" applyFont="1"/>
    <xf numFmtId="0" fontId="27" fillId="35" borderId="11" xfId="10" applyFont="1" applyFill="1" applyBorder="1" applyAlignment="1">
      <alignment horizontal="center" vertical="center" wrapText="1"/>
    </xf>
    <xf numFmtId="0" fontId="27" fillId="35" borderId="12" xfId="10" applyFont="1" applyFill="1" applyBorder="1" applyAlignment="1">
      <alignment horizontal="center" vertical="center" wrapText="1"/>
    </xf>
    <xf numFmtId="0" fontId="27" fillId="35" borderId="13" xfId="10" applyFont="1" applyFill="1" applyBorder="1" applyAlignment="1">
      <alignment horizontal="center" vertical="center" wrapText="1"/>
    </xf>
    <xf numFmtId="0" fontId="19" fillId="35" borderId="28" xfId="45" applyFont="1" applyFill="1" applyBorder="1" applyAlignment="1">
      <alignment horizontal="center"/>
    </xf>
    <xf numFmtId="0" fontId="19" fillId="35" borderId="29" xfId="45" applyFont="1" applyFill="1" applyBorder="1" applyAlignment="1">
      <alignment horizontal="center"/>
    </xf>
    <xf numFmtId="0" fontId="19" fillId="35" borderId="30" xfId="45" applyFont="1" applyFill="1" applyBorder="1" applyAlignment="1">
      <alignment horizontal="center"/>
    </xf>
    <xf numFmtId="0" fontId="19" fillId="35" borderId="25" xfId="45" applyFont="1" applyFill="1" applyBorder="1" applyAlignment="1">
      <alignment horizontal="center"/>
    </xf>
    <xf numFmtId="0" fontId="19" fillId="35" borderId="0" xfId="45" applyFont="1" applyFill="1" applyBorder="1" applyAlignment="1">
      <alignment horizontal="center"/>
    </xf>
    <xf numFmtId="0" fontId="19" fillId="35" borderId="24" xfId="45" applyFont="1" applyFill="1" applyBorder="1" applyAlignment="1">
      <alignment horizontal="center"/>
    </xf>
    <xf numFmtId="0" fontId="23" fillId="33" borderId="18" xfId="45" applyFont="1" applyFill="1" applyBorder="1" applyAlignment="1">
      <alignment horizontal="center" vertical="center"/>
    </xf>
    <xf numFmtId="0" fontId="23" fillId="33" borderId="16" xfId="45" applyFont="1" applyFill="1" applyBorder="1" applyAlignment="1">
      <alignment horizontal="center" vertical="center"/>
    </xf>
    <xf numFmtId="0" fontId="23" fillId="33" borderId="17" xfId="45" applyFont="1" applyFill="1" applyBorder="1" applyAlignment="1">
      <alignment horizontal="center" vertical="center"/>
    </xf>
    <xf numFmtId="0" fontId="22" fillId="34" borderId="18" xfId="45" applyFont="1" applyFill="1" applyBorder="1" applyAlignment="1">
      <alignment horizontal="center" vertical="center"/>
    </xf>
    <xf numFmtId="0" fontId="22" fillId="34" borderId="16" xfId="45" applyFont="1" applyFill="1" applyBorder="1" applyAlignment="1">
      <alignment horizontal="center" vertical="center"/>
    </xf>
    <xf numFmtId="0" fontId="22" fillId="34" borderId="17" xfId="45" applyFont="1" applyFill="1" applyBorder="1" applyAlignment="1">
      <alignment horizontal="center" vertical="center"/>
    </xf>
    <xf numFmtId="0" fontId="22" fillId="35" borderId="11" xfId="10" applyFont="1" applyFill="1" applyBorder="1" applyAlignment="1">
      <alignment horizontal="center" vertical="center" wrapText="1"/>
    </xf>
    <xf numFmtId="0" fontId="22" fillId="35" borderId="12" xfId="10" applyFont="1" applyFill="1" applyBorder="1" applyAlignment="1">
      <alignment horizontal="center" vertical="center" wrapText="1"/>
    </xf>
    <xf numFmtId="0" fontId="22" fillId="35" borderId="13" xfId="10" applyFont="1" applyFill="1" applyBorder="1" applyAlignment="1">
      <alignment horizontal="center" vertical="center" wrapText="1"/>
    </xf>
    <xf numFmtId="0" fontId="19" fillId="35" borderId="13" xfId="45" applyFont="1" applyFill="1" applyBorder="1" applyAlignment="1">
      <alignment horizontal="center"/>
    </xf>
    <xf numFmtId="0" fontId="19" fillId="35" borderId="14" xfId="45" applyFont="1" applyFill="1" applyBorder="1" applyAlignment="1">
      <alignment horizontal="center"/>
    </xf>
    <xf numFmtId="0" fontId="19" fillId="35" borderId="15" xfId="45" applyFont="1" applyFill="1" applyBorder="1" applyAlignment="1">
      <alignment horizontal="center"/>
    </xf>
    <xf numFmtId="0" fontId="23" fillId="33" borderId="37" xfId="45" applyFont="1" applyFill="1" applyBorder="1" applyAlignment="1">
      <alignment horizontal="center" vertical="center"/>
    </xf>
    <xf numFmtId="0" fontId="23" fillId="33" borderId="38" xfId="45" applyFont="1" applyFill="1" applyBorder="1" applyAlignment="1">
      <alignment horizontal="center" vertical="center"/>
    </xf>
    <xf numFmtId="0" fontId="23" fillId="33" borderId="39" xfId="45" applyFont="1" applyFill="1" applyBorder="1" applyAlignment="1">
      <alignment horizontal="center" vertical="center"/>
    </xf>
    <xf numFmtId="3" fontId="28" fillId="0" borderId="42" xfId="1" applyNumberFormat="1" applyFont="1" applyFill="1" applyBorder="1" applyAlignment="1" applyProtection="1">
      <alignment horizontal="center" vertical="center"/>
    </xf>
    <xf numFmtId="3" fontId="28" fillId="0" borderId="43" xfId="1" applyNumberFormat="1" applyFont="1" applyFill="1" applyBorder="1" applyAlignment="1" applyProtection="1">
      <alignment horizontal="center" vertical="center"/>
    </xf>
    <xf numFmtId="3" fontId="28" fillId="0" borderId="44" xfId="1" applyNumberFormat="1" applyFont="1" applyFill="1" applyBorder="1" applyAlignment="1" applyProtection="1">
      <alignment horizontal="center" vertical="center"/>
    </xf>
  </cellXfs>
  <cellStyles count="58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50"/>
    <cellStyle name="Comma 2 2" xfId="5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Hyperlink 2" xfId="51"/>
    <cellStyle name="Input" xfId="11" builtinId="20" customBuiltin="1"/>
    <cellStyle name="Linked Cell" xfId="14" builtinId="24" customBuiltin="1"/>
    <cellStyle name="Neutral" xfId="10" builtinId="28" customBuiltin="1"/>
    <cellStyle name="Neutral 2" xfId="54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4" xfId="57"/>
    <cellStyle name="Note" xfId="17" builtinId="10" customBuiltin="1"/>
    <cellStyle name="Note 2" xfId="46"/>
    <cellStyle name="Output" xfId="12" builtinId="21" customBuiltin="1"/>
    <cellStyle name="Percent" xfId="2" builtinId="5"/>
    <cellStyle name="Percent 2" xfId="48"/>
    <cellStyle name="Percent 2 2" xfId="56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District%20Totals/Demographics/All%20Students/Unduplicated%20Headcount/edit/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District%20Totals/Demographics/All%20Students/Ethnicity/edit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2035</v>
          </cell>
          <cell r="C4">
            <v>5463</v>
          </cell>
          <cell r="D4">
            <v>5555</v>
          </cell>
          <cell r="E4">
            <v>2475</v>
          </cell>
          <cell r="F4">
            <v>6240</v>
          </cell>
          <cell r="G4">
            <v>6646</v>
          </cell>
          <cell r="H4">
            <v>1507</v>
          </cell>
          <cell r="I4">
            <v>7180</v>
          </cell>
          <cell r="J4">
            <v>7155</v>
          </cell>
          <cell r="K4">
            <v>932</v>
          </cell>
          <cell r="L4">
            <v>6521</v>
          </cell>
          <cell r="M4">
            <v>6641</v>
          </cell>
          <cell r="N4">
            <v>158</v>
          </cell>
          <cell r="O4">
            <v>6286</v>
          </cell>
          <cell r="P4">
            <v>6465</v>
          </cell>
        </row>
        <row r="5">
          <cell r="A5" t="str">
            <v>Female</v>
          </cell>
          <cell r="B5">
            <v>3578</v>
          </cell>
          <cell r="C5">
            <v>8879</v>
          </cell>
          <cell r="D5">
            <v>8755</v>
          </cell>
          <cell r="E5">
            <v>4217</v>
          </cell>
          <cell r="F5">
            <v>9686</v>
          </cell>
          <cell r="G5">
            <v>10144</v>
          </cell>
          <cell r="H5">
            <v>2466</v>
          </cell>
          <cell r="I5">
            <v>10431</v>
          </cell>
          <cell r="J5">
            <v>10189</v>
          </cell>
          <cell r="K5">
            <v>1261</v>
          </cell>
          <cell r="L5">
            <v>9256</v>
          </cell>
          <cell r="M5">
            <v>9195</v>
          </cell>
          <cell r="N5">
            <v>62</v>
          </cell>
          <cell r="O5">
            <v>8604</v>
          </cell>
          <cell r="P5">
            <v>8872</v>
          </cell>
        </row>
        <row r="6">
          <cell r="A6" t="str">
            <v>Undeclared</v>
          </cell>
          <cell r="B6">
            <v>39</v>
          </cell>
          <cell r="C6">
            <v>114</v>
          </cell>
          <cell r="D6">
            <v>138</v>
          </cell>
          <cell r="E6">
            <v>84</v>
          </cell>
          <cell r="F6">
            <v>246</v>
          </cell>
          <cell r="G6">
            <v>242</v>
          </cell>
          <cell r="H6">
            <v>57</v>
          </cell>
          <cell r="I6">
            <v>217</v>
          </cell>
          <cell r="J6">
            <v>199</v>
          </cell>
          <cell r="K6">
            <v>31</v>
          </cell>
          <cell r="L6">
            <v>172</v>
          </cell>
          <cell r="M6">
            <v>185</v>
          </cell>
          <cell r="N6">
            <v>2</v>
          </cell>
          <cell r="O6">
            <v>135</v>
          </cell>
          <cell r="P6">
            <v>147</v>
          </cell>
        </row>
        <row r="7">
          <cell r="A7" t="str">
            <v>Term Total</v>
          </cell>
          <cell r="B7">
            <v>5652</v>
          </cell>
          <cell r="C7">
            <v>14456</v>
          </cell>
          <cell r="D7">
            <v>14448</v>
          </cell>
          <cell r="E7">
            <v>6776</v>
          </cell>
          <cell r="F7">
            <v>16172</v>
          </cell>
          <cell r="G7">
            <v>17032</v>
          </cell>
          <cell r="H7">
            <v>4030</v>
          </cell>
          <cell r="I7">
            <v>17828</v>
          </cell>
          <cell r="J7">
            <v>17543</v>
          </cell>
          <cell r="K7">
            <v>2224</v>
          </cell>
          <cell r="L7">
            <v>15949</v>
          </cell>
          <cell r="M7">
            <v>16021</v>
          </cell>
          <cell r="N7">
            <v>222</v>
          </cell>
          <cell r="O7">
            <v>15025</v>
          </cell>
          <cell r="P7">
            <v>15484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</sheetNames>
    <sheetDataSet>
      <sheetData sheetId="0">
        <row r="15">
          <cell r="B15">
            <v>21297</v>
          </cell>
          <cell r="E15">
            <v>24409</v>
          </cell>
          <cell r="H15">
            <v>24067</v>
          </cell>
          <cell r="K15">
            <v>21012</v>
          </cell>
          <cell r="N15">
            <v>19534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0.78818395434709632</v>
          </cell>
          <cell r="C4">
            <v>0.60893327035962486</v>
          </cell>
          <cell r="D4">
            <v>0.62711300412618132</v>
          </cell>
          <cell r="E4">
            <v>0.79344883595018945</v>
          </cell>
          <cell r="F4">
            <v>0.62809253200160731</v>
          </cell>
          <cell r="G4">
            <v>0.64153619551579288</v>
          </cell>
          <cell r="H4">
            <v>0.79612109744560078</v>
          </cell>
          <cell r="I4">
            <v>0.63885209713024282</v>
          </cell>
          <cell r="J4">
            <v>0.64331020812685824</v>
          </cell>
          <cell r="K4">
            <v>0.83873517786561269</v>
          </cell>
          <cell r="L4">
            <v>0.68380755864465681</v>
          </cell>
          <cell r="M4">
            <v>0.66521995391951994</v>
          </cell>
          <cell r="N4">
            <v>0.95833333333333337</v>
          </cell>
          <cell r="O4">
            <v>0.69040514174222423</v>
          </cell>
          <cell r="P4">
            <v>0.66203013743997352</v>
          </cell>
        </row>
        <row r="5">
          <cell r="A5" t="str">
            <v>Female</v>
          </cell>
          <cell r="B5">
            <v>0.76966518757563529</v>
          </cell>
          <cell r="C5">
            <v>0.65321060705676093</v>
          </cell>
          <cell r="D5">
            <v>0.6754202149003522</v>
          </cell>
          <cell r="E5">
            <v>0.80232558139534882</v>
          </cell>
          <cell r="F5">
            <v>0.67166855049304286</v>
          </cell>
          <cell r="G5">
            <v>0.67873102633231153</v>
          </cell>
          <cell r="H5">
            <v>0.81510254816656313</v>
          </cell>
          <cell r="I5">
            <v>0.70048343025292514</v>
          </cell>
          <cell r="J5">
            <v>0.67743674525589415</v>
          </cell>
          <cell r="K5">
            <v>0.82190056639395848</v>
          </cell>
          <cell r="L5">
            <v>0.72298969895392473</v>
          </cell>
          <cell r="M5">
            <v>0.70425325462925525</v>
          </cell>
          <cell r="N5">
            <v>1</v>
          </cell>
          <cell r="O5">
            <v>0.72550367283818029</v>
          </cell>
          <cell r="P5">
            <v>0.69286036868251422</v>
          </cell>
        </row>
        <row r="6">
          <cell r="A6" t="str">
            <v>Undeclared</v>
          </cell>
          <cell r="B6">
            <v>0.8392857142857143</v>
          </cell>
          <cell r="C6">
            <v>0.6450511945392492</v>
          </cell>
          <cell r="D6">
            <v>0.64525993883792054</v>
          </cell>
          <cell r="E6">
            <v>0.85833333333333328</v>
          </cell>
          <cell r="F6">
            <v>0.67328244274809157</v>
          </cell>
          <cell r="G6">
            <v>0.69631901840490795</v>
          </cell>
          <cell r="H6">
            <v>0.83333333333333337</v>
          </cell>
          <cell r="I6">
            <v>0.72115384615384615</v>
          </cell>
          <cell r="J6">
            <v>0.68596491228070178</v>
          </cell>
          <cell r="K6">
            <v>0.74358974358974361</v>
          </cell>
          <cell r="L6">
            <v>0.72708757637474541</v>
          </cell>
          <cell r="M6">
            <v>0.68972332015810278</v>
          </cell>
          <cell r="N6">
            <v>1</v>
          </cell>
          <cell r="O6">
            <v>0.71313672922252014</v>
          </cell>
          <cell r="P6">
            <v>0.77192982456140347</v>
          </cell>
        </row>
        <row r="7">
          <cell r="A7" t="str">
            <v>Term Total</v>
          </cell>
          <cell r="B7">
            <v>0.77705492305767543</v>
          </cell>
          <cell r="C7">
            <v>0.63584592264494189</v>
          </cell>
          <cell r="D7">
            <v>0.65594727648086393</v>
          </cell>
          <cell r="E7">
            <v>0.79967459833231647</v>
          </cell>
          <cell r="F7">
            <v>0.6543342555964603</v>
          </cell>
          <cell r="G7">
            <v>0.66417716022579243</v>
          </cell>
          <cell r="H7">
            <v>0.80794824399260623</v>
          </cell>
          <cell r="I7">
            <v>0.67539097971950357</v>
          </cell>
          <cell r="J7">
            <v>0.66335899864124837</v>
          </cell>
          <cell r="K7">
            <v>0.82820601451780163</v>
          </cell>
          <cell r="L7">
            <v>0.70661843332650787</v>
          </cell>
          <cell r="M7">
            <v>0.68749288203539627</v>
          </cell>
          <cell r="N7">
            <v>0.97067448680351909</v>
          </cell>
          <cell r="O7">
            <v>0.71050197185841568</v>
          </cell>
          <cell r="P7">
            <v>0.68056818976978517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29"/>
  <sheetViews>
    <sheetView tabSelected="1" topLeftCell="B1" workbookViewId="0">
      <selection activeCell="T20" sqref="T20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  <col min="20" max="20" width="11.140625" bestFit="1" customWidth="1"/>
    <col min="22" max="22" width="10.140625" bestFit="1" customWidth="1"/>
  </cols>
  <sheetData>
    <row r="1" spans="1:32" ht="15.75" x14ac:dyDescent="0.25">
      <c r="A1" s="82"/>
      <c r="B1" s="73" t="s">
        <v>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5"/>
    </row>
    <row r="2" spans="1:32" ht="16.5" thickBot="1" x14ac:dyDescent="0.3">
      <c r="A2" s="83"/>
      <c r="B2" s="85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7"/>
    </row>
    <row r="3" spans="1:32" ht="15.75" thickBot="1" x14ac:dyDescent="0.3">
      <c r="A3" s="84"/>
      <c r="B3" s="76" t="s">
        <v>2</v>
      </c>
      <c r="C3" s="77"/>
      <c r="D3" s="78"/>
      <c r="E3" s="79" t="s">
        <v>3</v>
      </c>
      <c r="F3" s="80"/>
      <c r="G3" s="81"/>
      <c r="H3" s="76" t="s">
        <v>4</v>
      </c>
      <c r="I3" s="77"/>
      <c r="J3" s="78"/>
      <c r="K3" s="79" t="s">
        <v>5</v>
      </c>
      <c r="L3" s="80"/>
      <c r="M3" s="81"/>
      <c r="N3" s="76" t="s">
        <v>6</v>
      </c>
      <c r="O3" s="77"/>
      <c r="P3" s="78"/>
    </row>
    <row r="4" spans="1:32" ht="15.75" thickBot="1" x14ac:dyDescent="0.3">
      <c r="A4" s="2" t="s">
        <v>8</v>
      </c>
      <c r="B4" s="4" t="s">
        <v>9</v>
      </c>
      <c r="C4" s="5" t="s">
        <v>10</v>
      </c>
      <c r="D4" s="6" t="s">
        <v>11</v>
      </c>
      <c r="E4" s="9" t="s">
        <v>12</v>
      </c>
      <c r="F4" s="7" t="s">
        <v>13</v>
      </c>
      <c r="G4" s="8" t="s">
        <v>14</v>
      </c>
      <c r="H4" s="4" t="s">
        <v>15</v>
      </c>
      <c r="I4" s="5" t="s">
        <v>16</v>
      </c>
      <c r="J4" s="6" t="s">
        <v>17</v>
      </c>
      <c r="K4" s="9" t="s">
        <v>18</v>
      </c>
      <c r="L4" s="7" t="s">
        <v>19</v>
      </c>
      <c r="M4" s="8" t="s">
        <v>20</v>
      </c>
      <c r="N4" s="4" t="s">
        <v>21</v>
      </c>
      <c r="O4" s="5" t="s">
        <v>22</v>
      </c>
      <c r="P4" s="6" t="s">
        <v>23</v>
      </c>
    </row>
    <row r="5" spans="1:32" x14ac:dyDescent="0.25">
      <c r="A5" s="23" t="s">
        <v>24</v>
      </c>
      <c r="B5" s="10">
        <f>VLOOKUP($A5,'[1]credit ethnic graded seats'!$A:$P,HLOOKUP(B$4,'[1]credit ethnic graded seats'!$1:$2,2,FALSE),FALSE)</f>
        <v>2035</v>
      </c>
      <c r="C5" s="34">
        <f>VLOOKUP($A5,'[1]credit ethnic graded seats'!$A:$P,HLOOKUP(C$4,'[1]credit ethnic graded seats'!$1:$2,2,FALSE),FALSE)</f>
        <v>5463</v>
      </c>
      <c r="D5" s="35">
        <f>VLOOKUP($A5,'[1]credit ethnic graded seats'!$A:$P,HLOOKUP(D$4,'[1]credit ethnic graded seats'!$1:$2,2,FALSE),FALSE)</f>
        <v>5555</v>
      </c>
      <c r="E5" s="38">
        <f>VLOOKUP($A5,'[1]credit ethnic graded seats'!$A:$P,HLOOKUP(E$4,'[1]credit ethnic graded seats'!$1:$2,2,FALSE),FALSE)</f>
        <v>2475</v>
      </c>
      <c r="F5" s="34">
        <f>VLOOKUP($A5,'[1]credit ethnic graded seats'!$A:$P,HLOOKUP(F$4,'[1]credit ethnic graded seats'!$1:$2,2,FALSE),FALSE)</f>
        <v>6240</v>
      </c>
      <c r="G5" s="39">
        <f>VLOOKUP($A5,'[1]credit ethnic graded seats'!$A:$P,HLOOKUP(G$4,'[1]credit ethnic graded seats'!$1:$2,2,FALSE),FALSE)</f>
        <v>6646</v>
      </c>
      <c r="H5" s="10">
        <f>VLOOKUP($A5,'[1]credit ethnic graded seats'!$A:$P,HLOOKUP(H$4,'[1]credit ethnic graded seats'!$1:$2,2,FALSE),FALSE)</f>
        <v>1507</v>
      </c>
      <c r="I5" s="34">
        <f>VLOOKUP($A5,'[1]credit ethnic graded seats'!$A:$P,HLOOKUP(I$4,'[1]credit ethnic graded seats'!$1:$2,2,FALSE),FALSE)</f>
        <v>7180</v>
      </c>
      <c r="J5" s="35">
        <f>VLOOKUP($A5,'[1]credit ethnic graded seats'!$A:$P,HLOOKUP(J$4,'[1]credit ethnic graded seats'!$1:$2,2,FALSE),FALSE)</f>
        <v>7155</v>
      </c>
      <c r="K5" s="38">
        <f>VLOOKUP($A5,'[1]credit ethnic graded seats'!$A:$P,HLOOKUP(K$4,'[1]credit ethnic graded seats'!$1:$2,2,FALSE),FALSE)</f>
        <v>932</v>
      </c>
      <c r="L5" s="34">
        <f>VLOOKUP($A5,'[1]credit ethnic graded seats'!$A:$P,HLOOKUP(L$4,'[1]credit ethnic graded seats'!$1:$2,2,FALSE),FALSE)</f>
        <v>6521</v>
      </c>
      <c r="M5" s="39">
        <f>VLOOKUP($A5,'[1]credit ethnic graded seats'!$A:$P,HLOOKUP(M$4,'[1]credit ethnic graded seats'!$1:$2,2,FALSE),FALSE)</f>
        <v>6641</v>
      </c>
      <c r="N5" s="10">
        <f>VLOOKUP($A5,'[1]credit ethnic graded seats'!$A:$P,HLOOKUP(N$4,'[1]credit ethnic graded seats'!$1:$2,2,FALSE),FALSE)</f>
        <v>158</v>
      </c>
      <c r="O5" s="34">
        <f>VLOOKUP($A5,'[1]credit ethnic graded seats'!$A:$P,HLOOKUP(O$4,'[1]credit ethnic graded seats'!$1:$2,2,FALSE),FALSE)</f>
        <v>6286</v>
      </c>
      <c r="P5" s="62">
        <f>VLOOKUP($A5,'[1]credit ethnic graded seats'!$A:$P,HLOOKUP(P$4,'[1]credit ethnic graded seats'!$1:$2,2,FALSE),FALSE)</f>
        <v>6465</v>
      </c>
      <c r="R5" s="19"/>
      <c r="T5" s="19"/>
    </row>
    <row r="6" spans="1:32" x14ac:dyDescent="0.25">
      <c r="A6" s="24" t="s">
        <v>25</v>
      </c>
      <c r="B6" s="36">
        <f>VLOOKUP($A6,'[1]credit ethnic graded seats'!$A:$P,HLOOKUP(B$4,'[1]credit ethnic graded seats'!$1:$2,2,FALSE),FALSE)</f>
        <v>3578</v>
      </c>
      <c r="C6" s="32">
        <f>VLOOKUP($A6,'[1]credit ethnic graded seats'!$A:$P,HLOOKUP(C$4,'[1]credit ethnic graded seats'!$1:$2,2,FALSE),FALSE)</f>
        <v>8879</v>
      </c>
      <c r="D6" s="11">
        <f>VLOOKUP($A6,'[1]credit ethnic graded seats'!$A:$P,HLOOKUP(D$4,'[1]credit ethnic graded seats'!$1:$2,2,FALSE),FALSE)</f>
        <v>8755</v>
      </c>
      <c r="E6" s="33">
        <f>VLOOKUP($A6,'[1]credit ethnic graded seats'!$A:$P,HLOOKUP(E$4,'[1]credit ethnic graded seats'!$1:$2,2,FALSE),FALSE)</f>
        <v>4217</v>
      </c>
      <c r="F6" s="32">
        <f>VLOOKUP($A6,'[1]credit ethnic graded seats'!$A:$P,HLOOKUP(F$4,'[1]credit ethnic graded seats'!$1:$2,2,FALSE),FALSE)</f>
        <v>9686</v>
      </c>
      <c r="G6" s="37">
        <f>VLOOKUP($A6,'[1]credit ethnic graded seats'!$A:$P,HLOOKUP(G$4,'[1]credit ethnic graded seats'!$1:$2,2,FALSE),FALSE)</f>
        <v>10144</v>
      </c>
      <c r="H6" s="36">
        <f>VLOOKUP($A6,'[1]credit ethnic graded seats'!$A:$P,HLOOKUP(H$4,'[1]credit ethnic graded seats'!$1:$2,2,FALSE),FALSE)</f>
        <v>2466</v>
      </c>
      <c r="I6" s="32">
        <f>VLOOKUP($A6,'[1]credit ethnic graded seats'!$A:$P,HLOOKUP(I$4,'[1]credit ethnic graded seats'!$1:$2,2,FALSE),FALSE)</f>
        <v>10431</v>
      </c>
      <c r="J6" s="11">
        <f>VLOOKUP($A6,'[1]credit ethnic graded seats'!$A:$P,HLOOKUP(J$4,'[1]credit ethnic graded seats'!$1:$2,2,FALSE),FALSE)</f>
        <v>10189</v>
      </c>
      <c r="K6" s="33">
        <f>VLOOKUP($A6,'[1]credit ethnic graded seats'!$A:$P,HLOOKUP(K$4,'[1]credit ethnic graded seats'!$1:$2,2,FALSE),FALSE)</f>
        <v>1261</v>
      </c>
      <c r="L6" s="32">
        <f>VLOOKUP($A6,'[1]credit ethnic graded seats'!$A:$P,HLOOKUP(L$4,'[1]credit ethnic graded seats'!$1:$2,2,FALSE),FALSE)</f>
        <v>9256</v>
      </c>
      <c r="M6" s="37">
        <f>VLOOKUP($A6,'[1]credit ethnic graded seats'!$A:$P,HLOOKUP(M$4,'[1]credit ethnic graded seats'!$1:$2,2,FALSE),FALSE)</f>
        <v>9195</v>
      </c>
      <c r="N6" s="36">
        <f>VLOOKUP($A6,'[1]credit ethnic graded seats'!$A:$P,HLOOKUP(N$4,'[1]credit ethnic graded seats'!$1:$2,2,FALSE),FALSE)</f>
        <v>62</v>
      </c>
      <c r="O6" s="32">
        <f>VLOOKUP($A6,'[1]credit ethnic graded seats'!$A:$P,HLOOKUP(O$4,'[1]credit ethnic graded seats'!$1:$2,2,FALSE),FALSE)</f>
        <v>8604</v>
      </c>
      <c r="P6" s="32">
        <f>VLOOKUP($A6,'[1]credit ethnic graded seats'!$A:$P,HLOOKUP(P$4,'[1]credit ethnic graded seats'!$1:$2,2,FALSE),FALSE)</f>
        <v>8872</v>
      </c>
      <c r="R6" s="19"/>
      <c r="T6" s="19"/>
    </row>
    <row r="7" spans="1:32" ht="15.75" thickBot="1" x14ac:dyDescent="0.3">
      <c r="A7" s="25" t="s">
        <v>26</v>
      </c>
      <c r="B7" s="40">
        <f>VLOOKUP($A7,'[1]credit ethnic graded seats'!$A:$P,HLOOKUP(B$4,'[1]credit ethnic graded seats'!$1:$2,2,FALSE),FALSE)</f>
        <v>39</v>
      </c>
      <c r="C7" s="41">
        <f>VLOOKUP($A7,'[1]credit ethnic graded seats'!$A:$P,HLOOKUP(C$4,'[1]credit ethnic graded seats'!$1:$2,2,FALSE),FALSE)</f>
        <v>114</v>
      </c>
      <c r="D7" s="42">
        <f>VLOOKUP($A7,'[1]credit ethnic graded seats'!$A:$P,HLOOKUP(D$4,'[1]credit ethnic graded seats'!$1:$2,2,FALSE),FALSE)</f>
        <v>138</v>
      </c>
      <c r="E7" s="43">
        <f>VLOOKUP($A7,'[1]credit ethnic graded seats'!$A:$P,HLOOKUP(E$4,'[1]credit ethnic graded seats'!$1:$2,2,FALSE),FALSE)</f>
        <v>84</v>
      </c>
      <c r="F7" s="41">
        <f>VLOOKUP($A7,'[1]credit ethnic graded seats'!$A:$P,HLOOKUP(F$4,'[1]credit ethnic graded seats'!$1:$2,2,FALSE),FALSE)</f>
        <v>246</v>
      </c>
      <c r="G7" s="44">
        <f>VLOOKUP($A7,'[1]credit ethnic graded seats'!$A:$P,HLOOKUP(G$4,'[1]credit ethnic graded seats'!$1:$2,2,FALSE),FALSE)</f>
        <v>242</v>
      </c>
      <c r="H7" s="40">
        <f>VLOOKUP($A7,'[1]credit ethnic graded seats'!$A:$P,HLOOKUP(H$4,'[1]credit ethnic graded seats'!$1:$2,2,FALSE),FALSE)</f>
        <v>57</v>
      </c>
      <c r="I7" s="41">
        <f>VLOOKUP($A7,'[1]credit ethnic graded seats'!$A:$P,HLOOKUP(I$4,'[1]credit ethnic graded seats'!$1:$2,2,FALSE),FALSE)</f>
        <v>217</v>
      </c>
      <c r="J7" s="42">
        <f>VLOOKUP($A7,'[1]credit ethnic graded seats'!$A:$P,HLOOKUP(J$4,'[1]credit ethnic graded seats'!$1:$2,2,FALSE),FALSE)</f>
        <v>199</v>
      </c>
      <c r="K7" s="43">
        <f>VLOOKUP($A7,'[1]credit ethnic graded seats'!$A:$P,HLOOKUP(K$4,'[1]credit ethnic graded seats'!$1:$2,2,FALSE),FALSE)</f>
        <v>31</v>
      </c>
      <c r="L7" s="41">
        <f>VLOOKUP($A7,'[1]credit ethnic graded seats'!$A:$P,HLOOKUP(L$4,'[1]credit ethnic graded seats'!$1:$2,2,FALSE),FALSE)</f>
        <v>172</v>
      </c>
      <c r="M7" s="44">
        <f>VLOOKUP($A7,'[1]credit ethnic graded seats'!$A:$P,HLOOKUP(M$4,'[1]credit ethnic graded seats'!$1:$2,2,FALSE),FALSE)</f>
        <v>185</v>
      </c>
      <c r="N7" s="40">
        <f>VLOOKUP($A7,'[1]credit ethnic graded seats'!$A:$P,HLOOKUP(N$4,'[1]credit ethnic graded seats'!$1:$2,2,FALSE),FALSE)</f>
        <v>2</v>
      </c>
      <c r="O7" s="41">
        <f>VLOOKUP($A7,'[1]credit ethnic graded seats'!$A:$P,HLOOKUP(O$4,'[1]credit ethnic graded seats'!$1:$2,2,FALSE),FALSE)</f>
        <v>135</v>
      </c>
      <c r="P7" s="32">
        <f>VLOOKUP($A7,'[1]credit ethnic graded seats'!$A:$P,HLOOKUP(P$4,'[1]credit ethnic graded seats'!$1:$2,2,FALSE),FALSE)</f>
        <v>147</v>
      </c>
      <c r="R7" s="64"/>
      <c r="S7" s="64"/>
      <c r="T7" s="66"/>
      <c r="U7" s="64"/>
      <c r="V7" s="66"/>
      <c r="W7" s="65"/>
      <c r="X7" s="65"/>
      <c r="Y7" s="64"/>
    </row>
    <row r="8" spans="1:32" ht="15.75" thickBot="1" x14ac:dyDescent="0.3">
      <c r="A8" s="20" t="s">
        <v>27</v>
      </c>
      <c r="B8" s="45">
        <f>VLOOKUP($A8,'[1]credit ethnic graded seats'!$A:$P,HLOOKUP(B$4,'[1]credit ethnic graded seats'!$1:$2,2,FALSE),FALSE)</f>
        <v>5652</v>
      </c>
      <c r="C8" s="46">
        <f>VLOOKUP($A8,'[1]credit ethnic graded seats'!$A:$P,HLOOKUP(C$4,'[1]credit ethnic graded seats'!$1:$2,2,FALSE),FALSE)</f>
        <v>14456</v>
      </c>
      <c r="D8" s="12">
        <f>VLOOKUP($A8,'[1]credit ethnic graded seats'!$A:$P,HLOOKUP(D$4,'[1]credit ethnic graded seats'!$1:$2,2,FALSE),FALSE)</f>
        <v>14448</v>
      </c>
      <c r="E8" s="47">
        <f>VLOOKUP($A8,'[1]credit ethnic graded seats'!$A:$P,HLOOKUP(E$4,'[1]credit ethnic graded seats'!$1:$2,2,FALSE),FALSE)</f>
        <v>6776</v>
      </c>
      <c r="F8" s="46">
        <f>VLOOKUP($A8,'[1]credit ethnic graded seats'!$A:$P,HLOOKUP(F$4,'[1]credit ethnic graded seats'!$1:$2,2,FALSE),FALSE)</f>
        <v>16172</v>
      </c>
      <c r="G8" s="48">
        <f>VLOOKUP($A8,'[1]credit ethnic graded seats'!$A:$P,HLOOKUP(G$4,'[1]credit ethnic graded seats'!$1:$2,2,FALSE),FALSE)</f>
        <v>17032</v>
      </c>
      <c r="H8" s="45">
        <f>VLOOKUP($A8,'[1]credit ethnic graded seats'!$A:$P,HLOOKUP(H$4,'[1]credit ethnic graded seats'!$1:$2,2,FALSE),FALSE)</f>
        <v>4030</v>
      </c>
      <c r="I8" s="46">
        <f>VLOOKUP($A8,'[1]credit ethnic graded seats'!$A:$P,HLOOKUP(I$4,'[1]credit ethnic graded seats'!$1:$2,2,FALSE),FALSE)</f>
        <v>17828</v>
      </c>
      <c r="J8" s="12">
        <f>VLOOKUP($A8,'[1]credit ethnic graded seats'!$A:$P,HLOOKUP(J$4,'[1]credit ethnic graded seats'!$1:$2,2,FALSE),FALSE)</f>
        <v>17543</v>
      </c>
      <c r="K8" s="47">
        <f>VLOOKUP($A8,'[1]credit ethnic graded seats'!$A:$P,HLOOKUP(K$4,'[1]credit ethnic graded seats'!$1:$2,2,FALSE),FALSE)</f>
        <v>2224</v>
      </c>
      <c r="L8" s="46">
        <f>VLOOKUP($A8,'[1]credit ethnic graded seats'!$A:$P,HLOOKUP(L$4,'[1]credit ethnic graded seats'!$1:$2,2,FALSE),FALSE)</f>
        <v>15949</v>
      </c>
      <c r="M8" s="48">
        <f>VLOOKUP($A8,'[1]credit ethnic graded seats'!$A:$P,HLOOKUP(M$4,'[1]credit ethnic graded seats'!$1:$2,2,FALSE),FALSE)</f>
        <v>16021</v>
      </c>
      <c r="N8" s="45">
        <f>VLOOKUP($A8,'[1]credit ethnic graded seats'!$A:$P,HLOOKUP(N$4,'[1]credit ethnic graded seats'!$1:$2,2,FALSE),FALSE)</f>
        <v>222</v>
      </c>
      <c r="O8" s="46">
        <f>VLOOKUP($A8,'[1]credit ethnic graded seats'!$A:$P,HLOOKUP(O$4,'[1]credit ethnic graded seats'!$1:$2,2,FALSE),FALSE)</f>
        <v>15025</v>
      </c>
      <c r="P8" s="46">
        <f>VLOOKUP($A8,'[1]credit ethnic graded seats'!$A:$P,HLOOKUP(P$4,'[1]credit ethnic graded seats'!$1:$2,2,FALSE),FALSE)</f>
        <v>15484</v>
      </c>
      <c r="R8" s="19"/>
      <c r="S8" s="18"/>
      <c r="T8" s="19"/>
      <c r="U8" s="19"/>
      <c r="V8" s="19"/>
      <c r="Y8" s="19"/>
      <c r="AF8" s="63"/>
    </row>
    <row r="9" spans="1:32" s="1" customFormat="1" ht="15.75" thickBot="1" x14ac:dyDescent="0.3">
      <c r="A9" s="31" t="s">
        <v>7</v>
      </c>
      <c r="B9" s="91">
        <f>[2]Totals!B15</f>
        <v>21297</v>
      </c>
      <c r="C9" s="92"/>
      <c r="D9" s="93"/>
      <c r="E9" s="91">
        <f>[2]Totals!E15</f>
        <v>24409</v>
      </c>
      <c r="F9" s="92"/>
      <c r="G9" s="93"/>
      <c r="H9" s="91">
        <f>[2]Totals!H15</f>
        <v>24067</v>
      </c>
      <c r="I9" s="92"/>
      <c r="J9" s="93"/>
      <c r="K9" s="91">
        <f>[2]Totals!K15</f>
        <v>21012</v>
      </c>
      <c r="L9" s="92"/>
      <c r="M9" s="93"/>
      <c r="N9" s="91">
        <f>[2]Totals!N15</f>
        <v>19534</v>
      </c>
      <c r="O9" s="92"/>
      <c r="P9" s="93"/>
      <c r="R9" s="18"/>
      <c r="S9" s="18"/>
      <c r="T9" s="18"/>
      <c r="U9" s="18"/>
      <c r="V9" s="18"/>
      <c r="X9" s="19"/>
      <c r="Y9" s="18"/>
      <c r="AF9" s="63"/>
    </row>
    <row r="10" spans="1:32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U10" s="19"/>
      <c r="W10" s="19"/>
      <c r="AA10" s="1"/>
    </row>
    <row r="11" spans="1:32" ht="15.75" x14ac:dyDescent="0.25">
      <c r="A11" s="67" t="s">
        <v>28</v>
      </c>
      <c r="B11" s="70" t="s">
        <v>29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2"/>
      <c r="U11" s="19"/>
      <c r="V11" s="19"/>
    </row>
    <row r="12" spans="1:32" ht="16.5" thickBot="1" x14ac:dyDescent="0.3">
      <c r="A12" s="68"/>
      <c r="B12" s="73" t="s">
        <v>1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5"/>
    </row>
    <row r="13" spans="1:32" ht="15.75" thickBot="1" x14ac:dyDescent="0.3">
      <c r="A13" s="69"/>
      <c r="B13" s="76" t="s">
        <v>2</v>
      </c>
      <c r="C13" s="77"/>
      <c r="D13" s="78"/>
      <c r="E13" s="79" t="s">
        <v>3</v>
      </c>
      <c r="F13" s="80"/>
      <c r="G13" s="81"/>
      <c r="H13" s="76" t="s">
        <v>4</v>
      </c>
      <c r="I13" s="77"/>
      <c r="J13" s="78"/>
      <c r="K13" s="79" t="s">
        <v>5</v>
      </c>
      <c r="L13" s="80"/>
      <c r="M13" s="81"/>
      <c r="N13" s="76" t="s">
        <v>6</v>
      </c>
      <c r="O13" s="77"/>
      <c r="P13" s="78"/>
    </row>
    <row r="14" spans="1:32" ht="15.75" thickBot="1" x14ac:dyDescent="0.3">
      <c r="A14" s="2" t="s">
        <v>8</v>
      </c>
      <c r="B14" s="4" t="s">
        <v>9</v>
      </c>
      <c r="C14" s="5" t="s">
        <v>10</v>
      </c>
      <c r="D14" s="6" t="s">
        <v>11</v>
      </c>
      <c r="E14" s="9" t="s">
        <v>12</v>
      </c>
      <c r="F14" s="7" t="s">
        <v>13</v>
      </c>
      <c r="G14" s="8" t="s">
        <v>14</v>
      </c>
      <c r="H14" s="4" t="s">
        <v>15</v>
      </c>
      <c r="I14" s="5" t="s">
        <v>16</v>
      </c>
      <c r="J14" s="6" t="s">
        <v>17</v>
      </c>
      <c r="K14" s="9" t="s">
        <v>18</v>
      </c>
      <c r="L14" s="7" t="s">
        <v>19</v>
      </c>
      <c r="M14" s="8" t="s">
        <v>20</v>
      </c>
      <c r="N14" s="4" t="s">
        <v>21</v>
      </c>
      <c r="O14" s="5" t="s">
        <v>22</v>
      </c>
      <c r="P14" s="6" t="s">
        <v>23</v>
      </c>
    </row>
    <row r="15" spans="1:32" x14ac:dyDescent="0.25">
      <c r="A15" s="23" t="s">
        <v>24</v>
      </c>
      <c r="B15" s="21">
        <f>B5/B$8</f>
        <v>0.36004953998584571</v>
      </c>
      <c r="C15" s="49">
        <f t="shared" ref="C15:N15" si="0">C5/C$8</f>
        <v>0.37790536801328167</v>
      </c>
      <c r="D15" s="50">
        <f t="shared" si="0"/>
        <v>0.38448228128460687</v>
      </c>
      <c r="E15" s="21">
        <f t="shared" si="0"/>
        <v>0.36525974025974028</v>
      </c>
      <c r="F15" s="49">
        <f t="shared" si="0"/>
        <v>0.38585209003215432</v>
      </c>
      <c r="G15" s="49">
        <f t="shared" si="0"/>
        <v>0.39020666979802726</v>
      </c>
      <c r="H15" s="49">
        <f t="shared" si="0"/>
        <v>0.3739454094292804</v>
      </c>
      <c r="I15" s="49">
        <f t="shared" si="0"/>
        <v>0.40273726722010322</v>
      </c>
      <c r="J15" s="22">
        <f t="shared" si="0"/>
        <v>0.40785498489425981</v>
      </c>
      <c r="K15" s="53">
        <f t="shared" si="0"/>
        <v>0.41906474820143885</v>
      </c>
      <c r="L15" s="49">
        <f t="shared" si="0"/>
        <v>0.40886575960875288</v>
      </c>
      <c r="M15" s="50">
        <f t="shared" si="0"/>
        <v>0.41451844454153924</v>
      </c>
      <c r="N15" s="21">
        <f t="shared" si="0"/>
        <v>0.71171171171171166</v>
      </c>
      <c r="O15" s="49">
        <f t="shared" ref="O15:P17" si="1">O5/O$8</f>
        <v>0.41836938435940102</v>
      </c>
      <c r="P15" s="49">
        <f t="shared" si="1"/>
        <v>0.41752777060191165</v>
      </c>
    </row>
    <row r="16" spans="1:32" x14ac:dyDescent="0.25">
      <c r="A16" s="24" t="s">
        <v>25</v>
      </c>
      <c r="B16" s="3">
        <f t="shared" ref="B16:N17" si="2">B6/B$8</f>
        <v>0.63305024769992924</v>
      </c>
      <c r="C16" s="13">
        <f t="shared" si="2"/>
        <v>0.61420863309352514</v>
      </c>
      <c r="D16" s="51">
        <f t="shared" si="2"/>
        <v>0.60596622369878184</v>
      </c>
      <c r="E16" s="3">
        <f t="shared" si="2"/>
        <v>0.62234356552538372</v>
      </c>
      <c r="F16" s="13">
        <f t="shared" si="2"/>
        <v>0.59893643334157809</v>
      </c>
      <c r="G16" s="13">
        <f t="shared" si="2"/>
        <v>0.59558478158759987</v>
      </c>
      <c r="H16" s="13">
        <f t="shared" si="2"/>
        <v>0.61191066997518606</v>
      </c>
      <c r="I16" s="13">
        <f t="shared" si="2"/>
        <v>0.58509086829706081</v>
      </c>
      <c r="J16" s="14">
        <f t="shared" si="2"/>
        <v>0.58080145927150428</v>
      </c>
      <c r="K16" s="54">
        <f t="shared" si="2"/>
        <v>0.56699640287769781</v>
      </c>
      <c r="L16" s="13">
        <f t="shared" si="2"/>
        <v>0.58034986519531007</v>
      </c>
      <c r="M16" s="51">
        <f t="shared" si="2"/>
        <v>0.57393421134760625</v>
      </c>
      <c r="N16" s="3">
        <f t="shared" si="2"/>
        <v>0.27927927927927926</v>
      </c>
      <c r="O16" s="13">
        <f t="shared" si="1"/>
        <v>0.57264559068219634</v>
      </c>
      <c r="P16" s="13">
        <f t="shared" si="1"/>
        <v>0.5729785585120124</v>
      </c>
    </row>
    <row r="17" spans="1:16" ht="15.75" thickBot="1" x14ac:dyDescent="0.3">
      <c r="A17" s="25" t="s">
        <v>26</v>
      </c>
      <c r="B17" s="15">
        <f t="shared" si="2"/>
        <v>6.9002123142250533E-3</v>
      </c>
      <c r="C17" s="16">
        <f t="shared" si="2"/>
        <v>7.8859988931931375E-3</v>
      </c>
      <c r="D17" s="52">
        <f t="shared" si="2"/>
        <v>9.5514950166112958E-3</v>
      </c>
      <c r="E17" s="15">
        <f t="shared" si="2"/>
        <v>1.2396694214876033E-2</v>
      </c>
      <c r="F17" s="16">
        <f t="shared" si="2"/>
        <v>1.5211476626267623E-2</v>
      </c>
      <c r="G17" s="16">
        <f t="shared" si="2"/>
        <v>1.4208548614372945E-2</v>
      </c>
      <c r="H17" s="16">
        <f t="shared" si="2"/>
        <v>1.4143920595533498E-2</v>
      </c>
      <c r="I17" s="16">
        <f t="shared" si="2"/>
        <v>1.2171864482835989E-2</v>
      </c>
      <c r="J17" s="17">
        <f t="shared" si="2"/>
        <v>1.1343555834235878E-2</v>
      </c>
      <c r="K17" s="55">
        <f t="shared" si="2"/>
        <v>1.3938848920863309E-2</v>
      </c>
      <c r="L17" s="16">
        <f t="shared" si="2"/>
        <v>1.078437519593705E-2</v>
      </c>
      <c r="M17" s="52">
        <f t="shared" si="2"/>
        <v>1.1547344110854504E-2</v>
      </c>
      <c r="N17" s="15">
        <f t="shared" si="2"/>
        <v>9.0090090090090089E-3</v>
      </c>
      <c r="O17" s="16">
        <f t="shared" si="1"/>
        <v>8.9850249584026622E-3</v>
      </c>
      <c r="P17" s="16">
        <f t="shared" si="1"/>
        <v>9.4936708860759497E-3</v>
      </c>
    </row>
    <row r="18" spans="1:1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x14ac:dyDescent="0.25">
      <c r="A19" s="67" t="s">
        <v>30</v>
      </c>
      <c r="B19" s="70" t="s">
        <v>30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2"/>
    </row>
    <row r="20" spans="1:16" ht="16.5" thickBot="1" x14ac:dyDescent="0.3">
      <c r="A20" s="68"/>
      <c r="B20" s="73" t="s">
        <v>1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</row>
    <row r="21" spans="1:16" ht="15.75" thickBot="1" x14ac:dyDescent="0.3">
      <c r="A21" s="69"/>
      <c r="B21" s="88" t="s">
        <v>2</v>
      </c>
      <c r="C21" s="89"/>
      <c r="D21" s="90"/>
      <c r="E21" s="79" t="s">
        <v>3</v>
      </c>
      <c r="F21" s="80"/>
      <c r="G21" s="81"/>
      <c r="H21" s="76" t="s">
        <v>4</v>
      </c>
      <c r="I21" s="77"/>
      <c r="J21" s="78"/>
      <c r="K21" s="79" t="s">
        <v>5</v>
      </c>
      <c r="L21" s="80"/>
      <c r="M21" s="81"/>
      <c r="N21" s="76" t="s">
        <v>6</v>
      </c>
      <c r="O21" s="77"/>
      <c r="P21" s="78"/>
    </row>
    <row r="22" spans="1:16" ht="15.75" thickBot="1" x14ac:dyDescent="0.3">
      <c r="A22" s="2" t="s">
        <v>8</v>
      </c>
      <c r="B22" s="26" t="s">
        <v>9</v>
      </c>
      <c r="C22" s="27" t="s">
        <v>10</v>
      </c>
      <c r="D22" s="28" t="s">
        <v>11</v>
      </c>
      <c r="E22" s="26" t="s">
        <v>12</v>
      </c>
      <c r="F22" s="27" t="s">
        <v>13</v>
      </c>
      <c r="G22" s="28" t="s">
        <v>14</v>
      </c>
      <c r="H22" s="26" t="s">
        <v>15</v>
      </c>
      <c r="I22" s="27" t="s">
        <v>16</v>
      </c>
      <c r="J22" s="28" t="s">
        <v>17</v>
      </c>
      <c r="K22" s="26" t="s">
        <v>18</v>
      </c>
      <c r="L22" s="27" t="s">
        <v>19</v>
      </c>
      <c r="M22" s="28" t="s">
        <v>20</v>
      </c>
      <c r="N22" s="26" t="s">
        <v>21</v>
      </c>
      <c r="O22" s="27" t="s">
        <v>22</v>
      </c>
      <c r="P22" s="28" t="s">
        <v>23</v>
      </c>
    </row>
    <row r="23" spans="1:16" x14ac:dyDescent="0.25">
      <c r="A23" s="23" t="s">
        <v>24</v>
      </c>
      <c r="B23" s="3">
        <f>VLOOKUP($A23,'[3]success rates'!$A:P,HLOOKUP(B$22,'[3]success rates'!$1:$2,2,FALSE),FALSE)</f>
        <v>0.78818395434709632</v>
      </c>
      <c r="C23" s="13">
        <f>VLOOKUP($A23,'[3]success rates'!$A:Q,HLOOKUP(C$22,'[3]success rates'!$1:$2,2,FALSE),FALSE)</f>
        <v>0.60893327035962486</v>
      </c>
      <c r="D23" s="14">
        <f>VLOOKUP($A23,'[3]success rates'!$A:R,HLOOKUP(D$22,'[3]success rates'!$1:$2,2,FALSE),FALSE)</f>
        <v>0.62711300412618132</v>
      </c>
      <c r="E23" s="3">
        <f>VLOOKUP($A23,'[3]success rates'!$A:S,HLOOKUP(E$22,'[3]success rates'!$1:$2,2,FALSE),FALSE)</f>
        <v>0.79344883595018945</v>
      </c>
      <c r="F23" s="13">
        <f>VLOOKUP($A23,'[3]success rates'!$A:T,HLOOKUP(F$22,'[3]success rates'!$1:$2,2,FALSE),FALSE)</f>
        <v>0.62809253200160731</v>
      </c>
      <c r="G23" s="14">
        <f>VLOOKUP($A23,'[3]success rates'!$A:U,HLOOKUP(G$22,'[3]success rates'!$1:$2,2,FALSE),FALSE)</f>
        <v>0.64153619551579288</v>
      </c>
      <c r="H23" s="3">
        <f>VLOOKUP($A23,'[3]success rates'!$A:V,HLOOKUP(H$22,'[3]success rates'!$1:$2,2,FALSE),FALSE)</f>
        <v>0.79612109744560078</v>
      </c>
      <c r="I23" s="13">
        <f>VLOOKUP($A23,'[3]success rates'!$A:W,HLOOKUP(I$22,'[3]success rates'!$1:$2,2,FALSE),FALSE)</f>
        <v>0.63885209713024282</v>
      </c>
      <c r="J23" s="14">
        <f>VLOOKUP($A23,'[3]success rates'!$A:X,HLOOKUP(J$22,'[3]success rates'!$1:$2,2,FALSE),FALSE)</f>
        <v>0.64331020812685824</v>
      </c>
      <c r="K23" s="3">
        <f>VLOOKUP($A23,'[3]success rates'!$A:Y,HLOOKUP(K$22,'[3]success rates'!$1:$2,2,FALSE),FALSE)</f>
        <v>0.83873517786561269</v>
      </c>
      <c r="L23" s="13">
        <f>VLOOKUP($A23,'[3]success rates'!$A:Z,HLOOKUP(L$22,'[3]success rates'!$1:$2,2,FALSE),FALSE)</f>
        <v>0.68380755864465681</v>
      </c>
      <c r="M23" s="14">
        <f>VLOOKUP($A23,'[3]success rates'!$A:AA,HLOOKUP(M$22,'[3]success rates'!$1:$2,2,FALSE),FALSE)</f>
        <v>0.66521995391951994</v>
      </c>
      <c r="N23" s="3">
        <f>VLOOKUP($A23,'[3]success rates'!$A:AB,HLOOKUP(N$22,'[3]success rates'!$1:$2,2,FALSE),FALSE)</f>
        <v>0.95833333333333337</v>
      </c>
      <c r="O23" s="13">
        <f>VLOOKUP($A23,'[3]success rates'!$A:AC,HLOOKUP(O$22,'[3]success rates'!$1:$2,2,FALSE),FALSE)</f>
        <v>0.69040514174222423</v>
      </c>
      <c r="P23" s="13">
        <f>VLOOKUP($A23,'[3]success rates'!$A:AD,HLOOKUP(P$22,'[3]success rates'!$1:$2,2,FALSE),FALSE)</f>
        <v>0.66203013743997352</v>
      </c>
    </row>
    <row r="24" spans="1:16" x14ac:dyDescent="0.25">
      <c r="A24" s="24" t="s">
        <v>25</v>
      </c>
      <c r="B24" s="3">
        <f>VLOOKUP($A24,'[3]success rates'!$A:P,HLOOKUP(B$22,'[3]success rates'!$1:$2,2,FALSE),FALSE)</f>
        <v>0.76966518757563529</v>
      </c>
      <c r="C24" s="13">
        <f>VLOOKUP($A24,'[3]success rates'!$A:Q,HLOOKUP(C$22,'[3]success rates'!$1:$2,2,FALSE),FALSE)</f>
        <v>0.65321060705676093</v>
      </c>
      <c r="D24" s="14">
        <f>VLOOKUP($A24,'[3]success rates'!$A:R,HLOOKUP(D$22,'[3]success rates'!$1:$2,2,FALSE),FALSE)</f>
        <v>0.6754202149003522</v>
      </c>
      <c r="E24" s="3">
        <f>VLOOKUP($A24,'[3]success rates'!$A:S,HLOOKUP(E$22,'[3]success rates'!$1:$2,2,FALSE),FALSE)</f>
        <v>0.80232558139534882</v>
      </c>
      <c r="F24" s="13">
        <f>VLOOKUP($A24,'[3]success rates'!$A:T,HLOOKUP(F$22,'[3]success rates'!$1:$2,2,FALSE),FALSE)</f>
        <v>0.67166855049304286</v>
      </c>
      <c r="G24" s="14">
        <f>VLOOKUP($A24,'[3]success rates'!$A:U,HLOOKUP(G$22,'[3]success rates'!$1:$2,2,FALSE),FALSE)</f>
        <v>0.67873102633231153</v>
      </c>
      <c r="H24" s="3">
        <f>VLOOKUP($A24,'[3]success rates'!$A:V,HLOOKUP(H$22,'[3]success rates'!$1:$2,2,FALSE),FALSE)</f>
        <v>0.81510254816656313</v>
      </c>
      <c r="I24" s="13">
        <f>VLOOKUP($A24,'[3]success rates'!$A:W,HLOOKUP(I$22,'[3]success rates'!$1:$2,2,FALSE),FALSE)</f>
        <v>0.70048343025292514</v>
      </c>
      <c r="J24" s="14">
        <f>VLOOKUP($A24,'[3]success rates'!$A:X,HLOOKUP(J$22,'[3]success rates'!$1:$2,2,FALSE),FALSE)</f>
        <v>0.67743674525589415</v>
      </c>
      <c r="K24" s="3">
        <f>VLOOKUP($A24,'[3]success rates'!$A:Y,HLOOKUP(K$22,'[3]success rates'!$1:$2,2,FALSE),FALSE)</f>
        <v>0.82190056639395848</v>
      </c>
      <c r="L24" s="13">
        <f>VLOOKUP($A24,'[3]success rates'!$A:Z,HLOOKUP(L$22,'[3]success rates'!$1:$2,2,FALSE),FALSE)</f>
        <v>0.72298969895392473</v>
      </c>
      <c r="M24" s="14">
        <f>VLOOKUP($A24,'[3]success rates'!$A:AA,HLOOKUP(M$22,'[3]success rates'!$1:$2,2,FALSE),FALSE)</f>
        <v>0.70425325462925525</v>
      </c>
      <c r="N24" s="3">
        <f>VLOOKUP($A24,'[3]success rates'!$A:AB,HLOOKUP(N$22,'[3]success rates'!$1:$2,2,FALSE),FALSE)</f>
        <v>1</v>
      </c>
      <c r="O24" s="13">
        <f>VLOOKUP($A24,'[3]success rates'!$A:AC,HLOOKUP(O$22,'[3]success rates'!$1:$2,2,FALSE),FALSE)</f>
        <v>0.72550367283818029</v>
      </c>
      <c r="P24" s="13">
        <f>VLOOKUP($A24,'[3]success rates'!$A:AD,HLOOKUP(P$22,'[3]success rates'!$1:$2,2,FALSE),FALSE)</f>
        <v>0.69286036868251422</v>
      </c>
    </row>
    <row r="25" spans="1:16" ht="15.75" thickBot="1" x14ac:dyDescent="0.3">
      <c r="A25" s="25" t="s">
        <v>26</v>
      </c>
      <c r="B25" s="56">
        <f>VLOOKUP($A25,'[3]success rates'!$A:P,HLOOKUP(B$22,'[3]success rates'!$1:$2,2,FALSE),FALSE)</f>
        <v>0.8392857142857143</v>
      </c>
      <c r="C25" s="57">
        <f>VLOOKUP($A25,'[3]success rates'!$A:Q,HLOOKUP(C$22,'[3]success rates'!$1:$2,2,FALSE),FALSE)</f>
        <v>0.6450511945392492</v>
      </c>
      <c r="D25" s="58">
        <f>VLOOKUP($A25,'[3]success rates'!$A:R,HLOOKUP(D$22,'[3]success rates'!$1:$2,2,FALSE),FALSE)</f>
        <v>0.64525993883792054</v>
      </c>
      <c r="E25" s="56">
        <f>VLOOKUP($A25,'[3]success rates'!$A:S,HLOOKUP(E$22,'[3]success rates'!$1:$2,2,FALSE),FALSE)</f>
        <v>0.85833333333333328</v>
      </c>
      <c r="F25" s="57">
        <f>VLOOKUP($A25,'[3]success rates'!$A:T,HLOOKUP(F$22,'[3]success rates'!$1:$2,2,FALSE),FALSE)</f>
        <v>0.67328244274809157</v>
      </c>
      <c r="G25" s="58">
        <f>VLOOKUP($A25,'[3]success rates'!$A:U,HLOOKUP(G$22,'[3]success rates'!$1:$2,2,FALSE),FALSE)</f>
        <v>0.69631901840490795</v>
      </c>
      <c r="H25" s="56">
        <f>VLOOKUP($A25,'[3]success rates'!$A:V,HLOOKUP(H$22,'[3]success rates'!$1:$2,2,FALSE),FALSE)</f>
        <v>0.83333333333333337</v>
      </c>
      <c r="I25" s="57">
        <f>VLOOKUP($A25,'[3]success rates'!$A:W,HLOOKUP(I$22,'[3]success rates'!$1:$2,2,FALSE),FALSE)</f>
        <v>0.72115384615384615</v>
      </c>
      <c r="J25" s="58">
        <f>VLOOKUP($A25,'[3]success rates'!$A:X,HLOOKUP(J$22,'[3]success rates'!$1:$2,2,FALSE),FALSE)</f>
        <v>0.68596491228070178</v>
      </c>
      <c r="K25" s="56">
        <f>VLOOKUP($A25,'[3]success rates'!$A:Y,HLOOKUP(K$22,'[3]success rates'!$1:$2,2,FALSE),FALSE)</f>
        <v>0.74358974358974361</v>
      </c>
      <c r="L25" s="57">
        <f>VLOOKUP($A25,'[3]success rates'!$A:Z,HLOOKUP(L$22,'[3]success rates'!$1:$2,2,FALSE),FALSE)</f>
        <v>0.72708757637474541</v>
      </c>
      <c r="M25" s="58">
        <f>VLOOKUP($A25,'[3]success rates'!$A:AA,HLOOKUP(M$22,'[3]success rates'!$1:$2,2,FALSE),FALSE)</f>
        <v>0.68972332015810278</v>
      </c>
      <c r="N25" s="56">
        <f>VLOOKUP($A25,'[3]success rates'!$A:AB,HLOOKUP(N$22,'[3]success rates'!$1:$2,2,FALSE),FALSE)</f>
        <v>1</v>
      </c>
      <c r="O25" s="57">
        <f>VLOOKUP($A25,'[3]success rates'!$A:AC,HLOOKUP(O$22,'[3]success rates'!$1:$2,2,FALSE),FALSE)</f>
        <v>0.71313672922252014</v>
      </c>
      <c r="P25" s="57">
        <f>VLOOKUP($A25,'[3]success rates'!$A:AD,HLOOKUP(P$22,'[3]success rates'!$1:$2,2,FALSE),FALSE)</f>
        <v>0.77192982456140347</v>
      </c>
    </row>
    <row r="26" spans="1:16" s="1" customFormat="1" ht="15.75" thickBot="1" x14ac:dyDescent="0.3">
      <c r="A26" s="25" t="s">
        <v>31</v>
      </c>
      <c r="B26" s="59">
        <f>VLOOKUP('[3]success rates'!$A$7,'[3]success rates'!$A:$P,HLOOKUP(B$22,'[3]success rates'!$1:$2,2,FALSE),FALSE)</f>
        <v>0.77705492305767543</v>
      </c>
      <c r="C26" s="60">
        <f>VLOOKUP('[3]success rates'!$A$7,'[3]success rates'!$A:$P,HLOOKUP(C$22,'[3]success rates'!$1:$2,2,FALSE),FALSE)</f>
        <v>0.63584592264494189</v>
      </c>
      <c r="D26" s="61">
        <f>VLOOKUP('[3]success rates'!$A$7,'[3]success rates'!$A:$P,HLOOKUP(D$22,'[3]success rates'!$1:$2,2,FALSE),FALSE)</f>
        <v>0.65594727648086393</v>
      </c>
      <c r="E26" s="59">
        <f>VLOOKUP('[3]success rates'!$A$7,'[3]success rates'!$A:$P,HLOOKUP(E$22,'[3]success rates'!$1:$2,2,FALSE),FALSE)</f>
        <v>0.79967459833231647</v>
      </c>
      <c r="F26" s="60">
        <f>VLOOKUP('[3]success rates'!$A$7,'[3]success rates'!$A:$P,HLOOKUP(F$22,'[3]success rates'!$1:$2,2,FALSE),FALSE)</f>
        <v>0.6543342555964603</v>
      </c>
      <c r="G26" s="61">
        <f>VLOOKUP('[3]success rates'!$A$7,'[3]success rates'!$A:$P,HLOOKUP(G$22,'[3]success rates'!$1:$2,2,FALSE),FALSE)</f>
        <v>0.66417716022579243</v>
      </c>
      <c r="H26" s="59">
        <f>VLOOKUP('[3]success rates'!$A$7,'[3]success rates'!$A:$P,HLOOKUP(H$22,'[3]success rates'!$1:$2,2,FALSE),FALSE)</f>
        <v>0.80794824399260623</v>
      </c>
      <c r="I26" s="60">
        <f>VLOOKUP('[3]success rates'!$A$7,'[3]success rates'!$A:$P,HLOOKUP(I$22,'[3]success rates'!$1:$2,2,FALSE),FALSE)</f>
        <v>0.67539097971950357</v>
      </c>
      <c r="J26" s="61">
        <f>VLOOKUP('[3]success rates'!$A$7,'[3]success rates'!$A:$P,HLOOKUP(J$22,'[3]success rates'!$1:$2,2,FALSE),FALSE)</f>
        <v>0.66335899864124837</v>
      </c>
      <c r="K26" s="59">
        <f>VLOOKUP('[3]success rates'!$A$7,'[3]success rates'!$A:$P,HLOOKUP(K$22,'[3]success rates'!$1:$2,2,FALSE),FALSE)</f>
        <v>0.82820601451780163</v>
      </c>
      <c r="L26" s="60">
        <f>VLOOKUP('[3]success rates'!$A$7,'[3]success rates'!$A:$P,HLOOKUP(L$22,'[3]success rates'!$1:$2,2,FALSE),FALSE)</f>
        <v>0.70661843332650787</v>
      </c>
      <c r="M26" s="61">
        <f>VLOOKUP('[3]success rates'!$A$7,'[3]success rates'!$A:$P,HLOOKUP(M$22,'[3]success rates'!$1:$2,2,FALSE),FALSE)</f>
        <v>0.68749288203539627</v>
      </c>
      <c r="N26" s="59">
        <f>VLOOKUP('[3]success rates'!$A$7,'[3]success rates'!$A:$P,HLOOKUP(N$22,'[3]success rates'!$1:$2,2,FALSE),FALSE)</f>
        <v>0.97067448680351909</v>
      </c>
      <c r="O26" s="60">
        <f>VLOOKUP('[3]success rates'!$A$7,'[3]success rates'!$A:$P,HLOOKUP(O$22,'[3]success rates'!$1:$2,2,FALSE),FALSE)</f>
        <v>0.71050197185841568</v>
      </c>
      <c r="P26" s="60">
        <f>VLOOKUP('[3]success rates'!$A$7,'[3]success rates'!$A:$P,HLOOKUP(P$22,'[3]success rates'!$1:$2,2,FALSE),FALSE)</f>
        <v>0.68056818976978517</v>
      </c>
    </row>
    <row r="27" spans="1:16" x14ac:dyDescent="0.25">
      <c r="A27" s="29" t="s">
        <v>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30" t="s">
        <v>33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"/>
    </row>
    <row r="29" spans="1:16" x14ac:dyDescent="0.25">
      <c r="A29" s="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"/>
    </row>
  </sheetData>
  <sheetProtection password="83EF" sheet="1" objects="1" scenarios="1"/>
  <mergeCells count="29">
    <mergeCell ref="B9:D9"/>
    <mergeCell ref="E9:G9"/>
    <mergeCell ref="H9:J9"/>
    <mergeCell ref="K9:M9"/>
    <mergeCell ref="N9:P9"/>
    <mergeCell ref="A19:A21"/>
    <mergeCell ref="B19:P19"/>
    <mergeCell ref="B20:P20"/>
    <mergeCell ref="B21:D21"/>
    <mergeCell ref="E21:G21"/>
    <mergeCell ref="H21:J21"/>
    <mergeCell ref="K21:M21"/>
    <mergeCell ref="N21:P21"/>
    <mergeCell ref="A1:A3"/>
    <mergeCell ref="B1:P1"/>
    <mergeCell ref="B2:P2"/>
    <mergeCell ref="B3:D3"/>
    <mergeCell ref="E3:G3"/>
    <mergeCell ref="H3:J3"/>
    <mergeCell ref="K3:M3"/>
    <mergeCell ref="N3:P3"/>
    <mergeCell ref="A11:A13"/>
    <mergeCell ref="B11:P11"/>
    <mergeCell ref="B12:P12"/>
    <mergeCell ref="B13:D13"/>
    <mergeCell ref="E13:G13"/>
    <mergeCell ref="H13:J13"/>
    <mergeCell ref="K13:M13"/>
    <mergeCell ref="N13:P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sheetProtection password="83E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sheetProtection password="83EF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0CFAFC-D86E-49F7-A6CE-C69C081391A6}"/>
</file>

<file path=customXml/itemProps2.xml><?xml version="1.0" encoding="utf-8"?>
<ds:datastoreItem xmlns:ds="http://schemas.openxmlformats.org/officeDocument/2006/customXml" ds:itemID="{707067E6-3E53-4FF0-8FCF-6E8163CC78A9}"/>
</file>

<file path=customXml/itemProps3.xml><?xml version="1.0" encoding="utf-8"?>
<ds:datastoreItem xmlns:ds="http://schemas.openxmlformats.org/officeDocument/2006/customXml" ds:itemID="{65D0BD8D-19E5-45E2-9444-1B1B04CC62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2012-03-22T21:49:41Z</dcterms:created>
  <dcterms:modified xsi:type="dcterms:W3CDTF">2012-08-14T15:33:29Z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