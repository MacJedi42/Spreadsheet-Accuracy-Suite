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defaultThemeVersion="124226"/>
  <bookViews>
    <workbookView xWindow="-15" yWindow="225" windowWidth="7800" windowHeight="5880" firstSheet="1" activeTab="1"/>
  </bookViews>
  <sheets>
    <sheet name="DIRECTIONS" sheetId="10" r:id="rId1"/>
    <sheet name="Traditional" sheetId="9" r:id="rId2"/>
    <sheet name="Non-Traditional" sheetId="12" r:id="rId3"/>
    <sheet name="ESC" sheetId="13" r:id="rId4"/>
    <sheet name="FYF DATA" sheetId="6" state="hidden" r:id="rId5"/>
  </sheets>
  <definedNames>
    <definedName name="_xlnm._FilterDatabase" localSheetId="4" hidden="1">'FYF DATA'!$A$1:$GF$87532</definedName>
    <definedName name="_xlnm.Print_Area" localSheetId="0">DIRECTIONS!$A$1:$A$22</definedName>
    <definedName name="_xlnm.Print_Area" localSheetId="2">'Non-Traditional'!$A$1:$I$14</definedName>
    <definedName name="_xlnm.Print_Area" localSheetId="1">Traditional!$A$1:$I$29</definedName>
  </definedNames>
  <calcPr calcId="145621"/>
</workbook>
</file>

<file path=xl/calcChain.xml><?xml version="1.0" encoding="utf-8"?>
<calcChain xmlns="http://schemas.openxmlformats.org/spreadsheetml/2006/main">
  <c r="C26" i="9" l="1"/>
  <c r="C25" i="9"/>
  <c r="C24" i="9"/>
  <c r="C21" i="9"/>
  <c r="C20" i="9"/>
  <c r="C19" i="9"/>
  <c r="C18" i="9"/>
  <c r="C17" i="9"/>
  <c r="C16" i="9"/>
  <c r="C15" i="9"/>
  <c r="C14" i="9"/>
  <c r="B2" i="9"/>
  <c r="C11" i="9"/>
  <c r="C10" i="9"/>
  <c r="C9" i="9"/>
  <c r="C8" i="9"/>
  <c r="C7" i="9"/>
  <c r="C6" i="9"/>
  <c r="I2" i="12" l="1"/>
  <c r="H27" i="13"/>
  <c r="H22" i="13"/>
  <c r="H12" i="13"/>
  <c r="H14" i="12"/>
  <c r="H27" i="9"/>
  <c r="H22" i="9"/>
  <c r="H12" i="9"/>
  <c r="H29" i="13" l="1"/>
  <c r="H29" i="9"/>
  <c r="D14" i="12"/>
  <c r="E14" i="12"/>
  <c r="F14" i="12"/>
  <c r="G14" i="12"/>
  <c r="C14" i="12"/>
  <c r="G27" i="13"/>
  <c r="F27" i="13"/>
  <c r="E27" i="13"/>
  <c r="D27" i="13"/>
  <c r="C27" i="13"/>
  <c r="G22" i="13"/>
  <c r="F22" i="13"/>
  <c r="E22" i="13"/>
  <c r="D22" i="13"/>
  <c r="C22" i="13"/>
  <c r="G12" i="13"/>
  <c r="F12" i="13"/>
  <c r="E12" i="13"/>
  <c r="D12" i="13"/>
  <c r="C12" i="13"/>
  <c r="I2" i="13"/>
  <c r="G29" i="13" l="1"/>
  <c r="F29" i="13"/>
  <c r="E29" i="13"/>
  <c r="D29" i="13"/>
  <c r="C29" i="13"/>
  <c r="D27" i="9"/>
  <c r="D22" i="9"/>
  <c r="D12" i="9"/>
  <c r="E12" i="9"/>
  <c r="F12" i="9"/>
  <c r="G12" i="9"/>
  <c r="E27" i="9"/>
  <c r="F27" i="9"/>
  <c r="G27" i="9"/>
  <c r="E22" i="9"/>
  <c r="F22" i="9"/>
  <c r="G22" i="9"/>
  <c r="G29" i="9" l="1"/>
  <c r="F29" i="9"/>
  <c r="E29" i="9"/>
  <c r="D29" i="9"/>
  <c r="C22" i="9" l="1"/>
  <c r="C27" i="9"/>
  <c r="I2" i="9" l="1"/>
  <c r="C12" i="9" l="1"/>
  <c r="C29" i="9" s="1"/>
</calcChain>
</file>

<file path=xl/sharedStrings.xml><?xml version="1.0" encoding="utf-8"?>
<sst xmlns="http://schemas.openxmlformats.org/spreadsheetml/2006/main" count="2202" uniqueCount="1467">
  <si>
    <t>EXPENDITURES - NON-OPERATIONAL</t>
  </si>
  <si>
    <t>EXPENDITURES - OPERATIONAL</t>
  </si>
  <si>
    <t>FY14</t>
  </si>
  <si>
    <t>FY16</t>
  </si>
  <si>
    <t>3.010</t>
  </si>
  <si>
    <t>3.020</t>
  </si>
  <si>
    <t>3.030</t>
  </si>
  <si>
    <t>3.040</t>
  </si>
  <si>
    <t>3.050</t>
  </si>
  <si>
    <t>3.060</t>
  </si>
  <si>
    <t>4.300</t>
  </si>
  <si>
    <t>Personal Services (Salaries &amp; Wages)</t>
  </si>
  <si>
    <t>Fringe Benefits</t>
  </si>
  <si>
    <t>Purchased Services</t>
  </si>
  <si>
    <t>Supplies and Materials</t>
  </si>
  <si>
    <t xml:space="preserve">Capital Outlay </t>
  </si>
  <si>
    <t>Intergovernmental</t>
  </si>
  <si>
    <t>FY17</t>
  </si>
  <si>
    <t>FY18</t>
  </si>
  <si>
    <t>FY19</t>
  </si>
  <si>
    <t>County</t>
  </si>
  <si>
    <t>IRN</t>
  </si>
  <si>
    <t>Mercer</t>
  </si>
  <si>
    <t>Cuyahoga</t>
  </si>
  <si>
    <t>Licking</t>
  </si>
  <si>
    <t>Jefferson</t>
  </si>
  <si>
    <t>Portage</t>
  </si>
  <si>
    <t>Warren</t>
  </si>
  <si>
    <t>Morrow</t>
  </si>
  <si>
    <t>Hancock</t>
  </si>
  <si>
    <t>Columbiana</t>
  </si>
  <si>
    <t>Adams</t>
  </si>
  <si>
    <t>Trumbull</t>
  </si>
  <si>
    <t>Marion</t>
  </si>
  <si>
    <t>Delaware</t>
  </si>
  <si>
    <t>Franklin</t>
  </si>
  <si>
    <t>Seneca</t>
  </si>
  <si>
    <t>Sandusky</t>
  </si>
  <si>
    <t>Montgomery</t>
  </si>
  <si>
    <t>Henry</t>
  </si>
  <si>
    <t>Highland</t>
  </si>
  <si>
    <t>Belmont</t>
  </si>
  <si>
    <t>Clermont</t>
  </si>
  <si>
    <t>Geauga</t>
  </si>
  <si>
    <t>Mahoning</t>
  </si>
  <si>
    <t>Clinton</t>
  </si>
  <si>
    <t>Summit</t>
  </si>
  <si>
    <t>Darke</t>
  </si>
  <si>
    <t>Williams</t>
  </si>
  <si>
    <t>Jackson</t>
  </si>
  <si>
    <t>Greene</t>
  </si>
  <si>
    <t>Fayette</t>
  </si>
  <si>
    <t>Pike</t>
  </si>
  <si>
    <t>Richland</t>
  </si>
  <si>
    <t>Champaign</t>
  </si>
  <si>
    <t>Stark</t>
  </si>
  <si>
    <t>Union</t>
  </si>
  <si>
    <t>Huron</t>
  </si>
  <si>
    <t>Putnam</t>
  </si>
  <si>
    <t>Meigs</t>
  </si>
  <si>
    <t>Noble</t>
  </si>
  <si>
    <t>Lorain</t>
  </si>
  <si>
    <t>Fairfield</t>
  </si>
  <si>
    <t>Erie</t>
  </si>
  <si>
    <t>Shelby</t>
  </si>
  <si>
    <t>Lake</t>
  </si>
  <si>
    <t>Muskingum</t>
  </si>
  <si>
    <t>Hamilton</t>
  </si>
  <si>
    <t>Miami</t>
  </si>
  <si>
    <t>Ross</t>
  </si>
  <si>
    <t>Tuscarawas</t>
  </si>
  <si>
    <t>Hardin</t>
  </si>
  <si>
    <t>Wood</t>
  </si>
  <si>
    <t>Ashtabula</t>
  </si>
  <si>
    <t>Defiance</t>
  </si>
  <si>
    <t>Pickaway</t>
  </si>
  <si>
    <t>Washington</t>
  </si>
  <si>
    <t>Butler</t>
  </si>
  <si>
    <t>Ashland</t>
  </si>
  <si>
    <t>Wayne</t>
  </si>
  <si>
    <t>Preble</t>
  </si>
  <si>
    <t>Medina</t>
  </si>
  <si>
    <t>Perry</t>
  </si>
  <si>
    <t>Fulton</t>
  </si>
  <si>
    <t>Crawford</t>
  </si>
  <si>
    <t>Athens</t>
  </si>
  <si>
    <t>Logan</t>
  </si>
  <si>
    <t>Auglaize</t>
  </si>
  <si>
    <t>Lawrence</t>
  </si>
  <si>
    <t>Holmes</t>
  </si>
  <si>
    <t>Gallia</t>
  </si>
  <si>
    <t>Allen</t>
  </si>
  <si>
    <t>Wyandot</t>
  </si>
  <si>
    <t>Guernsey</t>
  </si>
  <si>
    <t>Brown</t>
  </si>
  <si>
    <t>Harrison</t>
  </si>
  <si>
    <t>Coshocton</t>
  </si>
  <si>
    <t>Wayne County JVSD</t>
  </si>
  <si>
    <t>Scioto</t>
  </si>
  <si>
    <t>Madison</t>
  </si>
  <si>
    <t>Ottawa</t>
  </si>
  <si>
    <t>Van Wert</t>
  </si>
  <si>
    <t>Morgan</t>
  </si>
  <si>
    <t>Carroll</t>
  </si>
  <si>
    <t>Lucas</t>
  </si>
  <si>
    <t>Medina City SD</t>
  </si>
  <si>
    <t>Knox</t>
  </si>
  <si>
    <t>Monroe</t>
  </si>
  <si>
    <t>Clark</t>
  </si>
  <si>
    <t>Vinton</t>
  </si>
  <si>
    <t>Paulding</t>
  </si>
  <si>
    <t>Hocking</t>
  </si>
  <si>
    <t>Knox County JVSD</t>
  </si>
  <si>
    <t>Grand Total</t>
  </si>
  <si>
    <t>045187</t>
  </si>
  <si>
    <t>061903</t>
  </si>
  <si>
    <t>049494</t>
  </si>
  <si>
    <t>043489</t>
  </si>
  <si>
    <t>045906</t>
  </si>
  <si>
    <t>045757</t>
  </si>
  <si>
    <t>043497</t>
  </si>
  <si>
    <t>046847</t>
  </si>
  <si>
    <t>045195</t>
  </si>
  <si>
    <t>049759</t>
  </si>
  <si>
    <t>046623</t>
  </si>
  <si>
    <t>048207</t>
  </si>
  <si>
    <t>048991</t>
  </si>
  <si>
    <t>050773</t>
  </si>
  <si>
    <t>047415</t>
  </si>
  <si>
    <t>046631</t>
  </si>
  <si>
    <t>047043</t>
  </si>
  <si>
    <t>047423</t>
  </si>
  <si>
    <t>043505</t>
  </si>
  <si>
    <t>062042</t>
  </si>
  <si>
    <t>043513</t>
  </si>
  <si>
    <t>050815</t>
  </si>
  <si>
    <t>043521</t>
  </si>
  <si>
    <t>051169</t>
  </si>
  <si>
    <t>049171</t>
  </si>
  <si>
    <t>048298</t>
  </si>
  <si>
    <t>048124</t>
  </si>
  <si>
    <t>048116</t>
  </si>
  <si>
    <t>046706</t>
  </si>
  <si>
    <t>043539</t>
  </si>
  <si>
    <t>045203</t>
  </si>
  <si>
    <t>046300</t>
  </si>
  <si>
    <t>045765</t>
  </si>
  <si>
    <t>043547</t>
  </si>
  <si>
    <t>043554</t>
  </si>
  <si>
    <t>046425</t>
  </si>
  <si>
    <t>047241</t>
  </si>
  <si>
    <t>043562</t>
  </si>
  <si>
    <t>043570</t>
  </si>
  <si>
    <t>047274</t>
  </si>
  <si>
    <t>043588</t>
  </si>
  <si>
    <t>043596</t>
  </si>
  <si>
    <t>050856</t>
  </si>
  <si>
    <t>043604</t>
  </si>
  <si>
    <t>048074</t>
  </si>
  <si>
    <t>048926</t>
  </si>
  <si>
    <t>043612</t>
  </si>
  <si>
    <t>047167</t>
  </si>
  <si>
    <t>046854</t>
  </si>
  <si>
    <t>048611</t>
  </si>
  <si>
    <t>046318</t>
  </si>
  <si>
    <t>049692</t>
  </si>
  <si>
    <t>043620</t>
  </si>
  <si>
    <t>046748</t>
  </si>
  <si>
    <t>048462</t>
  </si>
  <si>
    <t>046383</t>
  </si>
  <si>
    <t>046862</t>
  </si>
  <si>
    <t>050096</t>
  </si>
  <si>
    <t>049593</t>
  </si>
  <si>
    <t>045211</t>
  </si>
  <si>
    <t>048306</t>
  </si>
  <si>
    <t>049767</t>
  </si>
  <si>
    <t>043638</t>
  </si>
  <si>
    <t>045229</t>
  </si>
  <si>
    <t>043646</t>
  </si>
  <si>
    <t>045237</t>
  </si>
  <si>
    <t>047613</t>
  </si>
  <si>
    <t>050112</t>
  </si>
  <si>
    <t>050120</t>
  </si>
  <si>
    <t>043653</t>
  </si>
  <si>
    <t>048678</t>
  </si>
  <si>
    <t>046177</t>
  </si>
  <si>
    <t>043661</t>
  </si>
  <si>
    <t>043679</t>
  </si>
  <si>
    <t>051656</t>
  </si>
  <si>
    <t>046508</t>
  </si>
  <si>
    <t>045856</t>
  </si>
  <si>
    <t>047787</t>
  </si>
  <si>
    <t>048470</t>
  </si>
  <si>
    <t>046755</t>
  </si>
  <si>
    <t>043687</t>
  </si>
  <si>
    <t>050880</t>
  </si>
  <si>
    <t>045252</t>
  </si>
  <si>
    <t>043695</t>
  </si>
  <si>
    <t>043703</t>
  </si>
  <si>
    <t>046946</t>
  </si>
  <si>
    <t>048314</t>
  </si>
  <si>
    <t>043711</t>
  </si>
  <si>
    <t>049833</t>
  </si>
  <si>
    <t>047175</t>
  </si>
  <si>
    <t>048793</t>
  </si>
  <si>
    <t>051201</t>
  </si>
  <si>
    <t>045260</t>
  </si>
  <si>
    <t>050419</t>
  </si>
  <si>
    <t>045278</t>
  </si>
  <si>
    <t>047258</t>
  </si>
  <si>
    <t>043729</t>
  </si>
  <si>
    <t>047829</t>
  </si>
  <si>
    <t>043737</t>
  </si>
  <si>
    <t>046714</t>
  </si>
  <si>
    <t>045286</t>
  </si>
  <si>
    <t>050138</t>
  </si>
  <si>
    <t>047183</t>
  </si>
  <si>
    <t>045294</t>
  </si>
  <si>
    <t>043745</t>
  </si>
  <si>
    <t>050534</t>
  </si>
  <si>
    <t>043752</t>
  </si>
  <si>
    <t>043760</t>
  </si>
  <si>
    <t>046284</t>
  </si>
  <si>
    <t>049601</t>
  </si>
  <si>
    <t>043778</t>
  </si>
  <si>
    <t>049411</t>
  </si>
  <si>
    <t>048132</t>
  </si>
  <si>
    <t>046326</t>
  </si>
  <si>
    <t>043794</t>
  </si>
  <si>
    <t>043786</t>
  </si>
  <si>
    <t>046391</t>
  </si>
  <si>
    <t>048488</t>
  </si>
  <si>
    <t>045302</t>
  </si>
  <si>
    <t>045310</t>
  </si>
  <si>
    <t>064964</t>
  </si>
  <si>
    <t>046516</t>
  </si>
  <si>
    <t>048140</t>
  </si>
  <si>
    <t>050906</t>
  </si>
  <si>
    <t>045328</t>
  </si>
  <si>
    <t>043802</t>
  </si>
  <si>
    <t>049312</t>
  </si>
  <si>
    <t>043810</t>
  </si>
  <si>
    <t>047548</t>
  </si>
  <si>
    <t>049320</t>
  </si>
  <si>
    <t>049981</t>
  </si>
  <si>
    <t>047431</t>
  </si>
  <si>
    <t>043828</t>
  </si>
  <si>
    <t>065227</t>
  </si>
  <si>
    <t>049999</t>
  </si>
  <si>
    <t>045336</t>
  </si>
  <si>
    <t>045344</t>
  </si>
  <si>
    <t>046433</t>
  </si>
  <si>
    <t>049429</t>
  </si>
  <si>
    <t>050351</t>
  </si>
  <si>
    <t>049189</t>
  </si>
  <si>
    <t>045351</t>
  </si>
  <si>
    <t>043836</t>
  </si>
  <si>
    <t>046557</t>
  </si>
  <si>
    <t>050922</t>
  </si>
  <si>
    <t>050542</t>
  </si>
  <si>
    <t>048934</t>
  </si>
  <si>
    <t>047837</t>
  </si>
  <si>
    <t>047928</t>
  </si>
  <si>
    <t>043844</t>
  </si>
  <si>
    <t>043851</t>
  </si>
  <si>
    <t>043869</t>
  </si>
  <si>
    <t>050989</t>
  </si>
  <si>
    <t>043877</t>
  </si>
  <si>
    <t>043885</t>
  </si>
  <si>
    <t>043893</t>
  </si>
  <si>
    <t>047027</t>
  </si>
  <si>
    <t>043901</t>
  </si>
  <si>
    <t>046409</t>
  </si>
  <si>
    <t>069682</t>
  </si>
  <si>
    <t>047688</t>
  </si>
  <si>
    <t>047845</t>
  </si>
  <si>
    <t>043919</t>
  </si>
  <si>
    <t>048835</t>
  </si>
  <si>
    <t>043927</t>
  </si>
  <si>
    <t>046037</t>
  </si>
  <si>
    <t>048512</t>
  </si>
  <si>
    <t>049122</t>
  </si>
  <si>
    <t>051003</t>
  </si>
  <si>
    <t>050674</t>
  </si>
  <si>
    <t>043935</t>
  </si>
  <si>
    <t>050617</t>
  </si>
  <si>
    <t>046094</t>
  </si>
  <si>
    <t>047795</t>
  </si>
  <si>
    <t>046789</t>
  </si>
  <si>
    <t>050625</t>
  </si>
  <si>
    <t>051029</t>
  </si>
  <si>
    <t>048413</t>
  </si>
  <si>
    <t>045773</t>
  </si>
  <si>
    <t>050682</t>
  </si>
  <si>
    <t>043943</t>
  </si>
  <si>
    <t>043950</t>
  </si>
  <si>
    <t>047050</t>
  </si>
  <si>
    <t>050328</t>
  </si>
  <si>
    <t>043968</t>
  </si>
  <si>
    <t>046102</t>
  </si>
  <si>
    <t>047621</t>
  </si>
  <si>
    <t>046870</t>
  </si>
  <si>
    <t>047936</t>
  </si>
  <si>
    <t>049775</t>
  </si>
  <si>
    <t>049841</t>
  </si>
  <si>
    <t>045369</t>
  </si>
  <si>
    <t>043976</t>
  </si>
  <si>
    <t>047068</t>
  </si>
  <si>
    <t>046045</t>
  </si>
  <si>
    <t>045914</t>
  </si>
  <si>
    <t>046334</t>
  </si>
  <si>
    <t>049197</t>
  </si>
  <si>
    <t>043984</t>
  </si>
  <si>
    <t>047332</t>
  </si>
  <si>
    <t>048157</t>
  </si>
  <si>
    <t>047340</t>
  </si>
  <si>
    <t>050484</t>
  </si>
  <si>
    <t>049783</t>
  </si>
  <si>
    <t>048595</t>
  </si>
  <si>
    <t>043992</t>
  </si>
  <si>
    <t>050963</t>
  </si>
  <si>
    <t>044008</t>
  </si>
  <si>
    <t>048843</t>
  </si>
  <si>
    <t>046649</t>
  </si>
  <si>
    <t>047852</t>
  </si>
  <si>
    <t>044016</t>
  </si>
  <si>
    <t>050492</t>
  </si>
  <si>
    <t>046961</t>
  </si>
  <si>
    <t>044024</t>
  </si>
  <si>
    <t>065680</t>
  </si>
  <si>
    <t>062067</t>
  </si>
  <si>
    <t>044032</t>
  </si>
  <si>
    <t>050278</t>
  </si>
  <si>
    <t>044040</t>
  </si>
  <si>
    <t>044057</t>
  </si>
  <si>
    <t>048942</t>
  </si>
  <si>
    <t>045377</t>
  </si>
  <si>
    <t>045385</t>
  </si>
  <si>
    <t>044065</t>
  </si>
  <si>
    <t>046342</t>
  </si>
  <si>
    <t>046193</t>
  </si>
  <si>
    <t>045864</t>
  </si>
  <si>
    <t>044073</t>
  </si>
  <si>
    <t>045393</t>
  </si>
  <si>
    <t>051060</t>
  </si>
  <si>
    <t>049619</t>
  </si>
  <si>
    <t>050013</t>
  </si>
  <si>
    <t>050559</t>
  </si>
  <si>
    <t>051045</t>
  </si>
  <si>
    <t>047266</t>
  </si>
  <si>
    <t>045401</t>
  </si>
  <si>
    <t>046235</t>
  </si>
  <si>
    <t>044099</t>
  </si>
  <si>
    <t>046979</t>
  </si>
  <si>
    <t>044107</t>
  </si>
  <si>
    <t>046953</t>
  </si>
  <si>
    <t>047498</t>
  </si>
  <si>
    <t>049791</t>
  </si>
  <si>
    <t>045245</t>
  </si>
  <si>
    <t>044115</t>
  </si>
  <si>
    <t>045419</t>
  </si>
  <si>
    <t>048496</t>
  </si>
  <si>
    <t>048801</t>
  </si>
  <si>
    <t>047019</t>
  </si>
  <si>
    <t>044123</t>
  </si>
  <si>
    <t>045823</t>
  </si>
  <si>
    <t>047571</t>
  </si>
  <si>
    <t>049700</t>
  </si>
  <si>
    <t>050161</t>
  </si>
  <si>
    <t>045427</t>
  </si>
  <si>
    <t>048751</t>
  </si>
  <si>
    <t>050021</t>
  </si>
  <si>
    <t>049502</t>
  </si>
  <si>
    <t>044131</t>
  </si>
  <si>
    <t>046565</t>
  </si>
  <si>
    <t>047803</t>
  </si>
  <si>
    <t>045435</t>
  </si>
  <si>
    <t>048082</t>
  </si>
  <si>
    <t>050286</t>
  </si>
  <si>
    <t>044149</t>
  </si>
  <si>
    <t>049809</t>
  </si>
  <si>
    <t>044156</t>
  </si>
  <si>
    <t>049858</t>
  </si>
  <si>
    <t>048322</t>
  </si>
  <si>
    <t>049205</t>
  </si>
  <si>
    <t>045872</t>
  </si>
  <si>
    <t>051128</t>
  </si>
  <si>
    <t>048256</t>
  </si>
  <si>
    <t>048686</t>
  </si>
  <si>
    <t>049338</t>
  </si>
  <si>
    <t>047985</t>
  </si>
  <si>
    <t>048264</t>
  </si>
  <si>
    <t>050179</t>
  </si>
  <si>
    <t>049346</t>
  </si>
  <si>
    <t>046797</t>
  </si>
  <si>
    <t>047191</t>
  </si>
  <si>
    <t>044164</t>
  </si>
  <si>
    <t>044172</t>
  </si>
  <si>
    <t>044180</t>
  </si>
  <si>
    <t>048165</t>
  </si>
  <si>
    <t>050435</t>
  </si>
  <si>
    <t>047878</t>
  </si>
  <si>
    <t>051144</t>
  </si>
  <si>
    <t>050245</t>
  </si>
  <si>
    <t>049866</t>
  </si>
  <si>
    <t>050690</t>
  </si>
  <si>
    <t>050187</t>
  </si>
  <si>
    <t>044198</t>
  </si>
  <si>
    <t>047993</t>
  </si>
  <si>
    <t>046110</t>
  </si>
  <si>
    <t>049569</t>
  </si>
  <si>
    <t>044206</t>
  </si>
  <si>
    <t>051185</t>
  </si>
  <si>
    <t>044214</t>
  </si>
  <si>
    <t>047209</t>
  </si>
  <si>
    <t>045443</t>
  </si>
  <si>
    <t>049353</t>
  </si>
  <si>
    <t>049437</t>
  </si>
  <si>
    <t>047589</t>
  </si>
  <si>
    <t>050195</t>
  </si>
  <si>
    <t>046888</t>
  </si>
  <si>
    <t>047449</t>
  </si>
  <si>
    <t>048009</t>
  </si>
  <si>
    <t>048017</t>
  </si>
  <si>
    <t>044222</t>
  </si>
  <si>
    <t>050369</t>
  </si>
  <si>
    <t>045450</t>
  </si>
  <si>
    <t>050443</t>
  </si>
  <si>
    <t>044230</t>
  </si>
  <si>
    <t>049080</t>
  </si>
  <si>
    <t>044248</t>
  </si>
  <si>
    <t>044255</t>
  </si>
  <si>
    <t>044263</t>
  </si>
  <si>
    <t>051227</t>
  </si>
  <si>
    <t>050203</t>
  </si>
  <si>
    <t>045468</t>
  </si>
  <si>
    <t>049874</t>
  </si>
  <si>
    <t>044271</t>
  </si>
  <si>
    <t>048330</t>
  </si>
  <si>
    <t>049445</t>
  </si>
  <si>
    <t>047639</t>
  </si>
  <si>
    <t>048702</t>
  </si>
  <si>
    <t>044289</t>
  </si>
  <si>
    <t>046128</t>
  </si>
  <si>
    <t>049452</t>
  </si>
  <si>
    <t>047886</t>
  </si>
  <si>
    <t>048272</t>
  </si>
  <si>
    <t>051243</t>
  </si>
  <si>
    <t>000442</t>
  </si>
  <si>
    <t>050005</t>
  </si>
  <si>
    <t>044297</t>
  </si>
  <si>
    <t>044305</t>
  </si>
  <si>
    <t>045831</t>
  </si>
  <si>
    <t>051391</t>
  </si>
  <si>
    <t>050211</t>
  </si>
  <si>
    <t>046805</t>
  </si>
  <si>
    <t>044313</t>
  </si>
  <si>
    <t>044321</t>
  </si>
  <si>
    <t>044339</t>
  </si>
  <si>
    <t>048553</t>
  </si>
  <si>
    <t>049882</t>
  </si>
  <si>
    <t>044347</t>
  </si>
  <si>
    <t>045476</t>
  </si>
  <si>
    <t>050450</t>
  </si>
  <si>
    <t>044354</t>
  </si>
  <si>
    <t>050153</t>
  </si>
  <si>
    <t>044362</t>
  </si>
  <si>
    <t>044370</t>
  </si>
  <si>
    <t>048850</t>
  </si>
  <si>
    <t>047456</t>
  </si>
  <si>
    <t>050229</t>
  </si>
  <si>
    <t>045484</t>
  </si>
  <si>
    <t>044388</t>
  </si>
  <si>
    <t>062109</t>
  </si>
  <si>
    <t>048520</t>
  </si>
  <si>
    <t>045492</t>
  </si>
  <si>
    <t>048629</t>
  </si>
  <si>
    <t>046920</t>
  </si>
  <si>
    <t>051284</t>
  </si>
  <si>
    <t>044396</t>
  </si>
  <si>
    <t>044404</t>
  </si>
  <si>
    <t>051300</t>
  </si>
  <si>
    <t>048173</t>
  </si>
  <si>
    <t>045500</t>
  </si>
  <si>
    <t>050633</t>
  </si>
  <si>
    <t>049361</t>
  </si>
  <si>
    <t>045518</t>
  </si>
  <si>
    <t>049890</t>
  </si>
  <si>
    <t>049627</t>
  </si>
  <si>
    <t>045948</t>
  </si>
  <si>
    <t>046672</t>
  </si>
  <si>
    <t>050039</t>
  </si>
  <si>
    <t>050740</t>
  </si>
  <si>
    <t>139303</t>
  </si>
  <si>
    <t>047712</t>
  </si>
  <si>
    <t>045526</t>
  </si>
  <si>
    <t>048777</t>
  </si>
  <si>
    <t>045534</t>
  </si>
  <si>
    <t>044420</t>
  </si>
  <si>
    <t>044412</t>
  </si>
  <si>
    <t>044438</t>
  </si>
  <si>
    <t>049270</t>
  </si>
  <si>
    <t>044446</t>
  </si>
  <si>
    <t>046995</t>
  </si>
  <si>
    <t>044461</t>
  </si>
  <si>
    <t>045955</t>
  </si>
  <si>
    <t>045963</t>
  </si>
  <si>
    <t>048710</t>
  </si>
  <si>
    <t>044479</t>
  </si>
  <si>
    <t>047720</t>
  </si>
  <si>
    <t>046136</t>
  </si>
  <si>
    <t>044487</t>
  </si>
  <si>
    <t>045559</t>
  </si>
  <si>
    <t>049718</t>
  </si>
  <si>
    <t>044453</t>
  </si>
  <si>
    <t>047217</t>
  </si>
  <si>
    <t>045542</t>
  </si>
  <si>
    <t>045567</t>
  </si>
  <si>
    <t>048637</t>
  </si>
  <si>
    <t>044495</t>
  </si>
  <si>
    <t>048900</t>
  </si>
  <si>
    <t>050047</t>
  </si>
  <si>
    <t>050708</t>
  </si>
  <si>
    <t>048967</t>
  </si>
  <si>
    <t>044503</t>
  </si>
  <si>
    <t>050641</t>
  </si>
  <si>
    <t>044511</t>
  </si>
  <si>
    <t>048025</t>
  </si>
  <si>
    <t>044529</t>
  </si>
  <si>
    <t>044537</t>
  </si>
  <si>
    <t>044545</t>
  </si>
  <si>
    <t>050336</t>
  </si>
  <si>
    <t>046250</t>
  </si>
  <si>
    <t>046722</t>
  </si>
  <si>
    <t>049056</t>
  </si>
  <si>
    <t>048728</t>
  </si>
  <si>
    <t>048819</t>
  </si>
  <si>
    <t>048033</t>
  </si>
  <si>
    <t>048736</t>
  </si>
  <si>
    <t>049635</t>
  </si>
  <si>
    <t>049908</t>
  </si>
  <si>
    <t>047365</t>
  </si>
  <si>
    <t>046268</t>
  </si>
  <si>
    <t>050575</t>
  </si>
  <si>
    <t>050716</t>
  </si>
  <si>
    <t>044552</t>
  </si>
  <si>
    <t>044560</t>
  </si>
  <si>
    <t>050567</t>
  </si>
  <si>
    <t>044578</t>
  </si>
  <si>
    <t>047761</t>
  </si>
  <si>
    <t>047373</t>
  </si>
  <si>
    <t>044586</t>
  </si>
  <si>
    <t>044594</t>
  </si>
  <si>
    <t>051334</t>
  </si>
  <si>
    <t>049726</t>
  </si>
  <si>
    <t>046763</t>
  </si>
  <si>
    <t>046573</t>
  </si>
  <si>
    <t>049478</t>
  </si>
  <si>
    <t>046581</t>
  </si>
  <si>
    <t>044602</t>
  </si>
  <si>
    <t>044610</t>
  </si>
  <si>
    <t>049916</t>
  </si>
  <si>
    <t>050724</t>
  </si>
  <si>
    <t>048215</t>
  </si>
  <si>
    <t>049379</t>
  </si>
  <si>
    <t>049387</t>
  </si>
  <si>
    <t>044628</t>
  </si>
  <si>
    <t>049510</t>
  </si>
  <si>
    <t>049395</t>
  </si>
  <si>
    <t>048579</t>
  </si>
  <si>
    <t>044636</t>
  </si>
  <si>
    <t>047597</t>
  </si>
  <si>
    <t>045575</t>
  </si>
  <si>
    <t>051359</t>
  </si>
  <si>
    <t>046813</t>
  </si>
  <si>
    <t>045781</t>
  </si>
  <si>
    <t>047902</t>
  </si>
  <si>
    <t>049924</t>
  </si>
  <si>
    <t>045583</t>
  </si>
  <si>
    <t>047076</t>
  </si>
  <si>
    <t>051433</t>
  </si>
  <si>
    <t>046896</t>
  </si>
  <si>
    <t>051375</t>
  </si>
  <si>
    <t>047084</t>
  </si>
  <si>
    <t>051417</t>
  </si>
  <si>
    <t>044644</t>
  </si>
  <si>
    <t>049932</t>
  </si>
  <si>
    <t>048421</t>
  </si>
  <si>
    <t>049460</t>
  </si>
  <si>
    <t>048348</t>
  </si>
  <si>
    <t>050948</t>
  </si>
  <si>
    <t>044651</t>
  </si>
  <si>
    <t>063495</t>
  </si>
  <si>
    <t>044669</t>
  </si>
  <si>
    <t>049288</t>
  </si>
  <si>
    <t>044677</t>
  </si>
  <si>
    <t>048975</t>
  </si>
  <si>
    <t>045880</t>
  </si>
  <si>
    <t>044685</t>
  </si>
  <si>
    <t>044693</t>
  </si>
  <si>
    <t>050054</t>
  </si>
  <si>
    <t>047001</t>
  </si>
  <si>
    <t>048439</t>
  </si>
  <si>
    <t>047506</t>
  </si>
  <si>
    <t>046474</t>
  </si>
  <si>
    <t>046078</t>
  </si>
  <si>
    <t>045591</t>
  </si>
  <si>
    <t>048447</t>
  </si>
  <si>
    <t>046482</t>
  </si>
  <si>
    <t>047514</t>
  </si>
  <si>
    <t>047894</t>
  </si>
  <si>
    <t>048090</t>
  </si>
  <si>
    <t>047944</t>
  </si>
  <si>
    <t>044701</t>
  </si>
  <si>
    <t>047308</t>
  </si>
  <si>
    <t>049213</t>
  </si>
  <si>
    <t>046144</t>
  </si>
  <si>
    <t>045609</t>
  </si>
  <si>
    <t>049817</t>
  </si>
  <si>
    <t>044735</t>
  </si>
  <si>
    <t>044743</t>
  </si>
  <si>
    <t>049940</t>
  </si>
  <si>
    <t>051490</t>
  </si>
  <si>
    <t>049130</t>
  </si>
  <si>
    <t>048355</t>
  </si>
  <si>
    <t>049684</t>
  </si>
  <si>
    <t>046003</t>
  </si>
  <si>
    <t>044750</t>
  </si>
  <si>
    <t>045799</t>
  </si>
  <si>
    <t>044768</t>
  </si>
  <si>
    <t>044776</t>
  </si>
  <si>
    <t>044784</t>
  </si>
  <si>
    <t>046607</t>
  </si>
  <si>
    <t>047738</t>
  </si>
  <si>
    <t>044792</t>
  </si>
  <si>
    <t>047951</t>
  </si>
  <si>
    <t>048363</t>
  </si>
  <si>
    <t>049221</t>
  </si>
  <si>
    <t>050583</t>
  </si>
  <si>
    <t>046276</t>
  </si>
  <si>
    <t>049528</t>
  </si>
  <si>
    <t>050799</t>
  </si>
  <si>
    <t>046441</t>
  </si>
  <si>
    <t>048538</t>
  </si>
  <si>
    <t>049064</t>
  </si>
  <si>
    <t>050237</t>
  </si>
  <si>
    <t>048041</t>
  </si>
  <si>
    <t>047381</t>
  </si>
  <si>
    <t>044800</t>
  </si>
  <si>
    <t>045807</t>
  </si>
  <si>
    <t>050427</t>
  </si>
  <si>
    <t>044818</t>
  </si>
  <si>
    <t>048371</t>
  </si>
  <si>
    <t>050062</t>
  </si>
  <si>
    <t>048223</t>
  </si>
  <si>
    <t>051532</t>
  </si>
  <si>
    <t>044719</t>
  </si>
  <si>
    <t>045997</t>
  </si>
  <si>
    <t>048587</t>
  </si>
  <si>
    <t>044727</t>
  </si>
  <si>
    <t>062026</t>
  </si>
  <si>
    <t>044826</t>
  </si>
  <si>
    <t>044834</t>
  </si>
  <si>
    <t>050294</t>
  </si>
  <si>
    <t>049239</t>
  </si>
  <si>
    <t>044842</t>
  </si>
  <si>
    <t>044859</t>
  </si>
  <si>
    <t>050658</t>
  </si>
  <si>
    <t>047092</t>
  </si>
  <si>
    <t>048652</t>
  </si>
  <si>
    <t>044867</t>
  </si>
  <si>
    <t>044875</t>
  </si>
  <si>
    <t>047969</t>
  </si>
  <si>
    <t>046151</t>
  </si>
  <si>
    <t>044883</t>
  </si>
  <si>
    <t>049098</t>
  </si>
  <si>
    <t>046243</t>
  </si>
  <si>
    <t>047399</t>
  </si>
  <si>
    <t>044891</t>
  </si>
  <si>
    <t>045617</t>
  </si>
  <si>
    <t>044909</t>
  </si>
  <si>
    <t>063511</t>
  </si>
  <si>
    <t>044917</t>
  </si>
  <si>
    <t>046201</t>
  </si>
  <si>
    <t>051607</t>
  </si>
  <si>
    <t>091397</t>
  </si>
  <si>
    <t>045922</t>
  </si>
  <si>
    <t>065268</t>
  </si>
  <si>
    <t>048876</t>
  </si>
  <si>
    <t>046680</t>
  </si>
  <si>
    <t>050591</t>
  </si>
  <si>
    <t>048694</t>
  </si>
  <si>
    <t>044925</t>
  </si>
  <si>
    <t>051631</t>
  </si>
  <si>
    <t>050302</t>
  </si>
  <si>
    <t>049957</t>
  </si>
  <si>
    <t>049296</t>
  </si>
  <si>
    <t>050070</t>
  </si>
  <si>
    <t>062802</t>
  </si>
  <si>
    <t>046011</t>
  </si>
  <si>
    <t>049536</t>
  </si>
  <si>
    <t>046458</t>
  </si>
  <si>
    <t>044933</t>
  </si>
  <si>
    <t>045625</t>
  </si>
  <si>
    <t>047522</t>
  </si>
  <si>
    <t>062125</t>
  </si>
  <si>
    <t>044941</t>
  </si>
  <si>
    <t>049643</t>
  </si>
  <si>
    <t>048744</t>
  </si>
  <si>
    <t>047464</t>
  </si>
  <si>
    <t>044966</t>
  </si>
  <si>
    <t>044958</t>
  </si>
  <si>
    <t>051458</t>
  </si>
  <si>
    <t>047472</t>
  </si>
  <si>
    <t>051672</t>
  </si>
  <si>
    <t>046821</t>
  </si>
  <si>
    <t>045633</t>
  </si>
  <si>
    <t>050393</t>
  </si>
  <si>
    <t>044974</t>
  </si>
  <si>
    <t>046904</t>
  </si>
  <si>
    <t>044982</t>
  </si>
  <si>
    <t>044990</t>
  </si>
  <si>
    <t>051474</t>
  </si>
  <si>
    <t>050500</t>
  </si>
  <si>
    <t>045005</t>
  </si>
  <si>
    <t>051698</t>
  </si>
  <si>
    <t>045013</t>
  </si>
  <si>
    <t>048231</t>
  </si>
  <si>
    <t>049650</t>
  </si>
  <si>
    <t>049247</t>
  </si>
  <si>
    <t>045641</t>
  </si>
  <si>
    <t>049148</t>
  </si>
  <si>
    <t>051714</t>
  </si>
  <si>
    <t>050468</t>
  </si>
  <si>
    <t>049031</t>
  </si>
  <si>
    <t>045971</t>
  </si>
  <si>
    <t>050252</t>
  </si>
  <si>
    <t>045658</t>
  </si>
  <si>
    <t>045021</t>
  </si>
  <si>
    <t>045039</t>
  </si>
  <si>
    <t>048389</t>
  </si>
  <si>
    <t>045054</t>
  </si>
  <si>
    <t>046359</t>
  </si>
  <si>
    <t>047225</t>
  </si>
  <si>
    <t>047696</t>
  </si>
  <si>
    <t>046219</t>
  </si>
  <si>
    <t>048884</t>
  </si>
  <si>
    <t>046060</t>
  </si>
  <si>
    <t>049155</t>
  </si>
  <si>
    <t>047746</t>
  </si>
  <si>
    <t>048397</t>
  </si>
  <si>
    <t>045047</t>
  </si>
  <si>
    <t>049106</t>
  </si>
  <si>
    <t>045062</t>
  </si>
  <si>
    <t>049668</t>
  </si>
  <si>
    <t>045070</t>
  </si>
  <si>
    <t>045088</t>
  </si>
  <si>
    <t>045096</t>
  </si>
  <si>
    <t>046367</t>
  </si>
  <si>
    <t>045104</t>
  </si>
  <si>
    <t>045112</t>
  </si>
  <si>
    <t>045666</t>
  </si>
  <si>
    <t>044081</t>
  </si>
  <si>
    <t>050518</t>
  </si>
  <si>
    <t>049577</t>
  </si>
  <si>
    <t>049973</t>
  </si>
  <si>
    <t>045120</t>
  </si>
  <si>
    <t>045138</t>
  </si>
  <si>
    <t>046524</t>
  </si>
  <si>
    <t>045146</t>
  </si>
  <si>
    <t>045153</t>
  </si>
  <si>
    <t>045674</t>
  </si>
  <si>
    <t>045161</t>
  </si>
  <si>
    <t>049544</t>
  </si>
  <si>
    <t>045179</t>
  </si>
  <si>
    <r>
      <t xml:space="preserve">
</t>
    </r>
    <r>
      <rPr>
        <b/>
        <i/>
        <sz val="11"/>
        <color theme="1" tint="0.499984740745262"/>
        <rFont val="Arial"/>
        <family val="2"/>
      </rPr>
      <t>Do not alter any of the shaded cells.</t>
    </r>
  </si>
  <si>
    <t xml:space="preserve">   </t>
  </si>
  <si>
    <t>Individual Applicants:</t>
  </si>
  <si>
    <t>Consortium Applicants:</t>
  </si>
  <si>
    <t>APPLICANT:</t>
  </si>
  <si>
    <t>Do not alter any of the shaded cells.</t>
  </si>
  <si>
    <t>100</t>
  </si>
  <si>
    <t>Salaries and Wages</t>
  </si>
  <si>
    <t>200</t>
  </si>
  <si>
    <t>Employee Retirement and Insurance Benefits</t>
  </si>
  <si>
    <t>400</t>
  </si>
  <si>
    <t>500</t>
  </si>
  <si>
    <t>600</t>
  </si>
  <si>
    <t>Capital Outlay - New</t>
  </si>
  <si>
    <t>700</t>
  </si>
  <si>
    <t>Capital Outlay - Replacement</t>
  </si>
  <si>
    <t>800</t>
  </si>
  <si>
    <t>Other Operating Disbursements</t>
  </si>
  <si>
    <t>4.010</t>
  </si>
  <si>
    <t>4.020</t>
  </si>
  <si>
    <t>4.030</t>
  </si>
  <si>
    <t>4.040</t>
  </si>
  <si>
    <t>4.050</t>
  </si>
  <si>
    <t>4.055</t>
  </si>
  <si>
    <t>4.060</t>
  </si>
  <si>
    <t>Debt Service-Principal-All (Historical Only)</t>
  </si>
  <si>
    <t>Debt Service-Principal-Notes</t>
  </si>
  <si>
    <t>Debt Service-Principal-State Loans</t>
  </si>
  <si>
    <t>Debt Service-Principal-State Advances</t>
  </si>
  <si>
    <t>Debt Service-Principal-HB264 Loans</t>
  </si>
  <si>
    <t>Debt Service-Principal-Other</t>
  </si>
  <si>
    <t>Debt Service-Interest and Fiscal Charges</t>
  </si>
  <si>
    <t>Debt Service-Other Objects</t>
  </si>
  <si>
    <t>5.010</t>
  </si>
  <si>
    <t>Operating Transfers-Out</t>
  </si>
  <si>
    <t>5.020</t>
  </si>
  <si>
    <t>Advances-Out</t>
  </si>
  <si>
    <t>5.030</t>
  </si>
  <si>
    <t>All Other Financing Uses</t>
  </si>
  <si>
    <r>
      <rPr>
        <b/>
        <sz val="9"/>
        <rFont val="Arial"/>
        <family val="2"/>
      </rPr>
      <t xml:space="preserve">Financial Baseline
</t>
    </r>
    <r>
      <rPr>
        <sz val="9"/>
        <rFont val="Arial"/>
        <family val="2"/>
      </rPr>
      <t>from the
Current Five-Year Forecast</t>
    </r>
  </si>
  <si>
    <t>EXPENDITURES - DEBT SERVICE</t>
  </si>
  <si>
    <t>Total Expenditures - Operational</t>
  </si>
  <si>
    <t>Total Expenditures - Debt Service</t>
  </si>
  <si>
    <t>Total Expenditures - Non-operational</t>
  </si>
  <si>
    <t>SUSTAINABILITY</t>
  </si>
  <si>
    <t>EXPLAINATION</t>
  </si>
  <si>
    <r>
      <rPr>
        <b/>
        <sz val="9"/>
        <rFont val="Arial"/>
        <family val="2"/>
      </rPr>
      <t xml:space="preserve">Explaination
</t>
    </r>
    <r>
      <rPr>
        <sz val="9"/>
        <rFont val="Arial"/>
        <family val="2"/>
      </rPr>
      <t xml:space="preserve">
Provide </t>
    </r>
    <r>
      <rPr>
        <b/>
        <sz val="9"/>
        <rFont val="Arial"/>
        <family val="2"/>
      </rPr>
      <t>detailed notes</t>
    </r>
    <r>
      <rPr>
        <sz val="9"/>
        <rFont val="Arial"/>
        <family val="2"/>
      </rPr>
      <t xml:space="preserve"> regarding the financial impact on each line affected by the grant funds.
These notes are critical to the evaluation of the financial sustainability.</t>
    </r>
  </si>
  <si>
    <r>
      <rPr>
        <b/>
        <sz val="9"/>
        <rFont val="Arial"/>
        <family val="2"/>
      </rPr>
      <t xml:space="preserve">Financial Baseline
</t>
    </r>
    <r>
      <rPr>
        <sz val="9"/>
        <rFont val="Arial"/>
        <family val="2"/>
      </rPr>
      <t>from the
Current Fiscal Year</t>
    </r>
  </si>
  <si>
    <t xml:space="preserve">EXPENDITURES </t>
  </si>
  <si>
    <r>
      <t xml:space="preserve">Each applicant for a Straight A Fund grant must complete a Straight A Grant Financial Impact Table. The instructions for completing the file can be found below. This file is used for all applicants. If you have multiple applicants, you will need multiple tabs (discussed below). Use the appropriate tab based on your organization type. City, local, exempted village or joint vocational school districts will use the </t>
    </r>
    <r>
      <rPr>
        <i/>
        <sz val="10"/>
        <rFont val="Arial"/>
        <family val="2"/>
      </rPr>
      <t xml:space="preserve">Traditional </t>
    </r>
    <r>
      <rPr>
        <sz val="10"/>
        <rFont val="Arial"/>
        <family val="2"/>
      </rPr>
      <t xml:space="preserve">tab. Educational Service Centers will use the </t>
    </r>
    <r>
      <rPr>
        <i/>
        <sz val="10"/>
        <rFont val="Arial"/>
        <family val="2"/>
      </rPr>
      <t>ESC</t>
    </r>
    <r>
      <rPr>
        <sz val="10"/>
        <rFont val="Arial"/>
        <family val="2"/>
      </rPr>
      <t xml:space="preserve"> tab. All other applicants will use the </t>
    </r>
    <r>
      <rPr>
        <i/>
        <sz val="10"/>
        <rFont val="Arial"/>
        <family val="2"/>
      </rPr>
      <t>Non-Traditional</t>
    </r>
    <r>
      <rPr>
        <sz val="10"/>
        <rFont val="Arial"/>
        <family val="2"/>
      </rPr>
      <t xml:space="preserve"> tab. </t>
    </r>
  </si>
  <si>
    <t>Instructions for the Traditional Tab</t>
  </si>
  <si>
    <r>
      <rPr>
        <b/>
        <sz val="10"/>
        <rFont val="Arial"/>
        <family val="2"/>
      </rPr>
      <t xml:space="preserve">A submitted Financial Impact Table for an individual applicant should contain only one tab.
</t>
    </r>
    <r>
      <rPr>
        <sz val="10"/>
        <rFont val="Arial"/>
        <family val="2"/>
      </rPr>
      <t xml:space="preserve">1. After completing the appropriate tab as detailed above, delete the unused tabs from the workbook.  
   1.a. Right click on the unused tab.
   1.b. Select </t>
    </r>
    <r>
      <rPr>
        <i/>
        <sz val="10"/>
        <rFont val="Arial"/>
        <family val="2"/>
      </rPr>
      <t>Delete</t>
    </r>
    <r>
      <rPr>
        <sz val="10"/>
        <rFont val="Arial"/>
        <family val="2"/>
      </rPr>
      <t>. 
2. Save the file with the file name of 'Financial Impact XXXXXX' where XXXXXX is your school's IRN (if applicable) or organization name. 
3. Upload the completed file to the CCIP.</t>
    </r>
  </si>
  <si>
    <r>
      <rPr>
        <b/>
        <sz val="10"/>
        <rFont val="Arial"/>
        <family val="2"/>
      </rPr>
      <t>A submitted Financial Impact Table for a consortium should contain one tab for each member of the consortium.</t>
    </r>
    <r>
      <rPr>
        <sz val="10"/>
        <rFont val="Arial"/>
        <family val="2"/>
      </rPr>
      <t xml:space="preserve">
1. Copy the appropriate tab for each member of the consortium based on the organization type. 
   1.a. Right click on the appropriate tab to be copied (Traditional, ESC or Non-Traditional). Select </t>
    </r>
    <r>
      <rPr>
        <i/>
        <sz val="10"/>
        <rFont val="Arial"/>
        <family val="2"/>
      </rPr>
      <t>Move or Copy</t>
    </r>
    <r>
      <rPr>
        <sz val="10"/>
        <rFont val="Arial"/>
        <family val="2"/>
      </rPr>
      <t xml:space="preserve">.
   1.b. Select (move to the end) and the </t>
    </r>
    <r>
      <rPr>
        <i/>
        <sz val="10"/>
        <rFont val="Arial"/>
        <family val="2"/>
      </rPr>
      <t>Create a copy</t>
    </r>
    <r>
      <rPr>
        <sz val="10"/>
        <rFont val="Arial"/>
        <family val="2"/>
      </rPr>
      <t xml:space="preserve"> checkbox.
   1.c. Click on </t>
    </r>
    <r>
      <rPr>
        <i/>
        <sz val="10"/>
        <rFont val="Arial"/>
        <family val="2"/>
      </rPr>
      <t>OK.</t>
    </r>
    <r>
      <rPr>
        <sz val="10"/>
        <rFont val="Arial"/>
        <family val="2"/>
      </rPr>
      <t xml:space="preserve">   A new tab will be created.
   1.d. Double-click on the tab title to rename it to the consortium member's IRN (if applicable) or organization name.
2. The first tab after the DIRECTIONS should be the tab for the Lead Applicant. If the Lead Applicant tab is not the first one, click and drag to rearrange the tabs. 
3. Enter the appropriate budget and forecast information on each consortium member's tab based on the instructions above.
4. Save the file with the file name of 'Financial Impact XXXXXX' where XXXXXX is the name of the consortium. 
5. Upload the completed file to the CCIP.</t>
    </r>
  </si>
  <si>
    <t>Instructions for the Non-Traditional and ESC Tabs</t>
  </si>
  <si>
    <t>FY20</t>
  </si>
  <si>
    <r>
      <t xml:space="preserve">Since FY15 is the grant year, its expenditures are not required in this table.
In the FY16-FY20 columns,
</t>
    </r>
    <r>
      <rPr>
        <b/>
        <sz val="11"/>
        <rFont val="Arial"/>
        <family val="2"/>
      </rPr>
      <t>ADD</t>
    </r>
    <r>
      <rPr>
        <sz val="11"/>
        <rFont val="Arial"/>
        <family val="2"/>
      </rPr>
      <t xml:space="preserve"> only the </t>
    </r>
    <r>
      <rPr>
        <b/>
        <sz val="11"/>
        <rFont val="Arial"/>
        <family val="2"/>
      </rPr>
      <t>SUSTAINING COSTS</t>
    </r>
    <r>
      <rPr>
        <sz val="11"/>
        <rFont val="Arial"/>
        <family val="2"/>
      </rPr>
      <t xml:space="preserve">  to the appropriate line items (refer to Question 15), and
</t>
    </r>
    <r>
      <rPr>
        <b/>
        <sz val="11"/>
        <rFont val="Arial"/>
        <family val="2"/>
      </rPr>
      <t xml:space="preserve">SUBTRACT </t>
    </r>
    <r>
      <rPr>
        <sz val="11"/>
        <rFont val="Arial"/>
        <family val="2"/>
      </rPr>
      <t>only</t>
    </r>
    <r>
      <rPr>
        <b/>
        <sz val="11"/>
        <rFont val="Arial"/>
        <family val="2"/>
      </rPr>
      <t xml:space="preserve"> </t>
    </r>
    <r>
      <rPr>
        <sz val="11"/>
        <rFont val="Arial"/>
        <family val="2"/>
      </rPr>
      <t xml:space="preserve">the </t>
    </r>
    <r>
      <rPr>
        <b/>
        <sz val="11"/>
        <rFont val="Arial"/>
        <family val="2"/>
      </rPr>
      <t>SUSTAINING</t>
    </r>
    <r>
      <rPr>
        <sz val="11"/>
        <rFont val="Arial"/>
        <family val="2"/>
      </rPr>
      <t xml:space="preserve"> </t>
    </r>
    <r>
      <rPr>
        <b/>
        <sz val="11"/>
        <rFont val="Arial"/>
        <family val="2"/>
      </rPr>
      <t>COST REDUCTIONS</t>
    </r>
    <r>
      <rPr>
        <sz val="11"/>
        <rFont val="Arial"/>
        <family val="2"/>
      </rPr>
      <t xml:space="preserve"> to the appropriate line items (refer to Questions 16 &amp; 17).</t>
    </r>
  </si>
  <si>
    <r>
      <t xml:space="preserve">TOTAL EXPENDITURES
</t>
    </r>
    <r>
      <rPr>
        <sz val="11"/>
        <rFont val="Arial"/>
        <family val="2"/>
      </rPr>
      <t xml:space="preserve">For FY16-20, total expenditures must be cost neutral (e.g. $0 or less) to prove sustainability. </t>
    </r>
  </si>
  <si>
    <r>
      <t xml:space="preserve">1. Enter the district's </t>
    </r>
    <r>
      <rPr>
        <b/>
        <sz val="10"/>
        <rFont val="Arial"/>
        <family val="2"/>
      </rPr>
      <t>6-digit</t>
    </r>
    <r>
      <rPr>
        <sz val="10"/>
        <rFont val="Arial"/>
        <family val="2"/>
      </rPr>
      <t xml:space="preserve"> IRN in cell B2 of the Traditional tab.  Column C of the form will be populated with the October, FY14 five-year forecast figures as submitted to EMIS for the entered district.  
2. Enter into Columns D through H (FY16-FY20) the anticipated sustaining costs and cost reductions for each expenditure type impacted by Straight A funds in the years following the grant year (FY15). These numbers are to be based on the anticipated grant award. The purpose of the financial impact table is to show the impact of the grant award. 
3. Enter into Column I text explaination regarding the anticipated costs and cost reductions.</t>
    </r>
  </si>
  <si>
    <t>1. Enter the school or organization name in cell B1 and the IRN (if applicable) in cell B2 of the Non-Traditional or ESC tab.  
2. If the applicant is a community school that has submitted a five-year forecast, enter into Column C the data from the five-year forecast as submitted to ODE for the current fiscal year (October, FY14). If the applicant is an organization that has not submitted a five-year forecast to ODE, enter into Column C the current budget information.
3. Enter into Columns D through H (FY16-FY20) the anticipated sustaining costs and cost reductions for each expenditure type impacted by Straight A funds in the years following the grant year (FY15). These numbers are to be based on the anticipated grant award. The purpose of the financial impact table is to show the impact of the grant award. 
4. Enter into Column I text explaination regarding the anticipated costs and cost reductions.</t>
  </si>
  <si>
    <t>DISTRICT</t>
  </si>
  <si>
    <t>Ada Ex Vill SD</t>
  </si>
  <si>
    <t>Adams County/Ohio Valley Local SD</t>
  </si>
  <si>
    <t>Adena Local SD</t>
  </si>
  <si>
    <t>Akron City SD</t>
  </si>
  <si>
    <t>Alexander Local SD</t>
  </si>
  <si>
    <t>Allen East Local SD</t>
  </si>
  <si>
    <t>Alliance City SD</t>
  </si>
  <si>
    <t>Amanda-Clearcreek Local SD</t>
  </si>
  <si>
    <t>Amherst Ex Vill SD</t>
  </si>
  <si>
    <t>Anna Local SD</t>
  </si>
  <si>
    <t>Ansonia Local SD</t>
  </si>
  <si>
    <t>Anthony Wayne Local SD</t>
  </si>
  <si>
    <t>Antwerp Local SD</t>
  </si>
  <si>
    <t>Apollo JVSD</t>
  </si>
  <si>
    <t>Arcadia Local SD</t>
  </si>
  <si>
    <t>Arcanum Butler Local SD</t>
  </si>
  <si>
    <t>Archbold-Area Local SD</t>
  </si>
  <si>
    <t>Arlington Local SD</t>
  </si>
  <si>
    <t>Ashland City SD</t>
  </si>
  <si>
    <t>Ashland County-West Holmes JVSD</t>
  </si>
  <si>
    <t>Ashtabula Area City SD</t>
  </si>
  <si>
    <t>A-Tech JVSD</t>
  </si>
  <si>
    <t>Athens City SD</t>
  </si>
  <si>
    <t>Auburn JVSD</t>
  </si>
  <si>
    <t>Aurora City SD</t>
  </si>
  <si>
    <t>Austintown Local SD</t>
  </si>
  <si>
    <t>Avon Lake City SD</t>
  </si>
  <si>
    <t>Avon Local SD</t>
  </si>
  <si>
    <t>Ayersville Local SD</t>
  </si>
  <si>
    <t>Barberton City SD</t>
  </si>
  <si>
    <t>Barnesville Ex Vill SD</t>
  </si>
  <si>
    <t>Batavia Local SD</t>
  </si>
  <si>
    <t>Bath Local SD</t>
  </si>
  <si>
    <t>Bay Village City SD</t>
  </si>
  <si>
    <t>Beachwood City SD</t>
  </si>
  <si>
    <t>Beaver Local SD</t>
  </si>
  <si>
    <t>Beavercreek City SD</t>
  </si>
  <si>
    <t>Bedford City SD</t>
  </si>
  <si>
    <t>Bettsville Local SD</t>
  </si>
  <si>
    <t>Bellbrook-Sugarcreek Local SD</t>
  </si>
  <si>
    <t>Bellefontaine City SD</t>
  </si>
  <si>
    <t>Bellevue City SD</t>
  </si>
  <si>
    <t>Belmont-Harrison JVSD</t>
  </si>
  <si>
    <t>Belpre City SD</t>
  </si>
  <si>
    <t>Benjamin Logan Local SD</t>
  </si>
  <si>
    <t>Benton Carroll Salem Local SD</t>
  </si>
  <si>
    <t>Berea City SD</t>
  </si>
  <si>
    <t>Berkshire Local SD</t>
  </si>
  <si>
    <t>Berne Union Local SD</t>
  </si>
  <si>
    <t>Bethel Local SD</t>
  </si>
  <si>
    <t>Bethel-Tate Local SD</t>
  </si>
  <si>
    <t>Black River Local SD</t>
  </si>
  <si>
    <t>Bexley City SD</t>
  </si>
  <si>
    <t>Big Walnut Local SD</t>
  </si>
  <si>
    <t>Caldwell Ex Vill SD</t>
  </si>
  <si>
    <t>Blanchester Local SD</t>
  </si>
  <si>
    <t>Bloom-Carroll Local SD</t>
  </si>
  <si>
    <t>Bloomfield-Mespo Local SD</t>
  </si>
  <si>
    <t>Bloom-Vernon Local SD</t>
  </si>
  <si>
    <t>Bluffton Ex Vill SD</t>
  </si>
  <si>
    <t>Boardman Local SD</t>
  </si>
  <si>
    <t>Botkins Local SD</t>
  </si>
  <si>
    <t>Bowling Green City SD</t>
  </si>
  <si>
    <t>Bradford Ex Vill SD</t>
  </si>
  <si>
    <t>Brecksville-Broadview Heights City SD</t>
  </si>
  <si>
    <t>Bridgeport Ex Vill SD</t>
  </si>
  <si>
    <t>Bright Local SD</t>
  </si>
  <si>
    <t>Bristol Local SD</t>
  </si>
  <si>
    <t>Canton City SD</t>
  </si>
  <si>
    <t>Brooklyn City SD</t>
  </si>
  <si>
    <t>Brookville Local SD</t>
  </si>
  <si>
    <t>Brown Local SD</t>
  </si>
  <si>
    <t>Brunswick City SD</t>
  </si>
  <si>
    <t>Bryan City SD</t>
  </si>
  <si>
    <t>Buckeye Central Local SD</t>
  </si>
  <si>
    <t>Buckeye JVSD</t>
  </si>
  <si>
    <t>Buckeye Local SD</t>
  </si>
  <si>
    <t>Buckeye Valley Local SD</t>
  </si>
  <si>
    <t>Bucyrus City SD</t>
  </si>
  <si>
    <t>Butler Tech JVSD</t>
  </si>
  <si>
    <t>Clermont Northeastern Local SD</t>
  </si>
  <si>
    <t>Cambridge City SD</t>
  </si>
  <si>
    <t>Campbell City SD</t>
  </si>
  <si>
    <t>Canal Winchester Local SD</t>
  </si>
  <si>
    <t>Canfield Local SD</t>
  </si>
  <si>
    <t>East Knox Local SD</t>
  </si>
  <si>
    <t>Canton Local SD</t>
  </si>
  <si>
    <t>Cardinal Local SD</t>
  </si>
  <si>
    <t>Cardington-Lincoln Local SD</t>
  </si>
  <si>
    <t>Carey Ex Vill SD</t>
  </si>
  <si>
    <t>Carlisle Local SD</t>
  </si>
  <si>
    <t>Carrollton Ex Vill SD</t>
  </si>
  <si>
    <t>Cedar Cliff Local SD</t>
  </si>
  <si>
    <t>Celina City SD</t>
  </si>
  <si>
    <t>Centerburg Local SD</t>
  </si>
  <si>
    <t>Centerville City SD</t>
  </si>
  <si>
    <t>Central Local Local SD</t>
  </si>
  <si>
    <t>Chagrin Falls Ex Vill SD</t>
  </si>
  <si>
    <t>Champion Local SD</t>
  </si>
  <si>
    <t>Chardon Local SD</t>
  </si>
  <si>
    <t>Chesapeake Union Ex Vill SD</t>
  </si>
  <si>
    <t>Chillicothe City SD</t>
  </si>
  <si>
    <t>Chippewa Local SD</t>
  </si>
  <si>
    <t>Cincinnati City SD</t>
  </si>
  <si>
    <t>Circleville City SD</t>
  </si>
  <si>
    <t>Clark-Shawnee Local SD</t>
  </si>
  <si>
    <t>Clay Local SD</t>
  </si>
  <si>
    <t>Claymont City SD</t>
  </si>
  <si>
    <t>Clear Fork Valley Local SD</t>
  </si>
  <si>
    <t>Clearview Local SD</t>
  </si>
  <si>
    <t>Fairborn City SD</t>
  </si>
  <si>
    <t>Cleve. Hts.-Univ. Hts. City SD</t>
  </si>
  <si>
    <t>Cleveland Municipal SD</t>
  </si>
  <si>
    <t>Clinton-Massie Local SD</t>
  </si>
  <si>
    <t>Fairport Harbor Ex Vill SD</t>
  </si>
  <si>
    <t>Clyde-Green Springs Ex Vill SD</t>
  </si>
  <si>
    <t>Coldwater Ex Vill SD</t>
  </si>
  <si>
    <t>College Corner Local SD</t>
  </si>
  <si>
    <t>Colonel Crawford Local SD</t>
  </si>
  <si>
    <t>Columbia Local SD</t>
  </si>
  <si>
    <t>Columbiana County JVSD</t>
  </si>
  <si>
    <t>Columbiana Ex Vill SD</t>
  </si>
  <si>
    <t>Columbus City SD</t>
  </si>
  <si>
    <t>Columbus Grove Local SD</t>
  </si>
  <si>
    <t>Conneaut Area City SD</t>
  </si>
  <si>
    <t>Conotton Valley Union Local SD</t>
  </si>
  <si>
    <t>Continental Local SD</t>
  </si>
  <si>
    <t>Copley-Fairlawn City SD</t>
  </si>
  <si>
    <t>Cory-Rawson Local SD</t>
  </si>
  <si>
    <t>Coshocton City SD</t>
  </si>
  <si>
    <t>Coshocton County JVSD</t>
  </si>
  <si>
    <t>Hillsdale Local SD</t>
  </si>
  <si>
    <t>Covington Ex Vill SD</t>
  </si>
  <si>
    <t>Crestline Ex Vill SD</t>
  </si>
  <si>
    <t>Crestview Local SD</t>
  </si>
  <si>
    <t>Crestwood Local SD</t>
  </si>
  <si>
    <t>Crooksville Ex Vill SD</t>
  </si>
  <si>
    <t>C-Tec JVSD</t>
  </si>
  <si>
    <t>Cuyahoga Falls City SD</t>
  </si>
  <si>
    <t>Cuyahoga Heights Local SD</t>
  </si>
  <si>
    <t>Cuyahoga Valley JVSD</t>
  </si>
  <si>
    <t>Dalton Local SD</t>
  </si>
  <si>
    <t>Danbury Local SD</t>
  </si>
  <si>
    <t>Danville Local SD</t>
  </si>
  <si>
    <t>Dawson-Bryant Local SD</t>
  </si>
  <si>
    <t>Dayton City SD</t>
  </si>
  <si>
    <t>Deer Park Community City SD</t>
  </si>
  <si>
    <t>Defiance City SD</t>
  </si>
  <si>
    <t>Delaware Area Career Center JVSD</t>
  </si>
  <si>
    <t>Delaware City SD</t>
  </si>
  <si>
    <t>Delphos City SD</t>
  </si>
  <si>
    <t>Dover City SD</t>
  </si>
  <si>
    <t>Dublin City SD</t>
  </si>
  <si>
    <t>East Cleveland City SD</t>
  </si>
  <si>
    <t>East Clinton Local SD</t>
  </si>
  <si>
    <t>East Guernsey Local SD</t>
  </si>
  <si>
    <t>East Holmes Local SD</t>
  </si>
  <si>
    <t>Lockland Local SD</t>
  </si>
  <si>
    <t>East Liverpool City SD</t>
  </si>
  <si>
    <t>East Muskingum Local SD</t>
  </si>
  <si>
    <t>East Palestine City SD</t>
  </si>
  <si>
    <t>Eastern Local SD</t>
  </si>
  <si>
    <t>Eastland-Fairfield Career/Tech</t>
  </si>
  <si>
    <t>Eastwood Local SD</t>
  </si>
  <si>
    <t>Eaton Community City SD</t>
  </si>
  <si>
    <t>Edgerton Local SD</t>
  </si>
  <si>
    <t>Edgewood City SD</t>
  </si>
  <si>
    <t>Edison Local SD</t>
  </si>
  <si>
    <t>Edon-Northwest Local SD</t>
  </si>
  <si>
    <t>EHOVE JVSD</t>
  </si>
  <si>
    <t>Elgin Local SD</t>
  </si>
  <si>
    <t>Elida Local SD</t>
  </si>
  <si>
    <t>Elmwood Local SD</t>
  </si>
  <si>
    <t>Elyria City SD</t>
  </si>
  <si>
    <t>Euclid City SD</t>
  </si>
  <si>
    <t>Evergreen Local SD</t>
  </si>
  <si>
    <t>Fairbanks Local SD</t>
  </si>
  <si>
    <t>Lorain City SD</t>
  </si>
  <si>
    <t>Fairfield City SD</t>
  </si>
  <si>
    <t>Fairfield Local SD</t>
  </si>
  <si>
    <t>Fairfield Union Local SD</t>
  </si>
  <si>
    <t>Fairland Local SD</t>
  </si>
  <si>
    <t>Fairlawn Local SD</t>
  </si>
  <si>
    <t>Fairless Local SD</t>
  </si>
  <si>
    <t>North Fork Local SD</t>
  </si>
  <si>
    <t>Fairview Park City SD</t>
  </si>
  <si>
    <t>Fayette Local SD</t>
  </si>
  <si>
    <t>Fayetteville-Perry Local SD</t>
  </si>
  <si>
    <t>Federal Hocking Local SD</t>
  </si>
  <si>
    <t>Felicity-Franklin Local SD</t>
  </si>
  <si>
    <t>Field Local SD</t>
  </si>
  <si>
    <t>Findlay City SD</t>
  </si>
  <si>
    <t>Finneytown Local SD</t>
  </si>
  <si>
    <t>Firelands Local SD</t>
  </si>
  <si>
    <t>Forest Hills Local SD</t>
  </si>
  <si>
    <t>Fort Frye Local SD</t>
  </si>
  <si>
    <t>Fort Loramie Local SD</t>
  </si>
  <si>
    <t>Fort Recovery Local SD</t>
  </si>
  <si>
    <t>Fostoria City SD</t>
  </si>
  <si>
    <t>Four County JVSD</t>
  </si>
  <si>
    <t>Franklin City SD</t>
  </si>
  <si>
    <t>Franklin Local SD</t>
  </si>
  <si>
    <t>Franklin Monroe Local SD</t>
  </si>
  <si>
    <t>Fredericktown Local SD</t>
  </si>
  <si>
    <t>Fremont City SD</t>
  </si>
  <si>
    <t>Frontier Local SD</t>
  </si>
  <si>
    <t>Gahanna-Jefferson City SD</t>
  </si>
  <si>
    <t>Galion City SD</t>
  </si>
  <si>
    <t>Gallia County Local SD</t>
  </si>
  <si>
    <t>Gallia-Jackson-Vinton JVSD</t>
  </si>
  <si>
    <t>Gallipolis City SD</t>
  </si>
  <si>
    <t>Garaway Local SD</t>
  </si>
  <si>
    <t>Garfield Heights City SD</t>
  </si>
  <si>
    <t>Geneva Schools City SD</t>
  </si>
  <si>
    <t>Genoa Area Local SD</t>
  </si>
  <si>
    <t>Georgetown Ex Vill SD</t>
  </si>
  <si>
    <t>Gibsonburg Ex Vill SD</t>
  </si>
  <si>
    <t>Girard City SD</t>
  </si>
  <si>
    <t>Goshen Local SD</t>
  </si>
  <si>
    <t>Graham Local SD</t>
  </si>
  <si>
    <t>Grand Valley Local SD</t>
  </si>
  <si>
    <t>Grandview Heights City SD</t>
  </si>
  <si>
    <t>Granville Ex Vill SD</t>
  </si>
  <si>
    <t>Great Oaks Inst Of Technology</t>
  </si>
  <si>
    <t>Green Local SD</t>
  </si>
  <si>
    <t>Greene County JT Voc SD JVSD</t>
  </si>
  <si>
    <t>Greeneview Local SD</t>
  </si>
  <si>
    <t>Greenfield Ex Vill SD</t>
  </si>
  <si>
    <t>Greenon Local SD</t>
  </si>
  <si>
    <t>Greenville City SD</t>
  </si>
  <si>
    <t>Groveport Madison Local SD</t>
  </si>
  <si>
    <t>Hamilton City SD</t>
  </si>
  <si>
    <t>Hamilton Local Local SD</t>
  </si>
  <si>
    <t>Hardin Northern Local SD</t>
  </si>
  <si>
    <t>Hardin-Houston Local SD</t>
  </si>
  <si>
    <t>Harrison Hills City SD</t>
  </si>
  <si>
    <t>Heath City SD</t>
  </si>
  <si>
    <t>Hicksville Ex Vill SD</t>
  </si>
  <si>
    <t>Highland Local SD</t>
  </si>
  <si>
    <t>Hilliard City SD</t>
  </si>
  <si>
    <t>Hillsboro City SD</t>
  </si>
  <si>
    <t>Northwest Local SD</t>
  </si>
  <si>
    <t>Holgate Local SD</t>
  </si>
  <si>
    <t>Hopewell-Loudon Local SD</t>
  </si>
  <si>
    <t>Howland Local SD</t>
  </si>
  <si>
    <t>Hubbard Ex Vill SD</t>
  </si>
  <si>
    <t>Huber Heights City SD</t>
  </si>
  <si>
    <t>Hudson City SD</t>
  </si>
  <si>
    <t>Huntington Local SD</t>
  </si>
  <si>
    <t>Huron City SD</t>
  </si>
  <si>
    <t>Independence Local SD</t>
  </si>
  <si>
    <t>Indian Creek Local SD</t>
  </si>
  <si>
    <t>Indian Hill Ex Vill SD</t>
  </si>
  <si>
    <t>Indian Lake Local SD</t>
  </si>
  <si>
    <t>Indian Valley Local SD</t>
  </si>
  <si>
    <t>Ironton City SD</t>
  </si>
  <si>
    <t>Jackson Center Local SD</t>
  </si>
  <si>
    <t>Jackson City SD</t>
  </si>
  <si>
    <t>Jackson Local SD</t>
  </si>
  <si>
    <t>Jackson-Milton Local SD</t>
  </si>
  <si>
    <t>James A Garfield Local SD</t>
  </si>
  <si>
    <t>Jefferson Area Local SD</t>
  </si>
  <si>
    <t>Jefferson County JVSD</t>
  </si>
  <si>
    <t>Jefferson Local SD</t>
  </si>
  <si>
    <t>Jefferson Township Local SD</t>
  </si>
  <si>
    <t>Jennings Local SD</t>
  </si>
  <si>
    <t>Johnstown-Monroe Local SD</t>
  </si>
  <si>
    <t>Jonathan Alder Local SD</t>
  </si>
  <si>
    <t>Joseph Badger Local SD</t>
  </si>
  <si>
    <t>Kalida Local SD</t>
  </si>
  <si>
    <t>Kelleys Island Local SD</t>
  </si>
  <si>
    <t>Kenston Local SD</t>
  </si>
  <si>
    <t>Kent City SD</t>
  </si>
  <si>
    <t>Kenton City SD</t>
  </si>
  <si>
    <t>Kettering City SD</t>
  </si>
  <si>
    <t>Keystone Local SD</t>
  </si>
  <si>
    <t>Kings Local SD</t>
  </si>
  <si>
    <t>Kirtland Local SD</t>
  </si>
  <si>
    <t>LaBrae Local SD</t>
  </si>
  <si>
    <t>Lake Local SD</t>
  </si>
  <si>
    <t>Lakeview Local SD</t>
  </si>
  <si>
    <t>Lakewood City SD</t>
  </si>
  <si>
    <t>Lakewood Local Local SD</t>
  </si>
  <si>
    <t>Lakota Local SD</t>
  </si>
  <si>
    <t>Lancaster City SD</t>
  </si>
  <si>
    <t>Lawrence County JVSD</t>
  </si>
  <si>
    <t>Lebanon City SD</t>
  </si>
  <si>
    <t>Shadyside Local SD</t>
  </si>
  <si>
    <t>Leetonia Schools Ex Vill SD</t>
  </si>
  <si>
    <t>Leipsic Local SD</t>
  </si>
  <si>
    <t>Lexington Local SD</t>
  </si>
  <si>
    <t>Liberty Center Local SD</t>
  </si>
  <si>
    <t>Southern Local SD</t>
  </si>
  <si>
    <t>Liberty Union-Thurston Local SD</t>
  </si>
  <si>
    <t>Liberty-Benton Local SD</t>
  </si>
  <si>
    <t>Licking Heights Local SD</t>
  </si>
  <si>
    <t>Licking Valley Local SD</t>
  </si>
  <si>
    <t>Lima City SD</t>
  </si>
  <si>
    <t>Lincolnview Local SD</t>
  </si>
  <si>
    <t>Lisbon Ex Vill SD</t>
  </si>
  <si>
    <t>Little Miami Local SD</t>
  </si>
  <si>
    <t>Switzerland of Ohio Local SD</t>
  </si>
  <si>
    <t>Logan Elm Local SD</t>
  </si>
  <si>
    <t>Logan-Hocking Local SD</t>
  </si>
  <si>
    <t>London City SD</t>
  </si>
  <si>
    <t>Warrensville Heights City SD</t>
  </si>
  <si>
    <t>Lorain County JVSD</t>
  </si>
  <si>
    <t>Lordstown Local SD</t>
  </si>
  <si>
    <t>Loudonville-Perrysville Ex Vill SD</t>
  </si>
  <si>
    <t>Louisville City SD</t>
  </si>
  <si>
    <t>Loveland City SD</t>
  </si>
  <si>
    <t>Lowellville Local SD</t>
  </si>
  <si>
    <t>Lucas Local Local SD</t>
  </si>
  <si>
    <t>Lynchburg-Clay Local SD</t>
  </si>
  <si>
    <t>Mad River Local SD</t>
  </si>
  <si>
    <t>Madeira City SD</t>
  </si>
  <si>
    <t>Madison Local SD</t>
  </si>
  <si>
    <t>Madison-Plains Local SD</t>
  </si>
  <si>
    <t>Mahoning Co Career &amp; Tech Ctr</t>
  </si>
  <si>
    <t>Manchester Local SD</t>
  </si>
  <si>
    <t>West Clermont Local SD</t>
  </si>
  <si>
    <t>Maple Heights City SD</t>
  </si>
  <si>
    <t>Mapleton Local SD</t>
  </si>
  <si>
    <t>Maplewood Career Center JVSD</t>
  </si>
  <si>
    <t>Maplewood Local SD</t>
  </si>
  <si>
    <t>Margaretta Local SD</t>
  </si>
  <si>
    <t>Mariemont City SD</t>
  </si>
  <si>
    <t>Marietta City SD</t>
  </si>
  <si>
    <t>Marion City SD</t>
  </si>
  <si>
    <t>Marion Local SD</t>
  </si>
  <si>
    <t>Marlington Local SD</t>
  </si>
  <si>
    <t>Martins Ferry City SD</t>
  </si>
  <si>
    <t>Marysville Ex Vill SD</t>
  </si>
  <si>
    <t>Mason City City SD</t>
  </si>
  <si>
    <t>Massillon City SD</t>
  </si>
  <si>
    <t>Mathews Local SD</t>
  </si>
  <si>
    <t>Maumee City SD</t>
  </si>
  <si>
    <t>Mayfield City SD</t>
  </si>
  <si>
    <t>Maysville Local SD</t>
  </si>
  <si>
    <t>McComb Local Local SD</t>
  </si>
  <si>
    <t>McDonald Local SD</t>
  </si>
  <si>
    <t>Mechanicsburg Ex Vill SD</t>
  </si>
  <si>
    <t>Medina County JVSD JVSD</t>
  </si>
  <si>
    <t>Meigs Local SD</t>
  </si>
  <si>
    <t>Mentor Ex Vill SD</t>
  </si>
  <si>
    <t>Miami East Local SD</t>
  </si>
  <si>
    <t>Miami Trace Local SD</t>
  </si>
  <si>
    <t>Miami Valley Career Tech JVSD</t>
  </si>
  <si>
    <t>Miamisburg City SD</t>
  </si>
  <si>
    <t>Middletown City SD</t>
  </si>
  <si>
    <t>Mid-East Career &amp; Tech Centers</t>
  </si>
  <si>
    <t>Midview Local SD</t>
  </si>
  <si>
    <t>Milford Ex Vill SD</t>
  </si>
  <si>
    <t>Millcreek-West Unity Local SD</t>
  </si>
  <si>
    <t>Miller City-New Cleveland Local SD</t>
  </si>
  <si>
    <t>Milton-Union Ex Vill SD</t>
  </si>
  <si>
    <t>Minerva Local SD</t>
  </si>
  <si>
    <t>Minford Local SD</t>
  </si>
  <si>
    <t>Minster Local SD</t>
  </si>
  <si>
    <t>Mississinawa Valley Local SD</t>
  </si>
  <si>
    <t>Mogadore Local SD</t>
  </si>
  <si>
    <t>Mohawk Local SD</t>
  </si>
  <si>
    <t>Bellaire Local SD</t>
  </si>
  <si>
    <t>Monroeville Local SD</t>
  </si>
  <si>
    <t>Montpelier Ex Vill SD</t>
  </si>
  <si>
    <t>Morgan Local SD</t>
  </si>
  <si>
    <t>Mount Gilead Schools Ex Vill SD</t>
  </si>
  <si>
    <t>Mount Vernon City SD</t>
  </si>
  <si>
    <t>Mt Healthy City SD</t>
  </si>
  <si>
    <t>Napoleon Area City SD</t>
  </si>
  <si>
    <t>National Trail Local SD</t>
  </si>
  <si>
    <t>Nelsonville-York City SD</t>
  </si>
  <si>
    <t>New Albany-Plain Local SD</t>
  </si>
  <si>
    <t>New Boston Local SD</t>
  </si>
  <si>
    <t>New Bremen Local SD</t>
  </si>
  <si>
    <t>New Knoxville Local SD</t>
  </si>
  <si>
    <t>New Lebanon Local SD</t>
  </si>
  <si>
    <t>New Lexington City SD</t>
  </si>
  <si>
    <t>New London Local SD</t>
  </si>
  <si>
    <t>New Miami Local SD</t>
  </si>
  <si>
    <t>New Philadelphia City SD</t>
  </si>
  <si>
    <t>New Richmond Ex Vill SD</t>
  </si>
  <si>
    <t>New Riegel Local SD</t>
  </si>
  <si>
    <t>Newark City SD</t>
  </si>
  <si>
    <t>Newbury Local SD</t>
  </si>
  <si>
    <t>Newcomerstown Ex Vill SD</t>
  </si>
  <si>
    <t>Newton Falls Ex Vill SD</t>
  </si>
  <si>
    <t>Newton Local SD</t>
  </si>
  <si>
    <t>Brookfield Local SD</t>
  </si>
  <si>
    <t>Noble Local SD</t>
  </si>
  <si>
    <t>Nordonia Hills City SD</t>
  </si>
  <si>
    <t>North Baltimore Local SD</t>
  </si>
  <si>
    <t>North Bass Local SD</t>
  </si>
  <si>
    <t>North Canton City SD</t>
  </si>
  <si>
    <t>North Central Local SD</t>
  </si>
  <si>
    <t>North College Hill City SD</t>
  </si>
  <si>
    <t>Cloverleaf Local SD</t>
  </si>
  <si>
    <t>North Olmsted City SD</t>
  </si>
  <si>
    <t>North Ridgeville City SD</t>
  </si>
  <si>
    <t>North Royalton City SD</t>
  </si>
  <si>
    <t>North Union Local SD</t>
  </si>
  <si>
    <t>Northeastern Local SD</t>
  </si>
  <si>
    <t>Northern Local SD</t>
  </si>
  <si>
    <t>Northmont City SD</t>
  </si>
  <si>
    <t>Northmor Local SD</t>
  </si>
  <si>
    <t>Northridge Local SD</t>
  </si>
  <si>
    <t>Ledgemont Local SD</t>
  </si>
  <si>
    <t>Northwestern Local SD</t>
  </si>
  <si>
    <t>Northwood Local SD</t>
  </si>
  <si>
    <t>Norton City SD</t>
  </si>
  <si>
    <t>Norwalk City SD</t>
  </si>
  <si>
    <t>Norwayne Local SD</t>
  </si>
  <si>
    <t>Norwood City SD</t>
  </si>
  <si>
    <t>Oak Hill Union Local SD</t>
  </si>
  <si>
    <t>Oak Hills Local SD</t>
  </si>
  <si>
    <t>Oakwood City SD</t>
  </si>
  <si>
    <t>Oberlin City SD</t>
  </si>
  <si>
    <t>Ohio Hi-Point JVSD</t>
  </si>
  <si>
    <t>Old Fort Local SD</t>
  </si>
  <si>
    <t>Olentangy Local SD</t>
  </si>
  <si>
    <t>Olmsted Falls City SD</t>
  </si>
  <si>
    <t>Ontario Local SD</t>
  </si>
  <si>
    <t>Orange City SD</t>
  </si>
  <si>
    <t>Oregon City SD</t>
  </si>
  <si>
    <t>Orrville City SD</t>
  </si>
  <si>
    <t>Osnaburg Local SD</t>
  </si>
  <si>
    <t>Otsego Local SD</t>
  </si>
  <si>
    <t>Ottawa Hills Local SD</t>
  </si>
  <si>
    <t>Ottawa-Glandorf Local SD</t>
  </si>
  <si>
    <t>Ottoville Local SD</t>
  </si>
  <si>
    <t>Painesville City Local SD</t>
  </si>
  <si>
    <t>Paint Valley Local SD</t>
  </si>
  <si>
    <t>Pandora-Gilboa Local SD</t>
  </si>
  <si>
    <t>Parkway Local SD</t>
  </si>
  <si>
    <t>Parma City SD</t>
  </si>
  <si>
    <t>Patrick Henry Local SD</t>
  </si>
  <si>
    <t>Paulding Ex Vill SD</t>
  </si>
  <si>
    <t>Penta JVSD</t>
  </si>
  <si>
    <t>Perkins Local SD</t>
  </si>
  <si>
    <t>Perry Local SD</t>
  </si>
  <si>
    <t>Perrysburg Ex Vill SD</t>
  </si>
  <si>
    <t>Pettisville School Local SD</t>
  </si>
  <si>
    <t>Pickaway-Ross JVSD JVSD</t>
  </si>
  <si>
    <t>Pickerington Local SD</t>
  </si>
  <si>
    <t>Pike County Area JVSD</t>
  </si>
  <si>
    <t>Pike-Delta-York Local SD</t>
  </si>
  <si>
    <t>Pioneer Career &amp; Technology JVSD</t>
  </si>
  <si>
    <t>Piqua City SD</t>
  </si>
  <si>
    <t>Plain Local SD</t>
  </si>
  <si>
    <t>Pleasant Local SD</t>
  </si>
  <si>
    <t>Plymouth-Shiloh Local SD</t>
  </si>
  <si>
    <t>Poland Local SD</t>
  </si>
  <si>
    <t>Polaris JVSD</t>
  </si>
  <si>
    <t>Port Clinton City SD</t>
  </si>
  <si>
    <t>Portage Lakes JVSD</t>
  </si>
  <si>
    <t>Portsmouth City SD</t>
  </si>
  <si>
    <t>Preble Shawnee Local SD</t>
  </si>
  <si>
    <t>Princeton City SD</t>
  </si>
  <si>
    <t>Put-In-Bay Local SD</t>
  </si>
  <si>
    <t>Pymatuning Valley Local SD</t>
  </si>
  <si>
    <t>Ravenna City SD</t>
  </si>
  <si>
    <t>Reading Community City SD</t>
  </si>
  <si>
    <t>Revere Local SD</t>
  </si>
  <si>
    <t>Reynoldsburg City SD</t>
  </si>
  <si>
    <t>Ridgedale Local SD</t>
  </si>
  <si>
    <t>Ridgemont Local SD</t>
  </si>
  <si>
    <t>Ridgewood Local SD</t>
  </si>
  <si>
    <t>Ripley-Union-Lewis-Huntington Local SD</t>
  </si>
  <si>
    <t>Rittman Ex Vill SD</t>
  </si>
  <si>
    <t>River Valley Local SD</t>
  </si>
  <si>
    <t>River View Local SD</t>
  </si>
  <si>
    <t>Riverdale Local SD</t>
  </si>
  <si>
    <t>Riverside Local SD</t>
  </si>
  <si>
    <t>Rock Hill Local SD</t>
  </si>
  <si>
    <t>Rocky River City SD</t>
  </si>
  <si>
    <t>Rolling Hills Local SD</t>
  </si>
  <si>
    <t>Rootstown Local SD</t>
  </si>
  <si>
    <t>Ross Local SD</t>
  </si>
  <si>
    <t>Rossford Ex Vill SD</t>
  </si>
  <si>
    <t>Russia Local SD</t>
  </si>
  <si>
    <t>Salem City SD</t>
  </si>
  <si>
    <t>Sandusky City SD</t>
  </si>
  <si>
    <t>Sandy Valley Local SD</t>
  </si>
  <si>
    <t>Scioto County CTC JVSD</t>
  </si>
  <si>
    <t>Scioto Valley Local SD</t>
  </si>
  <si>
    <t>Sebring Local SD</t>
  </si>
  <si>
    <t>Seneca East Local SD</t>
  </si>
  <si>
    <t>Liberty Local SD</t>
  </si>
  <si>
    <t>Shaker Heights City SD</t>
  </si>
  <si>
    <t>Shawnee Local SD</t>
  </si>
  <si>
    <t>Sheffield-Sheffield Lake City SD</t>
  </si>
  <si>
    <t>Shelby City SD</t>
  </si>
  <si>
    <t>Sidney City SD</t>
  </si>
  <si>
    <t>Solon City SD</t>
  </si>
  <si>
    <t>South Central Local SD</t>
  </si>
  <si>
    <t>South Euclid-Lyndhurst City SD</t>
  </si>
  <si>
    <t>South Point Local SD</t>
  </si>
  <si>
    <t>South Range Local SD</t>
  </si>
  <si>
    <t>Southeast Local SD</t>
  </si>
  <si>
    <t>Southeastern Local SD</t>
  </si>
  <si>
    <t>Southern Hills JVSD</t>
  </si>
  <si>
    <t>Mansfield City SD</t>
  </si>
  <si>
    <t>Southington Local SD</t>
  </si>
  <si>
    <t>Southwest Licking Local SD</t>
  </si>
  <si>
    <t>Southwest Local SD</t>
  </si>
  <si>
    <t>South-Western City SD</t>
  </si>
  <si>
    <t>Spencerville Local SD</t>
  </si>
  <si>
    <t>Springboro Community City SD</t>
  </si>
  <si>
    <t>Springfield City SD</t>
  </si>
  <si>
    <t>Springfield Local SD</t>
  </si>
  <si>
    <t>Springfield-Clark County JVSD</t>
  </si>
  <si>
    <t>St Bernard-Elmwood Place City</t>
  </si>
  <si>
    <t>St Clairsville-Richland City SD</t>
  </si>
  <si>
    <t>St Henry Consolidated Local SD</t>
  </si>
  <si>
    <t>St Marys City SD</t>
  </si>
  <si>
    <t>Stark County Area JVSD</t>
  </si>
  <si>
    <t>Steubenville City SD</t>
  </si>
  <si>
    <t>Stow-Munroe Falls City SD</t>
  </si>
  <si>
    <t>Strasburg-Franklin Local SD</t>
  </si>
  <si>
    <t>Streetsboro City SD</t>
  </si>
  <si>
    <t>Strongsville City SD</t>
  </si>
  <si>
    <t>Struthers City SD</t>
  </si>
  <si>
    <t>Stryker Local SD</t>
  </si>
  <si>
    <t>Swanton Local SD</t>
  </si>
  <si>
    <t>Monroe Local SD</t>
  </si>
  <si>
    <t>Sycamore Community City SD</t>
  </si>
  <si>
    <t>Sylvania City SD</t>
  </si>
  <si>
    <t>Symmes Valley Local SD</t>
  </si>
  <si>
    <t>Talawanda City SD</t>
  </si>
  <si>
    <t>Tallmadge City SD</t>
  </si>
  <si>
    <t>Teays Valley Local SD</t>
  </si>
  <si>
    <t>Tecumseh Local SD</t>
  </si>
  <si>
    <t>Three Rivers Local SD</t>
  </si>
  <si>
    <t>Tiffin City SD</t>
  </si>
  <si>
    <t>Tipp City Ex Vill SD</t>
  </si>
  <si>
    <t>Toledo City SD</t>
  </si>
  <si>
    <t>Tolles JVSD</t>
  </si>
  <si>
    <t>Toronto City SD</t>
  </si>
  <si>
    <t>Triad Local SD</t>
  </si>
  <si>
    <t>Tri-County Career Center JVSD</t>
  </si>
  <si>
    <t>Tri-County North Local SD</t>
  </si>
  <si>
    <t>Trimble Local SD</t>
  </si>
  <si>
    <t>Tri-Rivers JVSD</t>
  </si>
  <si>
    <t>Tri-Valley Local SD</t>
  </si>
  <si>
    <t>Tri-Village Local SD</t>
  </si>
  <si>
    <t>Triway Local SD</t>
  </si>
  <si>
    <t>Trotwood-Madison City SD</t>
  </si>
  <si>
    <t>Troy City SD</t>
  </si>
  <si>
    <t>Trumbull Career &amp; Tech Ctr JVSD</t>
  </si>
  <si>
    <t>Tuscarawas Valley Local SD</t>
  </si>
  <si>
    <t>Tuslaw Local SD</t>
  </si>
  <si>
    <t>Twin Valley Community Local SD</t>
  </si>
  <si>
    <t>Twinsburg City SD</t>
  </si>
  <si>
    <t>U S Grant JVSD</t>
  </si>
  <si>
    <t>Union Local SD</t>
  </si>
  <si>
    <t>Union-Scioto Local SD</t>
  </si>
  <si>
    <t>United Local SD</t>
  </si>
  <si>
    <t>Upper Arlington City SD</t>
  </si>
  <si>
    <t>Upper Sandusky Ex Vill SD</t>
  </si>
  <si>
    <t>Upper Scioto Valley Local SD</t>
  </si>
  <si>
    <t>Upper Valley JVSD</t>
  </si>
  <si>
    <t>Urbana City SD</t>
  </si>
  <si>
    <t>Valley Local SD</t>
  </si>
  <si>
    <t>Valley View Local Local SD</t>
  </si>
  <si>
    <t>Van Buren Local SD</t>
  </si>
  <si>
    <t>Van Wert City SD</t>
  </si>
  <si>
    <t>Vandalia-Butler City SD</t>
  </si>
  <si>
    <t>Vanguard-Sentinel JVSD</t>
  </si>
  <si>
    <t>Vanlue Local SD</t>
  </si>
  <si>
    <t>Vantage JVSD</t>
  </si>
  <si>
    <t>Vermilion Local SD</t>
  </si>
  <si>
    <t>Versailles Ex Vill SD</t>
  </si>
  <si>
    <t>Vinton County Local SD</t>
  </si>
  <si>
    <t>Wadsworth City SD</t>
  </si>
  <si>
    <t>Walnut Township Local SD</t>
  </si>
  <si>
    <t>Wapakoneta City SD</t>
  </si>
  <si>
    <t>Warren City SD</t>
  </si>
  <si>
    <t>Warren County JVSD</t>
  </si>
  <si>
    <t>Warren Local SD</t>
  </si>
  <si>
    <t>Coventry Local SD</t>
  </si>
  <si>
    <t>Washington County JVSD</t>
  </si>
  <si>
    <t>Washington Court House City SD</t>
  </si>
  <si>
    <t>Washington Local SD</t>
  </si>
  <si>
    <t>Washington-Nile Local SD</t>
  </si>
  <si>
    <t>Waterloo Local SD</t>
  </si>
  <si>
    <t>Wauseon Ex Vill SD</t>
  </si>
  <si>
    <t>Waverly City SD</t>
  </si>
  <si>
    <t>Wayne Local SD</t>
  </si>
  <si>
    <t>Wayne Trace Local SD</t>
  </si>
  <si>
    <t>Waynesfield-Goshen Local SD</t>
  </si>
  <si>
    <t>Weathersfield Local SD</t>
  </si>
  <si>
    <t>Wellington Ex Vill SD</t>
  </si>
  <si>
    <t>Wellston City SD</t>
  </si>
  <si>
    <t>Wellsville Local SD</t>
  </si>
  <si>
    <t>West Branch Local SD</t>
  </si>
  <si>
    <t>West Carrollton City SD</t>
  </si>
  <si>
    <t>Niles City SD</t>
  </si>
  <si>
    <t>West Geauga Local SD</t>
  </si>
  <si>
    <t>West Holmes Local SD</t>
  </si>
  <si>
    <t>West Liberty-Salem Local SD</t>
  </si>
  <si>
    <t>West Muskingum Local SD</t>
  </si>
  <si>
    <t>Western Brown Local SD</t>
  </si>
  <si>
    <t>Western Local SD</t>
  </si>
  <si>
    <t>Western Reserve Local SD</t>
  </si>
  <si>
    <t>Westerville City SD</t>
  </si>
  <si>
    <t>Westfall Local SD</t>
  </si>
  <si>
    <t>Westlake City SD</t>
  </si>
  <si>
    <t>Wheelersburg Local SD</t>
  </si>
  <si>
    <t>Whitehall City SD</t>
  </si>
  <si>
    <t>Wickliffe City SD</t>
  </si>
  <si>
    <t>Willard City SD</t>
  </si>
  <si>
    <t>Williamsburg Local SD</t>
  </si>
  <si>
    <t>Willoughby-Eastlake City SD</t>
  </si>
  <si>
    <t>Wilmington City SD</t>
  </si>
  <si>
    <t>Windham Ex Vill SD</t>
  </si>
  <si>
    <t>Winton Woods City SD</t>
  </si>
  <si>
    <t>Wolf Creek Local SD</t>
  </si>
  <si>
    <t>Woodmore Local SD</t>
  </si>
  <si>
    <t>Woodridge Local SD</t>
  </si>
  <si>
    <t>Wooster City SD</t>
  </si>
  <si>
    <t>Worthington City SD</t>
  </si>
  <si>
    <t>Wynford Local SD</t>
  </si>
  <si>
    <t>Wyoming City SD</t>
  </si>
  <si>
    <t>Xenia Community City SD</t>
  </si>
  <si>
    <t>Yellow Springs Ex Vill SD</t>
  </si>
  <si>
    <t>Youngstown City SD</t>
  </si>
  <si>
    <t>Zane Trace Local SD</t>
  </si>
  <si>
    <t>Zanesville City SD</t>
  </si>
  <si>
    <t xml:space="preserve">APPLICANT:  </t>
  </si>
  <si>
    <r>
      <t>IRN</t>
    </r>
    <r>
      <rPr>
        <i/>
        <sz val="10"/>
        <rFont val="Arial"/>
        <family val="2"/>
      </rPr>
      <t xml:space="preserve"> (if applicable)</t>
    </r>
    <r>
      <rPr>
        <b/>
        <sz val="11"/>
        <rFont val="Arial"/>
        <family val="2"/>
      </rPr>
      <t>:</t>
    </r>
  </si>
  <si>
    <r>
      <t>IRN</t>
    </r>
    <r>
      <rPr>
        <i/>
        <sz val="10"/>
        <rFont val="Arial"/>
        <family val="2"/>
      </rPr>
      <t xml:space="preserve"> (6 digits)</t>
    </r>
    <r>
      <rPr>
        <b/>
        <sz val="11"/>
        <rFont val="Arial"/>
        <family val="2"/>
      </rPr>
      <t xml:space="preserve">:   </t>
    </r>
  </si>
  <si>
    <t>Directions for completing the 
Straight A Grant Financial Impact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</si>
</sst>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3" formatCode="_(* #,##0.00_);_(* \(#,##0.00\);_(* &quot;-&quot;??_);_(@_)"/>
    <numFmt numFmtId="164" formatCode="0_);[Red]\(0\)"/>
    <numFmt numFmtId="165" formatCode="_(* #,##0_);_(* \(#,##0\);_(* &quot;-&quot;??_);_(@_)"/>
  </numFmts>
  <fonts count="20" x14ac:knownFonts="1">
    <font>
      <sz val="10"/>
      <name val="Arial"/>
    </font>
    <font>
      <sz val="11"/>
      <name val="Arial"/>
      <family val="2"/>
    </font>
    <font>
      <sz val="10"/>
      <name val="Arial"/>
      <family val="2"/>
    </font>
    <font>
      <b/>
      <sz val="10"/>
      <name val="Arial"/>
      <family val="2"/>
    </font>
    <font>
      <i/>
      <sz val="10"/>
      <name val="Arial"/>
      <family val="2"/>
    </font>
    <font>
      <b/>
      <sz val="10"/>
      <color indexed="9"/>
      <name val="Arial"/>
      <family val="2"/>
    </font>
    <font>
      <b/>
      <sz val="11"/>
      <name val="Arial"/>
      <family val="2"/>
    </font>
    <font>
      <sz val="9"/>
      <name val="Arial"/>
      <family val="2"/>
    </font>
    <font>
      <b/>
      <sz val="9"/>
      <name val="Arial"/>
      <family val="2"/>
    </font>
    <font>
      <i/>
      <sz val="10"/>
      <color theme="1" tint="0.499984740745262"/>
      <name val="Arial"/>
      <family val="2"/>
    </font>
    <font>
      <b/>
      <sz val="10"/>
      <color rgb="FFFFFFFF"/>
      <name val="Arial"/>
      <family val="2"/>
    </font>
    <font>
      <b/>
      <sz val="12"/>
      <name val="Arial"/>
      <family val="2"/>
    </font>
    <font>
      <i/>
      <sz val="11"/>
      <color theme="1" tint="0.499984740745262"/>
      <name val="Arial"/>
      <family val="2"/>
    </font>
    <font>
      <b/>
      <i/>
      <sz val="11"/>
      <color theme="1" tint="0.499984740745262"/>
      <name val="Arial"/>
      <family val="2"/>
    </font>
    <font>
      <b/>
      <sz val="10"/>
      <color theme="0"/>
      <name val="Arial"/>
      <family val="2"/>
    </font>
    <font>
      <b/>
      <sz val="14"/>
      <name val="Arial"/>
      <family val="2"/>
    </font>
    <font>
      <b/>
      <sz val="12"/>
      <color indexed="9"/>
      <name val="Arial"/>
      <family val="2"/>
    </font>
    <font>
      <b/>
      <sz val="12"/>
      <color rgb="FFFFFFFF"/>
      <name val="Arial"/>
      <family val="2"/>
    </font>
    <font>
      <sz val="12"/>
      <name val="Arial"/>
      <family val="2"/>
    </font>
    <font>
      <sz val="10"/>
      <name val="Arial"/>
      <family val="2"/>
    </font>
  </fonts>
  <fills count="9">
    <fill>
      <patternFill patternType="none"/>
    </fill>
    <fill>
      <patternFill patternType="gray125"/>
    </fill>
    <fill>
      <patternFill patternType="solid">
        <fgColor indexed="8"/>
        <bgColor indexed="64"/>
      </patternFill>
    </fill>
    <fill>
      <patternFill patternType="solid">
        <fgColor theme="0" tint="-0.14999847407452621"/>
        <bgColor indexed="64"/>
      </patternFill>
    </fill>
    <fill>
      <patternFill patternType="solid">
        <fgColor rgb="FF000000"/>
        <bgColor rgb="FF000000"/>
      </patternFill>
    </fill>
    <fill>
      <patternFill patternType="solid">
        <fgColor theme="1" tint="4.9989318521683403E-2"/>
        <bgColor indexed="64"/>
      </patternFill>
    </fill>
    <fill>
      <patternFill patternType="solid">
        <fgColor theme="0"/>
        <bgColor indexed="64"/>
      </patternFill>
    </fill>
    <fill>
      <patternFill patternType="solid">
        <fgColor theme="3"/>
        <bgColor indexed="64"/>
      </patternFill>
    </fill>
    <fill>
      <patternFill patternType="solid">
        <fgColor theme="4" tint="-0.49998474074526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thin">
        <color auto="1"/>
      </left>
      <right style="medium">
        <color indexed="64"/>
      </right>
      <top/>
      <bottom style="thin">
        <color indexed="64"/>
      </bottom>
      <diagonal/>
    </border>
  </borders>
  <cellStyleXfs count="2">
    <xf numFmtId="0" fontId="0" fillId="0" borderId="0"/>
    <xf numFmtId="43" fontId="19" fillId="0" borderId="0" applyFont="0" applyFill="0" applyBorder="0" applyAlignment="0" applyProtection="0"/>
  </cellStyleXfs>
  <cellXfs count="89">
    <xf numFmtId="0" fontId="0" fillId="0" borderId="0" xfId="0"/>
    <xf numFmtId="0" fontId="3" fillId="0" borderId="0" xfId="0" applyFont="1" applyAlignment="1">
      <alignment horizontal="center"/>
    </xf>
    <xf numFmtId="0" fontId="5" fillId="2" borderId="6" xfId="0" applyNumberFormat="1" applyFont="1" applyFill="1" applyBorder="1" applyAlignment="1" applyProtection="1">
      <alignment horizontal="center"/>
    </xf>
    <xf numFmtId="42" fontId="2" fillId="0" borderId="4" xfId="0" applyNumberFormat="1" applyFont="1" applyBorder="1" applyAlignment="1" applyProtection="1">
      <alignment horizontal="left"/>
      <protection locked="0"/>
    </xf>
    <xf numFmtId="0" fontId="11" fillId="0" borderId="2" xfId="0" applyFont="1" applyFill="1" applyBorder="1" applyAlignment="1" applyProtection="1">
      <alignment horizontal="left" vertical="center"/>
      <protection locked="0"/>
    </xf>
    <xf numFmtId="49" fontId="1" fillId="0" borderId="2" xfId="0" applyNumberFormat="1" applyFont="1" applyBorder="1" applyAlignment="1" applyProtection="1">
      <alignment vertical="center" wrapText="1"/>
      <protection locked="0"/>
    </xf>
    <xf numFmtId="0" fontId="6" fillId="0" borderId="2" xfId="0" applyFont="1" applyFill="1" applyBorder="1" applyAlignment="1" applyProtection="1">
      <alignment horizontal="left" vertical="center" wrapText="1"/>
      <protection locked="0"/>
    </xf>
    <xf numFmtId="0" fontId="1" fillId="0" borderId="2" xfId="0" applyFont="1" applyFill="1" applyBorder="1" applyAlignment="1" applyProtection="1">
      <protection locked="0"/>
    </xf>
    <xf numFmtId="0" fontId="3" fillId="3" borderId="0" xfId="0" applyFont="1" applyFill="1" applyBorder="1" applyAlignment="1" applyProtection="1">
      <alignment horizontal="right"/>
      <protection locked="0"/>
    </xf>
    <xf numFmtId="0" fontId="1" fillId="0" borderId="0" xfId="0" applyFont="1" applyBorder="1" applyProtection="1">
      <protection locked="0"/>
    </xf>
    <xf numFmtId="49" fontId="1" fillId="0" borderId="0" xfId="0" applyNumberFormat="1" applyFont="1" applyBorder="1" applyAlignment="1" applyProtection="1">
      <alignment vertical="center"/>
      <protection locked="0"/>
    </xf>
    <xf numFmtId="49" fontId="1" fillId="0" borderId="0" xfId="0" applyNumberFormat="1" applyFont="1" applyFill="1" applyBorder="1" applyAlignment="1" applyProtection="1">
      <alignment horizontal="left" vertical="center"/>
      <protection locked="0"/>
    </xf>
    <xf numFmtId="0" fontId="1" fillId="0" borderId="0" xfId="0" applyFont="1" applyFill="1" applyBorder="1" applyAlignment="1" applyProtection="1">
      <protection locked="0"/>
    </xf>
    <xf numFmtId="49" fontId="6" fillId="3" borderId="0" xfId="0" applyNumberFormat="1" applyFont="1" applyFill="1" applyBorder="1" applyAlignment="1" applyProtection="1">
      <alignment horizontal="right"/>
      <protection locked="0"/>
    </xf>
    <xf numFmtId="0" fontId="0" fillId="0" borderId="0" xfId="0" applyProtection="1">
      <protection locked="0"/>
    </xf>
    <xf numFmtId="0" fontId="0" fillId="0" borderId="0" xfId="0" applyAlignment="1" applyProtection="1">
      <alignment vertical="top"/>
      <protection locked="0"/>
    </xf>
    <xf numFmtId="0" fontId="14" fillId="5" borderId="5" xfId="0" applyNumberFormat="1" applyFont="1" applyFill="1" applyBorder="1" applyAlignment="1" applyProtection="1">
      <alignment horizontal="center" vertical="top" wrapText="1"/>
    </xf>
    <xf numFmtId="0" fontId="3" fillId="5" borderId="5" xfId="0" applyNumberFormat="1" applyFont="1" applyFill="1" applyBorder="1" applyAlignment="1" applyProtection="1">
      <alignment vertical="top" wrapText="1"/>
    </xf>
    <xf numFmtId="0" fontId="10" fillId="4" borderId="6" xfId="0" applyNumberFormat="1" applyFont="1" applyFill="1" applyBorder="1" applyAlignment="1" applyProtection="1">
      <alignment horizontal="center"/>
    </xf>
    <xf numFmtId="0" fontId="10" fillId="4" borderId="2" xfId="0" applyNumberFormat="1" applyFont="1" applyFill="1" applyBorder="1" applyAlignment="1" applyProtection="1">
      <alignment horizontal="center"/>
    </xf>
    <xf numFmtId="0" fontId="0" fillId="0" borderId="0" xfId="0" applyNumberFormat="1" applyProtection="1"/>
    <xf numFmtId="0" fontId="7" fillId="3" borderId="6" xfId="0" applyFont="1" applyFill="1" applyBorder="1" applyAlignment="1" applyProtection="1">
      <alignment horizontal="center" vertical="center" wrapText="1"/>
    </xf>
    <xf numFmtId="0" fontId="7" fillId="3" borderId="2" xfId="0" applyFont="1" applyFill="1" applyBorder="1" applyAlignment="1" applyProtection="1">
      <alignment horizontal="center" vertical="center" wrapText="1"/>
    </xf>
    <xf numFmtId="0" fontId="0" fillId="0" borderId="0" xfId="0" applyBorder="1" applyProtection="1"/>
    <xf numFmtId="0" fontId="0" fillId="0" borderId="0" xfId="0" applyProtection="1"/>
    <xf numFmtId="49" fontId="2" fillId="3" borderId="7" xfId="0" applyNumberFormat="1" applyFont="1" applyFill="1" applyBorder="1" applyAlignment="1" applyProtection="1">
      <alignment horizontal="center" vertical="center"/>
    </xf>
    <xf numFmtId="0" fontId="2" fillId="3" borderId="4" xfId="0" applyFont="1" applyFill="1" applyBorder="1" applyAlignment="1" applyProtection="1">
      <alignment horizontal="left" vertical="center"/>
    </xf>
    <xf numFmtId="42" fontId="2" fillId="3" borderId="4" xfId="0" applyNumberFormat="1" applyFont="1" applyFill="1" applyBorder="1" applyAlignment="1" applyProtection="1">
      <alignment horizontal="left"/>
    </xf>
    <xf numFmtId="164" fontId="10" fillId="4" borderId="4" xfId="0" applyNumberFormat="1" applyFont="1" applyFill="1" applyBorder="1" applyAlignment="1" applyProtection="1">
      <alignment horizontal="center"/>
    </xf>
    <xf numFmtId="0" fontId="15" fillId="0" borderId="0" xfId="0" applyFont="1"/>
    <xf numFmtId="0" fontId="2" fillId="0" borderId="0" xfId="0" applyFont="1"/>
    <xf numFmtId="0" fontId="2" fillId="0" borderId="0" xfId="0" applyFont="1" applyAlignment="1">
      <alignment wrapText="1"/>
    </xf>
    <xf numFmtId="0" fontId="15"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pplyProtection="1">
      <alignment wrapText="1"/>
    </xf>
    <xf numFmtId="49" fontId="1" fillId="0" borderId="2" xfId="0" applyNumberFormat="1" applyFont="1" applyBorder="1" applyAlignment="1" applyProtection="1">
      <alignment horizontal="right" vertical="center" wrapText="1"/>
      <protection locked="0"/>
    </xf>
    <xf numFmtId="49" fontId="1" fillId="0" borderId="0" xfId="0" applyNumberFormat="1" applyFont="1" applyBorder="1" applyAlignment="1" applyProtection="1">
      <alignment horizontal="right" vertical="center"/>
      <protection locked="0"/>
    </xf>
    <xf numFmtId="0" fontId="10" fillId="4" borderId="2" xfId="0" applyNumberFormat="1" applyFont="1" applyFill="1" applyBorder="1" applyAlignment="1" applyProtection="1">
      <alignment horizontal="center" vertical="top"/>
    </xf>
    <xf numFmtId="0" fontId="7" fillId="3" borderId="2" xfId="0" applyFont="1" applyFill="1" applyBorder="1" applyAlignment="1" applyProtection="1">
      <alignment horizontal="center" vertical="top" wrapText="1"/>
    </xf>
    <xf numFmtId="42" fontId="3" fillId="3" borderId="4" xfId="0" applyNumberFormat="1" applyFont="1" applyFill="1" applyBorder="1" applyAlignment="1" applyProtection="1">
      <alignment horizontal="left"/>
    </xf>
    <xf numFmtId="0" fontId="0" fillId="0" borderId="0" xfId="0" applyAlignment="1" applyProtection="1">
      <alignment horizontal="right"/>
      <protection locked="0"/>
    </xf>
    <xf numFmtId="0" fontId="0" fillId="0" borderId="0" xfId="0" applyAlignment="1" applyProtection="1">
      <alignment horizontal="center" vertical="top"/>
      <protection locked="0"/>
    </xf>
    <xf numFmtId="0" fontId="6" fillId="6" borderId="4" xfId="0" applyFont="1" applyFill="1" applyBorder="1" applyAlignment="1" applyProtection="1">
      <alignment vertical="center" wrapText="1"/>
    </xf>
    <xf numFmtId="0" fontId="6" fillId="6" borderId="8" xfId="0" applyFont="1" applyFill="1" applyBorder="1" applyAlignment="1" applyProtection="1">
      <alignment horizontal="left" vertical="center" wrapText="1"/>
    </xf>
    <xf numFmtId="0" fontId="3" fillId="0" borderId="0" xfId="0" applyFont="1" applyAlignment="1" applyProtection="1">
      <alignment wrapText="1"/>
    </xf>
    <xf numFmtId="0" fontId="2" fillId="7" borderId="0" xfId="0" applyFont="1" applyFill="1" applyAlignment="1" applyProtection="1">
      <alignment wrapText="1"/>
    </xf>
    <xf numFmtId="0" fontId="0" fillId="7" borderId="0" xfId="0" applyFill="1" applyAlignment="1">
      <alignment wrapText="1"/>
    </xf>
    <xf numFmtId="0" fontId="2" fillId="8" borderId="0" xfId="0" applyFont="1" applyFill="1" applyAlignment="1">
      <alignment wrapText="1"/>
    </xf>
    <xf numFmtId="164" fontId="10" fillId="4" borderId="10" xfId="0" applyNumberFormat="1" applyFont="1" applyFill="1" applyBorder="1" applyAlignment="1" applyProtection="1">
      <alignment horizontal="center"/>
    </xf>
    <xf numFmtId="42" fontId="2" fillId="0" borderId="10" xfId="0" applyNumberFormat="1" applyFont="1" applyBorder="1" applyAlignment="1" applyProtection="1">
      <alignment horizontal="left"/>
      <protection locked="0"/>
    </xf>
    <xf numFmtId="0" fontId="1" fillId="0" borderId="9" xfId="0" applyFont="1" applyFill="1" applyBorder="1" applyAlignment="1" applyProtection="1">
      <protection locked="0"/>
    </xf>
    <xf numFmtId="0" fontId="1" fillId="0" borderId="11" xfId="0" applyFont="1" applyFill="1" applyBorder="1" applyAlignment="1" applyProtection="1">
      <protection locked="0"/>
    </xf>
    <xf numFmtId="0" fontId="10" fillId="4" borderId="12" xfId="0" applyNumberFormat="1" applyFont="1" applyFill="1" applyBorder="1" applyAlignment="1" applyProtection="1">
      <alignment horizontal="center"/>
    </xf>
    <xf numFmtId="0" fontId="3" fillId="3" borderId="4" xfId="0" applyFont="1" applyFill="1" applyBorder="1" applyAlignment="1" applyProtection="1">
      <alignment horizontal="left" vertical="center"/>
    </xf>
    <xf numFmtId="49" fontId="2" fillId="3" borderId="2" xfId="0" applyNumberFormat="1" applyFont="1" applyFill="1" applyBorder="1" applyAlignment="1" applyProtection="1">
      <alignment horizontal="center" vertical="center"/>
    </xf>
    <xf numFmtId="49" fontId="6" fillId="3" borderId="7" xfId="0" applyNumberFormat="1" applyFont="1" applyFill="1" applyBorder="1" applyAlignment="1" applyProtection="1">
      <alignment horizontal="center" vertical="center"/>
    </xf>
    <xf numFmtId="0" fontId="2" fillId="0" borderId="0" xfId="0" applyFont="1" applyAlignment="1" applyProtection="1">
      <alignment vertical="top"/>
      <protection locked="0"/>
    </xf>
    <xf numFmtId="164" fontId="17" fillId="4" borderId="4" xfId="0" applyNumberFormat="1" applyFont="1" applyFill="1" applyBorder="1" applyAlignment="1" applyProtection="1">
      <alignment horizontal="center"/>
    </xf>
    <xf numFmtId="164" fontId="17" fillId="4" borderId="10" xfId="0" applyNumberFormat="1" applyFont="1" applyFill="1" applyBorder="1" applyAlignment="1" applyProtection="1">
      <alignment horizontal="center"/>
    </xf>
    <xf numFmtId="0" fontId="18" fillId="0" borderId="0" xfId="0" applyFont="1" applyProtection="1"/>
    <xf numFmtId="0" fontId="6" fillId="3" borderId="4" xfId="0" applyFont="1" applyFill="1" applyBorder="1" applyAlignment="1" applyProtection="1">
      <alignment vertical="center" wrapText="1"/>
    </xf>
    <xf numFmtId="42" fontId="6" fillId="3" borderId="4" xfId="0" applyNumberFormat="1" applyFont="1" applyFill="1" applyBorder="1" applyAlignment="1" applyProtection="1">
      <alignment horizontal="left" vertical="center"/>
    </xf>
    <xf numFmtId="0" fontId="1" fillId="0" borderId="2" xfId="0" applyNumberFormat="1" applyFont="1" applyFill="1" applyBorder="1" applyAlignment="1" applyProtection="1">
      <alignment horizontal="left" vertical="center" wrapText="1"/>
    </xf>
    <xf numFmtId="0" fontId="6" fillId="0" borderId="0" xfId="0" applyFont="1" applyAlignment="1" applyProtection="1">
      <alignment vertical="center"/>
    </xf>
    <xf numFmtId="42" fontId="2" fillId="0" borderId="4" xfId="0" applyNumberFormat="1" applyFont="1" applyFill="1" applyBorder="1" applyAlignment="1" applyProtection="1">
      <alignment horizontal="right"/>
      <protection locked="0"/>
    </xf>
    <xf numFmtId="42" fontId="2" fillId="0" borderId="4" xfId="0" applyNumberFormat="1" applyFont="1" applyFill="1" applyBorder="1" applyAlignment="1" applyProtection="1">
      <alignment horizontal="left"/>
      <protection locked="0"/>
    </xf>
    <xf numFmtId="0" fontId="10" fillId="0" borderId="2" xfId="0" applyNumberFormat="1" applyFont="1" applyFill="1" applyBorder="1" applyAlignment="1" applyProtection="1">
      <alignment horizontal="center"/>
    </xf>
    <xf numFmtId="0" fontId="1" fillId="0" borderId="2" xfId="0" applyNumberFormat="1" applyFont="1" applyFill="1" applyBorder="1" applyAlignment="1" applyProtection="1">
      <alignment horizontal="left" vertical="top" wrapText="1"/>
      <protection locked="0"/>
    </xf>
    <xf numFmtId="0" fontId="17" fillId="0" borderId="2" xfId="0" applyNumberFormat="1" applyFont="1" applyFill="1" applyBorder="1" applyAlignment="1" applyProtection="1">
      <alignment horizontal="center"/>
    </xf>
    <xf numFmtId="0" fontId="0" fillId="0" borderId="0" xfId="0" applyFill="1" applyProtection="1"/>
    <xf numFmtId="0" fontId="1" fillId="0" borderId="2" xfId="0" applyNumberFormat="1" applyFont="1" applyFill="1" applyBorder="1" applyAlignment="1" applyProtection="1">
      <alignment horizontal="center" vertical="top" wrapText="1"/>
      <protection locked="0"/>
    </xf>
    <xf numFmtId="165" fontId="0" fillId="0" borderId="0" xfId="1" applyNumberFormat="1" applyFont="1"/>
    <xf numFmtId="0" fontId="6" fillId="3" borderId="7" xfId="0" applyFont="1" applyFill="1" applyBorder="1" applyAlignment="1" applyProtection="1">
      <alignment horizontal="right" vertical="center" wrapText="1"/>
    </xf>
    <xf numFmtId="0" fontId="6" fillId="3" borderId="3" xfId="0" applyFont="1" applyFill="1" applyBorder="1" applyAlignment="1" applyProtection="1">
      <alignment horizontal="right" vertical="center"/>
    </xf>
    <xf numFmtId="0" fontId="1" fillId="0" borderId="0" xfId="0" applyNumberFormat="1" applyFont="1" applyFill="1" applyBorder="1" applyAlignment="1" applyProtection="1">
      <alignment horizontal="left" vertical="center"/>
      <protection locked="0"/>
    </xf>
    <xf numFmtId="0" fontId="6" fillId="3" borderId="7" xfId="0" applyFont="1" applyFill="1" applyBorder="1" applyAlignment="1" applyProtection="1">
      <alignment horizontal="center" vertical="center" wrapText="1"/>
    </xf>
    <xf numFmtId="0" fontId="6" fillId="3" borderId="3" xfId="0" applyFont="1" applyFill="1" applyBorder="1" applyAlignment="1" applyProtection="1">
      <alignment horizontal="center" vertical="center"/>
    </xf>
    <xf numFmtId="49" fontId="1" fillId="0" borderId="2" xfId="0" applyNumberFormat="1" applyFont="1" applyFill="1" applyBorder="1" applyAlignment="1" applyProtection="1">
      <alignment horizontal="left" vertical="center"/>
      <protection locked="0"/>
    </xf>
    <xf numFmtId="0" fontId="15" fillId="0" borderId="0" xfId="0" applyFont="1" applyAlignment="1">
      <alignment horizontal="center" wrapText="1"/>
    </xf>
    <xf numFmtId="0" fontId="1" fillId="3" borderId="1" xfId="0" applyFont="1" applyFill="1" applyBorder="1" applyAlignment="1" applyProtection="1">
      <alignment horizontal="center" vertical="center" wrapText="1"/>
    </xf>
    <xf numFmtId="0" fontId="1" fillId="3" borderId="2" xfId="0" applyFont="1" applyFill="1" applyBorder="1" applyAlignment="1" applyProtection="1">
      <alignment horizontal="center" vertical="center" wrapText="1"/>
    </xf>
    <xf numFmtId="0" fontId="1" fillId="3" borderId="9" xfId="0" applyFont="1" applyFill="1" applyBorder="1" applyAlignment="1" applyProtection="1">
      <alignment horizontal="center" vertical="center" wrapText="1"/>
    </xf>
    <xf numFmtId="0" fontId="5" fillId="2" borderId="2" xfId="0" applyFont="1" applyFill="1" applyBorder="1" applyAlignment="1" applyProtection="1">
      <alignment horizontal="left" vertical="top"/>
    </xf>
    <xf numFmtId="0" fontId="5" fillId="2" borderId="7" xfId="0" applyFont="1" applyFill="1" applyBorder="1" applyAlignment="1" applyProtection="1">
      <alignment horizontal="left" vertical="top"/>
    </xf>
    <xf numFmtId="0" fontId="16" fillId="2" borderId="2" xfId="0" applyFont="1" applyFill="1" applyBorder="1" applyAlignment="1" applyProtection="1">
      <alignment horizontal="left" vertical="top"/>
    </xf>
    <xf numFmtId="0" fontId="16" fillId="2" borderId="7" xfId="0" applyFont="1" applyFill="1" applyBorder="1" applyAlignment="1" applyProtection="1">
      <alignment horizontal="left" vertical="top"/>
    </xf>
    <xf numFmtId="0" fontId="12" fillId="3" borderId="2" xfId="0" applyFont="1" applyFill="1" applyBorder="1" applyAlignment="1" applyProtection="1">
      <alignment horizontal="center" vertical="center" wrapText="1"/>
    </xf>
    <xf numFmtId="0" fontId="9" fillId="3" borderId="2" xfId="0" applyFont="1" applyFill="1" applyBorder="1" applyAlignment="1" applyProtection="1">
      <alignment horizontal="center" vertical="center" wrapText="1"/>
    </xf>
  </cellXfs>
  <cellStyles count="2">
    <cellStyle name="Comma" xfId="1" builtinId="3"/>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22"/>
  <sheetViews>
    <sheetView zoomScaleNormal="100" workbookViewId="0">
      <selection activeCell="C8" sqref="C8"/>
    </sheetView>
  </sheetViews>
  <sheetFormatPr defaultRowHeight="12.75" x14ac:dyDescent="0.2"/>
  <cols>
    <col min="1" max="1" width="77.140625" style="33" customWidth="1"/>
  </cols>
  <sheetData>
    <row r="1" spans="1:3" s="29" customFormat="1" ht="36" x14ac:dyDescent="0.25">
      <c r="A1" s="79" t="s">
        <v>1466</v>
      </c>
    </row>
    <row r="2" spans="1:3" ht="17.45" customHeight="1" x14ac:dyDescent="0.25">
      <c r="A2" s="79"/>
    </row>
    <row r="3" spans="1:3" x14ac:dyDescent="0.2">
      <c r="A3" s="47"/>
    </row>
    <row r="4" spans="1:3" ht="77.25" x14ac:dyDescent="0.25">
      <c r="A4" s="35" t="s">
        <v>824</v>
      </c>
      <c r="B4" s="30" t="s">
        <v>776</v>
      </c>
      <c r="C4" s="79"/>
    </row>
    <row r="5" spans="1:3" x14ac:dyDescent="0.2">
      <c r="A5" s="35"/>
      <c r="B5" s="30"/>
    </row>
    <row r="6" spans="1:3" x14ac:dyDescent="0.2">
      <c r="A6" s="46"/>
      <c r="B6" s="30"/>
    </row>
    <row r="7" spans="1:3" x14ac:dyDescent="0.2">
      <c r="A7" s="45" t="s">
        <v>825</v>
      </c>
      <c r="B7" s="30"/>
    </row>
    <row r="8" spans="1:3" ht="114.75" x14ac:dyDescent="0.2">
      <c r="A8" s="31" t="s">
        <v>832</v>
      </c>
      <c r="B8" s="30"/>
    </row>
    <row r="9" spans="1:3" x14ac:dyDescent="0.2">
      <c r="A9" s="35"/>
      <c r="B9" s="30"/>
    </row>
    <row r="10" spans="1:3" x14ac:dyDescent="0.2">
      <c r="A10" s="45" t="s">
        <v>828</v>
      </c>
      <c r="B10" s="30"/>
    </row>
    <row r="11" spans="1:3" ht="153" x14ac:dyDescent="0.2">
      <c r="A11" s="35" t="s">
        <v>833</v>
      </c>
      <c r="B11" s="30"/>
    </row>
    <row r="12" spans="1:3" x14ac:dyDescent="0.2">
      <c r="A12" s="46"/>
      <c r="B12" s="30"/>
    </row>
    <row r="13" spans="1:3" x14ac:dyDescent="0.2">
      <c r="A13" s="35"/>
      <c r="B13" s="30"/>
    </row>
    <row r="15" spans="1:3" s="29" customFormat="1" ht="18" x14ac:dyDescent="0.25">
      <c r="A15" s="32"/>
    </row>
    <row r="16" spans="1:3" x14ac:dyDescent="0.2">
      <c r="A16" s="47"/>
    </row>
    <row r="17" spans="1:1" x14ac:dyDescent="0.2">
      <c r="A17" s="34" t="s">
        <v>777</v>
      </c>
    </row>
    <row r="18" spans="1:1" ht="114.75" x14ac:dyDescent="0.2">
      <c r="A18" s="31" t="s">
        <v>826</v>
      </c>
    </row>
    <row r="20" spans="1:1" x14ac:dyDescent="0.2">
      <c r="A20" s="34" t="s">
        <v>778</v>
      </c>
    </row>
    <row r="21" spans="1:1" ht="216.75" x14ac:dyDescent="0.2">
      <c r="A21" s="31" t="s">
        <v>827</v>
      </c>
    </row>
    <row r="22" spans="1:1" x14ac:dyDescent="0.2">
      <c r="A22" s="48"/>
    </row>
  </sheetData>
  <pageMargins left="0.7" right="0.7" top="0.75" bottom="0.75" header="0.3" footer="0.3"/>
  <pageSetup orientation="portrait" horizontalDpi="4294967293" verticalDpi="4294967293" r:id="rId1"/>
  <headerFooter>
    <oddFooter>Page &amp;P of &amp;N</oddFooter>
  </headerFooter>
  <rowBreaks count="1" manualBreakCount="1">
    <brk id="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29"/>
  <sheetViews>
    <sheetView tabSelected="1" zoomScale="80" zoomScaleNormal="80" zoomScaleSheetLayoutView="40" workbookViewId="0">
      <pane xSplit="3" ySplit="3" topLeftCell="D4" activePane="bottomRight" state="frozen"/>
      <selection pane="topRight" activeCell="D1" sqref="D1"/>
      <selection pane="bottomLeft" activeCell="A4" sqref="A4"/>
      <selection pane="bottomRight" activeCell="D8" sqref="D8"/>
    </sheetView>
  </sheetViews>
  <sheetFormatPr defaultColWidth="8.85546875" defaultRowHeight="12.75" x14ac:dyDescent="0.2"/>
  <cols>
    <col min="1" max="1" width="16.42578125" style="14" bestFit="1" customWidth="1"/>
    <col min="2" max="2" width="39.5703125" style="14" customWidth="1"/>
    <col min="3" max="8" width="23.28515625" style="14" customWidth="1"/>
    <col min="9" max="9" width="118.42578125" style="14" customWidth="1"/>
    <col min="10" max="16384" width="8.85546875" style="14"/>
  </cols>
  <sheetData>
    <row r="1" spans="1:10" s="9" customFormat="1" ht="28.9" customHeight="1" x14ac:dyDescent="0.2">
      <c r="A1" s="73" t="s">
        <v>1465</v>
      </c>
      <c r="B1" s="11"/>
      <c r="C1" s="5"/>
      <c r="D1" s="43"/>
      <c r="E1" s="4"/>
      <c r="F1" s="7"/>
      <c r="G1" s="51"/>
      <c r="H1" s="51"/>
      <c r="I1" s="8" t="s">
        <v>779</v>
      </c>
    </row>
    <row r="2" spans="1:10" s="9" customFormat="1" ht="30.6" customHeight="1" x14ac:dyDescent="0.25">
      <c r="A2" s="74" t="s">
        <v>1463</v>
      </c>
      <c r="B2" s="75" t="e">
        <f>VLOOKUP(B1,'FYF DATA'!$A$1:$BR$670,2,FALSE)</f>
        <v>#N/A</v>
      </c>
      <c r="C2" s="10"/>
      <c r="D2" s="44"/>
      <c r="E2" s="11"/>
      <c r="F2" s="12"/>
      <c r="G2" s="52"/>
      <c r="H2" s="52"/>
      <c r="I2" s="13" t="e">
        <f>B2</f>
        <v>#N/A</v>
      </c>
    </row>
    <row r="3" spans="1:10" s="20" customFormat="1" x14ac:dyDescent="0.2">
      <c r="A3" s="16"/>
      <c r="B3" s="17"/>
      <c r="C3" s="2" t="s">
        <v>2</v>
      </c>
      <c r="D3" s="18" t="s">
        <v>3</v>
      </c>
      <c r="E3" s="18" t="s">
        <v>17</v>
      </c>
      <c r="F3" s="18" t="s">
        <v>18</v>
      </c>
      <c r="G3" s="53" t="s">
        <v>19</v>
      </c>
      <c r="H3" s="53" t="s">
        <v>829</v>
      </c>
      <c r="I3" s="19" t="s">
        <v>820</v>
      </c>
    </row>
    <row r="4" spans="1:10" s="24" customFormat="1" ht="82.9" customHeight="1" x14ac:dyDescent="0.2">
      <c r="A4" s="87" t="s">
        <v>775</v>
      </c>
      <c r="B4" s="88"/>
      <c r="C4" s="21" t="s">
        <v>814</v>
      </c>
      <c r="D4" s="80" t="s">
        <v>830</v>
      </c>
      <c r="E4" s="81"/>
      <c r="F4" s="81"/>
      <c r="G4" s="81"/>
      <c r="H4" s="82"/>
      <c r="I4" s="22" t="s">
        <v>821</v>
      </c>
      <c r="J4" s="23"/>
    </row>
    <row r="5" spans="1:10" s="24" customFormat="1" x14ac:dyDescent="0.2">
      <c r="A5" s="83" t="s">
        <v>1</v>
      </c>
      <c r="B5" s="84"/>
      <c r="C5" s="28" t="s">
        <v>2</v>
      </c>
      <c r="D5" s="28" t="s">
        <v>3</v>
      </c>
      <c r="E5" s="28" t="s">
        <v>17</v>
      </c>
      <c r="F5" s="28" t="s">
        <v>18</v>
      </c>
      <c r="G5" s="49" t="s">
        <v>19</v>
      </c>
      <c r="H5" s="53" t="s">
        <v>829</v>
      </c>
      <c r="I5" s="67"/>
    </row>
    <row r="6" spans="1:10" s="15" customFormat="1" ht="14.25" x14ac:dyDescent="0.2">
      <c r="A6" s="25" t="s">
        <v>4</v>
      </c>
      <c r="B6" s="26" t="s">
        <v>11</v>
      </c>
      <c r="C6" s="27" t="e">
        <f>VLOOKUP(B1,'FYF DATA'!$A$1:$BR$670,20,FALSE)</f>
        <v>#N/A</v>
      </c>
      <c r="D6" s="3"/>
      <c r="E6" s="3"/>
      <c r="F6" s="3"/>
      <c r="G6" s="50"/>
      <c r="H6" s="50"/>
      <c r="I6" s="68"/>
    </row>
    <row r="7" spans="1:10" s="15" customFormat="1" ht="14.25" x14ac:dyDescent="0.2">
      <c r="A7" s="25" t="s">
        <v>5</v>
      </c>
      <c r="B7" s="26" t="s">
        <v>12</v>
      </c>
      <c r="C7" s="27" t="e">
        <f>VLOOKUP(B1,'FYF DATA'!$A$1:$BR$670,21,FALSE)</f>
        <v>#N/A</v>
      </c>
      <c r="D7" s="3"/>
      <c r="E7" s="3"/>
      <c r="F7" s="3"/>
      <c r="G7" s="50"/>
      <c r="H7" s="50"/>
      <c r="I7" s="68"/>
    </row>
    <row r="8" spans="1:10" s="15" customFormat="1" ht="14.25" x14ac:dyDescent="0.2">
      <c r="A8" s="25" t="s">
        <v>6</v>
      </c>
      <c r="B8" s="26" t="s">
        <v>13</v>
      </c>
      <c r="C8" s="27" t="e">
        <f>VLOOKUP(B1,'FYF DATA'!$A$1:$BR$670,22,FALSE)</f>
        <v>#N/A</v>
      </c>
      <c r="D8" s="3"/>
      <c r="E8" s="3"/>
      <c r="F8" s="3"/>
      <c r="G8" s="50"/>
      <c r="H8" s="50"/>
      <c r="I8" s="68"/>
    </row>
    <row r="9" spans="1:10" s="15" customFormat="1" ht="14.25" x14ac:dyDescent="0.2">
      <c r="A9" s="25" t="s">
        <v>7</v>
      </c>
      <c r="B9" s="26" t="s">
        <v>14</v>
      </c>
      <c r="C9" s="27" t="e">
        <f>VLOOKUP(B1,'FYF DATA'!$A$1:$BR$670,23,FALSE)</f>
        <v>#N/A</v>
      </c>
      <c r="D9" s="3"/>
      <c r="E9" s="3"/>
      <c r="F9" s="3"/>
      <c r="G9" s="50"/>
      <c r="H9" s="50"/>
      <c r="I9" s="68"/>
    </row>
    <row r="10" spans="1:10" s="15" customFormat="1" ht="14.25" x14ac:dyDescent="0.2">
      <c r="A10" s="25" t="s">
        <v>8</v>
      </c>
      <c r="B10" s="26" t="s">
        <v>15</v>
      </c>
      <c r="C10" s="27" t="e">
        <f>VLOOKUP(B1,'FYF DATA'!$A$1:$BR$670,24,FALSE)</f>
        <v>#N/A</v>
      </c>
      <c r="D10" s="3"/>
      <c r="E10" s="3"/>
      <c r="F10" s="3"/>
      <c r="G10" s="50"/>
      <c r="H10" s="50"/>
      <c r="I10" s="68"/>
    </row>
    <row r="11" spans="1:10" s="15" customFormat="1" ht="14.25" x14ac:dyDescent="0.2">
      <c r="A11" s="25" t="s">
        <v>9</v>
      </c>
      <c r="B11" s="26" t="s">
        <v>16</v>
      </c>
      <c r="C11" s="27" t="e">
        <f>VLOOKUP(B1,'FYF DATA'!$A$1:$BR$670,25,FALSE)</f>
        <v>#N/A</v>
      </c>
      <c r="D11" s="3"/>
      <c r="E11" s="3"/>
      <c r="F11" s="3"/>
      <c r="G11" s="50"/>
      <c r="H11" s="50"/>
      <c r="I11" s="68"/>
    </row>
    <row r="12" spans="1:10" s="57" customFormat="1" ht="14.25" x14ac:dyDescent="0.2">
      <c r="A12" s="25"/>
      <c r="B12" s="54" t="s">
        <v>816</v>
      </c>
      <c r="C12" s="40" t="e">
        <f>SUM(C6:C11)</f>
        <v>#N/A</v>
      </c>
      <c r="D12" s="40">
        <f t="shared" ref="D12:F12" si="0">SUM(D6:D11)</f>
        <v>0</v>
      </c>
      <c r="E12" s="40">
        <f t="shared" si="0"/>
        <v>0</v>
      </c>
      <c r="F12" s="40">
        <f t="shared" si="0"/>
        <v>0</v>
      </c>
      <c r="G12" s="40">
        <f>SUM(G6:G11)</f>
        <v>0</v>
      </c>
      <c r="H12" s="40">
        <f>SUM(H6:H11)</f>
        <v>0</v>
      </c>
      <c r="I12" s="68"/>
    </row>
    <row r="13" spans="1:10" s="15" customFormat="1" x14ac:dyDescent="0.2">
      <c r="A13" s="83" t="s">
        <v>815</v>
      </c>
      <c r="B13" s="84"/>
      <c r="C13" s="28" t="s">
        <v>2</v>
      </c>
      <c r="D13" s="28" t="s">
        <v>3</v>
      </c>
      <c r="E13" s="28" t="s">
        <v>17</v>
      </c>
      <c r="F13" s="28" t="s">
        <v>18</v>
      </c>
      <c r="G13" s="49" t="s">
        <v>19</v>
      </c>
      <c r="H13" s="53" t="s">
        <v>829</v>
      </c>
      <c r="I13" s="67"/>
      <c r="J13" s="24"/>
    </row>
    <row r="14" spans="1:10" s="15" customFormat="1" ht="14.25" x14ac:dyDescent="0.2">
      <c r="A14" s="25" t="s">
        <v>793</v>
      </c>
      <c r="B14" s="26" t="s">
        <v>800</v>
      </c>
      <c r="C14" s="27" t="e">
        <f>VLOOKUP(B1,'FYF DATA'!$A$1:$BR$670,26,FALSE)</f>
        <v>#N/A</v>
      </c>
      <c r="D14" s="3"/>
      <c r="E14" s="3"/>
      <c r="F14" s="3"/>
      <c r="G14" s="50"/>
      <c r="H14" s="50"/>
      <c r="I14" s="68"/>
    </row>
    <row r="15" spans="1:10" s="15" customFormat="1" ht="14.25" x14ac:dyDescent="0.2">
      <c r="A15" s="25" t="s">
        <v>794</v>
      </c>
      <c r="B15" s="26" t="s">
        <v>801</v>
      </c>
      <c r="C15" s="27" t="e">
        <f>VLOOKUP($B$1,'FYF DATA'!$A$1:$BR$670,27,FALSE)</f>
        <v>#N/A</v>
      </c>
      <c r="D15" s="3"/>
      <c r="E15" s="3"/>
      <c r="F15" s="3"/>
      <c r="G15" s="50"/>
      <c r="H15" s="50"/>
      <c r="I15" s="68"/>
    </row>
    <row r="16" spans="1:10" s="15" customFormat="1" ht="14.25" x14ac:dyDescent="0.2">
      <c r="A16" s="25" t="s">
        <v>795</v>
      </c>
      <c r="B16" s="26" t="s">
        <v>802</v>
      </c>
      <c r="C16" s="27" t="e">
        <f>VLOOKUP($B$1,'FYF DATA'!$A$1:$BR$670,28,FALSE)</f>
        <v>#N/A</v>
      </c>
      <c r="D16" s="3"/>
      <c r="E16" s="3"/>
      <c r="F16" s="3"/>
      <c r="G16" s="50"/>
      <c r="H16" s="50"/>
      <c r="I16" s="68"/>
    </row>
    <row r="17" spans="1:9" s="15" customFormat="1" ht="14.25" x14ac:dyDescent="0.2">
      <c r="A17" s="25" t="s">
        <v>796</v>
      </c>
      <c r="B17" s="26" t="s">
        <v>803</v>
      </c>
      <c r="C17" s="27" t="e">
        <f>VLOOKUP($B$1,'FYF DATA'!$A$1:$BR$670,29,FALSE)</f>
        <v>#N/A</v>
      </c>
      <c r="D17" s="3"/>
      <c r="E17" s="3"/>
      <c r="F17" s="3"/>
      <c r="G17" s="50"/>
      <c r="H17" s="50"/>
      <c r="I17" s="68"/>
    </row>
    <row r="18" spans="1:9" s="15" customFormat="1" ht="14.25" x14ac:dyDescent="0.2">
      <c r="A18" s="25" t="s">
        <v>797</v>
      </c>
      <c r="B18" s="26" t="s">
        <v>804</v>
      </c>
      <c r="C18" s="27" t="e">
        <f>VLOOKUP($B$1,'FYF DATA'!$A$1:$BR$670,30,FALSE)</f>
        <v>#N/A</v>
      </c>
      <c r="D18" s="3"/>
      <c r="E18" s="3"/>
      <c r="F18" s="3"/>
      <c r="G18" s="50"/>
      <c r="H18" s="50"/>
      <c r="I18" s="68"/>
    </row>
    <row r="19" spans="1:9" s="15" customFormat="1" ht="14.25" x14ac:dyDescent="0.2">
      <c r="A19" s="25" t="s">
        <v>798</v>
      </c>
      <c r="B19" s="26" t="s">
        <v>805</v>
      </c>
      <c r="C19" s="27" t="e">
        <f>VLOOKUP($B$1,'FYF DATA'!$A$1:$BR$670,31,FALSE)</f>
        <v>#N/A</v>
      </c>
      <c r="D19" s="3"/>
      <c r="E19" s="3"/>
      <c r="F19" s="3"/>
      <c r="G19" s="50"/>
      <c r="H19" s="50"/>
      <c r="I19" s="68"/>
    </row>
    <row r="20" spans="1:9" s="15" customFormat="1" ht="14.25" x14ac:dyDescent="0.2">
      <c r="A20" s="25" t="s">
        <v>799</v>
      </c>
      <c r="B20" s="26" t="s">
        <v>806</v>
      </c>
      <c r="C20" s="27" t="e">
        <f>VLOOKUP($B$1,'FYF DATA'!$A$1:$BR$670,32,FALSE)</f>
        <v>#N/A</v>
      </c>
      <c r="D20" s="3"/>
      <c r="E20" s="3"/>
      <c r="F20" s="3"/>
      <c r="G20" s="50"/>
      <c r="H20" s="50"/>
      <c r="I20" s="68"/>
    </row>
    <row r="21" spans="1:9" s="15" customFormat="1" ht="14.25" x14ac:dyDescent="0.2">
      <c r="A21" s="25" t="s">
        <v>10</v>
      </c>
      <c r="B21" s="26" t="s">
        <v>807</v>
      </c>
      <c r="C21" s="27" t="e">
        <f>VLOOKUP($B$1,'FYF DATA'!$A$1:$BR$670,33,FALSE)</f>
        <v>#N/A</v>
      </c>
      <c r="D21" s="3"/>
      <c r="E21" s="3"/>
      <c r="F21" s="3"/>
      <c r="G21" s="50"/>
      <c r="H21" s="50"/>
      <c r="I21" s="68"/>
    </row>
    <row r="22" spans="1:9" s="57" customFormat="1" ht="14.25" x14ac:dyDescent="0.2">
      <c r="A22" s="55"/>
      <c r="B22" s="54" t="s">
        <v>817</v>
      </c>
      <c r="C22" s="40" t="e">
        <f>SUM(C14:C21)</f>
        <v>#N/A</v>
      </c>
      <c r="D22" s="40">
        <f t="shared" ref="D22" si="1">SUM(D14:D21)</f>
        <v>0</v>
      </c>
      <c r="E22" s="40">
        <f t="shared" ref="E22:F22" si="2">SUM(E14:E21)</f>
        <v>0</v>
      </c>
      <c r="F22" s="40">
        <f t="shared" si="2"/>
        <v>0</v>
      </c>
      <c r="G22" s="40">
        <f>SUM(G14:G21)</f>
        <v>0</v>
      </c>
      <c r="H22" s="40">
        <f>SUM(H14:H21)</f>
        <v>0</v>
      </c>
      <c r="I22" s="68"/>
    </row>
    <row r="23" spans="1:9" s="24" customFormat="1" x14ac:dyDescent="0.2">
      <c r="A23" s="83" t="s">
        <v>0</v>
      </c>
      <c r="B23" s="84"/>
      <c r="C23" s="28" t="s">
        <v>2</v>
      </c>
      <c r="D23" s="28" t="s">
        <v>3</v>
      </c>
      <c r="E23" s="28" t="s">
        <v>17</v>
      </c>
      <c r="F23" s="28" t="s">
        <v>18</v>
      </c>
      <c r="G23" s="49" t="s">
        <v>19</v>
      </c>
      <c r="H23" s="53" t="s">
        <v>829</v>
      </c>
      <c r="I23" s="67"/>
    </row>
    <row r="24" spans="1:9" s="15" customFormat="1" ht="14.25" x14ac:dyDescent="0.2">
      <c r="A24" s="25" t="s">
        <v>808</v>
      </c>
      <c r="B24" s="26" t="s">
        <v>809</v>
      </c>
      <c r="C24" s="27" t="e">
        <f>VLOOKUP($B$1,'FYF DATA'!$A$1:$BR$670,35,FALSE)</f>
        <v>#N/A</v>
      </c>
      <c r="D24" s="3"/>
      <c r="E24" s="3"/>
      <c r="F24" s="3"/>
      <c r="G24" s="50"/>
      <c r="H24" s="50"/>
      <c r="I24" s="68"/>
    </row>
    <row r="25" spans="1:9" s="15" customFormat="1" ht="14.25" x14ac:dyDescent="0.2">
      <c r="A25" s="25" t="s">
        <v>810</v>
      </c>
      <c r="B25" s="26" t="s">
        <v>811</v>
      </c>
      <c r="C25" s="27" t="e">
        <f>VLOOKUP($B$1,'FYF DATA'!$A$1:$BR$670,36,FALSE)</f>
        <v>#N/A</v>
      </c>
      <c r="D25" s="3"/>
      <c r="E25" s="3"/>
      <c r="F25" s="3"/>
      <c r="G25" s="50"/>
      <c r="H25" s="50"/>
      <c r="I25" s="68"/>
    </row>
    <row r="26" spans="1:9" s="15" customFormat="1" ht="14.25" x14ac:dyDescent="0.2">
      <c r="A26" s="25" t="s">
        <v>812</v>
      </c>
      <c r="B26" s="26" t="s">
        <v>813</v>
      </c>
      <c r="C26" s="27" t="e">
        <f>VLOOKUP($B$1,'FYF DATA'!$A$1:$BR$670,37,FALSE)</f>
        <v>#N/A</v>
      </c>
      <c r="D26" s="3"/>
      <c r="E26" s="3"/>
      <c r="F26" s="3"/>
      <c r="G26" s="50"/>
      <c r="H26" s="50"/>
      <c r="I26" s="68"/>
    </row>
    <row r="27" spans="1:9" s="57" customFormat="1" ht="14.25" x14ac:dyDescent="0.2">
      <c r="A27" s="25"/>
      <c r="B27" s="54" t="s">
        <v>818</v>
      </c>
      <c r="C27" s="40" t="e">
        <f>SUM(C24:C26)</f>
        <v>#N/A</v>
      </c>
      <c r="D27" s="40">
        <f t="shared" ref="D27" si="3">SUM(D24:D26)</f>
        <v>0</v>
      </c>
      <c r="E27" s="40">
        <f t="shared" ref="E27:F27" si="4">SUM(E24:E26)</f>
        <v>0</v>
      </c>
      <c r="F27" s="40">
        <f t="shared" si="4"/>
        <v>0</v>
      </c>
      <c r="G27" s="40">
        <f>SUM(G24:G26)</f>
        <v>0</v>
      </c>
      <c r="H27" s="40">
        <f>SUM(H24:H26)</f>
        <v>0</v>
      </c>
      <c r="I27" s="68"/>
    </row>
    <row r="28" spans="1:9" s="60" customFormat="1" ht="15.75" x14ac:dyDescent="0.25">
      <c r="A28" s="85" t="s">
        <v>819</v>
      </c>
      <c r="B28" s="86"/>
      <c r="C28" s="58" t="s">
        <v>2</v>
      </c>
      <c r="D28" s="58" t="s">
        <v>3</v>
      </c>
      <c r="E28" s="58" t="s">
        <v>17</v>
      </c>
      <c r="F28" s="58" t="s">
        <v>18</v>
      </c>
      <c r="G28" s="59" t="s">
        <v>19</v>
      </c>
      <c r="H28" s="59" t="s">
        <v>829</v>
      </c>
      <c r="I28" s="69"/>
    </row>
    <row r="29" spans="1:9" s="64" customFormat="1" ht="79.900000000000006" customHeight="1" x14ac:dyDescent="0.2">
      <c r="A29" s="56"/>
      <c r="B29" s="61" t="s">
        <v>831</v>
      </c>
      <c r="C29" s="62" t="e">
        <f>(C12+C22+C27)</f>
        <v>#N/A</v>
      </c>
      <c r="D29" s="62">
        <f t="shared" ref="D29:F29" si="5">(D12+D22+D27)</f>
        <v>0</v>
      </c>
      <c r="E29" s="62">
        <f t="shared" si="5"/>
        <v>0</v>
      </c>
      <c r="F29" s="62">
        <f t="shared" si="5"/>
        <v>0</v>
      </c>
      <c r="G29" s="62">
        <f>(G12+G22+G27)</f>
        <v>0</v>
      </c>
      <c r="H29" s="62">
        <f>(H12+H22+H27)</f>
        <v>0</v>
      </c>
      <c r="I29" s="63"/>
    </row>
  </sheetData>
  <sheetProtection password="9C55" sheet="1" objects="1" scenarios="1" selectLockedCells="1"/>
  <mergeCells count="6">
    <mergeCell ref="D4:H4"/>
    <mergeCell ref="A13:B13"/>
    <mergeCell ref="A28:B28"/>
    <mergeCell ref="A4:B4"/>
    <mergeCell ref="A5:B5"/>
    <mergeCell ref="A23:B23"/>
  </mergeCells>
  <conditionalFormatting sqref="D29:G29">
    <cfRule type="cellIs" dxfId="5" priority="2" operator="greaterThan">
      <formula>0</formula>
    </cfRule>
  </conditionalFormatting>
  <conditionalFormatting sqref="H29">
    <cfRule type="cellIs" dxfId="4" priority="1" operator="greaterThan">
      <formula>0</formula>
    </cfRule>
  </conditionalFormatting>
  <pageMargins left="0.7" right="0.7" top="0.75" bottom="0.75" header="0.3" footer="0.3"/>
  <pageSetup paperSize="5" scale="83" fitToWidth="2" orientation="landscape" horizontalDpi="4294967295" verticalDpi="4294967295" r:id="rId1"/>
  <headerFooter>
    <oddHeader>&amp;C&amp;"Arial,Bold"&amp;12STRAIGHT A FUND - FINANCIAL IMPACT TABLE
Traditional District</oddHeader>
    <oddFooter>&amp;RPage &amp;P of &amp;N</oddFooter>
  </headerFooter>
  <colBreaks count="1" manualBreakCount="1">
    <brk id="8" max="2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14"/>
  <sheetViews>
    <sheetView zoomScale="80" zoomScaleNormal="80" zoomScaleSheetLayoutView="40" workbookViewId="0">
      <pane xSplit="3" ySplit="2" topLeftCell="D3" activePane="bottomRight" state="frozen"/>
      <selection pane="topRight" activeCell="D1" sqref="D1"/>
      <selection pane="bottomLeft" activeCell="A3" sqref="A3"/>
      <selection pane="bottomRight" activeCell="H8" sqref="H8"/>
    </sheetView>
  </sheetViews>
  <sheetFormatPr defaultColWidth="8.85546875" defaultRowHeight="12.75" x14ac:dyDescent="0.2"/>
  <cols>
    <col min="1" max="1" width="19.5703125" style="14" bestFit="1" customWidth="1"/>
    <col min="2" max="2" width="40.5703125" style="14" customWidth="1"/>
    <col min="3" max="3" width="23.28515625" style="41" customWidth="1"/>
    <col min="4" max="8" width="23.28515625" style="14" customWidth="1"/>
    <col min="9" max="9" width="120.5703125" style="42" customWidth="1"/>
    <col min="10" max="16384" width="8.85546875" style="14"/>
  </cols>
  <sheetData>
    <row r="1" spans="1:10" s="9" customFormat="1" ht="22.15" customHeight="1" x14ac:dyDescent="0.2">
      <c r="A1" s="76" t="s">
        <v>1464</v>
      </c>
      <c r="B1" s="78"/>
      <c r="C1" s="36"/>
      <c r="D1" s="6"/>
      <c r="E1" s="43"/>
      <c r="F1" s="4"/>
      <c r="G1" s="51"/>
      <c r="H1" s="51"/>
      <c r="I1" s="8" t="s">
        <v>779</v>
      </c>
    </row>
    <row r="2" spans="1:10" s="9" customFormat="1" ht="22.15" customHeight="1" x14ac:dyDescent="0.25">
      <c r="A2" s="77" t="s">
        <v>779</v>
      </c>
      <c r="B2" s="11"/>
      <c r="C2" s="37"/>
      <c r="E2" s="44"/>
      <c r="F2" s="11"/>
      <c r="G2" s="52"/>
      <c r="H2" s="52"/>
      <c r="I2" s="13">
        <f>B2</f>
        <v>0</v>
      </c>
    </row>
    <row r="3" spans="1:10" s="20" customFormat="1" x14ac:dyDescent="0.2">
      <c r="A3" s="16"/>
      <c r="B3" s="17"/>
      <c r="C3" s="2" t="s">
        <v>2</v>
      </c>
      <c r="D3" s="18" t="s">
        <v>3</v>
      </c>
      <c r="E3" s="18" t="s">
        <v>17</v>
      </c>
      <c r="F3" s="18" t="s">
        <v>18</v>
      </c>
      <c r="G3" s="53" t="s">
        <v>19</v>
      </c>
      <c r="H3" s="53" t="s">
        <v>829</v>
      </c>
      <c r="I3" s="38" t="s">
        <v>820</v>
      </c>
    </row>
    <row r="4" spans="1:10" s="24" customFormat="1" ht="81" customHeight="1" x14ac:dyDescent="0.2">
      <c r="A4" s="87" t="s">
        <v>780</v>
      </c>
      <c r="B4" s="88"/>
      <c r="C4" s="21" t="s">
        <v>822</v>
      </c>
      <c r="D4" s="80" t="s">
        <v>830</v>
      </c>
      <c r="E4" s="81"/>
      <c r="F4" s="81"/>
      <c r="G4" s="81"/>
      <c r="H4" s="82"/>
      <c r="I4" s="39" t="s">
        <v>821</v>
      </c>
      <c r="J4" s="23"/>
    </row>
    <row r="5" spans="1:10" s="24" customFormat="1" x14ac:dyDescent="0.2">
      <c r="A5" s="83" t="s">
        <v>823</v>
      </c>
      <c r="B5" s="84"/>
      <c r="C5" s="28" t="s">
        <v>2</v>
      </c>
      <c r="D5" s="28" t="s">
        <v>3</v>
      </c>
      <c r="E5" s="28" t="s">
        <v>17</v>
      </c>
      <c r="F5" s="28" t="s">
        <v>18</v>
      </c>
      <c r="G5" s="49" t="s">
        <v>19</v>
      </c>
      <c r="H5" s="53" t="s">
        <v>829</v>
      </c>
      <c r="I5" s="70"/>
    </row>
    <row r="6" spans="1:10" s="15" customFormat="1" ht="14.25" x14ac:dyDescent="0.2">
      <c r="A6" s="25" t="s">
        <v>781</v>
      </c>
      <c r="B6" s="26" t="s">
        <v>782</v>
      </c>
      <c r="C6" s="65"/>
      <c r="D6" s="3"/>
      <c r="E6" s="3"/>
      <c r="F6" s="3"/>
      <c r="G6" s="50"/>
      <c r="H6" s="50"/>
      <c r="I6" s="71"/>
    </row>
    <row r="7" spans="1:10" s="15" customFormat="1" ht="14.25" x14ac:dyDescent="0.2">
      <c r="A7" s="25" t="s">
        <v>783</v>
      </c>
      <c r="B7" s="26" t="s">
        <v>784</v>
      </c>
      <c r="C7" s="66"/>
      <c r="D7" s="3"/>
      <c r="E7" s="3"/>
      <c r="F7" s="3"/>
      <c r="G7" s="50"/>
      <c r="H7" s="50"/>
      <c r="I7" s="71"/>
    </row>
    <row r="8" spans="1:10" s="15" customFormat="1" ht="14.25" x14ac:dyDescent="0.2">
      <c r="A8" s="25" t="s">
        <v>785</v>
      </c>
      <c r="B8" s="26" t="s">
        <v>13</v>
      </c>
      <c r="C8" s="66"/>
      <c r="D8" s="3"/>
      <c r="E8" s="3"/>
      <c r="F8" s="3"/>
      <c r="G8" s="50"/>
      <c r="H8" s="50"/>
      <c r="I8" s="71"/>
    </row>
    <row r="9" spans="1:10" s="15" customFormat="1" ht="14.25" x14ac:dyDescent="0.2">
      <c r="A9" s="25" t="s">
        <v>786</v>
      </c>
      <c r="B9" s="26" t="s">
        <v>14</v>
      </c>
      <c r="C9" s="66"/>
      <c r="D9" s="3"/>
      <c r="E9" s="3"/>
      <c r="F9" s="3"/>
      <c r="G9" s="50"/>
      <c r="H9" s="50"/>
      <c r="I9" s="71"/>
    </row>
    <row r="10" spans="1:10" s="15" customFormat="1" ht="14.25" x14ac:dyDescent="0.2">
      <c r="A10" s="25" t="s">
        <v>787</v>
      </c>
      <c r="B10" s="26" t="s">
        <v>788</v>
      </c>
      <c r="C10" s="66"/>
      <c r="D10" s="3"/>
      <c r="E10" s="3"/>
      <c r="F10" s="3"/>
      <c r="G10" s="50"/>
      <c r="H10" s="50"/>
      <c r="I10" s="71"/>
    </row>
    <row r="11" spans="1:10" s="15" customFormat="1" ht="14.25" x14ac:dyDescent="0.2">
      <c r="A11" s="25" t="s">
        <v>789</v>
      </c>
      <c r="B11" s="26" t="s">
        <v>790</v>
      </c>
      <c r="C11" s="66"/>
      <c r="D11" s="3"/>
      <c r="E11" s="3"/>
      <c r="F11" s="3"/>
      <c r="G11" s="50"/>
      <c r="H11" s="50"/>
      <c r="I11" s="71"/>
    </row>
    <row r="12" spans="1:10" s="15" customFormat="1" ht="14.25" x14ac:dyDescent="0.2">
      <c r="A12" s="25" t="s">
        <v>791</v>
      </c>
      <c r="B12" s="26" t="s">
        <v>792</v>
      </c>
      <c r="C12" s="66"/>
      <c r="D12" s="3"/>
      <c r="E12" s="3"/>
      <c r="F12" s="3"/>
      <c r="G12" s="50"/>
      <c r="H12" s="50"/>
      <c r="I12" s="71"/>
    </row>
    <row r="13" spans="1:10" s="60" customFormat="1" ht="15.75" x14ac:dyDescent="0.25">
      <c r="A13" s="85" t="s">
        <v>819</v>
      </c>
      <c r="B13" s="86"/>
      <c r="C13" s="58" t="s">
        <v>2</v>
      </c>
      <c r="D13" s="58" t="s">
        <v>3</v>
      </c>
      <c r="E13" s="58" t="s">
        <v>17</v>
      </c>
      <c r="F13" s="58" t="s">
        <v>18</v>
      </c>
      <c r="G13" s="59" t="s">
        <v>19</v>
      </c>
      <c r="H13" s="59" t="s">
        <v>829</v>
      </c>
      <c r="I13" s="69"/>
    </row>
    <row r="14" spans="1:10" s="64" customFormat="1" ht="79.900000000000006" customHeight="1" x14ac:dyDescent="0.2">
      <c r="A14" s="56"/>
      <c r="B14" s="61" t="s">
        <v>831</v>
      </c>
      <c r="C14" s="62">
        <f>SUM(C6:C12)</f>
        <v>0</v>
      </c>
      <c r="D14" s="62">
        <f t="shared" ref="D14:G14" si="0">SUM(D6:D12)</f>
        <v>0</v>
      </c>
      <c r="E14" s="62">
        <f t="shared" si="0"/>
        <v>0</v>
      </c>
      <c r="F14" s="62">
        <f t="shared" si="0"/>
        <v>0</v>
      </c>
      <c r="G14" s="62">
        <f t="shared" si="0"/>
        <v>0</v>
      </c>
      <c r="H14" s="62">
        <f t="shared" ref="H14" si="1">SUM(H6:H12)</f>
        <v>0</v>
      </c>
      <c r="I14" s="63"/>
    </row>
  </sheetData>
  <sheetProtection password="9C55" sheet="1" objects="1" scenarios="1" selectLockedCells="1"/>
  <mergeCells count="4">
    <mergeCell ref="D4:H4"/>
    <mergeCell ref="A4:B4"/>
    <mergeCell ref="A5:B5"/>
    <mergeCell ref="A13:B13"/>
  </mergeCells>
  <conditionalFormatting sqref="D14:G14">
    <cfRule type="cellIs" dxfId="3" priority="2" operator="greaterThan">
      <formula>0</formula>
    </cfRule>
  </conditionalFormatting>
  <conditionalFormatting sqref="H14">
    <cfRule type="cellIs" dxfId="2" priority="1" operator="greaterThan">
      <formula>0</formula>
    </cfRule>
  </conditionalFormatting>
  <pageMargins left="0.25" right="0.25" top="0.75" bottom="0.75" header="0.3" footer="0.3"/>
  <pageSetup paperSize="5" scale="90" orientation="landscape" horizontalDpi="4294967295" verticalDpi="4294967295" r:id="rId1"/>
  <headerFooter>
    <oddHeader>&amp;C&amp;"Arial,Bold"&amp;12STRAIGHT A FUND - FINANCIAL IMPACT TABLE
Non-Traditional District/School</oddHeader>
    <oddFooter>&amp;RPage &amp;P of &amp;N</oddFooter>
  </headerFooter>
  <colBreaks count="1" manualBreakCount="1">
    <brk id="8" max="1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J29"/>
  <sheetViews>
    <sheetView zoomScale="80" zoomScaleNormal="80" workbookViewId="0">
      <pane xSplit="3" ySplit="4" topLeftCell="D5" activePane="bottomRight" state="frozen"/>
      <selection activeCell="H11" sqref="H11"/>
      <selection pane="topRight" activeCell="H11" sqref="H11"/>
      <selection pane="bottomLeft" activeCell="H11" sqref="H11"/>
      <selection pane="bottomRight" activeCell="C8" sqref="C8"/>
    </sheetView>
  </sheetViews>
  <sheetFormatPr defaultColWidth="8.85546875" defaultRowHeight="12.75" x14ac:dyDescent="0.2"/>
  <cols>
    <col min="1" max="1" width="17.140625" style="14" bestFit="1" customWidth="1"/>
    <col min="2" max="2" width="39.5703125" style="14" customWidth="1"/>
    <col min="3" max="8" width="23.28515625" style="14" customWidth="1"/>
    <col min="9" max="9" width="118.42578125" style="14" customWidth="1"/>
    <col min="10" max="16384" width="8.85546875" style="14"/>
  </cols>
  <sheetData>
    <row r="1" spans="1:10" s="9" customFormat="1" ht="30" x14ac:dyDescent="0.2">
      <c r="A1" s="76" t="s">
        <v>1464</v>
      </c>
      <c r="B1" s="4"/>
      <c r="C1" s="5"/>
      <c r="D1" s="43"/>
      <c r="E1" s="4"/>
      <c r="F1" s="7"/>
      <c r="G1" s="51"/>
      <c r="H1" s="51"/>
      <c r="I1" s="8" t="s">
        <v>779</v>
      </c>
    </row>
    <row r="2" spans="1:10" s="9" customFormat="1" ht="21" customHeight="1" x14ac:dyDescent="0.25">
      <c r="A2" s="77" t="s">
        <v>779</v>
      </c>
      <c r="B2" s="11"/>
      <c r="C2" s="10"/>
      <c r="D2" s="44"/>
      <c r="E2" s="11"/>
      <c r="F2" s="12"/>
      <c r="G2" s="52"/>
      <c r="H2" s="52"/>
      <c r="I2" s="13">
        <f>B2</f>
        <v>0</v>
      </c>
    </row>
    <row r="3" spans="1:10" s="20" customFormat="1" x14ac:dyDescent="0.2">
      <c r="A3" s="16"/>
      <c r="B3" s="17"/>
      <c r="C3" s="2" t="s">
        <v>2</v>
      </c>
      <c r="D3" s="18" t="s">
        <v>3</v>
      </c>
      <c r="E3" s="18" t="s">
        <v>17</v>
      </c>
      <c r="F3" s="18" t="s">
        <v>18</v>
      </c>
      <c r="G3" s="53" t="s">
        <v>19</v>
      </c>
      <c r="H3" s="53" t="s">
        <v>829</v>
      </c>
      <c r="I3" s="19" t="s">
        <v>820</v>
      </c>
    </row>
    <row r="4" spans="1:10" s="24" customFormat="1" ht="76.150000000000006" customHeight="1" x14ac:dyDescent="0.2">
      <c r="A4" s="87" t="s">
        <v>775</v>
      </c>
      <c r="B4" s="88"/>
      <c r="C4" s="21" t="s">
        <v>822</v>
      </c>
      <c r="D4" s="80" t="s">
        <v>830</v>
      </c>
      <c r="E4" s="81"/>
      <c r="F4" s="81"/>
      <c r="G4" s="81"/>
      <c r="H4" s="82"/>
      <c r="I4" s="22" t="s">
        <v>821</v>
      </c>
      <c r="J4" s="23"/>
    </row>
    <row r="5" spans="1:10" s="24" customFormat="1" x14ac:dyDescent="0.2">
      <c r="A5" s="83" t="s">
        <v>1</v>
      </c>
      <c r="B5" s="84"/>
      <c r="C5" s="28" t="s">
        <v>2</v>
      </c>
      <c r="D5" s="28" t="s">
        <v>3</v>
      </c>
      <c r="E5" s="28" t="s">
        <v>17</v>
      </c>
      <c r="F5" s="28" t="s">
        <v>18</v>
      </c>
      <c r="G5" s="49" t="s">
        <v>19</v>
      </c>
      <c r="H5" s="53" t="s">
        <v>829</v>
      </c>
      <c r="I5" s="67"/>
    </row>
    <row r="6" spans="1:10" s="15" customFormat="1" ht="14.25" x14ac:dyDescent="0.2">
      <c r="A6" s="25" t="s">
        <v>4</v>
      </c>
      <c r="B6" s="26" t="s">
        <v>11</v>
      </c>
      <c r="C6" s="66"/>
      <c r="D6" s="3"/>
      <c r="E6" s="3"/>
      <c r="F6" s="3"/>
      <c r="G6" s="50"/>
      <c r="H6" s="50"/>
      <c r="I6" s="68"/>
    </row>
    <row r="7" spans="1:10" s="15" customFormat="1" ht="14.25" x14ac:dyDescent="0.2">
      <c r="A7" s="25" t="s">
        <v>5</v>
      </c>
      <c r="B7" s="26" t="s">
        <v>12</v>
      </c>
      <c r="C7" s="66"/>
      <c r="D7" s="3"/>
      <c r="E7" s="3"/>
      <c r="F7" s="3"/>
      <c r="G7" s="50"/>
      <c r="H7" s="50"/>
      <c r="I7" s="68"/>
    </row>
    <row r="8" spans="1:10" s="15" customFormat="1" ht="14.25" x14ac:dyDescent="0.2">
      <c r="A8" s="25" t="s">
        <v>6</v>
      </c>
      <c r="B8" s="26" t="s">
        <v>13</v>
      </c>
      <c r="C8" s="66"/>
      <c r="D8" s="3"/>
      <c r="E8" s="3"/>
      <c r="F8" s="3"/>
      <c r="G8" s="50"/>
      <c r="H8" s="50"/>
      <c r="I8" s="68"/>
    </row>
    <row r="9" spans="1:10" s="15" customFormat="1" ht="14.25" x14ac:dyDescent="0.2">
      <c r="A9" s="25" t="s">
        <v>7</v>
      </c>
      <c r="B9" s="26" t="s">
        <v>14</v>
      </c>
      <c r="C9" s="66"/>
      <c r="D9" s="3"/>
      <c r="E9" s="3"/>
      <c r="F9" s="3"/>
      <c r="G9" s="50"/>
      <c r="H9" s="50"/>
      <c r="I9" s="68"/>
    </row>
    <row r="10" spans="1:10" s="15" customFormat="1" ht="14.25" x14ac:dyDescent="0.2">
      <c r="A10" s="25" t="s">
        <v>8</v>
      </c>
      <c r="B10" s="26" t="s">
        <v>15</v>
      </c>
      <c r="C10" s="66"/>
      <c r="D10" s="3"/>
      <c r="E10" s="3"/>
      <c r="F10" s="3"/>
      <c r="G10" s="50"/>
      <c r="H10" s="50"/>
      <c r="I10" s="68"/>
    </row>
    <row r="11" spans="1:10" s="15" customFormat="1" ht="14.25" x14ac:dyDescent="0.2">
      <c r="A11" s="25" t="s">
        <v>9</v>
      </c>
      <c r="B11" s="26" t="s">
        <v>16</v>
      </c>
      <c r="C11" s="66"/>
      <c r="D11" s="3"/>
      <c r="E11" s="3"/>
      <c r="F11" s="3"/>
      <c r="G11" s="50"/>
      <c r="H11" s="50"/>
      <c r="I11" s="68"/>
    </row>
    <row r="12" spans="1:10" s="57" customFormat="1" ht="14.25" x14ac:dyDescent="0.2">
      <c r="A12" s="25"/>
      <c r="B12" s="54" t="s">
        <v>816</v>
      </c>
      <c r="C12" s="40">
        <f>SUM(C6:C11)</f>
        <v>0</v>
      </c>
      <c r="D12" s="40">
        <f t="shared" ref="D12:G12" si="0">SUM(D6:D11)</f>
        <v>0</v>
      </c>
      <c r="E12" s="40">
        <f t="shared" si="0"/>
        <v>0</v>
      </c>
      <c r="F12" s="40">
        <f t="shared" si="0"/>
        <v>0</v>
      </c>
      <c r="G12" s="40">
        <f t="shared" si="0"/>
        <v>0</v>
      </c>
      <c r="H12" s="40">
        <f t="shared" ref="H12" si="1">SUM(H6:H11)</f>
        <v>0</v>
      </c>
      <c r="I12" s="68"/>
    </row>
    <row r="13" spans="1:10" s="15" customFormat="1" x14ac:dyDescent="0.2">
      <c r="A13" s="83" t="s">
        <v>815</v>
      </c>
      <c r="B13" s="84"/>
      <c r="C13" s="28" t="s">
        <v>2</v>
      </c>
      <c r="D13" s="28" t="s">
        <v>3</v>
      </c>
      <c r="E13" s="28" t="s">
        <v>17</v>
      </c>
      <c r="F13" s="28" t="s">
        <v>18</v>
      </c>
      <c r="G13" s="49" t="s">
        <v>19</v>
      </c>
      <c r="H13" s="49" t="s">
        <v>829</v>
      </c>
      <c r="I13" s="67"/>
      <c r="J13" s="24"/>
    </row>
    <row r="14" spans="1:10" s="15" customFormat="1" ht="14.25" x14ac:dyDescent="0.2">
      <c r="A14" s="25" t="s">
        <v>793</v>
      </c>
      <c r="B14" s="26" t="s">
        <v>800</v>
      </c>
      <c r="C14" s="66"/>
      <c r="D14" s="3"/>
      <c r="E14" s="3"/>
      <c r="F14" s="3"/>
      <c r="G14" s="50"/>
      <c r="H14" s="50"/>
      <c r="I14" s="68"/>
    </row>
    <row r="15" spans="1:10" s="15" customFormat="1" ht="14.25" x14ac:dyDescent="0.2">
      <c r="A15" s="25" t="s">
        <v>794</v>
      </c>
      <c r="B15" s="26" t="s">
        <v>801</v>
      </c>
      <c r="C15" s="66"/>
      <c r="D15" s="3"/>
      <c r="E15" s="3"/>
      <c r="F15" s="3"/>
      <c r="G15" s="50"/>
      <c r="H15" s="50"/>
      <c r="I15" s="68"/>
    </row>
    <row r="16" spans="1:10" s="15" customFormat="1" ht="14.25" x14ac:dyDescent="0.2">
      <c r="A16" s="25" t="s">
        <v>795</v>
      </c>
      <c r="B16" s="26" t="s">
        <v>802</v>
      </c>
      <c r="C16" s="66"/>
      <c r="D16" s="3"/>
      <c r="E16" s="3"/>
      <c r="F16" s="3"/>
      <c r="G16" s="50"/>
      <c r="H16" s="50"/>
      <c r="I16" s="68"/>
    </row>
    <row r="17" spans="1:9" s="15" customFormat="1" ht="14.25" x14ac:dyDescent="0.2">
      <c r="A17" s="25" t="s">
        <v>796</v>
      </c>
      <c r="B17" s="26" t="s">
        <v>803</v>
      </c>
      <c r="C17" s="66"/>
      <c r="D17" s="3"/>
      <c r="E17" s="3"/>
      <c r="F17" s="3"/>
      <c r="G17" s="50"/>
      <c r="H17" s="50"/>
      <c r="I17" s="68"/>
    </row>
    <row r="18" spans="1:9" s="15" customFormat="1" ht="14.25" x14ac:dyDescent="0.2">
      <c r="A18" s="25" t="s">
        <v>797</v>
      </c>
      <c r="B18" s="26" t="s">
        <v>804</v>
      </c>
      <c r="C18" s="66"/>
      <c r="D18" s="3"/>
      <c r="E18" s="3"/>
      <c r="F18" s="3"/>
      <c r="G18" s="50"/>
      <c r="H18" s="50"/>
      <c r="I18" s="68"/>
    </row>
    <row r="19" spans="1:9" s="15" customFormat="1" ht="14.25" x14ac:dyDescent="0.2">
      <c r="A19" s="25" t="s">
        <v>798</v>
      </c>
      <c r="B19" s="26" t="s">
        <v>805</v>
      </c>
      <c r="C19" s="66"/>
      <c r="D19" s="3"/>
      <c r="E19" s="3"/>
      <c r="F19" s="3"/>
      <c r="G19" s="50"/>
      <c r="H19" s="50"/>
      <c r="I19" s="68"/>
    </row>
    <row r="20" spans="1:9" s="15" customFormat="1" ht="14.25" x14ac:dyDescent="0.2">
      <c r="A20" s="25" t="s">
        <v>799</v>
      </c>
      <c r="B20" s="26" t="s">
        <v>806</v>
      </c>
      <c r="C20" s="66"/>
      <c r="D20" s="3"/>
      <c r="E20" s="3"/>
      <c r="F20" s="3"/>
      <c r="G20" s="50"/>
      <c r="H20" s="50"/>
      <c r="I20" s="68"/>
    </row>
    <row r="21" spans="1:9" s="15" customFormat="1" ht="14.25" x14ac:dyDescent="0.2">
      <c r="A21" s="25" t="s">
        <v>10</v>
      </c>
      <c r="B21" s="26" t="s">
        <v>807</v>
      </c>
      <c r="C21" s="66"/>
      <c r="D21" s="3"/>
      <c r="E21" s="3"/>
      <c r="F21" s="3"/>
      <c r="G21" s="50"/>
      <c r="H21" s="50"/>
      <c r="I21" s="68"/>
    </row>
    <row r="22" spans="1:9" s="57" customFormat="1" ht="14.25" x14ac:dyDescent="0.2">
      <c r="A22" s="55"/>
      <c r="B22" s="54" t="s">
        <v>817</v>
      </c>
      <c r="C22" s="40">
        <f>SUM(C14:C21)</f>
        <v>0</v>
      </c>
      <c r="D22" s="40">
        <f t="shared" ref="D22:G22" si="2">SUM(D14:D21)</f>
        <v>0</v>
      </c>
      <c r="E22" s="40">
        <f t="shared" si="2"/>
        <v>0</v>
      </c>
      <c r="F22" s="40">
        <f t="shared" si="2"/>
        <v>0</v>
      </c>
      <c r="G22" s="40">
        <f t="shared" si="2"/>
        <v>0</v>
      </c>
      <c r="H22" s="40">
        <f t="shared" ref="H22" si="3">SUM(H14:H21)</f>
        <v>0</v>
      </c>
      <c r="I22" s="68"/>
    </row>
    <row r="23" spans="1:9" s="24" customFormat="1" x14ac:dyDescent="0.2">
      <c r="A23" s="83" t="s">
        <v>0</v>
      </c>
      <c r="B23" s="84"/>
      <c r="C23" s="28" t="s">
        <v>2</v>
      </c>
      <c r="D23" s="28" t="s">
        <v>3</v>
      </c>
      <c r="E23" s="28" t="s">
        <v>17</v>
      </c>
      <c r="F23" s="28" t="s">
        <v>18</v>
      </c>
      <c r="G23" s="49" t="s">
        <v>19</v>
      </c>
      <c r="H23" s="49" t="s">
        <v>829</v>
      </c>
      <c r="I23" s="67"/>
    </row>
    <row r="24" spans="1:9" s="15" customFormat="1" ht="14.25" x14ac:dyDescent="0.2">
      <c r="A24" s="25" t="s">
        <v>808</v>
      </c>
      <c r="B24" s="26" t="s">
        <v>809</v>
      </c>
      <c r="C24" s="66"/>
      <c r="D24" s="3"/>
      <c r="E24" s="3"/>
      <c r="F24" s="3"/>
      <c r="G24" s="50"/>
      <c r="H24" s="50"/>
      <c r="I24" s="68"/>
    </row>
    <row r="25" spans="1:9" s="15" customFormat="1" ht="14.25" x14ac:dyDescent="0.2">
      <c r="A25" s="25" t="s">
        <v>810</v>
      </c>
      <c r="B25" s="26" t="s">
        <v>811</v>
      </c>
      <c r="C25" s="66"/>
      <c r="D25" s="3"/>
      <c r="E25" s="3"/>
      <c r="F25" s="3"/>
      <c r="G25" s="50"/>
      <c r="H25" s="50"/>
      <c r="I25" s="68"/>
    </row>
    <row r="26" spans="1:9" s="15" customFormat="1" ht="14.25" x14ac:dyDescent="0.2">
      <c r="A26" s="25" t="s">
        <v>812</v>
      </c>
      <c r="B26" s="26" t="s">
        <v>813</v>
      </c>
      <c r="C26" s="66"/>
      <c r="D26" s="3"/>
      <c r="E26" s="3"/>
      <c r="F26" s="3"/>
      <c r="G26" s="50"/>
      <c r="H26" s="50"/>
      <c r="I26" s="68"/>
    </row>
    <row r="27" spans="1:9" s="57" customFormat="1" ht="14.25" x14ac:dyDescent="0.2">
      <c r="A27" s="25"/>
      <c r="B27" s="54" t="s">
        <v>818</v>
      </c>
      <c r="C27" s="40">
        <f>SUM(C24:C26)</f>
        <v>0</v>
      </c>
      <c r="D27" s="40">
        <f t="shared" ref="D27:G27" si="4">SUM(D24:D26)</f>
        <v>0</v>
      </c>
      <c r="E27" s="40">
        <f t="shared" si="4"/>
        <v>0</v>
      </c>
      <c r="F27" s="40">
        <f t="shared" si="4"/>
        <v>0</v>
      </c>
      <c r="G27" s="40">
        <f t="shared" si="4"/>
        <v>0</v>
      </c>
      <c r="H27" s="40">
        <f t="shared" ref="H27" si="5">SUM(H24:H26)</f>
        <v>0</v>
      </c>
      <c r="I27" s="68"/>
    </row>
    <row r="28" spans="1:9" s="60" customFormat="1" ht="15.75" x14ac:dyDescent="0.25">
      <c r="A28" s="85" t="s">
        <v>819</v>
      </c>
      <c r="B28" s="86"/>
      <c r="C28" s="58" t="s">
        <v>2</v>
      </c>
      <c r="D28" s="58" t="s">
        <v>3</v>
      </c>
      <c r="E28" s="58" t="s">
        <v>17</v>
      </c>
      <c r="F28" s="58" t="s">
        <v>18</v>
      </c>
      <c r="G28" s="59" t="s">
        <v>19</v>
      </c>
      <c r="H28" s="59" t="s">
        <v>829</v>
      </c>
      <c r="I28" s="69"/>
    </row>
    <row r="29" spans="1:9" s="64" customFormat="1" ht="79.900000000000006" customHeight="1" x14ac:dyDescent="0.2">
      <c r="A29" s="56"/>
      <c r="B29" s="61" t="s">
        <v>831</v>
      </c>
      <c r="C29" s="62">
        <f>(C12+C22+C27)</f>
        <v>0</v>
      </c>
      <c r="D29" s="62">
        <f t="shared" ref="D29:G29" si="6">(D12+D22+D27)</f>
        <v>0</v>
      </c>
      <c r="E29" s="62">
        <f t="shared" si="6"/>
        <v>0</v>
      </c>
      <c r="F29" s="62">
        <f t="shared" si="6"/>
        <v>0</v>
      </c>
      <c r="G29" s="62">
        <f t="shared" si="6"/>
        <v>0</v>
      </c>
      <c r="H29" s="62">
        <f t="shared" ref="H29" si="7">(H12+H22+H27)</f>
        <v>0</v>
      </c>
      <c r="I29" s="63"/>
    </row>
  </sheetData>
  <sheetProtection password="CA83" sheet="1" objects="1" scenarios="1" selectLockedCells="1"/>
  <mergeCells count="6">
    <mergeCell ref="D4:H4"/>
    <mergeCell ref="A28:B28"/>
    <mergeCell ref="A4:B4"/>
    <mergeCell ref="A5:B5"/>
    <mergeCell ref="A13:B13"/>
    <mergeCell ref="A23:B23"/>
  </mergeCells>
  <conditionalFormatting sqref="D29:G29">
    <cfRule type="cellIs" dxfId="1" priority="2" operator="greaterThan">
      <formula>0</formula>
    </cfRule>
  </conditionalFormatting>
  <conditionalFormatting sqref="H29">
    <cfRule type="cellIs" dxfId="0" priority="1" operator="greaterThan">
      <formula>0</formula>
    </cfRule>
  </conditionalFormatting>
  <pageMargins left="0.7" right="0.7" top="0.75" bottom="0.75" header="0.3" footer="0.3"/>
  <pageSetup paperSize="5" scale="85" orientation="landscape" horizontalDpi="4294967293" verticalDpi="4294967293" r:id="rId1"/>
  <headerFooter>
    <oddHeader>&amp;CSTRAIGHT A FUND - FINANCIAL IMPACT TABLE
Educational Service Center</oddHeader>
  </headerFooter>
  <colBreaks count="1" manualBreakCount="1">
    <brk id="8" max="28"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F666"/>
  <sheetViews>
    <sheetView workbookViewId="0">
      <selection activeCell="B9" sqref="B9"/>
    </sheetView>
  </sheetViews>
  <sheetFormatPr defaultRowHeight="12.75" x14ac:dyDescent="0.2"/>
  <cols>
    <col min="2" max="2" width="34.42578125" bestFit="1" customWidth="1"/>
    <col min="3" max="3" width="11" customWidth="1"/>
    <col min="4" max="4" width="12.42578125" style="72" bestFit="1" customWidth="1"/>
    <col min="5" max="6" width="11.42578125" style="72" bestFit="1" customWidth="1"/>
    <col min="7" max="7" width="12.42578125" style="72" bestFit="1" customWidth="1"/>
    <col min="8" max="8" width="10.42578125" style="72" bestFit="1" customWidth="1"/>
    <col min="9" max="9" width="8.85546875" style="72" bestFit="1" customWidth="1"/>
    <col min="10" max="11" width="11.42578125" style="72" bestFit="1" customWidth="1"/>
    <col min="12" max="12" width="12.42578125" style="72" bestFit="1" customWidth="1"/>
    <col min="13" max="13" width="10.42578125" style="72" bestFit="1" customWidth="1"/>
    <col min="14" max="14" width="5" style="72" bestFit="1" customWidth="1"/>
    <col min="15" max="15" width="10.42578125" style="72" bestFit="1" customWidth="1"/>
    <col min="16" max="16" width="11.42578125" style="72" bestFit="1" customWidth="1"/>
    <col min="17" max="17" width="10.42578125" style="72" bestFit="1" customWidth="1"/>
    <col min="18" max="18" width="11.42578125" style="72" bestFit="1" customWidth="1"/>
    <col min="19" max="22" width="12.42578125" style="72" bestFit="1" customWidth="1"/>
    <col min="23" max="23" width="11.42578125" style="72" bestFit="1" customWidth="1"/>
    <col min="24" max="25" width="10.42578125" style="72" bestFit="1" customWidth="1"/>
    <col min="26" max="26" width="8.85546875" style="72" bestFit="1" customWidth="1"/>
    <col min="27" max="32" width="10.42578125" style="72" bestFit="1" customWidth="1"/>
    <col min="33" max="33" width="11.42578125" style="72" bestFit="1" customWidth="1"/>
    <col min="34" max="34" width="12.42578125" style="72" bestFit="1" customWidth="1"/>
    <col min="35" max="36" width="11.42578125" style="72" bestFit="1" customWidth="1"/>
    <col min="37" max="37" width="10.42578125" style="72" bestFit="1" customWidth="1"/>
    <col min="38" max="38" width="11.42578125" style="72" bestFit="1" customWidth="1"/>
    <col min="39" max="39" width="12.42578125" style="72" bestFit="1" customWidth="1"/>
    <col min="40" max="40" width="12.140625" style="72" bestFit="1" customWidth="1"/>
    <col min="41" max="41" width="12.42578125" style="72" bestFit="1" customWidth="1"/>
    <col min="42" max="43" width="11.42578125" style="72" bestFit="1" customWidth="1"/>
    <col min="44" max="45" width="10.42578125" style="72" bestFit="1" customWidth="1"/>
    <col min="46" max="46" width="11.42578125" style="72" bestFit="1" customWidth="1"/>
    <col min="47" max="47" width="8.85546875" style="72" bestFit="1" customWidth="1"/>
    <col min="48" max="50" width="10.42578125" style="72" bestFit="1" customWidth="1"/>
    <col min="51" max="51" width="8.85546875" style="72" bestFit="1" customWidth="1"/>
    <col min="52" max="53" width="11.42578125" style="72" bestFit="1" customWidth="1"/>
    <col min="54" max="54" width="8.85546875" style="72" bestFit="1" customWidth="1"/>
    <col min="55" max="56" width="10.42578125" style="72" bestFit="1" customWidth="1"/>
    <col min="57" max="57" width="11.42578125" style="72" bestFit="1" customWidth="1"/>
    <col min="58" max="58" width="8.85546875" style="72" bestFit="1" customWidth="1"/>
    <col min="59" max="60" width="10.42578125" style="72" bestFit="1" customWidth="1"/>
    <col min="61" max="61" width="5" style="72" bestFit="1" customWidth="1"/>
    <col min="62" max="62" width="11.42578125" style="72" bestFit="1" customWidth="1"/>
    <col min="63" max="63" width="6.85546875" style="72" bestFit="1" customWidth="1"/>
    <col min="64" max="64" width="7.85546875" style="72" bestFit="1" customWidth="1"/>
    <col min="65" max="67" width="8.85546875" style="72" bestFit="1" customWidth="1"/>
    <col min="68" max="69" width="5" style="72" bestFit="1" customWidth="1"/>
    <col min="70" max="70" width="8.85546875" style="72" bestFit="1" customWidth="1"/>
    <col min="71" max="71" width="17.140625" style="72" bestFit="1" customWidth="1"/>
    <col min="72" max="72" width="11.28515625" style="72" customWidth="1"/>
    <col min="73" max="73" width="13.28515625" style="72" bestFit="1" customWidth="1"/>
    <col min="74" max="74" width="12.7109375" style="72" customWidth="1"/>
    <col min="75" max="75" width="13.28515625" style="72" customWidth="1"/>
    <col min="76" max="76" width="12.7109375" style="72" customWidth="1"/>
    <col min="77" max="77" width="13.28515625" style="72" customWidth="1"/>
    <col min="78" max="78" width="12.7109375" style="72" customWidth="1"/>
    <col min="79" max="79" width="13.28515625" style="72" customWidth="1"/>
    <col min="80" max="80" width="12.7109375" style="72" bestFit="1" customWidth="1"/>
    <col min="81" max="81" width="13.28515625" style="72" customWidth="1"/>
    <col min="82" max="82" width="12.7109375" style="72" bestFit="1" customWidth="1"/>
    <col min="83" max="83" width="13.28515625" style="72" customWidth="1"/>
    <col min="84" max="84" width="12.7109375" style="72" customWidth="1"/>
    <col min="85" max="85" width="13.28515625" bestFit="1" customWidth="1"/>
    <col min="86" max="86" width="12.7109375" customWidth="1"/>
    <col min="87" max="87" width="13.28515625" customWidth="1"/>
    <col min="88" max="88" width="12.7109375" customWidth="1"/>
    <col min="89" max="89" width="13.28515625" bestFit="1" customWidth="1"/>
    <col min="90" max="90" width="12.7109375" customWidth="1"/>
    <col min="91" max="91" width="13.28515625" bestFit="1" customWidth="1"/>
    <col min="92" max="92" width="12.7109375" bestFit="1" customWidth="1"/>
    <col min="93" max="93" width="13.28515625" bestFit="1" customWidth="1"/>
    <col min="94" max="94" width="12.7109375" bestFit="1" customWidth="1"/>
    <col min="95" max="95" width="13.28515625" bestFit="1" customWidth="1"/>
    <col min="96" max="96" width="12.7109375" bestFit="1" customWidth="1"/>
    <col min="97" max="97" width="13.28515625" bestFit="1" customWidth="1"/>
    <col min="98" max="98" width="12.7109375" bestFit="1" customWidth="1"/>
    <col min="99" max="99" width="13.28515625" bestFit="1" customWidth="1"/>
    <col min="100" max="100" width="12.7109375" bestFit="1" customWidth="1"/>
    <col min="101" max="101" width="13.28515625" bestFit="1" customWidth="1"/>
    <col min="102" max="102" width="12.7109375" bestFit="1" customWidth="1"/>
    <col min="103" max="103" width="13.28515625" bestFit="1" customWidth="1"/>
    <col min="104" max="104" width="12.7109375" bestFit="1" customWidth="1"/>
    <col min="105" max="105" width="13.28515625" bestFit="1" customWidth="1"/>
    <col min="106" max="106" width="12.7109375" bestFit="1" customWidth="1"/>
    <col min="107" max="107" width="13.28515625" bestFit="1" customWidth="1"/>
    <col min="108" max="108" width="12.7109375" bestFit="1" customWidth="1"/>
    <col min="109" max="109" width="13.28515625" bestFit="1" customWidth="1"/>
    <col min="110" max="110" width="12.7109375" bestFit="1" customWidth="1"/>
    <col min="111" max="111" width="13.28515625" bestFit="1" customWidth="1"/>
    <col min="112" max="112" width="12.7109375" bestFit="1" customWidth="1"/>
    <col min="113" max="113" width="13.28515625" bestFit="1" customWidth="1"/>
    <col min="114" max="114" width="12.7109375" bestFit="1" customWidth="1"/>
    <col min="115" max="115" width="13.28515625" bestFit="1" customWidth="1"/>
    <col min="116" max="116" width="12.7109375" bestFit="1" customWidth="1"/>
    <col min="117" max="117" width="13.28515625" bestFit="1" customWidth="1"/>
    <col min="118" max="118" width="12.7109375" bestFit="1" customWidth="1"/>
    <col min="119" max="119" width="13.28515625" bestFit="1" customWidth="1"/>
    <col min="120" max="120" width="12.7109375" bestFit="1" customWidth="1"/>
    <col min="121" max="121" width="13.28515625" bestFit="1" customWidth="1"/>
    <col min="122" max="122" width="12.7109375" bestFit="1" customWidth="1"/>
    <col min="123" max="123" width="13.28515625" bestFit="1" customWidth="1"/>
    <col min="124" max="124" width="12.7109375" bestFit="1" customWidth="1"/>
    <col min="125" max="125" width="13.28515625" bestFit="1" customWidth="1"/>
    <col min="126" max="126" width="12.7109375" bestFit="1" customWidth="1"/>
    <col min="127" max="127" width="13.28515625" bestFit="1" customWidth="1"/>
    <col min="128" max="128" width="12.7109375" bestFit="1" customWidth="1"/>
    <col min="129" max="129" width="13.28515625" bestFit="1" customWidth="1"/>
    <col min="130" max="130" width="12.7109375" bestFit="1" customWidth="1"/>
    <col min="131" max="131" width="13.28515625" bestFit="1" customWidth="1"/>
    <col min="132" max="132" width="12.7109375" bestFit="1" customWidth="1"/>
    <col min="133" max="133" width="13.28515625" bestFit="1" customWidth="1"/>
    <col min="134" max="134" width="12.7109375" bestFit="1" customWidth="1"/>
    <col min="135" max="135" width="13.28515625" bestFit="1" customWidth="1"/>
    <col min="136" max="136" width="12.7109375" bestFit="1" customWidth="1"/>
    <col min="137" max="137" width="13.28515625" bestFit="1" customWidth="1"/>
    <col min="138" max="138" width="12.7109375" bestFit="1" customWidth="1"/>
    <col min="139" max="139" width="13.28515625" bestFit="1" customWidth="1"/>
    <col min="140" max="140" width="12.7109375" bestFit="1" customWidth="1"/>
    <col min="141" max="141" width="13.28515625" bestFit="1" customWidth="1"/>
    <col min="142" max="142" width="12.7109375" bestFit="1" customWidth="1"/>
    <col min="143" max="143" width="13.28515625" bestFit="1" customWidth="1"/>
    <col min="144" max="144" width="12.7109375" bestFit="1" customWidth="1"/>
    <col min="145" max="145" width="13.28515625" bestFit="1" customWidth="1"/>
    <col min="146" max="146" width="12.7109375" bestFit="1" customWidth="1"/>
    <col min="147" max="147" width="13.28515625" bestFit="1" customWidth="1"/>
    <col min="148" max="148" width="12.7109375" bestFit="1" customWidth="1"/>
    <col min="149" max="149" width="13.28515625" bestFit="1" customWidth="1"/>
    <col min="150" max="150" width="12.7109375" bestFit="1" customWidth="1"/>
    <col min="151" max="151" width="13.28515625" bestFit="1" customWidth="1"/>
    <col min="152" max="152" width="12.7109375" bestFit="1" customWidth="1"/>
    <col min="153" max="153" width="13.28515625" bestFit="1" customWidth="1"/>
    <col min="154" max="154" width="12.7109375" bestFit="1" customWidth="1"/>
    <col min="155" max="155" width="13.28515625" bestFit="1" customWidth="1"/>
    <col min="156" max="156" width="12.7109375" bestFit="1" customWidth="1"/>
    <col min="157" max="157" width="13.28515625" bestFit="1" customWidth="1"/>
    <col min="158" max="158" width="12.7109375" bestFit="1" customWidth="1"/>
    <col min="159" max="159" width="13.28515625" bestFit="1" customWidth="1"/>
    <col min="160" max="160" width="12.7109375" bestFit="1" customWidth="1"/>
    <col min="161" max="161" width="13.28515625" bestFit="1" customWidth="1"/>
    <col min="162" max="162" width="12.7109375" bestFit="1" customWidth="1"/>
    <col min="163" max="163" width="13.28515625" bestFit="1" customWidth="1"/>
    <col min="164" max="164" width="12.7109375" bestFit="1" customWidth="1"/>
    <col min="165" max="165" width="13.28515625" bestFit="1" customWidth="1"/>
    <col min="166" max="166" width="12.7109375" bestFit="1" customWidth="1"/>
    <col min="167" max="167" width="13.28515625" bestFit="1" customWidth="1"/>
    <col min="168" max="168" width="12.7109375" bestFit="1" customWidth="1"/>
    <col min="169" max="169" width="13.28515625" bestFit="1" customWidth="1"/>
    <col min="170" max="170" width="12.7109375" bestFit="1" customWidth="1"/>
    <col min="171" max="171" width="13.28515625" bestFit="1" customWidth="1"/>
    <col min="172" max="172" width="12.7109375" bestFit="1" customWidth="1"/>
    <col min="173" max="173" width="13.28515625" bestFit="1" customWidth="1"/>
    <col min="174" max="174" width="12.7109375" bestFit="1" customWidth="1"/>
    <col min="175" max="175" width="13.28515625" bestFit="1" customWidth="1"/>
    <col min="176" max="176" width="12.7109375" bestFit="1" customWidth="1"/>
    <col min="177" max="177" width="13.28515625" bestFit="1" customWidth="1"/>
    <col min="178" max="178" width="12.7109375" bestFit="1" customWidth="1"/>
    <col min="179" max="179" width="13.28515625" bestFit="1" customWidth="1"/>
    <col min="180" max="180" width="17.85546875" bestFit="1" customWidth="1"/>
    <col min="181" max="181" width="18.28515625" bestFit="1" customWidth="1"/>
  </cols>
  <sheetData>
    <row r="1" spans="1:71" s="1" customFormat="1" x14ac:dyDescent="0.2">
      <c r="A1" s="1" t="s">
        <v>21</v>
      </c>
      <c r="B1" s="1" t="s">
        <v>834</v>
      </c>
      <c r="C1" s="1" t="s">
        <v>20</v>
      </c>
      <c r="D1" s="1">
        <v>1.01</v>
      </c>
      <c r="E1" s="1">
        <v>1.02</v>
      </c>
      <c r="F1" s="1">
        <v>1.03</v>
      </c>
      <c r="G1" s="1">
        <v>1.0349999999999999</v>
      </c>
      <c r="H1" s="1">
        <v>1.04</v>
      </c>
      <c r="I1" s="1">
        <v>1.0449999999999999</v>
      </c>
      <c r="J1" s="1">
        <v>1.05</v>
      </c>
      <c r="K1" s="1">
        <v>1.06</v>
      </c>
      <c r="L1" s="1">
        <v>1.07</v>
      </c>
      <c r="M1" s="1">
        <v>2.0099999999999998</v>
      </c>
      <c r="N1" s="1">
        <v>2.02</v>
      </c>
      <c r="O1" s="1">
        <v>2.04</v>
      </c>
      <c r="P1" s="1">
        <v>2.0499999999999998</v>
      </c>
      <c r="Q1" s="1">
        <v>2.06</v>
      </c>
      <c r="R1" s="1">
        <v>2.0699999999999998</v>
      </c>
      <c r="S1" s="1">
        <v>2.08</v>
      </c>
      <c r="T1" s="1">
        <v>3.01</v>
      </c>
      <c r="U1" s="1">
        <v>3.02</v>
      </c>
      <c r="V1" s="1">
        <v>3.03</v>
      </c>
      <c r="W1" s="1">
        <v>3.04</v>
      </c>
      <c r="X1" s="1">
        <v>3.05</v>
      </c>
      <c r="Y1" s="1">
        <v>3.06</v>
      </c>
      <c r="Z1" s="1">
        <v>4.01</v>
      </c>
      <c r="AA1" s="1">
        <v>4.0199999999999996</v>
      </c>
      <c r="AB1" s="1">
        <v>4.03</v>
      </c>
      <c r="AC1" s="1">
        <v>4.04</v>
      </c>
      <c r="AD1" s="1">
        <v>4.05</v>
      </c>
      <c r="AE1" s="1">
        <v>4.0549999999999997</v>
      </c>
      <c r="AF1" s="1">
        <v>4.0599999999999996</v>
      </c>
      <c r="AG1" s="1">
        <v>4.3</v>
      </c>
      <c r="AH1" s="1">
        <v>4.5</v>
      </c>
      <c r="AI1" s="1">
        <v>5.01</v>
      </c>
      <c r="AJ1" s="1">
        <v>5.0199999999999996</v>
      </c>
      <c r="AK1" s="1">
        <v>5.03</v>
      </c>
      <c r="AL1" s="1">
        <v>5.04</v>
      </c>
      <c r="AM1" s="1">
        <v>5.05</v>
      </c>
      <c r="AN1" s="1">
        <v>6.01</v>
      </c>
      <c r="AO1" s="1">
        <v>7.01</v>
      </c>
      <c r="AP1" s="1">
        <v>7.02</v>
      </c>
      <c r="AQ1" s="1">
        <v>8.01</v>
      </c>
      <c r="AR1" s="1">
        <v>9.01</v>
      </c>
      <c r="AS1" s="1">
        <v>9.02</v>
      </c>
      <c r="AT1" s="1">
        <v>9.0299999999999994</v>
      </c>
      <c r="AU1" s="1">
        <v>9.0399999999999991</v>
      </c>
      <c r="AV1" s="1">
        <v>9.0449999999999999</v>
      </c>
      <c r="AW1" s="1">
        <v>9.0500000000000007</v>
      </c>
      <c r="AX1" s="1">
        <v>9.06</v>
      </c>
      <c r="AY1" s="1">
        <v>9.07</v>
      </c>
      <c r="AZ1" s="1">
        <v>9.08</v>
      </c>
      <c r="BA1" s="1">
        <v>10.01</v>
      </c>
      <c r="BB1" s="1">
        <v>11.01</v>
      </c>
      <c r="BC1" s="1">
        <v>11.02</v>
      </c>
      <c r="BD1" s="1">
        <v>11.3</v>
      </c>
      <c r="BE1" s="1">
        <v>12.01</v>
      </c>
      <c r="BF1" s="1">
        <v>13.01</v>
      </c>
      <c r="BG1" s="1">
        <v>13.02</v>
      </c>
      <c r="BH1" s="1">
        <v>13.03</v>
      </c>
      <c r="BI1" s="1">
        <v>14.01</v>
      </c>
      <c r="BJ1" s="1">
        <v>15.01</v>
      </c>
      <c r="BK1" s="1">
        <v>20.010000000000002</v>
      </c>
      <c r="BL1" s="1">
        <v>20.015000000000001</v>
      </c>
      <c r="BM1" s="1">
        <v>21.01</v>
      </c>
      <c r="BN1" s="1">
        <v>21.02</v>
      </c>
      <c r="BO1" s="1">
        <v>21.03</v>
      </c>
      <c r="BP1" s="1">
        <v>21.04</v>
      </c>
      <c r="BQ1" s="1">
        <v>21.05</v>
      </c>
      <c r="BR1" s="1">
        <v>21.06</v>
      </c>
      <c r="BS1" s="1" t="s">
        <v>113</v>
      </c>
    </row>
    <row r="2" spans="1:71" x14ac:dyDescent="0.2">
      <c r="A2" t="s">
        <v>448</v>
      </c>
      <c r="B2" t="s">
        <v>1154</v>
      </c>
      <c r="C2" t="s">
        <v>31</v>
      </c>
      <c r="D2" s="72">
        <v>2016765</v>
      </c>
      <c r="E2" s="72">
        <v>5048235</v>
      </c>
      <c r="F2" s="72">
        <v>0</v>
      </c>
      <c r="G2" s="72">
        <v>1563539</v>
      </c>
      <c r="H2" s="72">
        <v>28</v>
      </c>
      <c r="I2" s="72">
        <v>0</v>
      </c>
      <c r="J2" s="72">
        <v>2637787</v>
      </c>
      <c r="K2" s="72">
        <v>747032</v>
      </c>
      <c r="L2" s="72">
        <v>12013386</v>
      </c>
      <c r="M2" s="72">
        <v>0</v>
      </c>
      <c r="N2" s="72">
        <v>0</v>
      </c>
      <c r="O2" s="72">
        <v>0</v>
      </c>
      <c r="P2" s="72">
        <v>0</v>
      </c>
      <c r="Q2" s="72">
        <v>6436</v>
      </c>
      <c r="R2" s="72">
        <v>6436</v>
      </c>
      <c r="S2" s="72">
        <v>12019822</v>
      </c>
      <c r="T2" s="72">
        <v>4735233</v>
      </c>
      <c r="U2" s="72">
        <v>2157523</v>
      </c>
      <c r="V2" s="72">
        <v>2323141</v>
      </c>
      <c r="W2" s="72">
        <v>442627</v>
      </c>
      <c r="X2" s="72">
        <v>256968</v>
      </c>
      <c r="Y2" s="72">
        <v>0</v>
      </c>
      <c r="Z2" s="72">
        <v>0</v>
      </c>
      <c r="AA2" s="72">
        <v>0</v>
      </c>
      <c r="AB2" s="72">
        <v>0</v>
      </c>
      <c r="AC2" s="72">
        <v>0</v>
      </c>
      <c r="AD2" s="72">
        <v>30000</v>
      </c>
      <c r="AE2" s="72">
        <v>35793</v>
      </c>
      <c r="AF2" s="72">
        <v>21805</v>
      </c>
      <c r="AG2" s="72">
        <v>374534</v>
      </c>
      <c r="AH2" s="72">
        <v>10377624</v>
      </c>
      <c r="AI2" s="72">
        <v>2015739</v>
      </c>
      <c r="AJ2" s="72">
        <v>0</v>
      </c>
      <c r="AK2" s="72">
        <v>0</v>
      </c>
      <c r="AL2" s="72">
        <v>2015739</v>
      </c>
      <c r="AM2" s="72">
        <v>12393363</v>
      </c>
      <c r="AN2" s="72">
        <v>-373541</v>
      </c>
      <c r="AO2" s="72">
        <v>5166670</v>
      </c>
      <c r="AP2" s="72">
        <v>4793129</v>
      </c>
      <c r="AQ2" s="72">
        <v>120000</v>
      </c>
      <c r="AR2" s="72">
        <v>0</v>
      </c>
      <c r="AS2" s="72">
        <v>0</v>
      </c>
      <c r="AT2" s="72">
        <v>0</v>
      </c>
      <c r="AU2" s="72">
        <v>0</v>
      </c>
      <c r="AV2" s="72">
        <v>0</v>
      </c>
      <c r="AW2" s="72">
        <v>0</v>
      </c>
      <c r="AX2" s="72">
        <v>0</v>
      </c>
      <c r="AY2" s="72">
        <v>0</v>
      </c>
      <c r="AZ2" s="72">
        <v>0</v>
      </c>
      <c r="BA2" s="72">
        <v>4673129</v>
      </c>
      <c r="BB2" s="72">
        <v>0</v>
      </c>
      <c r="BC2" s="72">
        <v>0</v>
      </c>
      <c r="BD2" s="72">
        <v>0</v>
      </c>
      <c r="BE2" s="72">
        <v>4673129</v>
      </c>
      <c r="BF2" s="72">
        <v>0</v>
      </c>
      <c r="BG2" s="72">
        <v>0</v>
      </c>
      <c r="BH2" s="72">
        <v>0</v>
      </c>
      <c r="BI2" s="72">
        <v>0</v>
      </c>
      <c r="BJ2" s="72">
        <v>4673129</v>
      </c>
      <c r="BK2" s="72">
        <v>0</v>
      </c>
      <c r="BL2" s="72">
        <v>0</v>
      </c>
      <c r="BM2" s="72">
        <v>0</v>
      </c>
      <c r="BN2" s="72">
        <v>0</v>
      </c>
      <c r="BO2" s="72">
        <v>0</v>
      </c>
      <c r="BP2" s="72">
        <v>0</v>
      </c>
      <c r="BQ2" s="72">
        <v>0</v>
      </c>
      <c r="BR2" s="72">
        <v>0</v>
      </c>
      <c r="BS2" s="72">
        <v>12393363</v>
      </c>
    </row>
    <row r="3" spans="1:71" x14ac:dyDescent="0.2">
      <c r="A3" t="s">
        <v>117</v>
      </c>
      <c r="B3" t="s">
        <v>838</v>
      </c>
      <c r="C3" t="s">
        <v>46</v>
      </c>
      <c r="D3" s="72">
        <v>103384602</v>
      </c>
      <c r="E3" s="72">
        <v>7465642</v>
      </c>
      <c r="F3" s="72">
        <v>0</v>
      </c>
      <c r="G3" s="72">
        <v>160156899</v>
      </c>
      <c r="H3" s="72">
        <v>3431385</v>
      </c>
      <c r="J3" s="72">
        <v>20488265</v>
      </c>
      <c r="K3" s="72">
        <v>11263678</v>
      </c>
      <c r="L3" s="72">
        <v>306190471</v>
      </c>
      <c r="M3" s="72">
        <v>0</v>
      </c>
      <c r="N3" s="72">
        <v>0</v>
      </c>
      <c r="O3" s="72">
        <v>32000</v>
      </c>
      <c r="R3" s="72">
        <v>32000</v>
      </c>
      <c r="S3" s="72">
        <v>306222471</v>
      </c>
      <c r="T3" s="72">
        <v>146483981</v>
      </c>
      <c r="U3" s="72">
        <v>64772763</v>
      </c>
      <c r="V3" s="72">
        <v>72432792</v>
      </c>
      <c r="W3" s="72">
        <v>9257816</v>
      </c>
      <c r="X3" s="72">
        <v>5807069</v>
      </c>
      <c r="Z3" s="72">
        <v>0</v>
      </c>
      <c r="AA3" s="72">
        <v>0</v>
      </c>
      <c r="AB3" s="72">
        <v>0</v>
      </c>
      <c r="AC3" s="72">
        <v>0</v>
      </c>
      <c r="AD3" s="72">
        <v>0</v>
      </c>
      <c r="AE3" s="72">
        <v>0</v>
      </c>
      <c r="AF3" s="72">
        <v>0</v>
      </c>
      <c r="AG3" s="72">
        <v>3450937</v>
      </c>
      <c r="AH3" s="72">
        <v>302205358</v>
      </c>
      <c r="AI3" s="72">
        <v>123500</v>
      </c>
      <c r="AK3" s="72">
        <v>0</v>
      </c>
      <c r="AM3" s="72">
        <v>302328858</v>
      </c>
      <c r="AO3" s="72">
        <v>13609028</v>
      </c>
      <c r="AP3" s="72">
        <v>17502641</v>
      </c>
      <c r="AQ3" s="72">
        <v>0</v>
      </c>
      <c r="AT3" s="72">
        <v>0</v>
      </c>
      <c r="AW3" s="72">
        <v>0</v>
      </c>
      <c r="AX3" s="72">
        <v>0</v>
      </c>
      <c r="AY3" s="72">
        <v>0</v>
      </c>
      <c r="BA3" s="72">
        <v>17502641</v>
      </c>
      <c r="BB3" s="72">
        <v>0</v>
      </c>
      <c r="BC3" s="72">
        <v>0</v>
      </c>
      <c r="BD3" s="72">
        <v>0</v>
      </c>
      <c r="BE3" s="72">
        <v>17502641</v>
      </c>
      <c r="BF3" s="72">
        <v>0</v>
      </c>
      <c r="BI3" s="72">
        <v>0</v>
      </c>
      <c r="BJ3" s="72">
        <v>17502641</v>
      </c>
      <c r="BK3" s="72">
        <v>2310</v>
      </c>
      <c r="BL3" s="72">
        <v>25009</v>
      </c>
      <c r="BS3" s="72">
        <v>306222471</v>
      </c>
    </row>
    <row r="4" spans="1:71" x14ac:dyDescent="0.2">
      <c r="A4" t="s">
        <v>120</v>
      </c>
      <c r="B4" t="s">
        <v>841</v>
      </c>
      <c r="C4" t="s">
        <v>55</v>
      </c>
      <c r="D4" s="72">
        <v>6276000</v>
      </c>
      <c r="E4" s="72">
        <v>0</v>
      </c>
      <c r="F4" s="72">
        <v>0</v>
      </c>
      <c r="G4" s="72">
        <v>19330913</v>
      </c>
      <c r="H4" s="72">
        <v>184975</v>
      </c>
      <c r="I4" s="72">
        <v>0</v>
      </c>
      <c r="J4" s="72">
        <v>1072572</v>
      </c>
      <c r="K4" s="72">
        <v>1000000</v>
      </c>
      <c r="L4" s="72">
        <v>27864460</v>
      </c>
      <c r="M4" s="72">
        <v>0</v>
      </c>
      <c r="N4" s="72">
        <v>0</v>
      </c>
      <c r="O4" s="72">
        <v>0</v>
      </c>
      <c r="P4" s="72">
        <v>0</v>
      </c>
      <c r="Q4" s="72">
        <v>64433</v>
      </c>
      <c r="R4" s="72">
        <v>64433</v>
      </c>
      <c r="S4" s="72">
        <v>27928893</v>
      </c>
      <c r="T4" s="72">
        <v>15700000</v>
      </c>
      <c r="U4" s="72">
        <v>5700000</v>
      </c>
      <c r="V4" s="72">
        <v>5024592</v>
      </c>
      <c r="W4" s="72">
        <v>800000</v>
      </c>
      <c r="X4" s="72">
        <v>260000</v>
      </c>
      <c r="Y4" s="72">
        <v>0</v>
      </c>
      <c r="Z4" s="72">
        <v>165600</v>
      </c>
      <c r="AA4" s="72">
        <v>0</v>
      </c>
      <c r="AB4" s="72">
        <v>0</v>
      </c>
      <c r="AC4" s="72">
        <v>0</v>
      </c>
      <c r="AD4" s="72">
        <v>0</v>
      </c>
      <c r="AE4" s="72">
        <v>0</v>
      </c>
      <c r="AF4" s="72">
        <v>21970</v>
      </c>
      <c r="AG4" s="72">
        <v>304615</v>
      </c>
      <c r="AH4" s="72">
        <v>27976777</v>
      </c>
      <c r="AI4" s="72">
        <v>0</v>
      </c>
      <c r="AJ4" s="72">
        <v>0</v>
      </c>
      <c r="AK4" s="72">
        <v>0</v>
      </c>
      <c r="AL4" s="72">
        <v>0</v>
      </c>
      <c r="AM4" s="72">
        <v>27976777</v>
      </c>
      <c r="AN4" s="72">
        <v>-47884</v>
      </c>
      <c r="AO4" s="72">
        <v>4735578</v>
      </c>
      <c r="AP4" s="72">
        <v>4687694</v>
      </c>
      <c r="AQ4" s="72">
        <v>0</v>
      </c>
      <c r="AR4" s="72">
        <v>0</v>
      </c>
      <c r="AS4" s="72">
        <v>0</v>
      </c>
      <c r="AT4" s="72">
        <v>0</v>
      </c>
      <c r="AU4" s="72">
        <v>0</v>
      </c>
      <c r="AV4" s="72">
        <v>0</v>
      </c>
      <c r="AW4" s="72">
        <v>0</v>
      </c>
      <c r="AX4" s="72">
        <v>0</v>
      </c>
      <c r="AY4" s="72">
        <v>0</v>
      </c>
      <c r="AZ4" s="72">
        <v>0</v>
      </c>
      <c r="BA4" s="72">
        <v>4687694</v>
      </c>
      <c r="BB4" s="72">
        <v>0</v>
      </c>
      <c r="BC4" s="72">
        <v>0</v>
      </c>
      <c r="BD4" s="72">
        <v>0</v>
      </c>
      <c r="BE4" s="72">
        <v>4687694</v>
      </c>
      <c r="BF4" s="72">
        <v>0</v>
      </c>
      <c r="BG4" s="72">
        <v>0</v>
      </c>
      <c r="BH4" s="72">
        <v>0</v>
      </c>
      <c r="BI4" s="72">
        <v>0</v>
      </c>
      <c r="BJ4" s="72">
        <v>4687694</v>
      </c>
      <c r="BK4" s="72">
        <v>238</v>
      </c>
      <c r="BL4" s="72">
        <v>2646</v>
      </c>
      <c r="BM4" s="72">
        <v>0</v>
      </c>
      <c r="BN4" s="72">
        <v>0</v>
      </c>
      <c r="BO4" s="72">
        <v>0</v>
      </c>
      <c r="BP4" s="72">
        <v>0</v>
      </c>
      <c r="BQ4" s="72">
        <v>0</v>
      </c>
      <c r="BR4" s="72">
        <v>0</v>
      </c>
      <c r="BS4" s="72">
        <v>27976777</v>
      </c>
    </row>
    <row r="5" spans="1:71" x14ac:dyDescent="0.2">
      <c r="A5" t="s">
        <v>132</v>
      </c>
      <c r="B5" t="s">
        <v>853</v>
      </c>
      <c r="C5" t="s">
        <v>78</v>
      </c>
      <c r="D5" s="72">
        <v>12974978</v>
      </c>
      <c r="E5" s="72">
        <v>1009592</v>
      </c>
      <c r="F5" s="72">
        <v>0</v>
      </c>
      <c r="G5" s="72">
        <v>10870284</v>
      </c>
      <c r="H5" s="72">
        <v>155831</v>
      </c>
      <c r="I5" s="72">
        <v>0</v>
      </c>
      <c r="J5" s="72">
        <v>3754952</v>
      </c>
      <c r="K5" s="72">
        <v>953026</v>
      </c>
      <c r="L5" s="72">
        <v>29718663</v>
      </c>
      <c r="M5" s="72">
        <v>0</v>
      </c>
      <c r="N5" s="72">
        <v>0</v>
      </c>
      <c r="O5" s="72">
        <v>0</v>
      </c>
      <c r="P5" s="72">
        <v>67423</v>
      </c>
      <c r="Q5" s="72">
        <v>0</v>
      </c>
      <c r="R5" s="72">
        <v>67423</v>
      </c>
      <c r="S5" s="72">
        <v>29786086</v>
      </c>
      <c r="T5" s="72">
        <v>15918018</v>
      </c>
      <c r="U5" s="72">
        <v>6856889</v>
      </c>
      <c r="V5" s="72">
        <v>5058002</v>
      </c>
      <c r="W5" s="72">
        <v>926966</v>
      </c>
      <c r="X5" s="72">
        <v>155143</v>
      </c>
      <c r="Y5" s="72">
        <v>0</v>
      </c>
      <c r="Z5" s="72">
        <v>0</v>
      </c>
      <c r="AA5" s="72">
        <v>0</v>
      </c>
      <c r="AB5" s="72">
        <v>0</v>
      </c>
      <c r="AC5" s="72">
        <v>0</v>
      </c>
      <c r="AD5" s="72">
        <v>250000</v>
      </c>
      <c r="AE5" s="72">
        <v>0</v>
      </c>
      <c r="AF5" s="72">
        <v>54590</v>
      </c>
      <c r="AG5" s="72">
        <v>426621</v>
      </c>
      <c r="AH5" s="72">
        <v>29646229</v>
      </c>
      <c r="AI5" s="72">
        <v>0</v>
      </c>
      <c r="AJ5" s="72">
        <v>67423</v>
      </c>
      <c r="AK5" s="72">
        <v>0</v>
      </c>
      <c r="AL5" s="72">
        <v>67423</v>
      </c>
      <c r="AM5" s="72">
        <v>29713652</v>
      </c>
      <c r="AN5" s="72">
        <v>72434</v>
      </c>
      <c r="AO5" s="72">
        <v>4539988</v>
      </c>
      <c r="AP5" s="72">
        <v>4612422</v>
      </c>
      <c r="AQ5" s="72">
        <v>195000</v>
      </c>
      <c r="AR5" s="72">
        <v>0</v>
      </c>
      <c r="AS5" s="72">
        <v>0</v>
      </c>
      <c r="AT5" s="72">
        <v>0</v>
      </c>
      <c r="AU5" s="72">
        <v>0</v>
      </c>
      <c r="AV5" s="72">
        <v>0</v>
      </c>
      <c r="AW5" s="72">
        <v>0</v>
      </c>
      <c r="AX5" s="72">
        <v>0</v>
      </c>
      <c r="AY5" s="72">
        <v>0</v>
      </c>
      <c r="AZ5" s="72">
        <v>0</v>
      </c>
      <c r="BA5" s="72">
        <v>4417422</v>
      </c>
      <c r="BB5" s="72">
        <v>0</v>
      </c>
      <c r="BC5" s="72">
        <v>0</v>
      </c>
      <c r="BD5" s="72">
        <v>0</v>
      </c>
      <c r="BE5" s="72">
        <v>4417422</v>
      </c>
      <c r="BF5" s="72">
        <v>0</v>
      </c>
      <c r="BG5" s="72">
        <v>0</v>
      </c>
      <c r="BH5" s="72">
        <v>0</v>
      </c>
      <c r="BI5" s="72">
        <v>0</v>
      </c>
      <c r="BJ5" s="72">
        <v>4417422</v>
      </c>
      <c r="BM5" s="72">
        <v>0</v>
      </c>
      <c r="BN5" s="72">
        <v>0</v>
      </c>
      <c r="BO5" s="72">
        <v>0</v>
      </c>
      <c r="BP5" s="72">
        <v>0</v>
      </c>
      <c r="BQ5" s="72">
        <v>0</v>
      </c>
      <c r="BR5" s="72">
        <v>0</v>
      </c>
      <c r="BS5" s="72">
        <v>29786086</v>
      </c>
    </row>
    <row r="6" spans="1:71" x14ac:dyDescent="0.2">
      <c r="A6" t="s">
        <v>134</v>
      </c>
      <c r="B6" t="s">
        <v>855</v>
      </c>
      <c r="C6" t="s">
        <v>73</v>
      </c>
      <c r="D6" s="72">
        <v>7841869</v>
      </c>
      <c r="E6" s="72">
        <v>1193945</v>
      </c>
      <c r="F6" s="72">
        <v>0</v>
      </c>
      <c r="G6" s="72">
        <v>23559062</v>
      </c>
      <c r="H6" s="72">
        <v>40414</v>
      </c>
      <c r="I6" s="72">
        <v>0</v>
      </c>
      <c r="J6" s="72">
        <v>1253343</v>
      </c>
      <c r="K6" s="72">
        <v>791865</v>
      </c>
      <c r="L6" s="72">
        <v>34680498</v>
      </c>
      <c r="M6" s="72">
        <v>0</v>
      </c>
      <c r="N6" s="72">
        <v>0</v>
      </c>
      <c r="O6" s="72">
        <v>0</v>
      </c>
      <c r="P6" s="72">
        <v>48812</v>
      </c>
      <c r="Q6" s="72">
        <v>25000</v>
      </c>
      <c r="R6" s="72">
        <v>73812</v>
      </c>
      <c r="S6" s="72">
        <v>34754310</v>
      </c>
      <c r="T6" s="72">
        <v>16754138</v>
      </c>
      <c r="U6" s="72">
        <v>7524351</v>
      </c>
      <c r="V6" s="72">
        <v>8779688</v>
      </c>
      <c r="W6" s="72">
        <v>639845</v>
      </c>
      <c r="X6" s="72">
        <v>8384</v>
      </c>
      <c r="Y6" s="72">
        <v>0</v>
      </c>
      <c r="Z6" s="72">
        <v>0</v>
      </c>
      <c r="AA6" s="72">
        <v>0</v>
      </c>
      <c r="AB6" s="72">
        <v>0</v>
      </c>
      <c r="AC6" s="72">
        <v>0</v>
      </c>
      <c r="AD6" s="72">
        <v>0</v>
      </c>
      <c r="AE6" s="72">
        <v>0</v>
      </c>
      <c r="AF6" s="72">
        <v>0</v>
      </c>
      <c r="AG6" s="72">
        <v>485518</v>
      </c>
      <c r="AH6" s="72">
        <v>34191924</v>
      </c>
      <c r="AI6" s="72">
        <v>28000</v>
      </c>
      <c r="AJ6" s="72">
        <v>350000</v>
      </c>
      <c r="AK6" s="72">
        <v>0</v>
      </c>
      <c r="AL6" s="72">
        <v>378000</v>
      </c>
      <c r="AM6" s="72">
        <v>34569924</v>
      </c>
      <c r="AN6" s="72">
        <v>184386</v>
      </c>
      <c r="AO6" s="72">
        <v>1696227</v>
      </c>
      <c r="AP6" s="72">
        <v>1880613</v>
      </c>
      <c r="AQ6" s="72">
        <v>250000</v>
      </c>
      <c r="AR6" s="72">
        <v>0</v>
      </c>
      <c r="AS6" s="72">
        <v>0</v>
      </c>
      <c r="AT6" s="72">
        <v>0</v>
      </c>
      <c r="AU6" s="72">
        <v>0</v>
      </c>
      <c r="AV6" s="72">
        <v>0</v>
      </c>
      <c r="AW6" s="72">
        <v>0</v>
      </c>
      <c r="AX6" s="72">
        <v>0</v>
      </c>
      <c r="AY6" s="72">
        <v>0</v>
      </c>
      <c r="AZ6" s="72">
        <v>0</v>
      </c>
      <c r="BA6" s="72">
        <v>1630613</v>
      </c>
      <c r="BB6" s="72">
        <v>0</v>
      </c>
      <c r="BC6" s="72">
        <v>0</v>
      </c>
      <c r="BD6" s="72">
        <v>0</v>
      </c>
      <c r="BE6" s="72">
        <v>1630613</v>
      </c>
      <c r="BF6" s="72">
        <v>0</v>
      </c>
      <c r="BG6" s="72">
        <v>0</v>
      </c>
      <c r="BH6" s="72">
        <v>0</v>
      </c>
      <c r="BI6" s="72">
        <v>0</v>
      </c>
      <c r="BJ6" s="72">
        <v>1630613</v>
      </c>
      <c r="BM6" s="72">
        <v>0</v>
      </c>
      <c r="BN6" s="72">
        <v>0</v>
      </c>
      <c r="BO6" s="72">
        <v>0</v>
      </c>
      <c r="BP6" s="72">
        <v>0</v>
      </c>
      <c r="BQ6" s="72">
        <v>0</v>
      </c>
      <c r="BR6" s="72">
        <v>0</v>
      </c>
      <c r="BS6" s="72">
        <v>34754310</v>
      </c>
    </row>
    <row r="7" spans="1:71" x14ac:dyDescent="0.2">
      <c r="A7" t="s">
        <v>136</v>
      </c>
      <c r="B7" t="s">
        <v>857</v>
      </c>
      <c r="C7" t="s">
        <v>85</v>
      </c>
      <c r="D7" s="72">
        <v>12044555</v>
      </c>
      <c r="E7" s="72">
        <v>1586424</v>
      </c>
      <c r="F7" s="72">
        <v>3598377</v>
      </c>
      <c r="G7" s="72">
        <v>7964397</v>
      </c>
      <c r="H7" s="72">
        <v>50034</v>
      </c>
      <c r="I7" s="72">
        <v>0</v>
      </c>
      <c r="J7" s="72">
        <v>1487710</v>
      </c>
      <c r="K7" s="72">
        <v>2901725</v>
      </c>
      <c r="L7" s="72">
        <v>29633222</v>
      </c>
      <c r="M7" s="72">
        <v>0</v>
      </c>
      <c r="N7" s="72">
        <v>0</v>
      </c>
      <c r="O7" s="72">
        <v>0</v>
      </c>
      <c r="P7" s="72">
        <v>0</v>
      </c>
      <c r="Q7" s="72">
        <v>93701</v>
      </c>
      <c r="R7" s="72">
        <v>93701</v>
      </c>
      <c r="S7" s="72">
        <v>29726923</v>
      </c>
      <c r="T7" s="72">
        <v>17491784</v>
      </c>
      <c r="U7" s="72">
        <v>7711897</v>
      </c>
      <c r="V7" s="72">
        <v>3463939</v>
      </c>
      <c r="W7" s="72">
        <v>663286</v>
      </c>
      <c r="X7" s="72">
        <v>10609</v>
      </c>
      <c r="Y7" s="72">
        <v>0</v>
      </c>
      <c r="Z7" s="72">
        <v>0</v>
      </c>
      <c r="AA7" s="72">
        <v>0</v>
      </c>
      <c r="AB7" s="72">
        <v>0</v>
      </c>
      <c r="AC7" s="72">
        <v>0</v>
      </c>
      <c r="AD7" s="72">
        <v>0</v>
      </c>
      <c r="AE7" s="72">
        <v>0</v>
      </c>
      <c r="AF7" s="72">
        <v>0</v>
      </c>
      <c r="AG7" s="72">
        <v>504631</v>
      </c>
      <c r="AH7" s="72">
        <v>29846146</v>
      </c>
      <c r="AI7" s="72">
        <v>10000</v>
      </c>
      <c r="AJ7" s="72">
        <v>50000</v>
      </c>
      <c r="AK7" s="72">
        <v>300000</v>
      </c>
      <c r="AL7" s="72">
        <v>360000</v>
      </c>
      <c r="AM7" s="72">
        <v>30206146</v>
      </c>
      <c r="AN7" s="72">
        <v>-479223</v>
      </c>
      <c r="AO7" s="72">
        <v>7653620</v>
      </c>
      <c r="AP7" s="72">
        <v>7174397</v>
      </c>
      <c r="AQ7" s="72">
        <v>0</v>
      </c>
      <c r="AR7" s="72">
        <v>0</v>
      </c>
      <c r="AS7" s="72">
        <v>0</v>
      </c>
      <c r="AT7" s="72">
        <v>0</v>
      </c>
      <c r="AU7" s="72">
        <v>0</v>
      </c>
      <c r="AV7" s="72">
        <v>0</v>
      </c>
      <c r="AW7" s="72">
        <v>0</v>
      </c>
      <c r="AX7" s="72">
        <v>0</v>
      </c>
      <c r="AY7" s="72">
        <v>0</v>
      </c>
      <c r="AZ7" s="72">
        <v>0</v>
      </c>
      <c r="BA7" s="72">
        <v>7174397</v>
      </c>
      <c r="BB7" s="72">
        <v>0</v>
      </c>
      <c r="BC7" s="72">
        <v>0</v>
      </c>
      <c r="BD7" s="72">
        <v>0</v>
      </c>
      <c r="BE7" s="72">
        <v>7174397</v>
      </c>
      <c r="BF7" s="72">
        <v>0</v>
      </c>
      <c r="BG7" s="72">
        <v>0</v>
      </c>
      <c r="BH7" s="72">
        <v>0</v>
      </c>
      <c r="BI7" s="72">
        <v>0</v>
      </c>
      <c r="BJ7" s="72">
        <v>7174397</v>
      </c>
      <c r="BM7" s="72">
        <v>0</v>
      </c>
      <c r="BN7" s="72">
        <v>0</v>
      </c>
      <c r="BO7" s="72">
        <v>0</v>
      </c>
      <c r="BP7" s="72">
        <v>0</v>
      </c>
      <c r="BQ7" s="72">
        <v>0</v>
      </c>
      <c r="BR7" s="72">
        <v>0</v>
      </c>
      <c r="BS7" s="72">
        <v>30206146</v>
      </c>
    </row>
    <row r="8" spans="1:71" x14ac:dyDescent="0.2">
      <c r="A8" t="s">
        <v>143</v>
      </c>
      <c r="B8" t="s">
        <v>864</v>
      </c>
      <c r="C8" t="s">
        <v>46</v>
      </c>
      <c r="D8" s="72">
        <v>11008889</v>
      </c>
      <c r="E8" s="72">
        <v>560748</v>
      </c>
      <c r="F8" s="72">
        <v>0</v>
      </c>
      <c r="G8" s="72">
        <v>22105032</v>
      </c>
      <c r="H8" s="72">
        <v>448607</v>
      </c>
      <c r="I8" s="72">
        <v>0</v>
      </c>
      <c r="J8" s="72">
        <v>2285107</v>
      </c>
      <c r="K8" s="72">
        <v>2621538</v>
      </c>
      <c r="L8" s="72">
        <v>39029921</v>
      </c>
      <c r="M8" s="72">
        <v>0</v>
      </c>
      <c r="N8" s="72">
        <v>0</v>
      </c>
      <c r="O8" s="72">
        <v>0</v>
      </c>
      <c r="P8" s="72">
        <v>0</v>
      </c>
      <c r="Q8" s="72">
        <v>250000</v>
      </c>
      <c r="R8" s="72">
        <v>250000</v>
      </c>
      <c r="S8" s="72">
        <v>39279921</v>
      </c>
      <c r="T8" s="72">
        <v>20067331</v>
      </c>
      <c r="U8" s="72">
        <v>8313788</v>
      </c>
      <c r="V8" s="72">
        <v>8261402</v>
      </c>
      <c r="W8" s="72">
        <v>749294</v>
      </c>
      <c r="X8" s="72">
        <v>56417</v>
      </c>
      <c r="Y8" s="72">
        <v>0</v>
      </c>
      <c r="Z8" s="72">
        <v>0</v>
      </c>
      <c r="AA8" s="72">
        <v>0</v>
      </c>
      <c r="AB8" s="72">
        <v>0</v>
      </c>
      <c r="AC8" s="72">
        <v>0</v>
      </c>
      <c r="AD8" s="72">
        <v>0</v>
      </c>
      <c r="AE8" s="72">
        <v>0</v>
      </c>
      <c r="AF8" s="72">
        <v>0</v>
      </c>
      <c r="AG8" s="72">
        <v>368133</v>
      </c>
      <c r="AH8" s="72">
        <v>37816365</v>
      </c>
      <c r="AI8" s="72">
        <v>0</v>
      </c>
      <c r="AJ8" s="72">
        <v>0</v>
      </c>
      <c r="AK8" s="72">
        <v>0</v>
      </c>
      <c r="AL8" s="72">
        <v>0</v>
      </c>
      <c r="AM8" s="72">
        <v>37816365</v>
      </c>
      <c r="AN8" s="72">
        <v>1463556</v>
      </c>
      <c r="AO8" s="72">
        <v>4754414</v>
      </c>
      <c r="AP8" s="72">
        <v>6217970</v>
      </c>
      <c r="AQ8" s="72">
        <v>500000</v>
      </c>
      <c r="AR8" s="72">
        <v>0</v>
      </c>
      <c r="AS8" s="72">
        <v>0</v>
      </c>
      <c r="AT8" s="72">
        <v>0</v>
      </c>
      <c r="AU8" s="72">
        <v>0</v>
      </c>
      <c r="AV8" s="72">
        <v>0</v>
      </c>
      <c r="AW8" s="72">
        <v>0</v>
      </c>
      <c r="AX8" s="72">
        <v>0</v>
      </c>
      <c r="AY8" s="72">
        <v>0</v>
      </c>
      <c r="AZ8" s="72">
        <v>0</v>
      </c>
      <c r="BA8" s="72">
        <v>5717970</v>
      </c>
      <c r="BB8" s="72">
        <v>0</v>
      </c>
      <c r="BC8" s="72">
        <v>0</v>
      </c>
      <c r="BD8" s="72">
        <v>0</v>
      </c>
      <c r="BE8" s="72">
        <v>5717970</v>
      </c>
      <c r="BF8" s="72">
        <v>0</v>
      </c>
      <c r="BG8" s="72">
        <v>0</v>
      </c>
      <c r="BH8" s="72">
        <v>0</v>
      </c>
      <c r="BI8" s="72">
        <v>0</v>
      </c>
      <c r="BJ8" s="72">
        <v>5717970</v>
      </c>
      <c r="BM8" s="72">
        <v>0</v>
      </c>
      <c r="BN8" s="72">
        <v>0</v>
      </c>
      <c r="BO8" s="72">
        <v>0</v>
      </c>
      <c r="BP8" s="72">
        <v>0</v>
      </c>
      <c r="BQ8" s="72">
        <v>0</v>
      </c>
      <c r="BR8" s="72">
        <v>0</v>
      </c>
      <c r="BS8" s="72">
        <v>39279921</v>
      </c>
    </row>
    <row r="9" spans="1:71" x14ac:dyDescent="0.2">
      <c r="A9" t="s">
        <v>147</v>
      </c>
      <c r="B9" t="s">
        <v>868</v>
      </c>
      <c r="C9" t="s">
        <v>23</v>
      </c>
      <c r="D9" s="72">
        <v>21427917</v>
      </c>
      <c r="E9" s="72">
        <v>819124</v>
      </c>
      <c r="F9" s="72">
        <v>0</v>
      </c>
      <c r="G9" s="72">
        <v>4052122</v>
      </c>
      <c r="H9" s="72">
        <v>139519</v>
      </c>
      <c r="I9" s="72">
        <v>0</v>
      </c>
      <c r="J9" s="72">
        <v>3465154</v>
      </c>
      <c r="K9" s="72">
        <v>357992</v>
      </c>
      <c r="L9" s="72">
        <v>30261828</v>
      </c>
      <c r="M9" s="72">
        <v>0</v>
      </c>
      <c r="N9" s="72">
        <v>0</v>
      </c>
      <c r="O9" s="72">
        <v>50000</v>
      </c>
      <c r="P9" s="72">
        <v>0</v>
      </c>
      <c r="Q9" s="72">
        <v>0</v>
      </c>
      <c r="R9" s="72">
        <v>50000</v>
      </c>
      <c r="S9" s="72">
        <v>30311828</v>
      </c>
      <c r="T9" s="72">
        <v>18744506</v>
      </c>
      <c r="U9" s="72">
        <v>6421399</v>
      </c>
      <c r="V9" s="72">
        <v>3094942</v>
      </c>
      <c r="W9" s="72">
        <v>1062787</v>
      </c>
      <c r="X9" s="72">
        <v>532354</v>
      </c>
      <c r="Y9" s="72">
        <v>0</v>
      </c>
      <c r="Z9" s="72">
        <v>0</v>
      </c>
      <c r="AA9" s="72">
        <v>159500</v>
      </c>
      <c r="AB9" s="72">
        <v>0</v>
      </c>
      <c r="AC9" s="72">
        <v>0</v>
      </c>
      <c r="AD9" s="72">
        <v>0</v>
      </c>
      <c r="AE9" s="72">
        <v>0</v>
      </c>
      <c r="AF9" s="72">
        <v>88162</v>
      </c>
      <c r="AG9" s="72">
        <v>433292</v>
      </c>
      <c r="AH9" s="72">
        <v>30536942</v>
      </c>
      <c r="AI9" s="72">
        <v>0</v>
      </c>
      <c r="AJ9" s="72">
        <v>0</v>
      </c>
      <c r="AK9" s="72">
        <v>250000</v>
      </c>
      <c r="AL9" s="72">
        <v>250000</v>
      </c>
      <c r="AM9" s="72">
        <v>30786942</v>
      </c>
      <c r="AN9" s="72">
        <v>-475114</v>
      </c>
      <c r="AO9" s="72">
        <v>9217454</v>
      </c>
      <c r="AP9" s="72">
        <v>8742340</v>
      </c>
      <c r="AQ9" s="72">
        <v>200000</v>
      </c>
      <c r="AR9" s="72">
        <v>0</v>
      </c>
      <c r="AS9" s="72">
        <v>0</v>
      </c>
      <c r="AT9" s="72">
        <v>0</v>
      </c>
      <c r="AU9" s="72">
        <v>0</v>
      </c>
      <c r="AV9" s="72">
        <v>0</v>
      </c>
      <c r="AW9" s="72">
        <v>0</v>
      </c>
      <c r="AX9" s="72">
        <v>0</v>
      </c>
      <c r="AY9" s="72">
        <v>0</v>
      </c>
      <c r="AZ9" s="72">
        <v>0</v>
      </c>
      <c r="BA9" s="72">
        <v>8542340</v>
      </c>
      <c r="BB9" s="72">
        <v>0</v>
      </c>
      <c r="BC9" s="72">
        <v>0</v>
      </c>
      <c r="BD9" s="72">
        <v>0</v>
      </c>
      <c r="BE9" s="72">
        <v>8542340</v>
      </c>
      <c r="BF9" s="72">
        <v>0</v>
      </c>
      <c r="BG9" s="72">
        <v>0</v>
      </c>
      <c r="BH9" s="72">
        <v>0</v>
      </c>
      <c r="BI9" s="72">
        <v>0</v>
      </c>
      <c r="BJ9" s="72">
        <v>8542340</v>
      </c>
      <c r="BM9" s="72">
        <v>0</v>
      </c>
      <c r="BN9" s="72">
        <v>0</v>
      </c>
      <c r="BO9" s="72">
        <v>0</v>
      </c>
      <c r="BP9" s="72">
        <v>0</v>
      </c>
      <c r="BQ9" s="72">
        <v>0</v>
      </c>
      <c r="BR9" s="72">
        <v>0</v>
      </c>
      <c r="BS9" s="72">
        <v>30786942</v>
      </c>
    </row>
    <row r="10" spans="1:71" x14ac:dyDescent="0.2">
      <c r="A10" t="s">
        <v>148</v>
      </c>
      <c r="B10" t="s">
        <v>869</v>
      </c>
      <c r="C10" t="s">
        <v>23</v>
      </c>
      <c r="D10" s="72">
        <v>24715866</v>
      </c>
      <c r="E10" s="72">
        <v>3846</v>
      </c>
      <c r="F10" s="72">
        <v>0</v>
      </c>
      <c r="G10" s="72">
        <v>1037797</v>
      </c>
      <c r="H10" s="72">
        <v>100000</v>
      </c>
      <c r="I10" s="72">
        <v>0</v>
      </c>
      <c r="J10" s="72">
        <v>4248645</v>
      </c>
      <c r="K10" s="72">
        <v>3113844</v>
      </c>
      <c r="L10" s="72">
        <v>33219999</v>
      </c>
      <c r="M10" s="72">
        <v>0</v>
      </c>
      <c r="N10" s="72">
        <v>0</v>
      </c>
      <c r="O10" s="72">
        <v>0</v>
      </c>
      <c r="P10" s="72">
        <v>0</v>
      </c>
      <c r="Q10" s="72">
        <v>2500</v>
      </c>
      <c r="R10" s="72">
        <v>2500</v>
      </c>
      <c r="S10" s="72">
        <v>33222499</v>
      </c>
      <c r="T10" s="72">
        <v>18353780</v>
      </c>
      <c r="U10" s="72">
        <v>6299606</v>
      </c>
      <c r="V10" s="72">
        <v>4730740</v>
      </c>
      <c r="W10" s="72">
        <v>1078878</v>
      </c>
      <c r="X10" s="72">
        <v>972741</v>
      </c>
      <c r="Y10" s="72">
        <v>0</v>
      </c>
      <c r="Z10" s="72">
        <v>0</v>
      </c>
      <c r="AA10" s="72">
        <v>0</v>
      </c>
      <c r="AB10" s="72">
        <v>0</v>
      </c>
      <c r="AC10" s="72">
        <v>0</v>
      </c>
      <c r="AD10" s="72">
        <v>0</v>
      </c>
      <c r="AE10" s="72">
        <v>0</v>
      </c>
      <c r="AF10" s="72">
        <v>0</v>
      </c>
      <c r="AG10" s="72">
        <v>546116</v>
      </c>
      <c r="AH10" s="72">
        <v>31981860</v>
      </c>
      <c r="AI10" s="72">
        <v>801566</v>
      </c>
      <c r="AJ10" s="72">
        <v>0</v>
      </c>
      <c r="AK10" s="72">
        <v>0</v>
      </c>
      <c r="AL10" s="72">
        <v>801566</v>
      </c>
      <c r="AM10" s="72">
        <v>32783426</v>
      </c>
      <c r="AN10" s="72">
        <v>439072</v>
      </c>
      <c r="AO10" s="72">
        <v>18918953</v>
      </c>
      <c r="AP10" s="72">
        <v>19358025</v>
      </c>
      <c r="AQ10" s="72">
        <v>300000</v>
      </c>
      <c r="AR10" s="72">
        <v>0</v>
      </c>
      <c r="AS10" s="72">
        <v>0</v>
      </c>
      <c r="AT10" s="72">
        <v>134873</v>
      </c>
      <c r="AU10" s="72">
        <v>0</v>
      </c>
      <c r="AW10" s="72">
        <v>0</v>
      </c>
      <c r="AX10" s="72">
        <v>0</v>
      </c>
      <c r="AY10" s="72">
        <v>0</v>
      </c>
      <c r="AZ10" s="72">
        <v>134873</v>
      </c>
      <c r="BA10" s="72">
        <v>18923152</v>
      </c>
      <c r="BB10" s="72">
        <v>0</v>
      </c>
      <c r="BC10" s="72">
        <v>0</v>
      </c>
      <c r="BD10" s="72">
        <v>0</v>
      </c>
      <c r="BE10" s="72">
        <v>18923152</v>
      </c>
      <c r="BF10" s="72">
        <v>0</v>
      </c>
      <c r="BG10" s="72">
        <v>0</v>
      </c>
      <c r="BH10" s="72">
        <v>0</v>
      </c>
      <c r="BI10" s="72">
        <v>0</v>
      </c>
      <c r="BJ10" s="72">
        <v>18923152</v>
      </c>
      <c r="BK10" s="72">
        <v>85</v>
      </c>
      <c r="BL10" s="72">
        <v>1536</v>
      </c>
      <c r="BS10" s="72">
        <v>33222499</v>
      </c>
    </row>
    <row r="11" spans="1:71" x14ac:dyDescent="0.2">
      <c r="A11" t="s">
        <v>151</v>
      </c>
      <c r="B11" t="s">
        <v>872</v>
      </c>
      <c r="C11" t="s">
        <v>23</v>
      </c>
      <c r="D11" s="72">
        <v>24500915</v>
      </c>
      <c r="E11" s="72">
        <v>2576436</v>
      </c>
      <c r="F11" s="72">
        <v>0</v>
      </c>
      <c r="G11" s="72">
        <v>6548130</v>
      </c>
      <c r="H11" s="72">
        <v>126491</v>
      </c>
      <c r="I11" s="72">
        <v>0</v>
      </c>
      <c r="J11" s="72">
        <v>8647318</v>
      </c>
      <c r="K11" s="72">
        <v>1882156</v>
      </c>
      <c r="L11" s="72">
        <v>44281446</v>
      </c>
      <c r="M11" s="72">
        <v>0</v>
      </c>
      <c r="N11" s="72">
        <v>0</v>
      </c>
      <c r="O11" s="72">
        <v>0</v>
      </c>
      <c r="P11" s="72">
        <v>1500000</v>
      </c>
      <c r="Q11" s="72">
        <v>100000</v>
      </c>
      <c r="R11" s="72">
        <v>1600000</v>
      </c>
      <c r="S11" s="72">
        <v>45881446</v>
      </c>
      <c r="T11" s="72">
        <v>25528989</v>
      </c>
      <c r="U11" s="72">
        <v>9337008</v>
      </c>
      <c r="V11" s="72">
        <v>8120005</v>
      </c>
      <c r="W11" s="72">
        <v>1553994</v>
      </c>
      <c r="X11" s="72">
        <v>963125</v>
      </c>
      <c r="Y11" s="72">
        <v>0</v>
      </c>
      <c r="Z11" s="72">
        <v>0</v>
      </c>
      <c r="AA11" s="72">
        <v>68644</v>
      </c>
      <c r="AB11" s="72">
        <v>0</v>
      </c>
      <c r="AC11" s="72">
        <v>0</v>
      </c>
      <c r="AD11" s="72">
        <v>230515</v>
      </c>
      <c r="AE11" s="72">
        <v>102807</v>
      </c>
      <c r="AF11" s="72">
        <v>96069</v>
      </c>
      <c r="AG11" s="72">
        <v>792730</v>
      </c>
      <c r="AH11" s="72">
        <v>46793886</v>
      </c>
      <c r="AI11" s="72">
        <v>422700</v>
      </c>
      <c r="AJ11" s="72">
        <v>1000000</v>
      </c>
      <c r="AK11" s="72">
        <v>0</v>
      </c>
      <c r="AL11" s="72">
        <v>1422700</v>
      </c>
      <c r="AM11" s="72">
        <v>48216586</v>
      </c>
      <c r="AN11" s="72">
        <v>-2335140</v>
      </c>
      <c r="AO11" s="72">
        <v>16019872</v>
      </c>
      <c r="AP11" s="72">
        <v>13684732</v>
      </c>
      <c r="AQ11" s="72">
        <v>750000</v>
      </c>
      <c r="AR11" s="72">
        <v>0</v>
      </c>
      <c r="AS11" s="72">
        <v>0</v>
      </c>
      <c r="AT11" s="72">
        <v>0</v>
      </c>
      <c r="AU11" s="72">
        <v>0</v>
      </c>
      <c r="AV11" s="72">
        <v>0</v>
      </c>
      <c r="AW11" s="72">
        <v>0</v>
      </c>
      <c r="AX11" s="72">
        <v>0</v>
      </c>
      <c r="AY11" s="72">
        <v>0</v>
      </c>
      <c r="AZ11" s="72">
        <v>0</v>
      </c>
      <c r="BA11" s="72">
        <v>12934732</v>
      </c>
      <c r="BB11" s="72">
        <v>0</v>
      </c>
      <c r="BC11" s="72">
        <v>0</v>
      </c>
      <c r="BD11" s="72">
        <v>0</v>
      </c>
      <c r="BE11" s="72">
        <v>12934732</v>
      </c>
      <c r="BF11" s="72">
        <v>0</v>
      </c>
      <c r="BG11" s="72">
        <v>0</v>
      </c>
      <c r="BH11" s="72">
        <v>0</v>
      </c>
      <c r="BI11" s="72">
        <v>0</v>
      </c>
      <c r="BJ11" s="72">
        <v>12934732</v>
      </c>
      <c r="BM11" s="72">
        <v>0</v>
      </c>
      <c r="BN11" s="72">
        <v>0</v>
      </c>
      <c r="BO11" s="72">
        <v>0</v>
      </c>
      <c r="BP11" s="72">
        <v>0</v>
      </c>
      <c r="BQ11" s="72">
        <v>0</v>
      </c>
      <c r="BR11" s="72">
        <v>0</v>
      </c>
      <c r="BS11" s="72">
        <v>48216586</v>
      </c>
    </row>
    <row r="12" spans="1:71" x14ac:dyDescent="0.2">
      <c r="A12" t="s">
        <v>152</v>
      </c>
      <c r="B12" t="s">
        <v>1197</v>
      </c>
      <c r="C12" t="s">
        <v>41</v>
      </c>
      <c r="D12" s="72">
        <v>2110000</v>
      </c>
      <c r="E12" s="72">
        <v>0</v>
      </c>
      <c r="F12" s="72">
        <v>0</v>
      </c>
      <c r="G12" s="72">
        <v>9207000</v>
      </c>
      <c r="H12" s="72">
        <v>26000</v>
      </c>
      <c r="I12" s="72">
        <v>0</v>
      </c>
      <c r="J12" s="72">
        <v>351000</v>
      </c>
      <c r="K12" s="72">
        <v>1010000</v>
      </c>
      <c r="L12" s="72">
        <v>12704000</v>
      </c>
      <c r="M12" s="72">
        <v>0</v>
      </c>
      <c r="N12" s="72">
        <v>0</v>
      </c>
      <c r="O12" s="72">
        <v>0</v>
      </c>
      <c r="P12" s="72">
        <v>0</v>
      </c>
      <c r="Q12" s="72">
        <v>0</v>
      </c>
      <c r="R12" s="72">
        <v>0</v>
      </c>
      <c r="S12" s="72">
        <v>12704000</v>
      </c>
      <c r="T12" s="72">
        <v>5150000</v>
      </c>
      <c r="U12" s="72">
        <v>2712000</v>
      </c>
      <c r="V12" s="72">
        <v>2250000</v>
      </c>
      <c r="W12" s="72">
        <v>435000</v>
      </c>
      <c r="X12" s="72">
        <v>300000</v>
      </c>
      <c r="Y12" s="72">
        <v>0</v>
      </c>
      <c r="Z12" s="72">
        <v>0</v>
      </c>
      <c r="AA12" s="72">
        <v>0</v>
      </c>
      <c r="AB12" s="72">
        <v>0</v>
      </c>
      <c r="AC12" s="72">
        <v>887500</v>
      </c>
      <c r="AD12" s="72">
        <v>0</v>
      </c>
      <c r="AE12" s="72">
        <v>0</v>
      </c>
      <c r="AF12" s="72">
        <v>0</v>
      </c>
      <c r="AG12" s="72">
        <v>236640</v>
      </c>
      <c r="AH12" s="72">
        <v>11971140</v>
      </c>
      <c r="AI12" s="72">
        <v>0</v>
      </c>
      <c r="AJ12" s="72">
        <v>0</v>
      </c>
      <c r="AK12" s="72">
        <v>0</v>
      </c>
      <c r="AL12" s="72">
        <v>0</v>
      </c>
      <c r="AM12" s="72">
        <v>11971140</v>
      </c>
      <c r="AN12" s="72">
        <v>732860</v>
      </c>
      <c r="AO12" s="72">
        <v>381000</v>
      </c>
      <c r="AP12" s="72">
        <v>1113860</v>
      </c>
      <c r="AQ12" s="72">
        <v>150000</v>
      </c>
      <c r="AR12" s="72">
        <v>0</v>
      </c>
      <c r="AS12" s="72">
        <v>0</v>
      </c>
      <c r="AT12" s="72">
        <v>0</v>
      </c>
      <c r="AU12" s="72">
        <v>0</v>
      </c>
      <c r="AV12" s="72">
        <v>0</v>
      </c>
      <c r="AW12" s="72">
        <v>0</v>
      </c>
      <c r="AX12" s="72">
        <v>0</v>
      </c>
      <c r="AY12" s="72">
        <v>0</v>
      </c>
      <c r="AZ12" s="72">
        <v>0</v>
      </c>
      <c r="BA12" s="72">
        <v>963860</v>
      </c>
      <c r="BB12" s="72">
        <v>0</v>
      </c>
      <c r="BC12" s="72">
        <v>0</v>
      </c>
      <c r="BD12" s="72">
        <v>0</v>
      </c>
      <c r="BE12" s="72">
        <v>963860</v>
      </c>
      <c r="BF12" s="72">
        <v>0</v>
      </c>
      <c r="BG12" s="72">
        <v>0</v>
      </c>
      <c r="BH12" s="72">
        <v>0</v>
      </c>
      <c r="BI12" s="72">
        <v>0</v>
      </c>
      <c r="BJ12" s="72">
        <v>963860</v>
      </c>
      <c r="BK12" s="72">
        <v>0</v>
      </c>
      <c r="BL12" s="72">
        <v>0</v>
      </c>
      <c r="BM12" s="72">
        <v>0</v>
      </c>
      <c r="BN12" s="72">
        <v>0</v>
      </c>
      <c r="BO12" s="72">
        <v>0</v>
      </c>
      <c r="BP12" s="72">
        <v>0</v>
      </c>
      <c r="BQ12" s="72">
        <v>0</v>
      </c>
      <c r="BR12" s="72">
        <v>0</v>
      </c>
      <c r="BS12" s="72">
        <v>12704000</v>
      </c>
    </row>
    <row r="13" spans="1:71" x14ac:dyDescent="0.2">
      <c r="A13" t="s">
        <v>154</v>
      </c>
      <c r="B13" t="s">
        <v>875</v>
      </c>
      <c r="C13" t="s">
        <v>86</v>
      </c>
      <c r="D13" s="72">
        <v>6696000</v>
      </c>
      <c r="E13" s="72">
        <v>0</v>
      </c>
      <c r="F13" s="72">
        <v>0</v>
      </c>
      <c r="G13" s="72">
        <v>13022169</v>
      </c>
      <c r="H13" s="72">
        <v>42900</v>
      </c>
      <c r="I13" s="72">
        <v>0</v>
      </c>
      <c r="J13" s="72">
        <v>1205392</v>
      </c>
      <c r="K13" s="72">
        <v>1249000</v>
      </c>
      <c r="L13" s="72">
        <v>22215461</v>
      </c>
      <c r="M13" s="72">
        <v>0</v>
      </c>
      <c r="N13" s="72">
        <v>0</v>
      </c>
      <c r="O13" s="72">
        <v>0</v>
      </c>
      <c r="P13" s="72">
        <v>0</v>
      </c>
      <c r="Q13" s="72">
        <v>0</v>
      </c>
      <c r="R13" s="72">
        <v>0</v>
      </c>
      <c r="S13" s="72">
        <v>22215461</v>
      </c>
      <c r="T13" s="72">
        <v>12595348</v>
      </c>
      <c r="U13" s="72">
        <v>5059216</v>
      </c>
      <c r="V13" s="72">
        <v>3377355</v>
      </c>
      <c r="W13" s="72">
        <v>489721</v>
      </c>
      <c r="X13" s="72">
        <v>123235</v>
      </c>
      <c r="Y13" s="72">
        <v>0</v>
      </c>
      <c r="Z13" s="72">
        <v>0</v>
      </c>
      <c r="AA13" s="72">
        <v>0</v>
      </c>
      <c r="AB13" s="72">
        <v>0</v>
      </c>
      <c r="AC13" s="72">
        <v>0</v>
      </c>
      <c r="AD13" s="72">
        <v>0</v>
      </c>
      <c r="AE13" s="72">
        <v>0</v>
      </c>
      <c r="AF13" s="72">
        <v>0</v>
      </c>
      <c r="AG13" s="72">
        <v>356472</v>
      </c>
      <c r="AH13" s="72">
        <v>22001347</v>
      </c>
      <c r="AI13" s="72">
        <v>50000</v>
      </c>
      <c r="AJ13" s="72">
        <v>0</v>
      </c>
      <c r="AK13" s="72">
        <v>0</v>
      </c>
      <c r="AL13" s="72">
        <v>50000</v>
      </c>
      <c r="AM13" s="72">
        <v>22051347</v>
      </c>
      <c r="AN13" s="72">
        <v>164114</v>
      </c>
      <c r="AO13" s="72">
        <v>7422784</v>
      </c>
      <c r="AP13" s="72">
        <v>7586898</v>
      </c>
      <c r="AQ13" s="72">
        <v>42000</v>
      </c>
      <c r="AR13" s="72">
        <v>225904</v>
      </c>
      <c r="AS13" s="72">
        <v>0</v>
      </c>
      <c r="AT13" s="72">
        <v>198858</v>
      </c>
      <c r="AU13" s="72">
        <v>0</v>
      </c>
      <c r="AV13" s="72">
        <v>0</v>
      </c>
      <c r="AW13" s="72">
        <v>0</v>
      </c>
      <c r="AX13" s="72">
        <v>0</v>
      </c>
      <c r="AY13" s="72">
        <v>0</v>
      </c>
      <c r="AZ13" s="72">
        <v>424762</v>
      </c>
      <c r="BA13" s="72">
        <v>7120136</v>
      </c>
      <c r="BB13" s="72">
        <v>0</v>
      </c>
      <c r="BC13" s="72">
        <v>0</v>
      </c>
      <c r="BD13" s="72">
        <v>0</v>
      </c>
      <c r="BE13" s="72">
        <v>7120136</v>
      </c>
      <c r="BF13" s="72">
        <v>0</v>
      </c>
      <c r="BG13" s="72">
        <v>0</v>
      </c>
      <c r="BH13" s="72">
        <v>0</v>
      </c>
      <c r="BI13" s="72">
        <v>0</v>
      </c>
      <c r="BJ13" s="72">
        <v>7120136</v>
      </c>
      <c r="BK13" s="72">
        <v>213</v>
      </c>
      <c r="BL13" s="72">
        <v>2430</v>
      </c>
      <c r="BM13" s="72">
        <v>0</v>
      </c>
      <c r="BN13" s="72">
        <v>0</v>
      </c>
      <c r="BO13" s="72">
        <v>0</v>
      </c>
      <c r="BP13" s="72">
        <v>0</v>
      </c>
      <c r="BQ13" s="72">
        <v>0</v>
      </c>
      <c r="BR13" s="72">
        <v>0</v>
      </c>
      <c r="BS13" s="72">
        <v>22215461</v>
      </c>
    </row>
    <row r="14" spans="1:71" x14ac:dyDescent="0.2">
      <c r="A14" t="s">
        <v>155</v>
      </c>
      <c r="B14" t="s">
        <v>876</v>
      </c>
      <c r="C14" t="s">
        <v>57</v>
      </c>
      <c r="D14" s="72">
        <v>6475000</v>
      </c>
      <c r="E14" s="72">
        <v>0</v>
      </c>
      <c r="F14" s="72">
        <v>1287000</v>
      </c>
      <c r="G14" s="72">
        <v>9274984</v>
      </c>
      <c r="H14" s="72">
        <v>110000</v>
      </c>
      <c r="I14" s="72">
        <v>0</v>
      </c>
      <c r="J14" s="72">
        <v>1265857</v>
      </c>
      <c r="K14" s="72">
        <v>609400</v>
      </c>
      <c r="L14" s="72">
        <v>19022241</v>
      </c>
      <c r="M14" s="72">
        <v>0</v>
      </c>
      <c r="N14" s="72">
        <v>0</v>
      </c>
      <c r="O14" s="72">
        <v>0</v>
      </c>
      <c r="P14" s="72">
        <v>204241</v>
      </c>
      <c r="Q14" s="72">
        <v>69355</v>
      </c>
      <c r="R14" s="72">
        <v>273596</v>
      </c>
      <c r="S14" s="72">
        <v>19295837</v>
      </c>
      <c r="T14" s="72">
        <v>10642833</v>
      </c>
      <c r="U14" s="72">
        <v>3916225</v>
      </c>
      <c r="V14" s="72">
        <v>3636585</v>
      </c>
      <c r="W14" s="72">
        <v>812993</v>
      </c>
      <c r="X14" s="72">
        <v>91340</v>
      </c>
      <c r="Y14" s="72">
        <v>0</v>
      </c>
      <c r="Z14" s="72">
        <v>0</v>
      </c>
      <c r="AA14" s="72">
        <v>0</v>
      </c>
      <c r="AB14" s="72">
        <v>0</v>
      </c>
      <c r="AC14" s="72">
        <v>0</v>
      </c>
      <c r="AD14" s="72">
        <v>69116</v>
      </c>
      <c r="AE14" s="72">
        <v>0</v>
      </c>
      <c r="AF14" s="72">
        <v>4090</v>
      </c>
      <c r="AG14" s="72">
        <v>285255</v>
      </c>
      <c r="AH14" s="72">
        <v>19458437</v>
      </c>
      <c r="AI14" s="72">
        <v>10794</v>
      </c>
      <c r="AJ14" s="72">
        <v>200000</v>
      </c>
      <c r="AK14" s="72">
        <v>12000</v>
      </c>
      <c r="AL14" s="72">
        <v>222794</v>
      </c>
      <c r="AM14" s="72">
        <v>19681231</v>
      </c>
      <c r="AN14" s="72">
        <v>-385394</v>
      </c>
      <c r="AO14" s="72">
        <v>5406471</v>
      </c>
      <c r="AP14" s="72">
        <v>5021077</v>
      </c>
      <c r="AQ14" s="72">
        <v>0</v>
      </c>
      <c r="AR14" s="72">
        <v>0</v>
      </c>
      <c r="AS14" s="72">
        <v>0</v>
      </c>
      <c r="AT14" s="72">
        <v>0</v>
      </c>
      <c r="AU14" s="72">
        <v>0</v>
      </c>
      <c r="AV14" s="72">
        <v>0</v>
      </c>
      <c r="AW14" s="72">
        <v>0</v>
      </c>
      <c r="AX14" s="72">
        <v>0</v>
      </c>
      <c r="AY14" s="72">
        <v>0</v>
      </c>
      <c r="AZ14" s="72">
        <v>0</v>
      </c>
      <c r="BA14" s="72">
        <v>5021077</v>
      </c>
      <c r="BB14" s="72">
        <v>0</v>
      </c>
      <c r="BC14" s="72">
        <v>0</v>
      </c>
      <c r="BD14" s="72">
        <v>0</v>
      </c>
      <c r="BE14" s="72">
        <v>5021077</v>
      </c>
      <c r="BF14" s="72">
        <v>0</v>
      </c>
      <c r="BG14" s="72">
        <v>0</v>
      </c>
      <c r="BH14" s="72">
        <v>0</v>
      </c>
      <c r="BI14" s="72">
        <v>0</v>
      </c>
      <c r="BJ14" s="72">
        <v>5021077</v>
      </c>
      <c r="BK14" s="72">
        <v>164</v>
      </c>
      <c r="BL14" s="72">
        <v>1871</v>
      </c>
      <c r="BM14" s="72">
        <v>0</v>
      </c>
      <c r="BN14" s="72">
        <v>0</v>
      </c>
      <c r="BO14" s="72">
        <v>0</v>
      </c>
      <c r="BP14" s="72">
        <v>0</v>
      </c>
      <c r="BQ14" s="72">
        <v>0</v>
      </c>
      <c r="BR14" s="72">
        <v>0</v>
      </c>
      <c r="BS14" s="72">
        <v>19681231</v>
      </c>
    </row>
    <row r="15" spans="1:71" x14ac:dyDescent="0.2">
      <c r="A15" t="s">
        <v>157</v>
      </c>
      <c r="B15" t="s">
        <v>878</v>
      </c>
      <c r="C15" t="s">
        <v>76</v>
      </c>
      <c r="D15" s="72">
        <v>3099927</v>
      </c>
      <c r="E15" s="72">
        <v>244927</v>
      </c>
      <c r="F15" s="72">
        <v>0</v>
      </c>
      <c r="G15" s="72">
        <v>2680478</v>
      </c>
      <c r="H15" s="72">
        <v>1149</v>
      </c>
      <c r="I15" s="72">
        <v>0</v>
      </c>
      <c r="J15" s="72">
        <v>2696763</v>
      </c>
      <c r="K15" s="72">
        <v>650578</v>
      </c>
      <c r="L15" s="72">
        <v>9373822</v>
      </c>
      <c r="M15" s="72">
        <v>0</v>
      </c>
      <c r="N15" s="72">
        <v>0</v>
      </c>
      <c r="O15" s="72">
        <v>0</v>
      </c>
      <c r="P15" s="72">
        <v>93266</v>
      </c>
      <c r="Q15" s="72">
        <v>10000</v>
      </c>
      <c r="R15" s="72">
        <v>103266</v>
      </c>
      <c r="S15" s="72">
        <v>9477088</v>
      </c>
      <c r="T15" s="72">
        <v>4709580</v>
      </c>
      <c r="U15" s="72">
        <v>2221070</v>
      </c>
      <c r="V15" s="72">
        <v>2129356</v>
      </c>
      <c r="W15" s="72">
        <v>389726</v>
      </c>
      <c r="X15" s="72">
        <v>252448</v>
      </c>
      <c r="Y15" s="72">
        <v>0</v>
      </c>
      <c r="Z15" s="72">
        <v>0</v>
      </c>
      <c r="AA15" s="72">
        <v>0</v>
      </c>
      <c r="AB15" s="72">
        <v>0</v>
      </c>
      <c r="AC15" s="72">
        <v>0</v>
      </c>
      <c r="AD15" s="72">
        <v>0</v>
      </c>
      <c r="AE15" s="72">
        <v>0</v>
      </c>
      <c r="AF15" s="72">
        <v>11924</v>
      </c>
      <c r="AG15" s="72">
        <v>172306</v>
      </c>
      <c r="AH15" s="72">
        <v>9886410</v>
      </c>
      <c r="AI15" s="72">
        <v>10000</v>
      </c>
      <c r="AJ15" s="72">
        <v>3000</v>
      </c>
      <c r="AK15" s="72">
        <v>0</v>
      </c>
      <c r="AL15" s="72">
        <v>13000</v>
      </c>
      <c r="AM15" s="72">
        <v>9899410</v>
      </c>
      <c r="AN15" s="72">
        <v>-422322</v>
      </c>
      <c r="AO15" s="72">
        <v>1387376</v>
      </c>
      <c r="AP15" s="72">
        <v>965054</v>
      </c>
      <c r="AQ15" s="72">
        <v>125000</v>
      </c>
      <c r="AR15" s="72">
        <v>0</v>
      </c>
      <c r="AS15" s="72">
        <v>0</v>
      </c>
      <c r="AT15" s="72">
        <v>299082</v>
      </c>
      <c r="AU15" s="72">
        <v>0</v>
      </c>
      <c r="AV15" s="72">
        <v>0</v>
      </c>
      <c r="AW15" s="72">
        <v>0</v>
      </c>
      <c r="AX15" s="72">
        <v>0</v>
      </c>
      <c r="AY15" s="72">
        <v>5944</v>
      </c>
      <c r="AZ15" s="72">
        <v>305026</v>
      </c>
      <c r="BA15" s="72">
        <v>535028</v>
      </c>
      <c r="BB15" s="72">
        <v>0</v>
      </c>
      <c r="BC15" s="72">
        <v>0</v>
      </c>
      <c r="BD15" s="72">
        <v>0</v>
      </c>
      <c r="BE15" s="72">
        <v>535028</v>
      </c>
      <c r="BF15" s="72">
        <v>0</v>
      </c>
      <c r="BG15" s="72">
        <v>0</v>
      </c>
      <c r="BH15" s="72">
        <v>0</v>
      </c>
      <c r="BI15" s="72">
        <v>0</v>
      </c>
      <c r="BJ15" s="72">
        <v>535028</v>
      </c>
      <c r="BM15" s="72">
        <v>0</v>
      </c>
      <c r="BN15" s="72">
        <v>0</v>
      </c>
      <c r="BO15" s="72">
        <v>0</v>
      </c>
      <c r="BP15" s="72">
        <v>0</v>
      </c>
      <c r="BQ15" s="72">
        <v>0</v>
      </c>
      <c r="BR15" s="72">
        <v>0</v>
      </c>
      <c r="BS15" s="72">
        <v>9899410</v>
      </c>
    </row>
    <row r="16" spans="1:71" x14ac:dyDescent="0.2">
      <c r="A16" t="s">
        <v>160</v>
      </c>
      <c r="B16" t="s">
        <v>881</v>
      </c>
      <c r="C16" t="s">
        <v>23</v>
      </c>
      <c r="D16" s="72">
        <v>50974997</v>
      </c>
      <c r="E16" s="72">
        <v>2395966</v>
      </c>
      <c r="F16" s="72">
        <v>0</v>
      </c>
      <c r="G16" s="72">
        <v>8150147</v>
      </c>
      <c r="H16" s="72">
        <v>141039</v>
      </c>
      <c r="I16" s="72">
        <v>0</v>
      </c>
      <c r="J16" s="72">
        <v>14951352</v>
      </c>
      <c r="K16" s="72">
        <v>4219051</v>
      </c>
      <c r="L16" s="72">
        <v>80832552</v>
      </c>
      <c r="M16" s="72">
        <v>0</v>
      </c>
      <c r="N16" s="72">
        <v>0</v>
      </c>
      <c r="O16" s="72">
        <v>0</v>
      </c>
      <c r="P16" s="72">
        <v>160004</v>
      </c>
      <c r="Q16" s="72">
        <v>0</v>
      </c>
      <c r="R16" s="72">
        <v>160004</v>
      </c>
      <c r="S16" s="72">
        <v>80992556</v>
      </c>
      <c r="T16" s="72">
        <v>44394291</v>
      </c>
      <c r="U16" s="72">
        <v>22816619</v>
      </c>
      <c r="V16" s="72">
        <v>9801372</v>
      </c>
      <c r="W16" s="72">
        <v>2039769</v>
      </c>
      <c r="X16" s="72">
        <v>276715</v>
      </c>
      <c r="Y16" s="72">
        <v>0</v>
      </c>
      <c r="Z16" s="72">
        <v>0</v>
      </c>
      <c r="AA16" s="72">
        <v>0</v>
      </c>
      <c r="AB16" s="72">
        <v>0</v>
      </c>
      <c r="AC16" s="72">
        <v>0</v>
      </c>
      <c r="AD16" s="72">
        <v>0</v>
      </c>
      <c r="AE16" s="72">
        <v>525000</v>
      </c>
      <c r="AF16" s="72">
        <v>1171995</v>
      </c>
      <c r="AG16" s="72">
        <v>609358</v>
      </c>
      <c r="AH16" s="72">
        <v>81635119</v>
      </c>
      <c r="AI16" s="72">
        <v>200000</v>
      </c>
      <c r="AJ16" s="72">
        <v>160000</v>
      </c>
      <c r="AK16" s="72">
        <v>0</v>
      </c>
      <c r="AL16" s="72">
        <v>360000</v>
      </c>
      <c r="AM16" s="72">
        <v>81995119</v>
      </c>
      <c r="AN16" s="72">
        <v>-1002564</v>
      </c>
      <c r="AO16" s="72">
        <v>2221730</v>
      </c>
      <c r="AP16" s="72">
        <v>1219166</v>
      </c>
      <c r="AQ16" s="72">
        <v>0</v>
      </c>
      <c r="AR16" s="72">
        <v>0</v>
      </c>
      <c r="AS16" s="72">
        <v>0</v>
      </c>
      <c r="AT16" s="72">
        <v>0</v>
      </c>
      <c r="AU16" s="72">
        <v>0</v>
      </c>
      <c r="AV16" s="72">
        <v>0</v>
      </c>
      <c r="AW16" s="72">
        <v>0</v>
      </c>
      <c r="AX16" s="72">
        <v>0</v>
      </c>
      <c r="AY16" s="72">
        <v>0</v>
      </c>
      <c r="AZ16" s="72">
        <v>0</v>
      </c>
      <c r="BA16" s="72">
        <v>1219166</v>
      </c>
      <c r="BB16" s="72">
        <v>0</v>
      </c>
      <c r="BC16" s="72">
        <v>0</v>
      </c>
      <c r="BD16" s="72">
        <v>0</v>
      </c>
      <c r="BE16" s="72">
        <v>1219166</v>
      </c>
      <c r="BF16" s="72">
        <v>0</v>
      </c>
      <c r="BG16" s="72">
        <v>0</v>
      </c>
      <c r="BH16" s="72">
        <v>0</v>
      </c>
      <c r="BI16" s="72">
        <v>0</v>
      </c>
      <c r="BJ16" s="72">
        <v>1219166</v>
      </c>
      <c r="BM16" s="72">
        <v>0</v>
      </c>
      <c r="BN16" s="72">
        <v>0</v>
      </c>
      <c r="BO16" s="72">
        <v>0</v>
      </c>
      <c r="BP16" s="72">
        <v>0</v>
      </c>
      <c r="BQ16" s="72">
        <v>0</v>
      </c>
      <c r="BR16" s="72">
        <v>0</v>
      </c>
      <c r="BS16" s="72">
        <v>81995119</v>
      </c>
    </row>
    <row r="17" spans="1:71" x14ac:dyDescent="0.2">
      <c r="A17" t="s">
        <v>166</v>
      </c>
      <c r="B17" t="s">
        <v>887</v>
      </c>
      <c r="C17" t="s">
        <v>35</v>
      </c>
      <c r="D17" s="72">
        <v>19933000</v>
      </c>
      <c r="E17" s="72">
        <v>0</v>
      </c>
      <c r="F17" s="72">
        <v>6300000</v>
      </c>
      <c r="G17" s="72">
        <v>3950000</v>
      </c>
      <c r="I17" s="72">
        <v>0</v>
      </c>
      <c r="J17" s="72">
        <v>2760000</v>
      </c>
      <c r="K17" s="72">
        <v>280000</v>
      </c>
      <c r="L17" s="72">
        <v>33223000</v>
      </c>
      <c r="M17" s="72">
        <v>0</v>
      </c>
      <c r="P17" s="72">
        <v>38456</v>
      </c>
      <c r="Q17" s="72">
        <v>20000</v>
      </c>
      <c r="R17" s="72">
        <v>58456</v>
      </c>
      <c r="T17" s="72">
        <v>18340000</v>
      </c>
      <c r="U17" s="72">
        <v>7030000</v>
      </c>
      <c r="V17" s="72">
        <v>4520000</v>
      </c>
      <c r="W17" s="72">
        <v>1364000</v>
      </c>
      <c r="X17" s="72">
        <v>676000</v>
      </c>
      <c r="AG17" s="72">
        <v>570000</v>
      </c>
      <c r="AH17" s="72">
        <v>32500000</v>
      </c>
      <c r="AI17" s="72">
        <v>362921</v>
      </c>
      <c r="AJ17" s="72">
        <v>50000</v>
      </c>
      <c r="AL17" s="72">
        <v>414721</v>
      </c>
      <c r="AM17" s="72">
        <v>32914721</v>
      </c>
      <c r="AN17" s="72">
        <v>366735</v>
      </c>
      <c r="AO17" s="72">
        <v>21029924</v>
      </c>
      <c r="AP17" s="72">
        <v>21396659</v>
      </c>
      <c r="AQ17" s="72">
        <v>1000000</v>
      </c>
      <c r="AX17" s="72">
        <v>1900000</v>
      </c>
      <c r="AZ17" s="72">
        <v>1900000</v>
      </c>
      <c r="BA17" s="72">
        <v>18496659</v>
      </c>
      <c r="BE17" s="72">
        <v>18496659</v>
      </c>
      <c r="BJ17" s="72">
        <v>18496659</v>
      </c>
      <c r="BK17" s="72">
        <v>163</v>
      </c>
      <c r="BL17" s="72">
        <v>1992</v>
      </c>
      <c r="BO17" s="72">
        <v>0</v>
      </c>
      <c r="BP17" s="72">
        <v>0</v>
      </c>
      <c r="BQ17" s="72">
        <v>0</v>
      </c>
      <c r="BR17" s="72">
        <v>0</v>
      </c>
      <c r="BS17" s="72">
        <v>33223000</v>
      </c>
    </row>
    <row r="18" spans="1:71" x14ac:dyDescent="0.2">
      <c r="A18" t="s">
        <v>176</v>
      </c>
      <c r="B18" t="s">
        <v>897</v>
      </c>
      <c r="C18" t="s">
        <v>72</v>
      </c>
      <c r="D18" s="72">
        <v>15469104</v>
      </c>
      <c r="E18" s="72">
        <v>0</v>
      </c>
      <c r="F18" s="72">
        <v>2958531</v>
      </c>
      <c r="G18" s="72">
        <v>6882599</v>
      </c>
      <c r="H18" s="72">
        <v>167011</v>
      </c>
      <c r="I18" s="72">
        <v>0</v>
      </c>
      <c r="J18" s="72">
        <v>3207838</v>
      </c>
      <c r="K18" s="72">
        <v>443000</v>
      </c>
      <c r="L18" s="72">
        <v>29128083</v>
      </c>
      <c r="M18" s="72">
        <v>0</v>
      </c>
      <c r="N18" s="72">
        <v>0</v>
      </c>
      <c r="O18" s="72">
        <v>0</v>
      </c>
      <c r="P18" s="72">
        <v>0</v>
      </c>
      <c r="Q18" s="72">
        <v>0</v>
      </c>
      <c r="R18" s="72">
        <v>0</v>
      </c>
      <c r="S18" s="72">
        <v>29128083</v>
      </c>
      <c r="T18" s="72">
        <v>16854639</v>
      </c>
      <c r="U18" s="72">
        <v>6737199</v>
      </c>
      <c r="V18" s="72">
        <v>3879400</v>
      </c>
      <c r="W18" s="72">
        <v>1307800</v>
      </c>
      <c r="X18" s="72">
        <v>210000</v>
      </c>
      <c r="Y18" s="72">
        <v>0</v>
      </c>
      <c r="Z18" s="72">
        <v>0</v>
      </c>
      <c r="AA18" s="72">
        <v>0</v>
      </c>
      <c r="AB18" s="72">
        <v>0</v>
      </c>
      <c r="AC18" s="72">
        <v>0</v>
      </c>
      <c r="AD18" s="72">
        <v>0</v>
      </c>
      <c r="AE18" s="72">
        <v>0</v>
      </c>
      <c r="AF18" s="72">
        <v>0</v>
      </c>
      <c r="AG18" s="72">
        <v>1260450</v>
      </c>
      <c r="AH18" s="72">
        <v>30249488</v>
      </c>
      <c r="AI18" s="72">
        <v>301000</v>
      </c>
      <c r="AJ18" s="72">
        <v>0</v>
      </c>
      <c r="AK18" s="72">
        <v>0</v>
      </c>
      <c r="AL18" s="72">
        <v>301000</v>
      </c>
      <c r="AM18" s="72">
        <v>30550488</v>
      </c>
      <c r="AN18" s="72">
        <v>-1422405</v>
      </c>
      <c r="AO18" s="72">
        <v>5320157</v>
      </c>
      <c r="AP18" s="72">
        <v>3897752</v>
      </c>
      <c r="AQ18" s="72">
        <v>55000</v>
      </c>
      <c r="AR18" s="72">
        <v>0</v>
      </c>
      <c r="AS18" s="72">
        <v>0</v>
      </c>
      <c r="AT18" s="72">
        <v>500000</v>
      </c>
      <c r="AU18" s="72">
        <v>0</v>
      </c>
      <c r="AV18" s="72">
        <v>0</v>
      </c>
      <c r="AW18" s="72">
        <v>0</v>
      </c>
      <c r="AX18" s="72">
        <v>0</v>
      </c>
      <c r="AY18" s="72">
        <v>0</v>
      </c>
      <c r="AZ18" s="72">
        <v>500000</v>
      </c>
      <c r="BA18" s="72">
        <v>3342752</v>
      </c>
      <c r="BB18" s="72">
        <v>0</v>
      </c>
      <c r="BC18" s="72">
        <v>0</v>
      </c>
      <c r="BD18" s="72">
        <v>0</v>
      </c>
      <c r="BE18" s="72">
        <v>3342752</v>
      </c>
      <c r="BF18" s="72">
        <v>0</v>
      </c>
      <c r="BG18" s="72">
        <v>0</v>
      </c>
      <c r="BH18" s="72">
        <v>0</v>
      </c>
      <c r="BI18" s="72">
        <v>0</v>
      </c>
      <c r="BJ18" s="72">
        <v>3342752</v>
      </c>
      <c r="BM18" s="72">
        <v>11240</v>
      </c>
      <c r="BN18" s="72">
        <v>3406</v>
      </c>
      <c r="BO18" s="72">
        <v>0</v>
      </c>
      <c r="BP18" s="72">
        <v>0</v>
      </c>
      <c r="BQ18" s="72">
        <v>0</v>
      </c>
      <c r="BR18" s="72">
        <v>14646</v>
      </c>
      <c r="BS18" s="72">
        <v>30550488</v>
      </c>
    </row>
    <row r="19" spans="1:71" x14ac:dyDescent="0.2">
      <c r="A19" t="s">
        <v>178</v>
      </c>
      <c r="B19" t="s">
        <v>899</v>
      </c>
      <c r="C19" t="s">
        <v>23</v>
      </c>
      <c r="D19" s="72">
        <v>30394054</v>
      </c>
      <c r="E19" s="72">
        <v>1802360</v>
      </c>
      <c r="F19" s="72">
        <v>0</v>
      </c>
      <c r="G19" s="72">
        <v>5223756</v>
      </c>
      <c r="H19" s="72">
        <v>105262</v>
      </c>
      <c r="I19" s="72">
        <v>0</v>
      </c>
      <c r="J19" s="72">
        <v>5751285</v>
      </c>
      <c r="K19" s="72">
        <v>1577134</v>
      </c>
      <c r="L19" s="72">
        <v>44853851</v>
      </c>
      <c r="M19" s="72">
        <v>0</v>
      </c>
      <c r="N19" s="72">
        <v>0</v>
      </c>
      <c r="O19" s="72">
        <v>0</v>
      </c>
      <c r="P19" s="72">
        <v>110000</v>
      </c>
      <c r="Q19" s="72">
        <v>95521</v>
      </c>
      <c r="R19" s="72">
        <v>205521</v>
      </c>
      <c r="S19" s="72">
        <v>45059372</v>
      </c>
      <c r="T19" s="72">
        <v>29985681</v>
      </c>
      <c r="U19" s="72">
        <v>9305318</v>
      </c>
      <c r="V19" s="72">
        <v>4406144</v>
      </c>
      <c r="W19" s="72">
        <v>1186851</v>
      </c>
      <c r="X19" s="72">
        <v>257334</v>
      </c>
      <c r="Y19" s="72">
        <v>0</v>
      </c>
      <c r="Z19" s="72">
        <v>0</v>
      </c>
      <c r="AA19" s="72">
        <v>0</v>
      </c>
      <c r="AB19" s="72">
        <v>0</v>
      </c>
      <c r="AC19" s="72">
        <v>0</v>
      </c>
      <c r="AD19" s="72">
        <v>323005</v>
      </c>
      <c r="AE19" s="72">
        <v>0</v>
      </c>
      <c r="AF19" s="72">
        <v>3230</v>
      </c>
      <c r="AG19" s="72">
        <v>815223</v>
      </c>
      <c r="AH19" s="72">
        <v>46282786</v>
      </c>
      <c r="AI19" s="72">
        <v>75960</v>
      </c>
      <c r="AJ19" s="72">
        <v>110000</v>
      </c>
      <c r="AK19" s="72">
        <v>0</v>
      </c>
      <c r="AL19" s="72">
        <v>185960</v>
      </c>
      <c r="AM19" s="72">
        <v>46468746</v>
      </c>
      <c r="AN19" s="72">
        <v>-1409374</v>
      </c>
      <c r="AO19" s="72">
        <v>10256825</v>
      </c>
      <c r="AP19" s="72">
        <v>8847451</v>
      </c>
      <c r="AQ19" s="72">
        <v>272371</v>
      </c>
      <c r="AR19" s="72">
        <v>0</v>
      </c>
      <c r="AS19" s="72">
        <v>0</v>
      </c>
      <c r="AT19" s="72">
        <v>0</v>
      </c>
      <c r="AU19" s="72">
        <v>0</v>
      </c>
      <c r="AV19" s="72">
        <v>0</v>
      </c>
      <c r="AW19" s="72">
        <v>0</v>
      </c>
      <c r="AX19" s="72">
        <v>0</v>
      </c>
      <c r="AY19" s="72">
        <v>0</v>
      </c>
      <c r="AZ19" s="72">
        <v>0</v>
      </c>
      <c r="BA19" s="72">
        <v>8575080</v>
      </c>
      <c r="BB19" s="72">
        <v>0</v>
      </c>
      <c r="BC19" s="72">
        <v>0</v>
      </c>
      <c r="BD19" s="72">
        <v>0</v>
      </c>
      <c r="BE19" s="72">
        <v>8575080</v>
      </c>
      <c r="BF19" s="72">
        <v>0</v>
      </c>
      <c r="BG19" s="72">
        <v>0</v>
      </c>
      <c r="BH19" s="72">
        <v>0</v>
      </c>
      <c r="BI19" s="72">
        <v>0</v>
      </c>
      <c r="BJ19" s="72">
        <v>8575080</v>
      </c>
      <c r="BM19" s="72">
        <v>0</v>
      </c>
      <c r="BN19" s="72">
        <v>0</v>
      </c>
      <c r="BO19" s="72">
        <v>0</v>
      </c>
      <c r="BP19" s="72">
        <v>0</v>
      </c>
      <c r="BQ19" s="72">
        <v>0</v>
      </c>
      <c r="BR19" s="72">
        <v>0</v>
      </c>
      <c r="BS19" s="72">
        <v>46468746</v>
      </c>
    </row>
    <row r="20" spans="1:71" x14ac:dyDescent="0.2">
      <c r="A20" t="s">
        <v>183</v>
      </c>
      <c r="B20" t="s">
        <v>904</v>
      </c>
      <c r="C20" t="s">
        <v>23</v>
      </c>
      <c r="D20" s="72">
        <v>9284567</v>
      </c>
      <c r="E20" s="72">
        <v>900808</v>
      </c>
      <c r="F20" s="72">
        <v>0</v>
      </c>
      <c r="G20" s="72">
        <v>760000</v>
      </c>
      <c r="H20" s="72">
        <v>0</v>
      </c>
      <c r="I20" s="72">
        <v>0</v>
      </c>
      <c r="J20" s="72">
        <v>2101607</v>
      </c>
      <c r="K20" s="72">
        <v>575000</v>
      </c>
      <c r="L20" s="72">
        <v>13621982</v>
      </c>
      <c r="M20" s="72">
        <v>0</v>
      </c>
      <c r="N20" s="72">
        <v>0</v>
      </c>
      <c r="O20" s="72">
        <v>0</v>
      </c>
      <c r="P20" s="72">
        <v>351740</v>
      </c>
      <c r="Q20" s="72">
        <v>0</v>
      </c>
      <c r="R20" s="72">
        <v>351740</v>
      </c>
      <c r="S20" s="72">
        <v>13973722</v>
      </c>
      <c r="T20" s="72">
        <v>9040181</v>
      </c>
      <c r="U20" s="72">
        <v>2983260</v>
      </c>
      <c r="V20" s="72">
        <v>2644216</v>
      </c>
      <c r="W20" s="72">
        <v>245245</v>
      </c>
      <c r="X20" s="72">
        <v>50000</v>
      </c>
      <c r="Y20" s="72">
        <v>0</v>
      </c>
      <c r="Z20" s="72">
        <v>0</v>
      </c>
      <c r="AA20" s="72">
        <v>0</v>
      </c>
      <c r="AB20" s="72">
        <v>0</v>
      </c>
      <c r="AC20" s="72">
        <v>0</v>
      </c>
      <c r="AD20" s="72">
        <v>0</v>
      </c>
      <c r="AE20" s="72">
        <v>0</v>
      </c>
      <c r="AF20" s="72">
        <v>0</v>
      </c>
      <c r="AG20" s="72">
        <v>400000</v>
      </c>
      <c r="AH20" s="72">
        <v>15362902</v>
      </c>
      <c r="AI20" s="72">
        <v>0</v>
      </c>
      <c r="AJ20" s="72">
        <v>0</v>
      </c>
      <c r="AK20" s="72">
        <v>0</v>
      </c>
      <c r="AL20" s="72">
        <v>0</v>
      </c>
      <c r="AM20" s="72">
        <v>15362902</v>
      </c>
      <c r="AN20" s="72">
        <v>-1389180</v>
      </c>
      <c r="AO20" s="72">
        <v>2569336</v>
      </c>
      <c r="AP20" s="72">
        <v>1180156</v>
      </c>
      <c r="AQ20" s="72">
        <v>0</v>
      </c>
      <c r="AR20" s="72">
        <v>0</v>
      </c>
      <c r="AS20" s="72">
        <v>0</v>
      </c>
      <c r="AT20" s="72">
        <v>0</v>
      </c>
      <c r="AU20" s="72">
        <v>0</v>
      </c>
      <c r="AV20" s="72">
        <v>0</v>
      </c>
      <c r="AW20" s="72">
        <v>0</v>
      </c>
      <c r="AX20" s="72">
        <v>0</v>
      </c>
      <c r="AY20" s="72">
        <v>0</v>
      </c>
      <c r="AZ20" s="72">
        <v>0</v>
      </c>
      <c r="BA20" s="72">
        <v>1180156</v>
      </c>
      <c r="BB20" s="72">
        <v>0</v>
      </c>
      <c r="BC20" s="72">
        <v>1127000</v>
      </c>
      <c r="BD20" s="72">
        <v>1127000</v>
      </c>
      <c r="BE20" s="72">
        <v>2307156</v>
      </c>
      <c r="BF20" s="72">
        <v>0</v>
      </c>
      <c r="BG20" s="72">
        <v>0</v>
      </c>
      <c r="BH20" s="72">
        <v>0</v>
      </c>
      <c r="BI20" s="72">
        <v>0</v>
      </c>
      <c r="BJ20" s="72">
        <v>2307156</v>
      </c>
      <c r="BM20" s="72">
        <v>0</v>
      </c>
      <c r="BN20" s="72">
        <v>0</v>
      </c>
      <c r="BO20" s="72">
        <v>0</v>
      </c>
      <c r="BP20" s="72">
        <v>0</v>
      </c>
      <c r="BQ20" s="72">
        <v>0</v>
      </c>
      <c r="BR20" s="72">
        <v>0</v>
      </c>
      <c r="BS20" s="72">
        <v>15362902</v>
      </c>
    </row>
    <row r="21" spans="1:71" x14ac:dyDescent="0.2">
      <c r="A21" t="s">
        <v>186</v>
      </c>
      <c r="B21" t="s">
        <v>907</v>
      </c>
      <c r="C21" t="s">
        <v>81</v>
      </c>
      <c r="D21" s="72">
        <v>32169823</v>
      </c>
      <c r="E21" s="72">
        <v>992411</v>
      </c>
      <c r="F21" s="72">
        <v>0</v>
      </c>
      <c r="G21" s="72">
        <v>22129000</v>
      </c>
      <c r="H21" s="72">
        <v>72000</v>
      </c>
      <c r="I21" s="72">
        <v>102000</v>
      </c>
      <c r="J21" s="72">
        <v>4928693</v>
      </c>
      <c r="K21" s="72">
        <v>1212500</v>
      </c>
      <c r="L21" s="72">
        <v>61606427</v>
      </c>
      <c r="M21" s="72">
        <v>0</v>
      </c>
      <c r="N21" s="72">
        <v>0</v>
      </c>
      <c r="O21" s="72">
        <v>0</v>
      </c>
      <c r="P21" s="72">
        <v>900000</v>
      </c>
      <c r="Q21" s="72">
        <v>0</v>
      </c>
      <c r="R21" s="72">
        <v>900000</v>
      </c>
      <c r="S21" s="72">
        <v>62506427</v>
      </c>
      <c r="T21" s="72">
        <v>39600000</v>
      </c>
      <c r="U21" s="72">
        <v>15648000</v>
      </c>
      <c r="V21" s="72">
        <v>6036198</v>
      </c>
      <c r="W21" s="72">
        <v>2732160</v>
      </c>
      <c r="X21" s="72">
        <v>245270</v>
      </c>
      <c r="Y21" s="72">
        <v>0</v>
      </c>
      <c r="Z21" s="72">
        <v>0</v>
      </c>
      <c r="AA21" s="72">
        <v>0</v>
      </c>
      <c r="AB21" s="72">
        <v>0</v>
      </c>
      <c r="AC21" s="72">
        <v>0</v>
      </c>
      <c r="AD21" s="72">
        <v>0</v>
      </c>
      <c r="AE21" s="72">
        <v>60865</v>
      </c>
      <c r="AF21" s="72">
        <v>16263</v>
      </c>
      <c r="AG21" s="72">
        <v>1098391</v>
      </c>
      <c r="AH21" s="72">
        <v>65437147</v>
      </c>
      <c r="AI21" s="72">
        <v>0</v>
      </c>
      <c r="AJ21" s="72">
        <v>0</v>
      </c>
      <c r="AK21" s="72">
        <v>0</v>
      </c>
      <c r="AL21" s="72">
        <v>0</v>
      </c>
      <c r="AM21" s="72">
        <v>65437146</v>
      </c>
      <c r="AN21" s="72">
        <v>-2930719</v>
      </c>
      <c r="AO21" s="72">
        <v>4080689</v>
      </c>
      <c r="AP21" s="72">
        <v>1149970</v>
      </c>
      <c r="AQ21" s="72">
        <v>922226</v>
      </c>
      <c r="AR21" s="72">
        <v>0</v>
      </c>
      <c r="AS21" s="72">
        <v>0</v>
      </c>
      <c r="AT21" s="72">
        <v>0</v>
      </c>
      <c r="AU21" s="72">
        <v>0</v>
      </c>
      <c r="AW21" s="72">
        <v>0</v>
      </c>
      <c r="AX21" s="72">
        <v>0</v>
      </c>
      <c r="AY21" s="72">
        <v>0</v>
      </c>
      <c r="AZ21" s="72">
        <v>0</v>
      </c>
      <c r="BA21" s="72">
        <v>227744</v>
      </c>
      <c r="BB21" s="72">
        <v>0</v>
      </c>
      <c r="BC21" s="72">
        <v>0</v>
      </c>
      <c r="BD21" s="72">
        <v>0</v>
      </c>
      <c r="BE21" s="72">
        <v>227744</v>
      </c>
      <c r="BF21" s="72">
        <v>0</v>
      </c>
      <c r="BG21" s="72">
        <v>2478000</v>
      </c>
      <c r="BH21" s="72">
        <v>2478000</v>
      </c>
      <c r="BI21" s="72">
        <v>0</v>
      </c>
      <c r="BJ21" s="72">
        <v>2705744</v>
      </c>
      <c r="BS21" s="72">
        <v>65437147</v>
      </c>
    </row>
    <row r="22" spans="1:71" x14ac:dyDescent="0.2">
      <c r="A22" t="s">
        <v>187</v>
      </c>
      <c r="B22" t="s">
        <v>908</v>
      </c>
      <c r="C22" t="s">
        <v>48</v>
      </c>
      <c r="D22" s="72">
        <v>6400000</v>
      </c>
      <c r="E22" s="72">
        <v>0</v>
      </c>
      <c r="F22" s="72">
        <v>2825000</v>
      </c>
      <c r="G22" s="72">
        <v>5609000</v>
      </c>
      <c r="H22" s="72">
        <v>38500</v>
      </c>
      <c r="I22" s="72">
        <v>0</v>
      </c>
      <c r="J22" s="72">
        <v>2338000</v>
      </c>
      <c r="K22" s="72">
        <v>1263800</v>
      </c>
      <c r="L22" s="72">
        <v>18474300</v>
      </c>
      <c r="M22" s="72">
        <v>0</v>
      </c>
      <c r="N22" s="72">
        <v>0</v>
      </c>
      <c r="O22" s="72">
        <v>0</v>
      </c>
      <c r="P22" s="72">
        <v>0</v>
      </c>
      <c r="Q22" s="72">
        <v>2000</v>
      </c>
      <c r="R22" s="72">
        <v>2000</v>
      </c>
      <c r="S22" s="72">
        <v>18476300</v>
      </c>
      <c r="T22" s="72">
        <v>11391255</v>
      </c>
      <c r="U22" s="72">
        <v>4257453</v>
      </c>
      <c r="V22" s="72">
        <v>2392776</v>
      </c>
      <c r="W22" s="72">
        <v>500619</v>
      </c>
      <c r="X22" s="72">
        <v>0</v>
      </c>
      <c r="Y22" s="72">
        <v>0</v>
      </c>
      <c r="Z22" s="72">
        <v>0</v>
      </c>
      <c r="AA22" s="72">
        <v>0</v>
      </c>
      <c r="AB22" s="72">
        <v>0</v>
      </c>
      <c r="AC22" s="72">
        <v>0</v>
      </c>
      <c r="AD22" s="72">
        <v>0</v>
      </c>
      <c r="AE22" s="72">
        <v>0</v>
      </c>
      <c r="AF22" s="72">
        <v>0</v>
      </c>
      <c r="AG22" s="72">
        <v>256465</v>
      </c>
      <c r="AH22" s="72">
        <v>18798568</v>
      </c>
      <c r="AI22" s="72">
        <v>157185</v>
      </c>
      <c r="AJ22" s="72">
        <v>0</v>
      </c>
      <c r="AK22" s="72">
        <v>0</v>
      </c>
      <c r="AL22" s="72">
        <v>157185</v>
      </c>
      <c r="AM22" s="72">
        <v>18955753</v>
      </c>
      <c r="AN22" s="72">
        <v>-479453</v>
      </c>
      <c r="AO22" s="72">
        <v>9689298</v>
      </c>
      <c r="AP22" s="72">
        <v>9209845</v>
      </c>
      <c r="AQ22" s="72">
        <v>100000</v>
      </c>
      <c r="AR22" s="72">
        <v>0</v>
      </c>
      <c r="AS22" s="72">
        <v>0</v>
      </c>
      <c r="AT22" s="72">
        <v>0</v>
      </c>
      <c r="AU22" s="72">
        <v>0</v>
      </c>
      <c r="AV22" s="72">
        <v>0</v>
      </c>
      <c r="AW22" s="72">
        <v>0</v>
      </c>
      <c r="AX22" s="72">
        <v>0</v>
      </c>
      <c r="AY22" s="72">
        <v>0</v>
      </c>
      <c r="AZ22" s="72">
        <v>0</v>
      </c>
      <c r="BA22" s="72">
        <v>9109845</v>
      </c>
      <c r="BB22" s="72">
        <v>0</v>
      </c>
      <c r="BC22" s="72">
        <v>0</v>
      </c>
      <c r="BD22" s="72">
        <v>0</v>
      </c>
      <c r="BE22" s="72">
        <v>9109845</v>
      </c>
      <c r="BF22" s="72">
        <v>0</v>
      </c>
      <c r="BG22" s="72">
        <v>0</v>
      </c>
      <c r="BH22" s="72">
        <v>0</v>
      </c>
      <c r="BI22" s="72">
        <v>0</v>
      </c>
      <c r="BJ22" s="72">
        <v>9109845</v>
      </c>
      <c r="BK22" s="72">
        <v>180</v>
      </c>
      <c r="BL22" s="72">
        <v>1820</v>
      </c>
      <c r="BM22" s="72">
        <v>0</v>
      </c>
      <c r="BN22" s="72">
        <v>0</v>
      </c>
      <c r="BO22" s="72">
        <v>0</v>
      </c>
      <c r="BP22" s="72">
        <v>0</v>
      </c>
      <c r="BQ22" s="72">
        <v>0</v>
      </c>
      <c r="BR22" s="72">
        <v>0</v>
      </c>
      <c r="BS22" s="72">
        <v>18955753</v>
      </c>
    </row>
    <row r="23" spans="1:71" x14ac:dyDescent="0.2">
      <c r="A23" t="s">
        <v>194</v>
      </c>
      <c r="B23" t="s">
        <v>913</v>
      </c>
      <c r="C23" t="s">
        <v>84</v>
      </c>
      <c r="D23" s="72">
        <v>3441014</v>
      </c>
      <c r="E23" s="72">
        <v>367687</v>
      </c>
      <c r="F23" s="72">
        <v>0</v>
      </c>
      <c r="G23" s="72">
        <v>8941326</v>
      </c>
      <c r="H23" s="72">
        <v>44074</v>
      </c>
      <c r="I23" s="72">
        <v>0</v>
      </c>
      <c r="J23" s="72">
        <v>808315</v>
      </c>
      <c r="K23" s="72">
        <v>741147</v>
      </c>
      <c r="L23" s="72">
        <v>14343563</v>
      </c>
      <c r="M23" s="72">
        <v>0</v>
      </c>
      <c r="N23" s="72">
        <v>0</v>
      </c>
      <c r="O23" s="72">
        <v>0</v>
      </c>
      <c r="P23" s="72">
        <v>0</v>
      </c>
      <c r="Q23" s="72">
        <v>9700</v>
      </c>
      <c r="R23" s="72">
        <v>9700</v>
      </c>
      <c r="S23" s="72">
        <v>14353263</v>
      </c>
      <c r="T23" s="72">
        <v>7108167</v>
      </c>
      <c r="U23" s="72">
        <v>3104105</v>
      </c>
      <c r="V23" s="72">
        <v>3848256</v>
      </c>
      <c r="W23" s="72">
        <v>218874</v>
      </c>
      <c r="X23" s="72">
        <v>13430</v>
      </c>
      <c r="Y23" s="72">
        <v>0</v>
      </c>
      <c r="Z23" s="72">
        <v>0</v>
      </c>
      <c r="AA23" s="72">
        <v>0</v>
      </c>
      <c r="AB23" s="72">
        <v>0</v>
      </c>
      <c r="AC23" s="72">
        <v>0</v>
      </c>
      <c r="AD23" s="72">
        <v>0</v>
      </c>
      <c r="AE23" s="72">
        <v>0</v>
      </c>
      <c r="AF23" s="72">
        <v>0</v>
      </c>
      <c r="AG23" s="72">
        <v>224406</v>
      </c>
      <c r="AH23" s="72">
        <v>14517238</v>
      </c>
      <c r="AI23" s="72">
        <v>25000</v>
      </c>
      <c r="AJ23" s="72">
        <v>0</v>
      </c>
      <c r="AK23" s="72">
        <v>0</v>
      </c>
      <c r="AL23" s="72">
        <v>25000</v>
      </c>
      <c r="AM23" s="72">
        <v>14542238</v>
      </c>
      <c r="AN23" s="72">
        <v>-188975</v>
      </c>
      <c r="AO23" s="72">
        <v>4372247</v>
      </c>
      <c r="AP23" s="72">
        <v>4183272</v>
      </c>
      <c r="AQ23" s="72">
        <v>100000</v>
      </c>
      <c r="AR23" s="72">
        <v>0</v>
      </c>
      <c r="AS23" s="72">
        <v>0</v>
      </c>
      <c r="AT23" s="72">
        <v>0</v>
      </c>
      <c r="AU23" s="72">
        <v>0</v>
      </c>
      <c r="AV23" s="72">
        <v>0</v>
      </c>
      <c r="AW23" s="72">
        <v>0</v>
      </c>
      <c r="AX23" s="72">
        <v>0</v>
      </c>
      <c r="AY23" s="72">
        <v>0</v>
      </c>
      <c r="AZ23" s="72">
        <v>0</v>
      </c>
      <c r="BA23" s="72">
        <v>4083272</v>
      </c>
      <c r="BB23" s="72">
        <v>0</v>
      </c>
      <c r="BC23" s="72">
        <v>0</v>
      </c>
      <c r="BD23" s="72">
        <v>0</v>
      </c>
      <c r="BE23" s="72">
        <v>4083272</v>
      </c>
      <c r="BF23" s="72">
        <v>0</v>
      </c>
      <c r="BG23" s="72">
        <v>0</v>
      </c>
      <c r="BH23" s="72">
        <v>0</v>
      </c>
      <c r="BI23" s="72">
        <v>0</v>
      </c>
      <c r="BJ23" s="72">
        <v>4083272</v>
      </c>
      <c r="BS23" s="72">
        <v>14542238</v>
      </c>
    </row>
    <row r="24" spans="1:71" x14ac:dyDescent="0.2">
      <c r="A24" t="s">
        <v>197</v>
      </c>
      <c r="B24" t="s">
        <v>916</v>
      </c>
      <c r="C24" t="s">
        <v>93</v>
      </c>
      <c r="D24" s="72">
        <v>4778699</v>
      </c>
      <c r="E24" s="72">
        <v>738456</v>
      </c>
      <c r="F24" s="72">
        <v>0</v>
      </c>
      <c r="G24" s="72">
        <v>13297382</v>
      </c>
      <c r="H24" s="72">
        <v>24856</v>
      </c>
      <c r="I24" s="72">
        <v>0</v>
      </c>
      <c r="J24" s="72">
        <v>841480</v>
      </c>
      <c r="K24" s="72">
        <v>1026516</v>
      </c>
      <c r="L24" s="72">
        <v>20707389</v>
      </c>
      <c r="M24" s="72">
        <v>0</v>
      </c>
      <c r="N24" s="72">
        <v>0</v>
      </c>
      <c r="O24" s="72">
        <v>0</v>
      </c>
      <c r="P24" s="72">
        <v>0</v>
      </c>
      <c r="Q24" s="72">
        <v>51484</v>
      </c>
      <c r="R24" s="72">
        <v>51484</v>
      </c>
      <c r="S24" s="72">
        <v>20758873</v>
      </c>
      <c r="T24" s="72">
        <v>10565722</v>
      </c>
      <c r="U24" s="72">
        <v>5141650</v>
      </c>
      <c r="V24" s="72">
        <v>3921407</v>
      </c>
      <c r="W24" s="72">
        <v>677263</v>
      </c>
      <c r="X24" s="72">
        <v>125333</v>
      </c>
      <c r="Y24" s="72">
        <v>0</v>
      </c>
      <c r="Z24" s="72">
        <v>0</v>
      </c>
      <c r="AA24" s="72">
        <v>0</v>
      </c>
      <c r="AB24" s="72">
        <v>0</v>
      </c>
      <c r="AC24" s="72">
        <v>0</v>
      </c>
      <c r="AD24" s="72">
        <v>0</v>
      </c>
      <c r="AE24" s="72">
        <v>0</v>
      </c>
      <c r="AF24" s="72">
        <v>0</v>
      </c>
      <c r="AG24" s="72">
        <v>446520</v>
      </c>
      <c r="AH24" s="72">
        <v>20877895</v>
      </c>
      <c r="AI24" s="72">
        <v>0</v>
      </c>
      <c r="AJ24" s="72">
        <v>0</v>
      </c>
      <c r="AK24" s="72">
        <v>0</v>
      </c>
      <c r="AL24" s="72">
        <v>0</v>
      </c>
      <c r="AM24" s="72">
        <v>20877895</v>
      </c>
      <c r="AN24" s="72">
        <v>-119022</v>
      </c>
      <c r="AO24" s="72">
        <v>1327072</v>
      </c>
      <c r="AP24" s="72">
        <v>1208050</v>
      </c>
      <c r="AQ24" s="72">
        <v>500000</v>
      </c>
      <c r="AR24" s="72">
        <v>0</v>
      </c>
      <c r="AS24" s="72">
        <v>0</v>
      </c>
      <c r="AT24" s="72">
        <v>0</v>
      </c>
      <c r="AU24" s="72">
        <v>0</v>
      </c>
      <c r="AV24" s="72">
        <v>0</v>
      </c>
      <c r="AW24" s="72">
        <v>0</v>
      </c>
      <c r="AX24" s="72">
        <v>0</v>
      </c>
      <c r="AY24" s="72">
        <v>0</v>
      </c>
      <c r="AZ24" s="72">
        <v>0</v>
      </c>
      <c r="BA24" s="72">
        <v>708050</v>
      </c>
      <c r="BB24" s="72">
        <v>0</v>
      </c>
      <c r="BC24" s="72">
        <v>0</v>
      </c>
      <c r="BD24" s="72">
        <v>0</v>
      </c>
      <c r="BE24" s="72">
        <v>708050</v>
      </c>
      <c r="BF24" s="72">
        <v>0</v>
      </c>
      <c r="BG24" s="72">
        <v>0</v>
      </c>
      <c r="BH24" s="72">
        <v>0</v>
      </c>
      <c r="BI24" s="72">
        <v>0</v>
      </c>
      <c r="BJ24" s="72">
        <v>708050</v>
      </c>
      <c r="BM24" s="72">
        <v>0</v>
      </c>
      <c r="BN24" s="72">
        <v>0</v>
      </c>
      <c r="BO24" s="72">
        <v>0</v>
      </c>
      <c r="BP24" s="72">
        <v>0</v>
      </c>
      <c r="BQ24" s="72">
        <v>0</v>
      </c>
      <c r="BR24" s="72">
        <v>0</v>
      </c>
      <c r="BS24" s="72">
        <v>20877895</v>
      </c>
    </row>
    <row r="25" spans="1:71" x14ac:dyDescent="0.2">
      <c r="A25" t="s">
        <v>198</v>
      </c>
      <c r="B25" t="s">
        <v>917</v>
      </c>
      <c r="C25" t="s">
        <v>44</v>
      </c>
      <c r="D25" s="72">
        <v>1846781</v>
      </c>
      <c r="E25" s="72">
        <v>0</v>
      </c>
      <c r="F25" s="72">
        <v>0</v>
      </c>
      <c r="G25" s="72">
        <v>10706030</v>
      </c>
      <c r="H25" s="72">
        <v>84256</v>
      </c>
      <c r="I25" s="72">
        <v>0</v>
      </c>
      <c r="J25" s="72">
        <v>504346</v>
      </c>
      <c r="K25" s="72">
        <v>300000</v>
      </c>
      <c r="L25" s="72">
        <v>13441413</v>
      </c>
      <c r="M25" s="72">
        <v>0</v>
      </c>
      <c r="N25" s="72">
        <v>0</v>
      </c>
      <c r="O25" s="72">
        <v>0</v>
      </c>
      <c r="P25" s="72">
        <v>39984</v>
      </c>
      <c r="Q25" s="72">
        <v>0</v>
      </c>
      <c r="R25" s="72">
        <v>39984</v>
      </c>
      <c r="S25" s="72">
        <v>13481397</v>
      </c>
      <c r="T25" s="72">
        <v>7416222</v>
      </c>
      <c r="U25" s="72">
        <v>2644403</v>
      </c>
      <c r="V25" s="72">
        <v>2783064</v>
      </c>
      <c r="W25" s="72">
        <v>303556</v>
      </c>
      <c r="X25" s="72">
        <v>0</v>
      </c>
      <c r="Y25" s="72">
        <v>0</v>
      </c>
      <c r="Z25" s="72">
        <v>0</v>
      </c>
      <c r="AA25" s="72">
        <v>0</v>
      </c>
      <c r="AB25" s="72">
        <v>0</v>
      </c>
      <c r="AC25" s="72">
        <v>0</v>
      </c>
      <c r="AD25" s="72">
        <v>0</v>
      </c>
      <c r="AE25" s="72">
        <v>144000</v>
      </c>
      <c r="AF25" s="72">
        <v>92711</v>
      </c>
      <c r="AG25" s="72">
        <v>79857</v>
      </c>
      <c r="AH25" s="72">
        <v>13463813</v>
      </c>
      <c r="AI25" s="72">
        <v>0</v>
      </c>
      <c r="AJ25" s="72">
        <v>30000</v>
      </c>
      <c r="AK25" s="72">
        <v>0</v>
      </c>
      <c r="AL25" s="72">
        <v>30000</v>
      </c>
      <c r="AM25" s="72">
        <v>13493813</v>
      </c>
      <c r="AN25" s="72">
        <v>-12416</v>
      </c>
      <c r="AO25" s="72">
        <v>308684</v>
      </c>
      <c r="AP25" s="72">
        <v>296268</v>
      </c>
      <c r="AQ25" s="72">
        <v>20000</v>
      </c>
      <c r="AR25" s="72">
        <v>0</v>
      </c>
      <c r="AS25" s="72">
        <v>0</v>
      </c>
      <c r="AT25" s="72">
        <v>0</v>
      </c>
      <c r="AU25" s="72">
        <v>0</v>
      </c>
      <c r="AV25" s="72">
        <v>0</v>
      </c>
      <c r="AW25" s="72">
        <v>0</v>
      </c>
      <c r="AX25" s="72">
        <v>0</v>
      </c>
      <c r="AY25" s="72">
        <v>0</v>
      </c>
      <c r="AZ25" s="72">
        <v>0</v>
      </c>
      <c r="BA25" s="72">
        <v>276268</v>
      </c>
      <c r="BB25" s="72">
        <v>0</v>
      </c>
      <c r="BC25" s="72">
        <v>0</v>
      </c>
      <c r="BD25" s="72">
        <v>0</v>
      </c>
      <c r="BE25" s="72">
        <v>276268</v>
      </c>
      <c r="BF25" s="72">
        <v>0</v>
      </c>
      <c r="BG25" s="72">
        <v>0</v>
      </c>
      <c r="BH25" s="72">
        <v>0</v>
      </c>
      <c r="BI25" s="72">
        <v>0</v>
      </c>
      <c r="BJ25" s="72">
        <v>276268</v>
      </c>
      <c r="BK25" s="72">
        <v>106</v>
      </c>
      <c r="BL25" s="72">
        <v>1138</v>
      </c>
      <c r="BM25" s="72">
        <v>0</v>
      </c>
      <c r="BN25" s="72">
        <v>0</v>
      </c>
      <c r="BO25" s="72">
        <v>0</v>
      </c>
      <c r="BP25" s="72">
        <v>0</v>
      </c>
      <c r="BQ25" s="72">
        <v>0</v>
      </c>
      <c r="BR25" s="72">
        <v>0</v>
      </c>
      <c r="BS25" s="72">
        <v>13493813</v>
      </c>
    </row>
    <row r="26" spans="1:71" x14ac:dyDescent="0.2">
      <c r="A26" t="s">
        <v>201</v>
      </c>
      <c r="B26" t="s">
        <v>903</v>
      </c>
      <c r="C26" t="s">
        <v>55</v>
      </c>
      <c r="D26" s="72">
        <v>20500000</v>
      </c>
      <c r="E26" s="72">
        <v>3098350</v>
      </c>
      <c r="F26" s="72">
        <v>0</v>
      </c>
      <c r="G26" s="72">
        <v>70844928</v>
      </c>
      <c r="H26" s="72">
        <v>1067166</v>
      </c>
      <c r="I26" s="72">
        <v>0</v>
      </c>
      <c r="J26" s="72">
        <v>6336410</v>
      </c>
      <c r="K26" s="72">
        <v>1800000</v>
      </c>
      <c r="L26" s="72">
        <v>103646854</v>
      </c>
      <c r="M26" s="72">
        <v>0</v>
      </c>
      <c r="N26" s="72">
        <v>0</v>
      </c>
      <c r="O26" s="72">
        <v>0</v>
      </c>
      <c r="P26" s="72">
        <v>0</v>
      </c>
      <c r="Q26" s="72">
        <v>400000</v>
      </c>
      <c r="R26" s="72">
        <v>400000</v>
      </c>
      <c r="S26" s="72">
        <v>104046854</v>
      </c>
      <c r="T26" s="72">
        <v>59498881</v>
      </c>
      <c r="U26" s="72">
        <v>22751165</v>
      </c>
      <c r="V26" s="72">
        <v>22000000</v>
      </c>
      <c r="W26" s="72">
        <v>3000000</v>
      </c>
      <c r="X26" s="72">
        <v>1200000</v>
      </c>
      <c r="Y26" s="72">
        <v>0</v>
      </c>
      <c r="Z26" s="72">
        <v>0</v>
      </c>
      <c r="AA26" s="72">
        <v>0</v>
      </c>
      <c r="AB26" s="72">
        <v>0</v>
      </c>
      <c r="AC26" s="72">
        <v>0</v>
      </c>
      <c r="AD26" s="72">
        <v>0</v>
      </c>
      <c r="AE26" s="72">
        <v>0</v>
      </c>
      <c r="AF26" s="72">
        <v>0</v>
      </c>
      <c r="AG26" s="72">
        <v>750000</v>
      </c>
      <c r="AH26" s="72">
        <v>109200046</v>
      </c>
      <c r="AI26" s="72">
        <v>1350000</v>
      </c>
      <c r="AJ26" s="72">
        <v>0</v>
      </c>
      <c r="AK26" s="72">
        <v>20000</v>
      </c>
      <c r="AL26" s="72">
        <v>1370000</v>
      </c>
      <c r="AM26" s="72">
        <v>110570046</v>
      </c>
      <c r="AN26" s="72">
        <v>-6523192</v>
      </c>
      <c r="AO26" s="72">
        <v>14142407</v>
      </c>
      <c r="AP26" s="72">
        <v>7619215</v>
      </c>
      <c r="AQ26" s="72">
        <v>2700000</v>
      </c>
      <c r="AR26" s="72">
        <v>0</v>
      </c>
      <c r="AS26" s="72">
        <v>0</v>
      </c>
      <c r="AT26" s="72">
        <v>0</v>
      </c>
      <c r="AU26" s="72">
        <v>0</v>
      </c>
      <c r="AV26" s="72">
        <v>0</v>
      </c>
      <c r="AW26" s="72">
        <v>0</v>
      </c>
      <c r="AX26" s="72">
        <v>0</v>
      </c>
      <c r="AY26" s="72">
        <v>0</v>
      </c>
      <c r="AZ26" s="72">
        <v>0</v>
      </c>
      <c r="BA26" s="72">
        <v>4919215</v>
      </c>
      <c r="BB26" s="72">
        <v>0</v>
      </c>
      <c r="BC26" s="72">
        <v>0</v>
      </c>
      <c r="BD26" s="72">
        <v>0</v>
      </c>
      <c r="BE26" s="72">
        <v>4919215</v>
      </c>
      <c r="BF26" s="72">
        <v>0</v>
      </c>
      <c r="BG26" s="72">
        <v>0</v>
      </c>
      <c r="BH26" s="72">
        <v>0</v>
      </c>
      <c r="BI26" s="72">
        <v>0</v>
      </c>
      <c r="BJ26" s="72">
        <v>4919215</v>
      </c>
      <c r="BK26" s="72">
        <v>0</v>
      </c>
      <c r="BL26" s="72">
        <v>0</v>
      </c>
      <c r="BM26" s="72">
        <v>0</v>
      </c>
      <c r="BN26" s="72">
        <v>0</v>
      </c>
      <c r="BO26" s="72">
        <v>0</v>
      </c>
      <c r="BP26" s="72">
        <v>0</v>
      </c>
      <c r="BQ26" s="72">
        <v>0</v>
      </c>
      <c r="BR26" s="72">
        <v>0</v>
      </c>
      <c r="BS26" s="72">
        <v>110570046</v>
      </c>
    </row>
    <row r="27" spans="1:71" x14ac:dyDescent="0.2">
      <c r="A27" t="s">
        <v>210</v>
      </c>
      <c r="B27" t="s">
        <v>928</v>
      </c>
      <c r="C27" t="s">
        <v>22</v>
      </c>
      <c r="D27" s="72">
        <v>10577176</v>
      </c>
      <c r="E27" s="72">
        <v>302221</v>
      </c>
      <c r="F27" s="72">
        <v>2296746</v>
      </c>
      <c r="G27" s="72">
        <v>10313686</v>
      </c>
      <c r="H27" s="72">
        <v>126075</v>
      </c>
      <c r="I27" s="72">
        <v>0</v>
      </c>
      <c r="J27" s="72">
        <v>1629575</v>
      </c>
      <c r="K27" s="72">
        <v>1645569</v>
      </c>
      <c r="L27" s="72">
        <v>26891048</v>
      </c>
      <c r="M27" s="72">
        <v>0</v>
      </c>
      <c r="N27" s="72">
        <v>0</v>
      </c>
      <c r="O27" s="72">
        <v>0</v>
      </c>
      <c r="P27" s="72">
        <v>771500</v>
      </c>
      <c r="Q27" s="72">
        <v>50000</v>
      </c>
      <c r="R27" s="72">
        <v>821500</v>
      </c>
      <c r="S27" s="72">
        <v>27712548</v>
      </c>
      <c r="T27" s="72">
        <v>14877336</v>
      </c>
      <c r="U27" s="72">
        <v>7162534</v>
      </c>
      <c r="V27" s="72">
        <v>3988241</v>
      </c>
      <c r="W27" s="72">
        <v>940640</v>
      </c>
      <c r="X27" s="72">
        <v>304806</v>
      </c>
      <c r="Y27" s="72">
        <v>0</v>
      </c>
      <c r="Z27" s="72">
        <v>0</v>
      </c>
      <c r="AA27" s="72">
        <v>0</v>
      </c>
      <c r="AB27" s="72">
        <v>0</v>
      </c>
      <c r="AC27" s="72">
        <v>0</v>
      </c>
      <c r="AD27" s="72">
        <v>0</v>
      </c>
      <c r="AE27" s="72">
        <v>0</v>
      </c>
      <c r="AF27" s="72">
        <v>0</v>
      </c>
      <c r="AG27" s="72">
        <v>452284</v>
      </c>
      <c r="AH27" s="72">
        <v>27725841</v>
      </c>
      <c r="AI27" s="72">
        <v>25000</v>
      </c>
      <c r="AJ27" s="72">
        <v>400000</v>
      </c>
      <c r="AK27" s="72">
        <v>25000</v>
      </c>
      <c r="AL27" s="72">
        <v>450000</v>
      </c>
      <c r="AM27" s="72">
        <v>28175841</v>
      </c>
      <c r="AN27" s="72">
        <v>-463293</v>
      </c>
      <c r="AO27" s="72">
        <v>6838984</v>
      </c>
      <c r="AP27" s="72">
        <v>6375691</v>
      </c>
      <c r="AQ27" s="72">
        <v>0</v>
      </c>
      <c r="AR27" s="72">
        <v>0</v>
      </c>
      <c r="AS27" s="72">
        <v>0</v>
      </c>
      <c r="AT27" s="72">
        <v>0</v>
      </c>
      <c r="AU27" s="72">
        <v>0</v>
      </c>
      <c r="AV27" s="72">
        <v>0</v>
      </c>
      <c r="AW27" s="72">
        <v>0</v>
      </c>
      <c r="AX27" s="72">
        <v>0</v>
      </c>
      <c r="AY27" s="72">
        <v>0</v>
      </c>
      <c r="AZ27" s="72">
        <v>0</v>
      </c>
      <c r="BA27" s="72">
        <v>6375691</v>
      </c>
      <c r="BB27" s="72">
        <v>0</v>
      </c>
      <c r="BC27" s="72">
        <v>0</v>
      </c>
      <c r="BD27" s="72">
        <v>0</v>
      </c>
      <c r="BE27" s="72">
        <v>6375691</v>
      </c>
      <c r="BF27" s="72">
        <v>0</v>
      </c>
      <c r="BG27" s="72">
        <v>0</v>
      </c>
      <c r="BH27" s="72">
        <v>0</v>
      </c>
      <c r="BI27" s="72">
        <v>0</v>
      </c>
      <c r="BJ27" s="72">
        <v>6375691</v>
      </c>
      <c r="BK27" s="72">
        <v>196</v>
      </c>
      <c r="BL27" s="72">
        <v>2469</v>
      </c>
      <c r="BM27" s="72">
        <v>0</v>
      </c>
      <c r="BN27" s="72">
        <v>0</v>
      </c>
      <c r="BO27" s="72">
        <v>0</v>
      </c>
      <c r="BP27" s="72">
        <v>0</v>
      </c>
      <c r="BQ27" s="72">
        <v>0</v>
      </c>
      <c r="BR27" s="72">
        <v>0</v>
      </c>
      <c r="BS27" s="72">
        <v>28175841</v>
      </c>
    </row>
    <row r="28" spans="1:71" x14ac:dyDescent="0.2">
      <c r="A28" t="s">
        <v>212</v>
      </c>
      <c r="B28" t="s">
        <v>930</v>
      </c>
      <c r="C28" t="s">
        <v>38</v>
      </c>
      <c r="D28" s="72">
        <v>55500000</v>
      </c>
      <c r="E28" s="72">
        <v>2100000</v>
      </c>
      <c r="F28" s="72">
        <v>0</v>
      </c>
      <c r="G28" s="72">
        <v>11213500</v>
      </c>
      <c r="H28" s="72">
        <v>186500</v>
      </c>
      <c r="I28" s="72">
        <v>261184</v>
      </c>
      <c r="J28" s="72">
        <v>8000000</v>
      </c>
      <c r="K28" s="72">
        <v>3400000</v>
      </c>
      <c r="L28" s="72">
        <v>80661184</v>
      </c>
      <c r="M28" s="72">
        <v>0</v>
      </c>
      <c r="N28" s="72">
        <v>0</v>
      </c>
      <c r="O28" s="72">
        <v>0</v>
      </c>
      <c r="P28" s="72">
        <v>0</v>
      </c>
      <c r="Q28" s="72">
        <v>0</v>
      </c>
      <c r="R28" s="72">
        <v>0</v>
      </c>
      <c r="S28" s="72">
        <v>80661184</v>
      </c>
      <c r="T28" s="72">
        <v>52988332</v>
      </c>
      <c r="U28" s="72">
        <v>24982713</v>
      </c>
      <c r="V28" s="72">
        <v>4938643</v>
      </c>
      <c r="W28" s="72">
        <v>2157189</v>
      </c>
      <c r="X28" s="72">
        <v>66500</v>
      </c>
      <c r="Y28" s="72">
        <v>0</v>
      </c>
      <c r="Z28" s="72">
        <v>0</v>
      </c>
      <c r="AA28" s="72">
        <v>0</v>
      </c>
      <c r="AB28" s="72">
        <v>0</v>
      </c>
      <c r="AC28" s="72">
        <v>0</v>
      </c>
      <c r="AD28" s="72">
        <v>0</v>
      </c>
      <c r="AE28" s="72">
        <v>0</v>
      </c>
      <c r="AF28" s="72">
        <v>0</v>
      </c>
      <c r="AG28" s="72">
        <v>800000</v>
      </c>
      <c r="AH28" s="72">
        <v>85933377</v>
      </c>
      <c r="AI28" s="72">
        <v>0</v>
      </c>
      <c r="AJ28" s="72">
        <v>0</v>
      </c>
      <c r="AK28" s="72">
        <v>0</v>
      </c>
      <c r="AL28" s="72">
        <v>0</v>
      </c>
      <c r="AM28" s="72">
        <v>85933377</v>
      </c>
      <c r="AN28" s="72">
        <v>-5272193</v>
      </c>
      <c r="AO28" s="72">
        <v>15903864</v>
      </c>
      <c r="AP28" s="72">
        <v>10631671</v>
      </c>
      <c r="AQ28" s="72">
        <v>400000</v>
      </c>
      <c r="AR28" s="72">
        <v>0</v>
      </c>
      <c r="AS28" s="72">
        <v>0</v>
      </c>
      <c r="AT28" s="72">
        <v>0</v>
      </c>
      <c r="AU28" s="72">
        <v>0</v>
      </c>
      <c r="AV28" s="72">
        <v>0</v>
      </c>
      <c r="AW28" s="72">
        <v>0</v>
      </c>
      <c r="AX28" s="72">
        <v>0</v>
      </c>
      <c r="AY28" s="72">
        <v>0</v>
      </c>
      <c r="AZ28" s="72">
        <v>0</v>
      </c>
      <c r="BA28" s="72">
        <v>10231671</v>
      </c>
      <c r="BB28" s="72">
        <v>0</v>
      </c>
      <c r="BC28" s="72">
        <v>4631750</v>
      </c>
      <c r="BD28" s="72">
        <v>4631750</v>
      </c>
      <c r="BE28" s="72">
        <v>14863421</v>
      </c>
      <c r="BF28" s="72">
        <v>0</v>
      </c>
      <c r="BG28" s="72">
        <v>0</v>
      </c>
      <c r="BH28" s="72">
        <v>0</v>
      </c>
      <c r="BI28" s="72">
        <v>0</v>
      </c>
      <c r="BJ28" s="72">
        <v>14863421</v>
      </c>
      <c r="BK28" s="72">
        <v>0</v>
      </c>
      <c r="BL28" s="72">
        <v>0</v>
      </c>
      <c r="BM28" s="72">
        <v>0</v>
      </c>
      <c r="BN28" s="72">
        <v>0</v>
      </c>
      <c r="BO28" s="72">
        <v>0</v>
      </c>
      <c r="BP28" s="72">
        <v>0</v>
      </c>
      <c r="BQ28" s="72">
        <v>0</v>
      </c>
      <c r="BR28" s="72">
        <v>0</v>
      </c>
      <c r="BS28" s="72">
        <v>85933377</v>
      </c>
    </row>
    <row r="29" spans="1:71" x14ac:dyDescent="0.2">
      <c r="A29" t="s">
        <v>218</v>
      </c>
      <c r="B29" t="s">
        <v>936</v>
      </c>
      <c r="C29" t="s">
        <v>69</v>
      </c>
      <c r="D29" s="72">
        <v>9851977</v>
      </c>
      <c r="E29" s="72">
        <v>1100124</v>
      </c>
      <c r="F29" s="72">
        <v>0</v>
      </c>
      <c r="G29" s="72">
        <v>11616217</v>
      </c>
      <c r="H29" s="72">
        <v>0</v>
      </c>
      <c r="I29" s="72">
        <v>0</v>
      </c>
      <c r="J29" s="72">
        <v>3824076</v>
      </c>
      <c r="K29" s="72">
        <v>1533984</v>
      </c>
      <c r="L29" s="72">
        <v>27926378</v>
      </c>
      <c r="M29" s="72">
        <v>0</v>
      </c>
      <c r="N29" s="72">
        <v>0</v>
      </c>
      <c r="O29" s="72">
        <v>0</v>
      </c>
      <c r="P29" s="72">
        <v>606</v>
      </c>
      <c r="Q29" s="72">
        <v>95299</v>
      </c>
      <c r="R29" s="72">
        <v>95905</v>
      </c>
      <c r="S29" s="72">
        <v>28022283</v>
      </c>
      <c r="T29" s="72">
        <v>13014047</v>
      </c>
      <c r="U29" s="72">
        <v>5820896</v>
      </c>
      <c r="V29" s="72">
        <v>6373321</v>
      </c>
      <c r="W29" s="72">
        <v>426348</v>
      </c>
      <c r="X29" s="72">
        <v>0</v>
      </c>
      <c r="Y29" s="72">
        <v>0</v>
      </c>
      <c r="Z29" s="72">
        <v>0</v>
      </c>
      <c r="AA29" s="72">
        <v>0</v>
      </c>
      <c r="AB29" s="72">
        <v>0</v>
      </c>
      <c r="AC29" s="72">
        <v>0</v>
      </c>
      <c r="AD29" s="72">
        <v>0</v>
      </c>
      <c r="AE29" s="72">
        <v>0</v>
      </c>
      <c r="AF29" s="72">
        <v>0</v>
      </c>
      <c r="AG29" s="72">
        <v>521399</v>
      </c>
      <c r="AH29" s="72">
        <v>26156011</v>
      </c>
      <c r="AI29" s="72">
        <v>2000000</v>
      </c>
      <c r="AJ29" s="72">
        <v>0</v>
      </c>
      <c r="AK29" s="72">
        <v>0</v>
      </c>
      <c r="AL29" s="72">
        <v>2000000</v>
      </c>
      <c r="AM29" s="72">
        <v>28156011</v>
      </c>
      <c r="AN29" s="72">
        <v>-133728</v>
      </c>
      <c r="AO29" s="72">
        <v>2525688</v>
      </c>
      <c r="AP29" s="72">
        <v>2391960</v>
      </c>
      <c r="AQ29" s="72">
        <v>150000</v>
      </c>
      <c r="AR29" s="72">
        <v>0</v>
      </c>
      <c r="AS29" s="72">
        <v>0</v>
      </c>
      <c r="AT29" s="72">
        <v>0</v>
      </c>
      <c r="AU29" s="72">
        <v>0</v>
      </c>
      <c r="AV29" s="72">
        <v>0</v>
      </c>
      <c r="AW29" s="72">
        <v>0</v>
      </c>
      <c r="AX29" s="72">
        <v>0</v>
      </c>
      <c r="AY29" s="72">
        <v>0</v>
      </c>
      <c r="AZ29" s="72">
        <v>0</v>
      </c>
      <c r="BA29" s="72">
        <v>2241960</v>
      </c>
      <c r="BB29" s="72">
        <v>0</v>
      </c>
      <c r="BC29" s="72">
        <v>0</v>
      </c>
      <c r="BD29" s="72">
        <v>0</v>
      </c>
      <c r="BE29" s="72">
        <v>2241960</v>
      </c>
      <c r="BF29" s="72">
        <v>0</v>
      </c>
      <c r="BG29" s="72">
        <v>0</v>
      </c>
      <c r="BH29" s="72">
        <v>0</v>
      </c>
      <c r="BI29" s="72">
        <v>0</v>
      </c>
      <c r="BJ29" s="72">
        <v>2241960</v>
      </c>
      <c r="BK29" s="72">
        <v>230</v>
      </c>
      <c r="BL29" s="72">
        <v>2616</v>
      </c>
      <c r="BM29" s="72">
        <v>0</v>
      </c>
      <c r="BN29" s="72">
        <v>0</v>
      </c>
      <c r="BO29" s="72">
        <v>0</v>
      </c>
      <c r="BP29" s="72">
        <v>0</v>
      </c>
      <c r="BQ29" s="72">
        <v>0</v>
      </c>
      <c r="BR29" s="72">
        <v>0</v>
      </c>
      <c r="BS29" s="72">
        <v>28156011</v>
      </c>
    </row>
    <row r="30" spans="1:71" x14ac:dyDescent="0.2">
      <c r="A30" t="s">
        <v>220</v>
      </c>
      <c r="B30" t="s">
        <v>938</v>
      </c>
      <c r="C30" t="s">
        <v>67</v>
      </c>
      <c r="D30" s="72">
        <v>224722049</v>
      </c>
      <c r="E30" s="72">
        <v>22221945</v>
      </c>
      <c r="F30" s="72">
        <v>0</v>
      </c>
      <c r="G30" s="72">
        <v>155346931</v>
      </c>
      <c r="H30" s="72">
        <v>1082347</v>
      </c>
      <c r="I30" s="72">
        <v>0</v>
      </c>
      <c r="J30" s="72">
        <v>35698761</v>
      </c>
      <c r="K30" s="72">
        <v>10744412</v>
      </c>
      <c r="L30" s="72">
        <v>449816445</v>
      </c>
      <c r="M30" s="72">
        <v>0</v>
      </c>
      <c r="N30" s="72">
        <v>0</v>
      </c>
      <c r="O30" s="72">
        <v>0</v>
      </c>
      <c r="P30" s="72">
        <v>24346567</v>
      </c>
      <c r="Q30" s="72">
        <v>3500000</v>
      </c>
      <c r="R30" s="72">
        <v>27846567</v>
      </c>
      <c r="S30" s="72">
        <v>477663012</v>
      </c>
      <c r="T30" s="72">
        <v>192380454</v>
      </c>
      <c r="U30" s="72">
        <v>75504424</v>
      </c>
      <c r="V30" s="72">
        <v>167981228</v>
      </c>
      <c r="W30" s="72">
        <v>7422292</v>
      </c>
      <c r="X30" s="72">
        <v>3804847</v>
      </c>
      <c r="Y30" s="72">
        <v>0</v>
      </c>
      <c r="Z30" s="72">
        <v>0</v>
      </c>
      <c r="AA30" s="72">
        <v>0</v>
      </c>
      <c r="AB30" s="72">
        <v>0</v>
      </c>
      <c r="AC30" s="72">
        <v>0</v>
      </c>
      <c r="AD30" s="72">
        <v>2183072</v>
      </c>
      <c r="AE30" s="72">
        <v>4455000</v>
      </c>
      <c r="AF30" s="72">
        <v>5435236</v>
      </c>
      <c r="AG30" s="72">
        <v>6057690</v>
      </c>
      <c r="AH30" s="72">
        <v>465224243</v>
      </c>
      <c r="AI30" s="72">
        <v>18085480</v>
      </c>
      <c r="AJ30" s="72">
        <v>12500000</v>
      </c>
      <c r="AK30" s="72">
        <v>0</v>
      </c>
      <c r="AL30" s="72">
        <v>30585480</v>
      </c>
      <c r="AM30" s="72">
        <v>495809723</v>
      </c>
      <c r="AN30" s="72">
        <v>-18146711</v>
      </c>
      <c r="AO30" s="72">
        <v>56898627</v>
      </c>
      <c r="AP30" s="72">
        <v>38751916</v>
      </c>
      <c r="AQ30" s="72">
        <v>12500000</v>
      </c>
      <c r="AR30" s="72">
        <v>0</v>
      </c>
      <c r="AS30" s="72">
        <v>0</v>
      </c>
      <c r="AT30" s="72">
        <v>0</v>
      </c>
      <c r="AU30" s="72">
        <v>0</v>
      </c>
      <c r="AV30" s="72">
        <v>0</v>
      </c>
      <c r="AW30" s="72">
        <v>0</v>
      </c>
      <c r="AX30" s="72">
        <v>0</v>
      </c>
      <c r="AY30" s="72">
        <v>0</v>
      </c>
      <c r="AZ30" s="72">
        <v>0</v>
      </c>
      <c r="BA30" s="72">
        <v>26251916</v>
      </c>
      <c r="BB30" s="72">
        <v>0</v>
      </c>
      <c r="BC30" s="72">
        <v>0</v>
      </c>
      <c r="BD30" s="72">
        <v>0</v>
      </c>
      <c r="BE30" s="72">
        <v>26251916</v>
      </c>
      <c r="BF30" s="72">
        <v>0</v>
      </c>
      <c r="BG30" s="72">
        <v>0</v>
      </c>
      <c r="BH30" s="72">
        <v>0</v>
      </c>
      <c r="BI30" s="72">
        <v>0</v>
      </c>
      <c r="BJ30" s="72">
        <v>26251916</v>
      </c>
      <c r="BS30" s="72">
        <v>495809723</v>
      </c>
    </row>
    <row r="31" spans="1:71" x14ac:dyDescent="0.2">
      <c r="A31" t="s">
        <v>221</v>
      </c>
      <c r="B31" t="s">
        <v>939</v>
      </c>
      <c r="C31" t="s">
        <v>75</v>
      </c>
      <c r="D31" s="72">
        <v>7150000</v>
      </c>
      <c r="E31" s="72">
        <v>615000</v>
      </c>
      <c r="F31" s="72">
        <v>1575000</v>
      </c>
      <c r="G31" s="72">
        <v>9475000</v>
      </c>
      <c r="H31" s="72">
        <v>0</v>
      </c>
      <c r="I31" s="72">
        <v>0</v>
      </c>
      <c r="J31" s="72">
        <v>1435000</v>
      </c>
      <c r="K31" s="72">
        <v>970000</v>
      </c>
      <c r="L31" s="72">
        <v>21220000</v>
      </c>
      <c r="M31" s="72">
        <v>0</v>
      </c>
      <c r="N31" s="72">
        <v>0</v>
      </c>
      <c r="O31" s="72">
        <v>0</v>
      </c>
      <c r="P31" s="72">
        <v>449370</v>
      </c>
      <c r="Q31" s="72">
        <v>107165</v>
      </c>
      <c r="R31" s="72">
        <v>556535</v>
      </c>
      <c r="S31" s="72">
        <v>21776535</v>
      </c>
      <c r="T31" s="72">
        <v>12750000</v>
      </c>
      <c r="U31" s="72">
        <v>5100000</v>
      </c>
      <c r="V31" s="72">
        <v>2300000</v>
      </c>
      <c r="W31" s="72">
        <v>620000</v>
      </c>
      <c r="X31" s="72">
        <v>2500000</v>
      </c>
      <c r="Y31" s="72">
        <v>0</v>
      </c>
      <c r="Z31" s="72">
        <v>0</v>
      </c>
      <c r="AA31" s="72">
        <v>0</v>
      </c>
      <c r="AB31" s="72">
        <v>0</v>
      </c>
      <c r="AC31" s="72">
        <v>0</v>
      </c>
      <c r="AD31" s="72">
        <v>21000</v>
      </c>
      <c r="AE31" s="72">
        <v>0</v>
      </c>
      <c r="AF31" s="72">
        <v>11054</v>
      </c>
      <c r="AG31" s="72">
        <v>582840</v>
      </c>
      <c r="AH31" s="72">
        <v>23884894</v>
      </c>
      <c r="AI31" s="72">
        <v>130000</v>
      </c>
      <c r="AJ31" s="72">
        <v>250000</v>
      </c>
      <c r="AK31" s="72">
        <v>120000</v>
      </c>
      <c r="AL31" s="72">
        <v>500000</v>
      </c>
      <c r="AM31" s="72">
        <v>24384894</v>
      </c>
      <c r="AN31" s="72">
        <v>-2608359</v>
      </c>
      <c r="AO31" s="72">
        <v>15265224</v>
      </c>
      <c r="AP31" s="72">
        <v>12656865</v>
      </c>
      <c r="AQ31" s="72">
        <v>0</v>
      </c>
      <c r="AR31" s="72">
        <v>0</v>
      </c>
      <c r="AS31" s="72">
        <v>0</v>
      </c>
      <c r="AT31" s="72">
        <v>0</v>
      </c>
      <c r="AU31" s="72">
        <v>0</v>
      </c>
      <c r="AV31" s="72">
        <v>0</v>
      </c>
      <c r="AW31" s="72">
        <v>0</v>
      </c>
      <c r="AX31" s="72">
        <v>0</v>
      </c>
      <c r="AY31" s="72">
        <v>0</v>
      </c>
      <c r="AZ31" s="72">
        <v>0</v>
      </c>
      <c r="BA31" s="72">
        <v>12656865</v>
      </c>
      <c r="BB31" s="72">
        <v>0</v>
      </c>
      <c r="BC31" s="72">
        <v>0</v>
      </c>
      <c r="BD31" s="72">
        <v>0</v>
      </c>
      <c r="BE31" s="72">
        <v>12656865</v>
      </c>
      <c r="BF31" s="72">
        <v>0</v>
      </c>
      <c r="BG31" s="72">
        <v>0</v>
      </c>
      <c r="BH31" s="72">
        <v>0</v>
      </c>
      <c r="BI31" s="72">
        <v>0</v>
      </c>
      <c r="BJ31" s="72">
        <v>12656865</v>
      </c>
      <c r="BK31" s="72">
        <v>170</v>
      </c>
      <c r="BL31" s="72">
        <v>1904</v>
      </c>
      <c r="BM31" s="72">
        <v>0</v>
      </c>
      <c r="BN31" s="72">
        <v>0</v>
      </c>
      <c r="BO31" s="72">
        <v>0</v>
      </c>
      <c r="BP31" s="72">
        <v>0</v>
      </c>
      <c r="BQ31" s="72">
        <v>0</v>
      </c>
      <c r="BR31" s="72">
        <v>0</v>
      </c>
      <c r="BS31" s="72">
        <v>24384894</v>
      </c>
    </row>
    <row r="32" spans="1:71" x14ac:dyDescent="0.2">
      <c r="A32" t="s">
        <v>224</v>
      </c>
      <c r="B32" t="s">
        <v>942</v>
      </c>
      <c r="C32" t="s">
        <v>70</v>
      </c>
      <c r="D32" s="72">
        <v>2777660</v>
      </c>
      <c r="E32" s="72">
        <v>315797</v>
      </c>
      <c r="F32" s="72">
        <v>0</v>
      </c>
      <c r="G32" s="72">
        <v>13578260</v>
      </c>
      <c r="H32" s="72">
        <v>61189</v>
      </c>
      <c r="I32" s="72">
        <v>0</v>
      </c>
      <c r="J32" s="72">
        <v>507709</v>
      </c>
      <c r="K32" s="72">
        <v>1285138</v>
      </c>
      <c r="L32" s="72">
        <v>18525753</v>
      </c>
      <c r="M32" s="72">
        <v>0</v>
      </c>
      <c r="N32" s="72">
        <v>0</v>
      </c>
      <c r="O32" s="72">
        <v>0</v>
      </c>
      <c r="P32" s="72">
        <v>10000</v>
      </c>
      <c r="Q32" s="72">
        <v>0</v>
      </c>
      <c r="R32" s="72">
        <v>10000</v>
      </c>
      <c r="S32" s="72">
        <v>18535753</v>
      </c>
      <c r="T32" s="72">
        <v>10168598</v>
      </c>
      <c r="U32" s="72">
        <v>4768669</v>
      </c>
      <c r="V32" s="72">
        <v>2535609</v>
      </c>
      <c r="W32" s="72">
        <v>530672</v>
      </c>
      <c r="X32" s="72">
        <v>220296</v>
      </c>
      <c r="Y32" s="72">
        <v>0</v>
      </c>
      <c r="Z32" s="72">
        <v>0</v>
      </c>
      <c r="AA32" s="72">
        <v>0</v>
      </c>
      <c r="AB32" s="72">
        <v>0</v>
      </c>
      <c r="AC32" s="72">
        <v>0</v>
      </c>
      <c r="AD32" s="72">
        <v>0</v>
      </c>
      <c r="AE32" s="72">
        <v>0</v>
      </c>
      <c r="AF32" s="72">
        <v>0</v>
      </c>
      <c r="AG32" s="72">
        <v>138880</v>
      </c>
      <c r="AH32" s="72">
        <v>18362724</v>
      </c>
      <c r="AI32" s="72">
        <v>0</v>
      </c>
      <c r="AJ32" s="72">
        <v>10000</v>
      </c>
      <c r="AK32" s="72">
        <v>0</v>
      </c>
      <c r="AL32" s="72">
        <v>10000</v>
      </c>
      <c r="AM32" s="72">
        <v>18372724</v>
      </c>
      <c r="AN32" s="72">
        <v>163029</v>
      </c>
      <c r="AO32" s="72">
        <v>3114120</v>
      </c>
      <c r="AP32" s="72">
        <v>3277149</v>
      </c>
      <c r="AQ32" s="72">
        <v>100000</v>
      </c>
      <c r="AR32" s="72">
        <v>0</v>
      </c>
      <c r="AS32" s="72">
        <v>0</v>
      </c>
      <c r="AT32" s="72">
        <v>0</v>
      </c>
      <c r="AU32" s="72">
        <v>0</v>
      </c>
      <c r="AV32" s="72">
        <v>0</v>
      </c>
      <c r="AW32" s="72">
        <v>0</v>
      </c>
      <c r="AX32" s="72">
        <v>0</v>
      </c>
      <c r="AY32" s="72">
        <v>0</v>
      </c>
      <c r="AZ32" s="72">
        <v>0</v>
      </c>
      <c r="BA32" s="72">
        <v>3177149</v>
      </c>
      <c r="BB32" s="72">
        <v>0</v>
      </c>
      <c r="BC32" s="72">
        <v>0</v>
      </c>
      <c r="BD32" s="72">
        <v>0</v>
      </c>
      <c r="BE32" s="72">
        <v>3177149</v>
      </c>
      <c r="BF32" s="72">
        <v>0</v>
      </c>
      <c r="BG32" s="72">
        <v>0</v>
      </c>
      <c r="BH32" s="72">
        <v>0</v>
      </c>
      <c r="BI32" s="72">
        <v>0</v>
      </c>
      <c r="BJ32" s="72">
        <v>3177149</v>
      </c>
      <c r="BK32" s="72">
        <v>131</v>
      </c>
      <c r="BL32" s="72">
        <v>1925</v>
      </c>
      <c r="BM32" s="72">
        <v>0</v>
      </c>
      <c r="BN32" s="72">
        <v>0</v>
      </c>
      <c r="BO32" s="72">
        <v>0</v>
      </c>
      <c r="BP32" s="72">
        <v>0</v>
      </c>
      <c r="BQ32" s="72">
        <v>0</v>
      </c>
      <c r="BR32" s="72">
        <v>0</v>
      </c>
      <c r="BS32" s="72">
        <v>18535753</v>
      </c>
    </row>
    <row r="33" spans="1:71" x14ac:dyDescent="0.2">
      <c r="A33" t="s">
        <v>229</v>
      </c>
      <c r="B33" t="s">
        <v>947</v>
      </c>
      <c r="C33" t="s">
        <v>23</v>
      </c>
      <c r="D33" s="72">
        <v>199907447</v>
      </c>
      <c r="E33" s="72">
        <v>57169</v>
      </c>
      <c r="F33" s="72">
        <v>0</v>
      </c>
      <c r="G33" s="72">
        <v>425495955</v>
      </c>
      <c r="H33" s="72">
        <v>2877105</v>
      </c>
      <c r="I33" s="72">
        <v>0</v>
      </c>
      <c r="J33" s="72">
        <v>32078830</v>
      </c>
      <c r="K33" s="72">
        <v>33061609</v>
      </c>
      <c r="L33" s="72">
        <v>693478115</v>
      </c>
      <c r="M33" s="72">
        <v>0</v>
      </c>
      <c r="N33" s="72">
        <v>0</v>
      </c>
      <c r="O33" s="72">
        <v>0</v>
      </c>
      <c r="P33" s="72">
        <v>9690000</v>
      </c>
      <c r="Q33" s="72">
        <v>0</v>
      </c>
      <c r="R33" s="72">
        <v>9690000</v>
      </c>
      <c r="S33" s="72">
        <v>703168115</v>
      </c>
      <c r="T33" s="72">
        <v>307476059</v>
      </c>
      <c r="U33" s="72">
        <v>124535995</v>
      </c>
      <c r="V33" s="72">
        <v>237681608</v>
      </c>
      <c r="W33" s="72">
        <v>12330728</v>
      </c>
      <c r="X33" s="72">
        <v>1540287</v>
      </c>
      <c r="Y33" s="72">
        <v>0</v>
      </c>
      <c r="Z33" s="72">
        <v>0</v>
      </c>
      <c r="AA33" s="72">
        <v>0</v>
      </c>
      <c r="AB33" s="72">
        <v>0</v>
      </c>
      <c r="AC33" s="72">
        <v>0</v>
      </c>
      <c r="AD33" s="72">
        <v>964162</v>
      </c>
      <c r="AE33" s="72">
        <v>0</v>
      </c>
      <c r="AF33" s="72">
        <v>272840</v>
      </c>
      <c r="AG33" s="72">
        <v>6900454</v>
      </c>
      <c r="AH33" s="72">
        <v>691702133</v>
      </c>
      <c r="AI33" s="72">
        <v>944394</v>
      </c>
      <c r="AJ33" s="72">
        <v>0</v>
      </c>
      <c r="AK33" s="72">
        <v>0</v>
      </c>
      <c r="AL33" s="72">
        <v>944394</v>
      </c>
      <c r="AM33" s="72">
        <v>692646527</v>
      </c>
      <c r="AN33" s="72">
        <v>10521588</v>
      </c>
      <c r="AO33" s="72">
        <v>69349024</v>
      </c>
      <c r="AP33" s="72">
        <v>79870613</v>
      </c>
      <c r="AQ33" s="72">
        <v>12000000</v>
      </c>
      <c r="AR33" s="72">
        <v>0</v>
      </c>
      <c r="AS33" s="72">
        <v>0</v>
      </c>
      <c r="AT33" s="72">
        <v>0</v>
      </c>
      <c r="AU33" s="72">
        <v>0</v>
      </c>
      <c r="AV33" s="72">
        <v>0</v>
      </c>
      <c r="AW33" s="72">
        <v>0</v>
      </c>
      <c r="AX33" s="72">
        <v>0</v>
      </c>
      <c r="AY33" s="72">
        <v>0</v>
      </c>
      <c r="AZ33" s="72">
        <v>0</v>
      </c>
      <c r="BA33" s="72">
        <v>67870613</v>
      </c>
      <c r="BB33" s="72">
        <v>0</v>
      </c>
      <c r="BC33" s="72">
        <v>0</v>
      </c>
      <c r="BD33" s="72">
        <v>0</v>
      </c>
      <c r="BE33" s="72">
        <v>67870613</v>
      </c>
      <c r="BF33" s="72">
        <v>0</v>
      </c>
      <c r="BG33" s="72">
        <v>0</v>
      </c>
      <c r="BH33" s="72">
        <v>0</v>
      </c>
      <c r="BI33" s="72">
        <v>0</v>
      </c>
      <c r="BJ33" s="72">
        <v>67870613</v>
      </c>
      <c r="BS33" s="72">
        <v>703168115</v>
      </c>
    </row>
    <row r="34" spans="1:71" x14ac:dyDescent="0.2">
      <c r="A34" t="s">
        <v>228</v>
      </c>
      <c r="B34" t="s">
        <v>946</v>
      </c>
      <c r="C34" t="s">
        <v>23</v>
      </c>
      <c r="D34" s="72">
        <v>68600000</v>
      </c>
      <c r="E34" s="72">
        <v>0</v>
      </c>
      <c r="F34" s="72">
        <v>0</v>
      </c>
      <c r="G34" s="72">
        <v>19000000</v>
      </c>
      <c r="H34" s="72">
        <v>0</v>
      </c>
      <c r="I34" s="72">
        <v>0</v>
      </c>
      <c r="J34" s="72">
        <v>9435000</v>
      </c>
      <c r="K34" s="72">
        <v>4865000</v>
      </c>
      <c r="L34" s="72">
        <v>101900000</v>
      </c>
      <c r="M34" s="72">
        <v>0</v>
      </c>
      <c r="N34" s="72">
        <v>0</v>
      </c>
      <c r="O34" s="72">
        <v>0</v>
      </c>
      <c r="P34" s="72">
        <v>9135000</v>
      </c>
      <c r="Q34" s="72">
        <v>0</v>
      </c>
      <c r="R34" s="72">
        <v>9135000</v>
      </c>
      <c r="S34" s="72">
        <v>111035000</v>
      </c>
      <c r="T34" s="72">
        <v>55198013</v>
      </c>
      <c r="U34" s="72">
        <v>22897763</v>
      </c>
      <c r="V34" s="72">
        <v>15227747</v>
      </c>
      <c r="W34" s="72">
        <v>2585872</v>
      </c>
      <c r="X34" s="72">
        <v>2062765</v>
      </c>
      <c r="Y34" s="72">
        <v>0</v>
      </c>
      <c r="Z34" s="72">
        <v>0</v>
      </c>
      <c r="AA34" s="72">
        <v>0</v>
      </c>
      <c r="AB34" s="72">
        <v>0</v>
      </c>
      <c r="AC34" s="72">
        <v>0</v>
      </c>
      <c r="AD34" s="72">
        <v>0</v>
      </c>
      <c r="AE34" s="72">
        <v>0</v>
      </c>
      <c r="AF34" s="72">
        <v>0</v>
      </c>
      <c r="AG34" s="72">
        <v>2175000</v>
      </c>
      <c r="AH34" s="72">
        <v>100147160</v>
      </c>
      <c r="AI34" s="72">
        <v>750000</v>
      </c>
      <c r="AJ34" s="72">
        <v>0</v>
      </c>
      <c r="AK34" s="72">
        <v>0</v>
      </c>
      <c r="AL34" s="72">
        <v>750000</v>
      </c>
      <c r="AM34" s="72">
        <v>100897160</v>
      </c>
      <c r="AN34" s="72">
        <v>10137840</v>
      </c>
      <c r="AO34" s="72">
        <v>21711469</v>
      </c>
      <c r="AP34" s="72">
        <v>31849309</v>
      </c>
      <c r="AQ34" s="72">
        <v>3295575</v>
      </c>
      <c r="AR34" s="72">
        <v>0</v>
      </c>
      <c r="AS34" s="72">
        <v>0</v>
      </c>
      <c r="AT34" s="72">
        <v>0</v>
      </c>
      <c r="AU34" s="72">
        <v>0</v>
      </c>
      <c r="AV34" s="72">
        <v>0</v>
      </c>
      <c r="AW34" s="72">
        <v>0</v>
      </c>
      <c r="AX34" s="72">
        <v>0</v>
      </c>
      <c r="AY34" s="72">
        <v>0</v>
      </c>
      <c r="AZ34" s="72">
        <v>0</v>
      </c>
      <c r="BA34" s="72">
        <v>28553734</v>
      </c>
      <c r="BB34" s="72">
        <v>0</v>
      </c>
      <c r="BC34" s="72">
        <v>0</v>
      </c>
      <c r="BD34" s="72">
        <v>0</v>
      </c>
      <c r="BE34" s="72">
        <v>28553734</v>
      </c>
      <c r="BF34" s="72">
        <v>0</v>
      </c>
      <c r="BG34" s="72">
        <v>0</v>
      </c>
      <c r="BH34" s="72">
        <v>0</v>
      </c>
      <c r="BI34" s="72">
        <v>0</v>
      </c>
      <c r="BJ34" s="72">
        <v>28553734</v>
      </c>
      <c r="BM34" s="72">
        <v>0</v>
      </c>
      <c r="BN34" s="72">
        <v>0</v>
      </c>
      <c r="BO34" s="72">
        <v>0</v>
      </c>
      <c r="BP34" s="72">
        <v>0</v>
      </c>
      <c r="BQ34" s="72">
        <v>0</v>
      </c>
      <c r="BR34" s="72">
        <v>0</v>
      </c>
      <c r="BS34" s="72">
        <v>111035000</v>
      </c>
    </row>
    <row r="35" spans="1:71" x14ac:dyDescent="0.2">
      <c r="A35" t="s">
        <v>239</v>
      </c>
      <c r="B35" t="s">
        <v>957</v>
      </c>
      <c r="C35" t="s">
        <v>35</v>
      </c>
      <c r="D35" s="72">
        <v>398244352</v>
      </c>
      <c r="E35" s="72">
        <v>238334</v>
      </c>
      <c r="F35" s="72">
        <v>0</v>
      </c>
      <c r="G35" s="72">
        <v>254479868</v>
      </c>
      <c r="H35" s="72">
        <v>2415583</v>
      </c>
      <c r="I35" s="72">
        <v>707899</v>
      </c>
      <c r="J35" s="72">
        <v>61843258</v>
      </c>
      <c r="K35" s="72">
        <v>15634244</v>
      </c>
      <c r="L35" s="72">
        <v>733563538</v>
      </c>
      <c r="M35" s="72">
        <v>0</v>
      </c>
      <c r="N35" s="72">
        <v>0</v>
      </c>
      <c r="O35" s="72">
        <v>1515961</v>
      </c>
      <c r="P35" s="72">
        <v>30000000</v>
      </c>
      <c r="Q35" s="72">
        <v>150000</v>
      </c>
      <c r="R35" s="72">
        <v>31665961</v>
      </c>
      <c r="S35" s="72">
        <v>765229499</v>
      </c>
      <c r="T35" s="72">
        <v>383141102</v>
      </c>
      <c r="U35" s="72">
        <v>155896988</v>
      </c>
      <c r="V35" s="72">
        <v>183389964</v>
      </c>
      <c r="W35" s="72">
        <v>19267061</v>
      </c>
      <c r="X35" s="72">
        <v>2332877</v>
      </c>
      <c r="Y35" s="72">
        <v>0</v>
      </c>
      <c r="Z35" s="72">
        <v>0</v>
      </c>
      <c r="AA35" s="72">
        <v>0</v>
      </c>
      <c r="AB35" s="72">
        <v>0</v>
      </c>
      <c r="AC35" s="72">
        <v>0</v>
      </c>
      <c r="AD35" s="72">
        <v>965000</v>
      </c>
      <c r="AE35" s="72">
        <v>637935</v>
      </c>
      <c r="AF35" s="72">
        <v>1284977</v>
      </c>
      <c r="AG35" s="72">
        <v>14417054</v>
      </c>
      <c r="AH35" s="72">
        <v>761332958</v>
      </c>
      <c r="AI35" s="72">
        <v>3777141</v>
      </c>
      <c r="AJ35" s="72">
        <v>30000000</v>
      </c>
      <c r="AK35" s="72">
        <v>0</v>
      </c>
      <c r="AL35" s="72">
        <v>33777141</v>
      </c>
      <c r="AM35" s="72">
        <v>795110099</v>
      </c>
      <c r="AN35" s="72">
        <v>-29880600</v>
      </c>
      <c r="AO35" s="72">
        <v>120605461</v>
      </c>
      <c r="AP35" s="72">
        <v>90724861</v>
      </c>
      <c r="AQ35" s="72">
        <v>8000000</v>
      </c>
      <c r="AR35" s="72">
        <v>0</v>
      </c>
      <c r="AS35" s="72">
        <v>0</v>
      </c>
      <c r="AT35" s="72">
        <v>0</v>
      </c>
      <c r="AU35" s="72">
        <v>0</v>
      </c>
      <c r="AV35" s="72">
        <v>0</v>
      </c>
      <c r="AW35" s="72">
        <v>0</v>
      </c>
      <c r="AX35" s="72">
        <v>0</v>
      </c>
      <c r="AY35" s="72">
        <v>0</v>
      </c>
      <c r="AZ35" s="72">
        <v>0</v>
      </c>
      <c r="BA35" s="72">
        <v>82724861</v>
      </c>
      <c r="BB35" s="72">
        <v>0</v>
      </c>
      <c r="BC35" s="72">
        <v>0</v>
      </c>
      <c r="BD35" s="72">
        <v>0</v>
      </c>
      <c r="BE35" s="72">
        <v>82724861</v>
      </c>
      <c r="BF35" s="72">
        <v>0</v>
      </c>
      <c r="BG35" s="72">
        <v>0</v>
      </c>
      <c r="BH35" s="72">
        <v>0</v>
      </c>
      <c r="BI35" s="72">
        <v>0</v>
      </c>
      <c r="BJ35" s="72">
        <v>82724861</v>
      </c>
      <c r="BS35" s="72">
        <v>795110099</v>
      </c>
    </row>
    <row r="36" spans="1:71" x14ac:dyDescent="0.2">
      <c r="A36" t="s">
        <v>241</v>
      </c>
      <c r="B36" t="s">
        <v>959</v>
      </c>
      <c r="C36" t="s">
        <v>73</v>
      </c>
      <c r="D36" s="72">
        <v>3756096</v>
      </c>
      <c r="E36" s="72">
        <v>222851</v>
      </c>
      <c r="F36" s="72">
        <v>0</v>
      </c>
      <c r="G36" s="72">
        <v>11261451</v>
      </c>
      <c r="H36" s="72">
        <v>38590</v>
      </c>
      <c r="I36" s="72">
        <v>0</v>
      </c>
      <c r="J36" s="72">
        <v>577212</v>
      </c>
      <c r="K36" s="72">
        <v>431698</v>
      </c>
      <c r="L36" s="72">
        <v>16287898</v>
      </c>
      <c r="M36" s="72">
        <v>0</v>
      </c>
      <c r="N36" s="72">
        <v>0</v>
      </c>
      <c r="O36" s="72">
        <v>0</v>
      </c>
      <c r="P36" s="72">
        <v>25000</v>
      </c>
      <c r="Q36" s="72">
        <v>119744</v>
      </c>
      <c r="R36" s="72">
        <v>144744</v>
      </c>
      <c r="S36" s="72">
        <v>16432642</v>
      </c>
      <c r="T36" s="72">
        <v>9223423</v>
      </c>
      <c r="U36" s="72">
        <v>4191440</v>
      </c>
      <c r="V36" s="72">
        <v>2733800</v>
      </c>
      <c r="W36" s="72">
        <v>329605</v>
      </c>
      <c r="X36" s="72">
        <v>160217</v>
      </c>
      <c r="Y36" s="72">
        <v>0</v>
      </c>
      <c r="Z36" s="72">
        <v>0</v>
      </c>
      <c r="AA36" s="72">
        <v>0</v>
      </c>
      <c r="AB36" s="72">
        <v>0</v>
      </c>
      <c r="AC36" s="72">
        <v>0</v>
      </c>
      <c r="AD36" s="72">
        <v>110000</v>
      </c>
      <c r="AE36" s="72">
        <v>0</v>
      </c>
      <c r="AF36" s="72">
        <v>4019</v>
      </c>
      <c r="AG36" s="72">
        <v>335635</v>
      </c>
      <c r="AH36" s="72">
        <v>17088139</v>
      </c>
      <c r="AI36" s="72">
        <v>10000</v>
      </c>
      <c r="AJ36" s="72">
        <v>25000</v>
      </c>
      <c r="AK36" s="72">
        <v>0</v>
      </c>
      <c r="AL36" s="72">
        <v>35000</v>
      </c>
      <c r="AM36" s="72">
        <v>17123139</v>
      </c>
      <c r="AN36" s="72">
        <v>-690497</v>
      </c>
      <c r="AO36" s="72">
        <v>2937988</v>
      </c>
      <c r="AP36" s="72">
        <v>2247491</v>
      </c>
      <c r="AQ36" s="72">
        <v>150000</v>
      </c>
      <c r="AR36" s="72">
        <v>0</v>
      </c>
      <c r="AS36" s="72">
        <v>0</v>
      </c>
      <c r="AT36" s="72">
        <v>0</v>
      </c>
      <c r="AU36" s="72">
        <v>0</v>
      </c>
      <c r="AV36" s="72">
        <v>0</v>
      </c>
      <c r="AW36" s="72">
        <v>0</v>
      </c>
      <c r="AX36" s="72">
        <v>0</v>
      </c>
      <c r="AY36" s="72">
        <v>0</v>
      </c>
      <c r="AZ36" s="72">
        <v>0</v>
      </c>
      <c r="BA36" s="72">
        <v>2097491</v>
      </c>
      <c r="BB36" s="72">
        <v>0</v>
      </c>
      <c r="BC36" s="72">
        <v>0</v>
      </c>
      <c r="BD36" s="72">
        <v>0</v>
      </c>
      <c r="BE36" s="72">
        <v>2097491</v>
      </c>
      <c r="BF36" s="72">
        <v>0</v>
      </c>
      <c r="BG36" s="72">
        <v>0</v>
      </c>
      <c r="BH36" s="72">
        <v>0</v>
      </c>
      <c r="BI36" s="72">
        <v>0</v>
      </c>
      <c r="BJ36" s="72">
        <v>2097491</v>
      </c>
      <c r="BK36" s="72">
        <v>0</v>
      </c>
      <c r="BL36" s="72">
        <v>0</v>
      </c>
      <c r="BM36" s="72">
        <v>0</v>
      </c>
      <c r="BN36" s="72">
        <v>0</v>
      </c>
      <c r="BO36" s="72">
        <v>0</v>
      </c>
      <c r="BP36" s="72">
        <v>0</v>
      </c>
      <c r="BQ36" s="72">
        <v>0</v>
      </c>
      <c r="BR36" s="72">
        <v>0</v>
      </c>
      <c r="BS36" s="72">
        <v>17123139</v>
      </c>
    </row>
    <row r="37" spans="1:71" x14ac:dyDescent="0.2">
      <c r="A37" t="s">
        <v>246</v>
      </c>
      <c r="B37" t="s">
        <v>964</v>
      </c>
      <c r="C37" t="s">
        <v>96</v>
      </c>
      <c r="D37" s="72">
        <v>4506394</v>
      </c>
      <c r="E37" s="72">
        <v>405532</v>
      </c>
      <c r="F37" s="72">
        <v>0</v>
      </c>
      <c r="G37" s="72">
        <v>8774161</v>
      </c>
      <c r="H37" s="72">
        <v>39074</v>
      </c>
      <c r="I37" s="72">
        <v>0</v>
      </c>
      <c r="J37" s="72">
        <v>919649</v>
      </c>
      <c r="K37" s="72">
        <v>1034870</v>
      </c>
      <c r="L37" s="72">
        <v>15679680</v>
      </c>
      <c r="M37" s="72">
        <v>0</v>
      </c>
      <c r="N37" s="72">
        <v>0</v>
      </c>
      <c r="O37" s="72">
        <v>0</v>
      </c>
      <c r="P37" s="72">
        <v>0</v>
      </c>
      <c r="Q37" s="72">
        <v>0</v>
      </c>
      <c r="R37" s="72">
        <v>0</v>
      </c>
      <c r="S37" s="72">
        <v>15679680</v>
      </c>
      <c r="T37" s="72">
        <v>8701337</v>
      </c>
      <c r="U37" s="72">
        <v>3477100</v>
      </c>
      <c r="V37" s="72">
        <v>2550675</v>
      </c>
      <c r="W37" s="72">
        <v>626373</v>
      </c>
      <c r="X37" s="72">
        <v>88000</v>
      </c>
      <c r="Y37" s="72">
        <v>0</v>
      </c>
      <c r="Z37" s="72">
        <v>0</v>
      </c>
      <c r="AA37" s="72">
        <v>0</v>
      </c>
      <c r="AB37" s="72">
        <v>0</v>
      </c>
      <c r="AC37" s="72">
        <v>0</v>
      </c>
      <c r="AD37" s="72">
        <v>23691</v>
      </c>
      <c r="AE37" s="72">
        <v>0</v>
      </c>
      <c r="AF37" s="72">
        <v>12974</v>
      </c>
      <c r="AG37" s="72">
        <v>256576</v>
      </c>
      <c r="AH37" s="72">
        <v>15736726</v>
      </c>
      <c r="AI37" s="72">
        <v>0</v>
      </c>
      <c r="AJ37" s="72">
        <v>35000</v>
      </c>
      <c r="AK37" s="72">
        <v>0</v>
      </c>
      <c r="AL37" s="72">
        <v>35000</v>
      </c>
      <c r="AM37" s="72">
        <v>15771726</v>
      </c>
      <c r="AN37" s="72">
        <v>-92046</v>
      </c>
      <c r="AO37" s="72">
        <v>2075025</v>
      </c>
      <c r="AP37" s="72">
        <v>1982979</v>
      </c>
      <c r="AQ37" s="72">
        <v>275000</v>
      </c>
      <c r="AR37" s="72">
        <v>0</v>
      </c>
      <c r="AS37" s="72">
        <v>0</v>
      </c>
      <c r="AT37" s="72">
        <v>0</v>
      </c>
      <c r="AU37" s="72">
        <v>0</v>
      </c>
      <c r="AV37" s="72">
        <v>0</v>
      </c>
      <c r="AW37" s="72">
        <v>0</v>
      </c>
      <c r="AX37" s="72">
        <v>0</v>
      </c>
      <c r="AY37" s="72">
        <v>0</v>
      </c>
      <c r="AZ37" s="72">
        <v>0</v>
      </c>
      <c r="BA37" s="72">
        <v>1707979</v>
      </c>
      <c r="BB37" s="72">
        <v>0</v>
      </c>
      <c r="BC37" s="72">
        <v>0</v>
      </c>
      <c r="BD37" s="72">
        <v>0</v>
      </c>
      <c r="BE37" s="72">
        <v>1707979</v>
      </c>
      <c r="BF37" s="72">
        <v>0</v>
      </c>
      <c r="BG37" s="72">
        <v>0</v>
      </c>
      <c r="BH37" s="72">
        <v>0</v>
      </c>
      <c r="BI37" s="72">
        <v>0</v>
      </c>
      <c r="BJ37" s="72">
        <v>1707979</v>
      </c>
      <c r="BK37" s="72">
        <v>135</v>
      </c>
      <c r="BL37" s="72">
        <v>1692</v>
      </c>
      <c r="BM37" s="72">
        <v>0</v>
      </c>
      <c r="BN37" s="72">
        <v>0</v>
      </c>
      <c r="BO37" s="72">
        <v>0</v>
      </c>
      <c r="BP37" s="72">
        <v>0</v>
      </c>
      <c r="BQ37" s="72">
        <v>0</v>
      </c>
      <c r="BR37" s="72">
        <v>0</v>
      </c>
      <c r="BS37" s="72">
        <v>15771726</v>
      </c>
    </row>
    <row r="38" spans="1:71" x14ac:dyDescent="0.2">
      <c r="A38" t="s">
        <v>256</v>
      </c>
      <c r="B38" t="s">
        <v>973</v>
      </c>
      <c r="C38" t="s">
        <v>46</v>
      </c>
      <c r="D38" s="72">
        <v>27026553</v>
      </c>
      <c r="E38" s="72">
        <v>253306</v>
      </c>
      <c r="F38" s="72">
        <v>0</v>
      </c>
      <c r="G38" s="72">
        <v>12272896</v>
      </c>
      <c r="H38" s="72">
        <v>546191</v>
      </c>
      <c r="I38" s="72">
        <v>0</v>
      </c>
      <c r="J38" s="72">
        <v>4567577</v>
      </c>
      <c r="K38" s="72">
        <v>3550183</v>
      </c>
      <c r="L38" s="72">
        <v>48216706</v>
      </c>
      <c r="M38" s="72">
        <v>0</v>
      </c>
      <c r="N38" s="72">
        <v>0</v>
      </c>
      <c r="O38" s="72">
        <v>0</v>
      </c>
      <c r="P38" s="72">
        <v>0</v>
      </c>
      <c r="Q38" s="72">
        <v>150493</v>
      </c>
      <c r="R38" s="72">
        <v>150493</v>
      </c>
      <c r="S38" s="72">
        <v>48367199</v>
      </c>
      <c r="T38" s="72">
        <v>26900322</v>
      </c>
      <c r="U38" s="72">
        <v>10883265</v>
      </c>
      <c r="V38" s="72">
        <v>7758391</v>
      </c>
      <c r="W38" s="72">
        <v>740798</v>
      </c>
      <c r="X38" s="72">
        <v>588641</v>
      </c>
      <c r="Y38" s="72">
        <v>0</v>
      </c>
      <c r="Z38" s="72">
        <v>0</v>
      </c>
      <c r="AA38" s="72">
        <v>0</v>
      </c>
      <c r="AB38" s="72">
        <v>0</v>
      </c>
      <c r="AC38" s="72">
        <v>0</v>
      </c>
      <c r="AD38" s="72">
        <v>0</v>
      </c>
      <c r="AE38" s="72">
        <v>0</v>
      </c>
      <c r="AF38" s="72">
        <v>0</v>
      </c>
      <c r="AG38" s="72">
        <v>786877</v>
      </c>
      <c r="AH38" s="72">
        <v>47658294</v>
      </c>
      <c r="AI38" s="72">
        <v>0</v>
      </c>
      <c r="AJ38" s="72">
        <v>0</v>
      </c>
      <c r="AK38" s="72">
        <v>150000</v>
      </c>
      <c r="AL38" s="72">
        <v>150000</v>
      </c>
      <c r="AM38" s="72">
        <v>47808294</v>
      </c>
      <c r="AN38" s="72">
        <v>558905</v>
      </c>
      <c r="AO38" s="72">
        <v>4486602</v>
      </c>
      <c r="AP38" s="72">
        <v>5045507</v>
      </c>
      <c r="AQ38" s="72">
        <v>90000</v>
      </c>
      <c r="AR38" s="72">
        <v>0</v>
      </c>
      <c r="AS38" s="72">
        <v>0</v>
      </c>
      <c r="AT38" s="72">
        <v>0</v>
      </c>
      <c r="AU38" s="72">
        <v>0</v>
      </c>
      <c r="AV38" s="72">
        <v>0</v>
      </c>
      <c r="AW38" s="72">
        <v>0</v>
      </c>
      <c r="AX38" s="72">
        <v>0</v>
      </c>
      <c r="AY38" s="72">
        <v>0</v>
      </c>
      <c r="AZ38" s="72">
        <v>0</v>
      </c>
      <c r="BA38" s="72">
        <v>4955507</v>
      </c>
      <c r="BB38" s="72">
        <v>0</v>
      </c>
      <c r="BC38" s="72">
        <v>0</v>
      </c>
      <c r="BD38" s="72">
        <v>0</v>
      </c>
      <c r="BE38" s="72">
        <v>4955507</v>
      </c>
      <c r="BF38" s="72">
        <v>0</v>
      </c>
      <c r="BG38" s="72">
        <v>0</v>
      </c>
      <c r="BH38" s="72">
        <v>0</v>
      </c>
      <c r="BI38" s="72">
        <v>0</v>
      </c>
      <c r="BJ38" s="72">
        <v>4955507</v>
      </c>
      <c r="BM38" s="72">
        <v>0</v>
      </c>
      <c r="BN38" s="72">
        <v>0</v>
      </c>
      <c r="BO38" s="72">
        <v>0</v>
      </c>
      <c r="BP38" s="72">
        <v>0</v>
      </c>
      <c r="BQ38" s="72">
        <v>0</v>
      </c>
      <c r="BR38" s="72">
        <v>0</v>
      </c>
      <c r="BS38" s="72">
        <v>48367199</v>
      </c>
    </row>
    <row r="39" spans="1:71" x14ac:dyDescent="0.2">
      <c r="A39" t="s">
        <v>263</v>
      </c>
      <c r="B39" t="s">
        <v>980</v>
      </c>
      <c r="C39" t="s">
        <v>38</v>
      </c>
      <c r="D39" s="72">
        <v>50360740</v>
      </c>
      <c r="E39" s="72">
        <v>5639034</v>
      </c>
      <c r="F39" s="72">
        <v>0</v>
      </c>
      <c r="G39" s="72">
        <v>143399691</v>
      </c>
      <c r="H39" s="72">
        <v>1523125</v>
      </c>
      <c r="I39" s="72">
        <v>0</v>
      </c>
      <c r="J39" s="72">
        <v>12742345</v>
      </c>
      <c r="K39" s="72">
        <v>4301456</v>
      </c>
      <c r="L39" s="72">
        <v>217966391</v>
      </c>
      <c r="M39" s="72">
        <v>0</v>
      </c>
      <c r="N39" s="72">
        <v>0</v>
      </c>
      <c r="O39" s="72">
        <v>0</v>
      </c>
      <c r="P39" s="72">
        <v>4483510</v>
      </c>
      <c r="Q39" s="72">
        <v>75000</v>
      </c>
      <c r="R39" s="72">
        <v>4558510</v>
      </c>
      <c r="S39" s="72">
        <v>222524901</v>
      </c>
      <c r="T39" s="72">
        <v>94872984</v>
      </c>
      <c r="U39" s="72">
        <v>41733902</v>
      </c>
      <c r="V39" s="72">
        <v>80627048</v>
      </c>
      <c r="W39" s="72">
        <v>4963449</v>
      </c>
      <c r="X39" s="72">
        <v>539472</v>
      </c>
      <c r="Y39" s="72">
        <v>0</v>
      </c>
      <c r="Z39" s="72">
        <v>0</v>
      </c>
      <c r="AA39" s="72">
        <v>0</v>
      </c>
      <c r="AB39" s="72">
        <v>0</v>
      </c>
      <c r="AC39" s="72">
        <v>0</v>
      </c>
      <c r="AD39" s="72">
        <v>0</v>
      </c>
      <c r="AE39" s="72">
        <v>0</v>
      </c>
      <c r="AF39" s="72">
        <v>0</v>
      </c>
      <c r="AG39" s="72">
        <v>2286675</v>
      </c>
      <c r="AH39" s="72">
        <v>225023530</v>
      </c>
      <c r="AI39" s="72">
        <v>250000</v>
      </c>
      <c r="AJ39" s="72">
        <v>2500000</v>
      </c>
      <c r="AK39" s="72">
        <v>0</v>
      </c>
      <c r="AL39" s="72">
        <v>2750000</v>
      </c>
      <c r="AM39" s="72">
        <v>227773530</v>
      </c>
      <c r="AN39" s="72">
        <v>-5248629</v>
      </c>
      <c r="AO39" s="72">
        <v>11242816</v>
      </c>
      <c r="AP39" s="72">
        <v>5994187</v>
      </c>
      <c r="AQ39" s="72">
        <v>0</v>
      </c>
      <c r="AR39" s="72">
        <v>0</v>
      </c>
      <c r="AS39" s="72">
        <v>0</v>
      </c>
      <c r="AT39" s="72">
        <v>0</v>
      </c>
      <c r="AU39" s="72">
        <v>0</v>
      </c>
      <c r="AV39" s="72">
        <v>0</v>
      </c>
      <c r="AW39" s="72">
        <v>0</v>
      </c>
      <c r="AX39" s="72">
        <v>0</v>
      </c>
      <c r="AY39" s="72">
        <v>0</v>
      </c>
      <c r="AZ39" s="72">
        <v>0</v>
      </c>
      <c r="BA39" s="72">
        <v>5994187</v>
      </c>
      <c r="BB39" s="72">
        <v>0</v>
      </c>
      <c r="BC39" s="72">
        <v>0</v>
      </c>
      <c r="BD39" s="72">
        <v>0</v>
      </c>
      <c r="BE39" s="72">
        <v>5994187</v>
      </c>
      <c r="BF39" s="72">
        <v>0</v>
      </c>
      <c r="BG39" s="72">
        <v>0</v>
      </c>
      <c r="BH39" s="72">
        <v>0</v>
      </c>
      <c r="BI39" s="72">
        <v>0</v>
      </c>
      <c r="BJ39" s="72">
        <v>5994187</v>
      </c>
      <c r="BM39" s="72">
        <v>0</v>
      </c>
      <c r="BN39" s="72">
        <v>0</v>
      </c>
      <c r="BO39" s="72">
        <v>0</v>
      </c>
      <c r="BP39" s="72">
        <v>0</v>
      </c>
      <c r="BQ39" s="72">
        <v>0</v>
      </c>
      <c r="BR39" s="72">
        <v>0</v>
      </c>
      <c r="BS39" s="72">
        <v>227773530</v>
      </c>
    </row>
    <row r="40" spans="1:71" x14ac:dyDescent="0.2">
      <c r="A40" t="s">
        <v>264</v>
      </c>
      <c r="B40" t="s">
        <v>981</v>
      </c>
      <c r="C40" t="s">
        <v>67</v>
      </c>
      <c r="D40" s="72">
        <v>7257844</v>
      </c>
      <c r="E40" s="72">
        <v>714830</v>
      </c>
      <c r="F40" s="72">
        <v>0</v>
      </c>
      <c r="G40" s="72">
        <v>3135407</v>
      </c>
      <c r="H40" s="72">
        <v>12500</v>
      </c>
      <c r="I40" s="72">
        <v>0</v>
      </c>
      <c r="J40" s="72">
        <v>1241494</v>
      </c>
      <c r="K40" s="72">
        <v>749681</v>
      </c>
      <c r="L40" s="72">
        <v>13111756</v>
      </c>
      <c r="M40" s="72">
        <v>0</v>
      </c>
      <c r="N40" s="72">
        <v>0</v>
      </c>
      <c r="O40" s="72">
        <v>0</v>
      </c>
      <c r="P40" s="72">
        <v>128515</v>
      </c>
      <c r="Q40" s="72">
        <v>31798</v>
      </c>
      <c r="R40" s="72">
        <v>160313</v>
      </c>
      <c r="S40" s="72">
        <v>13272069</v>
      </c>
      <c r="T40" s="72">
        <v>6570014</v>
      </c>
      <c r="U40" s="72">
        <v>2211871</v>
      </c>
      <c r="V40" s="72">
        <v>3373467</v>
      </c>
      <c r="W40" s="72">
        <v>651592</v>
      </c>
      <c r="X40" s="72">
        <v>39892</v>
      </c>
      <c r="Y40" s="72">
        <v>0</v>
      </c>
      <c r="Z40" s="72">
        <v>0</v>
      </c>
      <c r="AA40" s="72">
        <v>0</v>
      </c>
      <c r="AB40" s="72">
        <v>0</v>
      </c>
      <c r="AC40" s="72">
        <v>0</v>
      </c>
      <c r="AD40" s="72">
        <v>0</v>
      </c>
      <c r="AE40" s="72">
        <v>0</v>
      </c>
      <c r="AF40" s="72">
        <v>0</v>
      </c>
      <c r="AG40" s="72">
        <v>334059</v>
      </c>
      <c r="AH40" s="72">
        <v>13180895</v>
      </c>
      <c r="AI40" s="72">
        <v>1406892</v>
      </c>
      <c r="AJ40" s="72">
        <v>0</v>
      </c>
      <c r="AK40" s="72">
        <v>0</v>
      </c>
      <c r="AL40" s="72">
        <v>1406892</v>
      </c>
      <c r="AM40" s="72">
        <v>14587787</v>
      </c>
      <c r="AN40" s="72">
        <v>-1315718</v>
      </c>
      <c r="AO40" s="72">
        <v>4853346</v>
      </c>
      <c r="AP40" s="72">
        <v>3537628</v>
      </c>
      <c r="AQ40" s="72">
        <v>218067</v>
      </c>
      <c r="AR40" s="72">
        <v>0</v>
      </c>
      <c r="AS40" s="72">
        <v>0</v>
      </c>
      <c r="AT40" s="72">
        <v>0</v>
      </c>
      <c r="AU40" s="72">
        <v>0</v>
      </c>
      <c r="AV40" s="72">
        <v>0</v>
      </c>
      <c r="AW40" s="72">
        <v>0</v>
      </c>
      <c r="AX40" s="72">
        <v>0</v>
      </c>
      <c r="AY40" s="72">
        <v>0</v>
      </c>
      <c r="AZ40" s="72">
        <v>0</v>
      </c>
      <c r="BA40" s="72">
        <v>3319561</v>
      </c>
      <c r="BB40" s="72">
        <v>0</v>
      </c>
      <c r="BC40" s="72">
        <v>0</v>
      </c>
      <c r="BD40" s="72">
        <v>0</v>
      </c>
      <c r="BE40" s="72">
        <v>3319561</v>
      </c>
      <c r="BF40" s="72">
        <v>0</v>
      </c>
      <c r="BG40" s="72">
        <v>0</v>
      </c>
      <c r="BH40" s="72">
        <v>0</v>
      </c>
      <c r="BI40" s="72">
        <v>0</v>
      </c>
      <c r="BJ40" s="72">
        <v>3319561</v>
      </c>
      <c r="BK40" s="72">
        <v>0</v>
      </c>
      <c r="BL40" s="72">
        <v>0</v>
      </c>
      <c r="BM40" s="72">
        <v>0</v>
      </c>
      <c r="BN40" s="72">
        <v>0</v>
      </c>
      <c r="BO40" s="72">
        <v>0</v>
      </c>
      <c r="BP40" s="72">
        <v>0</v>
      </c>
      <c r="BQ40" s="72">
        <v>0</v>
      </c>
      <c r="BR40" s="72">
        <v>0</v>
      </c>
      <c r="BS40" s="72">
        <v>14587787</v>
      </c>
    </row>
    <row r="41" spans="1:71" x14ac:dyDescent="0.2">
      <c r="A41" t="s">
        <v>265</v>
      </c>
      <c r="B41" t="s">
        <v>982</v>
      </c>
      <c r="C41" t="s">
        <v>74</v>
      </c>
      <c r="D41" s="72">
        <v>5500000</v>
      </c>
      <c r="E41" s="72">
        <v>450000</v>
      </c>
      <c r="F41" s="72">
        <v>1520000</v>
      </c>
      <c r="G41" s="72">
        <v>13148333</v>
      </c>
      <c r="H41" s="72">
        <v>105000</v>
      </c>
      <c r="I41" s="72">
        <v>0</v>
      </c>
      <c r="J41" s="72">
        <v>1017033</v>
      </c>
      <c r="K41" s="72">
        <v>1287250</v>
      </c>
      <c r="L41" s="72">
        <v>23027616</v>
      </c>
      <c r="M41" s="72">
        <v>0</v>
      </c>
      <c r="N41" s="72">
        <v>0</v>
      </c>
      <c r="O41" s="72">
        <v>0</v>
      </c>
      <c r="P41" s="72">
        <v>20000</v>
      </c>
      <c r="Q41" s="72">
        <v>145000</v>
      </c>
      <c r="R41" s="72">
        <v>165000</v>
      </c>
      <c r="S41" s="72">
        <v>23192616</v>
      </c>
      <c r="T41" s="72">
        <v>11907344</v>
      </c>
      <c r="U41" s="72">
        <v>4389939</v>
      </c>
      <c r="V41" s="72">
        <v>4292080</v>
      </c>
      <c r="W41" s="72">
        <v>689488</v>
      </c>
      <c r="X41" s="72">
        <v>452202</v>
      </c>
      <c r="Y41" s="72">
        <v>0</v>
      </c>
      <c r="Z41" s="72">
        <v>0</v>
      </c>
      <c r="AA41" s="72">
        <v>0</v>
      </c>
      <c r="AB41" s="72">
        <v>0</v>
      </c>
      <c r="AC41" s="72">
        <v>0</v>
      </c>
      <c r="AD41" s="72">
        <v>0</v>
      </c>
      <c r="AE41" s="72">
        <v>0</v>
      </c>
      <c r="AF41" s="72">
        <v>0</v>
      </c>
      <c r="AG41" s="72">
        <v>348180</v>
      </c>
      <c r="AH41" s="72">
        <v>22079233</v>
      </c>
      <c r="AI41" s="72">
        <v>0</v>
      </c>
      <c r="AJ41" s="72">
        <v>0</v>
      </c>
      <c r="AK41" s="72">
        <v>0</v>
      </c>
      <c r="AL41" s="72">
        <v>0</v>
      </c>
      <c r="AM41" s="72">
        <v>22079233</v>
      </c>
      <c r="AN41" s="72">
        <v>1113383</v>
      </c>
      <c r="AO41" s="72">
        <v>4749832</v>
      </c>
      <c r="AP41" s="72">
        <v>5863215</v>
      </c>
      <c r="AQ41" s="72">
        <v>0</v>
      </c>
      <c r="AR41" s="72">
        <v>0</v>
      </c>
      <c r="AS41" s="72">
        <v>0</v>
      </c>
      <c r="AT41" s="72">
        <v>0</v>
      </c>
      <c r="AU41" s="72">
        <v>0</v>
      </c>
      <c r="AV41" s="72">
        <v>0</v>
      </c>
      <c r="AW41" s="72">
        <v>0</v>
      </c>
      <c r="AX41" s="72">
        <v>0</v>
      </c>
      <c r="AY41" s="72">
        <v>0</v>
      </c>
      <c r="AZ41" s="72">
        <v>0</v>
      </c>
      <c r="BA41" s="72">
        <v>5863215</v>
      </c>
      <c r="BB41" s="72">
        <v>0</v>
      </c>
      <c r="BC41" s="72">
        <v>0</v>
      </c>
      <c r="BD41" s="72">
        <v>0</v>
      </c>
      <c r="BE41" s="72">
        <v>5863215</v>
      </c>
      <c r="BF41" s="72">
        <v>0</v>
      </c>
      <c r="BG41" s="72">
        <v>0</v>
      </c>
      <c r="BH41" s="72">
        <v>0</v>
      </c>
      <c r="BI41" s="72">
        <v>0</v>
      </c>
      <c r="BJ41" s="72">
        <v>5863215</v>
      </c>
      <c r="BK41" s="72">
        <v>0</v>
      </c>
      <c r="BL41" s="72">
        <v>0</v>
      </c>
      <c r="BM41" s="72">
        <v>0</v>
      </c>
      <c r="BN41" s="72">
        <v>0</v>
      </c>
      <c r="BO41" s="72">
        <v>0</v>
      </c>
      <c r="BP41" s="72">
        <v>0</v>
      </c>
      <c r="BQ41" s="72">
        <v>0</v>
      </c>
      <c r="BR41" s="72">
        <v>0</v>
      </c>
      <c r="BS41" s="72">
        <v>23192616</v>
      </c>
    </row>
    <row r="42" spans="1:71" x14ac:dyDescent="0.2">
      <c r="A42" t="s">
        <v>267</v>
      </c>
      <c r="B42" t="s">
        <v>984</v>
      </c>
      <c r="C42" t="s">
        <v>34</v>
      </c>
      <c r="D42" s="72">
        <v>25947144</v>
      </c>
      <c r="E42" s="72">
        <v>1653847</v>
      </c>
      <c r="F42" s="72">
        <v>0</v>
      </c>
      <c r="G42" s="72">
        <v>13286847</v>
      </c>
      <c r="H42" s="72">
        <v>22959</v>
      </c>
      <c r="I42" s="72">
        <v>0</v>
      </c>
      <c r="J42" s="72">
        <v>4754145</v>
      </c>
      <c r="K42" s="72">
        <v>1276445</v>
      </c>
      <c r="L42" s="72">
        <v>46941387</v>
      </c>
      <c r="M42" s="72">
        <v>0</v>
      </c>
      <c r="N42" s="72">
        <v>0</v>
      </c>
      <c r="O42" s="72">
        <v>0</v>
      </c>
      <c r="P42" s="72">
        <v>0</v>
      </c>
      <c r="Q42" s="72">
        <v>182459</v>
      </c>
      <c r="R42" s="72">
        <v>182459</v>
      </c>
      <c r="S42" s="72">
        <v>47123846</v>
      </c>
      <c r="T42" s="72">
        <v>27045089</v>
      </c>
      <c r="U42" s="72">
        <v>10676546</v>
      </c>
      <c r="V42" s="72">
        <v>5663692</v>
      </c>
      <c r="W42" s="72">
        <v>1412854</v>
      </c>
      <c r="X42" s="72">
        <v>83022</v>
      </c>
      <c r="Y42" s="72">
        <v>0</v>
      </c>
      <c r="Z42" s="72">
        <v>0</v>
      </c>
      <c r="AA42" s="72">
        <v>0</v>
      </c>
      <c r="AB42" s="72">
        <v>0</v>
      </c>
      <c r="AC42" s="72">
        <v>0</v>
      </c>
      <c r="AD42" s="72">
        <v>159510</v>
      </c>
      <c r="AE42" s="72">
        <v>0</v>
      </c>
      <c r="AF42" s="72">
        <v>68803</v>
      </c>
      <c r="AG42" s="72">
        <v>1313705</v>
      </c>
      <c r="AH42" s="72">
        <v>46423221</v>
      </c>
      <c r="AI42" s="72">
        <v>0</v>
      </c>
      <c r="AJ42" s="72">
        <v>0</v>
      </c>
      <c r="AK42" s="72">
        <v>0</v>
      </c>
      <c r="AL42" s="72">
        <v>0</v>
      </c>
      <c r="AM42" s="72">
        <v>46423221</v>
      </c>
      <c r="AN42" s="72">
        <v>700625</v>
      </c>
      <c r="AO42" s="72">
        <v>5766963</v>
      </c>
      <c r="AP42" s="72">
        <v>6467588</v>
      </c>
      <c r="AQ42" s="72">
        <v>300000</v>
      </c>
      <c r="AR42" s="72">
        <v>0</v>
      </c>
      <c r="AS42" s="72">
        <v>0</v>
      </c>
      <c r="AT42" s="72">
        <v>367699</v>
      </c>
      <c r="AU42" s="72">
        <v>0</v>
      </c>
      <c r="AV42" s="72">
        <v>0</v>
      </c>
      <c r="AW42" s="72">
        <v>0</v>
      </c>
      <c r="AX42" s="72">
        <v>0</v>
      </c>
      <c r="AY42" s="72">
        <v>0</v>
      </c>
      <c r="AZ42" s="72">
        <v>367699</v>
      </c>
      <c r="BA42" s="72">
        <v>5799889</v>
      </c>
      <c r="BB42" s="72">
        <v>0</v>
      </c>
      <c r="BC42" s="72">
        <v>0</v>
      </c>
      <c r="BD42" s="72">
        <v>0</v>
      </c>
      <c r="BE42" s="72">
        <v>5799889</v>
      </c>
      <c r="BF42" s="72">
        <v>0</v>
      </c>
      <c r="BG42" s="72">
        <v>0</v>
      </c>
      <c r="BH42" s="72">
        <v>0</v>
      </c>
      <c r="BI42" s="72">
        <v>0</v>
      </c>
      <c r="BJ42" s="72">
        <v>5799889</v>
      </c>
      <c r="BM42" s="72">
        <v>0</v>
      </c>
      <c r="BN42" s="72">
        <v>0</v>
      </c>
      <c r="BO42" s="72">
        <v>0</v>
      </c>
      <c r="BP42" s="72">
        <v>0</v>
      </c>
      <c r="BQ42" s="72">
        <v>0</v>
      </c>
      <c r="BR42" s="72">
        <v>0</v>
      </c>
      <c r="BS42" s="72">
        <v>47123846</v>
      </c>
    </row>
    <row r="43" spans="1:71" x14ac:dyDescent="0.2">
      <c r="A43" t="s">
        <v>268</v>
      </c>
      <c r="B43" t="s">
        <v>985</v>
      </c>
      <c r="C43" t="s">
        <v>91</v>
      </c>
      <c r="D43" s="72">
        <v>3745000</v>
      </c>
      <c r="E43" s="72">
        <v>215809</v>
      </c>
      <c r="F43" s="72">
        <v>0</v>
      </c>
      <c r="G43" s="72">
        <v>3109855</v>
      </c>
      <c r="H43" s="72">
        <v>55741</v>
      </c>
      <c r="I43" s="72">
        <v>0</v>
      </c>
      <c r="J43" s="72">
        <v>1036192</v>
      </c>
      <c r="K43" s="72">
        <v>785000</v>
      </c>
      <c r="L43" s="72">
        <v>8947597</v>
      </c>
      <c r="M43" s="72">
        <v>0</v>
      </c>
      <c r="N43" s="72">
        <v>0</v>
      </c>
      <c r="O43" s="72">
        <v>0</v>
      </c>
      <c r="P43" s="72">
        <v>30000</v>
      </c>
      <c r="Q43" s="72">
        <v>0</v>
      </c>
      <c r="R43" s="72">
        <v>30000</v>
      </c>
      <c r="S43" s="72">
        <v>8977597</v>
      </c>
      <c r="T43" s="72">
        <v>4683222</v>
      </c>
      <c r="U43" s="72">
        <v>1689377</v>
      </c>
      <c r="V43" s="72">
        <v>1964616</v>
      </c>
      <c r="W43" s="72">
        <v>234072</v>
      </c>
      <c r="X43" s="72">
        <v>29150</v>
      </c>
      <c r="Y43" s="72">
        <v>0</v>
      </c>
      <c r="Z43" s="72">
        <v>0</v>
      </c>
      <c r="AA43" s="72">
        <v>0</v>
      </c>
      <c r="AB43" s="72">
        <v>0</v>
      </c>
      <c r="AC43" s="72">
        <v>0</v>
      </c>
      <c r="AD43" s="72">
        <v>0</v>
      </c>
      <c r="AE43" s="72">
        <v>0</v>
      </c>
      <c r="AF43" s="72">
        <v>0</v>
      </c>
      <c r="AG43" s="72">
        <v>162194</v>
      </c>
      <c r="AH43" s="72">
        <v>8762631</v>
      </c>
      <c r="AI43" s="72">
        <v>15000</v>
      </c>
      <c r="AJ43" s="72">
        <v>30000</v>
      </c>
      <c r="AK43" s="72">
        <v>67869</v>
      </c>
      <c r="AL43" s="72">
        <v>112869</v>
      </c>
      <c r="AM43" s="72">
        <v>8875500</v>
      </c>
      <c r="AN43" s="72">
        <v>102096</v>
      </c>
      <c r="AO43" s="72">
        <v>333621</v>
      </c>
      <c r="AP43" s="72">
        <v>435717</v>
      </c>
      <c r="AQ43" s="72">
        <v>0</v>
      </c>
      <c r="AR43" s="72">
        <v>0</v>
      </c>
      <c r="AS43" s="72">
        <v>0</v>
      </c>
      <c r="AT43" s="72">
        <v>0</v>
      </c>
      <c r="AU43" s="72">
        <v>0</v>
      </c>
      <c r="AV43" s="72">
        <v>0</v>
      </c>
      <c r="AW43" s="72">
        <v>0</v>
      </c>
      <c r="AX43" s="72">
        <v>0</v>
      </c>
      <c r="AY43" s="72">
        <v>0</v>
      </c>
      <c r="AZ43" s="72">
        <v>0</v>
      </c>
      <c r="BA43" s="72">
        <v>435717</v>
      </c>
      <c r="BB43" s="72">
        <v>0</v>
      </c>
      <c r="BC43" s="72">
        <v>0</v>
      </c>
      <c r="BD43" s="72">
        <v>0</v>
      </c>
      <c r="BE43" s="72">
        <v>435717</v>
      </c>
      <c r="BF43" s="72">
        <v>0</v>
      </c>
      <c r="BG43" s="72">
        <v>0</v>
      </c>
      <c r="BH43" s="72">
        <v>0</v>
      </c>
      <c r="BI43" s="72">
        <v>0</v>
      </c>
      <c r="BJ43" s="72">
        <v>435717</v>
      </c>
      <c r="BK43" s="72">
        <v>83</v>
      </c>
      <c r="BL43" s="72">
        <v>1001</v>
      </c>
      <c r="BM43" s="72">
        <v>0</v>
      </c>
      <c r="BN43" s="72">
        <v>0</v>
      </c>
      <c r="BO43" s="72">
        <v>0</v>
      </c>
      <c r="BP43" s="72">
        <v>0</v>
      </c>
      <c r="BQ43" s="72">
        <v>0</v>
      </c>
      <c r="BR43" s="72">
        <v>0</v>
      </c>
      <c r="BS43" s="72">
        <v>8977597</v>
      </c>
    </row>
    <row r="44" spans="1:71" x14ac:dyDescent="0.2">
      <c r="A44" t="s">
        <v>269</v>
      </c>
      <c r="B44" t="s">
        <v>986</v>
      </c>
      <c r="C44" t="s">
        <v>70</v>
      </c>
      <c r="D44" s="72">
        <v>11100000</v>
      </c>
      <c r="E44" s="72">
        <v>0</v>
      </c>
      <c r="F44" s="72">
        <v>0</v>
      </c>
      <c r="G44" s="72">
        <v>6300000</v>
      </c>
      <c r="H44" s="72">
        <v>0</v>
      </c>
      <c r="I44" s="72">
        <v>0</v>
      </c>
      <c r="J44" s="72">
        <v>3125321</v>
      </c>
      <c r="K44" s="72">
        <v>272400</v>
      </c>
      <c r="L44" s="72">
        <v>20797721</v>
      </c>
      <c r="M44" s="72">
        <v>0</v>
      </c>
      <c r="N44" s="72">
        <v>0</v>
      </c>
      <c r="O44" s="72">
        <v>0</v>
      </c>
      <c r="P44" s="72">
        <v>202890</v>
      </c>
      <c r="Q44" s="72">
        <v>0</v>
      </c>
      <c r="R44" s="72">
        <v>202890</v>
      </c>
      <c r="S44" s="72">
        <v>21000611</v>
      </c>
      <c r="T44" s="72">
        <v>13215272</v>
      </c>
      <c r="U44" s="72">
        <v>5520008</v>
      </c>
      <c r="V44" s="72">
        <v>1454080</v>
      </c>
      <c r="W44" s="72">
        <v>811900</v>
      </c>
      <c r="X44" s="72">
        <v>166500</v>
      </c>
      <c r="Y44" s="72">
        <v>0</v>
      </c>
      <c r="Z44" s="72">
        <v>0</v>
      </c>
      <c r="AA44" s="72">
        <v>0</v>
      </c>
      <c r="AB44" s="72">
        <v>0</v>
      </c>
      <c r="AC44" s="72">
        <v>0</v>
      </c>
      <c r="AD44" s="72">
        <v>0</v>
      </c>
      <c r="AE44" s="72">
        <v>0</v>
      </c>
      <c r="AF44" s="72">
        <v>0</v>
      </c>
      <c r="AG44" s="72">
        <v>672300</v>
      </c>
      <c r="AH44" s="72">
        <v>21840060</v>
      </c>
      <c r="AI44" s="72">
        <v>0</v>
      </c>
      <c r="AJ44" s="72">
        <v>202890</v>
      </c>
      <c r="AK44" s="72">
        <v>0</v>
      </c>
      <c r="AL44" s="72">
        <v>202890</v>
      </c>
      <c r="AM44" s="72">
        <v>22042950</v>
      </c>
      <c r="AN44" s="72">
        <v>-1042339</v>
      </c>
      <c r="AO44" s="72">
        <v>9108092</v>
      </c>
      <c r="AP44" s="72">
        <v>8065753</v>
      </c>
      <c r="AQ44" s="72">
        <v>0</v>
      </c>
      <c r="AR44" s="72">
        <v>0</v>
      </c>
      <c r="AS44" s="72">
        <v>0</v>
      </c>
      <c r="AT44" s="72">
        <v>0</v>
      </c>
      <c r="AU44" s="72">
        <v>0</v>
      </c>
      <c r="AV44" s="72">
        <v>0</v>
      </c>
      <c r="AW44" s="72">
        <v>0</v>
      </c>
      <c r="AX44" s="72">
        <v>0</v>
      </c>
      <c r="AY44" s="72">
        <v>0</v>
      </c>
      <c r="AZ44" s="72">
        <v>0</v>
      </c>
      <c r="BA44" s="72">
        <v>8065753</v>
      </c>
      <c r="BB44" s="72">
        <v>0</v>
      </c>
      <c r="BC44" s="72">
        <v>0</v>
      </c>
      <c r="BD44" s="72">
        <v>0</v>
      </c>
      <c r="BE44" s="72">
        <v>8065753</v>
      </c>
      <c r="BF44" s="72">
        <v>0</v>
      </c>
      <c r="BG44" s="72">
        <v>0</v>
      </c>
      <c r="BH44" s="72">
        <v>0</v>
      </c>
      <c r="BI44" s="72">
        <v>0</v>
      </c>
      <c r="BJ44" s="72">
        <v>8065753</v>
      </c>
      <c r="BK44" s="72">
        <v>0</v>
      </c>
      <c r="BL44" s="72">
        <v>0</v>
      </c>
      <c r="BM44" s="72">
        <v>0</v>
      </c>
      <c r="BN44" s="72">
        <v>0</v>
      </c>
      <c r="BO44" s="72">
        <v>0</v>
      </c>
      <c r="BP44" s="72">
        <v>0</v>
      </c>
      <c r="BQ44" s="72">
        <v>0</v>
      </c>
      <c r="BR44" s="72">
        <v>0</v>
      </c>
      <c r="BS44" s="72">
        <v>22042950</v>
      </c>
    </row>
    <row r="45" spans="1:71" x14ac:dyDescent="0.2">
      <c r="A45" t="s">
        <v>271</v>
      </c>
      <c r="B45" t="s">
        <v>988</v>
      </c>
      <c r="C45" t="s">
        <v>23</v>
      </c>
      <c r="D45" s="72">
        <v>6857914</v>
      </c>
      <c r="E45" s="72">
        <v>0</v>
      </c>
      <c r="F45" s="72">
        <v>0</v>
      </c>
      <c r="G45" s="72">
        <v>31714780</v>
      </c>
      <c r="H45" s="72">
        <v>275000</v>
      </c>
      <c r="I45" s="72">
        <v>0</v>
      </c>
      <c r="J45" s="72">
        <v>1244848</v>
      </c>
      <c r="K45" s="72">
        <v>3497500</v>
      </c>
      <c r="L45" s="72">
        <v>43590042</v>
      </c>
      <c r="M45" s="72">
        <v>0</v>
      </c>
      <c r="N45" s="72">
        <v>0</v>
      </c>
      <c r="O45" s="72">
        <v>0</v>
      </c>
      <c r="P45" s="72">
        <v>7222498</v>
      </c>
      <c r="Q45" s="72">
        <v>375000</v>
      </c>
      <c r="R45" s="72">
        <v>7597498</v>
      </c>
      <c r="S45" s="72">
        <v>51187540</v>
      </c>
      <c r="T45" s="72">
        <v>21742181</v>
      </c>
      <c r="U45" s="72">
        <v>8684420</v>
      </c>
      <c r="V45" s="72">
        <v>15611552</v>
      </c>
      <c r="W45" s="72">
        <v>1416632</v>
      </c>
      <c r="X45" s="72">
        <v>291504</v>
      </c>
      <c r="Y45" s="72">
        <v>0</v>
      </c>
      <c r="Z45" s="72">
        <v>0</v>
      </c>
      <c r="AA45" s="72">
        <v>0</v>
      </c>
      <c r="AB45" s="72">
        <v>0</v>
      </c>
      <c r="AC45" s="72">
        <v>0</v>
      </c>
      <c r="AD45" s="72">
        <v>0</v>
      </c>
      <c r="AE45" s="72">
        <v>0</v>
      </c>
      <c r="AF45" s="72">
        <v>0</v>
      </c>
      <c r="AG45" s="72">
        <v>782900</v>
      </c>
      <c r="AH45" s="72">
        <v>48529189</v>
      </c>
      <c r="AI45" s="72">
        <v>250000</v>
      </c>
      <c r="AJ45" s="72">
        <v>8000000</v>
      </c>
      <c r="AK45" s="72">
        <v>100000</v>
      </c>
      <c r="AL45" s="72">
        <v>8350000</v>
      </c>
      <c r="AM45" s="72">
        <v>56879189</v>
      </c>
      <c r="AN45" s="72">
        <v>-5691650</v>
      </c>
      <c r="AO45" s="72">
        <v>18209129</v>
      </c>
      <c r="AP45" s="72">
        <v>12517479</v>
      </c>
      <c r="AQ45" s="72">
        <v>2200000</v>
      </c>
      <c r="AR45" s="72">
        <v>0</v>
      </c>
      <c r="AS45" s="72">
        <v>0</v>
      </c>
      <c r="AT45" s="72">
        <v>0</v>
      </c>
      <c r="AU45" s="72">
        <v>0</v>
      </c>
      <c r="AV45" s="72">
        <v>0</v>
      </c>
      <c r="AW45" s="72">
        <v>0</v>
      </c>
      <c r="AX45" s="72">
        <v>0</v>
      </c>
      <c r="AY45" s="72">
        <v>81931</v>
      </c>
      <c r="AZ45" s="72">
        <v>81931</v>
      </c>
      <c r="BA45" s="72">
        <v>10235548</v>
      </c>
      <c r="BB45" s="72">
        <v>0</v>
      </c>
      <c r="BC45" s="72">
        <v>0</v>
      </c>
      <c r="BD45" s="72">
        <v>0</v>
      </c>
      <c r="BE45" s="72">
        <v>10235548</v>
      </c>
      <c r="BF45" s="72">
        <v>0</v>
      </c>
      <c r="BG45" s="72">
        <v>0</v>
      </c>
      <c r="BH45" s="72">
        <v>0</v>
      </c>
      <c r="BI45" s="72">
        <v>0</v>
      </c>
      <c r="BJ45" s="72">
        <v>10235548</v>
      </c>
      <c r="BM45" s="72">
        <v>0</v>
      </c>
      <c r="BN45" s="72">
        <v>0</v>
      </c>
      <c r="BO45" s="72">
        <v>0</v>
      </c>
      <c r="BP45" s="72">
        <v>0</v>
      </c>
      <c r="BQ45" s="72">
        <v>0</v>
      </c>
      <c r="BR45" s="72">
        <v>0</v>
      </c>
      <c r="BS45" s="72">
        <v>56879189</v>
      </c>
    </row>
    <row r="46" spans="1:71" x14ac:dyDescent="0.2">
      <c r="A46" t="s">
        <v>276</v>
      </c>
      <c r="B46" t="s">
        <v>993</v>
      </c>
      <c r="C46" t="s">
        <v>30</v>
      </c>
      <c r="D46" s="72">
        <v>3705520</v>
      </c>
      <c r="E46" s="72">
        <v>0</v>
      </c>
      <c r="F46" s="72">
        <v>0</v>
      </c>
      <c r="G46" s="72">
        <v>18557838</v>
      </c>
      <c r="H46" s="72">
        <v>279390</v>
      </c>
      <c r="I46" s="72">
        <v>0</v>
      </c>
      <c r="J46" s="72">
        <v>759183</v>
      </c>
      <c r="K46" s="72">
        <v>1006000</v>
      </c>
      <c r="L46" s="72">
        <v>24307931</v>
      </c>
      <c r="M46" s="72">
        <v>0</v>
      </c>
      <c r="N46" s="72">
        <v>0</v>
      </c>
      <c r="O46" s="72">
        <v>0</v>
      </c>
      <c r="P46" s="72">
        <v>0</v>
      </c>
      <c r="Q46" s="72">
        <v>60000</v>
      </c>
      <c r="R46" s="72">
        <v>60000</v>
      </c>
      <c r="S46" s="72">
        <v>24367931</v>
      </c>
      <c r="T46" s="72">
        <v>12599061</v>
      </c>
      <c r="U46" s="72">
        <v>6429912</v>
      </c>
      <c r="V46" s="72">
        <v>4704120</v>
      </c>
      <c r="W46" s="72">
        <v>539538</v>
      </c>
      <c r="X46" s="72">
        <v>239477</v>
      </c>
      <c r="Y46" s="72">
        <v>0</v>
      </c>
      <c r="Z46" s="72">
        <v>0</v>
      </c>
      <c r="AA46" s="72">
        <v>0</v>
      </c>
      <c r="AB46" s="72">
        <v>0</v>
      </c>
      <c r="AC46" s="72">
        <v>0</v>
      </c>
      <c r="AD46" s="72">
        <v>0</v>
      </c>
      <c r="AE46" s="72">
        <v>0</v>
      </c>
      <c r="AF46" s="72">
        <v>0</v>
      </c>
      <c r="AG46" s="72">
        <v>422509</v>
      </c>
      <c r="AH46" s="72">
        <v>24934617</v>
      </c>
      <c r="AI46" s="72">
        <v>30000</v>
      </c>
      <c r="AK46" s="72">
        <v>0</v>
      </c>
      <c r="AL46" s="72">
        <v>30000</v>
      </c>
      <c r="AM46" s="72">
        <v>24964617</v>
      </c>
      <c r="AO46" s="72">
        <v>3915181</v>
      </c>
      <c r="AQ46" s="72">
        <v>300000</v>
      </c>
      <c r="AR46" s="72">
        <v>0</v>
      </c>
      <c r="AS46" s="72">
        <v>0</v>
      </c>
      <c r="AT46" s="72">
        <v>0</v>
      </c>
      <c r="AU46" s="72">
        <v>0</v>
      </c>
      <c r="AW46" s="72">
        <v>0</v>
      </c>
      <c r="AX46" s="72">
        <v>0</v>
      </c>
      <c r="AY46" s="72">
        <v>0</v>
      </c>
      <c r="AZ46" s="72">
        <v>0</v>
      </c>
      <c r="BB46" s="72">
        <v>0</v>
      </c>
      <c r="BC46" s="72">
        <v>0</v>
      </c>
      <c r="BD46" s="72">
        <v>0</v>
      </c>
      <c r="BE46" s="72">
        <v>3018495</v>
      </c>
      <c r="BF46" s="72">
        <v>0</v>
      </c>
      <c r="BG46" s="72">
        <v>0</v>
      </c>
      <c r="BH46" s="72">
        <v>0</v>
      </c>
      <c r="BI46" s="72">
        <v>0</v>
      </c>
      <c r="BJ46" s="72">
        <v>3018495</v>
      </c>
      <c r="BM46" s="72">
        <v>0</v>
      </c>
      <c r="BN46" s="72">
        <v>0</v>
      </c>
      <c r="BO46" s="72">
        <v>0</v>
      </c>
      <c r="BP46" s="72">
        <v>0</v>
      </c>
      <c r="BQ46" s="72">
        <v>0</v>
      </c>
      <c r="BR46" s="72">
        <v>0</v>
      </c>
      <c r="BS46" s="72">
        <v>24964617</v>
      </c>
    </row>
    <row r="47" spans="1:71" x14ac:dyDescent="0.2">
      <c r="A47" t="s">
        <v>278</v>
      </c>
      <c r="B47" t="s">
        <v>995</v>
      </c>
      <c r="C47" t="s">
        <v>30</v>
      </c>
      <c r="D47" s="72">
        <v>2152000</v>
      </c>
      <c r="E47" s="72">
        <v>0</v>
      </c>
      <c r="F47" s="72">
        <v>0</v>
      </c>
      <c r="G47" s="72">
        <v>7431200</v>
      </c>
      <c r="H47" s="72">
        <v>55645</v>
      </c>
      <c r="J47" s="72">
        <v>376458</v>
      </c>
      <c r="K47" s="72">
        <v>225000</v>
      </c>
      <c r="L47" s="72">
        <v>10240303</v>
      </c>
      <c r="M47" s="72">
        <v>0</v>
      </c>
      <c r="N47" s="72">
        <v>0</v>
      </c>
      <c r="O47" s="72">
        <v>100000</v>
      </c>
      <c r="P47" s="72">
        <v>42214</v>
      </c>
      <c r="Q47" s="72">
        <v>0</v>
      </c>
      <c r="R47" s="72">
        <v>142214</v>
      </c>
      <c r="S47" s="72">
        <v>10382517</v>
      </c>
      <c r="T47" s="72">
        <v>4847039</v>
      </c>
      <c r="U47" s="72">
        <v>2279607</v>
      </c>
      <c r="V47" s="72">
        <v>2455263</v>
      </c>
      <c r="W47" s="72">
        <v>299567</v>
      </c>
      <c r="X47" s="72">
        <v>23056</v>
      </c>
      <c r="Y47" s="72">
        <v>0</v>
      </c>
      <c r="Z47" s="72">
        <v>0</v>
      </c>
      <c r="AA47" s="72">
        <v>0</v>
      </c>
      <c r="AB47" s="72">
        <v>0</v>
      </c>
      <c r="AC47" s="72">
        <v>0</v>
      </c>
      <c r="AD47" s="72">
        <v>0</v>
      </c>
      <c r="AE47" s="72">
        <v>0</v>
      </c>
      <c r="AF47" s="72">
        <v>0</v>
      </c>
      <c r="AG47" s="72">
        <v>311933</v>
      </c>
      <c r="AH47" s="72">
        <v>10216465</v>
      </c>
      <c r="AI47" s="72">
        <v>100000</v>
      </c>
      <c r="AJ47" s="72">
        <v>0</v>
      </c>
      <c r="AK47" s="72">
        <v>0</v>
      </c>
      <c r="AL47" s="72">
        <v>100000</v>
      </c>
      <c r="AM47" s="72">
        <v>10316465</v>
      </c>
      <c r="AN47" s="72">
        <v>66052</v>
      </c>
      <c r="AO47" s="72">
        <v>1375705</v>
      </c>
      <c r="AP47" s="72">
        <v>1441757</v>
      </c>
      <c r="AQ47" s="72">
        <v>125000</v>
      </c>
      <c r="AR47" s="72">
        <v>37321</v>
      </c>
      <c r="AS47" s="72">
        <v>0</v>
      </c>
      <c r="AT47" s="72">
        <v>133794</v>
      </c>
      <c r="AU47" s="72">
        <v>0</v>
      </c>
      <c r="AV47" s="72">
        <v>0</v>
      </c>
      <c r="AW47" s="72">
        <v>0</v>
      </c>
      <c r="AX47" s="72">
        <v>0</v>
      </c>
      <c r="AY47" s="72">
        <v>0</v>
      </c>
      <c r="AZ47" s="72">
        <v>171115</v>
      </c>
      <c r="BA47" s="72">
        <v>1145642</v>
      </c>
      <c r="BB47" s="72">
        <v>0</v>
      </c>
      <c r="BC47" s="72">
        <v>0</v>
      </c>
      <c r="BD47" s="72">
        <v>0</v>
      </c>
      <c r="BE47" s="72">
        <v>1145642</v>
      </c>
      <c r="BF47" s="72">
        <v>0</v>
      </c>
      <c r="BG47" s="72">
        <v>0</v>
      </c>
      <c r="BH47" s="72">
        <v>0</v>
      </c>
      <c r="BI47" s="72">
        <v>0</v>
      </c>
      <c r="BJ47" s="72">
        <v>1145642</v>
      </c>
      <c r="BK47" s="72">
        <v>85</v>
      </c>
      <c r="BL47" s="72">
        <v>1214</v>
      </c>
      <c r="BS47" s="72">
        <v>10382517</v>
      </c>
    </row>
    <row r="48" spans="1:71" x14ac:dyDescent="0.2">
      <c r="A48" t="s">
        <v>284</v>
      </c>
      <c r="B48" t="s">
        <v>999</v>
      </c>
      <c r="C48" t="s">
        <v>80</v>
      </c>
      <c r="D48" s="72">
        <v>4786000</v>
      </c>
      <c r="E48" s="72">
        <v>24</v>
      </c>
      <c r="F48" s="72">
        <v>4111546</v>
      </c>
      <c r="G48" s="72">
        <v>8383078</v>
      </c>
      <c r="H48" s="72">
        <v>45114</v>
      </c>
      <c r="I48" s="72">
        <v>0</v>
      </c>
      <c r="J48" s="72">
        <v>927598</v>
      </c>
      <c r="K48" s="72">
        <v>588873</v>
      </c>
      <c r="L48" s="72">
        <v>18842233</v>
      </c>
      <c r="M48" s="72">
        <v>0</v>
      </c>
      <c r="N48" s="72">
        <v>0</v>
      </c>
      <c r="O48" s="72">
        <v>746424</v>
      </c>
      <c r="P48" s="72">
        <v>120000</v>
      </c>
      <c r="Q48" s="72">
        <v>39006</v>
      </c>
      <c r="R48" s="72">
        <v>905430</v>
      </c>
      <c r="S48" s="72">
        <v>19747663</v>
      </c>
      <c r="T48" s="72">
        <v>9976345</v>
      </c>
      <c r="U48" s="72">
        <v>3810815</v>
      </c>
      <c r="V48" s="72">
        <v>2682366</v>
      </c>
      <c r="W48" s="72">
        <v>843919</v>
      </c>
      <c r="X48" s="72">
        <v>130532</v>
      </c>
      <c r="Y48" s="72">
        <v>0</v>
      </c>
      <c r="Z48" s="72">
        <v>0</v>
      </c>
      <c r="AA48" s="72">
        <v>0</v>
      </c>
      <c r="AB48" s="72">
        <v>0</v>
      </c>
      <c r="AC48" s="72">
        <v>0</v>
      </c>
      <c r="AD48" s="72">
        <v>135000</v>
      </c>
      <c r="AE48" s="72">
        <v>0</v>
      </c>
      <c r="AF48" s="72">
        <v>119953</v>
      </c>
      <c r="AG48" s="72">
        <v>1423542</v>
      </c>
      <c r="AH48" s="72">
        <v>19122472</v>
      </c>
      <c r="AI48" s="72">
        <v>746424</v>
      </c>
      <c r="AJ48" s="72">
        <v>120000</v>
      </c>
      <c r="AK48" s="72">
        <v>0</v>
      </c>
      <c r="AL48" s="72">
        <v>866424</v>
      </c>
      <c r="AM48" s="72">
        <v>19988896</v>
      </c>
      <c r="AN48" s="72">
        <v>-241233</v>
      </c>
      <c r="AO48" s="72">
        <v>11888353</v>
      </c>
      <c r="AP48" s="72">
        <v>11647120</v>
      </c>
      <c r="AQ48" s="72">
        <v>400000</v>
      </c>
      <c r="AR48" s="72">
        <v>0</v>
      </c>
      <c r="AS48" s="72">
        <v>0</v>
      </c>
      <c r="AT48" s="72">
        <v>0</v>
      </c>
      <c r="AU48" s="72">
        <v>0</v>
      </c>
      <c r="AV48" s="72">
        <v>0</v>
      </c>
      <c r="AW48" s="72">
        <v>0</v>
      </c>
      <c r="AX48" s="72">
        <v>0</v>
      </c>
      <c r="AY48" s="72">
        <v>0</v>
      </c>
      <c r="AZ48" s="72">
        <v>0</v>
      </c>
      <c r="BA48" s="72">
        <v>11247120</v>
      </c>
      <c r="BB48" s="72">
        <v>0</v>
      </c>
      <c r="BC48" s="72">
        <v>0</v>
      </c>
      <c r="BD48" s="72">
        <v>0</v>
      </c>
      <c r="BE48" s="72">
        <v>11247120</v>
      </c>
      <c r="BF48" s="72">
        <v>0</v>
      </c>
      <c r="BG48" s="72">
        <v>0</v>
      </c>
      <c r="BH48" s="72">
        <v>0</v>
      </c>
      <c r="BI48" s="72">
        <v>0</v>
      </c>
      <c r="BJ48" s="72">
        <v>11247120</v>
      </c>
      <c r="BK48" s="72">
        <v>0</v>
      </c>
      <c r="BL48" s="72">
        <v>0</v>
      </c>
      <c r="BM48" s="72">
        <v>0</v>
      </c>
      <c r="BN48" s="72">
        <v>0</v>
      </c>
      <c r="BO48" s="72">
        <v>0</v>
      </c>
      <c r="BP48" s="72">
        <v>0</v>
      </c>
      <c r="BQ48" s="72">
        <v>0</v>
      </c>
      <c r="BR48" s="72">
        <v>0</v>
      </c>
      <c r="BS48" s="72">
        <v>19988896</v>
      </c>
    </row>
    <row r="49" spans="1:71" x14ac:dyDescent="0.2">
      <c r="A49" t="s">
        <v>294</v>
      </c>
      <c r="B49" t="s">
        <v>1008</v>
      </c>
      <c r="C49" t="s">
        <v>61</v>
      </c>
      <c r="D49" s="72">
        <v>26922832</v>
      </c>
      <c r="E49" s="72">
        <v>1744984</v>
      </c>
      <c r="F49" s="72">
        <v>0</v>
      </c>
      <c r="G49" s="72">
        <v>35489610</v>
      </c>
      <c r="H49" s="72">
        <v>136298</v>
      </c>
      <c r="I49" s="72">
        <v>0</v>
      </c>
      <c r="J49" s="72">
        <v>6629704</v>
      </c>
      <c r="K49" s="72">
        <v>1975060</v>
      </c>
      <c r="L49" s="72">
        <v>72898488</v>
      </c>
      <c r="M49" s="72">
        <v>0</v>
      </c>
      <c r="N49" s="72">
        <v>0</v>
      </c>
      <c r="O49" s="72">
        <v>0</v>
      </c>
      <c r="P49" s="72">
        <v>719212</v>
      </c>
      <c r="Q49" s="72">
        <v>0</v>
      </c>
      <c r="R49" s="72">
        <v>719212</v>
      </c>
      <c r="S49" s="72">
        <v>73617700</v>
      </c>
      <c r="T49" s="72">
        <v>34913862</v>
      </c>
      <c r="U49" s="72">
        <v>12202415</v>
      </c>
      <c r="V49" s="72">
        <v>19942142</v>
      </c>
      <c r="W49" s="72">
        <v>1131016</v>
      </c>
      <c r="X49" s="72">
        <v>64858</v>
      </c>
      <c r="Y49" s="72">
        <v>0</v>
      </c>
      <c r="Z49" s="72">
        <v>0</v>
      </c>
      <c r="AA49" s="72">
        <v>0</v>
      </c>
      <c r="AB49" s="72">
        <v>0</v>
      </c>
      <c r="AC49" s="72">
        <v>0</v>
      </c>
      <c r="AD49" s="72">
        <v>385000</v>
      </c>
      <c r="AE49" s="72">
        <v>70000</v>
      </c>
      <c r="AF49" s="72">
        <v>150000</v>
      </c>
      <c r="AG49" s="72">
        <v>839116</v>
      </c>
      <c r="AH49" s="72">
        <v>69698409</v>
      </c>
      <c r="AI49" s="72">
        <v>2250000</v>
      </c>
      <c r="AJ49" s="72">
        <v>225000</v>
      </c>
      <c r="AK49" s="72">
        <v>0</v>
      </c>
      <c r="AL49" s="72">
        <v>2475000</v>
      </c>
      <c r="AM49" s="72">
        <v>72173409</v>
      </c>
      <c r="AN49" s="72">
        <v>1444291</v>
      </c>
      <c r="AO49" s="72">
        <v>5925750</v>
      </c>
      <c r="AP49" s="72">
        <v>7370041</v>
      </c>
      <c r="AQ49" s="72">
        <v>0</v>
      </c>
      <c r="AR49" s="72">
        <v>0</v>
      </c>
      <c r="AS49" s="72">
        <v>0</v>
      </c>
      <c r="AT49" s="72">
        <v>0</v>
      </c>
      <c r="AU49" s="72">
        <v>0</v>
      </c>
      <c r="AV49" s="72">
        <v>0</v>
      </c>
      <c r="AW49" s="72">
        <v>0</v>
      </c>
      <c r="AX49" s="72">
        <v>0</v>
      </c>
      <c r="AY49" s="72">
        <v>0</v>
      </c>
      <c r="AZ49" s="72">
        <v>0</v>
      </c>
      <c r="BA49" s="72">
        <v>7370041</v>
      </c>
      <c r="BB49" s="72">
        <v>0</v>
      </c>
      <c r="BC49" s="72">
        <v>0</v>
      </c>
      <c r="BD49" s="72">
        <v>0</v>
      </c>
      <c r="BE49" s="72">
        <v>7370041</v>
      </c>
      <c r="BF49" s="72">
        <v>0</v>
      </c>
      <c r="BG49" s="72">
        <v>0</v>
      </c>
      <c r="BH49" s="72">
        <v>0</v>
      </c>
      <c r="BI49" s="72">
        <v>0</v>
      </c>
      <c r="BJ49" s="72">
        <v>7370041</v>
      </c>
      <c r="BM49" s="72">
        <v>0</v>
      </c>
      <c r="BN49" s="72">
        <v>0</v>
      </c>
      <c r="BO49" s="72">
        <v>0</v>
      </c>
      <c r="BP49" s="72">
        <v>0</v>
      </c>
      <c r="BQ49" s="72">
        <v>0</v>
      </c>
      <c r="BR49" s="72">
        <v>0</v>
      </c>
      <c r="BS49" s="72">
        <v>73617700</v>
      </c>
    </row>
    <row r="50" spans="1:71" x14ac:dyDescent="0.2">
      <c r="A50" t="s">
        <v>295</v>
      </c>
      <c r="B50" t="s">
        <v>1009</v>
      </c>
      <c r="C50" t="s">
        <v>23</v>
      </c>
      <c r="D50" s="72">
        <v>34698418</v>
      </c>
      <c r="E50" s="72">
        <v>0</v>
      </c>
      <c r="F50" s="72">
        <v>6229300</v>
      </c>
      <c r="G50" s="72">
        <v>21802588</v>
      </c>
      <c r="H50" s="72">
        <v>750000</v>
      </c>
      <c r="J50" s="72">
        <v>5956483</v>
      </c>
      <c r="K50" s="72">
        <v>600000</v>
      </c>
      <c r="L50" s="72">
        <v>70036789</v>
      </c>
      <c r="M50" s="72">
        <v>0</v>
      </c>
      <c r="N50" s="72">
        <v>0</v>
      </c>
      <c r="Q50" s="72">
        <v>250000</v>
      </c>
      <c r="R50" s="72">
        <v>250000</v>
      </c>
      <c r="S50" s="72">
        <v>70286789</v>
      </c>
      <c r="T50" s="72">
        <v>37904013</v>
      </c>
      <c r="U50" s="72">
        <v>14884952</v>
      </c>
      <c r="V50" s="72">
        <v>13000314</v>
      </c>
      <c r="W50" s="72">
        <v>1575091</v>
      </c>
      <c r="X50" s="72">
        <v>469865</v>
      </c>
      <c r="Y50" s="72">
        <v>0</v>
      </c>
      <c r="Z50" s="72">
        <v>0</v>
      </c>
      <c r="AA50" s="72">
        <v>0</v>
      </c>
      <c r="AB50" s="72">
        <v>0</v>
      </c>
      <c r="AC50" s="72">
        <v>0</v>
      </c>
      <c r="AD50" s="72">
        <v>364529</v>
      </c>
      <c r="AE50" s="72">
        <v>0</v>
      </c>
      <c r="AF50" s="72">
        <v>0</v>
      </c>
      <c r="AG50" s="72">
        <v>1816119</v>
      </c>
      <c r="AH50" s="72">
        <v>70014883</v>
      </c>
      <c r="AI50" s="72">
        <v>0</v>
      </c>
      <c r="AK50" s="72">
        <v>275000</v>
      </c>
      <c r="AL50" s="72">
        <v>275000</v>
      </c>
      <c r="AM50" s="72">
        <v>70289883</v>
      </c>
      <c r="AN50" s="72">
        <v>-3094</v>
      </c>
      <c r="AO50" s="72">
        <v>1688476</v>
      </c>
      <c r="AP50" s="72">
        <v>1685382</v>
      </c>
      <c r="AQ50" s="72">
        <v>1000000</v>
      </c>
      <c r="AR50" s="72">
        <v>0</v>
      </c>
      <c r="AS50" s="72">
        <v>0</v>
      </c>
      <c r="AT50" s="72">
        <v>476510</v>
      </c>
      <c r="AU50" s="72">
        <v>0</v>
      </c>
      <c r="AV50" s="72">
        <v>0</v>
      </c>
      <c r="AW50" s="72">
        <v>0</v>
      </c>
      <c r="AX50" s="72">
        <v>0</v>
      </c>
      <c r="AY50" s="72">
        <v>0</v>
      </c>
      <c r="AZ50" s="72">
        <v>476510</v>
      </c>
      <c r="BA50" s="72">
        <v>208872</v>
      </c>
      <c r="BB50" s="72">
        <v>0</v>
      </c>
      <c r="BC50" s="72">
        <v>0</v>
      </c>
      <c r="BD50" s="72">
        <v>0</v>
      </c>
      <c r="BE50" s="72">
        <v>208872</v>
      </c>
      <c r="BF50" s="72">
        <v>0</v>
      </c>
      <c r="BG50" s="72">
        <v>0</v>
      </c>
      <c r="BH50" s="72">
        <v>0</v>
      </c>
      <c r="BI50" s="72">
        <v>0</v>
      </c>
      <c r="BJ50" s="72">
        <v>208872</v>
      </c>
      <c r="BK50" s="72">
        <v>0</v>
      </c>
      <c r="BL50" s="72">
        <v>0</v>
      </c>
      <c r="BM50" s="72">
        <v>0</v>
      </c>
      <c r="BN50" s="72">
        <v>0</v>
      </c>
      <c r="BO50" s="72">
        <v>0</v>
      </c>
      <c r="BP50" s="72">
        <v>0</v>
      </c>
      <c r="BQ50" s="72">
        <v>0</v>
      </c>
      <c r="BR50" s="72">
        <v>0</v>
      </c>
      <c r="BS50" s="72">
        <v>70289883</v>
      </c>
    </row>
    <row r="51" spans="1:71" x14ac:dyDescent="0.2">
      <c r="A51" t="s">
        <v>298</v>
      </c>
      <c r="B51" t="s">
        <v>945</v>
      </c>
      <c r="C51" t="s">
        <v>50</v>
      </c>
      <c r="D51" s="72">
        <v>15626221</v>
      </c>
      <c r="E51" s="72">
        <v>903704</v>
      </c>
      <c r="F51" s="72">
        <v>3591089</v>
      </c>
      <c r="G51" s="72">
        <v>17995857</v>
      </c>
      <c r="H51" s="72">
        <v>4404</v>
      </c>
      <c r="I51" s="72">
        <v>0</v>
      </c>
      <c r="J51" s="72">
        <v>2164602</v>
      </c>
      <c r="K51" s="72">
        <v>1817692</v>
      </c>
      <c r="L51" s="72">
        <v>42103569</v>
      </c>
      <c r="M51" s="72">
        <v>0</v>
      </c>
      <c r="N51" s="72">
        <v>0</v>
      </c>
      <c r="O51" s="72">
        <v>0</v>
      </c>
      <c r="P51" s="72">
        <v>0</v>
      </c>
      <c r="Q51" s="72">
        <v>261233</v>
      </c>
      <c r="R51" s="72">
        <v>261233</v>
      </c>
      <c r="S51" s="72">
        <v>42364802</v>
      </c>
      <c r="T51" s="72">
        <v>21498970</v>
      </c>
      <c r="U51" s="72">
        <v>9724236</v>
      </c>
      <c r="V51" s="72">
        <v>7655518</v>
      </c>
      <c r="W51" s="72">
        <v>1155892</v>
      </c>
      <c r="X51" s="72">
        <v>1210973</v>
      </c>
      <c r="Y51" s="72">
        <v>0</v>
      </c>
      <c r="Z51" s="72">
        <v>0</v>
      </c>
      <c r="AA51" s="72">
        <v>0</v>
      </c>
      <c r="AB51" s="72">
        <v>0</v>
      </c>
      <c r="AC51" s="72">
        <v>0</v>
      </c>
      <c r="AD51" s="72">
        <v>0</v>
      </c>
      <c r="AE51" s="72">
        <v>0</v>
      </c>
      <c r="AF51" s="72">
        <v>0</v>
      </c>
      <c r="AG51" s="72">
        <v>554789</v>
      </c>
      <c r="AH51" s="72">
        <v>41800378</v>
      </c>
      <c r="AI51" s="72">
        <v>350000</v>
      </c>
      <c r="AJ51" s="72">
        <v>0</v>
      </c>
      <c r="AK51" s="72">
        <v>0</v>
      </c>
      <c r="AL51" s="72">
        <v>350000</v>
      </c>
      <c r="AM51" s="72">
        <v>42150378</v>
      </c>
      <c r="AN51" s="72">
        <v>214424</v>
      </c>
      <c r="AO51" s="72">
        <v>3877616</v>
      </c>
      <c r="AP51" s="72">
        <v>4092040</v>
      </c>
      <c r="AQ51" s="72">
        <v>325000</v>
      </c>
      <c r="AR51" s="72">
        <v>0</v>
      </c>
      <c r="AS51" s="72">
        <v>0</v>
      </c>
      <c r="AT51" s="72">
        <v>0</v>
      </c>
      <c r="AU51" s="72">
        <v>0</v>
      </c>
      <c r="AV51" s="72">
        <v>0</v>
      </c>
      <c r="AW51" s="72">
        <v>0</v>
      </c>
      <c r="AX51" s="72">
        <v>0</v>
      </c>
      <c r="AY51" s="72">
        <v>0</v>
      </c>
      <c r="AZ51" s="72">
        <v>0</v>
      </c>
      <c r="BA51" s="72">
        <v>3767040</v>
      </c>
      <c r="BB51" s="72">
        <v>0</v>
      </c>
      <c r="BC51" s="72">
        <v>0</v>
      </c>
      <c r="BD51" s="72">
        <v>0</v>
      </c>
      <c r="BE51" s="72">
        <v>3767040</v>
      </c>
      <c r="BF51" s="72">
        <v>0</v>
      </c>
      <c r="BG51" s="72">
        <v>0</v>
      </c>
      <c r="BH51" s="72">
        <v>0</v>
      </c>
      <c r="BI51" s="72">
        <v>0</v>
      </c>
      <c r="BJ51" s="72">
        <v>3767040</v>
      </c>
      <c r="BK51" s="72">
        <v>0</v>
      </c>
      <c r="BL51" s="72">
        <v>0</v>
      </c>
      <c r="BM51" s="72">
        <v>0</v>
      </c>
      <c r="BN51" s="72">
        <v>0</v>
      </c>
      <c r="BO51" s="72">
        <v>0</v>
      </c>
      <c r="BP51" s="72">
        <v>0</v>
      </c>
      <c r="BQ51" s="72">
        <v>0</v>
      </c>
      <c r="BR51" s="72">
        <v>0</v>
      </c>
      <c r="BS51" s="72">
        <v>42364802</v>
      </c>
    </row>
    <row r="52" spans="1:71" x14ac:dyDescent="0.2">
      <c r="A52" t="s">
        <v>306</v>
      </c>
      <c r="B52" t="s">
        <v>1020</v>
      </c>
      <c r="C52" t="s">
        <v>23</v>
      </c>
      <c r="D52" s="72">
        <v>14887862</v>
      </c>
      <c r="E52" s="72">
        <v>366996</v>
      </c>
      <c r="F52" s="72">
        <v>0</v>
      </c>
      <c r="G52" s="72">
        <v>2144201</v>
      </c>
      <c r="H52" s="72">
        <v>27802</v>
      </c>
      <c r="I52" s="72">
        <v>0</v>
      </c>
      <c r="J52" s="72">
        <v>2482232</v>
      </c>
      <c r="K52" s="72">
        <v>580816</v>
      </c>
      <c r="L52" s="72">
        <v>20489909</v>
      </c>
      <c r="M52" s="72">
        <v>0</v>
      </c>
      <c r="N52" s="72">
        <v>0</v>
      </c>
      <c r="O52" s="72">
        <v>0</v>
      </c>
      <c r="P52" s="72">
        <v>163532</v>
      </c>
      <c r="Q52" s="72">
        <v>16000</v>
      </c>
      <c r="R52" s="72">
        <v>179532</v>
      </c>
      <c r="S52" s="72">
        <v>20669441</v>
      </c>
      <c r="T52" s="72">
        <v>11468371</v>
      </c>
      <c r="U52" s="72">
        <v>3964777</v>
      </c>
      <c r="V52" s="72">
        <v>2268865</v>
      </c>
      <c r="W52" s="72">
        <v>431436</v>
      </c>
      <c r="X52" s="72">
        <v>55780</v>
      </c>
      <c r="Y52" s="72">
        <v>0</v>
      </c>
      <c r="Z52" s="72">
        <v>0</v>
      </c>
      <c r="AA52" s="72">
        <v>0</v>
      </c>
      <c r="AB52" s="72">
        <v>0</v>
      </c>
      <c r="AC52" s="72">
        <v>0</v>
      </c>
      <c r="AD52" s="72">
        <v>0</v>
      </c>
      <c r="AE52" s="72">
        <v>0</v>
      </c>
      <c r="AF52" s="72">
        <v>0</v>
      </c>
      <c r="AG52" s="72">
        <v>340713</v>
      </c>
      <c r="AH52" s="72">
        <v>18529942</v>
      </c>
      <c r="AI52" s="72">
        <v>935000</v>
      </c>
      <c r="AJ52" s="72">
        <v>144045</v>
      </c>
      <c r="AK52" s="72">
        <v>0</v>
      </c>
      <c r="AL52" s="72">
        <v>1079045</v>
      </c>
      <c r="AM52" s="72">
        <v>19608987</v>
      </c>
      <c r="AN52" s="72">
        <v>1060454</v>
      </c>
      <c r="AO52" s="72">
        <v>15078184</v>
      </c>
      <c r="AP52" s="72">
        <v>16138638</v>
      </c>
      <c r="AQ52" s="72">
        <v>0</v>
      </c>
      <c r="AR52" s="72">
        <v>0</v>
      </c>
      <c r="AS52" s="72">
        <v>0</v>
      </c>
      <c r="AT52" s="72">
        <v>364682</v>
      </c>
      <c r="AU52" s="72">
        <v>0</v>
      </c>
      <c r="AV52" s="72">
        <v>0</v>
      </c>
      <c r="AW52" s="72">
        <v>0</v>
      </c>
      <c r="AX52" s="72">
        <v>0</v>
      </c>
      <c r="AY52" s="72">
        <v>0</v>
      </c>
      <c r="AZ52" s="72">
        <v>364682</v>
      </c>
      <c r="BA52" s="72">
        <v>15773956</v>
      </c>
      <c r="BB52" s="72">
        <v>0</v>
      </c>
      <c r="BC52" s="72">
        <v>0</v>
      </c>
      <c r="BD52" s="72">
        <v>0</v>
      </c>
      <c r="BE52" s="72">
        <v>15773956</v>
      </c>
      <c r="BF52" s="72">
        <v>0</v>
      </c>
      <c r="BG52" s="72">
        <v>0</v>
      </c>
      <c r="BH52" s="72">
        <v>0</v>
      </c>
      <c r="BI52" s="72">
        <v>0</v>
      </c>
      <c r="BJ52" s="72">
        <v>15773956</v>
      </c>
      <c r="BM52" s="72">
        <v>0</v>
      </c>
      <c r="BN52" s="72">
        <v>0</v>
      </c>
      <c r="BO52" s="72">
        <v>0</v>
      </c>
      <c r="BP52" s="72">
        <v>0</v>
      </c>
      <c r="BQ52" s="72">
        <v>0</v>
      </c>
      <c r="BR52" s="72">
        <v>0</v>
      </c>
      <c r="BS52" s="72">
        <v>20669441</v>
      </c>
    </row>
    <row r="53" spans="1:71" x14ac:dyDescent="0.2">
      <c r="A53" t="s">
        <v>312</v>
      </c>
      <c r="B53" t="s">
        <v>1026</v>
      </c>
      <c r="C53" t="s">
        <v>29</v>
      </c>
      <c r="D53" s="72">
        <v>25810780</v>
      </c>
      <c r="E53" s="72">
        <v>20000</v>
      </c>
      <c r="F53" s="72">
        <v>0</v>
      </c>
      <c r="G53" s="72">
        <v>19338070</v>
      </c>
      <c r="H53" s="72">
        <v>370430</v>
      </c>
      <c r="I53" s="72">
        <v>0</v>
      </c>
      <c r="J53" s="72">
        <v>7142000</v>
      </c>
      <c r="K53" s="72">
        <v>2606000</v>
      </c>
      <c r="L53" s="72">
        <v>55287280</v>
      </c>
      <c r="M53" s="72">
        <v>0</v>
      </c>
      <c r="N53" s="72">
        <v>0</v>
      </c>
      <c r="O53" s="72">
        <v>0</v>
      </c>
      <c r="P53" s="72">
        <v>0</v>
      </c>
      <c r="Q53" s="72">
        <v>65000</v>
      </c>
      <c r="R53" s="72">
        <v>65000</v>
      </c>
      <c r="S53" s="72">
        <v>55352280</v>
      </c>
      <c r="T53" s="72">
        <v>29879649</v>
      </c>
      <c r="U53" s="72">
        <v>11006545</v>
      </c>
      <c r="V53" s="72">
        <v>10552884</v>
      </c>
      <c r="W53" s="72">
        <v>2117907</v>
      </c>
      <c r="X53" s="72">
        <v>500000</v>
      </c>
      <c r="Y53" s="72">
        <v>0</v>
      </c>
      <c r="Z53" s="72">
        <v>0</v>
      </c>
      <c r="AA53" s="72">
        <v>0</v>
      </c>
      <c r="AB53" s="72">
        <v>0</v>
      </c>
      <c r="AC53" s="72">
        <v>0</v>
      </c>
      <c r="AD53" s="72">
        <v>0</v>
      </c>
      <c r="AE53" s="72">
        <v>0</v>
      </c>
      <c r="AF53" s="72">
        <v>0</v>
      </c>
      <c r="AG53" s="72">
        <v>960000</v>
      </c>
      <c r="AH53" s="72">
        <v>55016985</v>
      </c>
      <c r="AI53" s="72">
        <v>85000</v>
      </c>
      <c r="AJ53" s="72">
        <v>225000</v>
      </c>
      <c r="AK53" s="72">
        <v>2500</v>
      </c>
      <c r="AL53" s="72">
        <v>312500</v>
      </c>
      <c r="AM53" s="72">
        <v>55329485</v>
      </c>
      <c r="AN53" s="72">
        <v>22795</v>
      </c>
      <c r="AO53" s="72">
        <v>11229160</v>
      </c>
      <c r="AP53" s="72">
        <v>11251955</v>
      </c>
      <c r="AQ53" s="72">
        <v>1200000</v>
      </c>
      <c r="AR53" s="72">
        <v>0</v>
      </c>
      <c r="AS53" s="72">
        <v>0</v>
      </c>
      <c r="AT53" s="72">
        <v>0</v>
      </c>
      <c r="AU53" s="72">
        <v>0</v>
      </c>
      <c r="AV53" s="72">
        <v>0</v>
      </c>
      <c r="AW53" s="72">
        <v>0</v>
      </c>
      <c r="AX53" s="72">
        <v>0</v>
      </c>
      <c r="AY53" s="72">
        <v>0</v>
      </c>
      <c r="AZ53" s="72">
        <v>0</v>
      </c>
      <c r="BA53" s="72">
        <v>10051955</v>
      </c>
      <c r="BB53" s="72">
        <v>0</v>
      </c>
      <c r="BC53" s="72">
        <v>0</v>
      </c>
      <c r="BD53" s="72">
        <v>0</v>
      </c>
      <c r="BE53" s="72">
        <v>10051955</v>
      </c>
      <c r="BF53" s="72">
        <v>0</v>
      </c>
      <c r="BG53" s="72">
        <v>0</v>
      </c>
      <c r="BH53" s="72">
        <v>0</v>
      </c>
      <c r="BI53" s="72">
        <v>0</v>
      </c>
      <c r="BJ53" s="72">
        <v>10051955</v>
      </c>
      <c r="BK53" s="72">
        <v>490</v>
      </c>
      <c r="BL53" s="72">
        <v>5050</v>
      </c>
      <c r="BM53" s="72">
        <v>0</v>
      </c>
      <c r="BN53" s="72">
        <v>0</v>
      </c>
      <c r="BO53" s="72">
        <v>0</v>
      </c>
      <c r="BP53" s="72">
        <v>0</v>
      </c>
      <c r="BQ53" s="72">
        <v>0</v>
      </c>
      <c r="BR53" s="72">
        <v>0</v>
      </c>
      <c r="BS53" s="72">
        <v>55352280</v>
      </c>
    </row>
    <row r="54" spans="1:71" x14ac:dyDescent="0.2">
      <c r="A54" t="s">
        <v>319</v>
      </c>
      <c r="B54" t="s">
        <v>1033</v>
      </c>
      <c r="C54" t="s">
        <v>36</v>
      </c>
      <c r="D54" s="72">
        <v>6282058</v>
      </c>
      <c r="E54" s="72">
        <v>0</v>
      </c>
      <c r="F54" s="72">
        <v>0</v>
      </c>
      <c r="G54" s="72">
        <v>11117777</v>
      </c>
      <c r="H54" s="72">
        <v>60000</v>
      </c>
      <c r="I54" s="72">
        <v>0</v>
      </c>
      <c r="J54" s="72">
        <v>1770295</v>
      </c>
      <c r="K54" s="72">
        <v>539100</v>
      </c>
      <c r="L54" s="72">
        <v>19769230</v>
      </c>
      <c r="M54" s="72">
        <v>0</v>
      </c>
      <c r="N54" s="72">
        <v>0</v>
      </c>
      <c r="O54" s="72">
        <v>0</v>
      </c>
      <c r="P54" s="72">
        <v>10000</v>
      </c>
      <c r="Q54" s="72">
        <v>0</v>
      </c>
      <c r="R54" s="72">
        <v>10000</v>
      </c>
      <c r="S54" s="72">
        <v>19779230</v>
      </c>
      <c r="T54" s="72">
        <v>9496148</v>
      </c>
      <c r="U54" s="72">
        <v>4491313</v>
      </c>
      <c r="V54" s="72">
        <v>5650659</v>
      </c>
      <c r="W54" s="72">
        <v>700108</v>
      </c>
      <c r="X54" s="72">
        <v>64600</v>
      </c>
      <c r="Y54" s="72">
        <v>0</v>
      </c>
      <c r="Z54" s="72">
        <v>0</v>
      </c>
      <c r="AA54" s="72">
        <v>0</v>
      </c>
      <c r="AB54" s="72">
        <v>0</v>
      </c>
      <c r="AC54" s="72">
        <v>0</v>
      </c>
      <c r="AD54" s="72">
        <v>0</v>
      </c>
      <c r="AE54" s="72">
        <v>0</v>
      </c>
      <c r="AF54" s="72">
        <v>0</v>
      </c>
      <c r="AG54" s="72">
        <v>245315</v>
      </c>
      <c r="AH54" s="72">
        <v>20648143</v>
      </c>
      <c r="AI54" s="72">
        <v>121750</v>
      </c>
      <c r="AJ54" s="72">
        <v>0</v>
      </c>
      <c r="AK54" s="72">
        <v>0</v>
      </c>
      <c r="AL54" s="72">
        <v>121750</v>
      </c>
      <c r="AM54" s="72">
        <v>20769893</v>
      </c>
      <c r="AN54" s="72">
        <v>-990663</v>
      </c>
      <c r="AO54" s="72">
        <v>1342854</v>
      </c>
      <c r="AP54" s="72">
        <v>352191</v>
      </c>
      <c r="AQ54" s="72">
        <v>0</v>
      </c>
      <c r="AR54" s="72">
        <v>0</v>
      </c>
      <c r="AS54" s="72">
        <v>0</v>
      </c>
      <c r="AT54" s="72">
        <v>0</v>
      </c>
      <c r="AU54" s="72">
        <v>0</v>
      </c>
      <c r="AV54" s="72">
        <v>0</v>
      </c>
      <c r="AW54" s="72">
        <v>0</v>
      </c>
      <c r="AX54" s="72">
        <v>0</v>
      </c>
      <c r="AY54" s="72">
        <v>0</v>
      </c>
      <c r="AZ54" s="72">
        <v>0</v>
      </c>
      <c r="BA54" s="72">
        <v>352191</v>
      </c>
      <c r="BB54" s="72">
        <v>0</v>
      </c>
      <c r="BC54" s="72">
        <v>0</v>
      </c>
      <c r="BD54" s="72">
        <v>0</v>
      </c>
      <c r="BE54" s="72">
        <v>352191</v>
      </c>
      <c r="BF54" s="72">
        <v>0</v>
      </c>
      <c r="BG54" s="72">
        <v>0</v>
      </c>
      <c r="BH54" s="72">
        <v>0</v>
      </c>
      <c r="BI54" s="72">
        <v>0</v>
      </c>
      <c r="BJ54" s="72">
        <v>352191</v>
      </c>
      <c r="BK54" s="72">
        <v>0</v>
      </c>
      <c r="BL54" s="72">
        <v>0</v>
      </c>
      <c r="BM54" s="72">
        <v>0</v>
      </c>
      <c r="BN54" s="72">
        <v>0</v>
      </c>
      <c r="BO54" s="72">
        <v>0</v>
      </c>
      <c r="BP54" s="72">
        <v>0</v>
      </c>
      <c r="BQ54" s="72">
        <v>0</v>
      </c>
      <c r="BR54" s="72">
        <v>0</v>
      </c>
      <c r="BS54" s="72">
        <v>20769893</v>
      </c>
    </row>
    <row r="55" spans="1:71" x14ac:dyDescent="0.2">
      <c r="A55" t="s">
        <v>321</v>
      </c>
      <c r="B55" t="s">
        <v>1035</v>
      </c>
      <c r="C55" t="s">
        <v>27</v>
      </c>
      <c r="D55" s="72">
        <v>10296716</v>
      </c>
      <c r="E55" s="72">
        <v>1000000</v>
      </c>
      <c r="F55" s="72">
        <v>0</v>
      </c>
      <c r="G55" s="72">
        <v>9234221</v>
      </c>
      <c r="H55" s="72">
        <v>99326</v>
      </c>
      <c r="I55" s="72">
        <v>0</v>
      </c>
      <c r="J55" s="72">
        <v>4299901</v>
      </c>
      <c r="K55" s="72">
        <v>2255121</v>
      </c>
      <c r="L55" s="72">
        <v>27185285</v>
      </c>
      <c r="M55" s="72">
        <v>0</v>
      </c>
      <c r="N55" s="72">
        <v>0</v>
      </c>
      <c r="O55" s="72">
        <v>0</v>
      </c>
      <c r="P55" s="72">
        <v>0</v>
      </c>
      <c r="Q55" s="72">
        <v>0</v>
      </c>
      <c r="R55" s="72">
        <v>0</v>
      </c>
      <c r="S55" s="72">
        <v>27185285</v>
      </c>
      <c r="T55" s="72">
        <v>16041944</v>
      </c>
      <c r="U55" s="72">
        <v>6054941</v>
      </c>
      <c r="V55" s="72">
        <v>5290077</v>
      </c>
      <c r="W55" s="72">
        <v>880972</v>
      </c>
      <c r="X55" s="72">
        <v>121395</v>
      </c>
      <c r="Y55" s="72">
        <v>0</v>
      </c>
      <c r="Z55" s="72">
        <v>0</v>
      </c>
      <c r="AA55" s="72">
        <v>0</v>
      </c>
      <c r="AB55" s="72">
        <v>0</v>
      </c>
      <c r="AC55" s="72">
        <v>0</v>
      </c>
      <c r="AD55" s="72">
        <v>127867</v>
      </c>
      <c r="AE55" s="72">
        <v>0</v>
      </c>
      <c r="AF55" s="72">
        <v>2206</v>
      </c>
      <c r="AG55" s="72">
        <v>371175</v>
      </c>
      <c r="AH55" s="72">
        <v>28890577</v>
      </c>
      <c r="AI55" s="72">
        <v>0</v>
      </c>
      <c r="AJ55" s="72">
        <v>0</v>
      </c>
      <c r="AK55" s="72">
        <v>0</v>
      </c>
      <c r="AL55" s="72">
        <v>0</v>
      </c>
      <c r="AM55" s="72">
        <v>28890577</v>
      </c>
      <c r="AN55" s="72">
        <v>-1705292</v>
      </c>
      <c r="AO55" s="72">
        <v>3841286</v>
      </c>
      <c r="AP55" s="72">
        <v>2135994</v>
      </c>
      <c r="AQ55" s="72">
        <v>144453</v>
      </c>
      <c r="AR55" s="72">
        <v>0</v>
      </c>
      <c r="AS55" s="72">
        <v>0</v>
      </c>
      <c r="AT55" s="72">
        <v>0</v>
      </c>
      <c r="AU55" s="72">
        <v>0</v>
      </c>
      <c r="AV55" s="72">
        <v>0</v>
      </c>
      <c r="AW55" s="72">
        <v>0</v>
      </c>
      <c r="AX55" s="72">
        <v>0</v>
      </c>
      <c r="AY55" s="72">
        <v>0</v>
      </c>
      <c r="AZ55" s="72">
        <v>0</v>
      </c>
      <c r="BA55" s="72">
        <v>1991541</v>
      </c>
      <c r="BB55" s="72">
        <v>0</v>
      </c>
      <c r="BC55" s="72">
        <v>0</v>
      </c>
      <c r="BD55" s="72">
        <v>0</v>
      </c>
      <c r="BE55" s="72">
        <v>1991541</v>
      </c>
      <c r="BF55" s="72">
        <v>0</v>
      </c>
      <c r="BG55" s="72">
        <v>0</v>
      </c>
      <c r="BH55" s="72">
        <v>0</v>
      </c>
      <c r="BI55" s="72">
        <v>0</v>
      </c>
      <c r="BJ55" s="72">
        <v>1991541</v>
      </c>
      <c r="BK55" s="72">
        <v>230</v>
      </c>
      <c r="BL55" s="72">
        <v>2820</v>
      </c>
      <c r="BM55" s="72">
        <v>0</v>
      </c>
      <c r="BN55" s="72">
        <v>0</v>
      </c>
      <c r="BO55" s="72">
        <v>0</v>
      </c>
      <c r="BP55" s="72">
        <v>0</v>
      </c>
      <c r="BQ55" s="72">
        <v>0</v>
      </c>
      <c r="BR55" s="72">
        <v>0</v>
      </c>
      <c r="BS55" s="72">
        <v>28890577</v>
      </c>
    </row>
    <row r="56" spans="1:71" x14ac:dyDescent="0.2">
      <c r="A56" t="s">
        <v>325</v>
      </c>
      <c r="B56" t="s">
        <v>1039</v>
      </c>
      <c r="C56" t="s">
        <v>37</v>
      </c>
      <c r="D56" s="72">
        <v>10556023</v>
      </c>
      <c r="E56" s="72">
        <v>0</v>
      </c>
      <c r="F56" s="72">
        <v>6825000</v>
      </c>
      <c r="G56" s="72">
        <v>13604776</v>
      </c>
      <c r="H56" s="72">
        <v>24810</v>
      </c>
      <c r="I56" s="72">
        <v>0</v>
      </c>
      <c r="J56" s="72">
        <v>3160098</v>
      </c>
      <c r="K56" s="72">
        <v>1781668</v>
      </c>
      <c r="L56" s="72">
        <v>35952375</v>
      </c>
      <c r="M56" s="72">
        <v>0</v>
      </c>
      <c r="N56" s="72">
        <v>0</v>
      </c>
      <c r="O56" s="72">
        <v>100000</v>
      </c>
      <c r="P56" s="72">
        <v>0</v>
      </c>
      <c r="Q56" s="72">
        <v>0</v>
      </c>
      <c r="R56" s="72">
        <v>100000</v>
      </c>
      <c r="S56" s="72">
        <v>36052375</v>
      </c>
      <c r="T56" s="72">
        <v>21602413</v>
      </c>
      <c r="U56" s="72">
        <v>7183156</v>
      </c>
      <c r="V56" s="72">
        <v>6921992</v>
      </c>
      <c r="W56" s="72">
        <v>1229380</v>
      </c>
      <c r="X56" s="72">
        <v>384796</v>
      </c>
      <c r="Y56" s="72">
        <v>0</v>
      </c>
      <c r="Z56" s="72">
        <v>0</v>
      </c>
      <c r="AA56" s="72">
        <v>0</v>
      </c>
      <c r="AB56" s="72">
        <v>0</v>
      </c>
      <c r="AC56" s="72">
        <v>0</v>
      </c>
      <c r="AD56" s="72">
        <v>0</v>
      </c>
      <c r="AE56" s="72">
        <v>0</v>
      </c>
      <c r="AF56" s="72">
        <v>0</v>
      </c>
      <c r="AG56" s="72">
        <v>569359</v>
      </c>
      <c r="AH56" s="72">
        <v>37891096</v>
      </c>
      <c r="AI56" s="72">
        <v>102407</v>
      </c>
      <c r="AJ56" s="72">
        <v>0</v>
      </c>
      <c r="AK56" s="72">
        <v>0</v>
      </c>
      <c r="AL56" s="72">
        <v>102407</v>
      </c>
      <c r="AM56" s="72">
        <v>37993502</v>
      </c>
      <c r="AN56" s="72">
        <v>-1941128</v>
      </c>
      <c r="AO56" s="72">
        <v>11648260</v>
      </c>
      <c r="AP56" s="72">
        <v>9707133</v>
      </c>
      <c r="AQ56" s="72">
        <v>255000</v>
      </c>
      <c r="AR56" s="72">
        <v>0</v>
      </c>
      <c r="AS56" s="72">
        <v>5283009</v>
      </c>
      <c r="AT56" s="72">
        <v>0</v>
      </c>
      <c r="AU56" s="72">
        <v>0</v>
      </c>
      <c r="AV56" s="72">
        <v>0</v>
      </c>
      <c r="AW56" s="72">
        <v>0</v>
      </c>
      <c r="AX56" s="72">
        <v>0</v>
      </c>
      <c r="AY56" s="72">
        <v>0</v>
      </c>
      <c r="AZ56" s="72">
        <v>5283009</v>
      </c>
      <c r="BA56" s="72">
        <v>4169124</v>
      </c>
      <c r="BB56" s="72">
        <v>0</v>
      </c>
      <c r="BC56" s="72">
        <v>0</v>
      </c>
      <c r="BD56" s="72">
        <v>0</v>
      </c>
      <c r="BE56" s="72">
        <v>4169124</v>
      </c>
      <c r="BF56" s="72">
        <v>0</v>
      </c>
      <c r="BG56" s="72">
        <v>0</v>
      </c>
      <c r="BH56" s="72">
        <v>0</v>
      </c>
      <c r="BI56" s="72">
        <v>0</v>
      </c>
      <c r="BJ56" s="72">
        <v>4169124</v>
      </c>
      <c r="BK56" s="72">
        <v>319</v>
      </c>
      <c r="BL56" s="72">
        <v>3980</v>
      </c>
      <c r="BM56" s="72">
        <v>0</v>
      </c>
      <c r="BN56" s="72">
        <v>0</v>
      </c>
      <c r="BO56" s="72">
        <v>0</v>
      </c>
      <c r="BP56" s="72">
        <v>0</v>
      </c>
      <c r="BQ56" s="72">
        <v>0</v>
      </c>
      <c r="BR56" s="72">
        <v>0</v>
      </c>
      <c r="BS56" s="72">
        <v>37993502</v>
      </c>
    </row>
    <row r="57" spans="1:71" x14ac:dyDescent="0.2">
      <c r="A57" t="s">
        <v>328</v>
      </c>
      <c r="B57" t="s">
        <v>1042</v>
      </c>
      <c r="C57" t="s">
        <v>84</v>
      </c>
      <c r="D57" s="72">
        <v>3964512</v>
      </c>
      <c r="E57" s="72">
        <v>118022</v>
      </c>
      <c r="F57" s="72">
        <v>0</v>
      </c>
      <c r="G57" s="72">
        <v>10311664</v>
      </c>
      <c r="H57" s="72">
        <v>7151</v>
      </c>
      <c r="I57" s="72">
        <v>0</v>
      </c>
      <c r="J57" s="72">
        <v>1055959</v>
      </c>
      <c r="K57" s="72">
        <v>725771</v>
      </c>
      <c r="L57" s="72">
        <v>16183079</v>
      </c>
      <c r="M57" s="72">
        <v>0</v>
      </c>
      <c r="N57" s="72">
        <v>0</v>
      </c>
      <c r="O57" s="72">
        <v>0</v>
      </c>
      <c r="P57" s="72">
        <v>58593</v>
      </c>
      <c r="Q57" s="72">
        <v>5000</v>
      </c>
      <c r="R57" s="72">
        <v>63593</v>
      </c>
      <c r="S57" s="72">
        <v>16246672</v>
      </c>
      <c r="T57" s="72">
        <v>8043630</v>
      </c>
      <c r="U57" s="72">
        <v>3639353</v>
      </c>
      <c r="V57" s="72">
        <v>3601052</v>
      </c>
      <c r="W57" s="72">
        <v>408070</v>
      </c>
      <c r="X57" s="72">
        <v>0</v>
      </c>
      <c r="Y57" s="72">
        <v>0</v>
      </c>
      <c r="Z57" s="72">
        <v>0</v>
      </c>
      <c r="AA57" s="72">
        <v>0</v>
      </c>
      <c r="AB57" s="72">
        <v>0</v>
      </c>
      <c r="AC57" s="72">
        <v>0</v>
      </c>
      <c r="AD57" s="72">
        <v>0</v>
      </c>
      <c r="AE57" s="72">
        <v>0</v>
      </c>
      <c r="AF57" s="72">
        <v>0</v>
      </c>
      <c r="AG57" s="72">
        <v>243300</v>
      </c>
      <c r="AH57" s="72">
        <v>15935405</v>
      </c>
      <c r="AI57" s="72">
        <v>415199</v>
      </c>
      <c r="AJ57" s="72">
        <v>40000</v>
      </c>
      <c r="AK57" s="72">
        <v>0</v>
      </c>
      <c r="AL57" s="72">
        <v>455199</v>
      </c>
      <c r="AM57" s="72">
        <v>16390604</v>
      </c>
      <c r="AN57" s="72">
        <v>-143932</v>
      </c>
      <c r="AO57" s="72">
        <v>1364408</v>
      </c>
      <c r="AP57" s="72">
        <v>1220476</v>
      </c>
      <c r="AQ57" s="72">
        <v>0</v>
      </c>
      <c r="AR57" s="72">
        <v>0</v>
      </c>
      <c r="AS57" s="72">
        <v>0</v>
      </c>
      <c r="AT57" s="72">
        <v>0</v>
      </c>
      <c r="AU57" s="72">
        <v>0</v>
      </c>
      <c r="AV57" s="72">
        <v>0</v>
      </c>
      <c r="AW57" s="72">
        <v>0</v>
      </c>
      <c r="AX57" s="72">
        <v>0</v>
      </c>
      <c r="AY57" s="72">
        <v>0</v>
      </c>
      <c r="AZ57" s="72">
        <v>0</v>
      </c>
      <c r="BA57" s="72">
        <v>1220476</v>
      </c>
      <c r="BB57" s="72">
        <v>0</v>
      </c>
      <c r="BC57" s="72">
        <v>0</v>
      </c>
      <c r="BD57" s="72">
        <v>0</v>
      </c>
      <c r="BE57" s="72">
        <v>1220476</v>
      </c>
      <c r="BF57" s="72">
        <v>0</v>
      </c>
      <c r="BG57" s="72">
        <v>599671</v>
      </c>
      <c r="BH57" s="72">
        <v>599671</v>
      </c>
      <c r="BI57" s="72">
        <v>0</v>
      </c>
      <c r="BJ57" s="72">
        <v>1820147</v>
      </c>
      <c r="BM57" s="72">
        <v>0</v>
      </c>
      <c r="BN57" s="72">
        <v>0</v>
      </c>
      <c r="BO57" s="72">
        <v>0</v>
      </c>
      <c r="BP57" s="72">
        <v>0</v>
      </c>
      <c r="BQ57" s="72">
        <v>0</v>
      </c>
      <c r="BR57" s="72">
        <v>0</v>
      </c>
      <c r="BS57" s="72">
        <v>16390604</v>
      </c>
    </row>
    <row r="58" spans="1:71" x14ac:dyDescent="0.2">
      <c r="A58" t="s">
        <v>331</v>
      </c>
      <c r="B58" t="s">
        <v>1045</v>
      </c>
      <c r="C58" t="s">
        <v>90</v>
      </c>
      <c r="D58" s="72">
        <v>4607891</v>
      </c>
      <c r="E58" s="72">
        <v>0</v>
      </c>
      <c r="F58" s="72">
        <v>51000</v>
      </c>
      <c r="G58" s="72">
        <v>11761265</v>
      </c>
      <c r="H58" s="72">
        <v>17940</v>
      </c>
      <c r="I58" s="72">
        <v>0</v>
      </c>
      <c r="J58" s="72">
        <v>657369</v>
      </c>
      <c r="K58" s="72">
        <v>1764107</v>
      </c>
      <c r="L58" s="72">
        <v>18859572</v>
      </c>
      <c r="M58" s="72">
        <v>0</v>
      </c>
      <c r="N58" s="72">
        <v>0</v>
      </c>
      <c r="O58" s="72">
        <v>0</v>
      </c>
      <c r="P58" s="72">
        <v>98601</v>
      </c>
      <c r="Q58" s="72">
        <v>161783</v>
      </c>
      <c r="R58" s="72">
        <v>260384</v>
      </c>
      <c r="S58" s="72">
        <v>19119956</v>
      </c>
      <c r="T58" s="72">
        <v>10374591</v>
      </c>
      <c r="U58" s="72">
        <v>4574528</v>
      </c>
      <c r="V58" s="72">
        <v>2643253</v>
      </c>
      <c r="W58" s="72">
        <v>1245420</v>
      </c>
      <c r="X58" s="72">
        <v>200000</v>
      </c>
      <c r="Y58" s="72">
        <v>0</v>
      </c>
      <c r="Z58" s="72">
        <v>0</v>
      </c>
      <c r="AA58" s="72">
        <v>0</v>
      </c>
      <c r="AB58" s="72">
        <v>0</v>
      </c>
      <c r="AC58" s="72">
        <v>0</v>
      </c>
      <c r="AD58" s="72">
        <v>0</v>
      </c>
      <c r="AE58" s="72">
        <v>0</v>
      </c>
      <c r="AF58" s="72">
        <v>0</v>
      </c>
      <c r="AG58" s="72">
        <v>182439</v>
      </c>
      <c r="AH58" s="72">
        <v>19220231</v>
      </c>
      <c r="AI58" s="72">
        <v>0</v>
      </c>
      <c r="AJ58" s="72">
        <v>0</v>
      </c>
      <c r="AK58" s="72">
        <v>0</v>
      </c>
      <c r="AL58" s="72">
        <v>0</v>
      </c>
      <c r="AM58" s="72">
        <v>19220231</v>
      </c>
      <c r="AN58" s="72">
        <v>-100275</v>
      </c>
      <c r="AO58" s="72">
        <v>1799578</v>
      </c>
      <c r="AP58" s="72">
        <v>1699303</v>
      </c>
      <c r="AQ58" s="72">
        <v>0</v>
      </c>
      <c r="AR58" s="72">
        <v>0</v>
      </c>
      <c r="AS58" s="72">
        <v>0</v>
      </c>
      <c r="AT58" s="72">
        <v>0</v>
      </c>
      <c r="AU58" s="72">
        <v>0</v>
      </c>
      <c r="AV58" s="72">
        <v>0</v>
      </c>
      <c r="AW58" s="72">
        <v>0</v>
      </c>
      <c r="AX58" s="72">
        <v>0</v>
      </c>
      <c r="AY58" s="72">
        <v>0</v>
      </c>
      <c r="AZ58" s="72">
        <v>0</v>
      </c>
      <c r="BA58" s="72">
        <v>1699303</v>
      </c>
      <c r="BB58" s="72">
        <v>0</v>
      </c>
      <c r="BC58" s="72">
        <v>0</v>
      </c>
      <c r="BD58" s="72">
        <v>0</v>
      </c>
      <c r="BF58" s="72">
        <v>0</v>
      </c>
      <c r="BG58" s="72">
        <v>0</v>
      </c>
      <c r="BH58" s="72">
        <v>0</v>
      </c>
      <c r="BI58" s="72">
        <v>0</v>
      </c>
      <c r="BJ58" s="72">
        <v>1699303</v>
      </c>
      <c r="BK58" s="72">
        <v>178</v>
      </c>
      <c r="BL58" s="72">
        <v>1872</v>
      </c>
      <c r="BM58" s="72">
        <v>0</v>
      </c>
      <c r="BN58" s="72">
        <v>0</v>
      </c>
      <c r="BO58" s="72">
        <v>0</v>
      </c>
      <c r="BP58" s="72">
        <v>0</v>
      </c>
      <c r="BQ58" s="72">
        <v>0</v>
      </c>
      <c r="BR58" s="72">
        <v>0</v>
      </c>
      <c r="BS58" s="72">
        <v>19220231</v>
      </c>
    </row>
    <row r="59" spans="1:71" x14ac:dyDescent="0.2">
      <c r="A59" t="s">
        <v>333</v>
      </c>
      <c r="B59" t="s">
        <v>1047</v>
      </c>
      <c r="C59" t="s">
        <v>23</v>
      </c>
      <c r="D59" s="72">
        <v>13890515</v>
      </c>
      <c r="E59" s="72">
        <v>578530</v>
      </c>
      <c r="F59" s="72">
        <v>0</v>
      </c>
      <c r="G59" s="72">
        <v>17999418</v>
      </c>
      <c r="H59" s="72">
        <v>41965</v>
      </c>
      <c r="I59" s="72">
        <v>0</v>
      </c>
      <c r="J59" s="72">
        <v>2801067</v>
      </c>
      <c r="K59" s="72">
        <v>962166</v>
      </c>
      <c r="L59" s="72">
        <v>36273661</v>
      </c>
      <c r="M59" s="72">
        <v>0</v>
      </c>
      <c r="N59" s="72">
        <v>0</v>
      </c>
      <c r="O59" s="72">
        <v>0</v>
      </c>
      <c r="P59" s="72">
        <v>429300</v>
      </c>
      <c r="Q59" s="72">
        <v>0</v>
      </c>
      <c r="R59" s="72">
        <v>429300</v>
      </c>
      <c r="S59" s="72">
        <v>36702961</v>
      </c>
      <c r="T59" s="72">
        <v>21143515</v>
      </c>
      <c r="U59" s="72">
        <v>7473015</v>
      </c>
      <c r="V59" s="72">
        <v>6104646</v>
      </c>
      <c r="W59" s="72">
        <v>834423</v>
      </c>
      <c r="X59" s="72">
        <v>110271</v>
      </c>
      <c r="Y59" s="72">
        <v>0</v>
      </c>
      <c r="Z59" s="72">
        <v>0</v>
      </c>
      <c r="AA59" s="72">
        <v>0</v>
      </c>
      <c r="AB59" s="72">
        <v>0</v>
      </c>
      <c r="AC59" s="72">
        <v>0</v>
      </c>
      <c r="AD59" s="72">
        <v>0</v>
      </c>
      <c r="AE59" s="72">
        <v>282820</v>
      </c>
      <c r="AF59" s="72">
        <v>0</v>
      </c>
      <c r="AG59" s="72">
        <v>577867</v>
      </c>
      <c r="AH59" s="72">
        <v>36526557</v>
      </c>
      <c r="AI59" s="72">
        <v>250000</v>
      </c>
      <c r="AJ59" s="72">
        <v>300000</v>
      </c>
      <c r="AK59" s="72">
        <v>0</v>
      </c>
      <c r="AL59" s="72">
        <v>550000</v>
      </c>
      <c r="AM59" s="72">
        <v>37076557</v>
      </c>
      <c r="AN59" s="72">
        <v>-373596</v>
      </c>
      <c r="AO59" s="72">
        <v>867082</v>
      </c>
      <c r="AP59" s="72">
        <v>493486</v>
      </c>
      <c r="AQ59" s="72">
        <v>0</v>
      </c>
      <c r="AR59" s="72">
        <v>0</v>
      </c>
      <c r="AS59" s="72">
        <v>0</v>
      </c>
      <c r="AT59" s="72">
        <v>0</v>
      </c>
      <c r="AU59" s="72">
        <v>0</v>
      </c>
      <c r="AV59" s="72">
        <v>0</v>
      </c>
      <c r="AW59" s="72">
        <v>0</v>
      </c>
      <c r="AX59" s="72">
        <v>0</v>
      </c>
      <c r="AY59" s="72">
        <v>0</v>
      </c>
      <c r="AZ59" s="72">
        <v>0</v>
      </c>
      <c r="BA59" s="72">
        <v>493486</v>
      </c>
      <c r="BB59" s="72">
        <v>0</v>
      </c>
      <c r="BC59" s="72">
        <v>0</v>
      </c>
      <c r="BD59" s="72">
        <v>0</v>
      </c>
      <c r="BE59" s="72">
        <v>493486</v>
      </c>
      <c r="BF59" s="72">
        <v>0</v>
      </c>
      <c r="BG59" s="72">
        <v>0</v>
      </c>
      <c r="BH59" s="72">
        <v>0</v>
      </c>
      <c r="BI59" s="72">
        <v>0</v>
      </c>
      <c r="BJ59" s="72">
        <v>493486</v>
      </c>
      <c r="BM59" s="72">
        <v>0</v>
      </c>
      <c r="BN59" s="72">
        <v>0</v>
      </c>
      <c r="BO59" s="72">
        <v>0</v>
      </c>
      <c r="BP59" s="72">
        <v>0</v>
      </c>
      <c r="BQ59" s="72">
        <v>0</v>
      </c>
      <c r="BR59" s="72">
        <v>0</v>
      </c>
      <c r="BS59" s="72">
        <v>37076557</v>
      </c>
    </row>
    <row r="60" spans="1:71" x14ac:dyDescent="0.2">
      <c r="A60" t="s">
        <v>334</v>
      </c>
      <c r="B60" t="s">
        <v>1048</v>
      </c>
      <c r="C60" t="s">
        <v>73</v>
      </c>
      <c r="D60" s="72">
        <v>6532595</v>
      </c>
      <c r="E60" s="72">
        <v>192</v>
      </c>
      <c r="F60" s="72">
        <v>0</v>
      </c>
      <c r="G60" s="72">
        <v>11571577</v>
      </c>
      <c r="H60" s="72">
        <v>50649</v>
      </c>
      <c r="I60" s="72">
        <v>0</v>
      </c>
      <c r="J60" s="72">
        <v>891699</v>
      </c>
      <c r="K60" s="72">
        <v>1804709</v>
      </c>
      <c r="L60" s="72">
        <v>20851421</v>
      </c>
      <c r="M60" s="72">
        <v>0</v>
      </c>
      <c r="N60" s="72">
        <v>0</v>
      </c>
      <c r="O60" s="72">
        <v>0</v>
      </c>
      <c r="P60" s="72">
        <v>0</v>
      </c>
      <c r="Q60" s="72">
        <v>224039</v>
      </c>
      <c r="R60" s="72">
        <v>224039</v>
      </c>
      <c r="S60" s="72">
        <v>21075460</v>
      </c>
      <c r="T60" s="72">
        <v>11078963</v>
      </c>
      <c r="U60" s="72">
        <v>4871832</v>
      </c>
      <c r="V60" s="72">
        <v>3463120</v>
      </c>
      <c r="W60" s="72">
        <v>750000</v>
      </c>
      <c r="X60" s="72">
        <v>175000</v>
      </c>
      <c r="Y60" s="72">
        <v>0</v>
      </c>
      <c r="Z60" s="72">
        <v>0</v>
      </c>
      <c r="AA60" s="72">
        <v>0</v>
      </c>
      <c r="AB60" s="72">
        <v>0</v>
      </c>
      <c r="AC60" s="72">
        <v>0</v>
      </c>
      <c r="AD60" s="72">
        <v>0</v>
      </c>
      <c r="AE60" s="72">
        <v>0</v>
      </c>
      <c r="AF60" s="72">
        <v>0</v>
      </c>
      <c r="AG60" s="72">
        <v>268248</v>
      </c>
      <c r="AH60" s="72">
        <v>20607163</v>
      </c>
      <c r="AI60" s="72">
        <v>78000</v>
      </c>
      <c r="AJ60" s="72">
        <v>0</v>
      </c>
      <c r="AK60" s="72">
        <v>0</v>
      </c>
      <c r="AL60" s="72">
        <v>78000</v>
      </c>
      <c r="AM60" s="72">
        <v>20685163</v>
      </c>
      <c r="AN60" s="72">
        <v>390297</v>
      </c>
      <c r="AO60" s="72">
        <v>2811838</v>
      </c>
      <c r="AP60" s="72">
        <v>3202135</v>
      </c>
      <c r="AQ60" s="72">
        <v>150000</v>
      </c>
      <c r="AR60" s="72">
        <v>0</v>
      </c>
      <c r="AS60" s="72">
        <v>0</v>
      </c>
      <c r="AT60" s="72">
        <v>358077</v>
      </c>
      <c r="AU60" s="72">
        <v>0</v>
      </c>
      <c r="AV60" s="72">
        <v>0</v>
      </c>
      <c r="AW60" s="72">
        <v>0</v>
      </c>
      <c r="AX60" s="72">
        <v>0</v>
      </c>
      <c r="AY60" s="72">
        <v>0</v>
      </c>
      <c r="AZ60" s="72">
        <v>358077</v>
      </c>
      <c r="BA60" s="72">
        <v>2694058</v>
      </c>
      <c r="BB60" s="72">
        <v>0</v>
      </c>
      <c r="BC60" s="72">
        <v>0</v>
      </c>
      <c r="BD60" s="72">
        <v>0</v>
      </c>
      <c r="BE60" s="72">
        <v>2694058</v>
      </c>
      <c r="BF60" s="72">
        <v>0</v>
      </c>
      <c r="BG60" s="72">
        <v>0</v>
      </c>
      <c r="BH60" s="72">
        <v>0</v>
      </c>
      <c r="BI60" s="72">
        <v>0</v>
      </c>
      <c r="BJ60" s="72">
        <v>2694058</v>
      </c>
      <c r="BK60" s="72">
        <v>164</v>
      </c>
      <c r="BL60" s="72">
        <v>2384</v>
      </c>
      <c r="BM60" s="72">
        <v>0</v>
      </c>
      <c r="BN60" s="72">
        <v>0</v>
      </c>
      <c r="BO60" s="72">
        <v>0</v>
      </c>
      <c r="BP60" s="72">
        <v>0</v>
      </c>
      <c r="BQ60" s="72">
        <v>0</v>
      </c>
      <c r="BR60" s="72">
        <v>0</v>
      </c>
      <c r="BS60" s="72">
        <v>21075460</v>
      </c>
    </row>
    <row r="61" spans="1:71" x14ac:dyDescent="0.2">
      <c r="A61" t="s">
        <v>338</v>
      </c>
      <c r="B61" t="s">
        <v>1052</v>
      </c>
      <c r="C61" t="s">
        <v>32</v>
      </c>
      <c r="D61" s="72">
        <v>3220000</v>
      </c>
      <c r="E61" s="72">
        <v>419517</v>
      </c>
      <c r="F61" s="72">
        <v>0</v>
      </c>
      <c r="G61" s="72">
        <v>8200000</v>
      </c>
      <c r="H61" s="72">
        <v>79408</v>
      </c>
      <c r="I61" s="72">
        <v>0</v>
      </c>
      <c r="J61" s="72">
        <v>631775</v>
      </c>
      <c r="K61" s="72">
        <v>1233054</v>
      </c>
      <c r="L61" s="72">
        <v>13783754</v>
      </c>
      <c r="M61" s="72">
        <v>0</v>
      </c>
      <c r="N61" s="72">
        <v>0</v>
      </c>
      <c r="O61" s="72">
        <v>0</v>
      </c>
      <c r="P61" s="72">
        <v>0</v>
      </c>
      <c r="Q61" s="72">
        <v>80000</v>
      </c>
      <c r="R61" s="72">
        <v>80000</v>
      </c>
      <c r="S61" s="72">
        <v>13863754</v>
      </c>
      <c r="T61" s="72">
        <v>8480000</v>
      </c>
      <c r="U61" s="72">
        <v>3250000</v>
      </c>
      <c r="V61" s="72">
        <v>1850000</v>
      </c>
      <c r="W61" s="72">
        <v>500000</v>
      </c>
      <c r="X61" s="72">
        <v>100000</v>
      </c>
      <c r="Y61" s="72">
        <v>0</v>
      </c>
      <c r="Z61" s="72">
        <v>0</v>
      </c>
      <c r="AA61" s="72">
        <v>0</v>
      </c>
      <c r="AB61" s="72">
        <v>0</v>
      </c>
      <c r="AC61" s="72">
        <v>0</v>
      </c>
      <c r="AD61" s="72">
        <v>0</v>
      </c>
      <c r="AE61" s="72">
        <v>0</v>
      </c>
      <c r="AF61" s="72">
        <v>0</v>
      </c>
      <c r="AG61" s="72">
        <v>600000</v>
      </c>
      <c r="AH61" s="72">
        <v>14780000</v>
      </c>
      <c r="AI61" s="72">
        <v>0</v>
      </c>
      <c r="AJ61" s="72">
        <v>0</v>
      </c>
      <c r="AK61" s="72">
        <v>0</v>
      </c>
      <c r="AL61" s="72">
        <v>0</v>
      </c>
      <c r="AM61" s="72">
        <v>14780000</v>
      </c>
      <c r="AN61" s="72">
        <v>-916246</v>
      </c>
      <c r="AO61" s="72">
        <v>5863737</v>
      </c>
      <c r="AP61" s="72">
        <v>4947491</v>
      </c>
      <c r="AQ61" s="72">
        <v>0</v>
      </c>
      <c r="AR61" s="72">
        <v>0</v>
      </c>
      <c r="AS61" s="72">
        <v>0</v>
      </c>
      <c r="AT61" s="72">
        <v>95565</v>
      </c>
      <c r="AU61" s="72">
        <v>0</v>
      </c>
      <c r="AV61" s="72">
        <v>0</v>
      </c>
      <c r="AW61" s="72">
        <v>0</v>
      </c>
      <c r="AX61" s="72">
        <v>0</v>
      </c>
      <c r="AY61" s="72">
        <v>0</v>
      </c>
      <c r="AZ61" s="72">
        <v>95565</v>
      </c>
      <c r="BA61" s="72">
        <v>4851926</v>
      </c>
      <c r="BB61" s="72">
        <v>0</v>
      </c>
      <c r="BC61" s="72">
        <v>0</v>
      </c>
      <c r="BD61" s="72">
        <v>0</v>
      </c>
      <c r="BE61" s="72">
        <v>4851926</v>
      </c>
      <c r="BF61" s="72">
        <v>0</v>
      </c>
      <c r="BG61" s="72">
        <v>0</v>
      </c>
      <c r="BH61" s="72">
        <v>0</v>
      </c>
      <c r="BI61" s="72">
        <v>0</v>
      </c>
      <c r="BJ61" s="72">
        <v>4851926</v>
      </c>
      <c r="BK61" s="72">
        <v>124</v>
      </c>
      <c r="BL61" s="72">
        <v>1625</v>
      </c>
      <c r="BM61" s="72">
        <v>0</v>
      </c>
      <c r="BN61" s="72">
        <v>0</v>
      </c>
      <c r="BO61" s="72">
        <v>0</v>
      </c>
      <c r="BP61" s="72">
        <v>0</v>
      </c>
      <c r="BQ61" s="72">
        <v>0</v>
      </c>
      <c r="BR61" s="72">
        <v>0</v>
      </c>
      <c r="BS61" s="72">
        <v>14780000</v>
      </c>
    </row>
    <row r="62" spans="1:71" x14ac:dyDescent="0.2">
      <c r="A62" t="s">
        <v>342</v>
      </c>
      <c r="B62" t="s">
        <v>1056</v>
      </c>
      <c r="C62" t="s">
        <v>35</v>
      </c>
      <c r="D62" s="72">
        <v>8967530</v>
      </c>
      <c r="E62" s="72">
        <v>0</v>
      </c>
      <c r="F62" s="72">
        <v>0</v>
      </c>
      <c r="G62" s="72">
        <v>1505153</v>
      </c>
      <c r="H62" s="72">
        <v>0</v>
      </c>
      <c r="I62" s="72">
        <v>0</v>
      </c>
      <c r="J62" s="72">
        <v>2074122</v>
      </c>
      <c r="K62" s="72">
        <v>874171</v>
      </c>
      <c r="L62" s="72">
        <v>13420976</v>
      </c>
      <c r="M62" s="72">
        <v>0</v>
      </c>
      <c r="N62" s="72">
        <v>0</v>
      </c>
      <c r="O62" s="72">
        <v>0</v>
      </c>
      <c r="P62" s="72">
        <v>0</v>
      </c>
      <c r="Q62" s="72">
        <v>0</v>
      </c>
      <c r="R62" s="72">
        <v>0</v>
      </c>
      <c r="S62" s="72">
        <v>13420976</v>
      </c>
      <c r="T62" s="72">
        <v>10119520</v>
      </c>
      <c r="U62" s="72">
        <v>3319727</v>
      </c>
      <c r="V62" s="72">
        <v>2211094</v>
      </c>
      <c r="W62" s="72">
        <v>292534</v>
      </c>
      <c r="X62" s="72">
        <v>65865</v>
      </c>
      <c r="Y62" s="72">
        <v>0</v>
      </c>
      <c r="Z62" s="72">
        <v>0</v>
      </c>
      <c r="AA62" s="72">
        <v>0</v>
      </c>
      <c r="AB62" s="72">
        <v>0</v>
      </c>
      <c r="AC62" s="72">
        <v>0</v>
      </c>
      <c r="AD62" s="72">
        <v>0</v>
      </c>
      <c r="AE62" s="72">
        <v>0</v>
      </c>
      <c r="AF62" s="72">
        <v>0</v>
      </c>
      <c r="AG62" s="72">
        <v>273308</v>
      </c>
      <c r="AH62" s="72">
        <v>16282048</v>
      </c>
      <c r="AI62" s="72">
        <v>92603</v>
      </c>
      <c r="AJ62" s="72">
        <v>0</v>
      </c>
      <c r="AK62" s="72">
        <v>53600</v>
      </c>
      <c r="AL62" s="72">
        <v>146203</v>
      </c>
      <c r="AM62" s="72">
        <v>16428251</v>
      </c>
      <c r="AN62" s="72">
        <v>-3007275</v>
      </c>
      <c r="AO62" s="72">
        <v>7227336</v>
      </c>
      <c r="AP62" s="72">
        <v>4220061</v>
      </c>
      <c r="AQ62" s="72">
        <v>391095</v>
      </c>
      <c r="AR62" s="72">
        <v>0</v>
      </c>
      <c r="AS62" s="72">
        <v>0</v>
      </c>
      <c r="AT62" s="72">
        <v>750000</v>
      </c>
      <c r="AU62" s="72">
        <v>0</v>
      </c>
      <c r="AV62" s="72">
        <v>0</v>
      </c>
      <c r="AW62" s="72">
        <v>0</v>
      </c>
      <c r="AX62" s="72">
        <v>0</v>
      </c>
      <c r="AY62" s="72">
        <v>0</v>
      </c>
      <c r="AZ62" s="72">
        <v>750000</v>
      </c>
      <c r="BA62" s="72">
        <v>3078966</v>
      </c>
      <c r="BB62" s="72">
        <v>0</v>
      </c>
      <c r="BC62" s="72">
        <v>0</v>
      </c>
      <c r="BD62" s="72">
        <v>0</v>
      </c>
      <c r="BE62" s="72">
        <v>3078966</v>
      </c>
      <c r="BF62" s="72">
        <v>0</v>
      </c>
      <c r="BG62" s="72">
        <v>0</v>
      </c>
      <c r="BH62" s="72">
        <v>0</v>
      </c>
      <c r="BI62" s="72">
        <v>0</v>
      </c>
      <c r="BJ62" s="72">
        <v>3078966</v>
      </c>
      <c r="BK62" s="72">
        <v>64</v>
      </c>
      <c r="BL62" s="72">
        <v>1017</v>
      </c>
      <c r="BM62" s="72">
        <v>0</v>
      </c>
      <c r="BN62" s="72">
        <v>0</v>
      </c>
      <c r="BO62" s="72">
        <v>0</v>
      </c>
      <c r="BP62" s="72">
        <v>0</v>
      </c>
      <c r="BQ62" s="72">
        <v>0</v>
      </c>
      <c r="BR62" s="72">
        <v>0</v>
      </c>
      <c r="BS62" s="72">
        <v>16428251</v>
      </c>
    </row>
    <row r="63" spans="1:71" x14ac:dyDescent="0.2">
      <c r="A63" t="s">
        <v>762</v>
      </c>
      <c r="B63" t="s">
        <v>1450</v>
      </c>
      <c r="C63" t="s">
        <v>67</v>
      </c>
      <c r="D63" s="72">
        <v>22210000</v>
      </c>
      <c r="E63" s="72">
        <v>0</v>
      </c>
      <c r="F63" s="72">
        <v>0</v>
      </c>
      <c r="G63" s="72">
        <v>15140000</v>
      </c>
      <c r="H63" s="72">
        <v>68000</v>
      </c>
      <c r="I63" s="72">
        <v>0</v>
      </c>
      <c r="J63" s="72">
        <v>3500900</v>
      </c>
      <c r="K63" s="72">
        <v>2898600</v>
      </c>
      <c r="L63" s="72">
        <v>43817500</v>
      </c>
      <c r="M63" s="72">
        <v>0</v>
      </c>
      <c r="N63" s="72">
        <v>0</v>
      </c>
      <c r="O63" s="72">
        <v>0</v>
      </c>
      <c r="P63" s="72">
        <v>0</v>
      </c>
      <c r="Q63" s="72">
        <v>108500</v>
      </c>
      <c r="R63" s="72">
        <v>108500</v>
      </c>
      <c r="S63" s="72">
        <v>43926000</v>
      </c>
      <c r="T63" s="72">
        <v>22000000</v>
      </c>
      <c r="U63" s="72">
        <v>9388500</v>
      </c>
      <c r="V63" s="72">
        <v>8147000</v>
      </c>
      <c r="W63" s="72">
        <v>1572600</v>
      </c>
      <c r="X63" s="72">
        <v>1036000</v>
      </c>
      <c r="Y63" s="72">
        <v>0</v>
      </c>
      <c r="Z63" s="72">
        <v>0</v>
      </c>
      <c r="AA63" s="72">
        <v>0</v>
      </c>
      <c r="AB63" s="72">
        <v>0</v>
      </c>
      <c r="AC63" s="72">
        <v>0</v>
      </c>
      <c r="AD63" s="72">
        <v>0</v>
      </c>
      <c r="AE63" s="72">
        <v>0</v>
      </c>
      <c r="AF63" s="72">
        <v>0</v>
      </c>
      <c r="AG63" s="72">
        <v>765900</v>
      </c>
      <c r="AH63" s="72">
        <v>42910000</v>
      </c>
      <c r="AI63" s="72">
        <v>0</v>
      </c>
      <c r="AJ63" s="72">
        <v>0</v>
      </c>
      <c r="AK63" s="72">
        <v>0</v>
      </c>
      <c r="AL63" s="72">
        <v>0</v>
      </c>
      <c r="AM63" s="72">
        <v>42910000</v>
      </c>
      <c r="AN63" s="72">
        <v>1016000</v>
      </c>
      <c r="AO63" s="72">
        <v>10345990</v>
      </c>
      <c r="AP63" s="72">
        <v>11361990</v>
      </c>
      <c r="AQ63" s="72">
        <v>100000</v>
      </c>
      <c r="AR63" s="72">
        <v>0</v>
      </c>
      <c r="AS63" s="72">
        <v>0</v>
      </c>
      <c r="AT63" s="72">
        <v>0</v>
      </c>
      <c r="AU63" s="72">
        <v>0</v>
      </c>
      <c r="AW63" s="72">
        <v>0</v>
      </c>
      <c r="AX63" s="72">
        <v>0</v>
      </c>
      <c r="AY63" s="72">
        <v>0</v>
      </c>
      <c r="AZ63" s="72">
        <v>0</v>
      </c>
      <c r="BA63" s="72">
        <v>11261990</v>
      </c>
      <c r="BB63" s="72">
        <v>0</v>
      </c>
      <c r="BC63" s="72">
        <v>0</v>
      </c>
      <c r="BD63" s="72">
        <v>0</v>
      </c>
      <c r="BE63" s="72">
        <v>11261990</v>
      </c>
      <c r="BF63" s="72">
        <v>0</v>
      </c>
      <c r="BG63" s="72">
        <v>0</v>
      </c>
      <c r="BH63" s="72">
        <v>0</v>
      </c>
      <c r="BI63" s="72">
        <v>0</v>
      </c>
      <c r="BJ63" s="72">
        <v>11261990</v>
      </c>
      <c r="BK63" s="72">
        <v>290</v>
      </c>
      <c r="BL63" s="72">
        <v>3280</v>
      </c>
      <c r="BM63" s="72">
        <v>0</v>
      </c>
      <c r="BN63" s="72">
        <v>0</v>
      </c>
      <c r="BO63" s="72">
        <v>0</v>
      </c>
      <c r="BP63" s="72">
        <v>0</v>
      </c>
      <c r="BQ63" s="72">
        <v>0</v>
      </c>
      <c r="BR63" s="72">
        <v>0</v>
      </c>
      <c r="BS63" s="72">
        <v>43926000</v>
      </c>
    </row>
    <row r="64" spans="1:71" x14ac:dyDescent="0.2">
      <c r="A64" t="s">
        <v>352</v>
      </c>
      <c r="B64" t="s">
        <v>1064</v>
      </c>
      <c r="C64" t="s">
        <v>47</v>
      </c>
      <c r="D64" s="72">
        <v>8812654</v>
      </c>
      <c r="E64" s="72">
        <v>602445</v>
      </c>
      <c r="F64" s="72">
        <v>1970598</v>
      </c>
      <c r="G64" s="72">
        <v>11591801</v>
      </c>
      <c r="H64" s="72">
        <v>277515</v>
      </c>
      <c r="I64" s="72">
        <v>0</v>
      </c>
      <c r="J64" s="72">
        <v>1849330</v>
      </c>
      <c r="K64" s="72">
        <v>749032</v>
      </c>
      <c r="L64" s="72">
        <v>25853375</v>
      </c>
      <c r="M64" s="72">
        <v>0</v>
      </c>
      <c r="N64" s="72">
        <v>0</v>
      </c>
      <c r="O64" s="72">
        <v>0</v>
      </c>
      <c r="P64" s="72">
        <v>600000</v>
      </c>
      <c r="Q64" s="72">
        <v>20000</v>
      </c>
      <c r="R64" s="72">
        <v>620000</v>
      </c>
      <c r="S64" s="72">
        <v>26473375</v>
      </c>
      <c r="T64" s="72">
        <v>13844370</v>
      </c>
      <c r="U64" s="72">
        <v>5553410</v>
      </c>
      <c r="V64" s="72">
        <v>4881150</v>
      </c>
      <c r="W64" s="72">
        <v>666992</v>
      </c>
      <c r="X64" s="72">
        <v>65752</v>
      </c>
      <c r="Y64" s="72">
        <v>0</v>
      </c>
      <c r="Z64" s="72">
        <v>0</v>
      </c>
      <c r="AA64" s="72">
        <v>0</v>
      </c>
      <c r="AB64" s="72">
        <v>0</v>
      </c>
      <c r="AC64" s="72">
        <v>0</v>
      </c>
      <c r="AD64" s="72">
        <v>0</v>
      </c>
      <c r="AE64" s="72">
        <v>0</v>
      </c>
      <c r="AF64" s="72">
        <v>0</v>
      </c>
      <c r="AG64" s="72">
        <v>493959</v>
      </c>
      <c r="AH64" s="72">
        <v>25505633</v>
      </c>
      <c r="AI64" s="72">
        <v>205000</v>
      </c>
      <c r="AJ64" s="72">
        <v>600000</v>
      </c>
      <c r="AK64" s="72">
        <v>500</v>
      </c>
      <c r="AL64" s="72">
        <v>805500</v>
      </c>
      <c r="AM64" s="72">
        <v>26311133</v>
      </c>
      <c r="AN64" s="72">
        <v>162242</v>
      </c>
      <c r="AO64" s="72">
        <v>6764438</v>
      </c>
      <c r="AP64" s="72">
        <v>6926680</v>
      </c>
      <c r="AQ64" s="72">
        <v>150000</v>
      </c>
      <c r="AR64" s="72">
        <v>0</v>
      </c>
      <c r="AS64" s="72">
        <v>0</v>
      </c>
      <c r="AT64" s="72">
        <v>0</v>
      </c>
      <c r="AU64" s="72">
        <v>0</v>
      </c>
      <c r="AV64" s="72">
        <v>0</v>
      </c>
      <c r="AW64" s="72">
        <v>0</v>
      </c>
      <c r="AX64" s="72">
        <v>0</v>
      </c>
      <c r="AY64" s="72">
        <v>0</v>
      </c>
      <c r="AZ64" s="72">
        <v>0</v>
      </c>
      <c r="BA64" s="72">
        <v>6776680</v>
      </c>
      <c r="BB64" s="72">
        <v>0</v>
      </c>
      <c r="BC64" s="72">
        <v>0</v>
      </c>
      <c r="BD64" s="72">
        <v>0</v>
      </c>
      <c r="BE64" s="72">
        <v>6776680</v>
      </c>
      <c r="BF64" s="72">
        <v>0</v>
      </c>
      <c r="BG64" s="72">
        <v>0</v>
      </c>
      <c r="BH64" s="72">
        <v>0</v>
      </c>
      <c r="BI64" s="72">
        <v>0</v>
      </c>
      <c r="BJ64" s="72">
        <v>6776680</v>
      </c>
      <c r="BK64" s="72">
        <v>207</v>
      </c>
      <c r="BL64" s="72">
        <v>2458</v>
      </c>
      <c r="BM64" s="72">
        <v>0</v>
      </c>
      <c r="BN64" s="72">
        <v>0</v>
      </c>
      <c r="BO64" s="72">
        <v>0</v>
      </c>
      <c r="BP64" s="72">
        <v>0</v>
      </c>
      <c r="BQ64" s="72">
        <v>0</v>
      </c>
      <c r="BR64" s="72">
        <v>0</v>
      </c>
      <c r="BS64" s="72">
        <v>26473375</v>
      </c>
    </row>
    <row r="65" spans="1:71" x14ac:dyDescent="0.2">
      <c r="A65" t="s">
        <v>354</v>
      </c>
      <c r="B65" t="s">
        <v>1066</v>
      </c>
      <c r="C65" t="s">
        <v>77</v>
      </c>
      <c r="D65" s="72">
        <v>17284049</v>
      </c>
      <c r="E65" s="72">
        <v>135000</v>
      </c>
      <c r="F65" s="72">
        <v>0</v>
      </c>
      <c r="H65" s="72">
        <v>764713</v>
      </c>
      <c r="I65" s="72">
        <v>0</v>
      </c>
      <c r="J65" s="72">
        <v>2476709</v>
      </c>
      <c r="K65" s="72">
        <v>2523082</v>
      </c>
      <c r="L65" s="72">
        <v>76433862</v>
      </c>
      <c r="M65" s="72">
        <v>0</v>
      </c>
      <c r="N65" s="72">
        <v>0</v>
      </c>
      <c r="O65" s="72">
        <v>0</v>
      </c>
      <c r="P65" s="72">
        <v>450000</v>
      </c>
      <c r="Q65" s="72">
        <v>0</v>
      </c>
      <c r="R65" s="72">
        <v>450000</v>
      </c>
      <c r="S65" s="72">
        <v>76883862</v>
      </c>
      <c r="T65" s="72">
        <v>47250000</v>
      </c>
      <c r="U65" s="72">
        <v>16825646</v>
      </c>
      <c r="V65" s="72">
        <v>9772340</v>
      </c>
      <c r="W65" s="72">
        <v>1925282</v>
      </c>
      <c r="X65" s="72">
        <v>250000</v>
      </c>
      <c r="Y65" s="72">
        <v>0</v>
      </c>
      <c r="Z65" s="72">
        <v>0</v>
      </c>
      <c r="AA65" s="72">
        <v>0</v>
      </c>
      <c r="AB65" s="72">
        <v>0</v>
      </c>
      <c r="AC65" s="72">
        <v>0</v>
      </c>
      <c r="AD65" s="72">
        <v>0</v>
      </c>
      <c r="AE65" s="72">
        <v>0</v>
      </c>
      <c r="AF65" s="72">
        <v>0</v>
      </c>
      <c r="AG65" s="72">
        <v>941454</v>
      </c>
      <c r="AH65" s="72">
        <v>76964721</v>
      </c>
      <c r="AI65" s="72">
        <v>200000</v>
      </c>
      <c r="AJ65" s="72">
        <v>400000</v>
      </c>
      <c r="AK65" s="72">
        <v>0</v>
      </c>
      <c r="AL65" s="72">
        <v>600000</v>
      </c>
      <c r="AM65" s="72">
        <v>77564721</v>
      </c>
      <c r="AO65" s="72">
        <v>8980276</v>
      </c>
      <c r="AP65" s="72">
        <v>8299417</v>
      </c>
      <c r="AQ65" s="72">
        <v>0</v>
      </c>
      <c r="AR65" s="72">
        <v>0</v>
      </c>
      <c r="AS65" s="72">
        <v>0</v>
      </c>
      <c r="AT65" s="72">
        <v>0</v>
      </c>
      <c r="AU65" s="72">
        <v>0</v>
      </c>
      <c r="AV65" s="72">
        <v>0</v>
      </c>
      <c r="AW65" s="72">
        <v>0</v>
      </c>
      <c r="AX65" s="72">
        <v>0</v>
      </c>
      <c r="AY65" s="72">
        <v>0</v>
      </c>
      <c r="AZ65" s="72">
        <v>0</v>
      </c>
      <c r="BA65" s="72">
        <v>8299417</v>
      </c>
      <c r="BB65" s="72">
        <v>0</v>
      </c>
      <c r="BC65" s="72">
        <v>0</v>
      </c>
      <c r="BD65" s="72">
        <v>0</v>
      </c>
      <c r="BE65" s="72">
        <v>8299417</v>
      </c>
      <c r="BF65" s="72">
        <v>0</v>
      </c>
      <c r="BG65" s="72">
        <v>0</v>
      </c>
      <c r="BH65" s="72">
        <v>0</v>
      </c>
      <c r="BI65" s="72">
        <v>0</v>
      </c>
      <c r="BJ65" s="72">
        <v>8299417</v>
      </c>
      <c r="BK65" s="72">
        <v>0</v>
      </c>
      <c r="BL65" s="72">
        <v>0</v>
      </c>
      <c r="BM65" s="72">
        <v>0</v>
      </c>
      <c r="BN65" s="72">
        <v>0</v>
      </c>
      <c r="BO65" s="72">
        <v>0</v>
      </c>
      <c r="BP65" s="72">
        <v>0</v>
      </c>
      <c r="BQ65" s="72">
        <v>0</v>
      </c>
      <c r="BR65" s="72">
        <v>0</v>
      </c>
      <c r="BS65" s="72">
        <v>77564721</v>
      </c>
    </row>
    <row r="66" spans="1:71" x14ac:dyDescent="0.2">
      <c r="A66" t="s">
        <v>359</v>
      </c>
      <c r="B66" t="s">
        <v>1071</v>
      </c>
      <c r="C66" t="s">
        <v>24</v>
      </c>
      <c r="D66" s="72">
        <v>6279872</v>
      </c>
      <c r="E66" s="72">
        <v>324377</v>
      </c>
      <c r="F66" s="72">
        <v>0</v>
      </c>
      <c r="G66" s="72">
        <v>4653802</v>
      </c>
      <c r="H66" s="72">
        <v>29222</v>
      </c>
      <c r="I66" s="72">
        <v>0</v>
      </c>
      <c r="J66" s="72">
        <v>1035320</v>
      </c>
      <c r="K66" s="72">
        <v>989071</v>
      </c>
      <c r="L66" s="72">
        <v>13311664</v>
      </c>
      <c r="M66" s="72">
        <v>0</v>
      </c>
      <c r="N66" s="72">
        <v>0</v>
      </c>
      <c r="O66" s="72">
        <v>0</v>
      </c>
      <c r="P66" s="72">
        <v>0</v>
      </c>
      <c r="Q66" s="72">
        <v>0</v>
      </c>
      <c r="R66" s="72">
        <v>0</v>
      </c>
      <c r="S66" s="72">
        <v>13311664</v>
      </c>
      <c r="T66" s="72">
        <v>7814582</v>
      </c>
      <c r="U66" s="72">
        <v>3156167</v>
      </c>
      <c r="V66" s="72">
        <v>2376809</v>
      </c>
      <c r="W66" s="72">
        <v>363181</v>
      </c>
      <c r="X66" s="72">
        <v>34022</v>
      </c>
      <c r="Y66" s="72">
        <v>0</v>
      </c>
      <c r="Z66" s="72">
        <v>0</v>
      </c>
      <c r="AA66" s="72">
        <v>0</v>
      </c>
      <c r="AB66" s="72">
        <v>0</v>
      </c>
      <c r="AC66" s="72">
        <v>0</v>
      </c>
      <c r="AD66" s="72">
        <v>0</v>
      </c>
      <c r="AE66" s="72">
        <v>0</v>
      </c>
      <c r="AF66" s="72">
        <v>0</v>
      </c>
      <c r="AG66" s="72">
        <v>851789</v>
      </c>
      <c r="AH66" s="72">
        <v>14596550</v>
      </c>
      <c r="AI66" s="72">
        <v>0</v>
      </c>
      <c r="AJ66" s="72">
        <v>0</v>
      </c>
      <c r="AK66" s="72">
        <v>0</v>
      </c>
      <c r="AL66" s="72">
        <v>0</v>
      </c>
      <c r="AM66" s="72">
        <v>14596550</v>
      </c>
      <c r="AN66" s="72">
        <v>-1284886</v>
      </c>
      <c r="AO66" s="72">
        <v>1362872</v>
      </c>
      <c r="AP66" s="72">
        <v>77986</v>
      </c>
      <c r="AQ66" s="72">
        <v>135000</v>
      </c>
      <c r="AR66" s="72">
        <v>0</v>
      </c>
      <c r="AS66" s="72">
        <v>0</v>
      </c>
      <c r="AT66" s="72">
        <v>77542</v>
      </c>
      <c r="AU66" s="72">
        <v>0</v>
      </c>
      <c r="AV66" s="72">
        <v>0</v>
      </c>
      <c r="AW66" s="72">
        <v>0</v>
      </c>
      <c r="AX66" s="72">
        <v>0</v>
      </c>
      <c r="AY66" s="72">
        <v>6628</v>
      </c>
      <c r="AZ66" s="72">
        <v>84170</v>
      </c>
      <c r="BA66" s="72">
        <v>-141184</v>
      </c>
      <c r="BB66" s="72">
        <v>0</v>
      </c>
      <c r="BC66" s="72">
        <v>0</v>
      </c>
      <c r="BD66" s="72">
        <v>0</v>
      </c>
      <c r="BE66" s="72">
        <v>-141184</v>
      </c>
      <c r="BF66" s="72">
        <v>0</v>
      </c>
      <c r="BG66" s="72">
        <v>978033</v>
      </c>
      <c r="BH66" s="72">
        <v>978033</v>
      </c>
      <c r="BI66" s="72">
        <v>0</v>
      </c>
      <c r="BJ66" s="72">
        <v>836849</v>
      </c>
      <c r="BM66" s="72">
        <v>0</v>
      </c>
      <c r="BN66" s="72">
        <v>0</v>
      </c>
      <c r="BO66" s="72">
        <v>0</v>
      </c>
      <c r="BP66" s="72">
        <v>0</v>
      </c>
      <c r="BQ66" s="72">
        <v>0</v>
      </c>
      <c r="BR66" s="72">
        <v>0</v>
      </c>
      <c r="BS66" s="72">
        <v>14596550</v>
      </c>
    </row>
    <row r="67" spans="1:71" x14ac:dyDescent="0.2">
      <c r="A67" t="s">
        <v>364</v>
      </c>
      <c r="B67" t="s">
        <v>1075</v>
      </c>
      <c r="C67" t="s">
        <v>40</v>
      </c>
      <c r="D67" s="72">
        <v>5157484</v>
      </c>
      <c r="E67" s="72">
        <v>0</v>
      </c>
      <c r="F67" s="72">
        <v>2326962</v>
      </c>
      <c r="G67" s="72">
        <v>13121979</v>
      </c>
      <c r="H67" s="72">
        <v>140621</v>
      </c>
      <c r="I67" s="72">
        <v>0</v>
      </c>
      <c r="J67" s="72">
        <v>734906</v>
      </c>
      <c r="K67" s="72">
        <v>1469002</v>
      </c>
      <c r="L67" s="72">
        <v>22950954</v>
      </c>
      <c r="M67" s="72">
        <v>0</v>
      </c>
      <c r="N67" s="72">
        <v>0</v>
      </c>
      <c r="O67" s="72">
        <v>60000</v>
      </c>
      <c r="P67" s="72">
        <v>10000</v>
      </c>
      <c r="Q67" s="72">
        <v>15000</v>
      </c>
      <c r="R67" s="72">
        <v>85000</v>
      </c>
      <c r="S67" s="72">
        <v>23035954</v>
      </c>
      <c r="T67" s="72">
        <v>12453857</v>
      </c>
      <c r="U67" s="72">
        <v>4588603</v>
      </c>
      <c r="V67" s="72">
        <v>3110226</v>
      </c>
      <c r="W67" s="72">
        <v>904150</v>
      </c>
      <c r="X67" s="72">
        <v>200000</v>
      </c>
      <c r="Y67" s="72">
        <v>0</v>
      </c>
      <c r="Z67" s="72">
        <v>0</v>
      </c>
      <c r="AA67" s="72">
        <v>0</v>
      </c>
      <c r="AB67" s="72">
        <v>0</v>
      </c>
      <c r="AC67" s="72">
        <v>0</v>
      </c>
      <c r="AD67" s="72">
        <v>0</v>
      </c>
      <c r="AE67" s="72">
        <v>0</v>
      </c>
      <c r="AF67" s="72">
        <v>55000</v>
      </c>
      <c r="AG67" s="72">
        <v>285800</v>
      </c>
      <c r="AH67" s="72">
        <v>21597636</v>
      </c>
      <c r="AI67" s="72">
        <v>525000</v>
      </c>
      <c r="AJ67" s="72">
        <v>10000</v>
      </c>
      <c r="AK67" s="72">
        <v>0</v>
      </c>
      <c r="AL67" s="72">
        <v>535000</v>
      </c>
      <c r="AM67" s="72">
        <v>22132636</v>
      </c>
      <c r="AN67" s="72">
        <v>903318</v>
      </c>
      <c r="AO67" s="72">
        <v>5155733</v>
      </c>
      <c r="AP67" s="72">
        <v>6059051</v>
      </c>
      <c r="AQ67" s="72">
        <v>150000</v>
      </c>
      <c r="AR67" s="72">
        <v>0</v>
      </c>
      <c r="AS67" s="72">
        <v>0</v>
      </c>
      <c r="AT67" s="72">
        <v>0</v>
      </c>
      <c r="AU67" s="72">
        <v>0</v>
      </c>
      <c r="AV67" s="72">
        <v>0</v>
      </c>
      <c r="AW67" s="72">
        <v>0</v>
      </c>
      <c r="AX67" s="72">
        <v>0</v>
      </c>
      <c r="AY67" s="72">
        <v>0</v>
      </c>
      <c r="AZ67" s="72">
        <v>0</v>
      </c>
      <c r="BA67" s="72">
        <v>5909051</v>
      </c>
      <c r="BB67" s="72">
        <v>0</v>
      </c>
      <c r="BC67" s="72">
        <v>0</v>
      </c>
      <c r="BD67" s="72">
        <v>0</v>
      </c>
      <c r="BE67" s="72">
        <v>5909051</v>
      </c>
      <c r="BF67" s="72">
        <v>0</v>
      </c>
      <c r="BG67" s="72">
        <v>0</v>
      </c>
      <c r="BH67" s="72">
        <v>0</v>
      </c>
      <c r="BI67" s="72">
        <v>0</v>
      </c>
      <c r="BJ67" s="72">
        <v>5909051</v>
      </c>
      <c r="BK67" s="72">
        <v>195</v>
      </c>
      <c r="BL67" s="72">
        <v>2548</v>
      </c>
      <c r="BM67" s="72">
        <v>0</v>
      </c>
      <c r="BN67" s="72">
        <v>0</v>
      </c>
      <c r="BO67" s="72">
        <v>0</v>
      </c>
      <c r="BP67" s="72">
        <v>0</v>
      </c>
      <c r="BQ67" s="72">
        <v>0</v>
      </c>
      <c r="BR67" s="72">
        <v>0</v>
      </c>
      <c r="BS67" s="72">
        <v>23035954</v>
      </c>
    </row>
    <row r="68" spans="1:71" x14ac:dyDescent="0.2">
      <c r="A68" t="s">
        <v>373</v>
      </c>
      <c r="B68" t="s">
        <v>1084</v>
      </c>
      <c r="C68" t="s">
        <v>63</v>
      </c>
      <c r="D68" s="72">
        <v>8703600</v>
      </c>
      <c r="E68" s="72">
        <v>0</v>
      </c>
      <c r="F68" s="72">
        <v>0</v>
      </c>
      <c r="G68" s="72">
        <v>2353671</v>
      </c>
      <c r="H68" s="72">
        <v>20000</v>
      </c>
      <c r="I68" s="72">
        <v>0</v>
      </c>
      <c r="J68" s="72">
        <v>2248852</v>
      </c>
      <c r="K68" s="72">
        <v>812064</v>
      </c>
      <c r="L68" s="72">
        <v>14138187</v>
      </c>
      <c r="M68" s="72">
        <v>0</v>
      </c>
      <c r="N68" s="72">
        <v>0</v>
      </c>
      <c r="O68" s="72">
        <v>440000</v>
      </c>
      <c r="P68" s="72">
        <v>0</v>
      </c>
      <c r="Q68" s="72">
        <v>0</v>
      </c>
      <c r="R68" s="72">
        <v>440000</v>
      </c>
      <c r="S68" s="72">
        <v>14578187</v>
      </c>
      <c r="T68" s="72">
        <v>8143496</v>
      </c>
      <c r="U68" s="72">
        <v>3501874</v>
      </c>
      <c r="V68" s="72">
        <v>2572730</v>
      </c>
      <c r="W68" s="72">
        <v>762280</v>
      </c>
      <c r="X68" s="72">
        <v>75000</v>
      </c>
      <c r="Y68" s="72">
        <v>0</v>
      </c>
      <c r="Z68" s="72">
        <v>0</v>
      </c>
      <c r="AA68" s="72">
        <v>0</v>
      </c>
      <c r="AB68" s="72">
        <v>0</v>
      </c>
      <c r="AC68" s="72">
        <v>0</v>
      </c>
      <c r="AD68" s="72">
        <v>95000</v>
      </c>
      <c r="AE68" s="72">
        <v>140161</v>
      </c>
      <c r="AF68" s="72">
        <v>75364</v>
      </c>
      <c r="AG68" s="72">
        <v>788387</v>
      </c>
      <c r="AH68" s="72">
        <v>16154292</v>
      </c>
      <c r="AI68" s="72">
        <v>0</v>
      </c>
      <c r="AJ68" s="72">
        <v>400000</v>
      </c>
      <c r="AK68" s="72">
        <v>0</v>
      </c>
      <c r="AL68" s="72">
        <v>400000</v>
      </c>
      <c r="AM68" s="72">
        <v>16554292</v>
      </c>
      <c r="AN68" s="72">
        <v>-1976105</v>
      </c>
      <c r="AO68" s="72">
        <v>5488926</v>
      </c>
      <c r="AP68" s="72">
        <v>3512821</v>
      </c>
      <c r="AQ68" s="72">
        <v>225000</v>
      </c>
      <c r="AR68" s="72">
        <v>0</v>
      </c>
      <c r="AS68" s="72">
        <v>0</v>
      </c>
      <c r="AT68" s="72">
        <v>0</v>
      </c>
      <c r="AU68" s="72">
        <v>0</v>
      </c>
      <c r="AV68" s="72">
        <v>0</v>
      </c>
      <c r="AW68" s="72">
        <v>0</v>
      </c>
      <c r="AX68" s="72">
        <v>0</v>
      </c>
      <c r="AY68" s="72">
        <v>0</v>
      </c>
      <c r="AZ68" s="72">
        <v>0</v>
      </c>
      <c r="BA68" s="72">
        <v>3287821</v>
      </c>
      <c r="BB68" s="72">
        <v>0</v>
      </c>
      <c r="BC68" s="72">
        <v>656400</v>
      </c>
      <c r="BD68" s="72">
        <v>656400</v>
      </c>
      <c r="BE68" s="72">
        <v>3944221</v>
      </c>
      <c r="BF68" s="72">
        <v>0</v>
      </c>
      <c r="BG68" s="72">
        <v>0</v>
      </c>
      <c r="BH68" s="72">
        <v>0</v>
      </c>
      <c r="BI68" s="72">
        <v>0</v>
      </c>
      <c r="BJ68" s="72">
        <v>3944221</v>
      </c>
      <c r="BK68" s="72">
        <v>84</v>
      </c>
      <c r="BL68" s="72">
        <v>1388</v>
      </c>
      <c r="BM68" s="72">
        <v>0</v>
      </c>
      <c r="BN68" s="72">
        <v>0</v>
      </c>
      <c r="BO68" s="72">
        <v>0</v>
      </c>
      <c r="BP68" s="72">
        <v>0</v>
      </c>
      <c r="BQ68" s="72">
        <v>0</v>
      </c>
      <c r="BR68" s="72">
        <v>0</v>
      </c>
      <c r="BS68" s="72">
        <v>16554292</v>
      </c>
    </row>
    <row r="69" spans="1:71" x14ac:dyDescent="0.2">
      <c r="A69" t="s">
        <v>379</v>
      </c>
      <c r="B69" t="s">
        <v>1090</v>
      </c>
      <c r="C69" t="s">
        <v>88</v>
      </c>
      <c r="D69" s="72">
        <v>2426435</v>
      </c>
      <c r="E69" s="72">
        <v>75720</v>
      </c>
      <c r="F69" s="72">
        <v>0</v>
      </c>
      <c r="G69" s="72">
        <v>8538905</v>
      </c>
      <c r="H69" s="72">
        <v>55728</v>
      </c>
      <c r="I69" s="72">
        <v>0</v>
      </c>
      <c r="J69" s="72">
        <v>434654</v>
      </c>
      <c r="K69" s="72">
        <v>1403622</v>
      </c>
      <c r="L69" s="72">
        <v>12935064</v>
      </c>
      <c r="M69" s="72">
        <v>0</v>
      </c>
      <c r="N69" s="72">
        <v>0</v>
      </c>
      <c r="O69" s="72">
        <v>0</v>
      </c>
      <c r="P69" s="72">
        <v>341313</v>
      </c>
      <c r="Q69" s="72">
        <v>0</v>
      </c>
      <c r="R69" s="72">
        <v>341313</v>
      </c>
      <c r="S69" s="72">
        <v>13276377</v>
      </c>
      <c r="T69" s="72">
        <v>6776036</v>
      </c>
      <c r="U69" s="72">
        <v>2850000</v>
      </c>
      <c r="V69" s="72">
        <v>2146606</v>
      </c>
      <c r="W69" s="72">
        <v>890950</v>
      </c>
      <c r="X69" s="72">
        <v>100000</v>
      </c>
      <c r="Y69" s="72">
        <v>0</v>
      </c>
      <c r="Z69" s="72">
        <v>0</v>
      </c>
      <c r="AA69" s="72">
        <v>0</v>
      </c>
      <c r="AB69" s="72">
        <v>0</v>
      </c>
      <c r="AC69" s="72">
        <v>0</v>
      </c>
      <c r="AD69" s="72">
        <v>0</v>
      </c>
      <c r="AE69" s="72">
        <v>0</v>
      </c>
      <c r="AF69" s="72">
        <v>0</v>
      </c>
      <c r="AG69" s="72">
        <v>387316</v>
      </c>
      <c r="AH69" s="72">
        <v>13150908</v>
      </c>
      <c r="AI69" s="72">
        <v>0</v>
      </c>
      <c r="AJ69" s="72">
        <v>75000</v>
      </c>
      <c r="AK69" s="72">
        <v>0</v>
      </c>
      <c r="AL69" s="72">
        <v>75000</v>
      </c>
      <c r="AM69" s="72">
        <v>13225908</v>
      </c>
      <c r="AN69" s="72">
        <v>50469</v>
      </c>
      <c r="AO69" s="72">
        <v>1998321</v>
      </c>
      <c r="AP69" s="72">
        <v>2048790</v>
      </c>
      <c r="AQ69" s="72">
        <v>95000</v>
      </c>
      <c r="AR69" s="72">
        <v>0</v>
      </c>
      <c r="AS69" s="72">
        <v>0</v>
      </c>
      <c r="AT69" s="72">
        <v>0</v>
      </c>
      <c r="AU69" s="72">
        <v>0</v>
      </c>
      <c r="AV69" s="72">
        <v>0</v>
      </c>
      <c r="AW69" s="72">
        <v>0</v>
      </c>
      <c r="AX69" s="72">
        <v>0</v>
      </c>
      <c r="AY69" s="72">
        <v>0</v>
      </c>
      <c r="AZ69" s="72">
        <v>0</v>
      </c>
      <c r="BA69" s="72">
        <v>1953790</v>
      </c>
      <c r="BB69" s="72">
        <v>0</v>
      </c>
      <c r="BC69" s="72">
        <v>0</v>
      </c>
      <c r="BD69" s="72">
        <v>0</v>
      </c>
      <c r="BE69" s="72">
        <v>1953790</v>
      </c>
      <c r="BF69" s="72">
        <v>0</v>
      </c>
      <c r="BG69" s="72">
        <v>0</v>
      </c>
      <c r="BH69" s="72">
        <v>0</v>
      </c>
      <c r="BI69" s="72">
        <v>0</v>
      </c>
      <c r="BJ69" s="72">
        <v>1953790</v>
      </c>
      <c r="BK69" s="72">
        <v>0</v>
      </c>
      <c r="BL69" s="72">
        <v>0</v>
      </c>
      <c r="BM69" s="72">
        <v>0</v>
      </c>
      <c r="BN69" s="72">
        <v>0</v>
      </c>
      <c r="BO69" s="72">
        <v>0</v>
      </c>
      <c r="BP69" s="72">
        <v>0</v>
      </c>
      <c r="BQ69" s="72">
        <v>0</v>
      </c>
      <c r="BR69" s="72">
        <v>0</v>
      </c>
      <c r="BS69" s="72">
        <v>13276377</v>
      </c>
    </row>
    <row r="70" spans="1:71" x14ac:dyDescent="0.2">
      <c r="A70" t="s">
        <v>381</v>
      </c>
      <c r="B70" t="s">
        <v>1092</v>
      </c>
      <c r="C70" t="s">
        <v>49</v>
      </c>
      <c r="D70" s="72">
        <v>4202697</v>
      </c>
      <c r="E70" s="72">
        <v>299408</v>
      </c>
      <c r="F70" s="72">
        <v>0</v>
      </c>
      <c r="G70" s="72">
        <v>14508243</v>
      </c>
      <c r="H70" s="72">
        <v>1309</v>
      </c>
      <c r="I70" s="72">
        <v>0</v>
      </c>
      <c r="J70" s="72">
        <v>631236</v>
      </c>
      <c r="K70" s="72">
        <v>1232086</v>
      </c>
      <c r="L70" s="72">
        <v>20874979</v>
      </c>
      <c r="M70" s="72">
        <v>0</v>
      </c>
      <c r="N70" s="72">
        <v>0</v>
      </c>
      <c r="O70" s="72">
        <v>0</v>
      </c>
      <c r="P70" s="72">
        <v>123360</v>
      </c>
      <c r="Q70" s="72">
        <v>0</v>
      </c>
      <c r="R70" s="72">
        <v>123360</v>
      </c>
      <c r="S70" s="72">
        <v>20998339</v>
      </c>
      <c r="T70" s="72">
        <v>11850027</v>
      </c>
      <c r="U70" s="72">
        <v>4484425</v>
      </c>
      <c r="V70" s="72">
        <v>2940867</v>
      </c>
      <c r="W70" s="72">
        <v>865250</v>
      </c>
      <c r="X70" s="72">
        <v>11545</v>
      </c>
      <c r="Y70" s="72">
        <v>0</v>
      </c>
      <c r="Z70" s="72">
        <v>0</v>
      </c>
      <c r="AA70" s="72">
        <v>0</v>
      </c>
      <c r="AB70" s="72">
        <v>0</v>
      </c>
      <c r="AC70" s="72">
        <v>0</v>
      </c>
      <c r="AD70" s="72">
        <v>0</v>
      </c>
      <c r="AE70" s="72">
        <v>0</v>
      </c>
      <c r="AF70" s="72">
        <v>0</v>
      </c>
      <c r="AG70" s="72">
        <v>165665</v>
      </c>
      <c r="AH70" s="72">
        <v>20317779</v>
      </c>
      <c r="AI70" s="72">
        <v>25000</v>
      </c>
      <c r="AJ70" s="72">
        <v>125000</v>
      </c>
      <c r="AK70" s="72">
        <v>0</v>
      </c>
      <c r="AL70" s="72">
        <v>150000</v>
      </c>
      <c r="AM70" s="72">
        <v>20467779</v>
      </c>
      <c r="AN70" s="72">
        <v>530560</v>
      </c>
      <c r="AO70" s="72">
        <v>6753447</v>
      </c>
      <c r="AP70" s="72">
        <v>7284007</v>
      </c>
      <c r="AQ70" s="72">
        <v>0</v>
      </c>
      <c r="AR70" s="72">
        <v>0</v>
      </c>
      <c r="AS70" s="72">
        <v>0</v>
      </c>
      <c r="AT70" s="72">
        <v>0</v>
      </c>
      <c r="AU70" s="72">
        <v>261129</v>
      </c>
      <c r="AV70" s="72">
        <v>0</v>
      </c>
      <c r="AW70" s="72">
        <v>0</v>
      </c>
      <c r="AX70" s="72">
        <v>0</v>
      </c>
      <c r="AY70" s="72">
        <v>0</v>
      </c>
      <c r="AZ70" s="72">
        <v>261129</v>
      </c>
      <c r="BA70" s="72">
        <v>7022878</v>
      </c>
      <c r="BB70" s="72">
        <v>0</v>
      </c>
      <c r="BC70" s="72">
        <v>0</v>
      </c>
      <c r="BD70" s="72">
        <v>0</v>
      </c>
      <c r="BE70" s="72">
        <v>7022878</v>
      </c>
      <c r="BF70" s="72">
        <v>0</v>
      </c>
      <c r="BG70" s="72">
        <v>0</v>
      </c>
      <c r="BH70" s="72">
        <v>0</v>
      </c>
      <c r="BI70" s="72">
        <v>0</v>
      </c>
      <c r="BJ70" s="72">
        <v>7022878</v>
      </c>
      <c r="BM70" s="72">
        <v>0</v>
      </c>
      <c r="BN70" s="72">
        <v>0</v>
      </c>
      <c r="BO70" s="72">
        <v>0</v>
      </c>
      <c r="BP70" s="72">
        <v>0</v>
      </c>
      <c r="BQ70" s="72">
        <v>0</v>
      </c>
      <c r="BR70" s="72">
        <v>0</v>
      </c>
      <c r="BS70" s="72">
        <v>20998339</v>
      </c>
    </row>
    <row r="71" spans="1:71" x14ac:dyDescent="0.2">
      <c r="A71" t="s">
        <v>396</v>
      </c>
      <c r="B71" t="s">
        <v>1107</v>
      </c>
      <c r="C71" t="s">
        <v>26</v>
      </c>
      <c r="D71" s="72">
        <v>21130216</v>
      </c>
      <c r="E71" s="72">
        <v>1055880</v>
      </c>
      <c r="F71" s="72">
        <v>0</v>
      </c>
      <c r="G71" s="72">
        <v>12922150</v>
      </c>
      <c r="H71" s="72">
        <v>356481</v>
      </c>
      <c r="I71" s="72">
        <v>0</v>
      </c>
      <c r="J71" s="72">
        <v>3632156</v>
      </c>
      <c r="K71" s="72">
        <v>3700496</v>
      </c>
      <c r="L71" s="72">
        <v>42797379</v>
      </c>
      <c r="M71" s="72">
        <v>0</v>
      </c>
      <c r="N71" s="72">
        <v>0</v>
      </c>
      <c r="O71" s="72">
        <v>0</v>
      </c>
      <c r="P71" s="72">
        <v>127896</v>
      </c>
      <c r="Q71" s="72">
        <v>229200</v>
      </c>
      <c r="R71" s="72">
        <v>357096</v>
      </c>
      <c r="S71" s="72">
        <v>43154475</v>
      </c>
      <c r="T71" s="72">
        <v>29296254</v>
      </c>
      <c r="U71" s="72">
        <v>11197026</v>
      </c>
      <c r="V71" s="72">
        <v>3147982</v>
      </c>
      <c r="W71" s="72">
        <v>887615</v>
      </c>
      <c r="X71" s="72">
        <v>281591</v>
      </c>
      <c r="Y71" s="72">
        <v>0</v>
      </c>
      <c r="Z71" s="72">
        <v>0</v>
      </c>
      <c r="AA71" s="72">
        <v>0</v>
      </c>
      <c r="AB71" s="72">
        <v>0</v>
      </c>
      <c r="AC71" s="72">
        <v>0</v>
      </c>
      <c r="AD71" s="72">
        <v>0</v>
      </c>
      <c r="AE71" s="72">
        <v>0</v>
      </c>
      <c r="AF71" s="72">
        <v>0</v>
      </c>
      <c r="AG71" s="72">
        <v>620759</v>
      </c>
      <c r="AH71" s="72">
        <v>45431227</v>
      </c>
      <c r="AI71" s="72">
        <v>605480</v>
      </c>
      <c r="AJ71" s="72">
        <v>128000</v>
      </c>
      <c r="AK71" s="72">
        <v>5000</v>
      </c>
      <c r="AL71" s="72">
        <v>738480</v>
      </c>
      <c r="AM71" s="72">
        <v>46169707</v>
      </c>
      <c r="AN71" s="72">
        <v>-3015233</v>
      </c>
      <c r="AO71" s="72">
        <v>13954148</v>
      </c>
      <c r="AP71" s="72">
        <v>10938915</v>
      </c>
      <c r="AQ71" s="72">
        <v>500000</v>
      </c>
      <c r="AR71" s="72">
        <v>0</v>
      </c>
      <c r="AS71" s="72">
        <v>0</v>
      </c>
      <c r="AT71" s="72">
        <v>0</v>
      </c>
      <c r="AU71" s="72">
        <v>0</v>
      </c>
      <c r="AV71" s="72">
        <v>0</v>
      </c>
      <c r="AW71" s="72">
        <v>0</v>
      </c>
      <c r="AX71" s="72">
        <v>0</v>
      </c>
      <c r="AY71" s="72">
        <v>0</v>
      </c>
      <c r="AZ71" s="72">
        <v>0</v>
      </c>
      <c r="BA71" s="72">
        <v>10438915</v>
      </c>
      <c r="BB71" s="72">
        <v>0</v>
      </c>
      <c r="BC71" s="72">
        <v>0</v>
      </c>
      <c r="BD71" s="72">
        <v>0</v>
      </c>
      <c r="BE71" s="72">
        <v>10438915</v>
      </c>
      <c r="BF71" s="72">
        <v>0</v>
      </c>
      <c r="BG71" s="72">
        <v>0</v>
      </c>
      <c r="BH71" s="72">
        <v>0</v>
      </c>
      <c r="BI71" s="72">
        <v>0</v>
      </c>
      <c r="BJ71" s="72">
        <v>10438915</v>
      </c>
      <c r="BK71" s="72">
        <v>0</v>
      </c>
      <c r="BL71" s="72">
        <v>0</v>
      </c>
      <c r="BM71" s="72">
        <v>0</v>
      </c>
      <c r="BN71" s="72">
        <v>0</v>
      </c>
      <c r="BO71" s="72">
        <v>0</v>
      </c>
      <c r="BP71" s="72">
        <v>0</v>
      </c>
      <c r="BQ71" s="72">
        <v>0</v>
      </c>
      <c r="BR71" s="72">
        <v>0</v>
      </c>
      <c r="BS71" s="72">
        <v>46169707</v>
      </c>
    </row>
    <row r="72" spans="1:71" x14ac:dyDescent="0.2">
      <c r="A72" t="s">
        <v>397</v>
      </c>
      <c r="B72" t="s">
        <v>1108</v>
      </c>
      <c r="C72" t="s">
        <v>71</v>
      </c>
      <c r="D72" s="72">
        <v>3750000</v>
      </c>
      <c r="E72" s="72">
        <v>0</v>
      </c>
      <c r="F72" s="72">
        <v>2750000</v>
      </c>
      <c r="G72" s="72">
        <v>8931817</v>
      </c>
      <c r="H72" s="72">
        <v>74851</v>
      </c>
      <c r="I72" s="72">
        <v>0</v>
      </c>
      <c r="J72" s="72">
        <v>1005030</v>
      </c>
      <c r="K72" s="72">
        <v>1275046</v>
      </c>
      <c r="L72" s="72">
        <v>17786744</v>
      </c>
      <c r="M72" s="72">
        <v>0</v>
      </c>
      <c r="N72" s="72">
        <v>0</v>
      </c>
      <c r="O72" s="72">
        <v>0</v>
      </c>
      <c r="P72" s="72">
        <v>0</v>
      </c>
      <c r="Q72" s="72">
        <v>120000</v>
      </c>
      <c r="R72" s="72">
        <v>120000</v>
      </c>
      <c r="S72" s="72">
        <v>17906744</v>
      </c>
      <c r="T72" s="72">
        <v>9638210</v>
      </c>
      <c r="U72" s="72">
        <v>3840348</v>
      </c>
      <c r="V72" s="72">
        <v>2483400</v>
      </c>
      <c r="W72" s="72">
        <v>503730</v>
      </c>
      <c r="X72" s="72">
        <v>1000000</v>
      </c>
      <c r="Y72" s="72">
        <v>0</v>
      </c>
      <c r="Z72" s="72">
        <v>0</v>
      </c>
      <c r="AA72" s="72">
        <v>0</v>
      </c>
      <c r="AB72" s="72">
        <v>0</v>
      </c>
      <c r="AC72" s="72">
        <v>0</v>
      </c>
      <c r="AD72" s="72">
        <v>0</v>
      </c>
      <c r="AE72" s="72">
        <v>0</v>
      </c>
      <c r="AF72" s="72">
        <v>0</v>
      </c>
      <c r="AG72" s="72">
        <v>869328</v>
      </c>
      <c r="AH72" s="72">
        <v>18335016</v>
      </c>
      <c r="AI72" s="72">
        <v>0</v>
      </c>
      <c r="AJ72" s="72">
        <v>0</v>
      </c>
      <c r="AK72" s="72">
        <v>0</v>
      </c>
      <c r="AL72" s="72">
        <v>0</v>
      </c>
      <c r="AM72" s="72">
        <v>18335016</v>
      </c>
      <c r="AN72" s="72">
        <v>-428272</v>
      </c>
      <c r="AO72" s="72">
        <v>4026455</v>
      </c>
      <c r="AP72" s="72">
        <v>3598183</v>
      </c>
      <c r="AQ72" s="72">
        <v>100000</v>
      </c>
      <c r="AR72" s="72">
        <v>0</v>
      </c>
      <c r="AS72" s="72">
        <v>0</v>
      </c>
      <c r="AT72" s="72">
        <v>0</v>
      </c>
      <c r="AU72" s="72">
        <v>0</v>
      </c>
      <c r="AV72" s="72">
        <v>0</v>
      </c>
      <c r="AW72" s="72">
        <v>0</v>
      </c>
      <c r="AX72" s="72">
        <v>0</v>
      </c>
      <c r="AY72" s="72">
        <v>0</v>
      </c>
      <c r="AZ72" s="72">
        <v>0</v>
      </c>
      <c r="BA72" s="72">
        <v>3498183</v>
      </c>
      <c r="BB72" s="72">
        <v>0</v>
      </c>
      <c r="BC72" s="72">
        <v>0</v>
      </c>
      <c r="BD72" s="72">
        <v>0</v>
      </c>
      <c r="BE72" s="72">
        <v>3498183</v>
      </c>
      <c r="BF72" s="72">
        <v>0</v>
      </c>
      <c r="BG72" s="72">
        <v>0</v>
      </c>
      <c r="BH72" s="72">
        <v>0</v>
      </c>
      <c r="BI72" s="72">
        <v>0</v>
      </c>
      <c r="BJ72" s="72">
        <v>3498183</v>
      </c>
      <c r="BM72" s="72">
        <v>0</v>
      </c>
      <c r="BN72" s="72">
        <v>0</v>
      </c>
      <c r="BO72" s="72">
        <v>0</v>
      </c>
      <c r="BP72" s="72">
        <v>0</v>
      </c>
      <c r="BQ72" s="72">
        <v>0</v>
      </c>
      <c r="BR72" s="72">
        <v>0</v>
      </c>
      <c r="BS72" s="72">
        <v>18335016</v>
      </c>
    </row>
    <row r="73" spans="1:71" x14ac:dyDescent="0.2">
      <c r="A73" t="s">
        <v>398</v>
      </c>
      <c r="B73" t="s">
        <v>1109</v>
      </c>
      <c r="C73" t="s">
        <v>38</v>
      </c>
      <c r="D73" s="72">
        <v>46253441</v>
      </c>
      <c r="E73" s="72">
        <v>7201163</v>
      </c>
      <c r="F73" s="72">
        <v>0</v>
      </c>
      <c r="G73" s="72">
        <v>12064948</v>
      </c>
      <c r="H73" s="72">
        <v>359586</v>
      </c>
      <c r="I73" s="72">
        <v>0</v>
      </c>
      <c r="J73" s="72">
        <v>12012738</v>
      </c>
      <c r="K73" s="72">
        <v>1572870</v>
      </c>
      <c r="L73" s="72">
        <v>79464746</v>
      </c>
      <c r="M73" s="72">
        <v>0</v>
      </c>
      <c r="N73" s="72">
        <v>0</v>
      </c>
      <c r="O73" s="72">
        <v>0</v>
      </c>
      <c r="P73" s="72">
        <v>0</v>
      </c>
      <c r="Q73" s="72">
        <v>218105</v>
      </c>
      <c r="R73" s="72">
        <v>218105</v>
      </c>
      <c r="S73" s="72">
        <v>79682851</v>
      </c>
      <c r="T73" s="72">
        <v>49047597</v>
      </c>
      <c r="U73" s="72">
        <v>21040161</v>
      </c>
      <c r="V73" s="72">
        <v>8551143</v>
      </c>
      <c r="W73" s="72">
        <v>2740622</v>
      </c>
      <c r="X73" s="72">
        <v>456600</v>
      </c>
      <c r="Y73" s="72">
        <v>0</v>
      </c>
      <c r="Z73" s="72">
        <v>0</v>
      </c>
      <c r="AA73" s="72">
        <v>0</v>
      </c>
      <c r="AB73" s="72">
        <v>0</v>
      </c>
      <c r="AC73" s="72">
        <v>0</v>
      </c>
      <c r="AD73" s="72">
        <v>0</v>
      </c>
      <c r="AE73" s="72">
        <v>0</v>
      </c>
      <c r="AF73" s="72">
        <v>0</v>
      </c>
      <c r="AG73" s="72">
        <v>1133083</v>
      </c>
      <c r="AH73" s="72">
        <v>82969206</v>
      </c>
      <c r="AI73" s="72">
        <v>29000</v>
      </c>
      <c r="AJ73" s="72">
        <v>0</v>
      </c>
      <c r="AK73" s="72">
        <v>0</v>
      </c>
      <c r="AL73" s="72">
        <v>29000</v>
      </c>
      <c r="AM73" s="72">
        <v>82998206</v>
      </c>
      <c r="AN73" s="72">
        <v>-3315355</v>
      </c>
      <c r="AO73" s="72">
        <v>12331520</v>
      </c>
      <c r="AP73" s="72">
        <v>9016165</v>
      </c>
      <c r="AQ73" s="72">
        <v>1060936</v>
      </c>
      <c r="AR73" s="72">
        <v>0</v>
      </c>
      <c r="AS73" s="72">
        <v>0</v>
      </c>
      <c r="AT73" s="72">
        <v>0</v>
      </c>
      <c r="AU73" s="72">
        <v>0</v>
      </c>
      <c r="AV73" s="72">
        <v>0</v>
      </c>
      <c r="AW73" s="72">
        <v>0</v>
      </c>
      <c r="AX73" s="72">
        <v>0</v>
      </c>
      <c r="AY73" s="72">
        <v>0</v>
      </c>
      <c r="AZ73" s="72">
        <v>0</v>
      </c>
      <c r="BA73" s="72">
        <v>7955229</v>
      </c>
      <c r="BB73" s="72">
        <v>0</v>
      </c>
      <c r="BC73" s="72">
        <v>0</v>
      </c>
      <c r="BD73" s="72">
        <v>0</v>
      </c>
      <c r="BE73" s="72">
        <v>7955229</v>
      </c>
      <c r="BF73" s="72">
        <v>0</v>
      </c>
      <c r="BG73" s="72">
        <v>0</v>
      </c>
      <c r="BH73" s="72">
        <v>0</v>
      </c>
      <c r="BI73" s="72">
        <v>0</v>
      </c>
      <c r="BJ73" s="72">
        <v>7955229</v>
      </c>
      <c r="BS73" s="72">
        <v>82998206</v>
      </c>
    </row>
    <row r="74" spans="1:71" x14ac:dyDescent="0.2">
      <c r="A74" t="s">
        <v>407</v>
      </c>
      <c r="B74" t="s">
        <v>1116</v>
      </c>
      <c r="C74" t="s">
        <v>23</v>
      </c>
      <c r="D74" s="72">
        <v>40776091</v>
      </c>
      <c r="E74" s="72">
        <v>0</v>
      </c>
      <c r="F74" s="72">
        <v>0</v>
      </c>
      <c r="G74" s="72">
        <v>19103173</v>
      </c>
      <c r="H74" s="72">
        <v>440929</v>
      </c>
      <c r="I74" s="72">
        <v>0</v>
      </c>
      <c r="J74" s="72">
        <v>4960983</v>
      </c>
      <c r="K74" s="72">
        <v>4749384</v>
      </c>
      <c r="L74" s="72">
        <v>70030560</v>
      </c>
      <c r="M74" s="72">
        <v>0</v>
      </c>
      <c r="N74" s="72">
        <v>0</v>
      </c>
      <c r="O74" s="72">
        <v>0</v>
      </c>
      <c r="P74" s="72">
        <v>1784100</v>
      </c>
      <c r="Q74" s="72">
        <v>25000</v>
      </c>
      <c r="R74" s="72">
        <v>1809100</v>
      </c>
      <c r="S74" s="72">
        <v>71839660</v>
      </c>
      <c r="T74" s="72">
        <v>41985918</v>
      </c>
      <c r="U74" s="72">
        <v>13410846</v>
      </c>
      <c r="V74" s="72">
        <v>9704699</v>
      </c>
      <c r="W74" s="72">
        <v>1265852</v>
      </c>
      <c r="X74" s="72">
        <v>2661812</v>
      </c>
      <c r="Y74" s="72">
        <v>0</v>
      </c>
      <c r="Z74" s="72">
        <v>0</v>
      </c>
      <c r="AA74" s="72">
        <v>0</v>
      </c>
      <c r="AB74" s="72">
        <v>0</v>
      </c>
      <c r="AC74" s="72">
        <v>0</v>
      </c>
      <c r="AD74" s="72">
        <v>0</v>
      </c>
      <c r="AE74" s="72">
        <v>0</v>
      </c>
      <c r="AF74" s="72">
        <v>0</v>
      </c>
      <c r="AG74" s="72">
        <v>1180919</v>
      </c>
      <c r="AH74" s="72">
        <v>70210046</v>
      </c>
      <c r="AI74" s="72">
        <v>20000</v>
      </c>
      <c r="AJ74" s="72">
        <v>1900000</v>
      </c>
      <c r="AK74" s="72">
        <v>0</v>
      </c>
      <c r="AL74" s="72">
        <v>1920000</v>
      </c>
      <c r="AM74" s="72">
        <v>72130046</v>
      </c>
      <c r="AN74" s="72">
        <v>-290386</v>
      </c>
      <c r="AO74" s="72">
        <v>18991730</v>
      </c>
      <c r="AP74" s="72">
        <v>18701344</v>
      </c>
      <c r="AQ74" s="72">
        <v>300000</v>
      </c>
      <c r="AR74" s="72">
        <v>0</v>
      </c>
      <c r="AS74" s="72">
        <v>0</v>
      </c>
      <c r="AT74" s="72">
        <v>0</v>
      </c>
      <c r="AU74" s="72">
        <v>0</v>
      </c>
      <c r="AV74" s="72">
        <v>0</v>
      </c>
      <c r="AW74" s="72">
        <v>0</v>
      </c>
      <c r="AX74" s="72">
        <v>0</v>
      </c>
      <c r="AY74" s="72">
        <v>0</v>
      </c>
      <c r="AZ74" s="72">
        <v>0</v>
      </c>
      <c r="BA74" s="72">
        <v>18401344</v>
      </c>
      <c r="BB74" s="72">
        <v>0</v>
      </c>
      <c r="BC74" s="72">
        <v>0</v>
      </c>
      <c r="BD74" s="72">
        <v>0</v>
      </c>
      <c r="BE74" s="72">
        <v>18401344</v>
      </c>
      <c r="BF74" s="72">
        <v>0</v>
      </c>
      <c r="BG74" s="72">
        <v>0</v>
      </c>
      <c r="BH74" s="72">
        <v>0</v>
      </c>
      <c r="BI74" s="72">
        <v>0</v>
      </c>
      <c r="BJ74" s="72">
        <v>18401344</v>
      </c>
      <c r="BS74" s="72">
        <v>72130046</v>
      </c>
    </row>
    <row r="75" spans="1:71" x14ac:dyDescent="0.2">
      <c r="A75" t="s">
        <v>411</v>
      </c>
      <c r="B75" t="s">
        <v>1119</v>
      </c>
      <c r="C75" t="s">
        <v>62</v>
      </c>
      <c r="D75" s="72">
        <v>17283018</v>
      </c>
      <c r="E75" s="72">
        <v>3110982</v>
      </c>
      <c r="F75" s="72">
        <v>10605518</v>
      </c>
      <c r="G75" s="72">
        <v>21426400</v>
      </c>
      <c r="H75" s="72">
        <v>397835</v>
      </c>
      <c r="I75" s="72">
        <v>0</v>
      </c>
      <c r="J75" s="72">
        <v>4049047</v>
      </c>
      <c r="K75" s="72">
        <v>2408185</v>
      </c>
      <c r="L75" s="72">
        <v>59280985</v>
      </c>
      <c r="M75" s="72">
        <v>0</v>
      </c>
      <c r="N75" s="72">
        <v>0</v>
      </c>
      <c r="O75" s="72">
        <v>20000</v>
      </c>
      <c r="P75" s="72">
        <v>200000</v>
      </c>
      <c r="Q75" s="72">
        <v>225000</v>
      </c>
      <c r="R75" s="72">
        <v>445000</v>
      </c>
      <c r="S75" s="72">
        <v>59725985</v>
      </c>
      <c r="T75" s="72">
        <v>30975500</v>
      </c>
      <c r="U75" s="72">
        <v>11127618</v>
      </c>
      <c r="V75" s="72">
        <v>10695252</v>
      </c>
      <c r="W75" s="72">
        <v>3988072</v>
      </c>
      <c r="X75" s="72">
        <v>144646</v>
      </c>
      <c r="Y75" s="72">
        <v>0</v>
      </c>
      <c r="Z75" s="72">
        <v>0</v>
      </c>
      <c r="AA75" s="72">
        <v>0</v>
      </c>
      <c r="AB75" s="72">
        <v>0</v>
      </c>
      <c r="AC75" s="72">
        <v>0</v>
      </c>
      <c r="AD75" s="72">
        <v>0</v>
      </c>
      <c r="AE75" s="72">
        <v>0</v>
      </c>
      <c r="AF75" s="72">
        <v>0</v>
      </c>
      <c r="AG75" s="72">
        <v>763877</v>
      </c>
      <c r="AH75" s="72">
        <v>57694965</v>
      </c>
      <c r="AI75" s="72">
        <v>50000</v>
      </c>
      <c r="AJ75" s="72">
        <v>200000</v>
      </c>
      <c r="AK75" s="72">
        <v>0</v>
      </c>
      <c r="AL75" s="72">
        <v>250000</v>
      </c>
      <c r="AM75" s="72">
        <v>57944965</v>
      </c>
      <c r="AN75" s="72">
        <v>1781020</v>
      </c>
      <c r="AO75" s="72">
        <v>31776658</v>
      </c>
      <c r="AP75" s="72">
        <v>33557678</v>
      </c>
      <c r="AQ75" s="72">
        <v>1675000</v>
      </c>
      <c r="AR75" s="72">
        <v>0</v>
      </c>
      <c r="AS75" s="72">
        <v>0</v>
      </c>
      <c r="AT75" s="72">
        <v>0</v>
      </c>
      <c r="AU75" s="72">
        <v>0</v>
      </c>
      <c r="AV75" s="72">
        <v>0</v>
      </c>
      <c r="AW75" s="72">
        <v>0</v>
      </c>
      <c r="AX75" s="72">
        <v>0</v>
      </c>
      <c r="AY75" s="72">
        <v>0</v>
      </c>
      <c r="AZ75" s="72">
        <v>0</v>
      </c>
      <c r="BA75" s="72">
        <v>31882678</v>
      </c>
      <c r="BB75" s="72">
        <v>0</v>
      </c>
      <c r="BC75" s="72">
        <v>0</v>
      </c>
      <c r="BD75" s="72">
        <v>0</v>
      </c>
      <c r="BE75" s="72">
        <v>31882678</v>
      </c>
      <c r="BF75" s="72">
        <v>0</v>
      </c>
      <c r="BG75" s="72">
        <v>0</v>
      </c>
      <c r="BH75" s="72">
        <v>0</v>
      </c>
      <c r="BI75" s="72">
        <v>0</v>
      </c>
      <c r="BJ75" s="72">
        <v>31882678</v>
      </c>
      <c r="BM75" s="72">
        <v>0</v>
      </c>
      <c r="BN75" s="72">
        <v>0</v>
      </c>
      <c r="BO75" s="72">
        <v>0</v>
      </c>
      <c r="BP75" s="72">
        <v>0</v>
      </c>
      <c r="BQ75" s="72">
        <v>0</v>
      </c>
      <c r="BR75" s="72">
        <v>0</v>
      </c>
      <c r="BS75" s="72">
        <v>59725985</v>
      </c>
    </row>
    <row r="76" spans="1:71" x14ac:dyDescent="0.2">
      <c r="A76" t="s">
        <v>413</v>
      </c>
      <c r="B76" t="s">
        <v>1121</v>
      </c>
      <c r="C76" t="s">
        <v>27</v>
      </c>
      <c r="D76" s="72">
        <v>20055340</v>
      </c>
      <c r="E76" s="72">
        <v>2290180</v>
      </c>
      <c r="F76" s="72">
        <v>0</v>
      </c>
      <c r="G76" s="72">
        <v>17862297</v>
      </c>
      <c r="H76" s="72">
        <v>84710</v>
      </c>
      <c r="I76" s="72">
        <v>0</v>
      </c>
      <c r="J76" s="72">
        <v>3173374</v>
      </c>
      <c r="K76" s="72">
        <v>1348010</v>
      </c>
      <c r="L76" s="72">
        <v>44813911</v>
      </c>
      <c r="M76" s="72">
        <v>0</v>
      </c>
      <c r="N76" s="72">
        <v>0</v>
      </c>
      <c r="O76" s="72">
        <v>0</v>
      </c>
      <c r="P76" s="72">
        <v>800000</v>
      </c>
      <c r="Q76" s="72">
        <v>25000</v>
      </c>
      <c r="R76" s="72">
        <v>825000</v>
      </c>
      <c r="S76" s="72">
        <v>45638911</v>
      </c>
      <c r="T76" s="72">
        <v>24425781</v>
      </c>
      <c r="U76" s="72">
        <v>10678771</v>
      </c>
      <c r="V76" s="72">
        <v>6806946</v>
      </c>
      <c r="W76" s="72">
        <v>1508243</v>
      </c>
      <c r="X76" s="72">
        <v>105540</v>
      </c>
      <c r="Y76" s="72">
        <v>0</v>
      </c>
      <c r="Z76" s="72">
        <v>0</v>
      </c>
      <c r="AA76" s="72">
        <v>0</v>
      </c>
      <c r="AB76" s="72">
        <v>0</v>
      </c>
      <c r="AC76" s="72">
        <v>0</v>
      </c>
      <c r="AD76" s="72">
        <v>210000</v>
      </c>
      <c r="AE76" s="72">
        <v>98000</v>
      </c>
      <c r="AF76" s="72">
        <v>161488</v>
      </c>
      <c r="AG76" s="72">
        <v>390991</v>
      </c>
      <c r="AH76" s="72">
        <v>44385760</v>
      </c>
      <c r="AI76" s="72">
        <v>0</v>
      </c>
      <c r="AJ76" s="72">
        <v>800000</v>
      </c>
      <c r="AK76" s="72">
        <v>2000</v>
      </c>
      <c r="AL76" s="72">
        <v>802000</v>
      </c>
      <c r="AM76" s="72">
        <v>45187760</v>
      </c>
      <c r="AN76" s="72">
        <v>451151</v>
      </c>
      <c r="AO76" s="72">
        <v>8908067</v>
      </c>
      <c r="AP76" s="72">
        <v>9359218</v>
      </c>
      <c r="AQ76" s="72">
        <v>600000</v>
      </c>
      <c r="AR76" s="72">
        <v>0</v>
      </c>
      <c r="AS76" s="72">
        <v>0</v>
      </c>
      <c r="AT76" s="72">
        <v>0</v>
      </c>
      <c r="AU76" s="72">
        <v>0</v>
      </c>
      <c r="AV76" s="72">
        <v>0</v>
      </c>
      <c r="AW76" s="72">
        <v>0</v>
      </c>
      <c r="AX76" s="72">
        <v>0</v>
      </c>
      <c r="AY76" s="72">
        <v>0</v>
      </c>
      <c r="AZ76" s="72">
        <v>0</v>
      </c>
      <c r="BA76" s="72">
        <v>8759218</v>
      </c>
      <c r="BB76" s="72">
        <v>0</v>
      </c>
      <c r="BC76" s="72">
        <v>0</v>
      </c>
      <c r="BD76" s="72">
        <v>0</v>
      </c>
      <c r="BE76" s="72">
        <v>8759218</v>
      </c>
      <c r="BF76" s="72">
        <v>0</v>
      </c>
      <c r="BG76" s="72">
        <v>0</v>
      </c>
      <c r="BH76" s="72">
        <v>0</v>
      </c>
      <c r="BI76" s="72">
        <v>0</v>
      </c>
      <c r="BJ76" s="72">
        <v>8759218</v>
      </c>
      <c r="BM76" s="72">
        <v>0</v>
      </c>
      <c r="BN76" s="72">
        <v>0</v>
      </c>
      <c r="BO76" s="72">
        <v>0</v>
      </c>
      <c r="BP76" s="72">
        <v>0</v>
      </c>
      <c r="BQ76" s="72">
        <v>0</v>
      </c>
      <c r="BR76" s="72">
        <v>0</v>
      </c>
      <c r="BS76" s="72">
        <v>45638911</v>
      </c>
    </row>
    <row r="77" spans="1:71" x14ac:dyDescent="0.2">
      <c r="A77" t="s">
        <v>424</v>
      </c>
      <c r="B77" t="s">
        <v>1132</v>
      </c>
      <c r="C77" t="s">
        <v>91</v>
      </c>
      <c r="D77" s="72">
        <v>7436245</v>
      </c>
      <c r="E77" s="72">
        <v>656981</v>
      </c>
      <c r="F77" s="72">
        <v>0</v>
      </c>
      <c r="G77" s="72">
        <v>33796391</v>
      </c>
      <c r="H77" s="72">
        <v>823787</v>
      </c>
      <c r="I77" s="72">
        <v>0</v>
      </c>
      <c r="J77" s="72">
        <v>965909</v>
      </c>
      <c r="K77" s="72">
        <v>1216441</v>
      </c>
      <c r="L77" s="72">
        <v>44895754</v>
      </c>
      <c r="M77" s="72">
        <v>0</v>
      </c>
      <c r="N77" s="72">
        <v>0</v>
      </c>
      <c r="O77" s="72">
        <v>0</v>
      </c>
      <c r="P77" s="72">
        <v>0</v>
      </c>
      <c r="Q77" s="72">
        <v>0</v>
      </c>
      <c r="R77" s="72">
        <v>0</v>
      </c>
      <c r="S77" s="72">
        <v>44895754</v>
      </c>
      <c r="T77" s="72">
        <v>23140905</v>
      </c>
      <c r="U77" s="72">
        <v>7498845</v>
      </c>
      <c r="V77" s="72">
        <v>12759423</v>
      </c>
      <c r="W77" s="72">
        <v>700204</v>
      </c>
      <c r="X77" s="72">
        <v>297530</v>
      </c>
      <c r="Y77" s="72">
        <v>0</v>
      </c>
      <c r="Z77" s="72">
        <v>0</v>
      </c>
      <c r="AA77" s="72">
        <v>0</v>
      </c>
      <c r="AB77" s="72">
        <v>0</v>
      </c>
      <c r="AC77" s="72">
        <v>0</v>
      </c>
      <c r="AD77" s="72">
        <v>0</v>
      </c>
      <c r="AE77" s="72">
        <v>0</v>
      </c>
      <c r="AF77" s="72">
        <v>0</v>
      </c>
      <c r="AG77" s="72">
        <v>160879</v>
      </c>
      <c r="AH77" s="72">
        <v>44557786</v>
      </c>
      <c r="AI77" s="72">
        <v>60625</v>
      </c>
      <c r="AJ77" s="72">
        <v>0</v>
      </c>
      <c r="AK77" s="72">
        <v>0</v>
      </c>
      <c r="AL77" s="72">
        <v>60625</v>
      </c>
      <c r="AM77" s="72">
        <v>44618411</v>
      </c>
      <c r="AN77" s="72">
        <v>277343</v>
      </c>
      <c r="AO77" s="72">
        <v>2064541</v>
      </c>
      <c r="AP77" s="72">
        <v>2341884</v>
      </c>
      <c r="AQ77" s="72">
        <v>0</v>
      </c>
      <c r="AR77" s="72">
        <v>0</v>
      </c>
      <c r="AS77" s="72">
        <v>0</v>
      </c>
      <c r="AT77" s="72">
        <v>0</v>
      </c>
      <c r="AU77" s="72">
        <v>0</v>
      </c>
      <c r="AV77" s="72">
        <v>0</v>
      </c>
      <c r="AW77" s="72">
        <v>0</v>
      </c>
      <c r="AX77" s="72">
        <v>0</v>
      </c>
      <c r="AY77" s="72">
        <v>0</v>
      </c>
      <c r="AZ77" s="72">
        <v>0</v>
      </c>
      <c r="BA77" s="72">
        <v>2341884</v>
      </c>
      <c r="BB77" s="72">
        <v>0</v>
      </c>
      <c r="BC77" s="72">
        <v>0</v>
      </c>
      <c r="BD77" s="72">
        <v>0</v>
      </c>
      <c r="BE77" s="72">
        <v>2341884</v>
      </c>
      <c r="BF77" s="72">
        <v>0</v>
      </c>
      <c r="BG77" s="72">
        <v>0</v>
      </c>
      <c r="BH77" s="72">
        <v>0</v>
      </c>
      <c r="BI77" s="72">
        <v>0</v>
      </c>
      <c r="BJ77" s="72">
        <v>2341884</v>
      </c>
      <c r="BK77" s="72">
        <v>340</v>
      </c>
      <c r="BL77" s="72">
        <v>3469</v>
      </c>
      <c r="BS77" s="72">
        <v>44895754</v>
      </c>
    </row>
    <row r="78" spans="1:71" x14ac:dyDescent="0.2">
      <c r="A78" t="s">
        <v>428</v>
      </c>
      <c r="B78" t="s">
        <v>992</v>
      </c>
      <c r="C78" t="s">
        <v>67</v>
      </c>
      <c r="D78" s="72">
        <v>2160783</v>
      </c>
      <c r="E78" s="72">
        <v>335031</v>
      </c>
      <c r="F78" s="72">
        <v>0</v>
      </c>
      <c r="G78" s="72">
        <v>2176904</v>
      </c>
      <c r="H78" s="72">
        <v>9450</v>
      </c>
      <c r="I78" s="72">
        <v>0</v>
      </c>
      <c r="J78" s="72">
        <v>1313683</v>
      </c>
      <c r="K78" s="72">
        <v>485291</v>
      </c>
      <c r="L78" s="72">
        <v>6481142</v>
      </c>
      <c r="M78" s="72">
        <v>0</v>
      </c>
      <c r="N78" s="72">
        <v>0</v>
      </c>
      <c r="O78" s="72">
        <v>0</v>
      </c>
      <c r="P78" s="72">
        <v>0</v>
      </c>
      <c r="Q78" s="72">
        <v>130000</v>
      </c>
      <c r="R78" s="72">
        <v>130000</v>
      </c>
      <c r="S78" s="72">
        <v>6611142</v>
      </c>
      <c r="T78" s="72">
        <v>3145000</v>
      </c>
      <c r="U78" s="72">
        <v>1134499</v>
      </c>
      <c r="V78" s="72">
        <v>2043467</v>
      </c>
      <c r="W78" s="72">
        <v>114769</v>
      </c>
      <c r="X78" s="72">
        <v>20436</v>
      </c>
      <c r="Y78" s="72">
        <v>0</v>
      </c>
      <c r="Z78" s="72">
        <v>0</v>
      </c>
      <c r="AA78" s="72">
        <v>0</v>
      </c>
      <c r="AB78" s="72">
        <v>0</v>
      </c>
      <c r="AC78" s="72">
        <v>0</v>
      </c>
      <c r="AD78" s="72">
        <v>0</v>
      </c>
      <c r="AE78" s="72">
        <v>0</v>
      </c>
      <c r="AF78" s="72">
        <v>0</v>
      </c>
      <c r="AG78" s="72">
        <v>146384</v>
      </c>
      <c r="AH78" s="72">
        <v>6604555</v>
      </c>
      <c r="AI78" s="72">
        <v>500000</v>
      </c>
      <c r="AJ78" s="72">
        <v>10000</v>
      </c>
      <c r="AK78" s="72">
        <v>0</v>
      </c>
      <c r="AL78" s="72">
        <v>510000</v>
      </c>
      <c r="AM78" s="72">
        <v>7114555</v>
      </c>
      <c r="AN78" s="72">
        <v>-503413</v>
      </c>
      <c r="AO78" s="72">
        <v>1148588</v>
      </c>
      <c r="AP78" s="72">
        <v>645175</v>
      </c>
      <c r="AQ78" s="72">
        <v>75000</v>
      </c>
      <c r="AR78" s="72">
        <v>0</v>
      </c>
      <c r="AS78" s="72">
        <v>0</v>
      </c>
      <c r="AT78" s="72">
        <v>500000</v>
      </c>
      <c r="AU78" s="72">
        <v>0</v>
      </c>
      <c r="AV78" s="72">
        <v>0</v>
      </c>
      <c r="AW78" s="72">
        <v>0</v>
      </c>
      <c r="AX78" s="72">
        <v>0</v>
      </c>
      <c r="AY78" s="72">
        <v>0</v>
      </c>
      <c r="AZ78" s="72">
        <v>500000</v>
      </c>
      <c r="BA78" s="72">
        <v>70175</v>
      </c>
      <c r="BB78" s="72">
        <v>0</v>
      </c>
      <c r="BC78" s="72">
        <v>0</v>
      </c>
      <c r="BD78" s="72">
        <v>0</v>
      </c>
      <c r="BE78" s="72">
        <v>70175</v>
      </c>
      <c r="BF78" s="72">
        <v>0</v>
      </c>
      <c r="BG78" s="72">
        <v>0</v>
      </c>
      <c r="BH78" s="72">
        <v>0</v>
      </c>
      <c r="BI78" s="72">
        <v>0</v>
      </c>
      <c r="BJ78" s="72">
        <v>70175</v>
      </c>
      <c r="BM78" s="72">
        <v>0</v>
      </c>
      <c r="BN78" s="72">
        <v>0</v>
      </c>
      <c r="BO78" s="72">
        <v>0</v>
      </c>
      <c r="BP78" s="72">
        <v>0</v>
      </c>
      <c r="BQ78" s="72">
        <v>0</v>
      </c>
      <c r="BR78" s="72">
        <v>0</v>
      </c>
      <c r="BS78" s="72">
        <v>7114555</v>
      </c>
    </row>
    <row r="79" spans="1:71" x14ac:dyDescent="0.2">
      <c r="A79" t="s">
        <v>430</v>
      </c>
      <c r="B79" t="s">
        <v>1138</v>
      </c>
      <c r="C79" t="s">
        <v>111</v>
      </c>
      <c r="D79" s="72">
        <v>7691049</v>
      </c>
      <c r="E79" s="72">
        <v>1261281</v>
      </c>
      <c r="F79" s="72">
        <v>0</v>
      </c>
      <c r="G79" s="72">
        <v>20744592</v>
      </c>
      <c r="H79" s="72">
        <v>161104</v>
      </c>
      <c r="I79" s="72">
        <v>0</v>
      </c>
      <c r="J79" s="72">
        <v>1277439</v>
      </c>
      <c r="K79" s="72">
        <v>1969362</v>
      </c>
      <c r="L79" s="72">
        <v>33104827</v>
      </c>
      <c r="M79" s="72">
        <v>0</v>
      </c>
      <c r="N79" s="72">
        <v>0</v>
      </c>
      <c r="O79" s="72">
        <v>0</v>
      </c>
      <c r="P79" s="72">
        <v>162064</v>
      </c>
      <c r="Q79" s="72">
        <v>0</v>
      </c>
      <c r="R79" s="72">
        <v>162064</v>
      </c>
      <c r="S79" s="72">
        <v>33266891</v>
      </c>
      <c r="T79" s="72">
        <v>19636065</v>
      </c>
      <c r="U79" s="72">
        <v>9048093</v>
      </c>
      <c r="V79" s="72">
        <v>3682425</v>
      </c>
      <c r="W79" s="72">
        <v>860443</v>
      </c>
      <c r="X79" s="72">
        <v>25000</v>
      </c>
      <c r="Y79" s="72">
        <v>0</v>
      </c>
      <c r="Z79" s="72">
        <v>0</v>
      </c>
      <c r="AA79" s="72">
        <v>0</v>
      </c>
      <c r="AB79" s="72">
        <v>0</v>
      </c>
      <c r="AC79" s="72">
        <v>0</v>
      </c>
      <c r="AD79" s="72">
        <v>0</v>
      </c>
      <c r="AE79" s="72">
        <v>0</v>
      </c>
      <c r="AF79" s="72">
        <v>0</v>
      </c>
      <c r="AG79" s="72">
        <v>404617</v>
      </c>
      <c r="AH79" s="72">
        <v>33656643</v>
      </c>
      <c r="AI79" s="72">
        <v>40000</v>
      </c>
      <c r="AJ79" s="72">
        <v>125000</v>
      </c>
      <c r="AK79" s="72">
        <v>0</v>
      </c>
      <c r="AL79" s="72">
        <v>165000</v>
      </c>
      <c r="AM79" s="72">
        <v>33821643</v>
      </c>
      <c r="AN79" s="72">
        <v>-554752</v>
      </c>
      <c r="AO79" s="72">
        <v>7595819</v>
      </c>
      <c r="AP79" s="72">
        <v>7041067</v>
      </c>
      <c r="AQ79" s="72">
        <v>300000</v>
      </c>
      <c r="AR79" s="72">
        <v>0</v>
      </c>
      <c r="AS79" s="72">
        <v>0</v>
      </c>
      <c r="AT79" s="72">
        <v>0</v>
      </c>
      <c r="AU79" s="72">
        <v>0</v>
      </c>
      <c r="AV79" s="72">
        <v>0</v>
      </c>
      <c r="AW79" s="72">
        <v>0</v>
      </c>
      <c r="AX79" s="72">
        <v>0</v>
      </c>
      <c r="AY79" s="72">
        <v>0</v>
      </c>
      <c r="AZ79" s="72">
        <v>0</v>
      </c>
      <c r="BA79" s="72">
        <v>6741067</v>
      </c>
      <c r="BB79" s="72">
        <v>0</v>
      </c>
      <c r="BC79" s="72">
        <v>0</v>
      </c>
      <c r="BD79" s="72">
        <v>0</v>
      </c>
      <c r="BE79" s="72">
        <v>6741067</v>
      </c>
      <c r="BF79" s="72">
        <v>0</v>
      </c>
      <c r="BG79" s="72">
        <v>0</v>
      </c>
      <c r="BH79" s="72">
        <v>0</v>
      </c>
      <c r="BI79" s="72">
        <v>0</v>
      </c>
      <c r="BJ79" s="72">
        <v>6741067</v>
      </c>
      <c r="BM79" s="72">
        <v>0</v>
      </c>
      <c r="BN79" s="72">
        <v>0</v>
      </c>
      <c r="BO79" s="72">
        <v>0</v>
      </c>
      <c r="BP79" s="72">
        <v>0</v>
      </c>
      <c r="BQ79" s="72">
        <v>0</v>
      </c>
      <c r="BR79" s="72">
        <v>0</v>
      </c>
      <c r="BS79" s="72">
        <v>33821643</v>
      </c>
    </row>
    <row r="80" spans="1:71" x14ac:dyDescent="0.2">
      <c r="A80" t="s">
        <v>431</v>
      </c>
      <c r="B80" t="s">
        <v>1139</v>
      </c>
      <c r="C80" t="s">
        <v>99</v>
      </c>
      <c r="D80" s="72">
        <v>5668776</v>
      </c>
      <c r="E80" s="72">
        <v>0</v>
      </c>
      <c r="F80" s="72">
        <v>3508498</v>
      </c>
      <c r="G80" s="72">
        <v>7921382</v>
      </c>
      <c r="H80" s="72">
        <v>31232</v>
      </c>
      <c r="I80" s="72">
        <v>0</v>
      </c>
      <c r="J80" s="72">
        <v>866274</v>
      </c>
      <c r="K80" s="72">
        <v>1176837</v>
      </c>
      <c r="L80" s="72">
        <v>19172999</v>
      </c>
      <c r="M80" s="72">
        <v>0</v>
      </c>
      <c r="N80" s="72">
        <v>0</v>
      </c>
      <c r="O80" s="72">
        <v>0</v>
      </c>
      <c r="P80" s="72">
        <v>300000</v>
      </c>
      <c r="Q80" s="72">
        <v>46000</v>
      </c>
      <c r="R80" s="72">
        <v>346000</v>
      </c>
      <c r="S80" s="72">
        <v>19518999</v>
      </c>
      <c r="T80" s="72">
        <v>9442608</v>
      </c>
      <c r="U80" s="72">
        <v>3395192</v>
      </c>
      <c r="V80" s="72">
        <v>3776050</v>
      </c>
      <c r="W80" s="72">
        <v>555474</v>
      </c>
      <c r="X80" s="72">
        <v>419000</v>
      </c>
      <c r="Y80" s="72">
        <v>0</v>
      </c>
      <c r="Z80" s="72">
        <v>0</v>
      </c>
      <c r="AA80" s="72">
        <v>0</v>
      </c>
      <c r="AB80" s="72">
        <v>0</v>
      </c>
      <c r="AC80" s="72">
        <v>0</v>
      </c>
      <c r="AD80" s="72">
        <v>15000</v>
      </c>
      <c r="AE80" s="72">
        <v>0</v>
      </c>
      <c r="AF80" s="72">
        <v>5000</v>
      </c>
      <c r="AG80" s="72">
        <v>356706</v>
      </c>
      <c r="AH80" s="72">
        <v>17965031</v>
      </c>
      <c r="AI80" s="72">
        <v>300000</v>
      </c>
      <c r="AJ80" s="72">
        <v>0</v>
      </c>
      <c r="AK80" s="72">
        <v>0</v>
      </c>
      <c r="AL80" s="72">
        <v>300000</v>
      </c>
      <c r="AM80" s="72">
        <v>18265031</v>
      </c>
      <c r="AN80" s="72">
        <v>1253968</v>
      </c>
      <c r="AO80" s="72">
        <v>2119520</v>
      </c>
      <c r="AP80" s="72">
        <v>3373488</v>
      </c>
      <c r="AQ80" s="72">
        <v>50000</v>
      </c>
      <c r="AR80" s="72">
        <v>0</v>
      </c>
      <c r="AS80" s="72">
        <v>0</v>
      </c>
      <c r="AT80" s="72">
        <v>1000000</v>
      </c>
      <c r="AU80" s="72">
        <v>0</v>
      </c>
      <c r="AV80" s="72">
        <v>0</v>
      </c>
      <c r="AW80" s="72">
        <v>0</v>
      </c>
      <c r="AX80" s="72">
        <v>0</v>
      </c>
      <c r="AY80" s="72">
        <v>0</v>
      </c>
      <c r="AZ80" s="72">
        <v>1000000</v>
      </c>
      <c r="BA80" s="72">
        <v>2323488</v>
      </c>
      <c r="BB80" s="72">
        <v>0</v>
      </c>
      <c r="BC80" s="72">
        <v>0</v>
      </c>
      <c r="BD80" s="72">
        <v>0</v>
      </c>
      <c r="BE80" s="72">
        <v>2323488</v>
      </c>
      <c r="BF80" s="72">
        <v>0</v>
      </c>
      <c r="BG80" s="72">
        <v>0</v>
      </c>
      <c r="BH80" s="72">
        <v>0</v>
      </c>
      <c r="BI80" s="72">
        <v>0</v>
      </c>
      <c r="BJ80" s="72">
        <v>2323488</v>
      </c>
      <c r="BS80" s="72">
        <v>19518999</v>
      </c>
    </row>
    <row r="81" spans="1:71" x14ac:dyDescent="0.2">
      <c r="A81" t="s">
        <v>432</v>
      </c>
      <c r="B81" t="s">
        <v>1012</v>
      </c>
      <c r="C81" t="s">
        <v>61</v>
      </c>
      <c r="D81" s="72">
        <v>16950000</v>
      </c>
      <c r="E81" s="72">
        <v>709795</v>
      </c>
      <c r="F81" s="72">
        <v>0</v>
      </c>
      <c r="G81" s="72">
        <v>66757103</v>
      </c>
      <c r="H81" s="72">
        <v>1714435</v>
      </c>
      <c r="I81" s="72">
        <v>0</v>
      </c>
      <c r="J81" s="72">
        <v>2898416</v>
      </c>
      <c r="K81" s="72">
        <v>1675000</v>
      </c>
      <c r="L81" s="72">
        <v>90704749</v>
      </c>
      <c r="M81" s="72">
        <v>0</v>
      </c>
      <c r="N81" s="72">
        <v>0</v>
      </c>
      <c r="O81" s="72">
        <v>0</v>
      </c>
      <c r="P81" s="72">
        <v>1078754</v>
      </c>
      <c r="Q81" s="72">
        <v>284000</v>
      </c>
      <c r="R81" s="72">
        <v>1362754</v>
      </c>
      <c r="S81" s="72">
        <v>92067503</v>
      </c>
      <c r="T81" s="72">
        <v>40838192</v>
      </c>
      <c r="U81" s="72">
        <v>13798405</v>
      </c>
      <c r="V81" s="72">
        <v>33962939</v>
      </c>
      <c r="W81" s="72">
        <v>1751956</v>
      </c>
      <c r="X81" s="72">
        <v>209881</v>
      </c>
      <c r="Y81" s="72">
        <v>0</v>
      </c>
      <c r="Z81" s="72">
        <v>0</v>
      </c>
      <c r="AA81" s="72">
        <v>1583838</v>
      </c>
      <c r="AB81" s="72">
        <v>0</v>
      </c>
      <c r="AC81" s="72">
        <v>0</v>
      </c>
      <c r="AD81" s="72">
        <v>0</v>
      </c>
      <c r="AE81" s="72">
        <v>0</v>
      </c>
      <c r="AF81" s="72">
        <v>152163</v>
      </c>
      <c r="AG81" s="72">
        <v>740000</v>
      </c>
      <c r="AH81" s="72">
        <v>93037374</v>
      </c>
      <c r="AI81" s="72">
        <v>227120</v>
      </c>
      <c r="AJ81" s="72">
        <v>750000</v>
      </c>
      <c r="AK81" s="72">
        <v>0</v>
      </c>
      <c r="AL81" s="72">
        <v>977120</v>
      </c>
      <c r="AM81" s="72">
        <v>94014494</v>
      </c>
      <c r="AN81" s="72">
        <v>-1946991</v>
      </c>
      <c r="AO81" s="72">
        <v>3970421</v>
      </c>
      <c r="AP81" s="72">
        <v>2023430</v>
      </c>
      <c r="AQ81" s="72">
        <v>2000000</v>
      </c>
      <c r="AR81" s="72">
        <v>0</v>
      </c>
      <c r="AS81" s="72">
        <v>0</v>
      </c>
      <c r="AT81" s="72">
        <v>0</v>
      </c>
      <c r="AU81" s="72">
        <v>0</v>
      </c>
      <c r="AV81" s="72">
        <v>0</v>
      </c>
      <c r="AW81" s="72">
        <v>0</v>
      </c>
      <c r="AX81" s="72">
        <v>0</v>
      </c>
      <c r="AY81" s="72">
        <v>0</v>
      </c>
      <c r="AZ81" s="72">
        <v>0</v>
      </c>
      <c r="BA81" s="72">
        <v>23430</v>
      </c>
      <c r="BB81" s="72">
        <v>0</v>
      </c>
      <c r="BC81" s="72">
        <v>0</v>
      </c>
      <c r="BD81" s="72">
        <v>0</v>
      </c>
      <c r="BE81" s="72">
        <v>23430</v>
      </c>
      <c r="BF81" s="72">
        <v>0</v>
      </c>
      <c r="BG81" s="72">
        <v>0</v>
      </c>
      <c r="BH81" s="72">
        <v>0</v>
      </c>
      <c r="BI81" s="72">
        <v>0</v>
      </c>
      <c r="BJ81" s="72">
        <v>23430</v>
      </c>
      <c r="BK81" s="72">
        <v>719</v>
      </c>
      <c r="BL81" s="72">
        <v>8871</v>
      </c>
      <c r="BM81" s="72">
        <v>0</v>
      </c>
      <c r="BN81" s="72">
        <v>0</v>
      </c>
      <c r="BO81" s="72">
        <v>0</v>
      </c>
      <c r="BP81" s="72">
        <v>0</v>
      </c>
      <c r="BQ81" s="72">
        <v>0</v>
      </c>
      <c r="BR81" s="72">
        <v>0</v>
      </c>
      <c r="BS81" s="72">
        <v>94014494</v>
      </c>
    </row>
    <row r="82" spans="1:71" x14ac:dyDescent="0.2">
      <c r="A82" t="s">
        <v>437</v>
      </c>
      <c r="B82" t="s">
        <v>1145</v>
      </c>
      <c r="C82" t="s">
        <v>67</v>
      </c>
      <c r="D82" s="72">
        <v>24178837</v>
      </c>
      <c r="E82" s="72">
        <v>822565</v>
      </c>
      <c r="F82" s="72">
        <v>0</v>
      </c>
      <c r="G82" s="72">
        <v>11491788</v>
      </c>
      <c r="H82" s="72">
        <v>108247</v>
      </c>
      <c r="I82" s="72">
        <v>0</v>
      </c>
      <c r="J82" s="72">
        <v>3549185</v>
      </c>
      <c r="K82" s="72">
        <v>911158</v>
      </c>
      <c r="L82" s="72">
        <v>41061780</v>
      </c>
      <c r="M82" s="72">
        <v>0</v>
      </c>
      <c r="N82" s="72">
        <v>0</v>
      </c>
      <c r="O82" s="72">
        <v>0</v>
      </c>
      <c r="P82" s="72">
        <v>20175</v>
      </c>
      <c r="Q82" s="72">
        <v>0</v>
      </c>
      <c r="R82" s="72">
        <v>20175</v>
      </c>
      <c r="S82" s="72">
        <v>41081955</v>
      </c>
      <c r="T82" s="72">
        <v>26380625</v>
      </c>
      <c r="U82" s="72">
        <v>9785622</v>
      </c>
      <c r="V82" s="72">
        <v>3215660</v>
      </c>
      <c r="W82" s="72">
        <v>1411634</v>
      </c>
      <c r="X82" s="72">
        <v>296458</v>
      </c>
      <c r="Y82" s="72">
        <v>0</v>
      </c>
      <c r="Z82" s="72">
        <v>0</v>
      </c>
      <c r="AA82" s="72">
        <v>0</v>
      </c>
      <c r="AB82" s="72">
        <v>0</v>
      </c>
      <c r="AC82" s="72">
        <v>0</v>
      </c>
      <c r="AD82" s="72">
        <v>0</v>
      </c>
      <c r="AE82" s="72">
        <v>0</v>
      </c>
      <c r="AF82" s="72">
        <v>0</v>
      </c>
      <c r="AG82" s="72">
        <v>891687</v>
      </c>
      <c r="AH82" s="72">
        <v>41981686</v>
      </c>
      <c r="AI82" s="72">
        <v>20000</v>
      </c>
      <c r="AJ82" s="72">
        <v>0</v>
      </c>
      <c r="AK82" s="72">
        <v>0</v>
      </c>
      <c r="AL82" s="72">
        <v>20000</v>
      </c>
      <c r="AM82" s="72">
        <v>42001686</v>
      </c>
      <c r="AN82" s="72">
        <v>-919731</v>
      </c>
      <c r="AO82" s="72">
        <v>3758530</v>
      </c>
      <c r="AP82" s="72">
        <v>2838799</v>
      </c>
      <c r="AQ82" s="72">
        <v>25000</v>
      </c>
      <c r="AR82" s="72">
        <v>0</v>
      </c>
      <c r="AS82" s="72">
        <v>0</v>
      </c>
      <c r="AT82" s="72">
        <v>0</v>
      </c>
      <c r="AU82" s="72">
        <v>0</v>
      </c>
      <c r="AV82" s="72">
        <v>0</v>
      </c>
      <c r="AW82" s="72">
        <v>0</v>
      </c>
      <c r="AX82" s="72">
        <v>0</v>
      </c>
      <c r="AY82" s="72">
        <v>0</v>
      </c>
      <c r="AZ82" s="72">
        <v>0</v>
      </c>
      <c r="BA82" s="72">
        <v>2813799</v>
      </c>
      <c r="BB82" s="72">
        <v>0</v>
      </c>
      <c r="BC82" s="72">
        <v>0</v>
      </c>
      <c r="BD82" s="72">
        <v>0</v>
      </c>
      <c r="BE82" s="72">
        <v>2813799</v>
      </c>
      <c r="BF82" s="72">
        <v>0</v>
      </c>
      <c r="BG82" s="72">
        <v>0</v>
      </c>
      <c r="BH82" s="72">
        <v>0</v>
      </c>
      <c r="BI82" s="72">
        <v>0</v>
      </c>
      <c r="BJ82" s="72">
        <v>2813799</v>
      </c>
      <c r="BM82" s="72">
        <v>0</v>
      </c>
      <c r="BN82" s="72">
        <v>0</v>
      </c>
      <c r="BO82" s="72">
        <v>0</v>
      </c>
      <c r="BP82" s="72">
        <v>0</v>
      </c>
      <c r="BQ82" s="72">
        <v>0</v>
      </c>
      <c r="BR82" s="72">
        <v>0</v>
      </c>
      <c r="BS82" s="72">
        <v>42001686</v>
      </c>
    </row>
    <row r="83" spans="1:71" x14ac:dyDescent="0.2">
      <c r="A83" t="s">
        <v>442</v>
      </c>
      <c r="B83" t="s">
        <v>1150</v>
      </c>
      <c r="C83" t="s">
        <v>67</v>
      </c>
      <c r="D83" s="72">
        <v>11919281</v>
      </c>
      <c r="E83" s="72">
        <v>491663</v>
      </c>
      <c r="F83" s="72">
        <v>0</v>
      </c>
      <c r="G83" s="72">
        <v>2769323</v>
      </c>
      <c r="H83" s="72">
        <v>10123</v>
      </c>
      <c r="I83" s="72">
        <v>0</v>
      </c>
      <c r="J83" s="72">
        <v>1748599</v>
      </c>
      <c r="K83" s="72">
        <v>369503</v>
      </c>
      <c r="L83" s="72">
        <v>17308492</v>
      </c>
      <c r="M83" s="72">
        <v>0</v>
      </c>
      <c r="N83" s="72">
        <v>0</v>
      </c>
      <c r="O83" s="72">
        <v>0</v>
      </c>
      <c r="P83" s="72">
        <v>0</v>
      </c>
      <c r="Q83" s="72">
        <v>21708</v>
      </c>
      <c r="R83" s="72">
        <v>21708</v>
      </c>
      <c r="S83" s="72">
        <v>17330200</v>
      </c>
      <c r="T83" s="72">
        <v>9600375</v>
      </c>
      <c r="U83" s="72">
        <v>3025649</v>
      </c>
      <c r="V83" s="72">
        <v>3360237</v>
      </c>
      <c r="W83" s="72">
        <v>597489</v>
      </c>
      <c r="X83" s="72">
        <v>9500</v>
      </c>
      <c r="Y83" s="72">
        <v>0</v>
      </c>
      <c r="Z83" s="72">
        <v>0</v>
      </c>
      <c r="AA83" s="72">
        <v>0</v>
      </c>
      <c r="AB83" s="72">
        <v>0</v>
      </c>
      <c r="AC83" s="72">
        <v>0</v>
      </c>
      <c r="AD83" s="72">
        <v>0</v>
      </c>
      <c r="AE83" s="72">
        <v>0</v>
      </c>
      <c r="AF83" s="72">
        <v>0</v>
      </c>
      <c r="AG83" s="72">
        <v>318045</v>
      </c>
      <c r="AH83" s="72">
        <v>16911295</v>
      </c>
      <c r="AI83" s="72">
        <v>300000</v>
      </c>
      <c r="AJ83" s="72">
        <v>0</v>
      </c>
      <c r="AK83" s="72">
        <v>0</v>
      </c>
      <c r="AL83" s="72">
        <v>300000</v>
      </c>
      <c r="AM83" s="72">
        <v>17211295</v>
      </c>
      <c r="AN83" s="72">
        <v>118905</v>
      </c>
      <c r="AO83" s="72">
        <v>7121601</v>
      </c>
      <c r="AP83" s="72">
        <v>7240506</v>
      </c>
      <c r="AQ83" s="72">
        <v>0</v>
      </c>
      <c r="AR83" s="72">
        <v>0</v>
      </c>
      <c r="AS83" s="72">
        <v>0</v>
      </c>
      <c r="AT83" s="72">
        <v>0</v>
      </c>
      <c r="AU83" s="72">
        <v>0</v>
      </c>
      <c r="AV83" s="72">
        <v>0</v>
      </c>
      <c r="AW83" s="72">
        <v>0</v>
      </c>
      <c r="AX83" s="72">
        <v>0</v>
      </c>
      <c r="AY83" s="72">
        <v>0</v>
      </c>
      <c r="AZ83" s="72">
        <v>0</v>
      </c>
      <c r="BA83" s="72">
        <v>7240506</v>
      </c>
      <c r="BB83" s="72">
        <v>0</v>
      </c>
      <c r="BC83" s="72">
        <v>0</v>
      </c>
      <c r="BD83" s="72">
        <v>0</v>
      </c>
      <c r="BE83" s="72">
        <v>7240506</v>
      </c>
      <c r="BF83" s="72">
        <v>0</v>
      </c>
      <c r="BG83" s="72">
        <v>0</v>
      </c>
      <c r="BH83" s="72">
        <v>0</v>
      </c>
      <c r="BI83" s="72">
        <v>0</v>
      </c>
      <c r="BJ83" s="72">
        <v>7240506</v>
      </c>
      <c r="BM83" s="72">
        <v>0</v>
      </c>
      <c r="BN83" s="72">
        <v>0</v>
      </c>
      <c r="BO83" s="72">
        <v>0</v>
      </c>
      <c r="BP83" s="72">
        <v>0</v>
      </c>
      <c r="BQ83" s="72">
        <v>0</v>
      </c>
      <c r="BR83" s="72">
        <v>0</v>
      </c>
      <c r="BS83" s="72">
        <v>17330200</v>
      </c>
    </row>
    <row r="84" spans="1:71" x14ac:dyDescent="0.2">
      <c r="A84" t="s">
        <v>450</v>
      </c>
      <c r="B84" t="s">
        <v>1336</v>
      </c>
      <c r="C84" t="s">
        <v>53</v>
      </c>
      <c r="D84" s="72">
        <v>9180000</v>
      </c>
      <c r="E84" s="72">
        <v>950000</v>
      </c>
      <c r="F84" s="72">
        <v>0</v>
      </c>
      <c r="G84" s="72">
        <v>31145644</v>
      </c>
      <c r="H84" s="72">
        <v>496000</v>
      </c>
      <c r="I84" s="72">
        <v>0</v>
      </c>
      <c r="J84" s="72">
        <v>1807416</v>
      </c>
      <c r="K84" s="72">
        <v>2265092</v>
      </c>
      <c r="L84" s="72">
        <v>45844152</v>
      </c>
      <c r="M84" s="72">
        <v>0</v>
      </c>
      <c r="N84" s="72">
        <v>0</v>
      </c>
      <c r="O84" s="72">
        <v>0</v>
      </c>
      <c r="P84" s="72">
        <v>0</v>
      </c>
      <c r="Q84" s="72">
        <v>809000</v>
      </c>
      <c r="R84" s="72">
        <v>809000</v>
      </c>
      <c r="S84" s="72">
        <v>46653152</v>
      </c>
      <c r="T84" s="72">
        <v>26254496</v>
      </c>
      <c r="U84" s="72">
        <v>11942726</v>
      </c>
      <c r="V84" s="72">
        <v>15317657</v>
      </c>
      <c r="W84" s="72">
        <v>961171</v>
      </c>
      <c r="X84" s="72">
        <v>355009</v>
      </c>
      <c r="Y84" s="72">
        <v>0</v>
      </c>
      <c r="Z84" s="72">
        <v>0</v>
      </c>
      <c r="AA84" s="72">
        <v>210000</v>
      </c>
      <c r="AB84" s="72">
        <v>0</v>
      </c>
      <c r="AC84" s="72">
        <v>0</v>
      </c>
      <c r="AD84" s="72">
        <v>0</v>
      </c>
      <c r="AE84" s="72">
        <v>0</v>
      </c>
      <c r="AF84" s="72">
        <v>137731</v>
      </c>
      <c r="AG84" s="72">
        <v>629066</v>
      </c>
      <c r="AH84" s="72">
        <v>55807856</v>
      </c>
      <c r="AI84" s="72">
        <v>0</v>
      </c>
      <c r="AJ84" s="72">
        <v>0</v>
      </c>
      <c r="AK84" s="72">
        <v>0</v>
      </c>
      <c r="AL84" s="72">
        <v>0</v>
      </c>
      <c r="AM84" s="72">
        <v>55807856</v>
      </c>
      <c r="AN84" s="72">
        <v>-9154704</v>
      </c>
      <c r="AO84" s="72">
        <v>2986183</v>
      </c>
      <c r="AP84" s="72">
        <v>-6168521</v>
      </c>
      <c r="AQ84" s="72">
        <v>360000</v>
      </c>
      <c r="AR84" s="72">
        <v>0</v>
      </c>
      <c r="AS84" s="72">
        <v>0</v>
      </c>
      <c r="AT84" s="72">
        <v>0</v>
      </c>
      <c r="AU84" s="72">
        <v>0</v>
      </c>
      <c r="AV84" s="72">
        <v>0</v>
      </c>
      <c r="AW84" s="72">
        <v>0</v>
      </c>
      <c r="AX84" s="72">
        <v>0</v>
      </c>
      <c r="AY84" s="72">
        <v>0</v>
      </c>
      <c r="AZ84" s="72">
        <v>0</v>
      </c>
      <c r="BA84" s="72">
        <v>-6528521</v>
      </c>
      <c r="BB84" s="72">
        <v>0</v>
      </c>
      <c r="BC84" s="72">
        <v>0</v>
      </c>
      <c r="BD84" s="72">
        <v>0</v>
      </c>
      <c r="BE84" s="72">
        <v>-6528521</v>
      </c>
      <c r="BF84" s="72">
        <v>0</v>
      </c>
      <c r="BG84" s="72">
        <v>2000000</v>
      </c>
      <c r="BH84" s="72">
        <v>2000000</v>
      </c>
      <c r="BI84" s="72">
        <v>0</v>
      </c>
      <c r="BJ84" s="72">
        <v>-4528521</v>
      </c>
      <c r="BK84" s="72">
        <v>358</v>
      </c>
      <c r="BL84" s="72">
        <v>3156</v>
      </c>
      <c r="BM84" s="72">
        <v>0</v>
      </c>
      <c r="BN84" s="72">
        <v>0</v>
      </c>
      <c r="BO84" s="72">
        <v>0</v>
      </c>
      <c r="BP84" s="72">
        <v>0</v>
      </c>
      <c r="BQ84" s="72">
        <v>0</v>
      </c>
      <c r="BR84" s="72">
        <v>0</v>
      </c>
      <c r="BS84" s="72">
        <v>55807856</v>
      </c>
    </row>
    <row r="85" spans="1:71" x14ac:dyDescent="0.2">
      <c r="A85" t="s">
        <v>451</v>
      </c>
      <c r="B85" t="s">
        <v>1156</v>
      </c>
      <c r="C85" t="s">
        <v>23</v>
      </c>
      <c r="D85" s="72">
        <v>12600000</v>
      </c>
      <c r="E85" s="72">
        <v>0</v>
      </c>
      <c r="F85" s="72">
        <v>0</v>
      </c>
      <c r="G85" s="72">
        <v>18994827</v>
      </c>
      <c r="H85" s="72">
        <v>415000</v>
      </c>
      <c r="I85" s="72">
        <v>0</v>
      </c>
      <c r="J85" s="72">
        <v>2016177</v>
      </c>
      <c r="K85" s="72">
        <v>1362601</v>
      </c>
      <c r="L85" s="72">
        <v>35388605</v>
      </c>
      <c r="M85" s="72">
        <v>2411000</v>
      </c>
      <c r="N85" s="72">
        <v>0</v>
      </c>
      <c r="O85" s="72">
        <v>0</v>
      </c>
      <c r="P85" s="72">
        <v>0</v>
      </c>
      <c r="Q85" s="72">
        <v>0</v>
      </c>
      <c r="R85" s="72">
        <v>2411000</v>
      </c>
      <c r="S85" s="72">
        <v>37799605</v>
      </c>
      <c r="T85" s="72">
        <v>19665187</v>
      </c>
      <c r="U85" s="72">
        <v>7775462</v>
      </c>
      <c r="V85" s="72">
        <v>6838189</v>
      </c>
      <c r="W85" s="72">
        <v>703000</v>
      </c>
      <c r="X85" s="72">
        <v>75000</v>
      </c>
      <c r="Y85" s="72">
        <v>0</v>
      </c>
      <c r="Z85" s="72">
        <v>0</v>
      </c>
      <c r="AA85" s="72">
        <v>2511000</v>
      </c>
      <c r="AB85" s="72">
        <v>0</v>
      </c>
      <c r="AC85" s="72">
        <v>0</v>
      </c>
      <c r="AD85" s="72">
        <v>0</v>
      </c>
      <c r="AE85" s="72">
        <v>0</v>
      </c>
      <c r="AF85" s="72">
        <v>31400</v>
      </c>
      <c r="AG85" s="72">
        <v>457000</v>
      </c>
      <c r="AH85" s="72">
        <v>38056238</v>
      </c>
      <c r="AI85" s="72">
        <v>575000</v>
      </c>
      <c r="AJ85" s="72">
        <v>0</v>
      </c>
      <c r="AK85" s="72">
        <v>0</v>
      </c>
      <c r="AL85" s="72">
        <v>575000</v>
      </c>
      <c r="AM85" s="72">
        <v>38631238</v>
      </c>
      <c r="AN85" s="72">
        <v>-831633</v>
      </c>
      <c r="AO85" s="72">
        <v>1178072</v>
      </c>
      <c r="AP85" s="72">
        <v>346439</v>
      </c>
      <c r="AQ85" s="72">
        <v>50000</v>
      </c>
      <c r="AR85" s="72">
        <v>0</v>
      </c>
      <c r="AS85" s="72">
        <v>0</v>
      </c>
      <c r="AT85" s="72">
        <v>0</v>
      </c>
      <c r="AU85" s="72">
        <v>0</v>
      </c>
      <c r="AV85" s="72">
        <v>0</v>
      </c>
      <c r="AW85" s="72">
        <v>0</v>
      </c>
      <c r="AX85" s="72">
        <v>0</v>
      </c>
      <c r="AY85" s="72">
        <v>0</v>
      </c>
      <c r="AZ85" s="72">
        <v>0</v>
      </c>
      <c r="BA85" s="72">
        <v>296439</v>
      </c>
      <c r="BB85" s="72">
        <v>0</v>
      </c>
      <c r="BC85" s="72">
        <v>0</v>
      </c>
      <c r="BD85" s="72">
        <v>0</v>
      </c>
      <c r="BE85" s="72">
        <v>296439</v>
      </c>
      <c r="BF85" s="72">
        <v>0</v>
      </c>
      <c r="BG85" s="72">
        <v>0</v>
      </c>
      <c r="BH85" s="72">
        <v>0</v>
      </c>
      <c r="BI85" s="72">
        <v>0</v>
      </c>
      <c r="BJ85" s="72">
        <v>296439</v>
      </c>
      <c r="BK85" s="72">
        <v>0</v>
      </c>
      <c r="BL85" s="72">
        <v>0</v>
      </c>
      <c r="BM85" s="72">
        <v>0</v>
      </c>
      <c r="BN85" s="72">
        <v>0</v>
      </c>
      <c r="BO85" s="72">
        <v>0</v>
      </c>
      <c r="BP85" s="72">
        <v>0</v>
      </c>
      <c r="BQ85" s="72">
        <v>0</v>
      </c>
      <c r="BR85" s="72">
        <v>0</v>
      </c>
      <c r="BS85" s="72">
        <v>38631238</v>
      </c>
    </row>
    <row r="86" spans="1:71" x14ac:dyDescent="0.2">
      <c r="A86" t="s">
        <v>456</v>
      </c>
      <c r="B86" t="s">
        <v>1161</v>
      </c>
      <c r="C86" t="s">
        <v>67</v>
      </c>
      <c r="D86" s="72">
        <v>13674496</v>
      </c>
      <c r="E86" s="72">
        <v>890932</v>
      </c>
      <c r="F86" s="72">
        <v>0</v>
      </c>
      <c r="G86" s="72">
        <v>2893867</v>
      </c>
      <c r="H86" s="72">
        <v>0</v>
      </c>
      <c r="I86" s="72">
        <v>0</v>
      </c>
      <c r="J86" s="72">
        <v>2644731</v>
      </c>
      <c r="K86" s="72">
        <v>200000</v>
      </c>
      <c r="L86" s="72">
        <v>20304026</v>
      </c>
      <c r="M86" s="72">
        <v>0</v>
      </c>
      <c r="N86" s="72">
        <v>0</v>
      </c>
      <c r="O86" s="72">
        <v>25000</v>
      </c>
      <c r="P86" s="72">
        <v>0</v>
      </c>
      <c r="Q86" s="72">
        <v>0</v>
      </c>
      <c r="R86" s="72">
        <v>25000</v>
      </c>
      <c r="S86" s="72">
        <v>20329026</v>
      </c>
      <c r="T86" s="72">
        <v>11838438</v>
      </c>
      <c r="U86" s="72">
        <v>3733689</v>
      </c>
      <c r="V86" s="72">
        <v>3828900</v>
      </c>
      <c r="W86" s="72">
        <v>676671</v>
      </c>
      <c r="X86" s="72">
        <v>302568</v>
      </c>
      <c r="Y86" s="72">
        <v>0</v>
      </c>
      <c r="Z86" s="72">
        <v>0</v>
      </c>
      <c r="AA86" s="72">
        <v>0</v>
      </c>
      <c r="AB86" s="72">
        <v>0</v>
      </c>
      <c r="AC86" s="72">
        <v>0</v>
      </c>
      <c r="AD86" s="72">
        <v>0</v>
      </c>
      <c r="AE86" s="72">
        <v>195901</v>
      </c>
      <c r="AF86" s="72">
        <v>121003</v>
      </c>
      <c r="AG86" s="72">
        <v>345200</v>
      </c>
      <c r="AH86" s="72">
        <v>21042370</v>
      </c>
      <c r="AI86" s="72">
        <v>50000</v>
      </c>
      <c r="AJ86" s="72">
        <v>0</v>
      </c>
      <c r="AK86" s="72">
        <v>0</v>
      </c>
      <c r="AL86" s="72">
        <v>50000</v>
      </c>
      <c r="AM86" s="72">
        <v>21092370</v>
      </c>
      <c r="AN86" s="72">
        <v>-763344</v>
      </c>
      <c r="AO86" s="72">
        <v>6733739</v>
      </c>
      <c r="AP86" s="72">
        <v>5970395</v>
      </c>
      <c r="AQ86" s="72">
        <v>0</v>
      </c>
      <c r="AR86" s="72">
        <v>0</v>
      </c>
      <c r="AS86" s="72">
        <v>0</v>
      </c>
      <c r="AT86" s="72">
        <v>0</v>
      </c>
      <c r="AU86" s="72">
        <v>0</v>
      </c>
      <c r="AV86" s="72">
        <v>0</v>
      </c>
      <c r="AW86" s="72">
        <v>0</v>
      </c>
      <c r="AX86" s="72">
        <v>0</v>
      </c>
      <c r="AY86" s="72">
        <v>0</v>
      </c>
      <c r="AZ86" s="72">
        <v>0</v>
      </c>
      <c r="BA86" s="72">
        <v>5970395</v>
      </c>
      <c r="BB86" s="72">
        <v>0</v>
      </c>
      <c r="BC86" s="72">
        <v>0</v>
      </c>
      <c r="BD86" s="72">
        <v>0</v>
      </c>
      <c r="BE86" s="72">
        <v>5970395</v>
      </c>
      <c r="BF86" s="72">
        <v>0</v>
      </c>
      <c r="BG86" s="72">
        <v>0</v>
      </c>
      <c r="BH86" s="72">
        <v>0</v>
      </c>
      <c r="BI86" s="72">
        <v>0</v>
      </c>
      <c r="BJ86" s="72">
        <v>5970395</v>
      </c>
      <c r="BK86" s="72">
        <v>132</v>
      </c>
      <c r="BL86" s="72">
        <v>1556</v>
      </c>
      <c r="BM86" s="72">
        <v>0</v>
      </c>
      <c r="BN86" s="72">
        <v>0</v>
      </c>
      <c r="BO86" s="72">
        <v>0</v>
      </c>
      <c r="BP86" s="72">
        <v>0</v>
      </c>
      <c r="BQ86" s="72">
        <v>0</v>
      </c>
      <c r="BR86" s="72">
        <v>0</v>
      </c>
      <c r="BS86" s="72">
        <v>21092370</v>
      </c>
    </row>
    <row r="87" spans="1:71" x14ac:dyDescent="0.2">
      <c r="A87" t="s">
        <v>457</v>
      </c>
      <c r="B87" t="s">
        <v>1162</v>
      </c>
      <c r="C87" t="s">
        <v>76</v>
      </c>
      <c r="D87" s="72">
        <v>11180512</v>
      </c>
      <c r="E87" s="72">
        <v>895309</v>
      </c>
      <c r="F87" s="72">
        <v>0</v>
      </c>
      <c r="G87" s="72">
        <v>8087953</v>
      </c>
      <c r="H87" s="72">
        <v>24403</v>
      </c>
      <c r="I87" s="72">
        <v>0</v>
      </c>
      <c r="J87" s="72">
        <v>1135896</v>
      </c>
      <c r="K87" s="72">
        <v>1089487</v>
      </c>
      <c r="L87" s="72">
        <v>22413560</v>
      </c>
      <c r="M87" s="72">
        <v>0</v>
      </c>
      <c r="N87" s="72">
        <v>0</v>
      </c>
      <c r="O87" s="72">
        <v>80000</v>
      </c>
      <c r="P87" s="72">
        <v>10000</v>
      </c>
      <c r="Q87" s="72">
        <v>10000</v>
      </c>
      <c r="R87" s="72">
        <v>100000</v>
      </c>
      <c r="S87" s="72">
        <v>22513560</v>
      </c>
      <c r="T87" s="72">
        <v>11989003</v>
      </c>
      <c r="U87" s="72">
        <v>6025603</v>
      </c>
      <c r="V87" s="72">
        <v>3314146</v>
      </c>
      <c r="W87" s="72">
        <v>683547</v>
      </c>
      <c r="X87" s="72">
        <v>55371</v>
      </c>
      <c r="Y87" s="72">
        <v>0</v>
      </c>
      <c r="Z87" s="72">
        <v>0</v>
      </c>
      <c r="AA87" s="72">
        <v>0</v>
      </c>
      <c r="AB87" s="72">
        <v>0</v>
      </c>
      <c r="AC87" s="72">
        <v>0</v>
      </c>
      <c r="AD87" s="72">
        <v>146000</v>
      </c>
      <c r="AE87" s="72">
        <v>0</v>
      </c>
      <c r="AF87" s="72">
        <v>48285</v>
      </c>
      <c r="AG87" s="72">
        <v>408082</v>
      </c>
      <c r="AH87" s="72">
        <v>22670037</v>
      </c>
      <c r="AI87" s="72">
        <v>70000</v>
      </c>
      <c r="AJ87" s="72">
        <v>10000</v>
      </c>
      <c r="AK87" s="72">
        <v>5000</v>
      </c>
      <c r="AL87" s="72">
        <v>85000</v>
      </c>
      <c r="AM87" s="72">
        <v>22755037</v>
      </c>
      <c r="AN87" s="72">
        <v>-241477</v>
      </c>
      <c r="AO87" s="72">
        <v>2078194</v>
      </c>
      <c r="AP87" s="72">
        <v>1836717</v>
      </c>
      <c r="AQ87" s="72">
        <v>75000</v>
      </c>
      <c r="AR87" s="72">
        <v>0</v>
      </c>
      <c r="AS87" s="72">
        <v>0</v>
      </c>
      <c r="AT87" s="72">
        <v>0</v>
      </c>
      <c r="AU87" s="72">
        <v>0</v>
      </c>
      <c r="AV87" s="72">
        <v>0</v>
      </c>
      <c r="AW87" s="72">
        <v>0</v>
      </c>
      <c r="AX87" s="72">
        <v>0</v>
      </c>
      <c r="AY87" s="72">
        <v>0</v>
      </c>
      <c r="AZ87" s="72">
        <v>0</v>
      </c>
      <c r="BA87" s="72">
        <v>1761717</v>
      </c>
      <c r="BB87" s="72">
        <v>0</v>
      </c>
      <c r="BC87" s="72">
        <v>0</v>
      </c>
      <c r="BD87" s="72">
        <v>0</v>
      </c>
      <c r="BE87" s="72">
        <v>1761717</v>
      </c>
      <c r="BF87" s="72">
        <v>0</v>
      </c>
      <c r="BG87" s="72">
        <v>0</v>
      </c>
      <c r="BH87" s="72">
        <v>0</v>
      </c>
      <c r="BI87" s="72">
        <v>0</v>
      </c>
      <c r="BJ87" s="72">
        <v>1761717</v>
      </c>
      <c r="BM87" s="72">
        <v>0</v>
      </c>
      <c r="BN87" s="72">
        <v>0</v>
      </c>
      <c r="BO87" s="72">
        <v>0</v>
      </c>
      <c r="BP87" s="72">
        <v>0</v>
      </c>
      <c r="BQ87" s="72">
        <v>0</v>
      </c>
      <c r="BR87" s="72">
        <v>0</v>
      </c>
      <c r="BS87" s="72">
        <v>22755037</v>
      </c>
    </row>
    <row r="88" spans="1:71" x14ac:dyDescent="0.2">
      <c r="A88" t="s">
        <v>458</v>
      </c>
      <c r="B88" t="s">
        <v>1163</v>
      </c>
      <c r="C88" t="s">
        <v>33</v>
      </c>
      <c r="D88" s="72">
        <v>7701005</v>
      </c>
      <c r="E88" s="72">
        <v>0</v>
      </c>
      <c r="F88" s="72">
        <v>0</v>
      </c>
      <c r="G88" s="72">
        <v>33141409</v>
      </c>
      <c r="H88" s="72">
        <v>154808</v>
      </c>
      <c r="I88" s="72">
        <v>0</v>
      </c>
      <c r="J88" s="72">
        <v>1200000</v>
      </c>
      <c r="K88" s="72">
        <v>3429460</v>
      </c>
      <c r="L88" s="72">
        <v>45626682</v>
      </c>
      <c r="M88" s="72">
        <v>0</v>
      </c>
      <c r="N88" s="72">
        <v>0</v>
      </c>
      <c r="O88" s="72">
        <v>0</v>
      </c>
      <c r="P88" s="72">
        <v>0</v>
      </c>
      <c r="Q88" s="72">
        <v>0</v>
      </c>
      <c r="R88" s="72">
        <v>0</v>
      </c>
      <c r="S88" s="72">
        <v>45626682</v>
      </c>
      <c r="T88" s="72">
        <v>23494431</v>
      </c>
      <c r="U88" s="72">
        <v>9943364</v>
      </c>
      <c r="V88" s="72">
        <v>11361638</v>
      </c>
      <c r="W88" s="72">
        <v>1100786</v>
      </c>
      <c r="X88" s="72">
        <v>588000</v>
      </c>
      <c r="Y88" s="72">
        <v>0</v>
      </c>
      <c r="Z88" s="72">
        <v>0</v>
      </c>
      <c r="AA88" s="72">
        <v>0</v>
      </c>
      <c r="AB88" s="72">
        <v>0</v>
      </c>
      <c r="AC88" s="72">
        <v>0</v>
      </c>
      <c r="AD88" s="72">
        <v>102828</v>
      </c>
      <c r="AE88" s="72">
        <v>0</v>
      </c>
      <c r="AF88" s="72">
        <v>63905</v>
      </c>
      <c r="AG88" s="72">
        <v>1001725</v>
      </c>
      <c r="AH88" s="72">
        <v>47656677</v>
      </c>
      <c r="AI88" s="72">
        <v>75000</v>
      </c>
      <c r="AJ88" s="72">
        <v>0</v>
      </c>
      <c r="AK88" s="72">
        <v>0</v>
      </c>
      <c r="AL88" s="72">
        <v>75000</v>
      </c>
      <c r="AM88" s="72">
        <v>47731677</v>
      </c>
      <c r="AN88" s="72">
        <v>-2104995</v>
      </c>
      <c r="AO88" s="72">
        <v>14498123</v>
      </c>
      <c r="AP88" s="72">
        <v>12393128</v>
      </c>
      <c r="AQ88" s="72">
        <v>800000</v>
      </c>
      <c r="AR88" s="72">
        <v>0</v>
      </c>
      <c r="AS88" s="72">
        <v>0</v>
      </c>
      <c r="AT88" s="72">
        <v>0</v>
      </c>
      <c r="AU88" s="72">
        <v>0</v>
      </c>
      <c r="AV88" s="72">
        <v>0</v>
      </c>
      <c r="AW88" s="72">
        <v>0</v>
      </c>
      <c r="AX88" s="72">
        <v>0</v>
      </c>
      <c r="AY88" s="72">
        <v>0</v>
      </c>
      <c r="AZ88" s="72">
        <v>0</v>
      </c>
      <c r="BA88" s="72">
        <v>11593128</v>
      </c>
      <c r="BB88" s="72">
        <v>0</v>
      </c>
      <c r="BC88" s="72">
        <v>0</v>
      </c>
      <c r="BD88" s="72">
        <v>0</v>
      </c>
      <c r="BE88" s="72">
        <v>11593128</v>
      </c>
      <c r="BF88" s="72">
        <v>0</v>
      </c>
      <c r="BG88" s="72">
        <v>0</v>
      </c>
      <c r="BH88" s="72">
        <v>0</v>
      </c>
      <c r="BI88" s="72">
        <v>0</v>
      </c>
      <c r="BJ88" s="72">
        <v>11593128</v>
      </c>
      <c r="BK88" s="72">
        <v>425</v>
      </c>
      <c r="BL88" s="72">
        <v>4650</v>
      </c>
      <c r="BM88" s="72">
        <v>0</v>
      </c>
      <c r="BN88" s="72">
        <v>0</v>
      </c>
      <c r="BO88" s="72">
        <v>0</v>
      </c>
      <c r="BP88" s="72">
        <v>0</v>
      </c>
      <c r="BQ88" s="72">
        <v>0</v>
      </c>
      <c r="BR88" s="72">
        <v>0</v>
      </c>
      <c r="BS88" s="72">
        <v>47731677</v>
      </c>
    </row>
    <row r="89" spans="1:71" x14ac:dyDescent="0.2">
      <c r="A89" t="s">
        <v>461</v>
      </c>
      <c r="B89" t="s">
        <v>1166</v>
      </c>
      <c r="C89" t="s">
        <v>41</v>
      </c>
      <c r="D89" s="72">
        <v>2100000</v>
      </c>
      <c r="E89" s="72">
        <v>0</v>
      </c>
      <c r="F89" s="72">
        <v>0</v>
      </c>
      <c r="G89" s="72">
        <v>9133643</v>
      </c>
      <c r="H89" s="72">
        <v>134658</v>
      </c>
      <c r="I89" s="72">
        <v>0</v>
      </c>
      <c r="J89" s="72">
        <v>350000</v>
      </c>
      <c r="K89" s="72">
        <v>1387661</v>
      </c>
      <c r="L89" s="72">
        <v>13105962</v>
      </c>
      <c r="M89" s="72">
        <v>0</v>
      </c>
      <c r="N89" s="72">
        <v>0</v>
      </c>
      <c r="O89" s="72">
        <v>0</v>
      </c>
      <c r="P89" s="72">
        <v>0</v>
      </c>
      <c r="Q89" s="72">
        <v>76840</v>
      </c>
      <c r="R89" s="72">
        <v>76840</v>
      </c>
      <c r="S89" s="72">
        <v>13182802</v>
      </c>
      <c r="T89" s="72">
        <v>5212167</v>
      </c>
      <c r="U89" s="72">
        <v>2947982</v>
      </c>
      <c r="V89" s="72">
        <v>2038300</v>
      </c>
      <c r="W89" s="72">
        <v>592000</v>
      </c>
      <c r="X89" s="72">
        <v>278850</v>
      </c>
      <c r="Y89" s="72">
        <v>0</v>
      </c>
      <c r="Z89" s="72">
        <v>0</v>
      </c>
      <c r="AA89" s="72">
        <v>121000</v>
      </c>
      <c r="AB89" s="72">
        <v>0</v>
      </c>
      <c r="AC89" s="72">
        <v>0</v>
      </c>
      <c r="AD89" s="72">
        <v>0</v>
      </c>
      <c r="AE89" s="72">
        <v>0</v>
      </c>
      <c r="AF89" s="72">
        <v>119180</v>
      </c>
      <c r="AG89" s="72">
        <v>149422</v>
      </c>
      <c r="AH89" s="72">
        <v>11458901</v>
      </c>
      <c r="AI89" s="72">
        <v>1636030</v>
      </c>
      <c r="AJ89" s="72">
        <v>0</v>
      </c>
      <c r="AK89" s="72">
        <v>0</v>
      </c>
      <c r="AL89" s="72">
        <v>1636030</v>
      </c>
      <c r="AM89" s="72">
        <v>13094931</v>
      </c>
      <c r="AN89" s="72">
        <v>87871</v>
      </c>
      <c r="AO89" s="72">
        <v>1133137</v>
      </c>
      <c r="AP89" s="72">
        <v>1221008</v>
      </c>
      <c r="AQ89" s="72">
        <v>40000</v>
      </c>
      <c r="AR89" s="72">
        <v>0</v>
      </c>
      <c r="AS89" s="72">
        <v>0</v>
      </c>
      <c r="AT89" s="72">
        <v>0</v>
      </c>
      <c r="AU89" s="72">
        <v>0</v>
      </c>
      <c r="AV89" s="72">
        <v>0</v>
      </c>
      <c r="AW89" s="72">
        <v>0</v>
      </c>
      <c r="AX89" s="72">
        <v>0</v>
      </c>
      <c r="AY89" s="72">
        <v>0</v>
      </c>
      <c r="AZ89" s="72">
        <v>0</v>
      </c>
      <c r="BA89" s="72">
        <v>1181008</v>
      </c>
      <c r="BB89" s="72">
        <v>0</v>
      </c>
      <c r="BC89" s="72">
        <v>0</v>
      </c>
      <c r="BD89" s="72">
        <v>0</v>
      </c>
      <c r="BE89" s="72">
        <v>1181008</v>
      </c>
      <c r="BF89" s="72">
        <v>0</v>
      </c>
      <c r="BG89" s="72">
        <v>0</v>
      </c>
      <c r="BH89" s="72">
        <v>0</v>
      </c>
      <c r="BI89" s="72">
        <v>0</v>
      </c>
      <c r="BJ89" s="72">
        <v>1181008</v>
      </c>
      <c r="BK89" s="72">
        <v>0</v>
      </c>
      <c r="BL89" s="72">
        <v>0</v>
      </c>
      <c r="BM89" s="72">
        <v>0</v>
      </c>
      <c r="BN89" s="72">
        <v>0</v>
      </c>
      <c r="BO89" s="72">
        <v>0</v>
      </c>
      <c r="BP89" s="72">
        <v>0</v>
      </c>
      <c r="BQ89" s="72">
        <v>0</v>
      </c>
      <c r="BR89" s="72">
        <v>0</v>
      </c>
      <c r="BS89" s="72">
        <v>13182802</v>
      </c>
    </row>
    <row r="90" spans="1:71" x14ac:dyDescent="0.2">
      <c r="A90" t="s">
        <v>464</v>
      </c>
      <c r="B90" t="s">
        <v>1169</v>
      </c>
      <c r="C90" t="s">
        <v>55</v>
      </c>
      <c r="D90" s="72">
        <v>13195846</v>
      </c>
      <c r="E90" s="72">
        <v>0</v>
      </c>
      <c r="F90" s="72">
        <v>35760</v>
      </c>
      <c r="G90" s="72">
        <v>20162831</v>
      </c>
      <c r="H90" s="72">
        <v>475512</v>
      </c>
      <c r="J90" s="72">
        <v>2694211</v>
      </c>
      <c r="K90" s="72">
        <v>2075235</v>
      </c>
      <c r="L90" s="72">
        <v>38639396</v>
      </c>
      <c r="M90" s="72">
        <v>0</v>
      </c>
      <c r="N90" s="72">
        <v>0</v>
      </c>
      <c r="O90" s="72">
        <v>0</v>
      </c>
      <c r="P90" s="72">
        <v>101076</v>
      </c>
      <c r="Q90" s="72">
        <v>257439</v>
      </c>
      <c r="R90" s="72">
        <v>358515</v>
      </c>
      <c r="S90" s="72">
        <v>38997910</v>
      </c>
      <c r="T90" s="72">
        <v>21773435</v>
      </c>
      <c r="U90" s="72">
        <v>8182486</v>
      </c>
      <c r="V90" s="72">
        <v>6280686</v>
      </c>
      <c r="W90" s="72">
        <v>736599</v>
      </c>
      <c r="X90" s="72">
        <v>253528</v>
      </c>
      <c r="Y90" s="72">
        <v>0</v>
      </c>
      <c r="Z90" s="72">
        <v>0</v>
      </c>
      <c r="AA90" s="72">
        <v>0</v>
      </c>
      <c r="AB90" s="72">
        <v>0</v>
      </c>
      <c r="AC90" s="72">
        <v>0</v>
      </c>
      <c r="AD90" s="72">
        <v>0</v>
      </c>
      <c r="AE90" s="72">
        <v>0</v>
      </c>
      <c r="AF90" s="72">
        <v>0</v>
      </c>
      <c r="AG90" s="72">
        <v>656354</v>
      </c>
      <c r="AH90" s="72">
        <v>37883089</v>
      </c>
      <c r="AI90" s="72">
        <v>0</v>
      </c>
      <c r="AJ90" s="72">
        <v>4852</v>
      </c>
      <c r="AK90" s="72">
        <v>0</v>
      </c>
      <c r="AL90" s="72">
        <v>4852</v>
      </c>
      <c r="AM90" s="72">
        <v>37887941</v>
      </c>
      <c r="AN90" s="72">
        <v>1109970</v>
      </c>
      <c r="AO90" s="72">
        <v>4867389</v>
      </c>
      <c r="AP90" s="72">
        <v>5977358</v>
      </c>
      <c r="AQ90" s="72">
        <v>0</v>
      </c>
      <c r="AR90" s="72">
        <v>0</v>
      </c>
      <c r="AS90" s="72">
        <v>0</v>
      </c>
      <c r="AT90" s="72">
        <v>0</v>
      </c>
      <c r="AU90" s="72">
        <v>0</v>
      </c>
      <c r="AW90" s="72">
        <v>0</v>
      </c>
      <c r="AX90" s="72">
        <v>0</v>
      </c>
      <c r="AY90" s="72">
        <v>0</v>
      </c>
      <c r="AZ90" s="72">
        <v>0</v>
      </c>
      <c r="BA90" s="72">
        <v>5977358</v>
      </c>
      <c r="BB90" s="72">
        <v>0</v>
      </c>
      <c r="BC90" s="72">
        <v>0</v>
      </c>
      <c r="BD90" s="72">
        <v>0</v>
      </c>
      <c r="BE90" s="72">
        <v>5977358</v>
      </c>
      <c r="BF90" s="72">
        <v>0</v>
      </c>
      <c r="BG90" s="72">
        <v>0</v>
      </c>
      <c r="BH90" s="72">
        <v>0</v>
      </c>
      <c r="BJ90" s="72">
        <v>5977358</v>
      </c>
      <c r="BK90" s="72">
        <v>310</v>
      </c>
      <c r="BL90" s="72">
        <v>3641</v>
      </c>
      <c r="BS90" s="72">
        <v>38997910</v>
      </c>
    </row>
    <row r="91" spans="1:71" x14ac:dyDescent="0.2">
      <c r="A91" t="s">
        <v>466</v>
      </c>
      <c r="B91" t="s">
        <v>1171</v>
      </c>
      <c r="C91" t="s">
        <v>104</v>
      </c>
      <c r="D91" s="72">
        <v>18066897</v>
      </c>
      <c r="E91" s="72">
        <v>660866</v>
      </c>
      <c r="F91" s="72">
        <v>0</v>
      </c>
      <c r="G91" s="72">
        <v>4209126</v>
      </c>
      <c r="H91" s="72">
        <v>15083</v>
      </c>
      <c r="I91" s="72">
        <v>0</v>
      </c>
      <c r="J91" s="72">
        <v>4905422</v>
      </c>
      <c r="K91" s="72">
        <v>535586</v>
      </c>
      <c r="L91" s="72">
        <v>28392980</v>
      </c>
      <c r="M91" s="72">
        <v>0</v>
      </c>
      <c r="N91" s="72">
        <v>0</v>
      </c>
      <c r="O91" s="72">
        <v>0</v>
      </c>
      <c r="P91" s="72">
        <v>30000</v>
      </c>
      <c r="Q91" s="72">
        <v>0</v>
      </c>
      <c r="R91" s="72">
        <v>30000</v>
      </c>
      <c r="S91" s="72">
        <v>28422980</v>
      </c>
      <c r="T91" s="72">
        <v>17445727</v>
      </c>
      <c r="U91" s="72">
        <v>6464397</v>
      </c>
      <c r="V91" s="72">
        <v>3299170</v>
      </c>
      <c r="W91" s="72">
        <v>902083</v>
      </c>
      <c r="X91" s="72">
        <v>55984</v>
      </c>
      <c r="Y91" s="72">
        <v>0</v>
      </c>
      <c r="Z91" s="72">
        <v>0</v>
      </c>
      <c r="AA91" s="72">
        <v>0</v>
      </c>
      <c r="AB91" s="72">
        <v>0</v>
      </c>
      <c r="AC91" s="72">
        <v>0</v>
      </c>
      <c r="AD91" s="72">
        <v>0</v>
      </c>
      <c r="AE91" s="72">
        <v>0</v>
      </c>
      <c r="AF91" s="72">
        <v>0</v>
      </c>
      <c r="AG91" s="72">
        <v>470345</v>
      </c>
      <c r="AH91" s="72">
        <v>28637706</v>
      </c>
      <c r="AI91" s="72">
        <v>442800</v>
      </c>
      <c r="AJ91" s="72">
        <v>30000</v>
      </c>
      <c r="AK91" s="72">
        <v>0</v>
      </c>
      <c r="AL91" s="72">
        <v>472800</v>
      </c>
      <c r="AM91" s="72">
        <v>29110506</v>
      </c>
      <c r="AN91" s="72">
        <v>-687526</v>
      </c>
      <c r="AO91" s="72">
        <v>3184813</v>
      </c>
      <c r="AP91" s="72">
        <v>2497287</v>
      </c>
      <c r="AQ91" s="72">
        <v>0</v>
      </c>
      <c r="AR91" s="72">
        <v>0</v>
      </c>
      <c r="AS91" s="72">
        <v>0</v>
      </c>
      <c r="AT91" s="72">
        <v>0</v>
      </c>
      <c r="AU91" s="72">
        <v>0</v>
      </c>
      <c r="AV91" s="72">
        <v>0</v>
      </c>
      <c r="AW91" s="72">
        <v>0</v>
      </c>
      <c r="AX91" s="72">
        <v>0</v>
      </c>
      <c r="AY91" s="72">
        <v>0</v>
      </c>
      <c r="AZ91" s="72">
        <v>0</v>
      </c>
      <c r="BA91" s="72">
        <v>2497287</v>
      </c>
      <c r="BB91" s="72">
        <v>0</v>
      </c>
      <c r="BC91" s="72">
        <v>0</v>
      </c>
      <c r="BD91" s="72">
        <v>0</v>
      </c>
      <c r="BE91" s="72">
        <v>2497287</v>
      </c>
      <c r="BF91" s="72">
        <v>0</v>
      </c>
      <c r="BG91" s="72">
        <v>0</v>
      </c>
      <c r="BH91" s="72">
        <v>0</v>
      </c>
      <c r="BI91" s="72">
        <v>0</v>
      </c>
      <c r="BJ91" s="72">
        <v>2497287</v>
      </c>
      <c r="BM91" s="72">
        <v>0</v>
      </c>
      <c r="BN91" s="72">
        <v>0</v>
      </c>
      <c r="BO91" s="72">
        <v>0</v>
      </c>
      <c r="BP91" s="72">
        <v>0</v>
      </c>
      <c r="BQ91" s="72">
        <v>0</v>
      </c>
      <c r="BR91" s="72">
        <v>0</v>
      </c>
      <c r="BS91" s="72">
        <v>29110506</v>
      </c>
    </row>
    <row r="92" spans="1:71" x14ac:dyDescent="0.2">
      <c r="A92" t="s">
        <v>467</v>
      </c>
      <c r="B92" t="s">
        <v>1172</v>
      </c>
      <c r="C92" t="s">
        <v>23</v>
      </c>
      <c r="D92" s="72">
        <v>50147802</v>
      </c>
      <c r="E92" s="72">
        <v>0</v>
      </c>
      <c r="F92" s="72">
        <v>0</v>
      </c>
      <c r="G92" s="72">
        <v>5640295</v>
      </c>
      <c r="H92" s="72">
        <v>0</v>
      </c>
      <c r="I92" s="72">
        <v>0</v>
      </c>
      <c r="J92" s="72">
        <v>5827114</v>
      </c>
      <c r="K92" s="72">
        <v>2795332</v>
      </c>
      <c r="L92" s="72">
        <v>64410543</v>
      </c>
      <c r="M92" s="72">
        <v>0</v>
      </c>
      <c r="N92" s="72">
        <v>0</v>
      </c>
      <c r="O92" s="72">
        <v>0</v>
      </c>
      <c r="P92" s="72">
        <v>460000</v>
      </c>
      <c r="Q92" s="72">
        <v>0</v>
      </c>
      <c r="R92" s="72">
        <v>460000</v>
      </c>
      <c r="S92" s="72">
        <v>64870543</v>
      </c>
      <c r="T92" s="72">
        <v>34386600</v>
      </c>
      <c r="U92" s="72">
        <v>13041552</v>
      </c>
      <c r="V92" s="72">
        <v>10185514</v>
      </c>
      <c r="W92" s="72">
        <v>2406950</v>
      </c>
      <c r="X92" s="72">
        <v>282750</v>
      </c>
      <c r="Y92" s="72">
        <v>0</v>
      </c>
      <c r="Z92" s="72">
        <v>0</v>
      </c>
      <c r="AA92" s="72">
        <v>0</v>
      </c>
      <c r="AB92" s="72">
        <v>0</v>
      </c>
      <c r="AC92" s="72">
        <v>0</v>
      </c>
      <c r="AD92" s="72">
        <v>0</v>
      </c>
      <c r="AE92" s="72">
        <v>0</v>
      </c>
      <c r="AF92" s="72">
        <v>0</v>
      </c>
      <c r="AG92" s="72">
        <v>1209599</v>
      </c>
      <c r="AH92" s="72">
        <v>61512965</v>
      </c>
      <c r="AI92" s="72">
        <v>475000</v>
      </c>
      <c r="AJ92" s="72">
        <v>600000</v>
      </c>
      <c r="AK92" s="72">
        <v>0</v>
      </c>
      <c r="AL92" s="72">
        <v>1075001</v>
      </c>
      <c r="AM92" s="72">
        <v>62587966</v>
      </c>
      <c r="AN92" s="72">
        <v>2282577</v>
      </c>
      <c r="AO92" s="72">
        <v>25191689</v>
      </c>
      <c r="AP92" s="72">
        <v>27474267</v>
      </c>
      <c r="AQ92" s="72">
        <v>2940004</v>
      </c>
      <c r="AR92" s="72">
        <v>0</v>
      </c>
      <c r="AS92" s="72">
        <v>0</v>
      </c>
      <c r="AT92" s="72">
        <v>0</v>
      </c>
      <c r="AU92" s="72">
        <v>0</v>
      </c>
      <c r="AV92" s="72">
        <v>0</v>
      </c>
      <c r="AW92" s="72">
        <v>0</v>
      </c>
      <c r="AX92" s="72">
        <v>0</v>
      </c>
      <c r="AY92" s="72">
        <v>0</v>
      </c>
      <c r="AZ92" s="72">
        <v>0</v>
      </c>
      <c r="BA92" s="72">
        <v>24534263</v>
      </c>
      <c r="BB92" s="72">
        <v>0</v>
      </c>
      <c r="BC92" s="72">
        <v>0</v>
      </c>
      <c r="BD92" s="72">
        <v>0</v>
      </c>
      <c r="BE92" s="72">
        <v>24534263</v>
      </c>
      <c r="BF92" s="72">
        <v>0</v>
      </c>
      <c r="BG92" s="72">
        <v>0</v>
      </c>
      <c r="BH92" s="72">
        <v>0</v>
      </c>
      <c r="BI92" s="72">
        <v>0</v>
      </c>
      <c r="BJ92" s="72">
        <v>24534263</v>
      </c>
      <c r="BM92" s="72">
        <v>0</v>
      </c>
      <c r="BN92" s="72">
        <v>0</v>
      </c>
      <c r="BO92" s="72">
        <v>0</v>
      </c>
      <c r="BP92" s="72">
        <v>0</v>
      </c>
      <c r="BQ92" s="72">
        <v>0</v>
      </c>
      <c r="BR92" s="72">
        <v>0</v>
      </c>
      <c r="BS92" s="72">
        <v>64870543</v>
      </c>
    </row>
    <row r="93" spans="1:71" x14ac:dyDescent="0.2">
      <c r="A93" t="s">
        <v>472</v>
      </c>
      <c r="B93" t="s">
        <v>105</v>
      </c>
      <c r="C93" t="s">
        <v>81</v>
      </c>
      <c r="D93" s="72">
        <v>39750475</v>
      </c>
      <c r="E93" s="72">
        <v>1920091</v>
      </c>
      <c r="G93" s="72">
        <v>16600000</v>
      </c>
      <c r="H93" s="72">
        <v>31797</v>
      </c>
      <c r="J93" s="72">
        <v>8528298</v>
      </c>
      <c r="K93" s="72">
        <v>1400000</v>
      </c>
      <c r="L93" s="72">
        <v>68230661</v>
      </c>
      <c r="M93" s="72">
        <v>0</v>
      </c>
      <c r="O93" s="72">
        <v>0</v>
      </c>
      <c r="P93" s="72">
        <v>126000</v>
      </c>
      <c r="Q93" s="72">
        <v>550000</v>
      </c>
      <c r="R93" s="72">
        <v>676000</v>
      </c>
      <c r="S93" s="72">
        <v>68906661</v>
      </c>
      <c r="T93" s="72">
        <v>39792788</v>
      </c>
      <c r="U93" s="72">
        <v>15603769</v>
      </c>
      <c r="V93" s="72">
        <v>8938121</v>
      </c>
      <c r="W93" s="72">
        <v>1832505</v>
      </c>
      <c r="X93" s="72">
        <v>620000</v>
      </c>
      <c r="AA93" s="72">
        <v>0</v>
      </c>
      <c r="AF93" s="72">
        <v>0</v>
      </c>
      <c r="AG93" s="72">
        <v>1750000</v>
      </c>
      <c r="AH93" s="72">
        <v>68537183</v>
      </c>
      <c r="AI93" s="72">
        <v>550000</v>
      </c>
      <c r="AJ93" s="72">
        <v>50000</v>
      </c>
      <c r="AL93" s="72">
        <v>600000</v>
      </c>
      <c r="AM93" s="72">
        <v>69137183</v>
      </c>
      <c r="AN93" s="72">
        <v>-230522</v>
      </c>
      <c r="AO93" s="72">
        <v>21423295</v>
      </c>
      <c r="AP93" s="72">
        <v>21192773</v>
      </c>
      <c r="AQ93" s="72">
        <v>450000</v>
      </c>
      <c r="AT93" s="72">
        <v>3426859</v>
      </c>
      <c r="BA93" s="72">
        <v>17315914</v>
      </c>
      <c r="BE93" s="72">
        <v>17315914</v>
      </c>
      <c r="BJ93" s="72">
        <v>20622414</v>
      </c>
      <c r="BK93" s="72">
        <v>579</v>
      </c>
      <c r="BL93" s="72">
        <v>7335</v>
      </c>
      <c r="BS93" s="72">
        <v>69137183</v>
      </c>
    </row>
    <row r="94" spans="1:71" x14ac:dyDescent="0.2">
      <c r="A94" t="s">
        <v>479</v>
      </c>
      <c r="B94" t="s">
        <v>1183</v>
      </c>
      <c r="C94" t="s">
        <v>38</v>
      </c>
      <c r="D94" s="72">
        <v>28229935</v>
      </c>
      <c r="E94" s="72">
        <v>1048600</v>
      </c>
      <c r="F94" s="72">
        <v>0</v>
      </c>
      <c r="G94" s="72">
        <v>12197150</v>
      </c>
      <c r="H94" s="72">
        <v>181540</v>
      </c>
      <c r="I94" s="72">
        <v>0</v>
      </c>
      <c r="J94" s="72">
        <v>5268645</v>
      </c>
      <c r="K94" s="72">
        <v>1560500</v>
      </c>
      <c r="L94" s="72">
        <v>48486370</v>
      </c>
      <c r="M94" s="72">
        <v>0</v>
      </c>
      <c r="N94" s="72">
        <v>0</v>
      </c>
      <c r="O94" s="72">
        <v>0</v>
      </c>
      <c r="P94" s="72">
        <v>81500</v>
      </c>
      <c r="Q94" s="72">
        <v>150000</v>
      </c>
      <c r="R94" s="72">
        <v>231500</v>
      </c>
      <c r="S94" s="72">
        <v>48717870</v>
      </c>
      <c r="T94" s="72">
        <v>28914275</v>
      </c>
      <c r="U94" s="72">
        <v>10485160</v>
      </c>
      <c r="V94" s="72">
        <v>6708198</v>
      </c>
      <c r="W94" s="72">
        <v>1337930</v>
      </c>
      <c r="X94" s="72">
        <v>0</v>
      </c>
      <c r="Y94" s="72">
        <v>0</v>
      </c>
      <c r="Z94" s="72">
        <v>0</v>
      </c>
      <c r="AA94" s="72">
        <v>0</v>
      </c>
      <c r="AB94" s="72">
        <v>0</v>
      </c>
      <c r="AC94" s="72">
        <v>0</v>
      </c>
      <c r="AD94" s="72">
        <v>0</v>
      </c>
      <c r="AE94" s="72">
        <v>0</v>
      </c>
      <c r="AF94" s="72">
        <v>0</v>
      </c>
      <c r="AG94" s="72">
        <v>1082200</v>
      </c>
      <c r="AH94" s="72">
        <v>48527763</v>
      </c>
      <c r="AI94" s="72">
        <v>554000</v>
      </c>
      <c r="AJ94" s="72">
        <v>40000</v>
      </c>
      <c r="AK94" s="72">
        <v>0</v>
      </c>
      <c r="AL94" s="72">
        <v>594000</v>
      </c>
      <c r="AM94" s="72">
        <v>49121763</v>
      </c>
      <c r="AN94" s="72">
        <v>-403893</v>
      </c>
      <c r="AO94" s="72">
        <v>7994761</v>
      </c>
      <c r="AP94" s="72">
        <v>7590868</v>
      </c>
      <c r="AQ94" s="72">
        <v>700000</v>
      </c>
      <c r="AR94" s="72">
        <v>0</v>
      </c>
      <c r="AS94" s="72">
        <v>0</v>
      </c>
      <c r="AT94" s="72">
        <v>0</v>
      </c>
      <c r="AU94" s="72">
        <v>0</v>
      </c>
      <c r="AV94" s="72">
        <v>0</v>
      </c>
      <c r="AW94" s="72">
        <v>0</v>
      </c>
      <c r="AX94" s="72">
        <v>0</v>
      </c>
      <c r="AY94" s="72">
        <v>0</v>
      </c>
      <c r="AZ94" s="72">
        <v>0</v>
      </c>
      <c r="BA94" s="72">
        <v>6890868</v>
      </c>
      <c r="BB94" s="72">
        <v>0</v>
      </c>
      <c r="BC94" s="72">
        <v>0</v>
      </c>
      <c r="BD94" s="72">
        <v>0</v>
      </c>
      <c r="BE94" s="72">
        <v>6890868</v>
      </c>
      <c r="BF94" s="72">
        <v>0</v>
      </c>
      <c r="BG94" s="72">
        <v>0</v>
      </c>
      <c r="BH94" s="72">
        <v>0</v>
      </c>
      <c r="BI94" s="72">
        <v>0</v>
      </c>
      <c r="BJ94" s="72">
        <v>6890868</v>
      </c>
      <c r="BM94" s="72">
        <v>0</v>
      </c>
      <c r="BN94" s="72">
        <v>0</v>
      </c>
      <c r="BO94" s="72">
        <v>0</v>
      </c>
      <c r="BP94" s="72">
        <v>0</v>
      </c>
      <c r="BQ94" s="72">
        <v>0</v>
      </c>
      <c r="BR94" s="72">
        <v>0</v>
      </c>
      <c r="BS94" s="72">
        <v>49121763</v>
      </c>
    </row>
    <row r="95" spans="1:71" x14ac:dyDescent="0.2">
      <c r="A95" t="s">
        <v>480</v>
      </c>
      <c r="B95" t="s">
        <v>1184</v>
      </c>
      <c r="C95" t="s">
        <v>77</v>
      </c>
      <c r="D95" s="72">
        <v>27592794</v>
      </c>
      <c r="E95" s="72">
        <v>0</v>
      </c>
      <c r="F95" s="72">
        <v>0</v>
      </c>
      <c r="G95" s="72">
        <v>29674192</v>
      </c>
      <c r="H95" s="72">
        <v>150000</v>
      </c>
      <c r="I95" s="72">
        <v>0</v>
      </c>
      <c r="J95" s="72">
        <v>8314033</v>
      </c>
      <c r="K95" s="72">
        <v>3132332</v>
      </c>
      <c r="L95" s="72">
        <v>68863351</v>
      </c>
      <c r="M95" s="72">
        <v>0</v>
      </c>
      <c r="N95" s="72">
        <v>0</v>
      </c>
      <c r="O95" s="72">
        <v>0</v>
      </c>
      <c r="P95" s="72">
        <v>1500000</v>
      </c>
      <c r="Q95" s="72">
        <v>0</v>
      </c>
      <c r="R95" s="72">
        <v>1500000</v>
      </c>
      <c r="S95" s="72">
        <v>70363351</v>
      </c>
      <c r="T95" s="72">
        <v>28997574</v>
      </c>
      <c r="U95" s="72">
        <v>11670361</v>
      </c>
      <c r="V95" s="72">
        <v>22716580</v>
      </c>
      <c r="W95" s="72">
        <v>1016870</v>
      </c>
      <c r="X95" s="72">
        <v>1600000</v>
      </c>
      <c r="Y95" s="72">
        <v>0</v>
      </c>
      <c r="Z95" s="72">
        <v>0</v>
      </c>
      <c r="AA95" s="72">
        <v>0</v>
      </c>
      <c r="AB95" s="72">
        <v>0</v>
      </c>
      <c r="AC95" s="72">
        <v>0</v>
      </c>
      <c r="AD95" s="72">
        <v>160580</v>
      </c>
      <c r="AE95" s="72">
        <v>0</v>
      </c>
      <c r="AF95" s="72">
        <v>59121</v>
      </c>
      <c r="AG95" s="72">
        <v>705227</v>
      </c>
      <c r="AH95" s="72">
        <v>66926313</v>
      </c>
      <c r="AI95" s="72">
        <v>700000</v>
      </c>
      <c r="AJ95" s="72">
        <v>1500000</v>
      </c>
      <c r="AK95" s="72">
        <v>0</v>
      </c>
      <c r="AL95" s="72">
        <v>2200000</v>
      </c>
      <c r="AM95" s="72">
        <v>69126313</v>
      </c>
      <c r="AN95" s="72">
        <v>1237039</v>
      </c>
      <c r="AO95" s="72">
        <v>1523219</v>
      </c>
      <c r="AP95" s="72">
        <v>2760258</v>
      </c>
      <c r="AQ95" s="72">
        <v>725000</v>
      </c>
      <c r="AR95" s="72">
        <v>0</v>
      </c>
      <c r="AS95" s="72">
        <v>0</v>
      </c>
      <c r="AT95" s="72">
        <v>0</v>
      </c>
      <c r="AU95" s="72">
        <v>0</v>
      </c>
      <c r="AV95" s="72">
        <v>0</v>
      </c>
      <c r="AW95" s="72">
        <v>0</v>
      </c>
      <c r="AX95" s="72">
        <v>0</v>
      </c>
      <c r="AY95" s="72">
        <v>0</v>
      </c>
      <c r="AZ95" s="72">
        <v>0</v>
      </c>
      <c r="BA95" s="72">
        <v>2035258</v>
      </c>
      <c r="BB95" s="72">
        <v>0</v>
      </c>
      <c r="BC95" s="72">
        <v>0</v>
      </c>
      <c r="BD95" s="72">
        <v>0</v>
      </c>
      <c r="BE95" s="72">
        <v>2035258</v>
      </c>
      <c r="BF95" s="72">
        <v>0</v>
      </c>
      <c r="BG95" s="72">
        <v>0</v>
      </c>
      <c r="BH95" s="72">
        <v>0</v>
      </c>
      <c r="BI95" s="72">
        <v>0</v>
      </c>
      <c r="BJ95" s="72">
        <v>2035258</v>
      </c>
      <c r="BK95" s="72">
        <v>0</v>
      </c>
      <c r="BL95" s="72">
        <v>0</v>
      </c>
      <c r="BM95" s="72">
        <v>0</v>
      </c>
      <c r="BN95" s="72">
        <v>0</v>
      </c>
      <c r="BO95" s="72">
        <v>0</v>
      </c>
      <c r="BP95" s="72">
        <v>0</v>
      </c>
      <c r="BQ95" s="72">
        <v>0</v>
      </c>
      <c r="BR95" s="72">
        <v>0</v>
      </c>
      <c r="BS95" s="72">
        <v>70363351</v>
      </c>
    </row>
    <row r="96" spans="1:71" x14ac:dyDescent="0.2">
      <c r="A96" t="s">
        <v>499</v>
      </c>
      <c r="B96" t="s">
        <v>1203</v>
      </c>
      <c r="C96" t="s">
        <v>67</v>
      </c>
      <c r="D96" s="72">
        <v>11238753</v>
      </c>
      <c r="E96" s="72">
        <v>0</v>
      </c>
      <c r="F96" s="72">
        <v>0</v>
      </c>
      <c r="G96" s="72">
        <v>21415183</v>
      </c>
      <c r="H96" s="72">
        <v>185000</v>
      </c>
      <c r="I96" s="72">
        <v>0</v>
      </c>
      <c r="J96" s="72">
        <v>1701585</v>
      </c>
      <c r="K96" s="72">
        <v>970583</v>
      </c>
      <c r="L96" s="72">
        <v>35511104</v>
      </c>
      <c r="M96" s="72">
        <v>0</v>
      </c>
      <c r="N96" s="72">
        <v>0</v>
      </c>
      <c r="O96" s="72">
        <v>0</v>
      </c>
      <c r="P96" s="72">
        <v>151071</v>
      </c>
      <c r="Q96" s="72">
        <v>87261</v>
      </c>
      <c r="R96" s="72">
        <v>238332</v>
      </c>
      <c r="S96" s="72">
        <v>35749436</v>
      </c>
      <c r="T96" s="72">
        <v>14659995</v>
      </c>
      <c r="U96" s="72">
        <v>5130128</v>
      </c>
      <c r="V96" s="72">
        <v>13278497</v>
      </c>
      <c r="W96" s="72">
        <v>1039741</v>
      </c>
      <c r="X96" s="72">
        <v>117733</v>
      </c>
      <c r="Y96" s="72">
        <v>0</v>
      </c>
      <c r="Z96" s="72">
        <v>0</v>
      </c>
      <c r="AA96" s="72">
        <v>0</v>
      </c>
      <c r="AB96" s="72">
        <v>0</v>
      </c>
      <c r="AC96" s="72">
        <v>0</v>
      </c>
      <c r="AD96" s="72">
        <v>0</v>
      </c>
      <c r="AE96" s="72">
        <v>0</v>
      </c>
      <c r="AF96" s="72">
        <v>0</v>
      </c>
      <c r="AG96" s="72">
        <v>402541</v>
      </c>
      <c r="AH96" s="72">
        <v>34628635</v>
      </c>
      <c r="AI96" s="72">
        <v>198175</v>
      </c>
      <c r="AJ96" s="72">
        <v>170305</v>
      </c>
      <c r="AK96" s="72">
        <v>13485</v>
      </c>
      <c r="AL96" s="72">
        <v>381965</v>
      </c>
      <c r="AM96" s="72">
        <v>35010600</v>
      </c>
      <c r="AN96" s="72">
        <v>738836</v>
      </c>
      <c r="AO96" s="72">
        <v>6721309</v>
      </c>
      <c r="AP96" s="72">
        <v>7460145</v>
      </c>
      <c r="AQ96" s="72">
        <v>0</v>
      </c>
      <c r="AR96" s="72">
        <v>0</v>
      </c>
      <c r="AS96" s="72">
        <v>0</v>
      </c>
      <c r="AT96" s="72">
        <v>0</v>
      </c>
      <c r="AU96" s="72">
        <v>0</v>
      </c>
      <c r="AV96" s="72">
        <v>0</v>
      </c>
      <c r="AW96" s="72">
        <v>0</v>
      </c>
      <c r="AX96" s="72">
        <v>0</v>
      </c>
      <c r="AY96" s="72">
        <v>0</v>
      </c>
      <c r="AZ96" s="72">
        <v>0</v>
      </c>
      <c r="BA96" s="72">
        <v>7460145</v>
      </c>
      <c r="BB96" s="72">
        <v>0</v>
      </c>
      <c r="BC96" s="72">
        <v>0</v>
      </c>
      <c r="BD96" s="72">
        <v>0</v>
      </c>
      <c r="BE96" s="72">
        <v>7460145</v>
      </c>
      <c r="BF96" s="72">
        <v>0</v>
      </c>
      <c r="BG96" s="72">
        <v>0</v>
      </c>
      <c r="BH96" s="72">
        <v>0</v>
      </c>
      <c r="BI96" s="72">
        <v>0</v>
      </c>
      <c r="BJ96" s="72">
        <v>7460145</v>
      </c>
      <c r="BK96" s="72">
        <v>0</v>
      </c>
      <c r="BL96" s="72">
        <v>0</v>
      </c>
      <c r="BM96" s="72">
        <v>0</v>
      </c>
      <c r="BN96" s="72">
        <v>0</v>
      </c>
      <c r="BO96" s="72">
        <v>0</v>
      </c>
      <c r="BP96" s="72">
        <v>0</v>
      </c>
      <c r="BQ96" s="72">
        <v>0</v>
      </c>
      <c r="BR96" s="72">
        <v>0</v>
      </c>
      <c r="BS96" s="72">
        <v>35749436</v>
      </c>
    </row>
    <row r="97" spans="1:71" x14ac:dyDescent="0.2">
      <c r="A97" t="s">
        <v>498</v>
      </c>
      <c r="B97" t="s">
        <v>1202</v>
      </c>
      <c r="C97" t="s">
        <v>106</v>
      </c>
      <c r="D97" s="72">
        <v>13183444</v>
      </c>
      <c r="E97" s="72">
        <v>821156</v>
      </c>
      <c r="F97" s="72">
        <v>0</v>
      </c>
      <c r="G97" s="72">
        <v>13432286</v>
      </c>
      <c r="H97" s="72">
        <v>51724</v>
      </c>
      <c r="I97" s="72">
        <v>0</v>
      </c>
      <c r="J97" s="72">
        <v>2361309</v>
      </c>
      <c r="K97" s="72">
        <v>2226908</v>
      </c>
      <c r="L97" s="72">
        <v>32076827</v>
      </c>
      <c r="M97" s="72">
        <v>0</v>
      </c>
      <c r="N97" s="72">
        <v>0</v>
      </c>
      <c r="O97" s="72">
        <v>0</v>
      </c>
      <c r="P97" s="72">
        <v>0</v>
      </c>
      <c r="Q97" s="72">
        <v>200000</v>
      </c>
      <c r="R97" s="72">
        <v>200000</v>
      </c>
      <c r="S97" s="72">
        <v>32276827</v>
      </c>
      <c r="T97" s="72">
        <v>17947009</v>
      </c>
      <c r="U97" s="72">
        <v>6132774</v>
      </c>
      <c r="V97" s="72">
        <v>4867840</v>
      </c>
      <c r="W97" s="72">
        <v>679226</v>
      </c>
      <c r="X97" s="72">
        <v>62234</v>
      </c>
      <c r="Y97" s="72">
        <v>0</v>
      </c>
      <c r="Z97" s="72">
        <v>0</v>
      </c>
      <c r="AA97" s="72">
        <v>0</v>
      </c>
      <c r="AB97" s="72">
        <v>0</v>
      </c>
      <c r="AC97" s="72">
        <v>0</v>
      </c>
      <c r="AD97" s="72">
        <v>0</v>
      </c>
      <c r="AE97" s="72">
        <v>0</v>
      </c>
      <c r="AF97" s="72">
        <v>0</v>
      </c>
      <c r="AG97" s="72">
        <v>2215427</v>
      </c>
      <c r="AH97" s="72">
        <v>31904510</v>
      </c>
      <c r="AI97" s="72">
        <v>92300</v>
      </c>
      <c r="AJ97" s="72">
        <v>0</v>
      </c>
      <c r="AK97" s="72">
        <v>0</v>
      </c>
      <c r="AL97" s="72">
        <v>92300</v>
      </c>
      <c r="AM97" s="72">
        <v>31996810</v>
      </c>
      <c r="AN97" s="72">
        <v>280017</v>
      </c>
      <c r="AO97" s="72">
        <v>1150829</v>
      </c>
      <c r="AP97" s="72">
        <v>1430846</v>
      </c>
      <c r="AQ97" s="72">
        <v>60000</v>
      </c>
      <c r="AR97" s="72">
        <v>0</v>
      </c>
      <c r="AS97" s="72">
        <v>0</v>
      </c>
      <c r="AT97" s="72">
        <v>0</v>
      </c>
      <c r="AU97" s="72">
        <v>0</v>
      </c>
      <c r="AV97" s="72">
        <v>0</v>
      </c>
      <c r="AW97" s="72">
        <v>0</v>
      </c>
      <c r="AX97" s="72">
        <v>0</v>
      </c>
      <c r="AY97" s="72">
        <v>0</v>
      </c>
      <c r="AZ97" s="72">
        <v>0</v>
      </c>
      <c r="BA97" s="72">
        <v>1370846</v>
      </c>
      <c r="BB97" s="72">
        <v>0</v>
      </c>
      <c r="BC97" s="72">
        <v>0</v>
      </c>
      <c r="BD97" s="72">
        <v>0</v>
      </c>
      <c r="BE97" s="72">
        <v>1370846</v>
      </c>
      <c r="BF97" s="72">
        <v>0</v>
      </c>
      <c r="BG97" s="72">
        <v>0</v>
      </c>
      <c r="BH97" s="72">
        <v>0</v>
      </c>
      <c r="BI97" s="72">
        <v>0</v>
      </c>
      <c r="BJ97" s="72">
        <v>1370846</v>
      </c>
      <c r="BM97" s="72">
        <v>0</v>
      </c>
      <c r="BN97" s="72">
        <v>0</v>
      </c>
      <c r="BO97" s="72">
        <v>0</v>
      </c>
      <c r="BP97" s="72">
        <v>0</v>
      </c>
      <c r="BQ97" s="72">
        <v>0</v>
      </c>
      <c r="BR97" s="72">
        <v>0</v>
      </c>
      <c r="BS97" s="72">
        <v>32276827</v>
      </c>
    </row>
    <row r="98" spans="1:71" x14ac:dyDescent="0.2">
      <c r="A98" t="s">
        <v>500</v>
      </c>
      <c r="B98" t="s">
        <v>1204</v>
      </c>
      <c r="C98" t="s">
        <v>39</v>
      </c>
      <c r="D98" s="72">
        <v>7127776</v>
      </c>
      <c r="E98" s="72">
        <v>276453</v>
      </c>
      <c r="F98" s="72">
        <v>0</v>
      </c>
      <c r="G98" s="72">
        <v>8310000</v>
      </c>
      <c r="H98" s="72">
        <v>40000</v>
      </c>
      <c r="I98" s="72">
        <v>0</v>
      </c>
      <c r="J98" s="72">
        <v>3049128</v>
      </c>
      <c r="K98" s="72">
        <v>1235942</v>
      </c>
      <c r="L98" s="72">
        <v>20039299</v>
      </c>
      <c r="M98" s="72">
        <v>0</v>
      </c>
      <c r="N98" s="72">
        <v>0</v>
      </c>
      <c r="O98" s="72">
        <v>0</v>
      </c>
      <c r="P98" s="72">
        <v>55000</v>
      </c>
      <c r="Q98" s="72">
        <v>65000</v>
      </c>
      <c r="R98" s="72">
        <v>120000</v>
      </c>
      <c r="S98" s="72">
        <v>20159299</v>
      </c>
      <c r="T98" s="72">
        <v>10804549</v>
      </c>
      <c r="U98" s="72">
        <v>4108012</v>
      </c>
      <c r="V98" s="72">
        <v>4071166</v>
      </c>
      <c r="W98" s="72">
        <v>664924</v>
      </c>
      <c r="X98" s="72">
        <v>1103021</v>
      </c>
      <c r="Y98" s="72">
        <v>0</v>
      </c>
      <c r="Z98" s="72">
        <v>0</v>
      </c>
      <c r="AA98" s="72">
        <v>0</v>
      </c>
      <c r="AB98" s="72">
        <v>0</v>
      </c>
      <c r="AC98" s="72">
        <v>0</v>
      </c>
      <c r="AD98" s="72">
        <v>0</v>
      </c>
      <c r="AE98" s="72">
        <v>0</v>
      </c>
      <c r="AF98" s="72">
        <v>0</v>
      </c>
      <c r="AG98" s="72">
        <v>420542</v>
      </c>
      <c r="AH98" s="72">
        <v>21172213</v>
      </c>
      <c r="AI98" s="72">
        <v>240000</v>
      </c>
      <c r="AJ98" s="72">
        <v>10000</v>
      </c>
      <c r="AK98" s="72">
        <v>0</v>
      </c>
      <c r="AL98" s="72">
        <v>250000</v>
      </c>
      <c r="AM98" s="72">
        <v>21422213</v>
      </c>
      <c r="AN98" s="72">
        <v>-1262914</v>
      </c>
      <c r="AO98" s="72">
        <v>9242760</v>
      </c>
      <c r="AP98" s="72">
        <v>7979846</v>
      </c>
      <c r="AQ98" s="72">
        <v>350000</v>
      </c>
      <c r="AR98" s="72">
        <v>0</v>
      </c>
      <c r="AS98" s="72">
        <v>0</v>
      </c>
      <c r="AT98" s="72">
        <v>252152</v>
      </c>
      <c r="AU98" s="72">
        <v>0</v>
      </c>
      <c r="AV98" s="72">
        <v>0</v>
      </c>
      <c r="AW98" s="72">
        <v>0</v>
      </c>
      <c r="AX98" s="72">
        <v>0</v>
      </c>
      <c r="AY98" s="72">
        <v>0</v>
      </c>
      <c r="AZ98" s="72">
        <v>252152</v>
      </c>
      <c r="BA98" s="72">
        <v>7377694</v>
      </c>
      <c r="BB98" s="72">
        <v>0</v>
      </c>
      <c r="BC98" s="72">
        <v>0</v>
      </c>
      <c r="BD98" s="72">
        <v>0</v>
      </c>
      <c r="BE98" s="72">
        <v>7377694</v>
      </c>
      <c r="BF98" s="72">
        <v>0</v>
      </c>
      <c r="BG98" s="72">
        <v>0</v>
      </c>
      <c r="BH98" s="72">
        <v>0</v>
      </c>
      <c r="BI98" s="72">
        <v>0</v>
      </c>
      <c r="BJ98" s="72">
        <v>7377694</v>
      </c>
      <c r="BK98" s="72">
        <v>200</v>
      </c>
      <c r="BL98" s="72">
        <v>1850</v>
      </c>
      <c r="BM98" s="72">
        <v>0</v>
      </c>
      <c r="BN98" s="72">
        <v>0</v>
      </c>
      <c r="BO98" s="72">
        <v>0</v>
      </c>
      <c r="BP98" s="72">
        <v>0</v>
      </c>
      <c r="BQ98" s="72">
        <v>0</v>
      </c>
      <c r="BR98" s="72">
        <v>0</v>
      </c>
      <c r="BS98" s="72">
        <v>21422213</v>
      </c>
    </row>
    <row r="99" spans="1:71" x14ac:dyDescent="0.2">
      <c r="A99" t="s">
        <v>502</v>
      </c>
      <c r="B99" t="s">
        <v>1206</v>
      </c>
      <c r="C99" t="s">
        <v>85</v>
      </c>
      <c r="D99" s="72">
        <v>1457196</v>
      </c>
      <c r="E99" s="72">
        <v>336500</v>
      </c>
      <c r="F99" s="72">
        <v>0</v>
      </c>
      <c r="G99" s="72">
        <v>8939039</v>
      </c>
      <c r="H99" s="72">
        <v>9214</v>
      </c>
      <c r="I99" s="72">
        <v>0</v>
      </c>
      <c r="J99" s="72">
        <v>240237</v>
      </c>
      <c r="K99" s="72">
        <v>773493</v>
      </c>
      <c r="L99" s="72">
        <v>11755679</v>
      </c>
      <c r="M99" s="72">
        <v>0</v>
      </c>
      <c r="N99" s="72">
        <v>0</v>
      </c>
      <c r="O99" s="72">
        <v>128500</v>
      </c>
      <c r="P99" s="72">
        <v>0</v>
      </c>
      <c r="Q99" s="72">
        <v>91996</v>
      </c>
      <c r="R99" s="72">
        <v>220496</v>
      </c>
      <c r="S99" s="72">
        <v>11976175</v>
      </c>
      <c r="T99" s="72">
        <v>6298561</v>
      </c>
      <c r="U99" s="72">
        <v>2740976</v>
      </c>
      <c r="V99" s="72">
        <v>1341406</v>
      </c>
      <c r="W99" s="72">
        <v>630467</v>
      </c>
      <c r="X99" s="72">
        <v>107469</v>
      </c>
      <c r="Y99" s="72">
        <v>0</v>
      </c>
      <c r="Z99" s="72">
        <v>0</v>
      </c>
      <c r="AA99" s="72">
        <v>103000</v>
      </c>
      <c r="AB99" s="72">
        <v>0</v>
      </c>
      <c r="AC99" s="72">
        <v>0</v>
      </c>
      <c r="AD99" s="72">
        <v>0</v>
      </c>
      <c r="AE99" s="72">
        <v>0</v>
      </c>
      <c r="AF99" s="72">
        <v>25517</v>
      </c>
      <c r="AG99" s="72">
        <v>251453</v>
      </c>
      <c r="AH99" s="72">
        <v>11498849</v>
      </c>
      <c r="AI99" s="72">
        <v>163518</v>
      </c>
      <c r="AJ99" s="72">
        <v>5500</v>
      </c>
      <c r="AK99" s="72">
        <v>0</v>
      </c>
      <c r="AL99" s="72">
        <v>169018</v>
      </c>
      <c r="AM99" s="72">
        <v>11667867</v>
      </c>
      <c r="AN99" s="72">
        <v>308308</v>
      </c>
      <c r="AO99" s="72">
        <v>3549519</v>
      </c>
      <c r="AP99" s="72">
        <v>3857827</v>
      </c>
      <c r="AQ99" s="72">
        <v>38000</v>
      </c>
      <c r="AR99" s="72">
        <v>0</v>
      </c>
      <c r="AS99" s="72">
        <v>20000</v>
      </c>
      <c r="AT99" s="72">
        <v>0</v>
      </c>
      <c r="AU99" s="72">
        <v>0</v>
      </c>
      <c r="AV99" s="72">
        <v>0</v>
      </c>
      <c r="AW99" s="72">
        <v>0</v>
      </c>
      <c r="AX99" s="72">
        <v>0</v>
      </c>
      <c r="AY99" s="72">
        <v>0</v>
      </c>
      <c r="AZ99" s="72">
        <v>20000</v>
      </c>
      <c r="BA99" s="72">
        <v>3799827</v>
      </c>
      <c r="BB99" s="72">
        <v>0</v>
      </c>
      <c r="BC99" s="72">
        <v>0</v>
      </c>
      <c r="BD99" s="72">
        <v>0</v>
      </c>
      <c r="BE99" s="72">
        <v>3799827</v>
      </c>
      <c r="BF99" s="72">
        <v>0</v>
      </c>
      <c r="BG99" s="72">
        <v>0</v>
      </c>
      <c r="BH99" s="72">
        <v>0</v>
      </c>
      <c r="BI99" s="72">
        <v>0</v>
      </c>
      <c r="BJ99" s="72">
        <v>3799827</v>
      </c>
      <c r="BM99" s="72">
        <v>0</v>
      </c>
      <c r="BN99" s="72">
        <v>0</v>
      </c>
      <c r="BO99" s="72">
        <v>0</v>
      </c>
      <c r="BP99" s="72">
        <v>0</v>
      </c>
      <c r="BQ99" s="72">
        <v>0</v>
      </c>
      <c r="BR99" s="72">
        <v>0</v>
      </c>
      <c r="BS99" s="72">
        <v>11976175</v>
      </c>
    </row>
    <row r="100" spans="1:71" x14ac:dyDescent="0.2">
      <c r="A100" t="s">
        <v>514</v>
      </c>
      <c r="B100" t="s">
        <v>1218</v>
      </c>
      <c r="C100" t="s">
        <v>24</v>
      </c>
      <c r="D100" s="72">
        <v>18431767</v>
      </c>
      <c r="E100" s="72">
        <v>1124593</v>
      </c>
      <c r="F100" s="72">
        <v>8211538</v>
      </c>
      <c r="G100" s="72">
        <v>28259649</v>
      </c>
      <c r="H100" s="72">
        <v>97789</v>
      </c>
      <c r="J100" s="72">
        <v>2683521</v>
      </c>
      <c r="K100" s="72">
        <v>2045228</v>
      </c>
      <c r="L100" s="72">
        <v>60854085</v>
      </c>
      <c r="M100" s="72">
        <v>0</v>
      </c>
      <c r="N100" s="72">
        <v>0</v>
      </c>
      <c r="O100" s="72">
        <v>250000</v>
      </c>
      <c r="P100" s="72">
        <v>127476</v>
      </c>
      <c r="Q100" s="72">
        <v>172893</v>
      </c>
      <c r="R100" s="72">
        <v>550369</v>
      </c>
      <c r="S100" s="72">
        <v>61404454</v>
      </c>
      <c r="T100" s="72">
        <v>34110767</v>
      </c>
      <c r="U100" s="72">
        <v>12375301</v>
      </c>
      <c r="V100" s="72">
        <v>12085983</v>
      </c>
      <c r="W100" s="72">
        <v>2231313</v>
      </c>
      <c r="X100" s="72">
        <v>0</v>
      </c>
      <c r="Y100" s="72">
        <v>0</v>
      </c>
      <c r="Z100" s="72">
        <v>0</v>
      </c>
      <c r="AA100" s="72">
        <v>0</v>
      </c>
      <c r="AB100" s="72">
        <v>0</v>
      </c>
      <c r="AC100" s="72">
        <v>0</v>
      </c>
      <c r="AD100" s="72">
        <v>0</v>
      </c>
      <c r="AE100" s="72">
        <v>0</v>
      </c>
      <c r="AF100" s="72">
        <v>0</v>
      </c>
      <c r="AG100" s="72">
        <v>664171</v>
      </c>
      <c r="AH100" s="72">
        <v>61467535</v>
      </c>
      <c r="AI100" s="72">
        <v>250000</v>
      </c>
      <c r="AJ100" s="72">
        <v>130000</v>
      </c>
      <c r="AK100" s="72">
        <v>0</v>
      </c>
      <c r="AL100" s="72">
        <v>380000</v>
      </c>
      <c r="AM100" s="72">
        <v>61847535</v>
      </c>
      <c r="AN100" s="72">
        <v>-443081</v>
      </c>
      <c r="AO100" s="72">
        <v>16033865</v>
      </c>
      <c r="AP100" s="72">
        <v>15590784</v>
      </c>
      <c r="AQ100" s="72">
        <v>1500000</v>
      </c>
      <c r="AR100" s="72">
        <v>0</v>
      </c>
      <c r="AS100" s="72">
        <v>0</v>
      </c>
      <c r="AT100" s="72">
        <v>934406</v>
      </c>
      <c r="AU100" s="72">
        <v>0</v>
      </c>
      <c r="AW100" s="72">
        <v>0</v>
      </c>
      <c r="AX100" s="72">
        <v>0</v>
      </c>
      <c r="AY100" s="72">
        <v>0</v>
      </c>
      <c r="AZ100" s="72">
        <v>934406</v>
      </c>
      <c r="BA100" s="72">
        <v>13545741</v>
      </c>
      <c r="BB100" s="72">
        <v>0</v>
      </c>
      <c r="BC100" s="72">
        <v>0</v>
      </c>
      <c r="BD100" s="72">
        <v>0</v>
      </c>
      <c r="BE100" s="72">
        <v>13545741</v>
      </c>
      <c r="BF100" s="72">
        <v>0</v>
      </c>
      <c r="BG100" s="72">
        <v>0</v>
      </c>
      <c r="BH100" s="72">
        <v>0</v>
      </c>
      <c r="BJ100" s="72">
        <v>13545741</v>
      </c>
      <c r="BK100" s="72">
        <v>600</v>
      </c>
      <c r="BL100" s="72">
        <v>5600</v>
      </c>
      <c r="BS100" s="72">
        <v>61847535</v>
      </c>
    </row>
    <row r="101" spans="1:71" x14ac:dyDescent="0.2">
      <c r="A101" t="s">
        <v>504</v>
      </c>
      <c r="B101" t="s">
        <v>1208</v>
      </c>
      <c r="C101" t="s">
        <v>98</v>
      </c>
      <c r="D101" s="72">
        <v>780000</v>
      </c>
      <c r="E101" s="72">
        <v>0</v>
      </c>
      <c r="F101" s="72">
        <v>0</v>
      </c>
      <c r="G101" s="72">
        <v>1889030</v>
      </c>
      <c r="H101" s="72">
        <v>3268</v>
      </c>
      <c r="I101" s="72">
        <v>0</v>
      </c>
      <c r="J101" s="72">
        <v>56000</v>
      </c>
      <c r="K101" s="72">
        <v>1666850</v>
      </c>
      <c r="L101" s="72">
        <v>4395147</v>
      </c>
      <c r="M101" s="72">
        <v>0</v>
      </c>
      <c r="N101" s="72">
        <v>0</v>
      </c>
      <c r="O101" s="72">
        <v>0</v>
      </c>
      <c r="P101" s="72">
        <v>35980</v>
      </c>
      <c r="Q101" s="72">
        <v>300</v>
      </c>
      <c r="R101" s="72">
        <v>36280</v>
      </c>
      <c r="S101" s="72">
        <v>4431427</v>
      </c>
      <c r="T101" s="72">
        <v>2240584</v>
      </c>
      <c r="U101" s="72">
        <v>783294</v>
      </c>
      <c r="V101" s="72">
        <v>1361845</v>
      </c>
      <c r="W101" s="72">
        <v>161852</v>
      </c>
      <c r="X101" s="72">
        <v>3000</v>
      </c>
      <c r="Y101" s="72">
        <v>0</v>
      </c>
      <c r="Z101" s="72">
        <v>0</v>
      </c>
      <c r="AA101" s="72">
        <v>0</v>
      </c>
      <c r="AB101" s="72">
        <v>0</v>
      </c>
      <c r="AC101" s="72">
        <v>0</v>
      </c>
      <c r="AD101" s="72">
        <v>0</v>
      </c>
      <c r="AE101" s="72">
        <v>0</v>
      </c>
      <c r="AF101" s="72">
        <v>0</v>
      </c>
      <c r="AG101" s="72">
        <v>65253</v>
      </c>
      <c r="AH101" s="72">
        <v>4615828</v>
      </c>
      <c r="AI101" s="72">
        <v>0</v>
      </c>
      <c r="AJ101" s="72">
        <v>37058</v>
      </c>
      <c r="AK101" s="72">
        <v>0</v>
      </c>
      <c r="AL101" s="72">
        <v>37058</v>
      </c>
      <c r="AM101" s="72">
        <v>4652886</v>
      </c>
      <c r="AN101" s="72">
        <v>-221459</v>
      </c>
      <c r="AO101" s="72">
        <v>1553678</v>
      </c>
      <c r="AP101" s="72">
        <v>1332219</v>
      </c>
      <c r="AQ101" s="72">
        <v>0</v>
      </c>
      <c r="AR101" s="72">
        <v>0</v>
      </c>
      <c r="AS101" s="72">
        <v>0</v>
      </c>
      <c r="AT101" s="72">
        <v>0</v>
      </c>
      <c r="AU101" s="72">
        <v>0</v>
      </c>
      <c r="AV101" s="72">
        <v>0</v>
      </c>
      <c r="AW101" s="72">
        <v>0</v>
      </c>
      <c r="AX101" s="72">
        <v>0</v>
      </c>
      <c r="AY101" s="72">
        <v>0</v>
      </c>
      <c r="AZ101" s="72">
        <v>0</v>
      </c>
      <c r="BA101" s="72">
        <v>1332219</v>
      </c>
      <c r="BB101" s="72">
        <v>0</v>
      </c>
      <c r="BC101" s="72">
        <v>0</v>
      </c>
      <c r="BD101" s="72">
        <v>0</v>
      </c>
      <c r="BE101" s="72">
        <v>1332219</v>
      </c>
      <c r="BF101" s="72">
        <v>0</v>
      </c>
      <c r="BG101" s="72">
        <v>0</v>
      </c>
      <c r="BH101" s="72">
        <v>0</v>
      </c>
      <c r="BI101" s="72">
        <v>0</v>
      </c>
      <c r="BJ101" s="72">
        <v>1332219</v>
      </c>
      <c r="BK101" s="72">
        <v>0</v>
      </c>
      <c r="BL101" s="72">
        <v>0</v>
      </c>
      <c r="BM101" s="72">
        <v>0</v>
      </c>
      <c r="BN101" s="72">
        <v>0</v>
      </c>
      <c r="BO101" s="72">
        <v>0</v>
      </c>
      <c r="BP101" s="72">
        <v>0</v>
      </c>
      <c r="BQ101" s="72">
        <v>0</v>
      </c>
      <c r="BR101" s="72">
        <v>0</v>
      </c>
      <c r="BS101" s="72">
        <v>4652886</v>
      </c>
    </row>
    <row r="102" spans="1:71" x14ac:dyDescent="0.2">
      <c r="A102" t="s">
        <v>508</v>
      </c>
      <c r="B102" t="s">
        <v>1212</v>
      </c>
      <c r="C102" t="s">
        <v>82</v>
      </c>
      <c r="D102" s="72">
        <v>2249952</v>
      </c>
      <c r="E102" s="72">
        <v>481895</v>
      </c>
      <c r="F102" s="72">
        <v>0</v>
      </c>
      <c r="G102" s="72">
        <v>13884779</v>
      </c>
      <c r="H102" s="72">
        <v>260649</v>
      </c>
      <c r="I102" s="72">
        <v>0</v>
      </c>
      <c r="J102" s="72">
        <v>385192</v>
      </c>
      <c r="K102" s="72">
        <v>884921</v>
      </c>
      <c r="L102" s="72">
        <v>18147388</v>
      </c>
      <c r="M102" s="72">
        <v>0</v>
      </c>
      <c r="N102" s="72">
        <v>0</v>
      </c>
      <c r="O102" s="72">
        <v>10872</v>
      </c>
      <c r="P102" s="72">
        <v>139149</v>
      </c>
      <c r="Q102" s="72">
        <v>170245</v>
      </c>
      <c r="R102" s="72">
        <v>320266</v>
      </c>
      <c r="S102" s="72">
        <v>18467654</v>
      </c>
      <c r="T102" s="72">
        <v>8552106</v>
      </c>
      <c r="U102" s="72">
        <v>4286811</v>
      </c>
      <c r="V102" s="72">
        <v>4658013</v>
      </c>
      <c r="W102" s="72">
        <v>810468</v>
      </c>
      <c r="X102" s="72">
        <v>111878</v>
      </c>
      <c r="Y102" s="72">
        <v>0</v>
      </c>
      <c r="Z102" s="72">
        <v>0</v>
      </c>
      <c r="AA102" s="72">
        <v>0</v>
      </c>
      <c r="AB102" s="72">
        <v>0</v>
      </c>
      <c r="AC102" s="72">
        <v>0</v>
      </c>
      <c r="AD102" s="72">
        <v>0</v>
      </c>
      <c r="AE102" s="72">
        <v>160000</v>
      </c>
      <c r="AF102" s="72">
        <v>83075</v>
      </c>
      <c r="AG102" s="72">
        <v>183802</v>
      </c>
      <c r="AH102" s="72">
        <v>18846153</v>
      </c>
      <c r="AI102" s="72">
        <v>0</v>
      </c>
      <c r="AJ102" s="72">
        <v>75000</v>
      </c>
      <c r="AK102" s="72">
        <v>0</v>
      </c>
      <c r="AL102" s="72">
        <v>75000</v>
      </c>
      <c r="AM102" s="72">
        <v>18921153</v>
      </c>
      <c r="AN102" s="72">
        <v>-453499</v>
      </c>
      <c r="AO102" s="72">
        <v>2442336</v>
      </c>
      <c r="AP102" s="72">
        <v>1988837</v>
      </c>
      <c r="AQ102" s="72">
        <v>100000</v>
      </c>
      <c r="AR102" s="72">
        <v>0</v>
      </c>
      <c r="AS102" s="72">
        <v>0</v>
      </c>
      <c r="AT102" s="72">
        <v>695166</v>
      </c>
      <c r="AU102" s="72">
        <v>0</v>
      </c>
      <c r="AV102" s="72">
        <v>0</v>
      </c>
      <c r="AW102" s="72">
        <v>0</v>
      </c>
      <c r="AX102" s="72">
        <v>0</v>
      </c>
      <c r="AY102" s="72">
        <v>0</v>
      </c>
      <c r="AZ102" s="72">
        <v>695166</v>
      </c>
      <c r="BA102" s="72">
        <v>1193671</v>
      </c>
      <c r="BB102" s="72">
        <v>0</v>
      </c>
      <c r="BC102" s="72">
        <v>0</v>
      </c>
      <c r="BD102" s="72">
        <v>0</v>
      </c>
      <c r="BE102" s="72">
        <v>1193671</v>
      </c>
      <c r="BF102" s="72">
        <v>0</v>
      </c>
      <c r="BG102" s="72">
        <v>0</v>
      </c>
      <c r="BH102" s="72">
        <v>0</v>
      </c>
      <c r="BI102" s="72">
        <v>0</v>
      </c>
      <c r="BJ102" s="72">
        <v>1193671</v>
      </c>
      <c r="BM102" s="72">
        <v>0</v>
      </c>
      <c r="BN102" s="72">
        <v>0</v>
      </c>
      <c r="BO102" s="72">
        <v>0</v>
      </c>
      <c r="BP102" s="72">
        <v>0</v>
      </c>
      <c r="BQ102" s="72">
        <v>0</v>
      </c>
      <c r="BR102" s="72">
        <v>0</v>
      </c>
      <c r="BS102" s="72">
        <v>18921153</v>
      </c>
    </row>
    <row r="103" spans="1:71" x14ac:dyDescent="0.2">
      <c r="A103" t="s">
        <v>511</v>
      </c>
      <c r="B103" t="s">
        <v>1215</v>
      </c>
      <c r="C103" t="s">
        <v>70</v>
      </c>
      <c r="D103" s="72">
        <v>11000000</v>
      </c>
      <c r="E103" s="72">
        <v>3000</v>
      </c>
      <c r="F103" s="72">
        <v>0</v>
      </c>
      <c r="G103" s="72">
        <v>8400000</v>
      </c>
      <c r="H103" s="72">
        <v>25000</v>
      </c>
      <c r="I103" s="72">
        <v>0</v>
      </c>
      <c r="J103" s="72">
        <v>1744000</v>
      </c>
      <c r="K103" s="72">
        <v>700000</v>
      </c>
      <c r="L103" s="72">
        <v>21872000</v>
      </c>
      <c r="M103" s="72">
        <v>0</v>
      </c>
      <c r="N103" s="72">
        <v>0</v>
      </c>
      <c r="O103" s="72">
        <v>0</v>
      </c>
      <c r="P103" s="72">
        <v>55600</v>
      </c>
      <c r="Q103" s="72">
        <v>0</v>
      </c>
      <c r="R103" s="72">
        <v>55600</v>
      </c>
      <c r="S103" s="72">
        <v>21927600</v>
      </c>
      <c r="T103" s="72">
        <v>14825846</v>
      </c>
      <c r="U103" s="72">
        <v>5780510</v>
      </c>
      <c r="V103" s="72">
        <v>1975000</v>
      </c>
      <c r="W103" s="72">
        <v>943000</v>
      </c>
      <c r="X103" s="72">
        <v>182000</v>
      </c>
      <c r="Y103" s="72">
        <v>0</v>
      </c>
      <c r="Z103" s="72">
        <v>0</v>
      </c>
      <c r="AA103" s="72">
        <v>0</v>
      </c>
      <c r="AB103" s="72">
        <v>0</v>
      </c>
      <c r="AC103" s="72">
        <v>0</v>
      </c>
      <c r="AD103" s="72">
        <v>0</v>
      </c>
      <c r="AE103" s="72">
        <v>0</v>
      </c>
      <c r="AF103" s="72">
        <v>0</v>
      </c>
      <c r="AG103" s="72">
        <v>320000</v>
      </c>
      <c r="AH103" s="72">
        <v>24026356</v>
      </c>
      <c r="AI103" s="72">
        <v>90000</v>
      </c>
      <c r="AJ103" s="72">
        <v>0</v>
      </c>
      <c r="AK103" s="72">
        <v>0</v>
      </c>
      <c r="AL103" s="72">
        <v>90000</v>
      </c>
      <c r="AM103" s="72">
        <v>24116356</v>
      </c>
      <c r="AN103" s="72">
        <v>-2188756</v>
      </c>
      <c r="AO103" s="72">
        <v>5141471</v>
      </c>
      <c r="AP103" s="72">
        <v>2952715</v>
      </c>
      <c r="AQ103" s="72">
        <v>0</v>
      </c>
      <c r="AR103" s="72">
        <v>0</v>
      </c>
      <c r="AS103" s="72">
        <v>0</v>
      </c>
      <c r="AT103" s="72">
        <v>0</v>
      </c>
      <c r="AU103" s="72">
        <v>0</v>
      </c>
      <c r="AV103" s="72">
        <v>0</v>
      </c>
      <c r="AW103" s="72">
        <v>0</v>
      </c>
      <c r="AX103" s="72">
        <v>0</v>
      </c>
      <c r="AY103" s="72">
        <v>0</v>
      </c>
      <c r="AZ103" s="72">
        <v>0</v>
      </c>
      <c r="BA103" s="72">
        <v>2952715</v>
      </c>
      <c r="BB103" s="72">
        <v>0</v>
      </c>
      <c r="BC103" s="72">
        <v>0</v>
      </c>
      <c r="BE103" s="72">
        <v>2952715</v>
      </c>
      <c r="BF103" s="72">
        <v>0</v>
      </c>
      <c r="BG103" s="72">
        <v>1500000</v>
      </c>
      <c r="BH103" s="72">
        <v>1500000</v>
      </c>
      <c r="BI103" s="72">
        <v>0</v>
      </c>
      <c r="BJ103" s="72">
        <v>4452715</v>
      </c>
      <c r="BK103" s="72">
        <v>240</v>
      </c>
      <c r="BL103" s="72">
        <v>2760</v>
      </c>
      <c r="BM103" s="72">
        <v>0</v>
      </c>
      <c r="BN103" s="72">
        <v>0</v>
      </c>
      <c r="BO103" s="72">
        <v>0</v>
      </c>
      <c r="BP103" s="72">
        <v>0</v>
      </c>
      <c r="BQ103" s="72">
        <v>0</v>
      </c>
      <c r="BR103" s="72">
        <v>0</v>
      </c>
      <c r="BS103" s="72">
        <v>24116356</v>
      </c>
    </row>
    <row r="104" spans="1:71" x14ac:dyDescent="0.2">
      <c r="A104" t="s">
        <v>519</v>
      </c>
      <c r="B104" t="s">
        <v>1431</v>
      </c>
      <c r="C104" t="s">
        <v>32</v>
      </c>
      <c r="D104" s="72">
        <v>6469004</v>
      </c>
      <c r="E104" s="72">
        <v>489033</v>
      </c>
      <c r="F104" s="72">
        <v>0</v>
      </c>
      <c r="G104" s="72">
        <v>13810224</v>
      </c>
      <c r="H104" s="72">
        <v>83237</v>
      </c>
      <c r="I104" s="72">
        <v>0</v>
      </c>
      <c r="J104" s="72">
        <v>1336098</v>
      </c>
      <c r="K104" s="72">
        <v>1188893</v>
      </c>
      <c r="L104" s="72">
        <v>23376489</v>
      </c>
      <c r="M104" s="72">
        <v>0</v>
      </c>
      <c r="N104" s="72">
        <v>0</v>
      </c>
      <c r="O104" s="72">
        <v>0</v>
      </c>
      <c r="P104" s="72">
        <v>0</v>
      </c>
      <c r="Q104" s="72">
        <v>70864</v>
      </c>
      <c r="R104" s="72">
        <v>70864</v>
      </c>
      <c r="S104" s="72">
        <v>23447353</v>
      </c>
      <c r="T104" s="72">
        <v>12105083</v>
      </c>
      <c r="U104" s="72">
        <v>4781959</v>
      </c>
      <c r="V104" s="72">
        <v>5479089</v>
      </c>
      <c r="W104" s="72">
        <v>332135</v>
      </c>
      <c r="X104" s="72">
        <v>268689</v>
      </c>
      <c r="Y104" s="72">
        <v>0</v>
      </c>
      <c r="Z104" s="72">
        <v>0</v>
      </c>
      <c r="AA104" s="72">
        <v>110000</v>
      </c>
      <c r="AB104" s="72">
        <v>0</v>
      </c>
      <c r="AC104" s="72">
        <v>0</v>
      </c>
      <c r="AD104" s="72">
        <v>132000</v>
      </c>
      <c r="AE104" s="72">
        <v>0</v>
      </c>
      <c r="AF104" s="72">
        <v>50464</v>
      </c>
      <c r="AG104" s="72">
        <v>211306</v>
      </c>
      <c r="AH104" s="72">
        <v>23470725</v>
      </c>
      <c r="AI104" s="72">
        <v>0</v>
      </c>
      <c r="AJ104" s="72">
        <v>0</v>
      </c>
      <c r="AK104" s="72">
        <v>0</v>
      </c>
      <c r="AL104" s="72">
        <v>0</v>
      </c>
      <c r="AM104" s="72">
        <v>23470725</v>
      </c>
      <c r="AN104" s="72">
        <v>-23372</v>
      </c>
      <c r="AO104" s="72">
        <v>82880</v>
      </c>
      <c r="AP104" s="72">
        <v>59508</v>
      </c>
      <c r="AQ104" s="72">
        <v>30000</v>
      </c>
      <c r="AR104" s="72">
        <v>0</v>
      </c>
      <c r="AS104" s="72">
        <v>0</v>
      </c>
      <c r="AT104" s="72">
        <v>0</v>
      </c>
      <c r="AU104" s="72">
        <v>0</v>
      </c>
      <c r="AV104" s="72">
        <v>0</v>
      </c>
      <c r="AW104" s="72">
        <v>0</v>
      </c>
      <c r="AX104" s="72">
        <v>0</v>
      </c>
      <c r="AY104" s="72">
        <v>0</v>
      </c>
      <c r="AZ104" s="72">
        <v>0</v>
      </c>
      <c r="BA104" s="72">
        <v>29508</v>
      </c>
      <c r="BB104" s="72">
        <v>0</v>
      </c>
      <c r="BC104" s="72">
        <v>0</v>
      </c>
      <c r="BD104" s="72">
        <v>0</v>
      </c>
      <c r="BE104" s="72">
        <v>29507</v>
      </c>
      <c r="BF104" s="72">
        <v>0</v>
      </c>
      <c r="BG104" s="72">
        <v>0</v>
      </c>
      <c r="BH104" s="72">
        <v>0</v>
      </c>
      <c r="BI104" s="72">
        <v>0</v>
      </c>
      <c r="BJ104" s="72">
        <v>29507</v>
      </c>
      <c r="BS104" s="72">
        <v>23470725</v>
      </c>
    </row>
    <row r="105" spans="1:71" x14ac:dyDescent="0.2">
      <c r="A105" t="s">
        <v>524</v>
      </c>
      <c r="B105" t="s">
        <v>1228</v>
      </c>
      <c r="C105" t="s">
        <v>55</v>
      </c>
      <c r="D105" s="72">
        <v>21576596</v>
      </c>
      <c r="E105" s="72">
        <v>0</v>
      </c>
      <c r="F105" s="72">
        <v>0</v>
      </c>
      <c r="G105" s="72">
        <v>13129307</v>
      </c>
      <c r="H105" s="72">
        <v>289644</v>
      </c>
      <c r="I105" s="72">
        <v>0</v>
      </c>
      <c r="J105" s="72">
        <v>4169304</v>
      </c>
      <c r="K105" s="72">
        <v>742250</v>
      </c>
      <c r="L105" s="72">
        <v>39907101</v>
      </c>
      <c r="M105" s="72">
        <v>0</v>
      </c>
      <c r="N105" s="72">
        <v>0</v>
      </c>
      <c r="O105" s="72">
        <v>154897</v>
      </c>
      <c r="P105" s="72">
        <v>291000</v>
      </c>
      <c r="Q105" s="72">
        <v>89456</v>
      </c>
      <c r="R105" s="72">
        <v>535353</v>
      </c>
      <c r="S105" s="72">
        <v>40442454</v>
      </c>
      <c r="T105" s="72">
        <v>25506059</v>
      </c>
      <c r="U105" s="72">
        <v>10382894</v>
      </c>
      <c r="V105" s="72">
        <v>2669973</v>
      </c>
      <c r="W105" s="72">
        <v>1089615</v>
      </c>
      <c r="X105" s="72">
        <v>461121</v>
      </c>
      <c r="Y105" s="72">
        <v>0</v>
      </c>
      <c r="Z105" s="72">
        <v>0</v>
      </c>
      <c r="AA105" s="72">
        <v>0</v>
      </c>
      <c r="AB105" s="72">
        <v>0</v>
      </c>
      <c r="AC105" s="72">
        <v>0</v>
      </c>
      <c r="AD105" s="72">
        <v>115000</v>
      </c>
      <c r="AE105" s="72">
        <v>0</v>
      </c>
      <c r="AF105" s="72">
        <v>39897</v>
      </c>
      <c r="AG105" s="72">
        <v>925316</v>
      </c>
      <c r="AH105" s="72">
        <v>41189875</v>
      </c>
      <c r="AI105" s="72">
        <v>154897</v>
      </c>
      <c r="AJ105" s="72">
        <v>0</v>
      </c>
      <c r="AL105" s="72">
        <v>154897</v>
      </c>
      <c r="AM105" s="72">
        <v>41344772</v>
      </c>
      <c r="AN105" s="72">
        <v>-902318</v>
      </c>
      <c r="AO105" s="72">
        <v>6136452</v>
      </c>
      <c r="AP105" s="72">
        <v>5234134</v>
      </c>
      <c r="AQ105" s="72">
        <v>0</v>
      </c>
      <c r="AR105" s="72">
        <v>0</v>
      </c>
      <c r="AS105" s="72">
        <v>0</v>
      </c>
      <c r="AT105" s="72">
        <v>0</v>
      </c>
      <c r="AU105" s="72">
        <v>0</v>
      </c>
      <c r="AV105" s="72">
        <v>0</v>
      </c>
      <c r="AW105" s="72">
        <v>0</v>
      </c>
      <c r="AX105" s="72">
        <v>0</v>
      </c>
      <c r="AY105" s="72">
        <v>0</v>
      </c>
      <c r="AZ105" s="72">
        <v>0</v>
      </c>
      <c r="BA105" s="72">
        <v>5234134</v>
      </c>
      <c r="BB105" s="72">
        <v>0</v>
      </c>
      <c r="BC105" s="72">
        <v>0</v>
      </c>
      <c r="BD105" s="72">
        <v>0</v>
      </c>
      <c r="BE105" s="72">
        <v>5234134</v>
      </c>
      <c r="BF105" s="72">
        <v>0</v>
      </c>
      <c r="BG105" s="72">
        <v>0</v>
      </c>
      <c r="BH105" s="72">
        <v>0</v>
      </c>
      <c r="BI105" s="72">
        <v>0</v>
      </c>
      <c r="BJ105" s="72">
        <v>5234134</v>
      </c>
      <c r="BK105" s="72">
        <v>319</v>
      </c>
      <c r="BL105" s="72">
        <v>4288</v>
      </c>
      <c r="BM105" s="72">
        <v>0</v>
      </c>
      <c r="BN105" s="72">
        <v>0</v>
      </c>
      <c r="BO105" s="72">
        <v>0</v>
      </c>
      <c r="BP105" s="72">
        <v>0</v>
      </c>
      <c r="BQ105" s="72">
        <v>0</v>
      </c>
      <c r="BR105" s="72">
        <v>0</v>
      </c>
      <c r="BS105" s="72">
        <v>41344772</v>
      </c>
    </row>
    <row r="106" spans="1:71" x14ac:dyDescent="0.2">
      <c r="A106" t="s">
        <v>526</v>
      </c>
      <c r="B106" t="s">
        <v>1230</v>
      </c>
      <c r="C106" t="s">
        <v>67</v>
      </c>
      <c r="D106" s="72">
        <v>3341868</v>
      </c>
      <c r="E106" s="72">
        <v>329303</v>
      </c>
      <c r="F106" s="72">
        <v>0</v>
      </c>
      <c r="G106" s="72">
        <v>8337638</v>
      </c>
      <c r="H106" s="72">
        <v>5226</v>
      </c>
      <c r="I106" s="72">
        <v>0</v>
      </c>
      <c r="J106" s="72">
        <v>546538</v>
      </c>
      <c r="K106" s="72">
        <v>242670</v>
      </c>
      <c r="L106" s="72">
        <v>12803243</v>
      </c>
      <c r="M106" s="72">
        <v>0</v>
      </c>
      <c r="N106" s="72">
        <v>0</v>
      </c>
      <c r="O106" s="72">
        <v>0</v>
      </c>
      <c r="P106" s="72">
        <v>0</v>
      </c>
      <c r="Q106" s="72">
        <v>51000</v>
      </c>
      <c r="R106" s="72">
        <v>51000</v>
      </c>
      <c r="S106" s="72">
        <v>12854243</v>
      </c>
      <c r="T106" s="72">
        <v>7155000</v>
      </c>
      <c r="U106" s="72">
        <v>2570000</v>
      </c>
      <c r="V106" s="72">
        <v>2150000</v>
      </c>
      <c r="W106" s="72">
        <v>246000</v>
      </c>
      <c r="X106" s="72">
        <v>4000</v>
      </c>
      <c r="Y106" s="72">
        <v>0</v>
      </c>
      <c r="Z106" s="72">
        <v>0</v>
      </c>
      <c r="AA106" s="72">
        <v>0</v>
      </c>
      <c r="AB106" s="72">
        <v>0</v>
      </c>
      <c r="AC106" s="72">
        <v>0</v>
      </c>
      <c r="AD106" s="72">
        <v>0</v>
      </c>
      <c r="AE106" s="72">
        <v>0</v>
      </c>
      <c r="AF106" s="72">
        <v>0</v>
      </c>
      <c r="AG106" s="72">
        <v>175000</v>
      </c>
      <c r="AH106" s="72">
        <v>12300000</v>
      </c>
      <c r="AI106" s="72">
        <v>0</v>
      </c>
      <c r="AJ106" s="72">
        <v>0</v>
      </c>
      <c r="AK106" s="72">
        <v>0</v>
      </c>
      <c r="AL106" s="72">
        <v>0</v>
      </c>
      <c r="AM106" s="72">
        <v>12300000</v>
      </c>
      <c r="AN106" s="72">
        <v>554243</v>
      </c>
      <c r="AO106" s="72">
        <v>684694</v>
      </c>
      <c r="AP106" s="72">
        <v>1238937</v>
      </c>
      <c r="AQ106" s="72">
        <v>0</v>
      </c>
      <c r="AR106" s="72">
        <v>0</v>
      </c>
      <c r="AS106" s="72">
        <v>0</v>
      </c>
      <c r="AT106" s="72">
        <v>0</v>
      </c>
      <c r="AU106" s="72">
        <v>0</v>
      </c>
      <c r="AV106" s="72">
        <v>0</v>
      </c>
      <c r="AW106" s="72">
        <v>0</v>
      </c>
      <c r="AX106" s="72">
        <v>0</v>
      </c>
      <c r="AY106" s="72">
        <v>0</v>
      </c>
      <c r="AZ106" s="72">
        <v>0</v>
      </c>
      <c r="BA106" s="72">
        <v>1238937</v>
      </c>
      <c r="BB106" s="72">
        <v>0</v>
      </c>
      <c r="BC106" s="72">
        <v>0</v>
      </c>
      <c r="BD106" s="72">
        <v>0</v>
      </c>
      <c r="BE106" s="72">
        <v>1238937</v>
      </c>
      <c r="BF106" s="72">
        <v>0</v>
      </c>
      <c r="BG106" s="72">
        <v>0</v>
      </c>
      <c r="BH106" s="72">
        <v>0</v>
      </c>
      <c r="BI106" s="72">
        <v>0</v>
      </c>
      <c r="BJ106" s="72">
        <v>1238937</v>
      </c>
      <c r="BK106" s="72">
        <v>140</v>
      </c>
      <c r="BL106" s="72">
        <v>1500</v>
      </c>
      <c r="BM106" s="72">
        <v>0</v>
      </c>
      <c r="BN106" s="72">
        <v>0</v>
      </c>
      <c r="BO106" s="72">
        <v>0</v>
      </c>
      <c r="BP106" s="72">
        <v>0</v>
      </c>
      <c r="BQ106" s="72">
        <v>0</v>
      </c>
      <c r="BR106" s="72">
        <v>0</v>
      </c>
      <c r="BS106" s="72">
        <v>12854243</v>
      </c>
    </row>
    <row r="107" spans="1:71" x14ac:dyDescent="0.2">
      <c r="A107" t="s">
        <v>528</v>
      </c>
      <c r="B107" t="s">
        <v>1232</v>
      </c>
      <c r="C107" t="s">
        <v>23</v>
      </c>
      <c r="D107" s="72">
        <v>37760000</v>
      </c>
      <c r="E107" s="72">
        <v>3000</v>
      </c>
      <c r="F107" s="72">
        <v>0</v>
      </c>
      <c r="G107" s="72">
        <v>8395000</v>
      </c>
      <c r="H107" s="72">
        <v>0</v>
      </c>
      <c r="I107" s="72">
        <v>0</v>
      </c>
      <c r="J107" s="72">
        <v>4740000</v>
      </c>
      <c r="K107" s="72">
        <v>1440000</v>
      </c>
      <c r="L107" s="72">
        <v>52338000</v>
      </c>
      <c r="M107" s="72">
        <v>0</v>
      </c>
      <c r="N107" s="72">
        <v>0</v>
      </c>
      <c r="O107" s="72">
        <v>0</v>
      </c>
      <c r="P107" s="72">
        <v>650000</v>
      </c>
      <c r="Q107" s="72">
        <v>0</v>
      </c>
      <c r="R107" s="72">
        <v>650000</v>
      </c>
      <c r="S107" s="72">
        <v>52988000</v>
      </c>
      <c r="T107" s="72">
        <v>33146000</v>
      </c>
      <c r="U107" s="72">
        <v>12245000</v>
      </c>
      <c r="V107" s="72">
        <v>5033000</v>
      </c>
      <c r="W107" s="72">
        <v>1762000</v>
      </c>
      <c r="X107" s="72">
        <v>600000</v>
      </c>
      <c r="Y107" s="72">
        <v>0</v>
      </c>
      <c r="Z107" s="72">
        <v>0</v>
      </c>
      <c r="AA107" s="72">
        <v>392000</v>
      </c>
      <c r="AB107" s="72">
        <v>0</v>
      </c>
      <c r="AC107" s="72">
        <v>0</v>
      </c>
      <c r="AD107" s="72">
        <v>0</v>
      </c>
      <c r="AE107" s="72">
        <v>0</v>
      </c>
      <c r="AF107" s="72">
        <v>116000</v>
      </c>
      <c r="AG107" s="72">
        <v>772000</v>
      </c>
      <c r="AH107" s="72">
        <v>54066000</v>
      </c>
      <c r="AI107" s="72">
        <v>316000</v>
      </c>
      <c r="AJ107" s="72">
        <v>670000</v>
      </c>
      <c r="AK107" s="72">
        <v>0</v>
      </c>
      <c r="AL107" s="72">
        <v>986000</v>
      </c>
      <c r="AM107" s="72">
        <v>55052000</v>
      </c>
      <c r="AN107" s="72">
        <v>-2064000</v>
      </c>
      <c r="AO107" s="72">
        <v>21711158</v>
      </c>
      <c r="AP107" s="72">
        <v>19647158</v>
      </c>
      <c r="AQ107" s="72">
        <v>500000</v>
      </c>
      <c r="AR107" s="72">
        <v>0</v>
      </c>
      <c r="AS107" s="72">
        <v>0</v>
      </c>
      <c r="AT107" s="72">
        <v>223073</v>
      </c>
      <c r="AU107" s="72">
        <v>0</v>
      </c>
      <c r="AV107" s="72">
        <v>0</v>
      </c>
      <c r="AW107" s="72">
        <v>0</v>
      </c>
      <c r="AX107" s="72">
        <v>0</v>
      </c>
      <c r="AY107" s="72">
        <v>0</v>
      </c>
      <c r="AZ107" s="72">
        <v>223073</v>
      </c>
      <c r="BA107" s="72">
        <v>18924085</v>
      </c>
      <c r="BB107" s="72">
        <v>0</v>
      </c>
      <c r="BC107" s="72">
        <v>0</v>
      </c>
      <c r="BD107" s="72">
        <v>0</v>
      </c>
      <c r="BE107" s="72">
        <v>18924085</v>
      </c>
      <c r="BF107" s="72">
        <v>0</v>
      </c>
      <c r="BG107" s="72">
        <v>0</v>
      </c>
      <c r="BH107" s="72">
        <v>0</v>
      </c>
      <c r="BI107" s="72">
        <v>0</v>
      </c>
      <c r="BJ107" s="72">
        <v>18924085</v>
      </c>
      <c r="BK107" s="72">
        <v>254</v>
      </c>
      <c r="BL107" s="72">
        <v>3846</v>
      </c>
      <c r="BM107" s="72">
        <v>256334</v>
      </c>
      <c r="BN107" s="72">
        <v>50070</v>
      </c>
      <c r="BO107" s="72">
        <v>0</v>
      </c>
      <c r="BP107" s="72">
        <v>0</v>
      </c>
      <c r="BQ107" s="72">
        <v>0</v>
      </c>
      <c r="BR107" s="72">
        <v>306404</v>
      </c>
      <c r="BS107" s="72">
        <v>55052000</v>
      </c>
    </row>
    <row r="108" spans="1:71" x14ac:dyDescent="0.2">
      <c r="A108" t="s">
        <v>529</v>
      </c>
      <c r="B108" t="s">
        <v>1233</v>
      </c>
      <c r="C108" t="s">
        <v>61</v>
      </c>
      <c r="D108" s="72">
        <v>22689244</v>
      </c>
      <c r="E108" s="72">
        <v>0</v>
      </c>
      <c r="F108" s="72">
        <v>0</v>
      </c>
      <c r="G108" s="72">
        <v>9159992</v>
      </c>
      <c r="H108" s="72">
        <v>24980</v>
      </c>
      <c r="I108" s="72">
        <v>0</v>
      </c>
      <c r="J108" s="72">
        <v>3431224</v>
      </c>
      <c r="K108" s="72">
        <v>773898</v>
      </c>
      <c r="L108" s="72">
        <v>36079338</v>
      </c>
      <c r="M108" s="72">
        <v>0</v>
      </c>
      <c r="N108" s="72">
        <v>0</v>
      </c>
      <c r="O108" s="72">
        <v>484200</v>
      </c>
      <c r="P108" s="72">
        <v>37716</v>
      </c>
      <c r="Q108" s="72">
        <v>211315</v>
      </c>
      <c r="R108" s="72">
        <v>733231</v>
      </c>
      <c r="S108" s="72">
        <v>36812569</v>
      </c>
      <c r="T108" s="72">
        <v>19303211</v>
      </c>
      <c r="U108" s="72">
        <v>6724071</v>
      </c>
      <c r="V108" s="72">
        <v>4614757</v>
      </c>
      <c r="W108" s="72">
        <v>881131</v>
      </c>
      <c r="X108" s="72">
        <v>341860</v>
      </c>
      <c r="Y108" s="72">
        <v>0</v>
      </c>
      <c r="Z108" s="72">
        <v>0</v>
      </c>
      <c r="AA108" s="72">
        <v>0</v>
      </c>
      <c r="AB108" s="72">
        <v>0</v>
      </c>
      <c r="AC108" s="72">
        <v>0</v>
      </c>
      <c r="AD108" s="72">
        <v>0</v>
      </c>
      <c r="AE108" s="72">
        <v>0</v>
      </c>
      <c r="AF108" s="72">
        <v>0</v>
      </c>
      <c r="AG108" s="72">
        <v>512050</v>
      </c>
      <c r="AH108" s="72">
        <v>32377080</v>
      </c>
      <c r="AI108" s="72">
        <v>551200</v>
      </c>
      <c r="AJ108" s="72">
        <v>40000</v>
      </c>
      <c r="AK108" s="72">
        <v>0</v>
      </c>
      <c r="AL108" s="72">
        <v>591200</v>
      </c>
      <c r="AM108" s="72">
        <v>32968280</v>
      </c>
      <c r="AN108" s="72">
        <v>3844289</v>
      </c>
      <c r="AO108" s="72">
        <v>4213742</v>
      </c>
      <c r="AP108" s="72">
        <v>8058031</v>
      </c>
      <c r="AQ108" s="72">
        <v>450000</v>
      </c>
      <c r="AR108" s="72">
        <v>0</v>
      </c>
      <c r="AS108" s="72">
        <v>0</v>
      </c>
      <c r="AT108" s="72">
        <v>0</v>
      </c>
      <c r="AU108" s="72">
        <v>0</v>
      </c>
      <c r="AV108" s="72">
        <v>0</v>
      </c>
      <c r="AW108" s="72">
        <v>0</v>
      </c>
      <c r="AX108" s="72">
        <v>0</v>
      </c>
      <c r="AY108" s="72">
        <v>0</v>
      </c>
      <c r="AZ108" s="72">
        <v>0</v>
      </c>
      <c r="BA108" s="72">
        <v>7608031</v>
      </c>
      <c r="BB108" s="72">
        <v>0</v>
      </c>
      <c r="BC108" s="72">
        <v>0</v>
      </c>
      <c r="BD108" s="72">
        <v>0</v>
      </c>
      <c r="BE108" s="72">
        <v>7608031</v>
      </c>
      <c r="BF108" s="72">
        <v>0</v>
      </c>
      <c r="BG108" s="72">
        <v>0</v>
      </c>
      <c r="BH108" s="72">
        <v>0</v>
      </c>
      <c r="BI108" s="72">
        <v>0</v>
      </c>
      <c r="BJ108" s="72">
        <v>7608031</v>
      </c>
      <c r="BK108" s="72">
        <v>184</v>
      </c>
      <c r="BL108" s="72">
        <v>3756</v>
      </c>
      <c r="BM108" s="72">
        <v>0</v>
      </c>
      <c r="BN108" s="72">
        <v>0</v>
      </c>
      <c r="BO108" s="72">
        <v>0</v>
      </c>
      <c r="BP108" s="72">
        <v>0</v>
      </c>
      <c r="BQ108" s="72">
        <v>0</v>
      </c>
      <c r="BR108" s="72">
        <v>0</v>
      </c>
      <c r="BS108" s="72">
        <v>36812569</v>
      </c>
    </row>
    <row r="109" spans="1:71" x14ac:dyDescent="0.2">
      <c r="A109" t="s">
        <v>530</v>
      </c>
      <c r="B109" t="s">
        <v>1234</v>
      </c>
      <c r="C109" t="s">
        <v>23</v>
      </c>
      <c r="D109" s="72">
        <v>35479439</v>
      </c>
      <c r="E109" s="72">
        <v>0</v>
      </c>
      <c r="F109" s="72">
        <v>0</v>
      </c>
      <c r="G109" s="72">
        <v>5675846</v>
      </c>
      <c r="H109" s="72">
        <v>0</v>
      </c>
      <c r="I109" s="72">
        <v>0</v>
      </c>
      <c r="J109" s="72">
        <v>4875939</v>
      </c>
      <c r="K109" s="72">
        <v>1003957</v>
      </c>
      <c r="L109" s="72">
        <v>47035181</v>
      </c>
      <c r="M109" s="72">
        <v>0</v>
      </c>
      <c r="N109" s="72">
        <v>0</v>
      </c>
      <c r="O109" s="72">
        <v>0</v>
      </c>
      <c r="P109" s="72">
        <v>1000</v>
      </c>
      <c r="Q109" s="72">
        <v>0</v>
      </c>
      <c r="R109" s="72">
        <v>1000</v>
      </c>
      <c r="S109" s="72">
        <v>47036181</v>
      </c>
      <c r="T109" s="72">
        <v>28762136</v>
      </c>
      <c r="U109" s="72">
        <v>11144698</v>
      </c>
      <c r="V109" s="72">
        <v>4790969</v>
      </c>
      <c r="W109" s="72">
        <v>1622257</v>
      </c>
      <c r="X109" s="72">
        <v>75586</v>
      </c>
      <c r="Y109" s="72">
        <v>0</v>
      </c>
      <c r="Z109" s="72">
        <v>0</v>
      </c>
      <c r="AA109" s="72">
        <v>0</v>
      </c>
      <c r="AB109" s="72">
        <v>0</v>
      </c>
      <c r="AC109" s="72">
        <v>0</v>
      </c>
      <c r="AD109" s="72">
        <v>0</v>
      </c>
      <c r="AE109" s="72">
        <v>0</v>
      </c>
      <c r="AF109" s="72">
        <v>0</v>
      </c>
      <c r="AG109" s="72">
        <v>721065</v>
      </c>
      <c r="AH109" s="72">
        <v>47116710</v>
      </c>
      <c r="AI109" s="72">
        <v>119000</v>
      </c>
      <c r="AJ109" s="72">
        <v>0</v>
      </c>
      <c r="AK109" s="72">
        <v>0</v>
      </c>
      <c r="AL109" s="72">
        <v>119000</v>
      </c>
      <c r="AM109" s="72">
        <v>47235710</v>
      </c>
      <c r="AN109" s="72">
        <v>-199530</v>
      </c>
      <c r="AO109" s="72">
        <v>11222319</v>
      </c>
      <c r="AP109" s="72">
        <v>11022790</v>
      </c>
      <c r="AQ109" s="72">
        <v>264600</v>
      </c>
      <c r="AR109" s="72">
        <v>0</v>
      </c>
      <c r="AS109" s="72">
        <v>0</v>
      </c>
      <c r="AT109" s="72">
        <v>0</v>
      </c>
      <c r="AU109" s="72">
        <v>0</v>
      </c>
      <c r="AV109" s="72">
        <v>0</v>
      </c>
      <c r="AW109" s="72">
        <v>0</v>
      </c>
      <c r="AX109" s="72">
        <v>0</v>
      </c>
      <c r="AY109" s="72">
        <v>0</v>
      </c>
      <c r="AZ109" s="72">
        <v>0</v>
      </c>
      <c r="BA109" s="72">
        <v>10758190</v>
      </c>
      <c r="BB109" s="72">
        <v>0</v>
      </c>
      <c r="BC109" s="72">
        <v>0</v>
      </c>
      <c r="BD109" s="72">
        <v>0</v>
      </c>
      <c r="BE109" s="72">
        <v>10758190</v>
      </c>
      <c r="BF109" s="72">
        <v>0</v>
      </c>
      <c r="BG109" s="72">
        <v>0</v>
      </c>
      <c r="BH109" s="72">
        <v>0</v>
      </c>
      <c r="BI109" s="72">
        <v>0</v>
      </c>
      <c r="BJ109" s="72">
        <v>10758190</v>
      </c>
      <c r="BK109" s="72">
        <v>328</v>
      </c>
      <c r="BL109" s="72">
        <v>4398</v>
      </c>
      <c r="BM109" s="72">
        <v>0</v>
      </c>
      <c r="BN109" s="72">
        <v>0</v>
      </c>
      <c r="BO109" s="72">
        <v>0</v>
      </c>
      <c r="BP109" s="72">
        <v>0</v>
      </c>
      <c r="BQ109" s="72">
        <v>0</v>
      </c>
      <c r="BR109" s="72">
        <v>0</v>
      </c>
      <c r="BS109" s="72">
        <v>47235710</v>
      </c>
    </row>
    <row r="110" spans="1:71" x14ac:dyDescent="0.2">
      <c r="A110" t="s">
        <v>545</v>
      </c>
      <c r="B110" t="s">
        <v>1244</v>
      </c>
      <c r="C110" t="s">
        <v>46</v>
      </c>
      <c r="D110" s="72">
        <v>7603950</v>
      </c>
      <c r="E110" s="72">
        <v>516660</v>
      </c>
      <c r="F110" s="72">
        <v>0</v>
      </c>
      <c r="G110" s="72">
        <v>6822811</v>
      </c>
      <c r="H110" s="72">
        <v>256878</v>
      </c>
      <c r="I110" s="72">
        <v>0</v>
      </c>
      <c r="J110" s="72">
        <v>1672272</v>
      </c>
      <c r="K110" s="72">
        <v>3978823</v>
      </c>
      <c r="L110" s="72">
        <v>20851394</v>
      </c>
      <c r="M110" s="72">
        <v>0</v>
      </c>
      <c r="N110" s="72">
        <v>0</v>
      </c>
      <c r="O110" s="72">
        <v>0</v>
      </c>
      <c r="P110" s="72">
        <v>94175</v>
      </c>
      <c r="Q110" s="72">
        <v>51567</v>
      </c>
      <c r="R110" s="72">
        <v>145742</v>
      </c>
      <c r="S110" s="72">
        <v>20997136</v>
      </c>
      <c r="T110" s="72">
        <v>12728543</v>
      </c>
      <c r="U110" s="72">
        <v>5040788</v>
      </c>
      <c r="V110" s="72">
        <v>2939869</v>
      </c>
      <c r="W110" s="72">
        <v>906784</v>
      </c>
      <c r="X110" s="72">
        <v>50000</v>
      </c>
      <c r="Y110" s="72">
        <v>0</v>
      </c>
      <c r="Z110" s="72">
        <v>0</v>
      </c>
      <c r="AA110" s="72">
        <v>0</v>
      </c>
      <c r="AB110" s="72">
        <v>0</v>
      </c>
      <c r="AC110" s="72">
        <v>0</v>
      </c>
      <c r="AD110" s="72">
        <v>0</v>
      </c>
      <c r="AE110" s="72">
        <v>0</v>
      </c>
      <c r="AF110" s="72">
        <v>0</v>
      </c>
      <c r="AG110" s="72">
        <v>334802</v>
      </c>
      <c r="AH110" s="72">
        <v>22000786</v>
      </c>
      <c r="AI110" s="72">
        <v>0</v>
      </c>
      <c r="AJ110" s="72">
        <v>0</v>
      </c>
      <c r="AK110" s="72">
        <v>0</v>
      </c>
      <c r="AL110" s="72">
        <v>0</v>
      </c>
      <c r="AM110" s="72">
        <v>22000786</v>
      </c>
      <c r="AN110" s="72">
        <v>-1003650</v>
      </c>
      <c r="AO110" s="72">
        <v>3062117</v>
      </c>
      <c r="AP110" s="72">
        <v>2058467</v>
      </c>
      <c r="AQ110" s="72">
        <v>200000</v>
      </c>
      <c r="AR110" s="72">
        <v>0</v>
      </c>
      <c r="AS110" s="72">
        <v>0</v>
      </c>
      <c r="AT110" s="72">
        <v>0</v>
      </c>
      <c r="AU110" s="72">
        <v>0</v>
      </c>
      <c r="AV110" s="72">
        <v>0</v>
      </c>
      <c r="AW110" s="72">
        <v>0</v>
      </c>
      <c r="AX110" s="72">
        <v>0</v>
      </c>
      <c r="AY110" s="72">
        <v>0</v>
      </c>
      <c r="AZ110" s="72">
        <v>0</v>
      </c>
      <c r="BA110" s="72">
        <v>1858467</v>
      </c>
      <c r="BB110" s="72">
        <v>0</v>
      </c>
      <c r="BC110" s="72">
        <v>0</v>
      </c>
      <c r="BD110" s="72">
        <v>0</v>
      </c>
      <c r="BE110" s="72">
        <v>1858467</v>
      </c>
      <c r="BF110" s="72">
        <v>0</v>
      </c>
      <c r="BG110" s="72">
        <v>0</v>
      </c>
      <c r="BH110" s="72">
        <v>0</v>
      </c>
      <c r="BI110" s="72">
        <v>0</v>
      </c>
      <c r="BJ110" s="72">
        <v>1858467</v>
      </c>
      <c r="BM110" s="72">
        <v>0</v>
      </c>
      <c r="BN110" s="72">
        <v>0</v>
      </c>
      <c r="BO110" s="72">
        <v>0</v>
      </c>
      <c r="BP110" s="72">
        <v>0</v>
      </c>
      <c r="BQ110" s="72">
        <v>0</v>
      </c>
      <c r="BR110" s="72">
        <v>0</v>
      </c>
      <c r="BS110" s="72">
        <v>22000786</v>
      </c>
    </row>
    <row r="111" spans="1:71" x14ac:dyDescent="0.2">
      <c r="A111" t="s">
        <v>546</v>
      </c>
      <c r="B111" t="s">
        <v>1245</v>
      </c>
      <c r="C111" t="s">
        <v>57</v>
      </c>
      <c r="D111" s="72">
        <v>5653092</v>
      </c>
      <c r="E111" s="72">
        <v>372148</v>
      </c>
      <c r="F111" s="72">
        <v>1851525</v>
      </c>
      <c r="G111" s="72">
        <v>11912690</v>
      </c>
      <c r="H111" s="72">
        <v>34790</v>
      </c>
      <c r="I111" s="72">
        <v>0</v>
      </c>
      <c r="J111" s="72">
        <v>1183393</v>
      </c>
      <c r="K111" s="72">
        <v>1428541</v>
      </c>
      <c r="L111" s="72">
        <v>22436179</v>
      </c>
      <c r="M111" s="72">
        <v>0</v>
      </c>
      <c r="N111" s="72">
        <v>0</v>
      </c>
      <c r="O111" s="72">
        <v>0</v>
      </c>
      <c r="P111" s="72">
        <v>0</v>
      </c>
      <c r="Q111" s="72">
        <v>0</v>
      </c>
      <c r="R111" s="72">
        <v>0</v>
      </c>
      <c r="S111" s="72">
        <v>22436179</v>
      </c>
      <c r="T111" s="72">
        <v>13382677</v>
      </c>
      <c r="U111" s="72">
        <v>5093837</v>
      </c>
      <c r="V111" s="72">
        <v>4330426</v>
      </c>
      <c r="W111" s="72">
        <v>855615</v>
      </c>
      <c r="X111" s="72">
        <v>420564</v>
      </c>
      <c r="Y111" s="72">
        <v>0</v>
      </c>
      <c r="Z111" s="72">
        <v>0</v>
      </c>
      <c r="AA111" s="72">
        <v>0</v>
      </c>
      <c r="AB111" s="72">
        <v>0</v>
      </c>
      <c r="AC111" s="72">
        <v>0</v>
      </c>
      <c r="AD111" s="72">
        <v>0</v>
      </c>
      <c r="AE111" s="72">
        <v>0</v>
      </c>
      <c r="AF111" s="72">
        <v>0</v>
      </c>
      <c r="AG111" s="72">
        <v>216597</v>
      </c>
      <c r="AH111" s="72">
        <v>24299716</v>
      </c>
      <c r="AI111" s="72">
        <v>0</v>
      </c>
      <c r="AJ111" s="72">
        <v>0</v>
      </c>
      <c r="AK111" s="72">
        <v>0</v>
      </c>
      <c r="AL111" s="72">
        <v>0</v>
      </c>
      <c r="AM111" s="72">
        <v>24299716</v>
      </c>
      <c r="AN111" s="72">
        <v>-1863537</v>
      </c>
      <c r="AO111" s="72">
        <v>5375981</v>
      </c>
      <c r="AP111" s="72">
        <v>3512444</v>
      </c>
      <c r="AQ111" s="72">
        <v>0</v>
      </c>
      <c r="AR111" s="72">
        <v>0</v>
      </c>
      <c r="AS111" s="72">
        <v>0</v>
      </c>
      <c r="AT111" s="72">
        <v>0</v>
      </c>
      <c r="AU111" s="72">
        <v>0</v>
      </c>
      <c r="AV111" s="72">
        <v>0</v>
      </c>
      <c r="AW111" s="72">
        <v>0</v>
      </c>
      <c r="AX111" s="72">
        <v>0</v>
      </c>
      <c r="AY111" s="72">
        <v>0</v>
      </c>
      <c r="AZ111" s="72">
        <v>0</v>
      </c>
      <c r="BA111" s="72">
        <v>3512444</v>
      </c>
      <c r="BB111" s="72">
        <v>0</v>
      </c>
      <c r="BC111" s="72">
        <v>0</v>
      </c>
      <c r="BD111" s="72">
        <v>0</v>
      </c>
      <c r="BE111" s="72">
        <v>3512444</v>
      </c>
      <c r="BF111" s="72">
        <v>0</v>
      </c>
      <c r="BG111" s="72">
        <v>0</v>
      </c>
      <c r="BH111" s="72">
        <v>0</v>
      </c>
      <c r="BI111" s="72">
        <v>0</v>
      </c>
      <c r="BJ111" s="72">
        <v>3512444</v>
      </c>
      <c r="BM111" s="72">
        <v>0</v>
      </c>
      <c r="BN111" s="72">
        <v>0</v>
      </c>
      <c r="BO111" s="72">
        <v>0</v>
      </c>
      <c r="BP111" s="72">
        <v>0</v>
      </c>
      <c r="BQ111" s="72">
        <v>0</v>
      </c>
      <c r="BR111" s="72">
        <v>0</v>
      </c>
      <c r="BS111" s="72">
        <v>24299716</v>
      </c>
    </row>
    <row r="112" spans="1:71" x14ac:dyDescent="0.2">
      <c r="A112" t="s">
        <v>548</v>
      </c>
      <c r="B112" t="s">
        <v>1247</v>
      </c>
      <c r="C112" t="s">
        <v>67</v>
      </c>
      <c r="D112" s="72">
        <v>13392131</v>
      </c>
      <c r="E112" s="72">
        <v>931591</v>
      </c>
      <c r="F112" s="72">
        <v>0</v>
      </c>
      <c r="G112" s="72">
        <v>7641420</v>
      </c>
      <c r="H112" s="72">
        <v>77114</v>
      </c>
      <c r="I112" s="72">
        <v>0</v>
      </c>
      <c r="J112" s="72">
        <v>3081675</v>
      </c>
      <c r="K112" s="72">
        <v>818208</v>
      </c>
      <c r="L112" s="72">
        <v>25942139</v>
      </c>
      <c r="M112" s="72">
        <v>0</v>
      </c>
      <c r="N112" s="72">
        <v>0</v>
      </c>
      <c r="O112" s="72">
        <v>0</v>
      </c>
      <c r="P112" s="72">
        <v>103017</v>
      </c>
      <c r="Q112" s="72">
        <v>51398</v>
      </c>
      <c r="R112" s="72">
        <v>154415</v>
      </c>
      <c r="S112" s="72">
        <v>26096554</v>
      </c>
      <c r="T112" s="72">
        <v>12767139</v>
      </c>
      <c r="U112" s="72">
        <v>4463287</v>
      </c>
      <c r="V112" s="72">
        <v>5074217</v>
      </c>
      <c r="W112" s="72">
        <v>662044</v>
      </c>
      <c r="X112" s="72">
        <v>322918</v>
      </c>
      <c r="Y112" s="72">
        <v>0</v>
      </c>
      <c r="Z112" s="72">
        <v>0</v>
      </c>
      <c r="AA112" s="72">
        <v>0</v>
      </c>
      <c r="AB112" s="72">
        <v>0</v>
      </c>
      <c r="AC112" s="72">
        <v>0</v>
      </c>
      <c r="AD112" s="72">
        <v>0</v>
      </c>
      <c r="AE112" s="72">
        <v>0</v>
      </c>
      <c r="AF112" s="72">
        <v>0</v>
      </c>
      <c r="AG112" s="72">
        <v>379053</v>
      </c>
      <c r="AH112" s="72">
        <v>23668658</v>
      </c>
      <c r="AI112" s="72">
        <v>597030</v>
      </c>
      <c r="AJ112" s="72">
        <v>0</v>
      </c>
      <c r="AK112" s="72">
        <v>0</v>
      </c>
      <c r="AL112" s="72">
        <v>597030</v>
      </c>
      <c r="AM112" s="72">
        <v>24265688</v>
      </c>
      <c r="AN112" s="72">
        <v>1830866</v>
      </c>
      <c r="AO112" s="72">
        <v>1947330</v>
      </c>
      <c r="AP112" s="72">
        <v>3778196</v>
      </c>
      <c r="AQ112" s="72">
        <v>0</v>
      </c>
      <c r="AR112" s="72">
        <v>0</v>
      </c>
      <c r="AS112" s="72">
        <v>0</v>
      </c>
      <c r="AT112" s="72">
        <v>0</v>
      </c>
      <c r="AU112" s="72">
        <v>0</v>
      </c>
      <c r="AV112" s="72">
        <v>0</v>
      </c>
      <c r="AW112" s="72">
        <v>0</v>
      </c>
      <c r="AX112" s="72">
        <v>0</v>
      </c>
      <c r="AY112" s="72">
        <v>0</v>
      </c>
      <c r="AZ112" s="72">
        <v>0</v>
      </c>
      <c r="BA112" s="72">
        <v>3778196</v>
      </c>
      <c r="BB112" s="72">
        <v>0</v>
      </c>
      <c r="BC112" s="72">
        <v>0</v>
      </c>
      <c r="BD112" s="72">
        <v>0</v>
      </c>
      <c r="BE112" s="72">
        <v>3778196</v>
      </c>
      <c r="BF112" s="72">
        <v>0</v>
      </c>
      <c r="BG112" s="72">
        <v>0</v>
      </c>
      <c r="BH112" s="72">
        <v>0</v>
      </c>
      <c r="BI112" s="72">
        <v>0</v>
      </c>
      <c r="BJ112" s="72">
        <v>3778196</v>
      </c>
      <c r="BM112" s="72">
        <v>0</v>
      </c>
      <c r="BN112" s="72">
        <v>0</v>
      </c>
      <c r="BO112" s="72">
        <v>0</v>
      </c>
      <c r="BP112" s="72">
        <v>0</v>
      </c>
      <c r="BQ112" s="72">
        <v>0</v>
      </c>
      <c r="BR112" s="72">
        <v>0</v>
      </c>
      <c r="BS112" s="72">
        <v>26096554</v>
      </c>
    </row>
    <row r="113" spans="1:71" x14ac:dyDescent="0.2">
      <c r="A113" t="s">
        <v>551</v>
      </c>
      <c r="B113" t="s">
        <v>1250</v>
      </c>
      <c r="C113" t="s">
        <v>38</v>
      </c>
      <c r="D113" s="72">
        <v>15210000</v>
      </c>
      <c r="E113" s="72">
        <v>0</v>
      </c>
      <c r="F113" s="72">
        <v>0</v>
      </c>
      <c r="G113" s="72">
        <v>5492281</v>
      </c>
      <c r="H113" s="72">
        <v>40000</v>
      </c>
      <c r="I113" s="72">
        <v>0</v>
      </c>
      <c r="J113" s="72">
        <v>2350000</v>
      </c>
      <c r="K113" s="72">
        <v>195871</v>
      </c>
      <c r="L113" s="72">
        <v>23288152</v>
      </c>
      <c r="M113" s="72">
        <v>0</v>
      </c>
      <c r="N113" s="72">
        <v>0</v>
      </c>
      <c r="O113" s="72">
        <v>55000</v>
      </c>
      <c r="P113" s="72">
        <v>0</v>
      </c>
      <c r="Q113" s="72">
        <v>0</v>
      </c>
      <c r="R113" s="72">
        <v>55000</v>
      </c>
      <c r="S113" s="72">
        <v>23343152</v>
      </c>
      <c r="T113" s="72">
        <v>15226000</v>
      </c>
      <c r="U113" s="72">
        <v>5426000</v>
      </c>
      <c r="V113" s="72">
        <v>1725000</v>
      </c>
      <c r="W113" s="72">
        <v>720000</v>
      </c>
      <c r="X113" s="72">
        <v>250000</v>
      </c>
      <c r="Y113" s="72">
        <v>0</v>
      </c>
      <c r="Z113" s="72">
        <v>0</v>
      </c>
      <c r="AA113" s="72">
        <v>0</v>
      </c>
      <c r="AB113" s="72">
        <v>0</v>
      </c>
      <c r="AC113" s="72">
        <v>0</v>
      </c>
      <c r="AD113" s="72">
        <v>0</v>
      </c>
      <c r="AE113" s="72">
        <v>0</v>
      </c>
      <c r="AF113" s="72">
        <v>0</v>
      </c>
      <c r="AG113" s="72">
        <v>520000</v>
      </c>
      <c r="AH113" s="72">
        <v>23867000</v>
      </c>
      <c r="AI113" s="72">
        <v>10000</v>
      </c>
      <c r="AJ113" s="72">
        <v>0</v>
      </c>
      <c r="AK113" s="72">
        <v>0</v>
      </c>
      <c r="AL113" s="72">
        <v>10000</v>
      </c>
      <c r="AM113" s="72">
        <v>23877000</v>
      </c>
      <c r="AN113" s="72">
        <v>-533848</v>
      </c>
      <c r="AO113" s="72">
        <v>1889611</v>
      </c>
      <c r="AP113" s="72">
        <v>1355763</v>
      </c>
      <c r="AQ113" s="72">
        <v>0</v>
      </c>
      <c r="AR113" s="72">
        <v>0</v>
      </c>
      <c r="AS113" s="72">
        <v>0</v>
      </c>
      <c r="AT113" s="72">
        <v>0</v>
      </c>
      <c r="AU113" s="72">
        <v>0</v>
      </c>
      <c r="AV113" s="72">
        <v>0</v>
      </c>
      <c r="AW113" s="72">
        <v>0</v>
      </c>
      <c r="AX113" s="72">
        <v>0</v>
      </c>
      <c r="AY113" s="72">
        <v>0</v>
      </c>
      <c r="AZ113" s="72">
        <v>0</v>
      </c>
      <c r="BA113" s="72">
        <v>1355763</v>
      </c>
      <c r="BB113" s="72">
        <v>0</v>
      </c>
      <c r="BC113" s="72">
        <v>0</v>
      </c>
      <c r="BD113" s="72">
        <v>0</v>
      </c>
      <c r="BE113" s="72">
        <v>1355763</v>
      </c>
      <c r="BF113" s="72">
        <v>0</v>
      </c>
      <c r="BG113" s="72">
        <v>865000</v>
      </c>
      <c r="BH113" s="72">
        <v>865000</v>
      </c>
      <c r="BI113" s="72">
        <v>0</v>
      </c>
      <c r="BJ113" s="72">
        <v>2220763</v>
      </c>
      <c r="BK113" s="72">
        <v>0</v>
      </c>
      <c r="BL113" s="72">
        <v>0</v>
      </c>
      <c r="BM113" s="72">
        <v>0</v>
      </c>
      <c r="BN113" s="72">
        <v>0</v>
      </c>
      <c r="BO113" s="72">
        <v>0</v>
      </c>
      <c r="BP113" s="72">
        <v>0</v>
      </c>
      <c r="BQ113" s="72">
        <v>0</v>
      </c>
      <c r="BR113" s="72">
        <v>0</v>
      </c>
      <c r="BS113" s="72">
        <v>23877000</v>
      </c>
    </row>
    <row r="114" spans="1:71" x14ac:dyDescent="0.2">
      <c r="A114" t="s">
        <v>552</v>
      </c>
      <c r="B114" t="s">
        <v>1251</v>
      </c>
      <c r="C114" t="s">
        <v>61</v>
      </c>
      <c r="D114" s="72">
        <v>4248142</v>
      </c>
      <c r="E114" s="72">
        <v>252432</v>
      </c>
      <c r="F114" s="72">
        <v>3887597</v>
      </c>
      <c r="G114" s="72">
        <v>3507894</v>
      </c>
      <c r="H114" s="72">
        <v>2950</v>
      </c>
      <c r="I114" s="72">
        <v>0</v>
      </c>
      <c r="J114" s="72">
        <v>572196</v>
      </c>
      <c r="K114" s="72">
        <v>619537</v>
      </c>
      <c r="L114" s="72">
        <v>13090748</v>
      </c>
      <c r="M114" s="72">
        <v>0</v>
      </c>
      <c r="N114" s="72">
        <v>0</v>
      </c>
      <c r="O114" s="72">
        <v>0</v>
      </c>
      <c r="P114" s="72">
        <v>45818</v>
      </c>
      <c r="Q114" s="72">
        <v>10000</v>
      </c>
      <c r="R114" s="72">
        <v>55818</v>
      </c>
      <c r="S114" s="72">
        <v>13146566</v>
      </c>
      <c r="T114" s="72">
        <v>7300506</v>
      </c>
      <c r="U114" s="72">
        <v>3106203</v>
      </c>
      <c r="V114" s="72">
        <v>2054105</v>
      </c>
      <c r="W114" s="72">
        <v>336785</v>
      </c>
      <c r="X114" s="72">
        <v>6109</v>
      </c>
      <c r="Y114" s="72">
        <v>0</v>
      </c>
      <c r="Z114" s="72">
        <v>0</v>
      </c>
      <c r="AA114" s="72">
        <v>0</v>
      </c>
      <c r="AB114" s="72">
        <v>0</v>
      </c>
      <c r="AC114" s="72">
        <v>0</v>
      </c>
      <c r="AD114" s="72">
        <v>0</v>
      </c>
      <c r="AE114" s="72">
        <v>0</v>
      </c>
      <c r="AF114" s="72">
        <v>0</v>
      </c>
      <c r="AG114" s="72">
        <v>243931</v>
      </c>
      <c r="AH114" s="72">
        <v>13047639</v>
      </c>
      <c r="AI114" s="72">
        <v>35755</v>
      </c>
      <c r="AJ114" s="72">
        <v>0</v>
      </c>
      <c r="AK114" s="72">
        <v>0</v>
      </c>
      <c r="AL114" s="72">
        <v>35755</v>
      </c>
      <c r="AM114" s="72">
        <v>13083394</v>
      </c>
      <c r="AN114" s="72">
        <v>63172</v>
      </c>
      <c r="AO114" s="72">
        <v>1227252</v>
      </c>
      <c r="AP114" s="72">
        <v>1290424</v>
      </c>
      <c r="AQ114" s="72">
        <v>0</v>
      </c>
      <c r="AR114" s="72">
        <v>0</v>
      </c>
      <c r="AS114" s="72">
        <v>0</v>
      </c>
      <c r="AT114" s="72">
        <v>700000</v>
      </c>
      <c r="AU114" s="72">
        <v>0</v>
      </c>
      <c r="AV114" s="72">
        <v>0</v>
      </c>
      <c r="AW114" s="72">
        <v>0</v>
      </c>
      <c r="AX114" s="72">
        <v>0</v>
      </c>
      <c r="AY114" s="72">
        <v>0</v>
      </c>
      <c r="AZ114" s="72">
        <v>700000</v>
      </c>
      <c r="BA114" s="72">
        <v>590424</v>
      </c>
      <c r="BB114" s="72">
        <v>0</v>
      </c>
      <c r="BC114" s="72">
        <v>0</v>
      </c>
      <c r="BD114" s="72">
        <v>0</v>
      </c>
      <c r="BE114" s="72">
        <v>590424</v>
      </c>
      <c r="BF114" s="72">
        <v>0</v>
      </c>
      <c r="BG114" s="72">
        <v>0</v>
      </c>
      <c r="BH114" s="72">
        <v>0</v>
      </c>
      <c r="BI114" s="72">
        <v>0</v>
      </c>
      <c r="BJ114" s="72">
        <v>590424</v>
      </c>
      <c r="BM114" s="72">
        <v>0</v>
      </c>
      <c r="BN114" s="72">
        <v>0</v>
      </c>
      <c r="BO114" s="72">
        <v>0</v>
      </c>
      <c r="BP114" s="72">
        <v>0</v>
      </c>
      <c r="BQ114" s="72">
        <v>0</v>
      </c>
      <c r="BR114" s="72">
        <v>0</v>
      </c>
      <c r="BS114" s="72">
        <v>13146566</v>
      </c>
    </row>
    <row r="115" spans="1:71" x14ac:dyDescent="0.2">
      <c r="A115" t="s">
        <v>559</v>
      </c>
      <c r="B115" t="s">
        <v>1258</v>
      </c>
      <c r="C115" t="s">
        <v>104</v>
      </c>
      <c r="D115" s="72">
        <v>18208346</v>
      </c>
      <c r="E115" s="72">
        <v>0</v>
      </c>
      <c r="F115" s="72">
        <v>0</v>
      </c>
      <c r="G115" s="72">
        <v>9001047</v>
      </c>
      <c r="H115" s="72">
        <v>489444</v>
      </c>
      <c r="I115" s="72">
        <v>0</v>
      </c>
      <c r="J115" s="72">
        <v>6911047</v>
      </c>
      <c r="K115" s="72">
        <v>2161275</v>
      </c>
      <c r="L115" s="72">
        <v>36771159</v>
      </c>
      <c r="M115" s="72">
        <v>0</v>
      </c>
      <c r="N115" s="72">
        <v>0</v>
      </c>
      <c r="O115" s="72">
        <v>0</v>
      </c>
      <c r="P115" s="72">
        <v>160000</v>
      </c>
      <c r="Q115" s="72">
        <v>15000</v>
      </c>
      <c r="R115" s="72">
        <v>175000</v>
      </c>
      <c r="S115" s="72">
        <v>36946159</v>
      </c>
      <c r="T115" s="72">
        <v>22152676</v>
      </c>
      <c r="U115" s="72">
        <v>9163372</v>
      </c>
      <c r="V115" s="72">
        <v>4914706</v>
      </c>
      <c r="W115" s="72">
        <v>1610000</v>
      </c>
      <c r="X115" s="72">
        <v>150000</v>
      </c>
      <c r="Y115" s="72">
        <v>0</v>
      </c>
      <c r="Z115" s="72">
        <v>0</v>
      </c>
      <c r="AA115" s="72">
        <v>275000</v>
      </c>
      <c r="AB115" s="72">
        <v>0</v>
      </c>
      <c r="AC115" s="72">
        <v>0</v>
      </c>
      <c r="AD115" s="72">
        <v>0</v>
      </c>
      <c r="AE115" s="72">
        <v>0</v>
      </c>
      <c r="AF115" s="72">
        <v>31400</v>
      </c>
      <c r="AG115" s="72">
        <v>500000</v>
      </c>
      <c r="AH115" s="72">
        <v>38797154</v>
      </c>
      <c r="AI115" s="72">
        <v>100000</v>
      </c>
      <c r="AJ115" s="72">
        <v>400000</v>
      </c>
      <c r="AK115" s="72">
        <v>0</v>
      </c>
      <c r="AL115" s="72">
        <v>500000</v>
      </c>
      <c r="AM115" s="72">
        <v>39297154</v>
      </c>
      <c r="AN115" s="72">
        <v>-2350995</v>
      </c>
      <c r="AO115" s="72">
        <v>9434506</v>
      </c>
      <c r="AP115" s="72">
        <v>7083511</v>
      </c>
      <c r="AQ115" s="72">
        <v>637160</v>
      </c>
      <c r="AR115" s="72">
        <v>0</v>
      </c>
      <c r="AS115" s="72">
        <v>0</v>
      </c>
      <c r="AT115" s="72">
        <v>0</v>
      </c>
      <c r="AU115" s="72">
        <v>0</v>
      </c>
      <c r="AV115" s="72">
        <v>0</v>
      </c>
      <c r="AW115" s="72">
        <v>0</v>
      </c>
      <c r="AX115" s="72">
        <v>0</v>
      </c>
      <c r="AY115" s="72">
        <v>0</v>
      </c>
      <c r="AZ115" s="72">
        <v>0</v>
      </c>
      <c r="BA115" s="72">
        <v>6446351</v>
      </c>
      <c r="BB115" s="72">
        <v>0</v>
      </c>
      <c r="BC115" s="72">
        <v>0</v>
      </c>
      <c r="BD115" s="72">
        <v>0</v>
      </c>
      <c r="BE115" s="72">
        <v>6446351</v>
      </c>
      <c r="BF115" s="72">
        <v>0</v>
      </c>
      <c r="BG115" s="72">
        <v>0</v>
      </c>
      <c r="BH115" s="72">
        <v>0</v>
      </c>
      <c r="BI115" s="72">
        <v>0</v>
      </c>
      <c r="BJ115" s="72">
        <v>6446351</v>
      </c>
      <c r="BK115" s="72">
        <v>0</v>
      </c>
      <c r="BL115" s="72">
        <v>0</v>
      </c>
      <c r="BM115" s="72">
        <v>0</v>
      </c>
      <c r="BN115" s="72">
        <v>0</v>
      </c>
      <c r="BO115" s="72">
        <v>0</v>
      </c>
      <c r="BP115" s="72">
        <v>0</v>
      </c>
      <c r="BQ115" s="72">
        <v>0</v>
      </c>
      <c r="BR115" s="72">
        <v>0</v>
      </c>
      <c r="BS115" s="72">
        <v>39297154</v>
      </c>
    </row>
    <row r="116" spans="1:71" x14ac:dyDescent="0.2">
      <c r="A116" t="s">
        <v>560</v>
      </c>
      <c r="B116" t="s">
        <v>1259</v>
      </c>
      <c r="C116" t="s">
        <v>79</v>
      </c>
      <c r="D116" s="72">
        <v>7300000</v>
      </c>
      <c r="E116" s="72">
        <v>0</v>
      </c>
      <c r="F116" s="72">
        <v>0</v>
      </c>
      <c r="G116" s="72">
        <v>6067015</v>
      </c>
      <c r="H116" s="72">
        <v>0</v>
      </c>
      <c r="I116" s="72">
        <v>0</v>
      </c>
      <c r="J116" s="72">
        <v>1336000</v>
      </c>
      <c r="K116" s="72">
        <v>435000</v>
      </c>
      <c r="L116" s="72">
        <v>15138015</v>
      </c>
      <c r="M116" s="72">
        <v>0</v>
      </c>
      <c r="N116" s="72">
        <v>0</v>
      </c>
      <c r="O116" s="72">
        <v>0</v>
      </c>
      <c r="P116" s="72">
        <v>0</v>
      </c>
      <c r="Q116" s="72">
        <v>0</v>
      </c>
      <c r="R116" s="72">
        <v>0</v>
      </c>
      <c r="S116" s="72">
        <v>15138015</v>
      </c>
      <c r="T116" s="72">
        <v>8035176</v>
      </c>
      <c r="U116" s="72">
        <v>3201244</v>
      </c>
      <c r="V116" s="72">
        <v>2591400</v>
      </c>
      <c r="W116" s="72">
        <v>440750</v>
      </c>
      <c r="X116" s="72">
        <v>55000</v>
      </c>
      <c r="Y116" s="72">
        <v>0</v>
      </c>
      <c r="Z116" s="72">
        <v>0</v>
      </c>
      <c r="AA116" s="72">
        <v>0</v>
      </c>
      <c r="AB116" s="72">
        <v>0</v>
      </c>
      <c r="AC116" s="72">
        <v>0</v>
      </c>
      <c r="AD116" s="72">
        <v>0</v>
      </c>
      <c r="AE116" s="72">
        <v>0</v>
      </c>
      <c r="AF116" s="72">
        <v>0</v>
      </c>
      <c r="AG116" s="72">
        <v>177000</v>
      </c>
      <c r="AH116" s="72">
        <v>14500570</v>
      </c>
      <c r="AI116" s="72">
        <v>0</v>
      </c>
      <c r="AJ116" s="72">
        <v>0</v>
      </c>
      <c r="AK116" s="72">
        <v>0</v>
      </c>
      <c r="AL116" s="72">
        <v>0</v>
      </c>
      <c r="AM116" s="72">
        <v>14500570</v>
      </c>
      <c r="AN116" s="72">
        <v>637445</v>
      </c>
      <c r="AO116" s="72">
        <v>1332470</v>
      </c>
      <c r="AP116" s="72">
        <v>1969915</v>
      </c>
      <c r="AQ116" s="72">
        <v>0</v>
      </c>
      <c r="AR116" s="72">
        <v>0</v>
      </c>
      <c r="AS116" s="72">
        <v>0</v>
      </c>
      <c r="AT116" s="72">
        <v>0</v>
      </c>
      <c r="AU116" s="72">
        <v>0</v>
      </c>
      <c r="AV116" s="72">
        <v>0</v>
      </c>
      <c r="AW116" s="72">
        <v>0</v>
      </c>
      <c r="AX116" s="72">
        <v>0</v>
      </c>
      <c r="AY116" s="72">
        <v>0</v>
      </c>
      <c r="AZ116" s="72">
        <v>0</v>
      </c>
      <c r="BA116" s="72">
        <v>1969915</v>
      </c>
      <c r="BB116" s="72">
        <v>0</v>
      </c>
      <c r="BC116" s="72">
        <v>0</v>
      </c>
      <c r="BD116" s="72">
        <v>0</v>
      </c>
      <c r="BE116" s="72">
        <v>1969915</v>
      </c>
      <c r="BF116" s="72">
        <v>0</v>
      </c>
      <c r="BG116" s="72">
        <v>0</v>
      </c>
      <c r="BH116" s="72">
        <v>0</v>
      </c>
      <c r="BI116" s="72">
        <v>0</v>
      </c>
      <c r="BJ116" s="72">
        <v>1969915</v>
      </c>
      <c r="BK116" s="72">
        <v>0</v>
      </c>
      <c r="BL116" s="72">
        <v>0</v>
      </c>
      <c r="BM116" s="72">
        <v>0</v>
      </c>
      <c r="BN116" s="72">
        <v>0</v>
      </c>
      <c r="BO116" s="72">
        <v>0</v>
      </c>
      <c r="BP116" s="72">
        <v>0</v>
      </c>
      <c r="BQ116" s="72">
        <v>0</v>
      </c>
      <c r="BR116" s="72">
        <v>0</v>
      </c>
      <c r="BS116" s="72">
        <v>15138015</v>
      </c>
    </row>
    <row r="117" spans="1:71" x14ac:dyDescent="0.2">
      <c r="A117" t="s">
        <v>566</v>
      </c>
      <c r="B117" t="s">
        <v>1265</v>
      </c>
      <c r="C117" t="s">
        <v>65</v>
      </c>
      <c r="D117" s="72">
        <v>6497250</v>
      </c>
      <c r="E117" s="72">
        <v>141916</v>
      </c>
      <c r="F117" s="72">
        <v>0</v>
      </c>
      <c r="G117" s="72">
        <v>20422679</v>
      </c>
      <c r="H117" s="72">
        <v>59993</v>
      </c>
      <c r="J117" s="72">
        <v>1503846</v>
      </c>
      <c r="K117" s="72">
        <v>1180300</v>
      </c>
      <c r="L117" s="72">
        <v>29805983</v>
      </c>
      <c r="M117" s="72">
        <v>0</v>
      </c>
      <c r="N117" s="72">
        <v>0</v>
      </c>
      <c r="O117" s="72">
        <v>0</v>
      </c>
      <c r="P117" s="72">
        <v>132219</v>
      </c>
      <c r="Q117" s="72">
        <v>290148</v>
      </c>
      <c r="R117" s="72">
        <v>422367</v>
      </c>
      <c r="S117" s="72">
        <v>30228350</v>
      </c>
      <c r="T117" s="72">
        <v>16932888</v>
      </c>
      <c r="U117" s="72">
        <v>6320999</v>
      </c>
      <c r="V117" s="72">
        <v>5707597</v>
      </c>
      <c r="W117" s="72">
        <v>775000</v>
      </c>
      <c r="X117" s="72">
        <v>80000</v>
      </c>
      <c r="Y117" s="72">
        <v>0</v>
      </c>
      <c r="Z117" s="72">
        <v>0</v>
      </c>
      <c r="AA117" s="72">
        <v>0</v>
      </c>
      <c r="AB117" s="72">
        <v>0</v>
      </c>
      <c r="AC117" s="72">
        <v>0</v>
      </c>
      <c r="AD117" s="72">
        <v>0</v>
      </c>
      <c r="AE117" s="72">
        <v>0</v>
      </c>
      <c r="AF117" s="72">
        <v>0</v>
      </c>
      <c r="AG117" s="72">
        <v>400000</v>
      </c>
      <c r="AH117" s="72">
        <v>30216484</v>
      </c>
      <c r="AI117" s="72">
        <v>110674</v>
      </c>
      <c r="AJ117" s="72">
        <v>125000</v>
      </c>
      <c r="AK117" s="72">
        <v>0</v>
      </c>
      <c r="AL117" s="72">
        <v>235674</v>
      </c>
      <c r="AM117" s="72">
        <v>30452158</v>
      </c>
      <c r="AN117" s="72">
        <v>-223808</v>
      </c>
      <c r="AO117" s="72">
        <v>2322431</v>
      </c>
      <c r="AP117" s="72">
        <v>2098623</v>
      </c>
      <c r="AQ117" s="72">
        <v>250000</v>
      </c>
      <c r="AR117" s="72">
        <v>0</v>
      </c>
      <c r="AS117" s="72">
        <v>0</v>
      </c>
      <c r="AT117" s="72">
        <v>0</v>
      </c>
      <c r="AU117" s="72">
        <v>0</v>
      </c>
      <c r="AW117" s="72">
        <v>0</v>
      </c>
      <c r="AX117" s="72">
        <v>0</v>
      </c>
      <c r="AY117" s="72">
        <v>0</v>
      </c>
      <c r="AZ117" s="72">
        <v>0</v>
      </c>
      <c r="BA117" s="72">
        <v>1848623</v>
      </c>
      <c r="BB117" s="72">
        <v>0</v>
      </c>
      <c r="BC117" s="72">
        <v>0</v>
      </c>
      <c r="BD117" s="72">
        <v>0</v>
      </c>
      <c r="BE117" s="72">
        <v>1848623</v>
      </c>
      <c r="BF117" s="72">
        <v>0</v>
      </c>
      <c r="BG117" s="72">
        <v>0</v>
      </c>
      <c r="BH117" s="72">
        <v>0</v>
      </c>
      <c r="BI117" s="72">
        <v>0</v>
      </c>
      <c r="BJ117" s="72">
        <v>1848623</v>
      </c>
      <c r="BS117" s="72">
        <v>30452158</v>
      </c>
    </row>
    <row r="118" spans="1:71" x14ac:dyDescent="0.2">
      <c r="A118" t="s">
        <v>570</v>
      </c>
      <c r="B118" t="s">
        <v>1269</v>
      </c>
      <c r="C118" t="s">
        <v>23</v>
      </c>
      <c r="D118" s="72">
        <v>89167004</v>
      </c>
      <c r="E118" s="72">
        <v>6620</v>
      </c>
      <c r="F118" s="72">
        <v>0</v>
      </c>
      <c r="G118" s="72">
        <v>26682442</v>
      </c>
      <c r="H118" s="72">
        <v>747410</v>
      </c>
      <c r="I118" s="72">
        <v>0</v>
      </c>
      <c r="J118" s="72">
        <v>14480581</v>
      </c>
      <c r="K118" s="72">
        <v>4992640</v>
      </c>
      <c r="L118" s="72">
        <v>136076697</v>
      </c>
      <c r="M118" s="72">
        <v>0</v>
      </c>
      <c r="N118" s="72">
        <v>0</v>
      </c>
      <c r="O118" s="72">
        <v>275000</v>
      </c>
      <c r="P118" s="72">
        <v>988251</v>
      </c>
      <c r="Q118" s="72">
        <v>304000</v>
      </c>
      <c r="R118" s="72">
        <v>1567251</v>
      </c>
      <c r="S118" s="72">
        <v>137643947</v>
      </c>
      <c r="T118" s="72">
        <v>76958719</v>
      </c>
      <c r="U118" s="72">
        <v>27936900</v>
      </c>
      <c r="V118" s="72">
        <v>25268675</v>
      </c>
      <c r="W118" s="72">
        <v>3799839</v>
      </c>
      <c r="X118" s="72">
        <v>1961674</v>
      </c>
      <c r="Y118" s="72">
        <v>0</v>
      </c>
      <c r="Z118" s="72">
        <v>0</v>
      </c>
      <c r="AA118" s="72">
        <v>0</v>
      </c>
      <c r="AB118" s="72">
        <v>0</v>
      </c>
      <c r="AC118" s="72">
        <v>0</v>
      </c>
      <c r="AD118" s="72">
        <v>1725946</v>
      </c>
      <c r="AE118" s="72">
        <v>0</v>
      </c>
      <c r="AF118" s="72">
        <v>421981</v>
      </c>
      <c r="AG118" s="72">
        <v>1904351</v>
      </c>
      <c r="AH118" s="72">
        <v>139978085</v>
      </c>
      <c r="AI118" s="72">
        <v>0</v>
      </c>
      <c r="AJ118" s="72">
        <v>455000</v>
      </c>
      <c r="AK118" s="72">
        <v>150</v>
      </c>
      <c r="AL118" s="72">
        <v>455150</v>
      </c>
      <c r="AM118" s="72">
        <v>140433235</v>
      </c>
      <c r="AN118" s="72">
        <v>-2789288</v>
      </c>
      <c r="AO118" s="72">
        <v>15735612</v>
      </c>
      <c r="AP118" s="72">
        <v>12946325</v>
      </c>
      <c r="AQ118" s="72">
        <v>2750000</v>
      </c>
      <c r="AR118" s="72">
        <v>0</v>
      </c>
      <c r="AS118" s="72">
        <v>0</v>
      </c>
      <c r="AT118" s="72">
        <v>0</v>
      </c>
      <c r="AU118" s="72">
        <v>0</v>
      </c>
      <c r="AV118" s="72">
        <v>0</v>
      </c>
      <c r="AW118" s="72">
        <v>0</v>
      </c>
      <c r="AX118" s="72">
        <v>0</v>
      </c>
      <c r="AY118" s="72">
        <v>0</v>
      </c>
      <c r="AZ118" s="72">
        <v>0</v>
      </c>
      <c r="BA118" s="72">
        <v>10196325</v>
      </c>
      <c r="BB118" s="72">
        <v>0</v>
      </c>
      <c r="BC118" s="72">
        <v>0</v>
      </c>
      <c r="BD118" s="72">
        <v>0</v>
      </c>
      <c r="BE118" s="72">
        <v>10196325</v>
      </c>
      <c r="BF118" s="72">
        <v>0</v>
      </c>
      <c r="BG118" s="72">
        <v>0</v>
      </c>
      <c r="BH118" s="72">
        <v>0</v>
      </c>
      <c r="BI118" s="72">
        <v>0</v>
      </c>
      <c r="BJ118" s="72">
        <v>10196325</v>
      </c>
      <c r="BK118" s="72">
        <v>701</v>
      </c>
      <c r="BL118" s="72">
        <v>10203</v>
      </c>
      <c r="BM118" s="72">
        <v>0</v>
      </c>
      <c r="BN118" s="72">
        <v>0</v>
      </c>
      <c r="BO118" s="72">
        <v>0</v>
      </c>
      <c r="BP118" s="72">
        <v>0</v>
      </c>
      <c r="BQ118" s="72">
        <v>0</v>
      </c>
      <c r="BR118" s="72">
        <v>0</v>
      </c>
      <c r="BS118" s="72">
        <v>140433235</v>
      </c>
    </row>
    <row r="119" spans="1:71" x14ac:dyDescent="0.2">
      <c r="A119" t="s">
        <v>585</v>
      </c>
      <c r="B119" t="s">
        <v>1282</v>
      </c>
      <c r="C119" t="s">
        <v>68</v>
      </c>
      <c r="D119" s="72">
        <v>9333972</v>
      </c>
      <c r="E119" s="72">
        <v>0</v>
      </c>
      <c r="F119" s="72">
        <v>5194011</v>
      </c>
      <c r="G119" s="72">
        <v>13676010</v>
      </c>
      <c r="H119" s="72">
        <v>343</v>
      </c>
      <c r="I119" s="72">
        <v>0</v>
      </c>
      <c r="J119" s="72">
        <v>1178715</v>
      </c>
      <c r="K119" s="72">
        <v>643100</v>
      </c>
      <c r="L119" s="72">
        <v>30026152</v>
      </c>
      <c r="M119" s="72">
        <v>0</v>
      </c>
      <c r="N119" s="72">
        <v>0</v>
      </c>
      <c r="O119" s="72">
        <v>0</v>
      </c>
      <c r="P119" s="72">
        <v>0</v>
      </c>
      <c r="Q119" s="72">
        <v>90000</v>
      </c>
      <c r="R119" s="72">
        <v>90000</v>
      </c>
      <c r="S119" s="72">
        <v>30116152</v>
      </c>
      <c r="T119" s="72">
        <v>15406275</v>
      </c>
      <c r="U119" s="72">
        <v>6581216</v>
      </c>
      <c r="V119" s="72">
        <v>6526189</v>
      </c>
      <c r="W119" s="72">
        <v>807502</v>
      </c>
      <c r="X119" s="72">
        <v>50195</v>
      </c>
      <c r="Y119" s="72">
        <v>0</v>
      </c>
      <c r="Z119" s="72">
        <v>0</v>
      </c>
      <c r="AA119" s="72">
        <v>0</v>
      </c>
      <c r="AB119" s="72">
        <v>0</v>
      </c>
      <c r="AC119" s="72">
        <v>0</v>
      </c>
      <c r="AD119" s="72">
        <v>0</v>
      </c>
      <c r="AE119" s="72">
        <v>0</v>
      </c>
      <c r="AF119" s="72">
        <v>0</v>
      </c>
      <c r="AG119" s="72">
        <v>202014</v>
      </c>
      <c r="AH119" s="72">
        <v>29573391</v>
      </c>
      <c r="AI119" s="72">
        <v>0</v>
      </c>
      <c r="AJ119" s="72">
        <v>0</v>
      </c>
      <c r="AK119" s="72">
        <v>0</v>
      </c>
      <c r="AL119" s="72">
        <v>0</v>
      </c>
      <c r="AM119" s="72">
        <v>29573391</v>
      </c>
      <c r="AN119" s="72">
        <v>542761</v>
      </c>
      <c r="AO119" s="72">
        <v>7955773</v>
      </c>
      <c r="AP119" s="72">
        <v>8498534</v>
      </c>
      <c r="AQ119" s="72">
        <v>500000</v>
      </c>
      <c r="AR119" s="72">
        <v>0</v>
      </c>
      <c r="AS119" s="72">
        <v>0</v>
      </c>
      <c r="AT119" s="72">
        <v>0</v>
      </c>
      <c r="AU119" s="72">
        <v>0</v>
      </c>
      <c r="AV119" s="72">
        <v>0</v>
      </c>
      <c r="AW119" s="72">
        <v>0</v>
      </c>
      <c r="AX119" s="72">
        <v>0</v>
      </c>
      <c r="AY119" s="72">
        <v>0</v>
      </c>
      <c r="AZ119" s="72">
        <v>0</v>
      </c>
      <c r="BA119" s="72">
        <v>7998534</v>
      </c>
      <c r="BB119" s="72">
        <v>0</v>
      </c>
      <c r="BC119" s="72">
        <v>0</v>
      </c>
      <c r="BD119" s="72">
        <v>0</v>
      </c>
      <c r="BE119" s="72">
        <v>7998534</v>
      </c>
      <c r="BF119" s="72">
        <v>0</v>
      </c>
      <c r="BG119" s="72">
        <v>0</v>
      </c>
      <c r="BH119" s="72">
        <v>0</v>
      </c>
      <c r="BI119" s="72">
        <v>0</v>
      </c>
      <c r="BJ119" s="72">
        <v>7998534</v>
      </c>
      <c r="BK119" s="72">
        <v>293</v>
      </c>
      <c r="BL119" s="72">
        <v>3519</v>
      </c>
      <c r="BM119" s="72">
        <v>10189</v>
      </c>
      <c r="BN119" s="72">
        <v>3396</v>
      </c>
      <c r="BO119" s="72">
        <v>155485</v>
      </c>
      <c r="BP119" s="72">
        <v>0</v>
      </c>
      <c r="BQ119" s="72">
        <v>0</v>
      </c>
      <c r="BR119" s="72">
        <v>169071</v>
      </c>
      <c r="BS119" s="72">
        <v>30116152</v>
      </c>
    </row>
    <row r="120" spans="1:71" x14ac:dyDescent="0.2">
      <c r="A120" t="s">
        <v>591</v>
      </c>
      <c r="B120" t="s">
        <v>1288</v>
      </c>
      <c r="C120" t="s">
        <v>100</v>
      </c>
      <c r="D120" s="72">
        <v>13084409</v>
      </c>
      <c r="E120" s="72">
        <v>0</v>
      </c>
      <c r="F120" s="72">
        <v>0</v>
      </c>
      <c r="G120" s="72">
        <v>2925433</v>
      </c>
      <c r="H120" s="72">
        <v>0</v>
      </c>
      <c r="I120" s="72">
        <v>0</v>
      </c>
      <c r="J120" s="72">
        <v>2614587</v>
      </c>
      <c r="K120" s="72">
        <v>697453</v>
      </c>
      <c r="L120" s="72">
        <v>19321882</v>
      </c>
      <c r="M120" s="72">
        <v>0</v>
      </c>
      <c r="N120" s="72">
        <v>0</v>
      </c>
      <c r="O120" s="72">
        <v>0</v>
      </c>
      <c r="P120" s="72">
        <v>0</v>
      </c>
      <c r="Q120" s="72">
        <v>0</v>
      </c>
      <c r="R120" s="72">
        <v>0</v>
      </c>
      <c r="S120" s="72">
        <v>19321882</v>
      </c>
      <c r="T120" s="72">
        <v>10679430</v>
      </c>
      <c r="U120" s="72">
        <v>3459189</v>
      </c>
      <c r="V120" s="72">
        <v>3555891</v>
      </c>
      <c r="W120" s="72">
        <v>580000</v>
      </c>
      <c r="X120" s="72">
        <v>80000</v>
      </c>
      <c r="Y120" s="72">
        <v>0</v>
      </c>
      <c r="Z120" s="72">
        <v>0</v>
      </c>
      <c r="AA120" s="72">
        <v>0</v>
      </c>
      <c r="AB120" s="72">
        <v>0</v>
      </c>
      <c r="AC120" s="72">
        <v>0</v>
      </c>
      <c r="AD120" s="72">
        <v>0</v>
      </c>
      <c r="AE120" s="72">
        <v>0</v>
      </c>
      <c r="AF120" s="72">
        <v>0</v>
      </c>
      <c r="AG120" s="72">
        <v>381429</v>
      </c>
      <c r="AH120" s="72">
        <v>18735939</v>
      </c>
      <c r="AI120" s="72">
        <v>365000</v>
      </c>
      <c r="AJ120" s="72">
        <v>0</v>
      </c>
      <c r="AK120" s="72">
        <v>0</v>
      </c>
      <c r="AL120" s="72">
        <v>365000</v>
      </c>
      <c r="AM120" s="72">
        <v>19100939</v>
      </c>
      <c r="AN120" s="72">
        <v>220943</v>
      </c>
      <c r="AO120" s="72">
        <v>11933145</v>
      </c>
      <c r="AP120" s="72">
        <v>12154088</v>
      </c>
      <c r="AQ120" s="72">
        <v>300000</v>
      </c>
      <c r="AR120" s="72">
        <v>0</v>
      </c>
      <c r="AS120" s="72">
        <v>0</v>
      </c>
      <c r="AT120" s="72">
        <v>0</v>
      </c>
      <c r="AU120" s="72">
        <v>0</v>
      </c>
      <c r="AV120" s="72">
        <v>0</v>
      </c>
      <c r="AW120" s="72">
        <v>0</v>
      </c>
      <c r="AX120" s="72">
        <v>0</v>
      </c>
      <c r="AY120" s="72">
        <v>0</v>
      </c>
      <c r="AZ120" s="72">
        <v>0</v>
      </c>
      <c r="BA120" s="72">
        <v>11854088</v>
      </c>
      <c r="BB120" s="72">
        <v>0</v>
      </c>
      <c r="BC120" s="72">
        <v>0</v>
      </c>
      <c r="BD120" s="72">
        <v>0</v>
      </c>
      <c r="BE120" s="72">
        <v>11854088</v>
      </c>
      <c r="BF120" s="72">
        <v>0</v>
      </c>
      <c r="BG120" s="72">
        <v>0</v>
      </c>
      <c r="BH120" s="72">
        <v>0</v>
      </c>
      <c r="BI120" s="72">
        <v>0</v>
      </c>
      <c r="BJ120" s="72">
        <v>11854088</v>
      </c>
      <c r="BK120" s="72">
        <v>128</v>
      </c>
      <c r="BL120" s="72">
        <v>1720</v>
      </c>
      <c r="BM120" s="72">
        <v>0</v>
      </c>
      <c r="BN120" s="72">
        <v>0</v>
      </c>
      <c r="BO120" s="72">
        <v>0</v>
      </c>
      <c r="BP120" s="72">
        <v>0</v>
      </c>
      <c r="BQ120" s="72">
        <v>0</v>
      </c>
      <c r="BR120" s="72">
        <v>0</v>
      </c>
      <c r="BS120" s="72">
        <v>19321882</v>
      </c>
    </row>
    <row r="121" spans="1:71" x14ac:dyDescent="0.2">
      <c r="A121" t="s">
        <v>593</v>
      </c>
      <c r="B121" t="s">
        <v>1290</v>
      </c>
      <c r="C121" t="s">
        <v>98</v>
      </c>
      <c r="D121" s="72">
        <v>4471405</v>
      </c>
      <c r="E121" s="72">
        <v>500</v>
      </c>
      <c r="F121" s="72">
        <v>0</v>
      </c>
      <c r="G121" s="72">
        <v>19101115</v>
      </c>
      <c r="H121" s="72">
        <v>97000</v>
      </c>
      <c r="I121" s="72">
        <v>0</v>
      </c>
      <c r="J121" s="72">
        <v>619000</v>
      </c>
      <c r="K121" s="72">
        <v>1075000</v>
      </c>
      <c r="L121" s="72">
        <v>25364020</v>
      </c>
      <c r="M121" s="72">
        <v>0</v>
      </c>
      <c r="N121" s="72">
        <v>0</v>
      </c>
      <c r="O121" s="72">
        <v>100000</v>
      </c>
      <c r="P121" s="72">
        <v>112800</v>
      </c>
      <c r="Q121" s="72">
        <v>77173</v>
      </c>
      <c r="R121" s="72">
        <v>289973</v>
      </c>
      <c r="S121" s="72">
        <v>25653993</v>
      </c>
      <c r="T121" s="72">
        <v>9998168</v>
      </c>
      <c r="U121" s="72">
        <v>5277238</v>
      </c>
      <c r="V121" s="72">
        <v>9152015</v>
      </c>
      <c r="W121" s="72">
        <v>384215</v>
      </c>
      <c r="X121" s="72">
        <v>85800</v>
      </c>
      <c r="Y121" s="72">
        <v>0</v>
      </c>
      <c r="Z121" s="72">
        <v>0</v>
      </c>
      <c r="AA121" s="72">
        <v>0</v>
      </c>
      <c r="AB121" s="72">
        <v>0</v>
      </c>
      <c r="AC121" s="72">
        <v>0</v>
      </c>
      <c r="AD121" s="72">
        <v>0</v>
      </c>
      <c r="AE121" s="72">
        <v>0</v>
      </c>
      <c r="AF121" s="72">
        <v>0</v>
      </c>
      <c r="AG121" s="72">
        <v>219160</v>
      </c>
      <c r="AH121" s="72">
        <v>25116596</v>
      </c>
      <c r="AI121" s="72">
        <v>225000</v>
      </c>
      <c r="AJ121" s="72">
        <v>110008</v>
      </c>
      <c r="AK121" s="72">
        <v>19447</v>
      </c>
      <c r="AL121" s="72">
        <v>354455</v>
      </c>
      <c r="AM121" s="72">
        <v>25471051</v>
      </c>
      <c r="AN121" s="72">
        <v>182942</v>
      </c>
      <c r="AO121" s="72">
        <v>438978</v>
      </c>
      <c r="AP121" s="72">
        <v>621920</v>
      </c>
      <c r="AQ121" s="72">
        <v>10000</v>
      </c>
      <c r="AR121" s="72">
        <v>0</v>
      </c>
      <c r="AS121" s="72">
        <v>0</v>
      </c>
      <c r="AT121" s="72">
        <v>0</v>
      </c>
      <c r="AU121" s="72">
        <v>0</v>
      </c>
      <c r="AV121" s="72">
        <v>0</v>
      </c>
      <c r="AW121" s="72">
        <v>0</v>
      </c>
      <c r="AX121" s="72">
        <v>0</v>
      </c>
      <c r="AY121" s="72">
        <v>0</v>
      </c>
      <c r="AZ121" s="72">
        <v>0</v>
      </c>
      <c r="BA121" s="72">
        <v>611920</v>
      </c>
      <c r="BB121" s="72">
        <v>0</v>
      </c>
      <c r="BC121" s="72">
        <v>0</v>
      </c>
      <c r="BD121" s="72">
        <v>0</v>
      </c>
      <c r="BE121" s="72">
        <v>611920</v>
      </c>
      <c r="BF121" s="72">
        <v>0</v>
      </c>
      <c r="BG121" s="72">
        <v>0</v>
      </c>
      <c r="BH121" s="72">
        <v>0</v>
      </c>
      <c r="BI121" s="72">
        <v>0</v>
      </c>
      <c r="BJ121" s="72">
        <v>611920</v>
      </c>
      <c r="BK121" s="72">
        <v>0</v>
      </c>
      <c r="BL121" s="72">
        <v>0</v>
      </c>
      <c r="BM121" s="72">
        <v>0</v>
      </c>
      <c r="BN121" s="72">
        <v>0</v>
      </c>
      <c r="BO121" s="72">
        <v>0</v>
      </c>
      <c r="BP121" s="72">
        <v>0</v>
      </c>
      <c r="BQ121" s="72">
        <v>0</v>
      </c>
      <c r="BR121" s="72">
        <v>0</v>
      </c>
      <c r="BS121" s="72">
        <v>25653993</v>
      </c>
    </row>
    <row r="122" spans="1:71" x14ac:dyDescent="0.2">
      <c r="A122" t="s">
        <v>595</v>
      </c>
      <c r="B122" t="s">
        <v>1292</v>
      </c>
      <c r="C122" t="s">
        <v>67</v>
      </c>
      <c r="D122" s="72">
        <v>44074876</v>
      </c>
      <c r="E122" s="72">
        <v>4046130</v>
      </c>
      <c r="F122" s="72">
        <v>0</v>
      </c>
      <c r="G122" s="72">
        <v>4719329</v>
      </c>
      <c r="H122" s="72">
        <v>28295</v>
      </c>
      <c r="I122" s="72">
        <v>0</v>
      </c>
      <c r="J122" s="72">
        <v>19040091</v>
      </c>
      <c r="K122" s="72">
        <v>3074953</v>
      </c>
      <c r="L122" s="72">
        <v>74983674</v>
      </c>
      <c r="M122" s="72">
        <v>0</v>
      </c>
      <c r="N122" s="72">
        <v>0</v>
      </c>
      <c r="O122" s="72">
        <v>0</v>
      </c>
      <c r="P122" s="72">
        <v>1845000</v>
      </c>
      <c r="Q122" s="72">
        <v>0</v>
      </c>
      <c r="R122" s="72">
        <v>1845000</v>
      </c>
      <c r="S122" s="72">
        <v>76828674</v>
      </c>
      <c r="T122" s="72">
        <v>40887776</v>
      </c>
      <c r="U122" s="72">
        <v>15111982</v>
      </c>
      <c r="V122" s="72">
        <v>8229796</v>
      </c>
      <c r="W122" s="72">
        <v>2167680</v>
      </c>
      <c r="X122" s="72">
        <v>2223999</v>
      </c>
      <c r="Y122" s="72">
        <v>0</v>
      </c>
      <c r="Z122" s="72">
        <v>0</v>
      </c>
      <c r="AA122" s="72">
        <v>0</v>
      </c>
      <c r="AB122" s="72">
        <v>0</v>
      </c>
      <c r="AC122" s="72">
        <v>0</v>
      </c>
      <c r="AD122" s="72">
        <v>190000</v>
      </c>
      <c r="AE122" s="72">
        <v>0</v>
      </c>
      <c r="AF122" s="72">
        <v>0</v>
      </c>
      <c r="AG122" s="72">
        <v>1184988</v>
      </c>
      <c r="AH122" s="72">
        <v>69996221</v>
      </c>
      <c r="AI122" s="72">
        <v>2044758</v>
      </c>
      <c r="AJ122" s="72">
        <v>0</v>
      </c>
      <c r="AK122" s="72">
        <v>0</v>
      </c>
      <c r="AL122" s="72">
        <v>2044758</v>
      </c>
      <c r="AM122" s="72">
        <v>72040979</v>
      </c>
      <c r="AN122" s="72">
        <v>4787695</v>
      </c>
      <c r="AO122" s="72">
        <v>7395121</v>
      </c>
      <c r="AP122" s="72">
        <v>12182816</v>
      </c>
      <c r="AQ122" s="72">
        <v>0</v>
      </c>
      <c r="AR122" s="72">
        <v>0</v>
      </c>
      <c r="AS122" s="72">
        <v>0</v>
      </c>
      <c r="AT122" s="72">
        <v>0</v>
      </c>
      <c r="AU122" s="72">
        <v>0</v>
      </c>
      <c r="AV122" s="72">
        <v>0</v>
      </c>
      <c r="AW122" s="72">
        <v>0</v>
      </c>
      <c r="AX122" s="72">
        <v>0</v>
      </c>
      <c r="AY122" s="72">
        <v>0</v>
      </c>
      <c r="AZ122" s="72">
        <v>0</v>
      </c>
      <c r="BA122" s="72">
        <v>12182816</v>
      </c>
      <c r="BB122" s="72">
        <v>0</v>
      </c>
      <c r="BC122" s="72">
        <v>0</v>
      </c>
      <c r="BD122" s="72">
        <v>0</v>
      </c>
      <c r="BE122" s="72">
        <v>12182816</v>
      </c>
      <c r="BF122" s="72">
        <v>0</v>
      </c>
      <c r="BG122" s="72">
        <v>0</v>
      </c>
      <c r="BH122" s="72">
        <v>0</v>
      </c>
      <c r="BI122" s="72">
        <v>0</v>
      </c>
      <c r="BJ122" s="72">
        <v>12182816</v>
      </c>
      <c r="BM122" s="72">
        <v>0</v>
      </c>
      <c r="BN122" s="72">
        <v>0</v>
      </c>
      <c r="BO122" s="72">
        <v>0</v>
      </c>
      <c r="BP122" s="72">
        <v>0</v>
      </c>
      <c r="BQ122" s="72">
        <v>0</v>
      </c>
      <c r="BR122" s="72">
        <v>0</v>
      </c>
      <c r="BS122" s="72">
        <v>76828674</v>
      </c>
    </row>
    <row r="123" spans="1:71" x14ac:dyDescent="0.2">
      <c r="A123" t="s">
        <v>598</v>
      </c>
      <c r="B123" t="s">
        <v>1295</v>
      </c>
      <c r="C123" t="s">
        <v>26</v>
      </c>
      <c r="D123" s="72">
        <v>8819148</v>
      </c>
      <c r="E123" s="72">
        <v>669269</v>
      </c>
      <c r="F123" s="72">
        <v>0</v>
      </c>
      <c r="G123" s="72">
        <v>13030930</v>
      </c>
      <c r="H123" s="72">
        <v>87822</v>
      </c>
      <c r="I123" s="72">
        <v>0</v>
      </c>
      <c r="J123" s="72">
        <v>2665454</v>
      </c>
      <c r="K123" s="72">
        <v>1411998</v>
      </c>
      <c r="L123" s="72">
        <v>26684621</v>
      </c>
      <c r="M123" s="72">
        <v>0</v>
      </c>
      <c r="N123" s="72">
        <v>0</v>
      </c>
      <c r="O123" s="72">
        <v>0</v>
      </c>
      <c r="P123" s="72">
        <v>0</v>
      </c>
      <c r="Q123" s="72">
        <v>23000</v>
      </c>
      <c r="R123" s="72">
        <v>23000</v>
      </c>
      <c r="S123" s="72">
        <v>26707621</v>
      </c>
      <c r="T123" s="72">
        <v>15331050</v>
      </c>
      <c r="U123" s="72">
        <v>5945626</v>
      </c>
      <c r="V123" s="72">
        <v>4183358</v>
      </c>
      <c r="W123" s="72">
        <v>813741</v>
      </c>
      <c r="X123" s="72">
        <v>186418</v>
      </c>
      <c r="Y123" s="72">
        <v>0</v>
      </c>
      <c r="Z123" s="72">
        <v>0</v>
      </c>
      <c r="AA123" s="72">
        <v>0</v>
      </c>
      <c r="AB123" s="72">
        <v>0</v>
      </c>
      <c r="AC123" s="72">
        <v>0</v>
      </c>
      <c r="AD123" s="72">
        <v>0</v>
      </c>
      <c r="AE123" s="72">
        <v>0</v>
      </c>
      <c r="AF123" s="72">
        <v>0</v>
      </c>
      <c r="AG123" s="72">
        <v>433807</v>
      </c>
      <c r="AH123" s="72">
        <v>26894000</v>
      </c>
      <c r="AI123" s="72">
        <v>243000</v>
      </c>
      <c r="AJ123" s="72">
        <v>0</v>
      </c>
      <c r="AK123" s="72">
        <v>0</v>
      </c>
      <c r="AL123" s="72">
        <v>243000</v>
      </c>
      <c r="AM123" s="72">
        <v>27137000</v>
      </c>
      <c r="AN123" s="72">
        <v>-429378</v>
      </c>
      <c r="AO123" s="72">
        <v>1049345</v>
      </c>
      <c r="AP123" s="72">
        <v>619967</v>
      </c>
      <c r="AQ123" s="72">
        <v>50000</v>
      </c>
      <c r="AR123" s="72">
        <v>0</v>
      </c>
      <c r="AS123" s="72">
        <v>0</v>
      </c>
      <c r="AT123" s="72">
        <v>0</v>
      </c>
      <c r="AU123" s="72">
        <v>0</v>
      </c>
      <c r="AV123" s="72">
        <v>0</v>
      </c>
      <c r="AW123" s="72">
        <v>0</v>
      </c>
      <c r="AX123" s="72">
        <v>0</v>
      </c>
      <c r="AY123" s="72">
        <v>0</v>
      </c>
      <c r="AZ123" s="72">
        <v>0</v>
      </c>
      <c r="BA123" s="72">
        <v>569967</v>
      </c>
      <c r="BB123" s="72">
        <v>0</v>
      </c>
      <c r="BC123" s="72">
        <v>0</v>
      </c>
      <c r="BD123" s="72">
        <v>0</v>
      </c>
      <c r="BE123" s="72">
        <v>569967</v>
      </c>
      <c r="BF123" s="72">
        <v>0</v>
      </c>
      <c r="BG123" s="72">
        <v>0</v>
      </c>
      <c r="BH123" s="72">
        <v>0</v>
      </c>
      <c r="BI123" s="72">
        <v>0</v>
      </c>
      <c r="BJ123" s="72">
        <v>569967</v>
      </c>
      <c r="BM123" s="72">
        <v>0</v>
      </c>
      <c r="BN123" s="72">
        <v>0</v>
      </c>
      <c r="BO123" s="72">
        <v>0</v>
      </c>
      <c r="BP123" s="72">
        <v>0</v>
      </c>
      <c r="BQ123" s="72">
        <v>0</v>
      </c>
      <c r="BR123" s="72">
        <v>0</v>
      </c>
      <c r="BS123" s="72">
        <v>27137000</v>
      </c>
    </row>
    <row r="124" spans="1:71" x14ac:dyDescent="0.2">
      <c r="A124" t="s">
        <v>599</v>
      </c>
      <c r="B124" t="s">
        <v>1296</v>
      </c>
      <c r="C124" t="s">
        <v>67</v>
      </c>
      <c r="D124" s="72">
        <v>6825856</v>
      </c>
      <c r="E124" s="72">
        <v>558136</v>
      </c>
      <c r="F124" s="72">
        <v>0</v>
      </c>
      <c r="G124" s="72">
        <v>3665851</v>
      </c>
      <c r="H124" s="72">
        <v>0</v>
      </c>
      <c r="I124" s="72">
        <v>0</v>
      </c>
      <c r="J124" s="72">
        <v>1990671</v>
      </c>
      <c r="K124" s="72">
        <v>1948673</v>
      </c>
      <c r="L124" s="72">
        <v>14989187</v>
      </c>
      <c r="M124" s="72">
        <v>0</v>
      </c>
      <c r="N124" s="72">
        <v>0</v>
      </c>
      <c r="O124" s="72">
        <v>0</v>
      </c>
      <c r="P124" s="72">
        <v>20400</v>
      </c>
      <c r="Q124" s="72">
        <v>22176</v>
      </c>
      <c r="R124" s="72">
        <v>42576</v>
      </c>
      <c r="S124" s="72">
        <v>15031763</v>
      </c>
      <c r="T124" s="72">
        <v>8046582</v>
      </c>
      <c r="U124" s="72">
        <v>2820591</v>
      </c>
      <c r="V124" s="72">
        <v>3700480</v>
      </c>
      <c r="W124" s="72">
        <v>360391</v>
      </c>
      <c r="X124" s="72">
        <v>96168</v>
      </c>
      <c r="Y124" s="72">
        <v>0</v>
      </c>
      <c r="Z124" s="72">
        <v>0</v>
      </c>
      <c r="AA124" s="72">
        <v>0</v>
      </c>
      <c r="AB124" s="72">
        <v>0</v>
      </c>
      <c r="AC124" s="72">
        <v>0</v>
      </c>
      <c r="AD124" s="72">
        <v>0</v>
      </c>
      <c r="AE124" s="72">
        <v>131772</v>
      </c>
      <c r="AF124" s="72">
        <v>75465</v>
      </c>
      <c r="AG124" s="72">
        <v>284149</v>
      </c>
      <c r="AH124" s="72">
        <v>15515598</v>
      </c>
      <c r="AI124" s="72">
        <v>55000</v>
      </c>
      <c r="AJ124" s="72">
        <v>0</v>
      </c>
      <c r="AK124" s="72">
        <v>0</v>
      </c>
      <c r="AL124" s="72">
        <v>55000</v>
      </c>
      <c r="AM124" s="72">
        <v>15570598</v>
      </c>
      <c r="AN124" s="72">
        <v>-538835</v>
      </c>
      <c r="AO124" s="72">
        <v>2678048</v>
      </c>
      <c r="AP124" s="72">
        <v>2139213</v>
      </c>
      <c r="AQ124" s="72">
        <v>282785</v>
      </c>
      <c r="AR124" s="72">
        <v>0</v>
      </c>
      <c r="AS124" s="72">
        <v>0</v>
      </c>
      <c r="AT124" s="72">
        <v>0</v>
      </c>
      <c r="AU124" s="72">
        <v>0</v>
      </c>
      <c r="AV124" s="72">
        <v>0</v>
      </c>
      <c r="AW124" s="72">
        <v>0</v>
      </c>
      <c r="AX124" s="72">
        <v>0</v>
      </c>
      <c r="AY124" s="72">
        <v>0</v>
      </c>
      <c r="AZ124" s="72">
        <v>0</v>
      </c>
      <c r="BA124" s="72">
        <v>1856428</v>
      </c>
      <c r="BB124" s="72">
        <v>0</v>
      </c>
      <c r="BC124" s="72">
        <v>0</v>
      </c>
      <c r="BD124" s="72">
        <v>0</v>
      </c>
      <c r="BE124" s="72">
        <v>1856428</v>
      </c>
      <c r="BF124" s="72">
        <v>0</v>
      </c>
      <c r="BG124" s="72">
        <v>0</v>
      </c>
      <c r="BH124" s="72">
        <v>0</v>
      </c>
      <c r="BI124" s="72">
        <v>0</v>
      </c>
      <c r="BJ124" s="72">
        <v>1856428</v>
      </c>
      <c r="BM124" s="72">
        <v>0</v>
      </c>
      <c r="BN124" s="72">
        <v>0</v>
      </c>
      <c r="BO124" s="72">
        <v>0</v>
      </c>
      <c r="BP124" s="72">
        <v>0</v>
      </c>
      <c r="BQ124" s="72">
        <v>0</v>
      </c>
      <c r="BR124" s="72">
        <v>0</v>
      </c>
      <c r="BS124" s="72">
        <v>15570598</v>
      </c>
    </row>
    <row r="125" spans="1:71" x14ac:dyDescent="0.2">
      <c r="A125" t="s">
        <v>613</v>
      </c>
      <c r="B125" t="s">
        <v>1309</v>
      </c>
      <c r="C125" t="s">
        <v>23</v>
      </c>
      <c r="D125" s="72">
        <v>27255163</v>
      </c>
      <c r="E125" s="72">
        <v>629032</v>
      </c>
      <c r="F125" s="72">
        <v>0</v>
      </c>
      <c r="G125" s="72">
        <v>1533290</v>
      </c>
      <c r="H125" s="72">
        <v>152221</v>
      </c>
      <c r="I125" s="72">
        <v>0</v>
      </c>
      <c r="J125" s="72">
        <v>3724638</v>
      </c>
      <c r="K125" s="72">
        <v>593000</v>
      </c>
      <c r="L125" s="72">
        <v>33887344</v>
      </c>
      <c r="M125" s="72">
        <v>0</v>
      </c>
      <c r="N125" s="72">
        <v>0</v>
      </c>
      <c r="O125" s="72">
        <v>0</v>
      </c>
      <c r="P125" s="72">
        <v>0</v>
      </c>
      <c r="Q125" s="72">
        <v>1255376</v>
      </c>
      <c r="R125" s="72">
        <v>1255376</v>
      </c>
      <c r="S125" s="72">
        <v>35142720</v>
      </c>
      <c r="T125" s="72">
        <v>19783859</v>
      </c>
      <c r="U125" s="72">
        <v>6973946</v>
      </c>
      <c r="V125" s="72">
        <v>4837791</v>
      </c>
      <c r="W125" s="72">
        <v>1011051</v>
      </c>
      <c r="X125" s="72">
        <v>489864</v>
      </c>
      <c r="Y125" s="72">
        <v>0</v>
      </c>
      <c r="Z125" s="72">
        <v>40000</v>
      </c>
      <c r="AA125" s="72">
        <v>0</v>
      </c>
      <c r="AB125" s="72">
        <v>0</v>
      </c>
      <c r="AC125" s="72">
        <v>0</v>
      </c>
      <c r="AD125" s="72">
        <v>0</v>
      </c>
      <c r="AE125" s="72">
        <v>0</v>
      </c>
      <c r="AF125" s="72">
        <v>0</v>
      </c>
      <c r="AG125" s="72">
        <v>630718</v>
      </c>
      <c r="AH125" s="72">
        <v>33767228</v>
      </c>
      <c r="AI125" s="72">
        <v>260000</v>
      </c>
      <c r="AJ125" s="72">
        <v>0</v>
      </c>
      <c r="AK125" s="72">
        <v>0</v>
      </c>
      <c r="AL125" s="72">
        <v>260000</v>
      </c>
      <c r="AM125" s="72">
        <v>34027228</v>
      </c>
      <c r="AN125" s="72">
        <v>1115492</v>
      </c>
      <c r="AO125" s="72">
        <v>3495856</v>
      </c>
      <c r="AP125" s="72">
        <v>4611348</v>
      </c>
      <c r="AQ125" s="72">
        <v>550000</v>
      </c>
      <c r="AR125" s="72">
        <v>0</v>
      </c>
      <c r="AS125" s="72">
        <v>0</v>
      </c>
      <c r="AT125" s="72">
        <v>175000</v>
      </c>
      <c r="AU125" s="72">
        <v>0</v>
      </c>
      <c r="AW125" s="72">
        <v>0</v>
      </c>
      <c r="AX125" s="72">
        <v>0</v>
      </c>
      <c r="AY125" s="72">
        <v>0</v>
      </c>
      <c r="AZ125" s="72">
        <v>175000</v>
      </c>
      <c r="BA125" s="72">
        <v>3886348</v>
      </c>
      <c r="BB125" s="72">
        <v>0</v>
      </c>
      <c r="BC125" s="72">
        <v>0</v>
      </c>
      <c r="BD125" s="72">
        <v>0</v>
      </c>
      <c r="BE125" s="72">
        <v>3886348</v>
      </c>
      <c r="BF125" s="72">
        <v>0</v>
      </c>
      <c r="BG125" s="72">
        <v>0</v>
      </c>
      <c r="BH125" s="72">
        <v>0</v>
      </c>
      <c r="BI125" s="72">
        <v>0</v>
      </c>
      <c r="BJ125" s="72">
        <v>3886348</v>
      </c>
      <c r="BM125" s="72">
        <v>0</v>
      </c>
      <c r="BN125" s="72">
        <v>0</v>
      </c>
      <c r="BO125" s="72">
        <v>0</v>
      </c>
      <c r="BP125" s="72">
        <v>0</v>
      </c>
      <c r="BQ125" s="72">
        <v>0</v>
      </c>
      <c r="BR125" s="72">
        <v>0</v>
      </c>
      <c r="BS125" s="72">
        <v>35142720</v>
      </c>
    </row>
    <row r="126" spans="1:71" x14ac:dyDescent="0.2">
      <c r="A126" t="s">
        <v>656</v>
      </c>
      <c r="B126" t="s">
        <v>1346</v>
      </c>
      <c r="C126" t="s">
        <v>67</v>
      </c>
      <c r="D126" s="72">
        <v>4586252</v>
      </c>
      <c r="E126" s="72">
        <v>31</v>
      </c>
      <c r="F126" s="72">
        <v>0</v>
      </c>
      <c r="G126" s="72">
        <v>3170763</v>
      </c>
      <c r="H126" s="72">
        <v>40350</v>
      </c>
      <c r="I126" s="72">
        <v>36818</v>
      </c>
      <c r="J126" s="72">
        <v>3192107</v>
      </c>
      <c r="K126" s="72">
        <v>1520117</v>
      </c>
      <c r="L126" s="72">
        <v>12546438</v>
      </c>
      <c r="M126" s="72">
        <v>0</v>
      </c>
      <c r="N126" s="72">
        <v>0</v>
      </c>
      <c r="O126" s="72">
        <v>0</v>
      </c>
      <c r="P126" s="72">
        <v>150000</v>
      </c>
      <c r="Q126" s="72">
        <v>0</v>
      </c>
      <c r="R126" s="72">
        <v>150000</v>
      </c>
      <c r="S126" s="72">
        <v>12696438</v>
      </c>
      <c r="T126" s="72">
        <v>6765145</v>
      </c>
      <c r="U126" s="72">
        <v>2359251</v>
      </c>
      <c r="V126" s="72">
        <v>2072994</v>
      </c>
      <c r="W126" s="72">
        <v>273564</v>
      </c>
      <c r="X126" s="72">
        <v>111311</v>
      </c>
      <c r="Y126" s="72">
        <v>0</v>
      </c>
      <c r="Z126" s="72">
        <v>0</v>
      </c>
      <c r="AA126" s="72">
        <v>0</v>
      </c>
      <c r="AB126" s="72">
        <v>0</v>
      </c>
      <c r="AC126" s="72">
        <v>0</v>
      </c>
      <c r="AD126" s="72">
        <v>0</v>
      </c>
      <c r="AE126" s="72">
        <v>0</v>
      </c>
      <c r="AF126" s="72">
        <v>0</v>
      </c>
      <c r="AG126" s="72">
        <v>181743</v>
      </c>
      <c r="AH126" s="72">
        <v>11764008</v>
      </c>
      <c r="AI126" s="72">
        <v>251265</v>
      </c>
      <c r="AJ126" s="72">
        <v>238993</v>
      </c>
      <c r="AK126" s="72">
        <v>0</v>
      </c>
      <c r="AL126" s="72">
        <v>490258</v>
      </c>
      <c r="AM126" s="72">
        <v>12254266</v>
      </c>
      <c r="AN126" s="72">
        <v>442172</v>
      </c>
      <c r="AO126" s="72">
        <v>5791225</v>
      </c>
      <c r="AP126" s="72">
        <v>6233397</v>
      </c>
      <c r="AQ126" s="72">
        <v>50000</v>
      </c>
      <c r="AR126" s="72">
        <v>0</v>
      </c>
      <c r="AS126" s="72">
        <v>0</v>
      </c>
      <c r="AT126" s="72">
        <v>0</v>
      </c>
      <c r="AU126" s="72">
        <v>0</v>
      </c>
      <c r="AV126" s="72">
        <v>0</v>
      </c>
      <c r="AW126" s="72">
        <v>0</v>
      </c>
      <c r="AX126" s="72">
        <v>0</v>
      </c>
      <c r="AY126" s="72">
        <v>0</v>
      </c>
      <c r="AZ126" s="72">
        <v>0</v>
      </c>
      <c r="BA126" s="72">
        <v>6183397</v>
      </c>
      <c r="BB126" s="72">
        <v>0</v>
      </c>
      <c r="BC126" s="72">
        <v>0</v>
      </c>
      <c r="BD126" s="72">
        <v>0</v>
      </c>
      <c r="BE126" s="72">
        <v>6183397</v>
      </c>
      <c r="BF126" s="72">
        <v>0</v>
      </c>
      <c r="BG126" s="72">
        <v>0</v>
      </c>
      <c r="BH126" s="72">
        <v>0</v>
      </c>
      <c r="BI126" s="72">
        <v>0</v>
      </c>
      <c r="BJ126" s="72">
        <v>6183397</v>
      </c>
      <c r="BK126" s="72">
        <v>0</v>
      </c>
      <c r="BL126" s="72">
        <v>0</v>
      </c>
      <c r="BM126" s="72">
        <v>0</v>
      </c>
      <c r="BN126" s="72">
        <v>0</v>
      </c>
      <c r="BO126" s="72">
        <v>0</v>
      </c>
      <c r="BP126" s="72">
        <v>0</v>
      </c>
      <c r="BQ126" s="72">
        <v>0</v>
      </c>
      <c r="BR126" s="72">
        <v>0</v>
      </c>
      <c r="BS126" s="72">
        <v>12696438</v>
      </c>
    </row>
    <row r="127" spans="1:71" x14ac:dyDescent="0.2">
      <c r="A127" t="s">
        <v>659</v>
      </c>
      <c r="B127" t="s">
        <v>1349</v>
      </c>
      <c r="C127" t="s">
        <v>87</v>
      </c>
      <c r="D127" s="72">
        <v>6031357</v>
      </c>
      <c r="E127" s="72">
        <v>309986</v>
      </c>
      <c r="F127" s="72">
        <v>0</v>
      </c>
      <c r="G127" s="72">
        <v>10320050</v>
      </c>
      <c r="H127" s="72">
        <v>168594</v>
      </c>
      <c r="I127" s="72">
        <v>0</v>
      </c>
      <c r="J127" s="72">
        <v>1352843</v>
      </c>
      <c r="K127" s="72">
        <v>911966</v>
      </c>
      <c r="L127" s="72">
        <v>19094796</v>
      </c>
      <c r="M127" s="72">
        <v>0</v>
      </c>
      <c r="N127" s="72">
        <v>0</v>
      </c>
      <c r="O127" s="72">
        <v>0</v>
      </c>
      <c r="P127" s="72">
        <v>0</v>
      </c>
      <c r="Q127" s="72">
        <v>5000</v>
      </c>
      <c r="R127" s="72">
        <v>5000</v>
      </c>
      <c r="S127" s="72">
        <v>19099796</v>
      </c>
      <c r="T127" s="72">
        <v>10385596</v>
      </c>
      <c r="U127" s="72">
        <v>3911960</v>
      </c>
      <c r="V127" s="72">
        <v>3516621</v>
      </c>
      <c r="W127" s="72">
        <v>484901</v>
      </c>
      <c r="X127" s="72">
        <v>46088</v>
      </c>
      <c r="Y127" s="72">
        <v>0</v>
      </c>
      <c r="Z127" s="72">
        <v>0</v>
      </c>
      <c r="AA127" s="72">
        <v>0</v>
      </c>
      <c r="AB127" s="72">
        <v>0</v>
      </c>
      <c r="AC127" s="72">
        <v>0</v>
      </c>
      <c r="AD127" s="72">
        <v>0</v>
      </c>
      <c r="AE127" s="72">
        <v>0</v>
      </c>
      <c r="AF127" s="72">
        <v>0</v>
      </c>
      <c r="AG127" s="72">
        <v>306653</v>
      </c>
      <c r="AH127" s="72">
        <v>18651819</v>
      </c>
      <c r="AI127" s="72">
        <v>22000</v>
      </c>
      <c r="AJ127" s="72">
        <v>0</v>
      </c>
      <c r="AK127" s="72">
        <v>0</v>
      </c>
      <c r="AL127" s="72">
        <v>22000</v>
      </c>
      <c r="AM127" s="72">
        <v>18673819</v>
      </c>
      <c r="AN127" s="72">
        <v>425977</v>
      </c>
      <c r="AO127" s="72">
        <v>2083908</v>
      </c>
      <c r="AP127" s="72">
        <v>2509885</v>
      </c>
      <c r="AQ127" s="72">
        <v>500000</v>
      </c>
      <c r="AR127" s="72">
        <v>0</v>
      </c>
      <c r="AS127" s="72">
        <v>0</v>
      </c>
      <c r="AT127" s="72">
        <v>0</v>
      </c>
      <c r="AU127" s="72">
        <v>0</v>
      </c>
      <c r="AV127" s="72">
        <v>0</v>
      </c>
      <c r="AW127" s="72">
        <v>0</v>
      </c>
      <c r="AX127" s="72">
        <v>0</v>
      </c>
      <c r="AY127" s="72">
        <v>0</v>
      </c>
      <c r="AZ127" s="72">
        <v>0</v>
      </c>
      <c r="BA127" s="72">
        <v>2009885</v>
      </c>
      <c r="BB127" s="72">
        <v>0</v>
      </c>
      <c r="BC127" s="72">
        <v>0</v>
      </c>
      <c r="BD127" s="72">
        <v>0</v>
      </c>
      <c r="BE127" s="72">
        <v>2009885</v>
      </c>
      <c r="BF127" s="72">
        <v>0</v>
      </c>
      <c r="BG127" s="72">
        <v>0</v>
      </c>
      <c r="BH127" s="72">
        <v>0</v>
      </c>
      <c r="BI127" s="72">
        <v>0</v>
      </c>
      <c r="BJ127" s="72">
        <v>2009885</v>
      </c>
      <c r="BM127" s="72">
        <v>0</v>
      </c>
      <c r="BN127" s="72">
        <v>0</v>
      </c>
      <c r="BO127" s="72">
        <v>0</v>
      </c>
      <c r="BP127" s="72">
        <v>0</v>
      </c>
      <c r="BQ127" s="72">
        <v>0</v>
      </c>
      <c r="BR127" s="72">
        <v>0</v>
      </c>
      <c r="BS127" s="72">
        <v>19099796</v>
      </c>
    </row>
    <row r="128" spans="1:71" x14ac:dyDescent="0.2">
      <c r="A128" t="s">
        <v>619</v>
      </c>
      <c r="B128" t="s">
        <v>1315</v>
      </c>
      <c r="C128" t="s">
        <v>30</v>
      </c>
      <c r="D128" s="72">
        <v>7959623</v>
      </c>
      <c r="E128" s="72">
        <v>490046</v>
      </c>
      <c r="F128" s="72">
        <v>8719</v>
      </c>
      <c r="G128" s="72">
        <v>6951978</v>
      </c>
      <c r="H128" s="72">
        <v>39999</v>
      </c>
      <c r="I128" s="72">
        <v>0</v>
      </c>
      <c r="J128" s="72">
        <v>2348905</v>
      </c>
      <c r="K128" s="72">
        <v>533372</v>
      </c>
      <c r="L128" s="72">
        <v>18332642</v>
      </c>
      <c r="M128" s="72">
        <v>0</v>
      </c>
      <c r="N128" s="72">
        <v>0</v>
      </c>
      <c r="O128" s="72">
        <v>0</v>
      </c>
      <c r="P128" s="72">
        <v>0</v>
      </c>
      <c r="Q128" s="72">
        <v>110000</v>
      </c>
      <c r="R128" s="72">
        <v>110000</v>
      </c>
      <c r="S128" s="72">
        <v>18442642</v>
      </c>
      <c r="T128" s="72">
        <v>9603771</v>
      </c>
      <c r="U128" s="72">
        <v>3613256</v>
      </c>
      <c r="V128" s="72">
        <v>3510865</v>
      </c>
      <c r="W128" s="72">
        <v>793869</v>
      </c>
      <c r="X128" s="72">
        <v>0</v>
      </c>
      <c r="Y128" s="72">
        <v>0</v>
      </c>
      <c r="Z128" s="72">
        <v>0</v>
      </c>
      <c r="AA128" s="72">
        <v>21000</v>
      </c>
      <c r="AB128" s="72">
        <v>0</v>
      </c>
      <c r="AC128" s="72">
        <v>0</v>
      </c>
      <c r="AD128" s="72">
        <v>0</v>
      </c>
      <c r="AE128" s="72">
        <v>115000</v>
      </c>
      <c r="AF128" s="72">
        <v>20000</v>
      </c>
      <c r="AG128" s="72">
        <v>437853</v>
      </c>
      <c r="AH128" s="72">
        <v>18115614</v>
      </c>
      <c r="AI128" s="72">
        <v>350000</v>
      </c>
      <c r="AJ128" s="72">
        <v>0</v>
      </c>
      <c r="AK128" s="72">
        <v>0</v>
      </c>
      <c r="AL128" s="72">
        <v>350000</v>
      </c>
      <c r="AM128" s="72">
        <v>18465614</v>
      </c>
      <c r="AN128" s="72">
        <v>-22972</v>
      </c>
      <c r="AO128" s="72">
        <v>974832</v>
      </c>
      <c r="AP128" s="72">
        <v>951860</v>
      </c>
      <c r="AQ128" s="72">
        <v>25000</v>
      </c>
      <c r="AR128" s="72">
        <v>0</v>
      </c>
      <c r="AS128" s="72">
        <v>0</v>
      </c>
      <c r="AT128" s="72">
        <v>0</v>
      </c>
      <c r="AU128" s="72">
        <v>0</v>
      </c>
      <c r="AV128" s="72">
        <v>0</v>
      </c>
      <c r="AW128" s="72">
        <v>0</v>
      </c>
      <c r="AX128" s="72">
        <v>0</v>
      </c>
      <c r="AY128" s="72">
        <v>0</v>
      </c>
      <c r="AZ128" s="72">
        <v>0</v>
      </c>
      <c r="BA128" s="72">
        <v>926860</v>
      </c>
      <c r="BB128" s="72">
        <v>0</v>
      </c>
      <c r="BC128" s="72">
        <v>0</v>
      </c>
      <c r="BD128" s="72">
        <v>0</v>
      </c>
      <c r="BE128" s="72">
        <v>926860</v>
      </c>
      <c r="BF128" s="72">
        <v>0</v>
      </c>
      <c r="BG128" s="72">
        <v>0</v>
      </c>
      <c r="BH128" s="72">
        <v>0</v>
      </c>
      <c r="BI128" s="72">
        <v>0</v>
      </c>
      <c r="BJ128" s="72">
        <v>926860</v>
      </c>
      <c r="BM128" s="72">
        <v>0</v>
      </c>
      <c r="BN128" s="72">
        <v>0</v>
      </c>
      <c r="BO128" s="72">
        <v>0</v>
      </c>
      <c r="BP128" s="72">
        <v>0</v>
      </c>
      <c r="BQ128" s="72">
        <v>0</v>
      </c>
      <c r="BR128" s="72">
        <v>0</v>
      </c>
      <c r="BS128" s="72">
        <v>18465614</v>
      </c>
    </row>
    <row r="129" spans="1:71" x14ac:dyDescent="0.2">
      <c r="A129" t="s">
        <v>620</v>
      </c>
      <c r="B129" t="s">
        <v>1316</v>
      </c>
      <c r="C129" t="s">
        <v>63</v>
      </c>
      <c r="D129" s="72">
        <v>18551774</v>
      </c>
      <c r="E129" s="72">
        <v>0</v>
      </c>
      <c r="F129" s="72">
        <v>0</v>
      </c>
      <c r="G129" s="72">
        <v>16282959</v>
      </c>
      <c r="H129" s="72">
        <v>342984</v>
      </c>
      <c r="J129" s="72">
        <v>4770280</v>
      </c>
      <c r="K129" s="72">
        <v>1186175</v>
      </c>
      <c r="L129" s="72">
        <v>41134172</v>
      </c>
      <c r="M129" s="72">
        <v>0</v>
      </c>
      <c r="N129" s="72">
        <v>0</v>
      </c>
      <c r="O129" s="72">
        <v>0</v>
      </c>
      <c r="P129" s="72">
        <v>33820</v>
      </c>
      <c r="Q129" s="72">
        <v>111974</v>
      </c>
      <c r="R129" s="72">
        <v>145794</v>
      </c>
      <c r="S129" s="72">
        <v>41279966</v>
      </c>
      <c r="T129" s="72">
        <v>21930191</v>
      </c>
      <c r="U129" s="72">
        <v>7939320</v>
      </c>
      <c r="V129" s="72">
        <v>9433548</v>
      </c>
      <c r="W129" s="72">
        <v>749290</v>
      </c>
      <c r="X129" s="72">
        <v>111073</v>
      </c>
      <c r="Y129" s="72">
        <v>0</v>
      </c>
      <c r="Z129" s="72">
        <v>0</v>
      </c>
      <c r="AA129" s="72">
        <v>0</v>
      </c>
      <c r="AB129" s="72">
        <v>0</v>
      </c>
      <c r="AC129" s="72">
        <v>0</v>
      </c>
      <c r="AD129" s="72">
        <v>0</v>
      </c>
      <c r="AE129" s="72">
        <v>0</v>
      </c>
      <c r="AF129" s="72">
        <v>0</v>
      </c>
      <c r="AG129" s="72">
        <v>659477</v>
      </c>
      <c r="AH129" s="72">
        <v>40822898</v>
      </c>
      <c r="AI129" s="72">
        <v>0</v>
      </c>
      <c r="AJ129" s="72">
        <v>35000</v>
      </c>
      <c r="AK129" s="72">
        <v>0</v>
      </c>
      <c r="AL129" s="72">
        <v>35000</v>
      </c>
      <c r="AM129" s="72">
        <v>40857898</v>
      </c>
      <c r="AN129" s="72">
        <v>422068</v>
      </c>
      <c r="AO129" s="72">
        <v>1277719</v>
      </c>
      <c r="AP129" s="72">
        <v>1699787</v>
      </c>
      <c r="AQ129" s="72">
        <v>300000</v>
      </c>
      <c r="AR129" s="72">
        <v>0</v>
      </c>
      <c r="AS129" s="72">
        <v>0</v>
      </c>
      <c r="AT129" s="72">
        <v>0</v>
      </c>
      <c r="AU129" s="72">
        <v>0</v>
      </c>
      <c r="AW129" s="72">
        <v>0</v>
      </c>
      <c r="AX129" s="72">
        <v>0</v>
      </c>
      <c r="AY129" s="72">
        <v>0</v>
      </c>
      <c r="AZ129" s="72">
        <v>0</v>
      </c>
      <c r="BA129" s="72">
        <v>1399787</v>
      </c>
      <c r="BB129" s="72">
        <v>0</v>
      </c>
      <c r="BC129" s="72">
        <v>0</v>
      </c>
      <c r="BD129" s="72">
        <v>0</v>
      </c>
      <c r="BE129" s="72">
        <v>1399787</v>
      </c>
      <c r="BF129" s="72">
        <v>0</v>
      </c>
      <c r="BG129" s="72">
        <v>0</v>
      </c>
      <c r="BH129" s="72">
        <v>0</v>
      </c>
      <c r="BI129" s="72">
        <v>0</v>
      </c>
      <c r="BJ129" s="72">
        <v>1399787</v>
      </c>
      <c r="BK129" s="72">
        <v>350</v>
      </c>
      <c r="BL129" s="72">
        <v>3630</v>
      </c>
      <c r="BS129" s="72">
        <v>41279966</v>
      </c>
    </row>
    <row r="130" spans="1:71" x14ac:dyDescent="0.2">
      <c r="A130" t="s">
        <v>627</v>
      </c>
      <c r="B130" t="s">
        <v>1323</v>
      </c>
      <c r="C130" t="s">
        <v>23</v>
      </c>
      <c r="D130" s="72">
        <v>62678858</v>
      </c>
      <c r="E130" s="72">
        <v>0</v>
      </c>
      <c r="F130" s="72">
        <v>0</v>
      </c>
      <c r="G130" s="72">
        <v>13627080</v>
      </c>
      <c r="H130" s="72">
        <v>599000</v>
      </c>
      <c r="I130" s="72">
        <v>0</v>
      </c>
      <c r="J130" s="72">
        <v>8993942</v>
      </c>
      <c r="K130" s="72">
        <v>2053000</v>
      </c>
      <c r="L130" s="72">
        <v>87951880</v>
      </c>
      <c r="M130" s="72">
        <v>0</v>
      </c>
      <c r="N130" s="72">
        <v>0</v>
      </c>
      <c r="O130" s="72">
        <v>0</v>
      </c>
      <c r="P130" s="72">
        <v>0</v>
      </c>
      <c r="Q130" s="72">
        <v>0</v>
      </c>
      <c r="R130" s="72">
        <v>0</v>
      </c>
      <c r="S130" s="72">
        <v>87951880</v>
      </c>
      <c r="T130" s="72">
        <v>51109000</v>
      </c>
      <c r="U130" s="72">
        <v>17433600</v>
      </c>
      <c r="V130" s="72">
        <v>14269900</v>
      </c>
      <c r="W130" s="72">
        <v>3161000</v>
      </c>
      <c r="X130" s="72">
        <v>1843000</v>
      </c>
      <c r="Y130" s="72">
        <v>0</v>
      </c>
      <c r="Z130" s="72">
        <v>0</v>
      </c>
      <c r="AA130" s="72">
        <v>0</v>
      </c>
      <c r="AB130" s="72">
        <v>0</v>
      </c>
      <c r="AC130" s="72">
        <v>0</v>
      </c>
      <c r="AD130" s="72">
        <v>178125</v>
      </c>
      <c r="AE130" s="72">
        <v>90850</v>
      </c>
      <c r="AF130" s="72">
        <v>0</v>
      </c>
      <c r="AG130" s="72">
        <v>1649000</v>
      </c>
      <c r="AH130" s="72">
        <v>89734475</v>
      </c>
      <c r="AI130" s="72">
        <v>230000</v>
      </c>
      <c r="AJ130" s="72">
        <v>0</v>
      </c>
      <c r="AK130" s="72">
        <v>0</v>
      </c>
      <c r="AL130" s="72">
        <v>230000</v>
      </c>
      <c r="AM130" s="72">
        <v>89964475</v>
      </c>
      <c r="AN130" s="72">
        <v>-2012595</v>
      </c>
      <c r="AO130" s="72">
        <v>23486173</v>
      </c>
      <c r="AP130" s="72">
        <v>21473578</v>
      </c>
      <c r="AQ130" s="72">
        <v>5031766</v>
      </c>
      <c r="AR130" s="72">
        <v>0</v>
      </c>
      <c r="AS130" s="72">
        <v>0</v>
      </c>
      <c r="AT130" s="72">
        <v>353070</v>
      </c>
      <c r="AU130" s="72">
        <v>0</v>
      </c>
      <c r="AV130" s="72">
        <v>0</v>
      </c>
      <c r="AW130" s="72">
        <v>0</v>
      </c>
      <c r="AX130" s="72">
        <v>0</v>
      </c>
      <c r="AY130" s="72">
        <v>0</v>
      </c>
      <c r="AZ130" s="72">
        <v>353070</v>
      </c>
      <c r="BA130" s="72">
        <v>16088742</v>
      </c>
      <c r="BB130" s="72">
        <v>0</v>
      </c>
      <c r="BC130" s="72">
        <v>0</v>
      </c>
      <c r="BD130" s="72">
        <v>0</v>
      </c>
      <c r="BE130" s="72">
        <v>16088742</v>
      </c>
      <c r="BF130" s="72">
        <v>0</v>
      </c>
      <c r="BG130" s="72">
        <v>0</v>
      </c>
      <c r="BH130" s="72">
        <v>0</v>
      </c>
      <c r="BI130" s="72">
        <v>0</v>
      </c>
      <c r="BJ130" s="72">
        <v>16088742</v>
      </c>
      <c r="BK130" s="72">
        <v>346</v>
      </c>
      <c r="BL130" s="72">
        <v>5077</v>
      </c>
      <c r="BM130" s="72">
        <v>0</v>
      </c>
      <c r="BN130" s="72">
        <v>0</v>
      </c>
      <c r="BO130" s="72">
        <v>0</v>
      </c>
      <c r="BP130" s="72">
        <v>0</v>
      </c>
      <c r="BQ130" s="72">
        <v>0</v>
      </c>
      <c r="BR130" s="72">
        <v>0</v>
      </c>
      <c r="BS130" s="72">
        <v>89964475</v>
      </c>
    </row>
    <row r="131" spans="1:71" x14ac:dyDescent="0.2">
      <c r="A131" t="s">
        <v>629</v>
      </c>
      <c r="B131" t="s">
        <v>1325</v>
      </c>
      <c r="C131" t="s">
        <v>61</v>
      </c>
      <c r="D131" s="72">
        <v>9888500</v>
      </c>
      <c r="E131" s="72">
        <v>0</v>
      </c>
      <c r="F131" s="72">
        <v>0</v>
      </c>
      <c r="G131" s="72">
        <v>4842842</v>
      </c>
      <c r="H131" s="72">
        <v>14330</v>
      </c>
      <c r="I131" s="72">
        <v>0</v>
      </c>
      <c r="J131" s="72">
        <v>1723323</v>
      </c>
      <c r="K131" s="72">
        <v>1190492</v>
      </c>
      <c r="L131" s="72">
        <v>17659487</v>
      </c>
      <c r="M131" s="72">
        <v>0</v>
      </c>
      <c r="N131" s="72">
        <v>0</v>
      </c>
      <c r="O131" s="72">
        <v>0</v>
      </c>
      <c r="P131" s="72">
        <v>193000</v>
      </c>
      <c r="Q131" s="72">
        <v>60304</v>
      </c>
      <c r="R131" s="72">
        <v>253304</v>
      </c>
      <c r="S131" s="72">
        <v>17912791</v>
      </c>
      <c r="T131" s="72">
        <v>11678831</v>
      </c>
      <c r="U131" s="72">
        <v>4757493</v>
      </c>
      <c r="V131" s="72">
        <v>2887704</v>
      </c>
      <c r="W131" s="72">
        <v>885477</v>
      </c>
      <c r="X131" s="72">
        <v>75000</v>
      </c>
      <c r="Y131" s="72">
        <v>0</v>
      </c>
      <c r="Z131" s="72">
        <v>0</v>
      </c>
      <c r="AA131" s="72">
        <v>127000</v>
      </c>
      <c r="AB131" s="72">
        <v>0</v>
      </c>
      <c r="AC131" s="72">
        <v>0</v>
      </c>
      <c r="AD131" s="72">
        <v>0</v>
      </c>
      <c r="AE131" s="72">
        <v>0</v>
      </c>
      <c r="AF131" s="72">
        <v>24898</v>
      </c>
      <c r="AG131" s="72">
        <v>400711</v>
      </c>
      <c r="AH131" s="72">
        <v>20837114</v>
      </c>
      <c r="AI131" s="72">
        <v>310000</v>
      </c>
      <c r="AJ131" s="72">
        <v>40000</v>
      </c>
      <c r="AK131" s="72">
        <v>0</v>
      </c>
      <c r="AL131" s="72">
        <v>350000</v>
      </c>
      <c r="AM131" s="72">
        <v>21187114</v>
      </c>
      <c r="AN131" s="72">
        <v>-3274323</v>
      </c>
      <c r="AO131" s="72">
        <v>7518495</v>
      </c>
      <c r="AP131" s="72">
        <v>4244172</v>
      </c>
      <c r="AQ131" s="72">
        <v>150000</v>
      </c>
      <c r="AR131" s="72">
        <v>0</v>
      </c>
      <c r="AS131" s="72">
        <v>0</v>
      </c>
      <c r="AT131" s="72">
        <v>0</v>
      </c>
      <c r="AU131" s="72">
        <v>0</v>
      </c>
      <c r="AW131" s="72">
        <v>0</v>
      </c>
      <c r="AX131" s="72">
        <v>0</v>
      </c>
      <c r="AY131" s="72">
        <v>0</v>
      </c>
      <c r="AZ131" s="72">
        <v>0</v>
      </c>
      <c r="BA131" s="72">
        <v>4094172</v>
      </c>
      <c r="BB131" s="72">
        <v>0</v>
      </c>
      <c r="BC131" s="72">
        <v>0</v>
      </c>
      <c r="BD131" s="72">
        <v>0</v>
      </c>
      <c r="BE131" s="72">
        <v>4094172</v>
      </c>
      <c r="BF131" s="72">
        <v>0</v>
      </c>
      <c r="BG131" s="72">
        <v>0</v>
      </c>
      <c r="BH131" s="72">
        <v>0</v>
      </c>
      <c r="BI131" s="72">
        <v>0</v>
      </c>
      <c r="BJ131" s="72">
        <v>4094172</v>
      </c>
      <c r="BK131" s="72">
        <v>116</v>
      </c>
      <c r="BL131" s="72">
        <v>1740</v>
      </c>
      <c r="BS131" s="72">
        <v>21187114</v>
      </c>
    </row>
    <row r="132" spans="1:71" x14ac:dyDescent="0.2">
      <c r="A132" t="s">
        <v>630</v>
      </c>
      <c r="B132" t="s">
        <v>1326</v>
      </c>
      <c r="C132" t="s">
        <v>53</v>
      </c>
      <c r="D132" s="72">
        <v>5000000</v>
      </c>
      <c r="E132" s="72">
        <v>0</v>
      </c>
      <c r="F132" s="72">
        <v>2554500</v>
      </c>
      <c r="G132" s="72">
        <v>8109500</v>
      </c>
      <c r="H132" s="72">
        <v>42492</v>
      </c>
      <c r="I132" s="72">
        <v>0</v>
      </c>
      <c r="J132" s="72">
        <v>1178400</v>
      </c>
      <c r="K132" s="72">
        <v>460000</v>
      </c>
      <c r="L132" s="72">
        <v>17344892</v>
      </c>
      <c r="M132" s="72">
        <v>0</v>
      </c>
      <c r="N132" s="72">
        <v>0</v>
      </c>
      <c r="O132" s="72">
        <v>0</v>
      </c>
      <c r="P132" s="72">
        <v>0</v>
      </c>
      <c r="Q132" s="72">
        <v>165000</v>
      </c>
      <c r="R132" s="72">
        <v>165000</v>
      </c>
      <c r="S132" s="72">
        <v>17509892</v>
      </c>
      <c r="T132" s="72">
        <v>9320000</v>
      </c>
      <c r="U132" s="72">
        <v>4350000</v>
      </c>
      <c r="V132" s="72">
        <v>2000000</v>
      </c>
      <c r="W132" s="72">
        <v>600000</v>
      </c>
      <c r="X132" s="72">
        <v>110000</v>
      </c>
      <c r="Y132" s="72">
        <v>0</v>
      </c>
      <c r="Z132" s="72">
        <v>0</v>
      </c>
      <c r="AA132" s="72">
        <v>0</v>
      </c>
      <c r="AB132" s="72">
        <v>0</v>
      </c>
      <c r="AC132" s="72">
        <v>0</v>
      </c>
      <c r="AD132" s="72">
        <v>0</v>
      </c>
      <c r="AE132" s="72">
        <v>0</v>
      </c>
      <c r="AF132" s="72">
        <v>0</v>
      </c>
      <c r="AG132" s="72">
        <v>700000</v>
      </c>
      <c r="AH132" s="72">
        <v>17080000</v>
      </c>
      <c r="AI132" s="72">
        <v>0</v>
      </c>
      <c r="AJ132" s="72">
        <v>0</v>
      </c>
      <c r="AK132" s="72">
        <v>0</v>
      </c>
      <c r="AL132" s="72">
        <v>0</v>
      </c>
      <c r="AM132" s="72">
        <v>17080000</v>
      </c>
      <c r="AN132" s="72">
        <v>429892</v>
      </c>
      <c r="AO132" s="72">
        <v>3619263</v>
      </c>
      <c r="AP132" s="72">
        <v>4049155</v>
      </c>
      <c r="AQ132" s="72">
        <v>0</v>
      </c>
      <c r="AR132" s="72">
        <v>0</v>
      </c>
      <c r="AS132" s="72">
        <v>0</v>
      </c>
      <c r="AT132" s="72">
        <v>0</v>
      </c>
      <c r="AU132" s="72">
        <v>0</v>
      </c>
      <c r="AV132" s="72">
        <v>223449</v>
      </c>
      <c r="AW132" s="72">
        <v>0</v>
      </c>
      <c r="AX132" s="72">
        <v>0</v>
      </c>
      <c r="AY132" s="72">
        <v>42351</v>
      </c>
      <c r="AZ132" s="72">
        <v>265800</v>
      </c>
      <c r="BA132" s="72">
        <v>3783355</v>
      </c>
      <c r="BB132" s="72">
        <v>0</v>
      </c>
      <c r="BC132" s="72">
        <v>0</v>
      </c>
      <c r="BD132" s="72">
        <v>0</v>
      </c>
      <c r="BE132" s="72">
        <v>3783355</v>
      </c>
      <c r="BF132" s="72">
        <v>0</v>
      </c>
      <c r="BG132" s="72">
        <v>0</v>
      </c>
      <c r="BH132" s="72">
        <v>0</v>
      </c>
      <c r="BI132" s="72">
        <v>0</v>
      </c>
      <c r="BJ132" s="72">
        <v>3783355</v>
      </c>
      <c r="BK132" s="72">
        <v>170</v>
      </c>
      <c r="BL132" s="72">
        <v>1825</v>
      </c>
      <c r="BM132" s="72">
        <v>0</v>
      </c>
      <c r="BN132" s="72">
        <v>0</v>
      </c>
      <c r="BO132" s="72">
        <v>0</v>
      </c>
      <c r="BP132" s="72">
        <v>0</v>
      </c>
      <c r="BQ132" s="72">
        <v>0</v>
      </c>
      <c r="BR132" s="72">
        <v>0</v>
      </c>
      <c r="BS132" s="72">
        <v>17509892</v>
      </c>
    </row>
    <row r="133" spans="1:71" x14ac:dyDescent="0.2">
      <c r="A133" t="s">
        <v>631</v>
      </c>
      <c r="B133" t="s">
        <v>1327</v>
      </c>
      <c r="C133" t="s">
        <v>64</v>
      </c>
      <c r="D133" s="72">
        <v>12213656</v>
      </c>
      <c r="E133" s="72">
        <v>596624</v>
      </c>
      <c r="F133" s="72">
        <v>0</v>
      </c>
      <c r="G133" s="72">
        <v>16338371</v>
      </c>
      <c r="H133" s="72">
        <v>23187</v>
      </c>
      <c r="I133" s="72">
        <v>0</v>
      </c>
      <c r="J133" s="72">
        <v>2795976</v>
      </c>
      <c r="K133" s="72">
        <v>1218624</v>
      </c>
      <c r="L133" s="72">
        <v>33186438</v>
      </c>
      <c r="M133" s="72">
        <v>0</v>
      </c>
      <c r="N133" s="72">
        <v>0</v>
      </c>
      <c r="O133" s="72">
        <v>0</v>
      </c>
      <c r="P133" s="72">
        <v>0</v>
      </c>
      <c r="Q133" s="72">
        <v>0</v>
      </c>
      <c r="R133" s="72">
        <v>0</v>
      </c>
      <c r="S133" s="72">
        <v>33186438</v>
      </c>
      <c r="T133" s="72">
        <v>15840721</v>
      </c>
      <c r="U133" s="72">
        <v>5810866</v>
      </c>
      <c r="V133" s="72">
        <v>6935887</v>
      </c>
      <c r="W133" s="72">
        <v>810000</v>
      </c>
      <c r="X133" s="72">
        <v>300000</v>
      </c>
      <c r="Y133" s="72">
        <v>0</v>
      </c>
      <c r="Z133" s="72">
        <v>0</v>
      </c>
      <c r="AA133" s="72">
        <v>0</v>
      </c>
      <c r="AB133" s="72">
        <v>0</v>
      </c>
      <c r="AC133" s="72">
        <v>0</v>
      </c>
      <c r="AD133" s="72">
        <v>0</v>
      </c>
      <c r="AE133" s="72">
        <v>0</v>
      </c>
      <c r="AF133" s="72">
        <v>0</v>
      </c>
      <c r="AG133" s="72">
        <v>650000</v>
      </c>
      <c r="AH133" s="72">
        <v>30347474</v>
      </c>
      <c r="AI133" s="72">
        <v>742000</v>
      </c>
      <c r="AJ133" s="72">
        <v>0</v>
      </c>
      <c r="AK133" s="72">
        <v>0</v>
      </c>
      <c r="AL133" s="72">
        <v>742000</v>
      </c>
      <c r="AM133" s="72">
        <v>31089474</v>
      </c>
      <c r="AN133" s="72">
        <v>2096964</v>
      </c>
      <c r="AO133" s="72">
        <v>11444983</v>
      </c>
      <c r="AP133" s="72">
        <v>13541947</v>
      </c>
      <c r="AQ133" s="72">
        <v>250000</v>
      </c>
      <c r="AR133" s="72">
        <v>0</v>
      </c>
      <c r="AS133" s="72">
        <v>0</v>
      </c>
      <c r="AT133" s="72">
        <v>0</v>
      </c>
      <c r="AU133" s="72">
        <v>0</v>
      </c>
      <c r="AV133" s="72">
        <v>0</v>
      </c>
      <c r="AW133" s="72">
        <v>0</v>
      </c>
      <c r="AX133" s="72">
        <v>0</v>
      </c>
      <c r="AY133" s="72">
        <v>0</v>
      </c>
      <c r="AZ133" s="72">
        <v>0</v>
      </c>
      <c r="BA133" s="72">
        <v>13291947</v>
      </c>
      <c r="BB133" s="72">
        <v>0</v>
      </c>
      <c r="BC133" s="72">
        <v>0</v>
      </c>
      <c r="BD133" s="72">
        <v>0</v>
      </c>
      <c r="BE133" s="72">
        <v>13291947</v>
      </c>
      <c r="BF133" s="72">
        <v>286420</v>
      </c>
      <c r="BG133" s="72">
        <v>0</v>
      </c>
      <c r="BH133" s="72">
        <v>286420</v>
      </c>
      <c r="BI133" s="72">
        <v>0</v>
      </c>
      <c r="BJ133" s="72">
        <v>13578367</v>
      </c>
      <c r="BK133" s="72">
        <v>0</v>
      </c>
      <c r="BL133" s="72">
        <v>0</v>
      </c>
      <c r="BM133" s="72">
        <v>0</v>
      </c>
      <c r="BN133" s="72">
        <v>0</v>
      </c>
      <c r="BO133" s="72">
        <v>0</v>
      </c>
      <c r="BP133" s="72">
        <v>0</v>
      </c>
      <c r="BQ133" s="72">
        <v>0</v>
      </c>
      <c r="BR133" s="72">
        <v>0</v>
      </c>
      <c r="BS133" s="72">
        <v>33186438</v>
      </c>
    </row>
    <row r="134" spans="1:71" x14ac:dyDescent="0.2">
      <c r="A134" t="s">
        <v>634</v>
      </c>
      <c r="B134" t="s">
        <v>1330</v>
      </c>
      <c r="C134" t="s">
        <v>23</v>
      </c>
      <c r="D134" s="72">
        <v>40984000</v>
      </c>
      <c r="E134" s="72">
        <v>0</v>
      </c>
      <c r="F134" s="72">
        <v>0</v>
      </c>
      <c r="G134" s="72">
        <v>6862000</v>
      </c>
      <c r="H134" s="72">
        <v>65000</v>
      </c>
      <c r="I134" s="72">
        <v>0</v>
      </c>
      <c r="J134" s="72">
        <v>5866000</v>
      </c>
      <c r="K134" s="72">
        <v>2490000</v>
      </c>
      <c r="L134" s="72">
        <v>56267000</v>
      </c>
      <c r="M134" s="72">
        <v>0</v>
      </c>
      <c r="N134" s="72">
        <v>0</v>
      </c>
      <c r="O134" s="72">
        <v>0</v>
      </c>
      <c r="P134" s="72">
        <v>78000</v>
      </c>
      <c r="Q134" s="72">
        <v>200000</v>
      </c>
      <c r="R134" s="72">
        <v>278000</v>
      </c>
      <c r="S134" s="72">
        <v>56545000</v>
      </c>
      <c r="T134" s="72">
        <v>32500000</v>
      </c>
      <c r="U134" s="72">
        <v>13715000</v>
      </c>
      <c r="V134" s="72">
        <v>8079740</v>
      </c>
      <c r="W134" s="72">
        <v>1630985</v>
      </c>
      <c r="X134" s="72">
        <v>88000</v>
      </c>
      <c r="Y134" s="72">
        <v>0</v>
      </c>
      <c r="Z134" s="72">
        <v>0</v>
      </c>
      <c r="AA134" s="72">
        <v>0</v>
      </c>
      <c r="AB134" s="72">
        <v>0</v>
      </c>
      <c r="AC134" s="72">
        <v>0</v>
      </c>
      <c r="AD134" s="72">
        <v>0</v>
      </c>
      <c r="AE134" s="72">
        <v>0</v>
      </c>
      <c r="AF134" s="72">
        <v>0</v>
      </c>
      <c r="AG134" s="72">
        <v>1106275</v>
      </c>
      <c r="AH134" s="72">
        <v>57120000</v>
      </c>
      <c r="AI134" s="72">
        <v>275000</v>
      </c>
      <c r="AJ134" s="72">
        <v>125000</v>
      </c>
      <c r="AK134" s="72">
        <v>0</v>
      </c>
      <c r="AL134" s="72">
        <v>400000</v>
      </c>
      <c r="AM134" s="72">
        <v>57520000</v>
      </c>
      <c r="AN134" s="72">
        <v>-975000</v>
      </c>
      <c r="AO134" s="72">
        <v>12756888</v>
      </c>
      <c r="AP134" s="72">
        <v>11781888</v>
      </c>
      <c r="AQ134" s="72">
        <v>600000</v>
      </c>
      <c r="AR134" s="72">
        <v>0</v>
      </c>
      <c r="AS134" s="72">
        <v>0</v>
      </c>
      <c r="AT134" s="72">
        <v>0</v>
      </c>
      <c r="AU134" s="72">
        <v>0</v>
      </c>
      <c r="AV134" s="72">
        <v>0</v>
      </c>
      <c r="AW134" s="72">
        <v>0</v>
      </c>
      <c r="AX134" s="72">
        <v>0</v>
      </c>
      <c r="AY134" s="72">
        <v>0</v>
      </c>
      <c r="AZ134" s="72">
        <v>0</v>
      </c>
      <c r="BA134" s="72">
        <v>11181888</v>
      </c>
      <c r="BB134" s="72">
        <v>0</v>
      </c>
      <c r="BC134" s="72">
        <v>0</v>
      </c>
      <c r="BD134" s="72">
        <v>0</v>
      </c>
      <c r="BE134" s="72">
        <v>11181888</v>
      </c>
      <c r="BF134" s="72">
        <v>0</v>
      </c>
      <c r="BG134" s="72">
        <v>0</v>
      </c>
      <c r="BH134" s="72">
        <v>0</v>
      </c>
      <c r="BI134" s="72">
        <v>0</v>
      </c>
      <c r="BJ134" s="72">
        <v>11181888</v>
      </c>
      <c r="BK134" s="72">
        <v>220</v>
      </c>
      <c r="BL134" s="72">
        <v>3500</v>
      </c>
      <c r="BM134" s="72">
        <v>0</v>
      </c>
      <c r="BN134" s="72">
        <v>0</v>
      </c>
      <c r="BO134" s="72">
        <v>0</v>
      </c>
      <c r="BP134" s="72">
        <v>0</v>
      </c>
      <c r="BQ134" s="72">
        <v>0</v>
      </c>
      <c r="BR134" s="72">
        <v>0</v>
      </c>
      <c r="BS134" s="72">
        <v>57520000</v>
      </c>
    </row>
    <row r="135" spans="1:71" x14ac:dyDescent="0.2">
      <c r="A135" t="s">
        <v>648</v>
      </c>
      <c r="B135" t="s">
        <v>1340</v>
      </c>
      <c r="C135" t="s">
        <v>35</v>
      </c>
      <c r="D135" s="72">
        <v>87958900</v>
      </c>
      <c r="E135" s="72">
        <v>5750000</v>
      </c>
      <c r="F135" s="72">
        <v>0</v>
      </c>
      <c r="G135" s="72">
        <v>98070000</v>
      </c>
      <c r="H135" s="72">
        <v>2061900</v>
      </c>
      <c r="I135" s="72">
        <v>300000</v>
      </c>
      <c r="J135" s="72">
        <v>14300000</v>
      </c>
      <c r="K135" s="72">
        <v>4785000</v>
      </c>
      <c r="L135" s="72">
        <v>213225800</v>
      </c>
      <c r="M135" s="72">
        <v>0</v>
      </c>
      <c r="N135" s="72">
        <v>0</v>
      </c>
      <c r="O135" s="72">
        <v>0</v>
      </c>
      <c r="P135" s="72">
        <v>1500000</v>
      </c>
      <c r="Q135" s="72">
        <v>50000</v>
      </c>
      <c r="R135" s="72">
        <v>1550000</v>
      </c>
      <c r="S135" s="72">
        <v>214775800</v>
      </c>
      <c r="T135" s="72">
        <v>122853900</v>
      </c>
      <c r="U135" s="72">
        <v>41885700</v>
      </c>
      <c r="V135" s="72">
        <v>31521000</v>
      </c>
      <c r="W135" s="72">
        <v>5250000</v>
      </c>
      <c r="X135" s="72">
        <v>500000</v>
      </c>
      <c r="Y135" s="72">
        <v>0</v>
      </c>
      <c r="Z135" s="72">
        <v>0</v>
      </c>
      <c r="AA135" s="72">
        <v>0</v>
      </c>
      <c r="AB135" s="72">
        <v>0</v>
      </c>
      <c r="AC135" s="72">
        <v>0</v>
      </c>
      <c r="AD135" s="72">
        <v>450000</v>
      </c>
      <c r="AE135" s="72">
        <v>0</v>
      </c>
      <c r="AF135" s="72">
        <v>404110</v>
      </c>
      <c r="AG135" s="72">
        <v>3890000</v>
      </c>
      <c r="AH135" s="72">
        <v>206754710</v>
      </c>
      <c r="AI135" s="72">
        <v>1200000</v>
      </c>
      <c r="AJ135" s="72">
        <v>1500000</v>
      </c>
      <c r="AK135" s="72">
        <v>0</v>
      </c>
      <c r="AL135" s="72">
        <v>2700000</v>
      </c>
      <c r="AM135" s="72">
        <v>209454710</v>
      </c>
      <c r="AN135" s="72">
        <v>5321090</v>
      </c>
      <c r="AO135" s="72">
        <v>85507256</v>
      </c>
      <c r="AP135" s="72">
        <v>90828346</v>
      </c>
      <c r="AQ135" s="72">
        <v>3500000</v>
      </c>
      <c r="AR135" s="72">
        <v>0</v>
      </c>
      <c r="AS135" s="72">
        <v>0</v>
      </c>
      <c r="AT135" s="72">
        <v>0</v>
      </c>
      <c r="AU135" s="72">
        <v>0</v>
      </c>
      <c r="AV135" s="72">
        <v>0</v>
      </c>
      <c r="AW135" s="72">
        <v>0</v>
      </c>
      <c r="AX135" s="72">
        <v>0</v>
      </c>
      <c r="AY135" s="72">
        <v>0</v>
      </c>
      <c r="AZ135" s="72">
        <v>0</v>
      </c>
      <c r="BA135" s="72">
        <v>87328346</v>
      </c>
      <c r="BB135" s="72">
        <v>0</v>
      </c>
      <c r="BC135" s="72">
        <v>0</v>
      </c>
      <c r="BD135" s="72">
        <v>0</v>
      </c>
      <c r="BE135" s="72">
        <v>87328346</v>
      </c>
      <c r="BF135" s="72">
        <v>0</v>
      </c>
      <c r="BG135" s="72">
        <v>0</v>
      </c>
      <c r="BH135" s="72">
        <v>0</v>
      </c>
      <c r="BI135" s="72">
        <v>0</v>
      </c>
      <c r="BJ135" s="72">
        <v>87328346</v>
      </c>
      <c r="BS135" s="72">
        <v>214775800</v>
      </c>
    </row>
    <row r="136" spans="1:71" x14ac:dyDescent="0.2">
      <c r="A136" t="s">
        <v>651</v>
      </c>
      <c r="B136" t="s">
        <v>1343</v>
      </c>
      <c r="C136" t="s">
        <v>108</v>
      </c>
      <c r="D136" s="72">
        <v>19946651</v>
      </c>
      <c r="E136" s="72">
        <v>0</v>
      </c>
      <c r="F136" s="72">
        <v>0</v>
      </c>
      <c r="G136" s="72">
        <v>57908966</v>
      </c>
      <c r="H136" s="72">
        <v>176606</v>
      </c>
      <c r="I136" s="72">
        <v>0</v>
      </c>
      <c r="J136" s="72">
        <v>2702645</v>
      </c>
      <c r="K136" s="72">
        <v>2141840</v>
      </c>
      <c r="L136" s="72">
        <v>82876709</v>
      </c>
      <c r="M136" s="72">
        <v>0</v>
      </c>
      <c r="N136" s="72">
        <v>0</v>
      </c>
      <c r="O136" s="72">
        <v>0</v>
      </c>
      <c r="P136" s="72">
        <v>5028000</v>
      </c>
      <c r="Q136" s="72">
        <v>56064</v>
      </c>
      <c r="R136" s="72">
        <v>5084064</v>
      </c>
      <c r="S136" s="72">
        <v>87960773</v>
      </c>
      <c r="T136" s="72">
        <v>41692131</v>
      </c>
      <c r="U136" s="72">
        <v>16932978</v>
      </c>
      <c r="V136" s="72">
        <v>20595125</v>
      </c>
      <c r="W136" s="72">
        <v>2576509</v>
      </c>
      <c r="X136" s="72">
        <v>139021</v>
      </c>
      <c r="Y136" s="72">
        <v>0</v>
      </c>
      <c r="Z136" s="72">
        <v>0</v>
      </c>
      <c r="AA136" s="72">
        <v>0</v>
      </c>
      <c r="AB136" s="72">
        <v>0</v>
      </c>
      <c r="AC136" s="72">
        <v>0</v>
      </c>
      <c r="AD136" s="72">
        <v>345000</v>
      </c>
      <c r="AE136" s="72">
        <v>0</v>
      </c>
      <c r="AF136" s="72">
        <v>121751</v>
      </c>
      <c r="AG136" s="72">
        <v>793036</v>
      </c>
      <c r="AH136" s="72">
        <v>83195551</v>
      </c>
      <c r="AI136" s="72">
        <v>0</v>
      </c>
      <c r="AJ136" s="72">
        <v>128000</v>
      </c>
      <c r="AK136" s="72">
        <v>0</v>
      </c>
      <c r="AL136" s="72">
        <v>128000</v>
      </c>
      <c r="AM136" s="72">
        <v>83323551</v>
      </c>
      <c r="AN136" s="72">
        <v>4637222</v>
      </c>
      <c r="AO136" s="72">
        <v>23892606</v>
      </c>
      <c r="AP136" s="72">
        <v>28529828</v>
      </c>
      <c r="AQ136" s="72">
        <v>1500000</v>
      </c>
      <c r="AR136" s="72">
        <v>0</v>
      </c>
      <c r="AS136" s="72">
        <v>0</v>
      </c>
      <c r="AT136" s="72">
        <v>2000000</v>
      </c>
      <c r="AU136" s="72">
        <v>0</v>
      </c>
      <c r="AV136" s="72">
        <v>0</v>
      </c>
      <c r="AW136" s="72">
        <v>0</v>
      </c>
      <c r="AX136" s="72">
        <v>0</v>
      </c>
      <c r="AY136" s="72">
        <v>0</v>
      </c>
      <c r="AZ136" s="72">
        <v>2000000</v>
      </c>
      <c r="BA136" s="72">
        <v>25029828</v>
      </c>
      <c r="BB136" s="72">
        <v>0</v>
      </c>
      <c r="BC136" s="72">
        <v>0</v>
      </c>
      <c r="BD136" s="72">
        <v>0</v>
      </c>
      <c r="BE136" s="72">
        <v>25029828</v>
      </c>
      <c r="BF136" s="72">
        <v>0</v>
      </c>
      <c r="BG136" s="72">
        <v>0</v>
      </c>
      <c r="BH136" s="72">
        <v>0</v>
      </c>
      <c r="BI136" s="72">
        <v>0</v>
      </c>
      <c r="BJ136" s="72">
        <v>25029828</v>
      </c>
      <c r="BS136" s="72">
        <v>87960773</v>
      </c>
    </row>
    <row r="137" spans="1:71" x14ac:dyDescent="0.2">
      <c r="A137" t="s">
        <v>661</v>
      </c>
      <c r="B137" t="s">
        <v>1351</v>
      </c>
      <c r="C137" t="s">
        <v>25</v>
      </c>
      <c r="D137" s="72">
        <v>3142078</v>
      </c>
      <c r="E137" s="72">
        <v>0</v>
      </c>
      <c r="F137" s="72">
        <v>0</v>
      </c>
      <c r="G137" s="72">
        <v>12152182</v>
      </c>
      <c r="H137" s="72">
        <v>219287</v>
      </c>
      <c r="I137" s="72">
        <v>0</v>
      </c>
      <c r="J137" s="72">
        <v>464109</v>
      </c>
      <c r="K137" s="72">
        <v>3451561</v>
      </c>
      <c r="L137" s="72">
        <v>19429217</v>
      </c>
      <c r="M137" s="72">
        <v>0</v>
      </c>
      <c r="N137" s="72">
        <v>0</v>
      </c>
      <c r="O137" s="72">
        <v>0</v>
      </c>
      <c r="P137" s="72">
        <v>19151</v>
      </c>
      <c r="Q137" s="72">
        <v>55000</v>
      </c>
      <c r="R137" s="72">
        <v>74151</v>
      </c>
      <c r="S137" s="72">
        <v>19503368</v>
      </c>
      <c r="T137" s="72">
        <v>9513204</v>
      </c>
      <c r="U137" s="72">
        <v>4645422</v>
      </c>
      <c r="V137" s="72">
        <v>4070579</v>
      </c>
      <c r="W137" s="72">
        <v>832036</v>
      </c>
      <c r="X137" s="72">
        <v>200030</v>
      </c>
      <c r="Y137" s="72">
        <v>0</v>
      </c>
      <c r="Z137" s="72">
        <v>0</v>
      </c>
      <c r="AA137" s="72">
        <v>0</v>
      </c>
      <c r="AB137" s="72">
        <v>0</v>
      </c>
      <c r="AC137" s="72">
        <v>0</v>
      </c>
      <c r="AD137" s="72">
        <v>0</v>
      </c>
      <c r="AE137" s="72">
        <v>0</v>
      </c>
      <c r="AF137" s="72">
        <v>0</v>
      </c>
      <c r="AG137" s="72">
        <v>245418</v>
      </c>
      <c r="AH137" s="72">
        <v>19506689</v>
      </c>
      <c r="AI137" s="72">
        <v>142742</v>
      </c>
      <c r="AJ137" s="72">
        <v>0</v>
      </c>
      <c r="AK137" s="72">
        <v>2000</v>
      </c>
      <c r="AL137" s="72">
        <v>144742</v>
      </c>
      <c r="AM137" s="72">
        <v>19651431</v>
      </c>
      <c r="AN137" s="72">
        <v>-148063</v>
      </c>
      <c r="AO137" s="72">
        <v>3295146</v>
      </c>
      <c r="AP137" s="72">
        <v>3147083</v>
      </c>
      <c r="AQ137" s="72">
        <v>200000</v>
      </c>
      <c r="AR137" s="72">
        <v>0</v>
      </c>
      <c r="AS137" s="72">
        <v>0</v>
      </c>
      <c r="AT137" s="72">
        <v>0</v>
      </c>
      <c r="AU137" s="72">
        <v>0</v>
      </c>
      <c r="AV137" s="72">
        <v>0</v>
      </c>
      <c r="AW137" s="72">
        <v>0</v>
      </c>
      <c r="AX137" s="72">
        <v>0</v>
      </c>
      <c r="AY137" s="72">
        <v>0</v>
      </c>
      <c r="AZ137" s="72">
        <v>0</v>
      </c>
      <c r="BA137" s="72">
        <v>2947083</v>
      </c>
      <c r="BB137" s="72">
        <v>0</v>
      </c>
      <c r="BC137" s="72">
        <v>0</v>
      </c>
      <c r="BD137" s="72">
        <v>0</v>
      </c>
      <c r="BE137" s="72">
        <v>2947083</v>
      </c>
      <c r="BF137" s="72">
        <v>0</v>
      </c>
      <c r="BG137" s="72">
        <v>0</v>
      </c>
      <c r="BH137" s="72">
        <v>0</v>
      </c>
      <c r="BI137" s="72">
        <v>0</v>
      </c>
      <c r="BJ137" s="72">
        <v>2947083</v>
      </c>
      <c r="BS137" s="72">
        <v>19651431</v>
      </c>
    </row>
    <row r="138" spans="1:71" x14ac:dyDescent="0.2">
      <c r="A138" t="s">
        <v>662</v>
      </c>
      <c r="B138" t="s">
        <v>1352</v>
      </c>
      <c r="C138" t="s">
        <v>46</v>
      </c>
      <c r="D138" s="72">
        <v>32264459</v>
      </c>
      <c r="E138" s="72">
        <v>582804</v>
      </c>
      <c r="F138" s="72">
        <v>0</v>
      </c>
      <c r="G138" s="72">
        <v>13756964</v>
      </c>
      <c r="H138" s="72">
        <v>134516</v>
      </c>
      <c r="J138" s="72">
        <v>4844853</v>
      </c>
      <c r="K138" s="72">
        <v>3006061</v>
      </c>
      <c r="L138" s="72">
        <v>54589656</v>
      </c>
      <c r="M138" s="72">
        <v>0</v>
      </c>
      <c r="N138" s="72">
        <v>0</v>
      </c>
      <c r="O138" s="72">
        <v>0</v>
      </c>
      <c r="P138" s="72">
        <v>873186</v>
      </c>
      <c r="Q138" s="72">
        <v>178186</v>
      </c>
      <c r="R138" s="72">
        <v>1051372</v>
      </c>
      <c r="S138" s="72">
        <v>55641028</v>
      </c>
      <c r="T138" s="72">
        <v>31187474</v>
      </c>
      <c r="U138" s="72">
        <v>11559735</v>
      </c>
      <c r="V138" s="72">
        <v>6390839</v>
      </c>
      <c r="W138" s="72">
        <v>1933185</v>
      </c>
      <c r="X138" s="72">
        <v>925143</v>
      </c>
      <c r="Y138" s="72">
        <v>0</v>
      </c>
      <c r="Z138" s="72">
        <v>0</v>
      </c>
      <c r="AD138" s="72">
        <v>95000</v>
      </c>
      <c r="AF138" s="72">
        <v>44038</v>
      </c>
      <c r="AG138" s="72">
        <v>837555</v>
      </c>
      <c r="AH138" s="72">
        <v>52972969</v>
      </c>
      <c r="AI138" s="72">
        <v>0</v>
      </c>
      <c r="AJ138" s="72">
        <v>750000</v>
      </c>
      <c r="AK138" s="72">
        <v>500000</v>
      </c>
      <c r="AL138" s="72">
        <v>1250000</v>
      </c>
      <c r="AM138" s="72">
        <v>54222969</v>
      </c>
      <c r="AN138" s="72">
        <v>1418060</v>
      </c>
      <c r="AO138" s="72">
        <v>21456223</v>
      </c>
      <c r="AP138" s="72">
        <v>22874283</v>
      </c>
      <c r="AQ138" s="72">
        <v>1200000</v>
      </c>
      <c r="AR138" s="72">
        <v>0</v>
      </c>
      <c r="AS138" s="72">
        <v>0</v>
      </c>
      <c r="AT138" s="72">
        <v>0</v>
      </c>
      <c r="AU138" s="72">
        <v>0</v>
      </c>
      <c r="AW138" s="72">
        <v>0</v>
      </c>
      <c r="AX138" s="72">
        <v>0</v>
      </c>
      <c r="AY138" s="72">
        <v>0</v>
      </c>
      <c r="AZ138" s="72">
        <v>0</v>
      </c>
      <c r="BA138" s="72">
        <v>21674283</v>
      </c>
      <c r="BC138" s="72">
        <v>0</v>
      </c>
      <c r="BD138" s="72">
        <v>0</v>
      </c>
      <c r="BE138" s="72">
        <v>21674283</v>
      </c>
      <c r="BH138" s="72">
        <v>0</v>
      </c>
      <c r="BJ138" s="72">
        <v>21674283</v>
      </c>
      <c r="BK138" s="72">
        <v>0</v>
      </c>
      <c r="BL138" s="72">
        <v>0</v>
      </c>
      <c r="BS138" s="72">
        <v>55641028</v>
      </c>
    </row>
    <row r="139" spans="1:71" x14ac:dyDescent="0.2">
      <c r="A139" t="s">
        <v>665</v>
      </c>
      <c r="B139" t="s">
        <v>1355</v>
      </c>
      <c r="C139" t="s">
        <v>23</v>
      </c>
      <c r="D139" s="72">
        <v>46774863</v>
      </c>
      <c r="E139" s="72">
        <v>7619</v>
      </c>
      <c r="G139" s="72">
        <v>9680697</v>
      </c>
      <c r="H139" s="72">
        <v>22543</v>
      </c>
      <c r="J139" s="72">
        <v>9642014</v>
      </c>
      <c r="K139" s="72">
        <v>2853236</v>
      </c>
      <c r="L139" s="72">
        <v>68980972</v>
      </c>
      <c r="M139" s="72">
        <v>0</v>
      </c>
      <c r="N139" s="72">
        <v>0</v>
      </c>
      <c r="O139" s="72">
        <v>0</v>
      </c>
      <c r="P139" s="72">
        <v>0</v>
      </c>
      <c r="Q139" s="72">
        <v>173437</v>
      </c>
      <c r="R139" s="72">
        <v>173437</v>
      </c>
      <c r="S139" s="72">
        <v>69154409</v>
      </c>
      <c r="T139" s="72">
        <v>38315000</v>
      </c>
      <c r="U139" s="72">
        <v>19498315</v>
      </c>
      <c r="V139" s="72">
        <v>4249838</v>
      </c>
      <c r="W139" s="72">
        <v>1690850</v>
      </c>
      <c r="X139" s="72">
        <v>429685</v>
      </c>
      <c r="Z139" s="72">
        <v>516000</v>
      </c>
      <c r="AA139" s="72">
        <v>0</v>
      </c>
      <c r="AF139" s="72">
        <v>216768</v>
      </c>
      <c r="AG139" s="72">
        <v>1363337</v>
      </c>
      <c r="AH139" s="72">
        <v>66279793</v>
      </c>
      <c r="AI139" s="72">
        <v>500000</v>
      </c>
      <c r="AJ139" s="72">
        <v>0</v>
      </c>
      <c r="AK139" s="72">
        <v>6600</v>
      </c>
      <c r="AL139" s="72">
        <v>506600</v>
      </c>
      <c r="AM139" s="72">
        <v>66786393</v>
      </c>
      <c r="AN139" s="72">
        <v>2368015</v>
      </c>
      <c r="AO139" s="72">
        <v>3759539</v>
      </c>
      <c r="AP139" s="72">
        <v>6127555</v>
      </c>
      <c r="AQ139" s="72">
        <v>250000</v>
      </c>
      <c r="AS139" s="72">
        <v>0</v>
      </c>
      <c r="AT139" s="72">
        <v>0</v>
      </c>
      <c r="AU139" s="72">
        <v>0</v>
      </c>
      <c r="AW139" s="72">
        <v>0</v>
      </c>
      <c r="AX139" s="72">
        <v>0</v>
      </c>
      <c r="AY139" s="72">
        <v>0</v>
      </c>
      <c r="AZ139" s="72">
        <v>0</v>
      </c>
      <c r="BA139" s="72">
        <v>5877555</v>
      </c>
      <c r="BB139" s="72">
        <v>0</v>
      </c>
      <c r="BC139" s="72">
        <v>0</v>
      </c>
      <c r="BD139" s="72">
        <v>0</v>
      </c>
      <c r="BE139" s="72">
        <v>5877555</v>
      </c>
      <c r="BF139" s="72">
        <v>0</v>
      </c>
      <c r="BG139" s="72">
        <v>0</v>
      </c>
      <c r="BH139" s="72">
        <v>0</v>
      </c>
      <c r="BI139" s="72">
        <v>0</v>
      </c>
      <c r="BJ139" s="72">
        <v>5877555</v>
      </c>
      <c r="BS139" s="72">
        <v>69154409</v>
      </c>
    </row>
    <row r="140" spans="1:71" x14ac:dyDescent="0.2">
      <c r="A140" t="s">
        <v>666</v>
      </c>
      <c r="B140" t="s">
        <v>1356</v>
      </c>
      <c r="C140" t="s">
        <v>44</v>
      </c>
      <c r="D140" s="72">
        <v>4100000</v>
      </c>
      <c r="E140" s="72">
        <v>0</v>
      </c>
      <c r="F140" s="72">
        <v>0</v>
      </c>
      <c r="G140" s="72">
        <v>11000000</v>
      </c>
      <c r="H140" s="72">
        <v>0</v>
      </c>
      <c r="I140" s="72">
        <v>0</v>
      </c>
      <c r="J140" s="72">
        <v>850000</v>
      </c>
      <c r="K140" s="72">
        <v>1150000</v>
      </c>
      <c r="L140" s="72">
        <v>17100000</v>
      </c>
      <c r="M140" s="72">
        <v>0</v>
      </c>
      <c r="N140" s="72">
        <v>0</v>
      </c>
      <c r="O140" s="72">
        <v>0</v>
      </c>
      <c r="P140" s="72">
        <v>0</v>
      </c>
      <c r="Q140" s="72">
        <v>0</v>
      </c>
      <c r="R140" s="72">
        <v>0</v>
      </c>
      <c r="S140" s="72">
        <v>17100000</v>
      </c>
      <c r="T140" s="72">
        <v>9285500</v>
      </c>
      <c r="U140" s="72">
        <v>3500000</v>
      </c>
      <c r="V140" s="72">
        <v>3300000</v>
      </c>
      <c r="W140" s="72">
        <v>415000</v>
      </c>
      <c r="X140" s="72">
        <v>450000</v>
      </c>
      <c r="Y140" s="72">
        <v>0</v>
      </c>
      <c r="Z140" s="72">
        <v>0</v>
      </c>
      <c r="AA140" s="72">
        <v>0</v>
      </c>
      <c r="AB140" s="72">
        <v>0</v>
      </c>
      <c r="AC140" s="72">
        <v>0</v>
      </c>
      <c r="AD140" s="72">
        <v>0</v>
      </c>
      <c r="AE140" s="72">
        <v>0</v>
      </c>
      <c r="AF140" s="72">
        <v>4000</v>
      </c>
      <c r="AG140" s="72">
        <v>275000</v>
      </c>
      <c r="AH140" s="72">
        <v>17229500</v>
      </c>
      <c r="AI140" s="72">
        <v>100000</v>
      </c>
      <c r="AJ140" s="72">
        <v>0</v>
      </c>
      <c r="AK140" s="72">
        <v>0</v>
      </c>
      <c r="AL140" s="72">
        <v>100000</v>
      </c>
      <c r="AM140" s="72">
        <v>17329500</v>
      </c>
      <c r="AN140" s="72">
        <v>-229500</v>
      </c>
      <c r="AO140" s="72">
        <v>6663705</v>
      </c>
      <c r="AP140" s="72">
        <v>6434205</v>
      </c>
      <c r="AQ140" s="72">
        <v>400000</v>
      </c>
      <c r="AR140" s="72">
        <v>0</v>
      </c>
      <c r="AS140" s="72">
        <v>0</v>
      </c>
      <c r="AT140" s="72">
        <v>0</v>
      </c>
      <c r="AU140" s="72">
        <v>0</v>
      </c>
      <c r="AV140" s="72">
        <v>0</v>
      </c>
      <c r="AW140" s="72">
        <v>0</v>
      </c>
      <c r="AX140" s="72">
        <v>0</v>
      </c>
      <c r="AY140" s="72">
        <v>22629</v>
      </c>
      <c r="AZ140" s="72">
        <v>22629</v>
      </c>
      <c r="BA140" s="72">
        <v>6011576</v>
      </c>
      <c r="BB140" s="72">
        <v>0</v>
      </c>
      <c r="BC140" s="72">
        <v>0</v>
      </c>
      <c r="BD140" s="72">
        <v>0</v>
      </c>
      <c r="BE140" s="72">
        <v>6011576</v>
      </c>
      <c r="BF140" s="72">
        <v>0</v>
      </c>
      <c r="BG140" s="72">
        <v>0</v>
      </c>
      <c r="BH140" s="72">
        <v>0</v>
      </c>
      <c r="BI140" s="72">
        <v>0</v>
      </c>
      <c r="BJ140" s="72">
        <v>6011576</v>
      </c>
      <c r="BK140" s="72">
        <v>149</v>
      </c>
      <c r="BL140" s="72">
        <v>1789</v>
      </c>
      <c r="BM140" s="72">
        <v>0</v>
      </c>
      <c r="BN140" s="72">
        <v>0</v>
      </c>
      <c r="BO140" s="72">
        <v>0</v>
      </c>
      <c r="BP140" s="72">
        <v>0</v>
      </c>
      <c r="BQ140" s="72">
        <v>0</v>
      </c>
      <c r="BR140" s="72">
        <v>0</v>
      </c>
      <c r="BS140" s="72">
        <v>17329500</v>
      </c>
    </row>
    <row r="141" spans="1:71" x14ac:dyDescent="0.2">
      <c r="A141" t="s">
        <v>670</v>
      </c>
      <c r="B141" t="s">
        <v>1360</v>
      </c>
      <c r="C141" t="s">
        <v>67</v>
      </c>
      <c r="D141" s="72">
        <v>52000000</v>
      </c>
      <c r="E141" s="72">
        <v>0</v>
      </c>
      <c r="F141" s="72">
        <v>0</v>
      </c>
      <c r="G141" s="72">
        <v>2925000</v>
      </c>
      <c r="H141" s="72">
        <v>0</v>
      </c>
      <c r="I141" s="72">
        <v>0</v>
      </c>
      <c r="J141" s="72">
        <v>13436000</v>
      </c>
      <c r="K141" s="72">
        <v>2925000</v>
      </c>
      <c r="L141" s="72">
        <v>71286000</v>
      </c>
      <c r="M141" s="72">
        <v>0</v>
      </c>
      <c r="N141" s="72">
        <v>0</v>
      </c>
      <c r="O141" s="72">
        <v>0</v>
      </c>
      <c r="P141" s="72">
        <v>200000</v>
      </c>
      <c r="Q141" s="72">
        <v>0</v>
      </c>
      <c r="R141" s="72">
        <v>200000</v>
      </c>
      <c r="S141" s="72">
        <v>71486000</v>
      </c>
      <c r="T141" s="72">
        <v>44430900</v>
      </c>
      <c r="U141" s="72">
        <v>15913100</v>
      </c>
      <c r="V141" s="72">
        <v>6248300</v>
      </c>
      <c r="W141" s="72">
        <v>2534300</v>
      </c>
      <c r="X141" s="72">
        <v>258700</v>
      </c>
      <c r="Y141" s="72">
        <v>0</v>
      </c>
      <c r="Z141" s="72">
        <v>0</v>
      </c>
      <c r="AA141" s="72">
        <v>0</v>
      </c>
      <c r="AB141" s="72">
        <v>0</v>
      </c>
      <c r="AC141" s="72">
        <v>0</v>
      </c>
      <c r="AD141" s="72">
        <v>750000</v>
      </c>
      <c r="AE141" s="72">
        <v>150000</v>
      </c>
      <c r="AF141" s="72">
        <v>0</v>
      </c>
      <c r="AG141" s="72">
        <v>2214700</v>
      </c>
      <c r="AH141" s="72">
        <v>72500000</v>
      </c>
      <c r="AI141" s="72">
        <v>2620000</v>
      </c>
      <c r="AJ141" s="72">
        <v>200000</v>
      </c>
      <c r="AK141" s="72">
        <v>0</v>
      </c>
      <c r="AL141" s="72">
        <v>2820000</v>
      </c>
      <c r="AM141" s="72">
        <v>75320000</v>
      </c>
      <c r="AN141" s="72">
        <v>-3834000</v>
      </c>
      <c r="AO141" s="72">
        <v>38145603</v>
      </c>
      <c r="AP141" s="72">
        <v>34311603</v>
      </c>
      <c r="AQ141" s="72">
        <v>600000</v>
      </c>
      <c r="AR141" s="72">
        <v>0</v>
      </c>
      <c r="AS141" s="72">
        <v>0</v>
      </c>
      <c r="AT141" s="72">
        <v>1000000</v>
      </c>
      <c r="AU141" s="72">
        <v>0</v>
      </c>
      <c r="AV141" s="72">
        <v>0</v>
      </c>
      <c r="AW141" s="72">
        <v>0</v>
      </c>
      <c r="AX141" s="72">
        <v>0</v>
      </c>
      <c r="AY141" s="72">
        <v>0</v>
      </c>
      <c r="AZ141" s="72">
        <v>1000000</v>
      </c>
      <c r="BA141" s="72">
        <v>32711603</v>
      </c>
      <c r="BB141" s="72">
        <v>0</v>
      </c>
      <c r="BC141" s="72">
        <v>0</v>
      </c>
      <c r="BD141" s="72">
        <v>0</v>
      </c>
      <c r="BE141" s="72">
        <v>32711603</v>
      </c>
      <c r="BF141" s="72">
        <v>0</v>
      </c>
      <c r="BG141" s="72">
        <v>0</v>
      </c>
      <c r="BH141" s="72">
        <v>0</v>
      </c>
      <c r="BI141" s="72">
        <v>0</v>
      </c>
      <c r="BJ141" s="72">
        <v>32711603</v>
      </c>
      <c r="BK141" s="72">
        <v>0</v>
      </c>
      <c r="BL141" s="72">
        <v>0</v>
      </c>
      <c r="BM141" s="72">
        <v>0</v>
      </c>
      <c r="BN141" s="72">
        <v>0</v>
      </c>
      <c r="BO141" s="72">
        <v>0</v>
      </c>
      <c r="BP141" s="72">
        <v>0</v>
      </c>
      <c r="BQ141" s="72">
        <v>0</v>
      </c>
      <c r="BR141" s="72">
        <v>0</v>
      </c>
      <c r="BS141" s="72">
        <v>75320000</v>
      </c>
    </row>
    <row r="142" spans="1:71" x14ac:dyDescent="0.2">
      <c r="A142" t="s">
        <v>671</v>
      </c>
      <c r="B142" t="s">
        <v>1361</v>
      </c>
      <c r="C142" t="s">
        <v>104</v>
      </c>
      <c r="D142" s="72">
        <v>50617566</v>
      </c>
      <c r="E142" s="72">
        <v>1506776</v>
      </c>
      <c r="F142" s="72">
        <v>0</v>
      </c>
      <c r="G142" s="72">
        <v>14031398</v>
      </c>
      <c r="H142" s="72">
        <v>210000</v>
      </c>
      <c r="I142" s="72">
        <v>0</v>
      </c>
      <c r="J142" s="72">
        <v>8673721</v>
      </c>
      <c r="K142" s="72">
        <v>1892693</v>
      </c>
      <c r="L142" s="72">
        <v>76932154</v>
      </c>
      <c r="M142" s="72">
        <v>0</v>
      </c>
      <c r="N142" s="72">
        <v>0</v>
      </c>
      <c r="O142" s="72">
        <v>0</v>
      </c>
      <c r="P142" s="72">
        <v>258656</v>
      </c>
      <c r="Q142" s="72">
        <v>350000</v>
      </c>
      <c r="R142" s="72">
        <v>608656</v>
      </c>
      <c r="S142" s="72">
        <v>77540810</v>
      </c>
      <c r="T142" s="72">
        <v>45521412</v>
      </c>
      <c r="U142" s="72">
        <v>20459929</v>
      </c>
      <c r="V142" s="72">
        <v>8653438</v>
      </c>
      <c r="W142" s="72">
        <v>3267114</v>
      </c>
      <c r="X142" s="72">
        <v>400000</v>
      </c>
      <c r="Y142" s="72">
        <v>0</v>
      </c>
      <c r="Z142" s="72">
        <v>0</v>
      </c>
      <c r="AA142" s="72">
        <v>0</v>
      </c>
      <c r="AB142" s="72">
        <v>0</v>
      </c>
      <c r="AC142" s="72">
        <v>0</v>
      </c>
      <c r="AD142" s="72">
        <v>0</v>
      </c>
      <c r="AE142" s="72">
        <v>0</v>
      </c>
      <c r="AF142" s="72">
        <v>0</v>
      </c>
      <c r="AG142" s="72">
        <v>1399204</v>
      </c>
      <c r="AH142" s="72">
        <v>79701097</v>
      </c>
      <c r="AI142" s="72">
        <v>225000</v>
      </c>
      <c r="AJ142" s="72">
        <v>200000</v>
      </c>
      <c r="AK142" s="72">
        <v>0</v>
      </c>
      <c r="AL142" s="72">
        <v>425000</v>
      </c>
      <c r="AM142" s="72">
        <v>80126097</v>
      </c>
      <c r="AN142" s="72">
        <v>-2585287</v>
      </c>
      <c r="AO142" s="72">
        <v>6368111</v>
      </c>
      <c r="AP142" s="72">
        <v>3782824</v>
      </c>
      <c r="AQ142" s="72">
        <v>750000</v>
      </c>
      <c r="AR142" s="72">
        <v>0</v>
      </c>
      <c r="AS142" s="72">
        <v>0</v>
      </c>
      <c r="AT142" s="72">
        <v>0</v>
      </c>
      <c r="AU142" s="72">
        <v>0</v>
      </c>
      <c r="AV142" s="72">
        <v>0</v>
      </c>
      <c r="AW142" s="72">
        <v>0</v>
      </c>
      <c r="AX142" s="72">
        <v>0</v>
      </c>
      <c r="AY142" s="72">
        <v>0</v>
      </c>
      <c r="AZ142" s="72">
        <v>0</v>
      </c>
      <c r="BA142" s="72">
        <v>3032824</v>
      </c>
      <c r="BB142" s="72">
        <v>0</v>
      </c>
      <c r="BC142" s="72">
        <v>0</v>
      </c>
      <c r="BD142" s="72">
        <v>0</v>
      </c>
      <c r="BE142" s="72">
        <v>3032824</v>
      </c>
      <c r="BF142" s="72">
        <v>0</v>
      </c>
      <c r="BG142" s="72">
        <v>0</v>
      </c>
      <c r="BH142" s="72">
        <v>0</v>
      </c>
      <c r="BI142" s="72">
        <v>0</v>
      </c>
      <c r="BJ142" s="72">
        <v>3032824</v>
      </c>
      <c r="BM142" s="72">
        <v>0</v>
      </c>
      <c r="BN142" s="72">
        <v>0</v>
      </c>
      <c r="BO142" s="72">
        <v>0</v>
      </c>
      <c r="BP142" s="72">
        <v>0</v>
      </c>
      <c r="BQ142" s="72">
        <v>0</v>
      </c>
      <c r="BR142" s="72">
        <v>0</v>
      </c>
      <c r="BS142" s="72">
        <v>80126097</v>
      </c>
    </row>
    <row r="143" spans="1:71" x14ac:dyDescent="0.2">
      <c r="A143" t="s">
        <v>674</v>
      </c>
      <c r="B143" t="s">
        <v>1364</v>
      </c>
      <c r="C143" t="s">
        <v>46</v>
      </c>
      <c r="D143" s="72">
        <v>14350000</v>
      </c>
      <c r="E143" s="72">
        <v>0</v>
      </c>
      <c r="G143" s="72">
        <v>7126291</v>
      </c>
      <c r="H143" s="72">
        <v>232065</v>
      </c>
      <c r="I143" s="72">
        <v>0</v>
      </c>
      <c r="J143" s="72">
        <v>3320911</v>
      </c>
      <c r="K143" s="72">
        <v>574142</v>
      </c>
      <c r="L143" s="72">
        <v>25603409</v>
      </c>
      <c r="M143" s="72">
        <v>0</v>
      </c>
      <c r="N143" s="72">
        <v>0</v>
      </c>
      <c r="O143" s="72">
        <v>0</v>
      </c>
      <c r="P143" s="72">
        <v>0</v>
      </c>
      <c r="Q143" s="72">
        <v>0</v>
      </c>
      <c r="R143" s="72">
        <v>0</v>
      </c>
      <c r="S143" s="72">
        <v>25603409</v>
      </c>
      <c r="T143" s="72">
        <v>13587345</v>
      </c>
      <c r="U143" s="72">
        <v>4708568</v>
      </c>
      <c r="V143" s="72">
        <v>5185599</v>
      </c>
      <c r="W143" s="72">
        <v>590035</v>
      </c>
      <c r="X143" s="72">
        <v>64322</v>
      </c>
      <c r="Y143" s="72">
        <v>0</v>
      </c>
      <c r="Z143" s="72">
        <v>0</v>
      </c>
      <c r="AA143" s="72">
        <v>0</v>
      </c>
      <c r="AB143" s="72">
        <v>0</v>
      </c>
      <c r="AC143" s="72">
        <v>0</v>
      </c>
      <c r="AD143" s="72">
        <v>0</v>
      </c>
      <c r="AE143" s="72">
        <v>0</v>
      </c>
      <c r="AF143" s="72">
        <v>0</v>
      </c>
      <c r="AG143" s="72">
        <v>511226</v>
      </c>
      <c r="AH143" s="72">
        <v>24647093</v>
      </c>
      <c r="AI143" s="72">
        <v>0</v>
      </c>
      <c r="AJ143" s="72">
        <v>0</v>
      </c>
      <c r="AK143" s="72">
        <v>0</v>
      </c>
      <c r="AL143" s="72">
        <v>0</v>
      </c>
      <c r="AM143" s="72">
        <v>24647093</v>
      </c>
      <c r="AN143" s="72">
        <v>956316</v>
      </c>
      <c r="AO143" s="72">
        <v>3591076</v>
      </c>
      <c r="AP143" s="72">
        <v>4547392</v>
      </c>
      <c r="AQ143" s="72">
        <v>430683</v>
      </c>
      <c r="AR143" s="72">
        <v>0</v>
      </c>
      <c r="AS143" s="72">
        <v>0</v>
      </c>
      <c r="AT143" s="72">
        <v>0</v>
      </c>
      <c r="AU143" s="72">
        <v>0</v>
      </c>
      <c r="AV143" s="72">
        <v>0</v>
      </c>
      <c r="AW143" s="72">
        <v>0</v>
      </c>
      <c r="AX143" s="72">
        <v>0</v>
      </c>
      <c r="AY143" s="72">
        <v>0</v>
      </c>
      <c r="AZ143" s="72">
        <v>0</v>
      </c>
      <c r="BA143" s="72">
        <v>4116709</v>
      </c>
      <c r="BB143" s="72">
        <v>0</v>
      </c>
      <c r="BC143" s="72">
        <v>0</v>
      </c>
      <c r="BD143" s="72">
        <v>0</v>
      </c>
      <c r="BE143" s="72">
        <v>4116709</v>
      </c>
      <c r="BF143" s="72">
        <v>0</v>
      </c>
      <c r="BG143" s="72">
        <v>0</v>
      </c>
      <c r="BH143" s="72">
        <v>0</v>
      </c>
      <c r="BI143" s="72">
        <v>0</v>
      </c>
      <c r="BJ143" s="72">
        <v>4116709</v>
      </c>
      <c r="BS143" s="72">
        <v>25603409</v>
      </c>
    </row>
    <row r="144" spans="1:71" x14ac:dyDescent="0.2">
      <c r="A144" t="s">
        <v>678</v>
      </c>
      <c r="B144" t="s">
        <v>1368</v>
      </c>
      <c r="C144" t="s">
        <v>36</v>
      </c>
      <c r="D144" s="72">
        <v>8917000</v>
      </c>
      <c r="E144" s="72">
        <v>1149000</v>
      </c>
      <c r="F144" s="72">
        <v>0</v>
      </c>
      <c r="G144" s="72">
        <v>9017000</v>
      </c>
      <c r="H144" s="72">
        <v>1711000</v>
      </c>
      <c r="I144" s="72">
        <v>0</v>
      </c>
      <c r="J144" s="72">
        <v>1563000</v>
      </c>
      <c r="K144" s="72">
        <v>1474000</v>
      </c>
      <c r="L144" s="72">
        <v>23831000</v>
      </c>
      <c r="M144" s="72">
        <v>0</v>
      </c>
      <c r="N144" s="72">
        <v>0</v>
      </c>
      <c r="O144" s="72">
        <v>0</v>
      </c>
      <c r="P144" s="72">
        <v>3000</v>
      </c>
      <c r="Q144" s="72">
        <v>219000</v>
      </c>
      <c r="R144" s="72">
        <v>222000</v>
      </c>
      <c r="S144" s="72">
        <v>24053000</v>
      </c>
      <c r="T144" s="72">
        <v>11100000</v>
      </c>
      <c r="U144" s="72">
        <v>3689000</v>
      </c>
      <c r="V144" s="72">
        <v>6449000</v>
      </c>
      <c r="W144" s="72">
        <v>582000</v>
      </c>
      <c r="X144" s="72">
        <v>441000</v>
      </c>
      <c r="Y144" s="72">
        <v>0</v>
      </c>
      <c r="Z144" s="72">
        <v>0</v>
      </c>
      <c r="AA144" s="72">
        <v>0</v>
      </c>
      <c r="AB144" s="72">
        <v>0</v>
      </c>
      <c r="AC144" s="72">
        <v>0</v>
      </c>
      <c r="AD144" s="72">
        <v>0</v>
      </c>
      <c r="AE144" s="72">
        <v>0</v>
      </c>
      <c r="AF144" s="72">
        <v>0</v>
      </c>
      <c r="AG144" s="72">
        <v>370000</v>
      </c>
      <c r="AH144" s="72">
        <v>22631000</v>
      </c>
      <c r="AI144" s="72">
        <v>30000</v>
      </c>
      <c r="AJ144" s="72">
        <v>0</v>
      </c>
      <c r="AK144" s="72">
        <v>0</v>
      </c>
      <c r="AL144" s="72">
        <v>30000</v>
      </c>
      <c r="AM144" s="72">
        <v>22661000</v>
      </c>
      <c r="AN144" s="72">
        <v>1392000</v>
      </c>
      <c r="AO144" s="72">
        <v>3182853</v>
      </c>
      <c r="AP144" s="72">
        <v>4574853</v>
      </c>
      <c r="AQ144" s="72">
        <v>227000</v>
      </c>
      <c r="AR144" s="72">
        <v>0</v>
      </c>
      <c r="AS144" s="72">
        <v>0</v>
      </c>
      <c r="AT144" s="72">
        <v>0</v>
      </c>
      <c r="AU144" s="72">
        <v>0</v>
      </c>
      <c r="AV144" s="72">
        <v>0</v>
      </c>
      <c r="AW144" s="72">
        <v>0</v>
      </c>
      <c r="AX144" s="72">
        <v>0</v>
      </c>
      <c r="AY144" s="72">
        <v>0</v>
      </c>
      <c r="AZ144" s="72">
        <v>0</v>
      </c>
      <c r="BA144" s="72">
        <v>4347853</v>
      </c>
      <c r="BB144" s="72">
        <v>0</v>
      </c>
      <c r="BC144" s="72">
        <v>0</v>
      </c>
      <c r="BD144" s="72">
        <v>0</v>
      </c>
      <c r="BE144" s="72">
        <v>4347853</v>
      </c>
      <c r="BF144" s="72">
        <v>0</v>
      </c>
      <c r="BG144" s="72">
        <v>0</v>
      </c>
      <c r="BH144" s="72">
        <v>0</v>
      </c>
      <c r="BI144" s="72">
        <v>0</v>
      </c>
      <c r="BJ144" s="72">
        <v>4347853</v>
      </c>
      <c r="BK144" s="72">
        <v>0</v>
      </c>
      <c r="BL144" s="72">
        <v>0</v>
      </c>
      <c r="BM144" s="72">
        <v>0</v>
      </c>
      <c r="BN144" s="72">
        <v>0</v>
      </c>
      <c r="BO144" s="72">
        <v>0</v>
      </c>
      <c r="BP144" s="72">
        <v>0</v>
      </c>
      <c r="BQ144" s="72">
        <v>0</v>
      </c>
      <c r="BR144" s="72">
        <v>0</v>
      </c>
      <c r="BS144" s="72">
        <v>24053000</v>
      </c>
    </row>
    <row r="145" spans="1:71" x14ac:dyDescent="0.2">
      <c r="A145" t="s">
        <v>680</v>
      </c>
      <c r="B145" t="s">
        <v>1370</v>
      </c>
      <c r="C145" t="s">
        <v>104</v>
      </c>
      <c r="D145" s="72">
        <v>75569426</v>
      </c>
      <c r="F145" s="72">
        <v>0</v>
      </c>
      <c r="G145" s="72">
        <v>207597922</v>
      </c>
      <c r="H145" s="72">
        <v>2215934</v>
      </c>
      <c r="I145" s="72">
        <v>961498</v>
      </c>
      <c r="J145" s="72">
        <v>11093236</v>
      </c>
      <c r="K145" s="72">
        <v>10819001</v>
      </c>
      <c r="L145" s="72">
        <v>308257017</v>
      </c>
      <c r="M145" s="72">
        <v>0</v>
      </c>
      <c r="N145" s="72">
        <v>0</v>
      </c>
      <c r="O145" s="72">
        <v>0</v>
      </c>
      <c r="P145" s="72">
        <v>1189437</v>
      </c>
      <c r="Q145" s="72">
        <v>0</v>
      </c>
      <c r="R145" s="72">
        <v>1189437</v>
      </c>
      <c r="S145" s="72">
        <v>309446454</v>
      </c>
      <c r="T145" s="72">
        <v>134009682</v>
      </c>
      <c r="U145" s="72">
        <v>54932574</v>
      </c>
      <c r="V145" s="72">
        <v>110371610</v>
      </c>
      <c r="W145" s="72">
        <v>8572260</v>
      </c>
      <c r="X145" s="72">
        <v>0</v>
      </c>
      <c r="Y145" s="72">
        <v>0</v>
      </c>
      <c r="Z145" s="72">
        <v>0</v>
      </c>
      <c r="AA145" s="72">
        <v>0</v>
      </c>
      <c r="AB145" s="72">
        <v>0</v>
      </c>
      <c r="AC145" s="72">
        <v>0</v>
      </c>
      <c r="AD145" s="72">
        <v>0</v>
      </c>
      <c r="AE145" s="72">
        <v>0</v>
      </c>
      <c r="AF145" s="72">
        <v>0</v>
      </c>
      <c r="AG145" s="72">
        <v>3400000</v>
      </c>
      <c r="AH145" s="72">
        <v>311286126</v>
      </c>
      <c r="AI145" s="72">
        <v>800000</v>
      </c>
      <c r="AJ145" s="72">
        <v>2000000</v>
      </c>
      <c r="AK145" s="72">
        <v>0</v>
      </c>
      <c r="AL145" s="72">
        <v>2800000</v>
      </c>
      <c r="AM145" s="72">
        <v>314086126</v>
      </c>
      <c r="AQ145" s="72">
        <v>7876159</v>
      </c>
      <c r="AR145" s="72">
        <v>0</v>
      </c>
      <c r="AS145" s="72">
        <v>0</v>
      </c>
      <c r="AT145" s="72">
        <v>0</v>
      </c>
      <c r="AU145" s="72">
        <v>0</v>
      </c>
      <c r="AW145" s="72">
        <v>0</v>
      </c>
      <c r="AX145" s="72">
        <v>0</v>
      </c>
      <c r="AY145" s="72">
        <v>0</v>
      </c>
      <c r="AZ145" s="72">
        <v>0</v>
      </c>
      <c r="BB145" s="72">
        <v>0</v>
      </c>
      <c r="BC145" s="72">
        <v>6910574</v>
      </c>
      <c r="BD145" s="72">
        <v>6910574</v>
      </c>
      <c r="BF145" s="72">
        <v>0</v>
      </c>
      <c r="BG145" s="72">
        <v>0</v>
      </c>
      <c r="BH145" s="72">
        <v>0</v>
      </c>
      <c r="BI145" s="72">
        <v>0</v>
      </c>
      <c r="BS145" s="72">
        <v>314086126</v>
      </c>
    </row>
    <row r="146" spans="1:71" x14ac:dyDescent="0.2">
      <c r="A146" t="s">
        <v>682</v>
      </c>
      <c r="B146" t="s">
        <v>1372</v>
      </c>
      <c r="C146" t="s">
        <v>25</v>
      </c>
      <c r="D146" s="72">
        <v>1390877</v>
      </c>
      <c r="E146" s="72">
        <v>0</v>
      </c>
      <c r="F146" s="72">
        <v>0</v>
      </c>
      <c r="G146" s="72">
        <v>3677257</v>
      </c>
      <c r="H146" s="72">
        <v>30900</v>
      </c>
      <c r="I146" s="72">
        <v>0</v>
      </c>
      <c r="J146" s="72">
        <v>625000</v>
      </c>
      <c r="K146" s="72">
        <v>812200</v>
      </c>
      <c r="L146" s="72">
        <v>6536234</v>
      </c>
      <c r="M146" s="72">
        <v>0</v>
      </c>
      <c r="N146" s="72">
        <v>0</v>
      </c>
      <c r="O146" s="72">
        <v>0</v>
      </c>
      <c r="P146" s="72">
        <v>0</v>
      </c>
      <c r="Q146" s="72">
        <v>5400</v>
      </c>
      <c r="R146" s="72">
        <v>5400</v>
      </c>
      <c r="S146" s="72">
        <v>6541634</v>
      </c>
      <c r="T146" s="72">
        <v>3631932</v>
      </c>
      <c r="U146" s="72">
        <v>1763085</v>
      </c>
      <c r="V146" s="72">
        <v>1152249</v>
      </c>
      <c r="W146" s="72">
        <v>156500</v>
      </c>
      <c r="X146" s="72">
        <v>49567</v>
      </c>
      <c r="Y146" s="72">
        <v>0</v>
      </c>
      <c r="Z146" s="72">
        <v>0</v>
      </c>
      <c r="AA146" s="72">
        <v>0</v>
      </c>
      <c r="AB146" s="72">
        <v>0</v>
      </c>
      <c r="AC146" s="72">
        <v>0</v>
      </c>
      <c r="AD146" s="72">
        <v>0</v>
      </c>
      <c r="AE146" s="72">
        <v>0</v>
      </c>
      <c r="AF146" s="72">
        <v>0</v>
      </c>
      <c r="AG146" s="72">
        <v>71500</v>
      </c>
      <c r="AH146" s="72">
        <v>6824833</v>
      </c>
      <c r="AI146" s="72">
        <v>20000</v>
      </c>
      <c r="AJ146" s="72">
        <v>0</v>
      </c>
      <c r="AK146" s="72">
        <v>0</v>
      </c>
      <c r="AL146" s="72">
        <v>20000</v>
      </c>
      <c r="AM146" s="72">
        <v>6844833</v>
      </c>
      <c r="AN146" s="72">
        <v>-303199</v>
      </c>
      <c r="AO146" s="72">
        <v>944201</v>
      </c>
      <c r="AP146" s="72">
        <v>641002</v>
      </c>
      <c r="AQ146" s="72">
        <v>10000</v>
      </c>
      <c r="AR146" s="72">
        <v>0</v>
      </c>
      <c r="AS146" s="72">
        <v>0</v>
      </c>
      <c r="AT146" s="72">
        <v>0</v>
      </c>
      <c r="AU146" s="72">
        <v>0</v>
      </c>
      <c r="AV146" s="72">
        <v>0</v>
      </c>
      <c r="AW146" s="72">
        <v>0</v>
      </c>
      <c r="AX146" s="72">
        <v>0</v>
      </c>
      <c r="AY146" s="72">
        <v>7950</v>
      </c>
      <c r="AZ146" s="72">
        <v>7950</v>
      </c>
      <c r="BA146" s="72">
        <v>623052</v>
      </c>
      <c r="BB146" s="72">
        <v>0</v>
      </c>
      <c r="BC146" s="72">
        <v>0</v>
      </c>
      <c r="BD146" s="72">
        <v>0</v>
      </c>
      <c r="BE146" s="72">
        <v>623052</v>
      </c>
      <c r="BF146" s="72">
        <v>0</v>
      </c>
      <c r="BG146" s="72">
        <v>0</v>
      </c>
      <c r="BH146" s="72">
        <v>0</v>
      </c>
      <c r="BI146" s="72">
        <v>0</v>
      </c>
      <c r="BJ146" s="72">
        <v>623052</v>
      </c>
      <c r="BK146" s="72">
        <v>55</v>
      </c>
      <c r="BL146" s="72">
        <v>722</v>
      </c>
      <c r="BM146" s="72">
        <v>0</v>
      </c>
      <c r="BN146" s="72">
        <v>0</v>
      </c>
      <c r="BO146" s="72">
        <v>0</v>
      </c>
      <c r="BP146" s="72">
        <v>0</v>
      </c>
      <c r="BQ146" s="72">
        <v>0</v>
      </c>
      <c r="BR146" s="72">
        <v>0</v>
      </c>
      <c r="BS146" s="72">
        <v>6844833</v>
      </c>
    </row>
    <row r="147" spans="1:71" x14ac:dyDescent="0.2">
      <c r="A147" t="s">
        <v>692</v>
      </c>
      <c r="B147" t="s">
        <v>1382</v>
      </c>
      <c r="C147" t="s">
        <v>68</v>
      </c>
      <c r="D147" s="72">
        <v>13360000</v>
      </c>
      <c r="E147" s="72">
        <v>875000</v>
      </c>
      <c r="F147" s="72">
        <v>9683119</v>
      </c>
      <c r="G147" s="72">
        <v>11434498</v>
      </c>
      <c r="H147" s="72">
        <v>60000</v>
      </c>
      <c r="I147" s="72">
        <v>0</v>
      </c>
      <c r="J147" s="72">
        <v>4202000</v>
      </c>
      <c r="K147" s="72">
        <v>1284585</v>
      </c>
      <c r="L147" s="72">
        <v>40899202</v>
      </c>
      <c r="M147" s="72">
        <v>0</v>
      </c>
      <c r="N147" s="72">
        <v>0</v>
      </c>
      <c r="P147" s="72">
        <v>14000</v>
      </c>
      <c r="Q147" s="72">
        <v>5000</v>
      </c>
      <c r="R147" s="72">
        <v>19000</v>
      </c>
      <c r="S147" s="72">
        <v>40918202</v>
      </c>
      <c r="T147" s="72">
        <v>23148392</v>
      </c>
      <c r="U147" s="72">
        <v>10374692</v>
      </c>
      <c r="V147" s="72">
        <v>6600888</v>
      </c>
      <c r="W147" s="72">
        <v>1243803</v>
      </c>
      <c r="X147" s="72">
        <v>397424</v>
      </c>
      <c r="Y147" s="72">
        <v>0</v>
      </c>
      <c r="Z147" s="72">
        <v>0</v>
      </c>
      <c r="AA147" s="72">
        <v>0</v>
      </c>
      <c r="AB147" s="72">
        <v>0</v>
      </c>
      <c r="AC147" s="72">
        <v>0</v>
      </c>
      <c r="AD147" s="72">
        <v>75964</v>
      </c>
      <c r="AE147" s="72">
        <v>0</v>
      </c>
      <c r="AF147" s="72">
        <v>0</v>
      </c>
      <c r="AG147" s="72">
        <v>556903</v>
      </c>
      <c r="AH147" s="72">
        <v>42398066</v>
      </c>
      <c r="AI147" s="72">
        <v>267376</v>
      </c>
      <c r="AJ147" s="72">
        <v>53895</v>
      </c>
      <c r="AK147" s="72">
        <v>393</v>
      </c>
      <c r="AL147" s="72">
        <v>321664</v>
      </c>
      <c r="AM147" s="72">
        <v>42719730</v>
      </c>
      <c r="AN147" s="72">
        <v>-1801528</v>
      </c>
      <c r="AO147" s="72">
        <v>8509861</v>
      </c>
      <c r="AP147" s="72">
        <v>6708333</v>
      </c>
      <c r="AQ147" s="72">
        <v>0</v>
      </c>
      <c r="AR147" s="72">
        <v>0</v>
      </c>
      <c r="AS147" s="72">
        <v>0</v>
      </c>
      <c r="AT147" s="72">
        <v>0</v>
      </c>
      <c r="AU147" s="72">
        <v>0</v>
      </c>
      <c r="AV147" s="72">
        <v>0</v>
      </c>
      <c r="AW147" s="72">
        <v>0</v>
      </c>
      <c r="AX147" s="72">
        <v>0</v>
      </c>
      <c r="AY147" s="72">
        <v>0</v>
      </c>
      <c r="AZ147" s="72">
        <v>0</v>
      </c>
      <c r="BA147" s="72">
        <v>6708333</v>
      </c>
      <c r="BB147" s="72">
        <v>0</v>
      </c>
      <c r="BC147" s="72">
        <v>0</v>
      </c>
      <c r="BD147" s="72">
        <v>0</v>
      </c>
      <c r="BE147" s="72">
        <v>6708333</v>
      </c>
      <c r="BF147" s="72">
        <v>0</v>
      </c>
      <c r="BG147" s="72">
        <v>0</v>
      </c>
      <c r="BH147" s="72">
        <v>0</v>
      </c>
      <c r="BI147" s="72">
        <v>0</v>
      </c>
      <c r="BJ147" s="72">
        <v>6708333</v>
      </c>
      <c r="BK147" s="72">
        <v>351</v>
      </c>
      <c r="BL147" s="72">
        <v>4170</v>
      </c>
      <c r="BM147" s="72">
        <v>0</v>
      </c>
      <c r="BN147" s="72">
        <v>0</v>
      </c>
      <c r="BO147" s="72">
        <v>0</v>
      </c>
      <c r="BP147" s="72">
        <v>0</v>
      </c>
      <c r="BQ147" s="72">
        <v>0</v>
      </c>
      <c r="BR147" s="72">
        <v>0</v>
      </c>
      <c r="BS147" s="72">
        <v>42719730</v>
      </c>
    </row>
    <row r="148" spans="1:71" x14ac:dyDescent="0.2">
      <c r="A148" t="s">
        <v>702</v>
      </c>
      <c r="B148" t="s">
        <v>1392</v>
      </c>
      <c r="C148" t="s">
        <v>35</v>
      </c>
      <c r="D148" s="72">
        <v>59138920</v>
      </c>
      <c r="E148" s="72">
        <v>2292149</v>
      </c>
      <c r="F148" s="72">
        <v>0</v>
      </c>
      <c r="G148" s="72">
        <v>3797900</v>
      </c>
      <c r="H148" s="72">
        <v>0</v>
      </c>
      <c r="I148" s="72">
        <v>0</v>
      </c>
      <c r="J148" s="72">
        <v>8725000</v>
      </c>
      <c r="K148" s="72">
        <v>1932800</v>
      </c>
      <c r="L148" s="72">
        <v>75886769</v>
      </c>
      <c r="M148" s="72">
        <v>0</v>
      </c>
      <c r="N148" s="72">
        <v>0</v>
      </c>
      <c r="O148" s="72">
        <v>0</v>
      </c>
      <c r="P148" s="72">
        <v>35000</v>
      </c>
      <c r="Q148" s="72">
        <v>20000</v>
      </c>
      <c r="R148" s="72">
        <v>55000</v>
      </c>
      <c r="S148" s="72">
        <v>75941769</v>
      </c>
      <c r="T148" s="72">
        <v>50045000</v>
      </c>
      <c r="U148" s="72">
        <v>16681140</v>
      </c>
      <c r="V148" s="72">
        <v>8193000</v>
      </c>
      <c r="W148" s="72">
        <v>1990000</v>
      </c>
      <c r="X148" s="72">
        <v>349000</v>
      </c>
      <c r="Y148" s="72">
        <v>0</v>
      </c>
      <c r="Z148" s="72">
        <v>0</v>
      </c>
      <c r="AA148" s="72">
        <v>0</v>
      </c>
      <c r="AB148" s="72">
        <v>0</v>
      </c>
      <c r="AC148" s="72">
        <v>0</v>
      </c>
      <c r="AD148" s="72">
        <v>0</v>
      </c>
      <c r="AE148" s="72">
        <v>0</v>
      </c>
      <c r="AF148" s="72">
        <v>0</v>
      </c>
      <c r="AG148" s="72">
        <v>1167789</v>
      </c>
      <c r="AH148" s="72">
        <v>78425929</v>
      </c>
      <c r="AI148" s="72">
        <v>623850</v>
      </c>
      <c r="AJ148" s="72">
        <v>50000</v>
      </c>
      <c r="AK148" s="72">
        <v>50000</v>
      </c>
      <c r="AL148" s="72">
        <v>723850</v>
      </c>
      <c r="AM148" s="72">
        <v>79149779</v>
      </c>
      <c r="AN148" s="72">
        <v>-3208010</v>
      </c>
      <c r="AO148" s="72">
        <v>30536362</v>
      </c>
      <c r="AP148" s="72">
        <v>27328352</v>
      </c>
      <c r="AQ148" s="72">
        <v>1400000</v>
      </c>
      <c r="AR148" s="72">
        <v>0</v>
      </c>
      <c r="AS148" s="72">
        <v>0</v>
      </c>
      <c r="AT148" s="72">
        <v>1165304</v>
      </c>
      <c r="AU148" s="72">
        <v>0</v>
      </c>
      <c r="AV148" s="72">
        <v>0</v>
      </c>
      <c r="AW148" s="72">
        <v>0</v>
      </c>
      <c r="AX148" s="72">
        <v>0</v>
      </c>
      <c r="AY148" s="72">
        <v>0</v>
      </c>
      <c r="AZ148" s="72">
        <v>1165304</v>
      </c>
      <c r="BA148" s="72">
        <v>24763048</v>
      </c>
      <c r="BB148" s="72">
        <v>0</v>
      </c>
      <c r="BC148" s="72">
        <v>0</v>
      </c>
      <c r="BD148" s="72">
        <v>0</v>
      </c>
      <c r="BE148" s="72">
        <v>24763048</v>
      </c>
      <c r="BF148" s="72">
        <v>0</v>
      </c>
      <c r="BG148" s="72">
        <v>0</v>
      </c>
      <c r="BH148" s="72">
        <v>0</v>
      </c>
      <c r="BI148" s="72">
        <v>0</v>
      </c>
      <c r="BJ148" s="72">
        <v>24763048</v>
      </c>
      <c r="BK148" s="72">
        <v>410</v>
      </c>
      <c r="BL148" s="72">
        <v>5463</v>
      </c>
      <c r="BM148" s="72">
        <v>0</v>
      </c>
      <c r="BN148" s="72">
        <v>0</v>
      </c>
      <c r="BO148" s="72">
        <v>0</v>
      </c>
      <c r="BP148" s="72">
        <v>0</v>
      </c>
      <c r="BQ148" s="72">
        <v>0</v>
      </c>
      <c r="BR148" s="72">
        <v>0</v>
      </c>
      <c r="BS148" s="72">
        <v>79149779</v>
      </c>
    </row>
    <row r="149" spans="1:71" x14ac:dyDescent="0.2">
      <c r="A149" t="s">
        <v>706</v>
      </c>
      <c r="B149" t="s">
        <v>1396</v>
      </c>
      <c r="C149" t="s">
        <v>54</v>
      </c>
      <c r="D149" s="72">
        <v>7465198</v>
      </c>
      <c r="E149" s="72">
        <v>616371</v>
      </c>
      <c r="F149" s="72">
        <v>0</v>
      </c>
      <c r="G149" s="72">
        <v>9897695</v>
      </c>
      <c r="H149" s="72">
        <v>685876</v>
      </c>
      <c r="I149" s="72">
        <v>0</v>
      </c>
      <c r="J149" s="72">
        <v>2340507</v>
      </c>
      <c r="K149" s="72">
        <v>1355988</v>
      </c>
      <c r="L149" s="72">
        <v>22361635</v>
      </c>
      <c r="M149" s="72">
        <v>0</v>
      </c>
      <c r="N149" s="72">
        <v>0</v>
      </c>
      <c r="O149" s="72">
        <v>0</v>
      </c>
      <c r="P149" s="72">
        <v>0</v>
      </c>
      <c r="Q149" s="72">
        <v>0</v>
      </c>
      <c r="R149" s="72">
        <v>0</v>
      </c>
      <c r="S149" s="72">
        <v>22361635</v>
      </c>
      <c r="T149" s="72">
        <v>10579433</v>
      </c>
      <c r="U149" s="72">
        <v>4280928</v>
      </c>
      <c r="V149" s="72">
        <v>5528059</v>
      </c>
      <c r="W149" s="72">
        <v>494800</v>
      </c>
      <c r="X149" s="72">
        <v>139063</v>
      </c>
      <c r="Y149" s="72">
        <v>75609</v>
      </c>
      <c r="Z149" s="72">
        <v>0</v>
      </c>
      <c r="AA149" s="72">
        <v>260000</v>
      </c>
      <c r="AB149" s="72">
        <v>0</v>
      </c>
      <c r="AC149" s="72">
        <v>0</v>
      </c>
      <c r="AD149" s="72">
        <v>0</v>
      </c>
      <c r="AE149" s="72">
        <v>0</v>
      </c>
      <c r="AF149" s="72">
        <v>14307</v>
      </c>
      <c r="AG149" s="72">
        <v>563274</v>
      </c>
      <c r="AH149" s="72">
        <v>21935473</v>
      </c>
      <c r="AI149" s="72">
        <v>0</v>
      </c>
      <c r="AJ149" s="72">
        <v>0</v>
      </c>
      <c r="AK149" s="72">
        <v>0</v>
      </c>
      <c r="AL149" s="72">
        <v>0</v>
      </c>
      <c r="AM149" s="72">
        <v>21935473</v>
      </c>
      <c r="AN149" s="72">
        <v>426162</v>
      </c>
      <c r="AO149" s="72">
        <v>2096794</v>
      </c>
      <c r="AP149" s="72">
        <v>2522956</v>
      </c>
      <c r="AQ149" s="72">
        <v>0</v>
      </c>
      <c r="AR149" s="72">
        <v>0</v>
      </c>
      <c r="AS149" s="72">
        <v>0</v>
      </c>
      <c r="AT149" s="72">
        <v>366608</v>
      </c>
      <c r="AU149" s="72">
        <v>0</v>
      </c>
      <c r="AV149" s="72">
        <v>0</v>
      </c>
      <c r="AW149" s="72">
        <v>0</v>
      </c>
      <c r="AX149" s="72">
        <v>0</v>
      </c>
      <c r="AY149" s="72">
        <v>0</v>
      </c>
      <c r="AZ149" s="72">
        <v>366608</v>
      </c>
      <c r="BA149" s="72">
        <v>2156348</v>
      </c>
      <c r="BB149" s="72">
        <v>0</v>
      </c>
      <c r="BC149" s="72">
        <v>0</v>
      </c>
      <c r="BD149" s="72">
        <v>0</v>
      </c>
      <c r="BE149" s="72">
        <v>2156348</v>
      </c>
      <c r="BF149" s="72">
        <v>0</v>
      </c>
      <c r="BG149" s="72">
        <v>0</v>
      </c>
      <c r="BH149" s="72">
        <v>0</v>
      </c>
      <c r="BI149" s="72">
        <v>0</v>
      </c>
      <c r="BJ149" s="72">
        <v>2156348</v>
      </c>
      <c r="BM149" s="72">
        <v>0</v>
      </c>
      <c r="BN149" s="72">
        <v>0</v>
      </c>
      <c r="BO149" s="72">
        <v>0</v>
      </c>
      <c r="BP149" s="72">
        <v>0</v>
      </c>
      <c r="BQ149" s="72">
        <v>0</v>
      </c>
      <c r="BR149" s="72">
        <v>0</v>
      </c>
      <c r="BS149" s="72">
        <v>22361635</v>
      </c>
    </row>
    <row r="150" spans="1:71" x14ac:dyDescent="0.2">
      <c r="A150" t="s">
        <v>711</v>
      </c>
      <c r="B150" t="s">
        <v>1401</v>
      </c>
      <c r="C150" t="s">
        <v>38</v>
      </c>
      <c r="D150" s="72">
        <v>17948347</v>
      </c>
      <c r="E150" s="72">
        <v>0</v>
      </c>
      <c r="F150" s="72">
        <v>0</v>
      </c>
      <c r="G150" s="72">
        <v>4079853</v>
      </c>
      <c r="H150" s="72">
        <v>0</v>
      </c>
      <c r="I150" s="72">
        <v>0</v>
      </c>
      <c r="J150" s="72">
        <v>4359606</v>
      </c>
      <c r="K150" s="72">
        <v>2560000</v>
      </c>
      <c r="L150" s="72">
        <v>28947806</v>
      </c>
      <c r="M150" s="72">
        <v>0</v>
      </c>
      <c r="N150" s="72">
        <v>0</v>
      </c>
      <c r="O150" s="72">
        <v>0</v>
      </c>
      <c r="P150" s="72">
        <v>0</v>
      </c>
      <c r="Q150" s="72">
        <v>250000</v>
      </c>
      <c r="R150" s="72">
        <v>250000</v>
      </c>
      <c r="S150" s="72">
        <v>29197806</v>
      </c>
      <c r="T150" s="72">
        <v>15630985</v>
      </c>
      <c r="U150" s="72">
        <v>7342483</v>
      </c>
      <c r="V150" s="72">
        <v>6662293</v>
      </c>
      <c r="W150" s="72">
        <v>450000</v>
      </c>
      <c r="X150" s="72">
        <v>100000</v>
      </c>
      <c r="Y150" s="72">
        <v>0</v>
      </c>
      <c r="Z150" s="72">
        <v>0</v>
      </c>
      <c r="AA150" s="72">
        <v>0</v>
      </c>
      <c r="AB150" s="72">
        <v>0</v>
      </c>
      <c r="AC150" s="72">
        <v>0</v>
      </c>
      <c r="AD150" s="72">
        <v>258313</v>
      </c>
      <c r="AE150" s="72">
        <v>0</v>
      </c>
      <c r="AF150" s="72">
        <v>0</v>
      </c>
      <c r="AG150" s="72">
        <v>1000000</v>
      </c>
      <c r="AH150" s="72">
        <v>31444074</v>
      </c>
      <c r="AI150" s="72">
        <v>0</v>
      </c>
      <c r="AJ150" s="72">
        <v>0</v>
      </c>
      <c r="AK150" s="72">
        <v>0</v>
      </c>
      <c r="AL150" s="72">
        <v>0</v>
      </c>
      <c r="AM150" s="72">
        <v>31444074</v>
      </c>
      <c r="AN150" s="72">
        <v>-2246268</v>
      </c>
      <c r="AO150" s="72">
        <v>4095487</v>
      </c>
      <c r="AP150" s="72">
        <v>1849220</v>
      </c>
      <c r="AQ150" s="72">
        <v>0</v>
      </c>
      <c r="AR150" s="72">
        <v>0</v>
      </c>
      <c r="AS150" s="72">
        <v>0</v>
      </c>
      <c r="AT150" s="72">
        <v>0</v>
      </c>
      <c r="AU150" s="72">
        <v>0</v>
      </c>
      <c r="AV150" s="72">
        <v>0</v>
      </c>
      <c r="AW150" s="72">
        <v>2127999</v>
      </c>
      <c r="AX150" s="72">
        <v>0</v>
      </c>
      <c r="AY150" s="72">
        <v>0</v>
      </c>
      <c r="AZ150" s="72">
        <v>0</v>
      </c>
      <c r="BA150" s="72">
        <v>1849220</v>
      </c>
      <c r="BB150" s="72">
        <v>0</v>
      </c>
      <c r="BC150" s="72">
        <v>0</v>
      </c>
      <c r="BD150" s="72">
        <v>0</v>
      </c>
      <c r="BE150" s="72">
        <v>1849220</v>
      </c>
      <c r="BF150" s="72">
        <v>0</v>
      </c>
      <c r="BG150" s="72">
        <v>1945000</v>
      </c>
      <c r="BH150" s="72">
        <v>1945000</v>
      </c>
      <c r="BI150" s="72">
        <v>0</v>
      </c>
      <c r="BJ150" s="72">
        <v>3794220</v>
      </c>
      <c r="BK150" s="72">
        <v>193</v>
      </c>
      <c r="BL150" s="72">
        <v>3029</v>
      </c>
      <c r="BM150" s="72">
        <v>0</v>
      </c>
      <c r="BN150" s="72">
        <v>0</v>
      </c>
      <c r="BO150" s="72">
        <v>0</v>
      </c>
      <c r="BP150" s="72">
        <v>0</v>
      </c>
      <c r="BQ150" s="72">
        <v>0</v>
      </c>
      <c r="BR150" s="72">
        <v>0</v>
      </c>
      <c r="BS150" s="72">
        <v>31444074</v>
      </c>
    </row>
    <row r="151" spans="1:71" x14ac:dyDescent="0.2">
      <c r="A151" t="s">
        <v>710</v>
      </c>
      <c r="B151" t="s">
        <v>1400</v>
      </c>
      <c r="C151" t="s">
        <v>101</v>
      </c>
      <c r="D151" s="72">
        <v>4535963</v>
      </c>
      <c r="E151" s="72">
        <v>372006</v>
      </c>
      <c r="F151" s="72">
        <v>2441516</v>
      </c>
      <c r="G151" s="72">
        <v>10061447</v>
      </c>
      <c r="H151" s="72">
        <v>15050</v>
      </c>
      <c r="I151" s="72">
        <v>0</v>
      </c>
      <c r="J151" s="72">
        <v>682300</v>
      </c>
      <c r="K151" s="72">
        <v>2006718</v>
      </c>
      <c r="L151" s="72">
        <v>20115000</v>
      </c>
      <c r="M151" s="72">
        <v>0</v>
      </c>
      <c r="N151" s="72">
        <v>0</v>
      </c>
      <c r="O151" s="72">
        <v>0</v>
      </c>
      <c r="P151" s="72">
        <v>0</v>
      </c>
      <c r="Q151" s="72">
        <v>0</v>
      </c>
      <c r="R151" s="72">
        <v>0</v>
      </c>
      <c r="S151" s="72">
        <v>20115000</v>
      </c>
      <c r="T151" s="72">
        <v>11436938</v>
      </c>
      <c r="U151" s="72">
        <v>5221534</v>
      </c>
      <c r="V151" s="72">
        <v>4072115</v>
      </c>
      <c r="W151" s="72">
        <v>600000</v>
      </c>
      <c r="X151" s="72">
        <v>105145</v>
      </c>
      <c r="Y151" s="72">
        <v>0</v>
      </c>
      <c r="Z151" s="72">
        <v>0</v>
      </c>
      <c r="AA151" s="72">
        <v>0</v>
      </c>
      <c r="AB151" s="72">
        <v>0</v>
      </c>
      <c r="AC151" s="72">
        <v>0</v>
      </c>
      <c r="AD151" s="72">
        <v>25000</v>
      </c>
      <c r="AE151" s="72">
        <v>0</v>
      </c>
      <c r="AF151" s="72">
        <v>16294</v>
      </c>
      <c r="AG151" s="72">
        <v>316139</v>
      </c>
      <c r="AH151" s="72">
        <v>21793165</v>
      </c>
      <c r="AI151" s="72">
        <v>0</v>
      </c>
      <c r="AJ151" s="72">
        <v>0</v>
      </c>
      <c r="AK151" s="72">
        <v>0</v>
      </c>
      <c r="AL151" s="72">
        <v>0</v>
      </c>
      <c r="AM151" s="72">
        <v>21793165</v>
      </c>
      <c r="AN151" s="72">
        <v>-1678165</v>
      </c>
      <c r="AO151" s="72">
        <v>3796018</v>
      </c>
      <c r="AP151" s="72">
        <v>2117853</v>
      </c>
      <c r="AQ151" s="72">
        <v>0</v>
      </c>
      <c r="AR151" s="72">
        <v>0</v>
      </c>
      <c r="AS151" s="72">
        <v>0</v>
      </c>
      <c r="AT151" s="72">
        <v>0</v>
      </c>
      <c r="AU151" s="72">
        <v>0</v>
      </c>
      <c r="AV151" s="72">
        <v>0</v>
      </c>
      <c r="AW151" s="72">
        <v>0</v>
      </c>
      <c r="AX151" s="72">
        <v>0</v>
      </c>
      <c r="AY151" s="72">
        <v>0</v>
      </c>
      <c r="AZ151" s="72">
        <v>0</v>
      </c>
      <c r="BA151" s="72">
        <v>2117853</v>
      </c>
      <c r="BB151" s="72">
        <v>0</v>
      </c>
      <c r="BC151" s="72">
        <v>0</v>
      </c>
      <c r="BD151" s="72">
        <v>0</v>
      </c>
      <c r="BE151" s="72">
        <v>2117853</v>
      </c>
      <c r="BF151" s="72">
        <v>0</v>
      </c>
      <c r="BG151" s="72">
        <v>0</v>
      </c>
      <c r="BH151" s="72">
        <v>0</v>
      </c>
      <c r="BI151" s="72">
        <v>0</v>
      </c>
      <c r="BJ151" s="72">
        <v>2117853</v>
      </c>
      <c r="BK151" s="72">
        <v>0</v>
      </c>
      <c r="BL151" s="72">
        <v>0</v>
      </c>
      <c r="BM151" s="72">
        <v>0</v>
      </c>
      <c r="BN151" s="72">
        <v>0</v>
      </c>
      <c r="BO151" s="72">
        <v>0</v>
      </c>
      <c r="BP151" s="72">
        <v>0</v>
      </c>
      <c r="BQ151" s="72">
        <v>0</v>
      </c>
      <c r="BR151" s="72">
        <v>0</v>
      </c>
      <c r="BS151" s="72">
        <v>21793165</v>
      </c>
    </row>
    <row r="152" spans="1:71" x14ac:dyDescent="0.2">
      <c r="A152" t="s">
        <v>718</v>
      </c>
      <c r="B152" t="s">
        <v>1408</v>
      </c>
      <c r="C152" t="s">
        <v>81</v>
      </c>
      <c r="D152" s="72">
        <v>18587176</v>
      </c>
      <c r="E152" s="72">
        <v>0</v>
      </c>
      <c r="F152" s="72">
        <v>0</v>
      </c>
      <c r="G152" s="72">
        <v>15601380</v>
      </c>
      <c r="H152" s="72">
        <v>291697</v>
      </c>
      <c r="I152" s="72">
        <v>0</v>
      </c>
      <c r="J152" s="72">
        <v>3197591</v>
      </c>
      <c r="K152" s="72">
        <v>1468840</v>
      </c>
      <c r="L152" s="72">
        <v>39146683</v>
      </c>
      <c r="M152" s="72">
        <v>0</v>
      </c>
      <c r="N152" s="72">
        <v>0</v>
      </c>
      <c r="O152" s="72">
        <v>0</v>
      </c>
      <c r="P152" s="72">
        <v>1438214</v>
      </c>
      <c r="Q152" s="72">
        <v>797378</v>
      </c>
      <c r="R152" s="72">
        <v>2235592</v>
      </c>
      <c r="S152" s="72">
        <v>41382275</v>
      </c>
      <c r="T152" s="72">
        <v>22816587</v>
      </c>
      <c r="U152" s="72">
        <v>8209934</v>
      </c>
      <c r="V152" s="72">
        <v>5929438</v>
      </c>
      <c r="W152" s="72">
        <v>1444272</v>
      </c>
      <c r="X152" s="72">
        <v>1146450</v>
      </c>
      <c r="Y152" s="72">
        <v>0</v>
      </c>
      <c r="Z152" s="72">
        <v>0</v>
      </c>
      <c r="AA152" s="72">
        <v>0</v>
      </c>
      <c r="AB152" s="72">
        <v>0</v>
      </c>
      <c r="AC152" s="72">
        <v>0</v>
      </c>
      <c r="AD152" s="72">
        <v>100000</v>
      </c>
      <c r="AE152" s="72">
        <v>0</v>
      </c>
      <c r="AF152" s="72">
        <v>7870</v>
      </c>
      <c r="AG152" s="72">
        <v>507132</v>
      </c>
      <c r="AH152" s="72">
        <v>40161683</v>
      </c>
      <c r="AI152" s="72">
        <v>10000</v>
      </c>
      <c r="AJ152" s="72">
        <v>100000</v>
      </c>
      <c r="AK152" s="72">
        <v>2000</v>
      </c>
      <c r="AL152" s="72">
        <v>112000</v>
      </c>
      <c r="AM152" s="72">
        <v>40273683</v>
      </c>
      <c r="AN152" s="72">
        <v>1108592</v>
      </c>
      <c r="AO152" s="72">
        <v>7349782</v>
      </c>
      <c r="AP152" s="72">
        <v>8458374</v>
      </c>
      <c r="AQ152" s="72">
        <v>1236894</v>
      </c>
      <c r="AR152" s="72">
        <v>0</v>
      </c>
      <c r="AS152" s="72">
        <v>0</v>
      </c>
      <c r="AT152" s="72">
        <v>0</v>
      </c>
      <c r="AU152" s="72">
        <v>0</v>
      </c>
      <c r="AV152" s="72">
        <v>0</v>
      </c>
      <c r="AW152" s="72">
        <v>0</v>
      </c>
      <c r="AX152" s="72">
        <v>0</v>
      </c>
      <c r="AY152" s="72">
        <v>0</v>
      </c>
      <c r="AZ152" s="72">
        <v>0</v>
      </c>
      <c r="BA152" s="72">
        <v>7221480</v>
      </c>
      <c r="BB152" s="72">
        <v>0</v>
      </c>
      <c r="BC152" s="72">
        <v>0</v>
      </c>
      <c r="BD152" s="72">
        <v>0</v>
      </c>
      <c r="BE152" s="72">
        <v>7221480</v>
      </c>
      <c r="BF152" s="72">
        <v>0</v>
      </c>
      <c r="BG152" s="72">
        <v>0</v>
      </c>
      <c r="BH152" s="72">
        <v>0</v>
      </c>
      <c r="BI152" s="72">
        <v>0</v>
      </c>
      <c r="BJ152" s="72">
        <v>7221480</v>
      </c>
      <c r="BK152" s="72">
        <v>300</v>
      </c>
      <c r="BL152" s="72">
        <v>4500</v>
      </c>
      <c r="BM152" s="72">
        <v>721294</v>
      </c>
      <c r="BN152" s="72">
        <v>100981</v>
      </c>
      <c r="BO152" s="72">
        <v>37143</v>
      </c>
      <c r="BP152" s="72">
        <v>0</v>
      </c>
      <c r="BQ152" s="72">
        <v>0</v>
      </c>
      <c r="BR152" s="72">
        <v>859419</v>
      </c>
      <c r="BS152" s="72">
        <v>41382275</v>
      </c>
    </row>
    <row r="153" spans="1:71" x14ac:dyDescent="0.2">
      <c r="A153" t="s">
        <v>720</v>
      </c>
      <c r="B153" t="s">
        <v>1410</v>
      </c>
      <c r="C153" t="s">
        <v>87</v>
      </c>
      <c r="D153" s="72">
        <v>5625153</v>
      </c>
      <c r="E153" s="72">
        <v>224248</v>
      </c>
      <c r="F153" s="72">
        <v>1974219</v>
      </c>
      <c r="G153" s="72">
        <v>14405175</v>
      </c>
      <c r="H153" s="72">
        <v>103546</v>
      </c>
      <c r="I153" s="72">
        <v>0</v>
      </c>
      <c r="J153" s="72">
        <v>874814</v>
      </c>
      <c r="K153" s="72">
        <v>1015029</v>
      </c>
      <c r="L153" s="72">
        <v>24222184</v>
      </c>
      <c r="M153" s="72">
        <v>0</v>
      </c>
      <c r="N153" s="72">
        <v>0</v>
      </c>
      <c r="O153" s="72">
        <v>0</v>
      </c>
      <c r="P153" s="72">
        <v>0</v>
      </c>
      <c r="Q153" s="72">
        <v>180000</v>
      </c>
      <c r="R153" s="72">
        <v>180000</v>
      </c>
      <c r="S153" s="72">
        <v>24402184</v>
      </c>
      <c r="T153" s="72">
        <v>12020263</v>
      </c>
      <c r="U153" s="72">
        <v>4633775</v>
      </c>
      <c r="V153" s="72">
        <v>5644378</v>
      </c>
      <c r="W153" s="72">
        <v>886279</v>
      </c>
      <c r="X153" s="72">
        <v>2000</v>
      </c>
      <c r="Y153" s="72">
        <v>0</v>
      </c>
      <c r="Z153" s="72">
        <v>0</v>
      </c>
      <c r="AA153" s="72">
        <v>0</v>
      </c>
      <c r="AB153" s="72">
        <v>0</v>
      </c>
      <c r="AC153" s="72">
        <v>0</v>
      </c>
      <c r="AD153" s="72">
        <v>0</v>
      </c>
      <c r="AE153" s="72">
        <v>0</v>
      </c>
      <c r="AF153" s="72">
        <v>0</v>
      </c>
      <c r="AG153" s="72">
        <v>234650</v>
      </c>
      <c r="AH153" s="72">
        <v>23421345</v>
      </c>
      <c r="AI153" s="72">
        <v>150000</v>
      </c>
      <c r="AJ153" s="72">
        <v>0</v>
      </c>
      <c r="AK153" s="72">
        <v>0</v>
      </c>
      <c r="AL153" s="72">
        <v>150000</v>
      </c>
      <c r="AM153" s="72">
        <v>23571345</v>
      </c>
      <c r="AN153" s="72">
        <v>830839</v>
      </c>
      <c r="AO153" s="72">
        <v>2590560</v>
      </c>
      <c r="AP153" s="72">
        <v>3421399</v>
      </c>
      <c r="AQ153" s="72">
        <v>0</v>
      </c>
      <c r="AR153" s="72">
        <v>0</v>
      </c>
      <c r="AS153" s="72">
        <v>0</v>
      </c>
      <c r="AT153" s="72">
        <v>0</v>
      </c>
      <c r="AU153" s="72">
        <v>0</v>
      </c>
      <c r="AV153" s="72">
        <v>0</v>
      </c>
      <c r="AW153" s="72">
        <v>0</v>
      </c>
      <c r="AX153" s="72">
        <v>0</v>
      </c>
      <c r="AY153" s="72">
        <v>0</v>
      </c>
      <c r="AZ153" s="72">
        <v>0</v>
      </c>
      <c r="BA153" s="72">
        <v>3421399</v>
      </c>
      <c r="BB153" s="72">
        <v>0</v>
      </c>
      <c r="BC153" s="72">
        <v>0</v>
      </c>
      <c r="BD153" s="72">
        <v>0</v>
      </c>
      <c r="BE153" s="72">
        <v>3421399</v>
      </c>
      <c r="BF153" s="72">
        <v>0</v>
      </c>
      <c r="BG153" s="72">
        <v>0</v>
      </c>
      <c r="BH153" s="72">
        <v>0</v>
      </c>
      <c r="BI153" s="72">
        <v>0</v>
      </c>
      <c r="BJ153" s="72">
        <v>3421399</v>
      </c>
      <c r="BK153" s="72">
        <v>0</v>
      </c>
      <c r="BL153" s="72">
        <v>0</v>
      </c>
      <c r="BM153" s="72">
        <v>0</v>
      </c>
      <c r="BN153" s="72">
        <v>0</v>
      </c>
      <c r="BO153" s="72">
        <v>0</v>
      </c>
      <c r="BP153" s="72">
        <v>0</v>
      </c>
      <c r="BQ153" s="72">
        <v>0</v>
      </c>
      <c r="BR153" s="72">
        <v>0</v>
      </c>
      <c r="BS153" s="72">
        <v>24402184</v>
      </c>
    </row>
    <row r="154" spans="1:71" x14ac:dyDescent="0.2">
      <c r="A154" t="s">
        <v>721</v>
      </c>
      <c r="B154" t="s">
        <v>1411</v>
      </c>
      <c r="C154" t="s">
        <v>32</v>
      </c>
      <c r="D154" s="72">
        <v>10427704</v>
      </c>
      <c r="E154" s="72">
        <v>1161560</v>
      </c>
      <c r="F154" s="72">
        <v>0</v>
      </c>
      <c r="G154" s="72">
        <v>44675387</v>
      </c>
      <c r="H154" s="72">
        <v>209260</v>
      </c>
      <c r="I154" s="72">
        <v>0</v>
      </c>
      <c r="J154" s="72">
        <v>3011220</v>
      </c>
      <c r="K154" s="72">
        <v>2131406</v>
      </c>
      <c r="L154" s="72">
        <v>61616537</v>
      </c>
      <c r="M154" s="72">
        <v>0</v>
      </c>
      <c r="N154" s="72">
        <v>0</v>
      </c>
      <c r="O154" s="72">
        <v>0</v>
      </c>
      <c r="P154" s="72">
        <v>0</v>
      </c>
      <c r="Q154" s="72">
        <v>340857</v>
      </c>
      <c r="R154" s="72">
        <v>340857</v>
      </c>
      <c r="S154" s="72">
        <v>61957394</v>
      </c>
      <c r="T154" s="72">
        <v>30110156</v>
      </c>
      <c r="U154" s="72">
        <v>11868447</v>
      </c>
      <c r="V154" s="72">
        <v>16121485</v>
      </c>
      <c r="W154" s="72">
        <v>2154647</v>
      </c>
      <c r="X154" s="72">
        <v>373528</v>
      </c>
      <c r="Y154" s="72">
        <v>0</v>
      </c>
      <c r="Z154" s="72">
        <v>0</v>
      </c>
      <c r="AA154" s="72">
        <v>0</v>
      </c>
      <c r="AB154" s="72">
        <v>0</v>
      </c>
      <c r="AC154" s="72">
        <v>0</v>
      </c>
      <c r="AD154" s="72">
        <v>0</v>
      </c>
      <c r="AE154" s="72">
        <v>0</v>
      </c>
      <c r="AF154" s="72">
        <v>0</v>
      </c>
      <c r="AG154" s="72">
        <v>1577672</v>
      </c>
      <c r="AH154" s="72">
        <v>62205935</v>
      </c>
      <c r="AI154" s="72">
        <v>98004</v>
      </c>
      <c r="AJ154" s="72">
        <v>0</v>
      </c>
      <c r="AK154" s="72">
        <v>0</v>
      </c>
      <c r="AL154" s="72">
        <v>98004</v>
      </c>
      <c r="AM154" s="72">
        <v>62303939</v>
      </c>
      <c r="AN154" s="72">
        <v>-346545</v>
      </c>
      <c r="AO154" s="72">
        <v>13388400</v>
      </c>
      <c r="AP154" s="72">
        <v>13041855</v>
      </c>
      <c r="AQ154" s="72">
        <v>0</v>
      </c>
      <c r="AR154" s="72">
        <v>0</v>
      </c>
      <c r="AS154" s="72">
        <v>0</v>
      </c>
      <c r="AT154" s="72">
        <v>328646</v>
      </c>
      <c r="AU154" s="72">
        <v>0</v>
      </c>
      <c r="AV154" s="72">
        <v>0</v>
      </c>
      <c r="AW154" s="72">
        <v>0</v>
      </c>
      <c r="AX154" s="72">
        <v>0</v>
      </c>
      <c r="AY154" s="72">
        <v>90922</v>
      </c>
      <c r="AZ154" s="72">
        <v>419568</v>
      </c>
      <c r="BA154" s="72">
        <v>12622287</v>
      </c>
      <c r="BB154" s="72">
        <v>0</v>
      </c>
      <c r="BC154" s="72">
        <v>0</v>
      </c>
      <c r="BD154" s="72">
        <v>0</v>
      </c>
      <c r="BE154" s="72">
        <v>12622287</v>
      </c>
      <c r="BF154" s="72">
        <v>0</v>
      </c>
      <c r="BG154" s="72">
        <v>0</v>
      </c>
      <c r="BH154" s="72">
        <v>0</v>
      </c>
      <c r="BI154" s="72">
        <v>0</v>
      </c>
      <c r="BJ154" s="72">
        <v>12622287</v>
      </c>
      <c r="BM154" s="72">
        <v>0</v>
      </c>
      <c r="BN154" s="72">
        <v>0</v>
      </c>
      <c r="BO154" s="72">
        <v>0</v>
      </c>
      <c r="BP154" s="72">
        <v>0</v>
      </c>
      <c r="BQ154" s="72">
        <v>0</v>
      </c>
      <c r="BR154" s="72">
        <v>0</v>
      </c>
      <c r="BS154" s="72">
        <v>62303939</v>
      </c>
    </row>
    <row r="155" spans="1:71" x14ac:dyDescent="0.2">
      <c r="A155" t="s">
        <v>724</v>
      </c>
      <c r="B155" t="s">
        <v>1140</v>
      </c>
      <c r="C155" t="s">
        <v>23</v>
      </c>
      <c r="D155" s="72">
        <v>15645000</v>
      </c>
      <c r="E155" s="72">
        <v>0</v>
      </c>
      <c r="F155" s="72">
        <v>0</v>
      </c>
      <c r="G155" s="72">
        <v>10285000</v>
      </c>
      <c r="H155" s="72">
        <v>49000</v>
      </c>
      <c r="I155" s="72">
        <v>0</v>
      </c>
      <c r="J155" s="72">
        <v>3015000</v>
      </c>
      <c r="K155" s="72">
        <v>1525000</v>
      </c>
      <c r="L155" s="72">
        <v>30519000</v>
      </c>
      <c r="M155" s="72">
        <v>0</v>
      </c>
      <c r="N155" s="72">
        <v>0</v>
      </c>
      <c r="O155" s="72">
        <v>0</v>
      </c>
      <c r="P155" s="72">
        <v>1333000</v>
      </c>
      <c r="Q155" s="72">
        <v>40000</v>
      </c>
      <c r="R155" s="72">
        <v>1373000</v>
      </c>
      <c r="S155" s="72">
        <v>31892000</v>
      </c>
      <c r="T155" s="72">
        <v>15300000</v>
      </c>
      <c r="U155" s="72">
        <v>5200000</v>
      </c>
      <c r="V155" s="72">
        <v>7900000</v>
      </c>
      <c r="W155" s="72">
        <v>600000</v>
      </c>
      <c r="X155" s="72">
        <v>100000</v>
      </c>
      <c r="Y155" s="72">
        <v>0</v>
      </c>
      <c r="Z155" s="72">
        <v>0</v>
      </c>
      <c r="AA155" s="72">
        <v>0</v>
      </c>
      <c r="AB155" s="72">
        <v>0</v>
      </c>
      <c r="AC155" s="72">
        <v>0</v>
      </c>
      <c r="AD155" s="72">
        <v>0</v>
      </c>
      <c r="AE155" s="72">
        <v>0</v>
      </c>
      <c r="AF155" s="72">
        <v>0</v>
      </c>
      <c r="AG155" s="72">
        <v>1423000</v>
      </c>
      <c r="AH155" s="72">
        <v>30523000</v>
      </c>
      <c r="AI155" s="72">
        <v>150000</v>
      </c>
      <c r="AJ155" s="72">
        <v>1325000</v>
      </c>
      <c r="AK155" s="72">
        <v>0</v>
      </c>
      <c r="AL155" s="72">
        <v>1475000</v>
      </c>
      <c r="AM155" s="72">
        <v>31998000</v>
      </c>
      <c r="AN155" s="72">
        <v>-106000</v>
      </c>
      <c r="AO155" s="72">
        <v>14484866</v>
      </c>
      <c r="AP155" s="72">
        <v>14378866</v>
      </c>
      <c r="AQ155" s="72">
        <v>3250000</v>
      </c>
      <c r="AR155" s="72">
        <v>0</v>
      </c>
      <c r="AS155" s="72">
        <v>0</v>
      </c>
      <c r="AT155" s="72">
        <v>0</v>
      </c>
      <c r="AU155" s="72">
        <v>0</v>
      </c>
      <c r="AV155" s="72">
        <v>0</v>
      </c>
      <c r="AW155" s="72">
        <v>0</v>
      </c>
      <c r="AX155" s="72">
        <v>0</v>
      </c>
      <c r="AY155" s="72">
        <v>0</v>
      </c>
      <c r="AZ155" s="72">
        <v>0</v>
      </c>
      <c r="BA155" s="72">
        <v>11128866</v>
      </c>
      <c r="BB155" s="72">
        <v>0</v>
      </c>
      <c r="BC155" s="72">
        <v>0</v>
      </c>
      <c r="BD155" s="72">
        <v>0</v>
      </c>
      <c r="BE155" s="72">
        <v>11128866</v>
      </c>
      <c r="BF155" s="72">
        <v>0</v>
      </c>
      <c r="BG155" s="72">
        <v>0</v>
      </c>
      <c r="BH155" s="72">
        <v>0</v>
      </c>
      <c r="BI155" s="72">
        <v>0</v>
      </c>
      <c r="BJ155" s="72">
        <v>11128866</v>
      </c>
      <c r="BK155" s="72">
        <v>150</v>
      </c>
      <c r="BL155" s="72">
        <v>1525</v>
      </c>
      <c r="BM155" s="72">
        <v>0</v>
      </c>
      <c r="BN155" s="72">
        <v>0</v>
      </c>
      <c r="BO155" s="72">
        <v>0</v>
      </c>
      <c r="BP155" s="72">
        <v>0</v>
      </c>
      <c r="BQ155" s="72">
        <v>0</v>
      </c>
      <c r="BR155" s="72">
        <v>0</v>
      </c>
      <c r="BS155" s="72">
        <v>31998000</v>
      </c>
    </row>
    <row r="156" spans="1:71" x14ac:dyDescent="0.2">
      <c r="A156" t="s">
        <v>726</v>
      </c>
      <c r="B156" t="s">
        <v>1416</v>
      </c>
      <c r="C156" t="s">
        <v>51</v>
      </c>
      <c r="D156" s="72">
        <v>3886824</v>
      </c>
      <c r="E156" s="72">
        <v>0</v>
      </c>
      <c r="F156" s="72">
        <v>0</v>
      </c>
      <c r="G156" s="72">
        <v>12634432</v>
      </c>
      <c r="H156" s="72">
        <v>32426</v>
      </c>
      <c r="I156" s="72">
        <v>0</v>
      </c>
      <c r="J156" s="72">
        <v>556117</v>
      </c>
      <c r="K156" s="72">
        <v>1034914</v>
      </c>
      <c r="L156" s="72">
        <v>18144713</v>
      </c>
      <c r="M156" s="72">
        <v>0</v>
      </c>
      <c r="N156" s="72">
        <v>0</v>
      </c>
      <c r="O156" s="72">
        <v>0</v>
      </c>
      <c r="P156" s="72">
        <v>0</v>
      </c>
      <c r="Q156" s="72">
        <v>2500</v>
      </c>
      <c r="R156" s="72">
        <v>2500</v>
      </c>
      <c r="S156" s="72">
        <v>18147213</v>
      </c>
      <c r="T156" s="72">
        <v>10176630</v>
      </c>
      <c r="U156" s="72">
        <v>3436719</v>
      </c>
      <c r="V156" s="72">
        <v>2878423</v>
      </c>
      <c r="W156" s="72">
        <v>693546</v>
      </c>
      <c r="X156" s="72">
        <v>78000</v>
      </c>
      <c r="Y156" s="72">
        <v>0</v>
      </c>
      <c r="Z156" s="72">
        <v>0</v>
      </c>
      <c r="AA156" s="72">
        <v>0</v>
      </c>
      <c r="AB156" s="72">
        <v>0</v>
      </c>
      <c r="AC156" s="72">
        <v>0</v>
      </c>
      <c r="AD156" s="72">
        <v>0</v>
      </c>
      <c r="AE156" s="72">
        <v>0</v>
      </c>
      <c r="AF156" s="72">
        <v>0</v>
      </c>
      <c r="AG156" s="72">
        <v>445486</v>
      </c>
      <c r="AH156" s="72">
        <v>17708803</v>
      </c>
      <c r="AI156" s="72">
        <v>145000</v>
      </c>
      <c r="AJ156" s="72">
        <v>0</v>
      </c>
      <c r="AK156" s="72">
        <v>0</v>
      </c>
      <c r="AL156" s="72">
        <v>145000</v>
      </c>
      <c r="AM156" s="72">
        <v>17853803</v>
      </c>
      <c r="AN156" s="72">
        <v>293410</v>
      </c>
      <c r="AO156" s="72">
        <v>648462</v>
      </c>
      <c r="AP156" s="72">
        <v>941872</v>
      </c>
      <c r="AQ156" s="72">
        <v>90000</v>
      </c>
      <c r="AR156" s="72">
        <v>0</v>
      </c>
      <c r="AS156" s="72">
        <v>0</v>
      </c>
      <c r="AT156" s="72">
        <v>25226</v>
      </c>
      <c r="AU156" s="72">
        <v>0</v>
      </c>
      <c r="AV156" s="72">
        <v>0</v>
      </c>
      <c r="AW156" s="72">
        <v>0</v>
      </c>
      <c r="AX156" s="72">
        <v>0</v>
      </c>
      <c r="AY156" s="72">
        <v>3336</v>
      </c>
      <c r="AZ156" s="72">
        <v>28562</v>
      </c>
      <c r="BA156" s="72">
        <v>823310</v>
      </c>
      <c r="BB156" s="72">
        <v>0</v>
      </c>
      <c r="BC156" s="72">
        <v>0</v>
      </c>
      <c r="BD156" s="72">
        <v>0</v>
      </c>
      <c r="BE156" s="72">
        <v>823310</v>
      </c>
      <c r="BF156" s="72">
        <v>0</v>
      </c>
      <c r="BG156" s="72">
        <v>0</v>
      </c>
      <c r="BH156" s="72">
        <v>0</v>
      </c>
      <c r="BI156" s="72">
        <v>0</v>
      </c>
      <c r="BJ156" s="72">
        <v>823310</v>
      </c>
      <c r="BK156" s="72">
        <v>0</v>
      </c>
      <c r="BL156" s="72">
        <v>0</v>
      </c>
      <c r="BM156" s="72">
        <v>0</v>
      </c>
      <c r="BN156" s="72">
        <v>0</v>
      </c>
      <c r="BO156" s="72">
        <v>0</v>
      </c>
      <c r="BP156" s="72">
        <v>0</v>
      </c>
      <c r="BQ156" s="72">
        <v>0</v>
      </c>
      <c r="BR156" s="72">
        <v>0</v>
      </c>
      <c r="BS156" s="72">
        <v>18147213</v>
      </c>
    </row>
    <row r="157" spans="1:71" x14ac:dyDescent="0.2">
      <c r="A157" t="s">
        <v>738</v>
      </c>
      <c r="B157" t="s">
        <v>1427</v>
      </c>
      <c r="C157" t="s">
        <v>49</v>
      </c>
      <c r="D157" s="72">
        <v>1632682</v>
      </c>
      <c r="E157" s="72">
        <v>157884</v>
      </c>
      <c r="F157" s="72">
        <v>0</v>
      </c>
      <c r="G157" s="72">
        <v>10988498</v>
      </c>
      <c r="H157" s="72">
        <v>21648</v>
      </c>
      <c r="I157" s="72">
        <v>0</v>
      </c>
      <c r="J157" s="72">
        <v>291111</v>
      </c>
      <c r="K157" s="72">
        <v>613764</v>
      </c>
      <c r="L157" s="72">
        <v>13705587</v>
      </c>
      <c r="M157" s="72">
        <v>0</v>
      </c>
      <c r="N157" s="72">
        <v>0</v>
      </c>
      <c r="O157" s="72">
        <v>0</v>
      </c>
      <c r="P157" s="72">
        <v>336805</v>
      </c>
      <c r="Q157" s="72">
        <v>0</v>
      </c>
      <c r="R157" s="72">
        <v>336805</v>
      </c>
      <c r="S157" s="72">
        <v>14042392</v>
      </c>
      <c r="T157" s="72">
        <v>6781561</v>
      </c>
      <c r="U157" s="72">
        <v>3586864</v>
      </c>
      <c r="V157" s="72">
        <v>2582018</v>
      </c>
      <c r="W157" s="72">
        <v>455411</v>
      </c>
      <c r="X157" s="72">
        <v>351028</v>
      </c>
      <c r="Y157" s="72">
        <v>0</v>
      </c>
      <c r="Z157" s="72">
        <v>0</v>
      </c>
      <c r="AA157" s="72">
        <v>0</v>
      </c>
      <c r="AB157" s="72">
        <v>0</v>
      </c>
      <c r="AC157" s="72">
        <v>0</v>
      </c>
      <c r="AD157" s="72">
        <v>0</v>
      </c>
      <c r="AE157" s="72">
        <v>0</v>
      </c>
      <c r="AF157" s="72">
        <v>0</v>
      </c>
      <c r="AG157" s="72">
        <v>177979</v>
      </c>
      <c r="AH157" s="72">
        <v>13934861</v>
      </c>
      <c r="AI157" s="72">
        <v>0</v>
      </c>
      <c r="AJ157" s="72">
        <v>40000</v>
      </c>
      <c r="AK157" s="72">
        <v>0</v>
      </c>
      <c r="AL157" s="72">
        <v>40000</v>
      </c>
      <c r="AM157" s="72">
        <v>13974861</v>
      </c>
      <c r="AN157" s="72">
        <v>67531</v>
      </c>
      <c r="AO157" s="72">
        <v>6375506</v>
      </c>
      <c r="AP157" s="72">
        <v>6443037</v>
      </c>
      <c r="AQ157" s="72">
        <v>65000</v>
      </c>
      <c r="AR157" s="72">
        <v>0</v>
      </c>
      <c r="AS157" s="72">
        <v>0</v>
      </c>
      <c r="AT157" s="72">
        <v>56668</v>
      </c>
      <c r="AU157" s="72">
        <v>0</v>
      </c>
      <c r="AV157" s="72">
        <v>0</v>
      </c>
      <c r="AW157" s="72">
        <v>0</v>
      </c>
      <c r="AX157" s="72">
        <v>0</v>
      </c>
      <c r="AY157" s="72">
        <v>0</v>
      </c>
      <c r="AZ157" s="72">
        <v>56668</v>
      </c>
      <c r="BA157" s="72">
        <v>6321369</v>
      </c>
      <c r="BB157" s="72">
        <v>0</v>
      </c>
      <c r="BC157" s="72">
        <v>0</v>
      </c>
      <c r="BD157" s="72">
        <v>0</v>
      </c>
      <c r="BE157" s="72">
        <v>6321369</v>
      </c>
      <c r="BF157" s="72">
        <v>0</v>
      </c>
      <c r="BG157" s="72">
        <v>0</v>
      </c>
      <c r="BH157" s="72">
        <v>0</v>
      </c>
      <c r="BI157" s="72">
        <v>0</v>
      </c>
      <c r="BJ157" s="72">
        <v>6321369</v>
      </c>
      <c r="BM157" s="72">
        <v>0</v>
      </c>
      <c r="BN157" s="72">
        <v>0</v>
      </c>
      <c r="BO157" s="72">
        <v>0</v>
      </c>
      <c r="BP157" s="72">
        <v>0</v>
      </c>
      <c r="BQ157" s="72">
        <v>0</v>
      </c>
      <c r="BR157" s="72">
        <v>0</v>
      </c>
      <c r="BS157" s="72">
        <v>14042392</v>
      </c>
    </row>
    <row r="158" spans="1:71" x14ac:dyDescent="0.2">
      <c r="A158" t="s">
        <v>739</v>
      </c>
      <c r="B158" t="s">
        <v>1428</v>
      </c>
      <c r="C158" t="s">
        <v>30</v>
      </c>
      <c r="D158" s="72">
        <v>656239</v>
      </c>
      <c r="E158" s="72">
        <v>100725</v>
      </c>
      <c r="F158" s="72">
        <v>0</v>
      </c>
      <c r="G158" s="72">
        <v>6155038</v>
      </c>
      <c r="H158" s="72">
        <v>13586</v>
      </c>
      <c r="I158" s="72">
        <v>0</v>
      </c>
      <c r="J158" s="72">
        <v>160903</v>
      </c>
      <c r="K158" s="72">
        <v>643443</v>
      </c>
      <c r="L158" s="72">
        <v>7729934</v>
      </c>
      <c r="M158" s="72">
        <v>0</v>
      </c>
      <c r="N158" s="72">
        <v>0</v>
      </c>
      <c r="O158" s="72">
        <v>279087</v>
      </c>
      <c r="P158" s="72">
        <v>0</v>
      </c>
      <c r="Q158" s="72">
        <v>0</v>
      </c>
      <c r="R158" s="72">
        <v>279087</v>
      </c>
      <c r="S158" s="72">
        <v>8009021</v>
      </c>
      <c r="T158" s="72">
        <v>3982390</v>
      </c>
      <c r="U158" s="72">
        <v>2138517</v>
      </c>
      <c r="V158" s="72">
        <v>1734684</v>
      </c>
      <c r="W158" s="72">
        <v>193047</v>
      </c>
      <c r="X158" s="72">
        <v>5000</v>
      </c>
      <c r="Y158" s="72">
        <v>0</v>
      </c>
      <c r="Z158" s="72">
        <v>0</v>
      </c>
      <c r="AA158" s="72">
        <v>0</v>
      </c>
      <c r="AB158" s="72">
        <v>0</v>
      </c>
      <c r="AC158" s="72">
        <v>0</v>
      </c>
      <c r="AD158" s="72">
        <v>0</v>
      </c>
      <c r="AE158" s="72">
        <v>0</v>
      </c>
      <c r="AF158" s="72">
        <v>0</v>
      </c>
      <c r="AG158" s="72">
        <v>54934</v>
      </c>
      <c r="AH158" s="72">
        <v>8108572</v>
      </c>
      <c r="AI158" s="72">
        <v>0</v>
      </c>
      <c r="AJ158" s="72">
        <v>0</v>
      </c>
      <c r="AK158" s="72">
        <v>0</v>
      </c>
      <c r="AL158" s="72">
        <v>0</v>
      </c>
      <c r="AM158" s="72">
        <v>8108572</v>
      </c>
      <c r="AN158" s="72">
        <v>-99551</v>
      </c>
      <c r="AO158" s="72">
        <v>1274655</v>
      </c>
      <c r="AP158" s="72">
        <v>1175104</v>
      </c>
      <c r="AQ158" s="72">
        <v>0</v>
      </c>
      <c r="AR158" s="72">
        <v>0</v>
      </c>
      <c r="AS158" s="72">
        <v>0</v>
      </c>
      <c r="AT158" s="72">
        <v>0</v>
      </c>
      <c r="AU158" s="72">
        <v>0</v>
      </c>
      <c r="AV158" s="72">
        <v>0</v>
      </c>
      <c r="AW158" s="72">
        <v>0</v>
      </c>
      <c r="AX158" s="72">
        <v>0</v>
      </c>
      <c r="AY158" s="72">
        <v>0</v>
      </c>
      <c r="AZ158" s="72">
        <v>0</v>
      </c>
      <c r="BA158" s="72">
        <v>1175104</v>
      </c>
      <c r="BB158" s="72">
        <v>0</v>
      </c>
      <c r="BC158" s="72">
        <v>0</v>
      </c>
      <c r="BD158" s="72">
        <v>0</v>
      </c>
      <c r="BE158" s="72">
        <v>1175104</v>
      </c>
      <c r="BF158" s="72">
        <v>0</v>
      </c>
      <c r="BG158" s="72">
        <v>0</v>
      </c>
      <c r="BH158" s="72">
        <v>0</v>
      </c>
      <c r="BI158" s="72">
        <v>0</v>
      </c>
      <c r="BJ158" s="72">
        <v>1175104</v>
      </c>
      <c r="BM158" s="72">
        <v>0</v>
      </c>
      <c r="BN158" s="72">
        <v>0</v>
      </c>
      <c r="BO158" s="72">
        <v>0</v>
      </c>
      <c r="BP158" s="72">
        <v>0</v>
      </c>
      <c r="BQ158" s="72">
        <v>0</v>
      </c>
      <c r="BR158" s="72">
        <v>0</v>
      </c>
      <c r="BS158" s="72">
        <v>8108572</v>
      </c>
    </row>
    <row r="159" spans="1:71" x14ac:dyDescent="0.2">
      <c r="A159" t="s">
        <v>751</v>
      </c>
      <c r="B159" t="s">
        <v>1439</v>
      </c>
      <c r="C159" t="s">
        <v>35</v>
      </c>
      <c r="D159" s="72">
        <v>103488337</v>
      </c>
      <c r="E159" s="72">
        <v>2686613</v>
      </c>
      <c r="F159" s="72">
        <v>0</v>
      </c>
      <c r="G159" s="72">
        <v>33430797</v>
      </c>
      <c r="H159" s="72">
        <v>61119</v>
      </c>
      <c r="I159" s="72">
        <v>0</v>
      </c>
      <c r="J159" s="72">
        <v>13924027</v>
      </c>
      <c r="K159" s="72">
        <v>5777846</v>
      </c>
      <c r="L159" s="72">
        <v>159368739</v>
      </c>
      <c r="M159" s="72">
        <v>0</v>
      </c>
      <c r="N159" s="72">
        <v>0</v>
      </c>
      <c r="O159" s="72">
        <v>0</v>
      </c>
      <c r="P159" s="72">
        <v>0</v>
      </c>
      <c r="Q159" s="72">
        <v>654000</v>
      </c>
      <c r="R159" s="72">
        <v>654000</v>
      </c>
      <c r="S159" s="72">
        <v>160022739</v>
      </c>
      <c r="T159" s="72">
        <v>81821396</v>
      </c>
      <c r="U159" s="72">
        <v>27987858</v>
      </c>
      <c r="V159" s="72">
        <v>17735688</v>
      </c>
      <c r="W159" s="72">
        <v>2732180</v>
      </c>
      <c r="X159" s="72">
        <v>2190178</v>
      </c>
      <c r="Y159" s="72">
        <v>0</v>
      </c>
      <c r="Z159" s="72">
        <v>0</v>
      </c>
      <c r="AA159" s="72">
        <v>0</v>
      </c>
      <c r="AB159" s="72">
        <v>0</v>
      </c>
      <c r="AC159" s="72">
        <v>0</v>
      </c>
      <c r="AD159" s="72">
        <v>0</v>
      </c>
      <c r="AE159" s="72">
        <v>0</v>
      </c>
      <c r="AF159" s="72">
        <v>0</v>
      </c>
      <c r="AG159" s="72">
        <v>8417306</v>
      </c>
      <c r="AH159" s="72">
        <v>140884606</v>
      </c>
      <c r="AI159" s="72">
        <v>165771</v>
      </c>
      <c r="AJ159" s="72">
        <v>0</v>
      </c>
      <c r="AK159" s="72">
        <v>0</v>
      </c>
      <c r="AL159" s="72">
        <v>165771</v>
      </c>
      <c r="AM159" s="72">
        <v>141050377</v>
      </c>
      <c r="AN159" s="72">
        <v>18972362</v>
      </c>
      <c r="AO159" s="72">
        <v>16960643</v>
      </c>
      <c r="AP159" s="72">
        <v>35933005</v>
      </c>
      <c r="AQ159" s="72">
        <v>0</v>
      </c>
      <c r="AR159" s="72">
        <v>0</v>
      </c>
      <c r="AS159" s="72">
        <v>0</v>
      </c>
      <c r="AT159" s="72">
        <v>13000000</v>
      </c>
      <c r="AU159" s="72">
        <v>0</v>
      </c>
      <c r="AV159" s="72">
        <v>0</v>
      </c>
      <c r="AW159" s="72">
        <v>0</v>
      </c>
      <c r="AX159" s="72">
        <v>0</v>
      </c>
      <c r="AY159" s="72">
        <v>0</v>
      </c>
      <c r="AZ159" s="72">
        <v>13000000</v>
      </c>
      <c r="BA159" s="72">
        <v>22933005</v>
      </c>
      <c r="BB159" s="72">
        <v>0</v>
      </c>
      <c r="BC159" s="72">
        <v>0</v>
      </c>
      <c r="BD159" s="72">
        <v>0</v>
      </c>
      <c r="BE159" s="72">
        <v>22933005</v>
      </c>
      <c r="BF159" s="72">
        <v>0</v>
      </c>
      <c r="BG159" s="72">
        <v>0</v>
      </c>
      <c r="BH159" s="72">
        <v>0</v>
      </c>
      <c r="BI159" s="72">
        <v>0</v>
      </c>
      <c r="BJ159" s="72">
        <v>22933005</v>
      </c>
      <c r="BM159" s="72">
        <v>0</v>
      </c>
      <c r="BN159" s="72">
        <v>0</v>
      </c>
      <c r="BO159" s="72">
        <v>0</v>
      </c>
      <c r="BP159" s="72">
        <v>0</v>
      </c>
      <c r="BQ159" s="72">
        <v>0</v>
      </c>
      <c r="BR159" s="72">
        <v>0</v>
      </c>
      <c r="BS159" s="72">
        <v>160022739</v>
      </c>
    </row>
    <row r="160" spans="1:71" x14ac:dyDescent="0.2">
      <c r="A160" t="s">
        <v>741</v>
      </c>
      <c r="B160" t="s">
        <v>1430</v>
      </c>
      <c r="C160" t="s">
        <v>38</v>
      </c>
      <c r="D160" s="72">
        <v>15400000</v>
      </c>
      <c r="E160" s="72">
        <v>520000</v>
      </c>
      <c r="F160" s="72">
        <v>0</v>
      </c>
      <c r="G160" s="72">
        <v>15164000</v>
      </c>
      <c r="H160" s="72">
        <v>60000</v>
      </c>
      <c r="I160" s="72">
        <v>0</v>
      </c>
      <c r="J160" s="72">
        <v>3912000</v>
      </c>
      <c r="K160" s="72">
        <v>1745000</v>
      </c>
      <c r="L160" s="72">
        <v>36801000</v>
      </c>
      <c r="M160" s="72">
        <v>0</v>
      </c>
      <c r="N160" s="72">
        <v>0</v>
      </c>
      <c r="O160" s="72">
        <v>0</v>
      </c>
      <c r="P160" s="72">
        <v>0</v>
      </c>
      <c r="Q160" s="72">
        <v>120000</v>
      </c>
      <c r="R160" s="72">
        <v>120000</v>
      </c>
      <c r="S160" s="72">
        <v>36921000</v>
      </c>
      <c r="T160" s="72">
        <v>22606677</v>
      </c>
      <c r="U160" s="72">
        <v>8210637</v>
      </c>
      <c r="V160" s="72">
        <v>4159782</v>
      </c>
      <c r="W160" s="72">
        <v>1185052</v>
      </c>
      <c r="X160" s="72">
        <v>474932</v>
      </c>
      <c r="Y160" s="72">
        <v>0</v>
      </c>
      <c r="Z160" s="72">
        <v>0</v>
      </c>
      <c r="AA160" s="72">
        <v>0</v>
      </c>
      <c r="AB160" s="72">
        <v>0</v>
      </c>
      <c r="AC160" s="72">
        <v>0</v>
      </c>
      <c r="AD160" s="72">
        <v>140000</v>
      </c>
      <c r="AE160" s="72">
        <v>0</v>
      </c>
      <c r="AF160" s="72">
        <v>8000</v>
      </c>
      <c r="AG160" s="72">
        <v>1413236</v>
      </c>
      <c r="AH160" s="72">
        <v>38198316</v>
      </c>
      <c r="AI160" s="72">
        <v>0</v>
      </c>
      <c r="AJ160" s="72">
        <v>0</v>
      </c>
      <c r="AK160" s="72">
        <v>1400</v>
      </c>
      <c r="AL160" s="72">
        <v>1400</v>
      </c>
      <c r="AM160" s="72">
        <v>38199716</v>
      </c>
      <c r="AN160" s="72">
        <v>-1278716</v>
      </c>
      <c r="AO160" s="72">
        <v>11515400</v>
      </c>
      <c r="AP160" s="72">
        <v>10236684</v>
      </c>
      <c r="AQ160" s="72">
        <v>525300</v>
      </c>
      <c r="AR160" s="72">
        <v>0</v>
      </c>
      <c r="AS160" s="72">
        <v>0</v>
      </c>
      <c r="AT160" s="72">
        <v>0</v>
      </c>
      <c r="AU160" s="72">
        <v>0</v>
      </c>
      <c r="AV160" s="72">
        <v>0</v>
      </c>
      <c r="AW160" s="72">
        <v>0</v>
      </c>
      <c r="AX160" s="72">
        <v>0</v>
      </c>
      <c r="AY160" s="72">
        <v>0</v>
      </c>
      <c r="AZ160" s="72">
        <v>0</v>
      </c>
      <c r="BA160" s="72">
        <v>9711384</v>
      </c>
      <c r="BB160" s="72">
        <v>0</v>
      </c>
      <c r="BC160" s="72">
        <v>0</v>
      </c>
      <c r="BD160" s="72">
        <v>0</v>
      </c>
      <c r="BE160" s="72">
        <v>9711384</v>
      </c>
      <c r="BF160" s="72">
        <v>0</v>
      </c>
      <c r="BG160" s="72">
        <v>0</v>
      </c>
      <c r="BH160" s="72">
        <v>0</v>
      </c>
      <c r="BI160" s="72">
        <v>0</v>
      </c>
      <c r="BJ160" s="72">
        <v>9711384</v>
      </c>
      <c r="BK160" s="72">
        <v>371</v>
      </c>
      <c r="BL160" s="72">
        <v>3509</v>
      </c>
      <c r="BM160" s="72">
        <v>0</v>
      </c>
      <c r="BN160" s="72">
        <v>0</v>
      </c>
      <c r="BO160" s="72">
        <v>0</v>
      </c>
      <c r="BP160" s="72">
        <v>0</v>
      </c>
      <c r="BQ160" s="72">
        <v>0</v>
      </c>
      <c r="BR160" s="72">
        <v>0</v>
      </c>
      <c r="BS160" s="72">
        <v>38199716</v>
      </c>
    </row>
    <row r="161" spans="1:71" x14ac:dyDescent="0.2">
      <c r="A161" t="s">
        <v>753</v>
      </c>
      <c r="B161" t="s">
        <v>1441</v>
      </c>
      <c r="C161" t="s">
        <v>23</v>
      </c>
      <c r="D161" s="72">
        <v>38752069</v>
      </c>
      <c r="E161" s="72">
        <v>41744</v>
      </c>
      <c r="F161" s="72">
        <v>0</v>
      </c>
      <c r="G161" s="72">
        <v>2449836</v>
      </c>
      <c r="H161" s="72">
        <v>0</v>
      </c>
      <c r="I161" s="72">
        <v>0</v>
      </c>
      <c r="J161" s="72">
        <v>5676826</v>
      </c>
      <c r="K161" s="72">
        <v>525610</v>
      </c>
      <c r="L161" s="72">
        <v>47446085</v>
      </c>
      <c r="M161" s="72">
        <v>0</v>
      </c>
      <c r="N161" s="72">
        <v>0</v>
      </c>
      <c r="O161" s="72">
        <v>0</v>
      </c>
      <c r="P161" s="72">
        <v>38606</v>
      </c>
      <c r="Q161" s="72">
        <v>35000</v>
      </c>
      <c r="R161" s="72">
        <v>73606</v>
      </c>
      <c r="S161" s="72">
        <v>47519691</v>
      </c>
      <c r="T161" s="72">
        <v>33353588</v>
      </c>
      <c r="U161" s="72">
        <v>12334091</v>
      </c>
      <c r="V161" s="72">
        <v>5172440</v>
      </c>
      <c r="W161" s="72">
        <v>1860150</v>
      </c>
      <c r="X161" s="72">
        <v>1046069</v>
      </c>
      <c r="Y161" s="72">
        <v>0</v>
      </c>
      <c r="Z161" s="72">
        <v>0</v>
      </c>
      <c r="AA161" s="72">
        <v>0</v>
      </c>
      <c r="AB161" s="72">
        <v>0</v>
      </c>
      <c r="AC161" s="72">
        <v>0</v>
      </c>
      <c r="AD161" s="72">
        <v>0</v>
      </c>
      <c r="AE161" s="72">
        <v>0</v>
      </c>
      <c r="AF161" s="72">
        <v>0</v>
      </c>
      <c r="AG161" s="72">
        <v>835000</v>
      </c>
      <c r="AH161" s="72">
        <v>54601338</v>
      </c>
      <c r="AI161" s="72">
        <v>10000</v>
      </c>
      <c r="AJ161" s="72">
        <v>50000</v>
      </c>
      <c r="AK161" s="72">
        <v>0</v>
      </c>
      <c r="AL161" s="72">
        <v>60000</v>
      </c>
      <c r="AM161" s="72">
        <v>54661338</v>
      </c>
      <c r="AN161" s="72">
        <v>-7141647</v>
      </c>
      <c r="AO161" s="72">
        <v>19383538</v>
      </c>
      <c r="AP161" s="72">
        <v>12241891</v>
      </c>
      <c r="AQ161" s="72">
        <v>3700000</v>
      </c>
      <c r="AR161" s="72">
        <v>0</v>
      </c>
      <c r="AS161" s="72">
        <v>0</v>
      </c>
      <c r="AT161" s="72">
        <v>0</v>
      </c>
      <c r="AU161" s="72">
        <v>0</v>
      </c>
      <c r="AV161" s="72">
        <v>0</v>
      </c>
      <c r="AW161" s="72">
        <v>0</v>
      </c>
      <c r="AX161" s="72">
        <v>0</v>
      </c>
      <c r="AY161" s="72">
        <v>0</v>
      </c>
      <c r="AZ161" s="72">
        <v>0</v>
      </c>
      <c r="BA161" s="72">
        <v>8541891</v>
      </c>
      <c r="BB161" s="72">
        <v>0</v>
      </c>
      <c r="BC161" s="72">
        <v>0</v>
      </c>
      <c r="BD161" s="72">
        <v>0</v>
      </c>
      <c r="BE161" s="72">
        <v>8541891</v>
      </c>
      <c r="BF161" s="72">
        <v>0</v>
      </c>
      <c r="BG161" s="72">
        <v>0</v>
      </c>
      <c r="BH161" s="72">
        <v>0</v>
      </c>
      <c r="BI161" s="72">
        <v>0</v>
      </c>
      <c r="BJ161" s="72">
        <v>8541891</v>
      </c>
      <c r="BK161" s="72">
        <v>0</v>
      </c>
      <c r="BL161" s="72">
        <v>0</v>
      </c>
      <c r="BM161" s="72">
        <v>0</v>
      </c>
      <c r="BN161" s="72">
        <v>0</v>
      </c>
      <c r="BO161" s="72">
        <v>0</v>
      </c>
      <c r="BP161" s="72">
        <v>0</v>
      </c>
      <c r="BQ161" s="72">
        <v>0</v>
      </c>
      <c r="BR161" s="72">
        <v>0</v>
      </c>
      <c r="BS161" s="72">
        <v>54661338</v>
      </c>
    </row>
    <row r="162" spans="1:71" x14ac:dyDescent="0.2">
      <c r="A162" t="s">
        <v>755</v>
      </c>
      <c r="B162" t="s">
        <v>1443</v>
      </c>
      <c r="C162" t="s">
        <v>35</v>
      </c>
      <c r="D162" s="72">
        <v>7995216</v>
      </c>
      <c r="E162" s="72">
        <v>732649</v>
      </c>
      <c r="F162" s="72">
        <v>0</v>
      </c>
      <c r="G162" s="72">
        <v>19311680</v>
      </c>
      <c r="H162" s="72">
        <v>232447</v>
      </c>
      <c r="I162" s="72">
        <v>0</v>
      </c>
      <c r="J162" s="72">
        <v>1573838</v>
      </c>
      <c r="K162" s="72">
        <v>1568181</v>
      </c>
      <c r="L162" s="72">
        <v>31414011</v>
      </c>
      <c r="M162" s="72">
        <v>0</v>
      </c>
      <c r="N162" s="72">
        <v>0</v>
      </c>
      <c r="O162" s="72">
        <v>0</v>
      </c>
      <c r="P162" s="72">
        <v>5798</v>
      </c>
      <c r="Q162" s="72">
        <v>287187</v>
      </c>
      <c r="R162" s="72">
        <v>292985</v>
      </c>
      <c r="S162" s="72">
        <v>31706996</v>
      </c>
      <c r="T162" s="72">
        <v>17506635</v>
      </c>
      <c r="U162" s="72">
        <v>6225176</v>
      </c>
      <c r="V162" s="72">
        <v>6905790</v>
      </c>
      <c r="W162" s="72">
        <v>910540</v>
      </c>
      <c r="X162" s="72">
        <v>1068798</v>
      </c>
      <c r="Y162" s="72">
        <v>0</v>
      </c>
      <c r="Z162" s="72">
        <v>0</v>
      </c>
      <c r="AA162" s="72">
        <v>0</v>
      </c>
      <c r="AB162" s="72">
        <v>0</v>
      </c>
      <c r="AC162" s="72">
        <v>0</v>
      </c>
      <c r="AD162" s="72">
        <v>0</v>
      </c>
      <c r="AE162" s="72">
        <v>0</v>
      </c>
      <c r="AF162" s="72">
        <v>0</v>
      </c>
      <c r="AG162" s="72">
        <v>327660</v>
      </c>
      <c r="AH162" s="72">
        <v>32944599</v>
      </c>
      <c r="AI162" s="72">
        <v>0</v>
      </c>
      <c r="AJ162" s="72">
        <v>0</v>
      </c>
      <c r="AK162" s="72">
        <v>0</v>
      </c>
      <c r="AL162" s="72">
        <v>0</v>
      </c>
      <c r="AM162" s="72">
        <v>32944599</v>
      </c>
      <c r="AN162" s="72">
        <v>-1237603</v>
      </c>
      <c r="AO162" s="72">
        <v>13479243</v>
      </c>
      <c r="AP162" s="72">
        <v>12241640</v>
      </c>
      <c r="AQ162" s="72">
        <v>30000</v>
      </c>
      <c r="AR162" s="72">
        <v>0</v>
      </c>
      <c r="AS162" s="72">
        <v>0</v>
      </c>
      <c r="AT162" s="72">
        <v>497896</v>
      </c>
      <c r="AU162" s="72">
        <v>0</v>
      </c>
      <c r="AV162" s="72">
        <v>0</v>
      </c>
      <c r="AW162" s="72">
        <v>0</v>
      </c>
      <c r="AX162" s="72">
        <v>0</v>
      </c>
      <c r="AY162" s="72">
        <v>0</v>
      </c>
      <c r="AZ162" s="72">
        <v>497896</v>
      </c>
      <c r="BA162" s="72">
        <v>11713744</v>
      </c>
      <c r="BB162" s="72">
        <v>0</v>
      </c>
      <c r="BC162" s="72">
        <v>0</v>
      </c>
      <c r="BD162" s="72">
        <v>0</v>
      </c>
      <c r="BE162" s="72">
        <v>11713744</v>
      </c>
      <c r="BF162" s="72">
        <v>0</v>
      </c>
      <c r="BG162" s="72">
        <v>0</v>
      </c>
      <c r="BH162" s="72">
        <v>0</v>
      </c>
      <c r="BI162" s="72">
        <v>0</v>
      </c>
      <c r="BJ162" s="72">
        <v>11713744</v>
      </c>
      <c r="BM162" s="72">
        <v>0</v>
      </c>
      <c r="BN162" s="72">
        <v>0</v>
      </c>
      <c r="BO162" s="72">
        <v>0</v>
      </c>
      <c r="BP162" s="72">
        <v>0</v>
      </c>
      <c r="BQ162" s="72">
        <v>0</v>
      </c>
      <c r="BR162" s="72">
        <v>0</v>
      </c>
      <c r="BS162" s="72">
        <v>32944599</v>
      </c>
    </row>
    <row r="163" spans="1:71" x14ac:dyDescent="0.2">
      <c r="A163" t="s">
        <v>756</v>
      </c>
      <c r="B163" t="s">
        <v>1444</v>
      </c>
      <c r="C163" t="s">
        <v>65</v>
      </c>
      <c r="D163" s="72">
        <v>11505279</v>
      </c>
      <c r="E163" s="72">
        <v>612283</v>
      </c>
      <c r="F163" s="72">
        <v>0</v>
      </c>
      <c r="G163" s="72">
        <v>1687274</v>
      </c>
      <c r="H163" s="72">
        <v>235812</v>
      </c>
      <c r="I163" s="72">
        <v>0</v>
      </c>
      <c r="J163" s="72">
        <v>3837038</v>
      </c>
      <c r="K163" s="72">
        <v>587309</v>
      </c>
      <c r="L163" s="72">
        <v>18464995</v>
      </c>
      <c r="M163" s="72">
        <v>0</v>
      </c>
      <c r="N163" s="72">
        <v>0</v>
      </c>
      <c r="O163" s="72">
        <v>0</v>
      </c>
      <c r="P163" s="72">
        <v>365000</v>
      </c>
      <c r="Q163" s="72">
        <v>0</v>
      </c>
      <c r="R163" s="72">
        <v>365000</v>
      </c>
      <c r="S163" s="72">
        <v>18829995</v>
      </c>
      <c r="T163" s="72">
        <v>9640107</v>
      </c>
      <c r="U163" s="72">
        <v>3897667</v>
      </c>
      <c r="V163" s="72">
        <v>3463125</v>
      </c>
      <c r="W163" s="72">
        <v>790877</v>
      </c>
      <c r="X163" s="72">
        <v>399708</v>
      </c>
      <c r="Y163" s="72">
        <v>0</v>
      </c>
      <c r="Z163" s="72">
        <v>0</v>
      </c>
      <c r="AA163" s="72">
        <v>0</v>
      </c>
      <c r="AB163" s="72">
        <v>0</v>
      </c>
      <c r="AC163" s="72">
        <v>0</v>
      </c>
      <c r="AD163" s="72">
        <v>0</v>
      </c>
      <c r="AE163" s="72">
        <v>0</v>
      </c>
      <c r="AF163" s="72">
        <v>0</v>
      </c>
      <c r="AG163" s="72">
        <v>314289</v>
      </c>
      <c r="AH163" s="72">
        <v>18505773</v>
      </c>
      <c r="AI163" s="72">
        <v>141165</v>
      </c>
      <c r="AJ163" s="72">
        <v>365000</v>
      </c>
      <c r="AK163" s="72">
        <v>0</v>
      </c>
      <c r="AL163" s="72">
        <v>506165</v>
      </c>
      <c r="AM163" s="72">
        <v>19011938</v>
      </c>
      <c r="AN163" s="72">
        <v>-181943</v>
      </c>
      <c r="AO163" s="72">
        <v>6015119</v>
      </c>
      <c r="AP163" s="72">
        <v>5833176</v>
      </c>
      <c r="AQ163" s="72">
        <v>500000</v>
      </c>
      <c r="AR163" s="72">
        <v>0</v>
      </c>
      <c r="AS163" s="72">
        <v>0</v>
      </c>
      <c r="AT163" s="72">
        <v>1548533</v>
      </c>
      <c r="AU163" s="72">
        <v>0</v>
      </c>
      <c r="AV163" s="72">
        <v>0</v>
      </c>
      <c r="AW163" s="72">
        <v>0</v>
      </c>
      <c r="AX163" s="72">
        <v>0</v>
      </c>
      <c r="AY163" s="72">
        <v>0</v>
      </c>
      <c r="AZ163" s="72">
        <v>1548533</v>
      </c>
      <c r="BA163" s="72">
        <v>3784643</v>
      </c>
      <c r="BB163" s="72">
        <v>0</v>
      </c>
      <c r="BC163" s="72">
        <v>0</v>
      </c>
      <c r="BD163" s="72">
        <v>0</v>
      </c>
      <c r="BE163" s="72">
        <v>3784643</v>
      </c>
      <c r="BF163" s="72">
        <v>0</v>
      </c>
      <c r="BG163" s="72">
        <v>0</v>
      </c>
      <c r="BH163" s="72">
        <v>0</v>
      </c>
      <c r="BI163" s="72">
        <v>0</v>
      </c>
      <c r="BJ163" s="72">
        <v>3784643</v>
      </c>
      <c r="BK163" s="72">
        <v>88</v>
      </c>
      <c r="BL163" s="72">
        <v>1558</v>
      </c>
      <c r="BM163" s="72">
        <v>0</v>
      </c>
      <c r="BN163" s="72">
        <v>0</v>
      </c>
      <c r="BO163" s="72">
        <v>0</v>
      </c>
      <c r="BP163" s="72">
        <v>0</v>
      </c>
      <c r="BQ163" s="72">
        <v>0</v>
      </c>
      <c r="BR163" s="72">
        <v>0</v>
      </c>
      <c r="BS163" s="72">
        <v>19011938</v>
      </c>
    </row>
    <row r="164" spans="1:71" x14ac:dyDescent="0.2">
      <c r="A164" t="s">
        <v>757</v>
      </c>
      <c r="B164" t="s">
        <v>1445</v>
      </c>
      <c r="C164" t="s">
        <v>57</v>
      </c>
      <c r="D164" s="72">
        <v>4850414</v>
      </c>
      <c r="E164" s="72">
        <v>14439</v>
      </c>
      <c r="F164" s="72">
        <v>0</v>
      </c>
      <c r="G164" s="72">
        <v>8878600</v>
      </c>
      <c r="H164" s="72">
        <v>0</v>
      </c>
      <c r="I164" s="72">
        <v>38400</v>
      </c>
      <c r="J164" s="72">
        <v>1268637</v>
      </c>
      <c r="K164" s="72">
        <v>403403</v>
      </c>
      <c r="L164" s="72">
        <v>15453893</v>
      </c>
      <c r="M164" s="72">
        <v>0</v>
      </c>
      <c r="N164" s="72">
        <v>0</v>
      </c>
      <c r="O164" s="72">
        <v>0</v>
      </c>
      <c r="P164" s="72">
        <v>447350</v>
      </c>
      <c r="Q164" s="72">
        <v>85243</v>
      </c>
      <c r="R164" s="72">
        <v>532593</v>
      </c>
      <c r="S164" s="72">
        <v>15986486</v>
      </c>
      <c r="T164" s="72">
        <v>8263590</v>
      </c>
      <c r="U164" s="72">
        <v>3388690</v>
      </c>
      <c r="V164" s="72">
        <v>2530256</v>
      </c>
      <c r="W164" s="72">
        <v>478002</v>
      </c>
      <c r="X164" s="72">
        <v>182764</v>
      </c>
      <c r="Y164" s="72">
        <v>0</v>
      </c>
      <c r="Z164" s="72">
        <v>0</v>
      </c>
      <c r="AA164" s="72">
        <v>12104</v>
      </c>
      <c r="AB164" s="72">
        <v>0</v>
      </c>
      <c r="AC164" s="72">
        <v>0</v>
      </c>
      <c r="AD164" s="72">
        <v>0</v>
      </c>
      <c r="AE164" s="72">
        <v>0</v>
      </c>
      <c r="AF164" s="72">
        <v>1516</v>
      </c>
      <c r="AG164" s="72">
        <v>369845</v>
      </c>
      <c r="AH164" s="72">
        <v>15226767</v>
      </c>
      <c r="AI164" s="72">
        <v>0</v>
      </c>
      <c r="AJ164" s="72">
        <v>532593</v>
      </c>
      <c r="AK164" s="72">
        <v>0</v>
      </c>
      <c r="AL164" s="72">
        <v>532593</v>
      </c>
      <c r="AM164" s="72">
        <v>15759360</v>
      </c>
      <c r="AN164" s="72">
        <v>227126</v>
      </c>
      <c r="AO164" s="72">
        <v>572055</v>
      </c>
      <c r="AP164" s="72">
        <v>799181</v>
      </c>
      <c r="AQ164" s="72">
        <v>458053</v>
      </c>
      <c r="AT164" s="72">
        <v>0</v>
      </c>
      <c r="AU164" s="72">
        <v>0</v>
      </c>
      <c r="AV164" s="72">
        <v>0</v>
      </c>
      <c r="AW164" s="72">
        <v>0</v>
      </c>
      <c r="AX164" s="72">
        <v>0</v>
      </c>
      <c r="AY164" s="72">
        <v>0</v>
      </c>
      <c r="AZ164" s="72">
        <v>0</v>
      </c>
      <c r="BA164" s="72">
        <v>341128</v>
      </c>
      <c r="BB164" s="72">
        <v>0</v>
      </c>
      <c r="BC164" s="72">
        <v>0</v>
      </c>
      <c r="BD164" s="72">
        <v>0</v>
      </c>
      <c r="BE164" s="72">
        <v>341128</v>
      </c>
      <c r="BF164" s="72">
        <v>0</v>
      </c>
      <c r="BG164" s="72">
        <v>0</v>
      </c>
      <c r="BH164" s="72">
        <v>0</v>
      </c>
      <c r="BI164" s="72">
        <v>0</v>
      </c>
      <c r="BJ164" s="72">
        <v>341128</v>
      </c>
      <c r="BK164" s="72">
        <v>141</v>
      </c>
      <c r="BL164" s="72">
        <v>1887</v>
      </c>
      <c r="BM164" s="72">
        <v>600391</v>
      </c>
      <c r="BN164" s="72">
        <v>83899</v>
      </c>
      <c r="BO164" s="72">
        <v>0</v>
      </c>
      <c r="BP164" s="72">
        <v>0</v>
      </c>
      <c r="BQ164" s="72">
        <v>0</v>
      </c>
      <c r="BR164" s="72">
        <v>684290</v>
      </c>
      <c r="BS164" s="72">
        <v>15986486</v>
      </c>
    </row>
    <row r="165" spans="1:71" x14ac:dyDescent="0.2">
      <c r="A165" t="s">
        <v>759</v>
      </c>
      <c r="B165" t="s">
        <v>1447</v>
      </c>
      <c r="C165" t="s">
        <v>65</v>
      </c>
      <c r="D165" s="72">
        <v>53188180</v>
      </c>
      <c r="E165" s="72">
        <v>4319020</v>
      </c>
      <c r="F165" s="72">
        <v>0</v>
      </c>
      <c r="G165" s="72">
        <v>12680260</v>
      </c>
      <c r="H165" s="72">
        <v>71190</v>
      </c>
      <c r="I165" s="72">
        <v>0</v>
      </c>
      <c r="J165" s="72">
        <v>10116570</v>
      </c>
      <c r="K165" s="72">
        <v>2133250</v>
      </c>
      <c r="L165" s="72">
        <v>82508470</v>
      </c>
      <c r="M165" s="72">
        <v>0</v>
      </c>
      <c r="N165" s="72">
        <v>0</v>
      </c>
      <c r="O165" s="72">
        <v>760140</v>
      </c>
      <c r="P165" s="72">
        <v>2488000</v>
      </c>
      <c r="Q165" s="72">
        <v>189890</v>
      </c>
      <c r="R165" s="72">
        <v>3438030</v>
      </c>
      <c r="S165" s="72">
        <v>85946500</v>
      </c>
      <c r="T165" s="72">
        <v>48025030</v>
      </c>
      <c r="U165" s="72">
        <v>12620120</v>
      </c>
      <c r="V165" s="72">
        <v>16886460</v>
      </c>
      <c r="W165" s="72">
        <v>3435710</v>
      </c>
      <c r="X165" s="72">
        <v>453830</v>
      </c>
      <c r="Y165" s="72">
        <v>0</v>
      </c>
      <c r="Z165" s="72">
        <v>0</v>
      </c>
      <c r="AA165" s="72">
        <v>270000</v>
      </c>
      <c r="AB165" s="72">
        <v>0</v>
      </c>
      <c r="AC165" s="72">
        <v>0</v>
      </c>
      <c r="AD165" s="72">
        <v>0</v>
      </c>
      <c r="AE165" s="72">
        <v>0</v>
      </c>
      <c r="AF165" s="72">
        <v>127360</v>
      </c>
      <c r="AG165" s="72">
        <v>1374600</v>
      </c>
      <c r="AH165" s="72">
        <v>83193110</v>
      </c>
      <c r="AI165" s="72">
        <v>4273310</v>
      </c>
      <c r="AJ165" s="72">
        <v>2488000</v>
      </c>
      <c r="AK165" s="72">
        <v>100</v>
      </c>
      <c r="AL165" s="72">
        <v>6761410</v>
      </c>
      <c r="AM165" s="72">
        <v>89954520</v>
      </c>
      <c r="AN165" s="72">
        <v>-4008020</v>
      </c>
      <c r="AO165" s="72">
        <v>5789500</v>
      </c>
      <c r="AP165" s="72">
        <v>1781480</v>
      </c>
      <c r="AQ165" s="72">
        <v>500000</v>
      </c>
      <c r="AR165" s="72">
        <v>0</v>
      </c>
      <c r="AS165" s="72">
        <v>0</v>
      </c>
      <c r="AT165" s="72">
        <v>0</v>
      </c>
      <c r="AU165" s="72">
        <v>0</v>
      </c>
      <c r="AW165" s="72">
        <v>0</v>
      </c>
      <c r="AX165" s="72">
        <v>0</v>
      </c>
      <c r="AY165" s="72">
        <v>0</v>
      </c>
      <c r="AZ165" s="72">
        <v>0</v>
      </c>
      <c r="BA165" s="72">
        <v>1281480</v>
      </c>
      <c r="BB165" s="72">
        <v>0</v>
      </c>
      <c r="BC165" s="72">
        <v>3585450</v>
      </c>
      <c r="BD165" s="72">
        <v>3585450</v>
      </c>
      <c r="BE165" s="72">
        <v>4866930</v>
      </c>
      <c r="BF165" s="72">
        <v>0</v>
      </c>
      <c r="BG165" s="72">
        <v>0</v>
      </c>
      <c r="BH165" s="72">
        <v>0</v>
      </c>
      <c r="BI165" s="72">
        <v>0</v>
      </c>
      <c r="BJ165" s="72">
        <v>4866930</v>
      </c>
      <c r="BK165" s="72">
        <v>581</v>
      </c>
      <c r="BM165" s="72">
        <v>0</v>
      </c>
      <c r="BR165" s="72">
        <v>0</v>
      </c>
      <c r="BS165" s="72">
        <v>89954520</v>
      </c>
    </row>
    <row r="166" spans="1:71" x14ac:dyDescent="0.2">
      <c r="A166" t="s">
        <v>760</v>
      </c>
      <c r="B166" t="s">
        <v>1448</v>
      </c>
      <c r="C166" t="s">
        <v>45</v>
      </c>
      <c r="D166" s="72">
        <v>8837000</v>
      </c>
      <c r="E166" s="72">
        <v>0</v>
      </c>
      <c r="F166" s="72">
        <v>3732434</v>
      </c>
      <c r="G166" s="72">
        <v>8661600</v>
      </c>
      <c r="H166" s="72">
        <v>80000</v>
      </c>
      <c r="I166" s="72">
        <v>0</v>
      </c>
      <c r="J166" s="72">
        <v>1584067</v>
      </c>
      <c r="K166" s="72">
        <v>960700</v>
      </c>
      <c r="L166" s="72">
        <v>23855801</v>
      </c>
      <c r="M166" s="72">
        <v>0</v>
      </c>
      <c r="N166" s="72">
        <v>0</v>
      </c>
      <c r="O166" s="72">
        <v>0</v>
      </c>
      <c r="P166" s="72">
        <v>11016</v>
      </c>
      <c r="Q166" s="72">
        <v>50350</v>
      </c>
      <c r="R166" s="72">
        <v>61366</v>
      </c>
      <c r="S166" s="72">
        <v>23917167</v>
      </c>
      <c r="T166" s="72">
        <v>13203800</v>
      </c>
      <c r="U166" s="72">
        <v>4709700</v>
      </c>
      <c r="V166" s="72">
        <v>5097197</v>
      </c>
      <c r="W166" s="72">
        <v>787300</v>
      </c>
      <c r="X166" s="72">
        <v>374991</v>
      </c>
      <c r="Y166" s="72">
        <v>0</v>
      </c>
      <c r="Z166" s="72">
        <v>0</v>
      </c>
      <c r="AA166" s="72">
        <v>0</v>
      </c>
      <c r="AB166" s="72">
        <v>0</v>
      </c>
      <c r="AC166" s="72">
        <v>0</v>
      </c>
      <c r="AD166" s="72">
        <v>0</v>
      </c>
      <c r="AE166" s="72">
        <v>81000</v>
      </c>
      <c r="AF166" s="72">
        <v>8903</v>
      </c>
      <c r="AG166" s="72">
        <v>452030</v>
      </c>
      <c r="AH166" s="72">
        <v>24714921</v>
      </c>
      <c r="AI166" s="72">
        <v>0</v>
      </c>
      <c r="AJ166" s="72">
        <v>0</v>
      </c>
      <c r="AK166" s="72">
        <v>0</v>
      </c>
      <c r="AL166" s="72">
        <v>0</v>
      </c>
      <c r="AM166" s="72">
        <v>24714921</v>
      </c>
      <c r="AN166" s="72">
        <v>-797754</v>
      </c>
      <c r="AO166" s="72">
        <v>3087658</v>
      </c>
      <c r="AP166" s="72">
        <v>2289904</v>
      </c>
      <c r="AQ166" s="72">
        <v>0</v>
      </c>
      <c r="AR166" s="72">
        <v>0</v>
      </c>
      <c r="AS166" s="72">
        <v>0</v>
      </c>
      <c r="AT166" s="72">
        <v>0</v>
      </c>
      <c r="AU166" s="72">
        <v>0</v>
      </c>
      <c r="AV166" s="72">
        <v>0</v>
      </c>
      <c r="AW166" s="72">
        <v>0</v>
      </c>
      <c r="AX166" s="72">
        <v>0</v>
      </c>
      <c r="AY166" s="72">
        <v>0</v>
      </c>
      <c r="AZ166" s="72">
        <v>0</v>
      </c>
      <c r="BA166" s="72">
        <v>2289904</v>
      </c>
      <c r="BB166" s="72">
        <v>0</v>
      </c>
      <c r="BC166" s="72">
        <v>0</v>
      </c>
      <c r="BD166" s="72">
        <v>0</v>
      </c>
      <c r="BE166" s="72">
        <v>2289904</v>
      </c>
      <c r="BF166" s="72">
        <v>0</v>
      </c>
      <c r="BG166" s="72">
        <v>0</v>
      </c>
      <c r="BH166" s="72">
        <v>0</v>
      </c>
      <c r="BI166" s="72">
        <v>0</v>
      </c>
      <c r="BJ166" s="72">
        <v>2289904</v>
      </c>
      <c r="BK166" s="72">
        <v>0</v>
      </c>
      <c r="BL166" s="72">
        <v>0</v>
      </c>
      <c r="BM166" s="72">
        <v>0</v>
      </c>
      <c r="BN166" s="72">
        <v>0</v>
      </c>
      <c r="BO166" s="72">
        <v>0</v>
      </c>
      <c r="BP166" s="72">
        <v>0</v>
      </c>
      <c r="BQ166" s="72">
        <v>0</v>
      </c>
      <c r="BR166" s="72">
        <v>0</v>
      </c>
      <c r="BS166" s="72">
        <v>24714921</v>
      </c>
    </row>
    <row r="167" spans="1:71" x14ac:dyDescent="0.2">
      <c r="A167" t="s">
        <v>766</v>
      </c>
      <c r="B167" t="s">
        <v>1454</v>
      </c>
      <c r="C167" t="s">
        <v>79</v>
      </c>
      <c r="D167" s="72">
        <v>25125000</v>
      </c>
      <c r="E167" s="72">
        <v>0</v>
      </c>
      <c r="G167" s="72">
        <v>7645275</v>
      </c>
      <c r="H167" s="72">
        <v>225000</v>
      </c>
      <c r="I167" s="72">
        <v>0</v>
      </c>
      <c r="J167" s="72">
        <v>8280000</v>
      </c>
      <c r="K167" s="72">
        <v>1175000</v>
      </c>
      <c r="L167" s="72">
        <v>42450275</v>
      </c>
      <c r="M167" s="72">
        <v>0</v>
      </c>
      <c r="N167" s="72">
        <v>0</v>
      </c>
      <c r="O167" s="72">
        <v>0</v>
      </c>
      <c r="P167" s="72">
        <v>387500</v>
      </c>
      <c r="Q167" s="72">
        <v>135000</v>
      </c>
      <c r="R167" s="72">
        <v>522500</v>
      </c>
      <c r="S167" s="72">
        <v>42972775</v>
      </c>
      <c r="T167" s="72">
        <v>21230000</v>
      </c>
      <c r="U167" s="72">
        <v>10175000</v>
      </c>
      <c r="V167" s="72">
        <v>6400000</v>
      </c>
      <c r="W167" s="72">
        <v>1700000</v>
      </c>
      <c r="X167" s="72">
        <v>1035000</v>
      </c>
      <c r="Y167" s="72">
        <v>0</v>
      </c>
      <c r="Z167" s="72">
        <v>0</v>
      </c>
      <c r="AA167" s="72">
        <v>0</v>
      </c>
      <c r="AB167" s="72">
        <v>0</v>
      </c>
      <c r="AC167" s="72">
        <v>0</v>
      </c>
      <c r="AD167" s="72">
        <v>172000</v>
      </c>
      <c r="AE167" s="72">
        <v>0</v>
      </c>
      <c r="AF167" s="72">
        <v>37746</v>
      </c>
      <c r="AG167" s="72">
        <v>645000</v>
      </c>
      <c r="AH167" s="72">
        <v>41394746</v>
      </c>
      <c r="AI167" s="72">
        <v>100000</v>
      </c>
      <c r="AJ167" s="72">
        <v>450000</v>
      </c>
      <c r="AK167" s="72">
        <v>0</v>
      </c>
      <c r="AL167" s="72">
        <v>550000</v>
      </c>
      <c r="AM167" s="72">
        <v>41944746</v>
      </c>
      <c r="AN167" s="72">
        <v>1028029</v>
      </c>
      <c r="AO167" s="72">
        <v>25714208</v>
      </c>
      <c r="AP167" s="72">
        <v>26742237</v>
      </c>
      <c r="AQ167" s="72">
        <v>750000</v>
      </c>
      <c r="AR167" s="72">
        <v>0</v>
      </c>
      <c r="AS167" s="72">
        <v>0</v>
      </c>
      <c r="AT167" s="72">
        <v>0</v>
      </c>
      <c r="AU167" s="72">
        <v>0</v>
      </c>
      <c r="AW167" s="72">
        <v>0</v>
      </c>
      <c r="AX167" s="72">
        <v>0</v>
      </c>
      <c r="AY167" s="72">
        <v>0</v>
      </c>
      <c r="AZ167" s="72">
        <v>0</v>
      </c>
      <c r="BA167" s="72">
        <v>25992237</v>
      </c>
      <c r="BB167" s="72">
        <v>0</v>
      </c>
      <c r="BC167" s="72">
        <v>0</v>
      </c>
      <c r="BD167" s="72">
        <v>0</v>
      </c>
      <c r="BE167" s="72">
        <v>25992237</v>
      </c>
      <c r="BF167" s="72">
        <v>0</v>
      </c>
      <c r="BG167" s="72">
        <v>0</v>
      </c>
      <c r="BH167" s="72">
        <v>0</v>
      </c>
      <c r="BI167" s="72">
        <v>0</v>
      </c>
      <c r="BJ167" s="72">
        <v>25992237</v>
      </c>
      <c r="BS167" s="72">
        <v>42972775</v>
      </c>
    </row>
    <row r="168" spans="1:71" x14ac:dyDescent="0.2">
      <c r="A168" t="s">
        <v>767</v>
      </c>
      <c r="B168" t="s">
        <v>1455</v>
      </c>
      <c r="C168" t="s">
        <v>35</v>
      </c>
      <c r="D168" s="72">
        <v>87472154</v>
      </c>
      <c r="E168" s="72">
        <v>3470890</v>
      </c>
      <c r="F168" s="72">
        <v>0</v>
      </c>
      <c r="G168" s="72">
        <v>15349122</v>
      </c>
      <c r="H168" s="72">
        <v>91288</v>
      </c>
      <c r="I168" s="72">
        <v>200000</v>
      </c>
      <c r="J168" s="72">
        <v>20310293</v>
      </c>
      <c r="K168" s="72">
        <v>900000</v>
      </c>
      <c r="L168" s="72">
        <v>127793747</v>
      </c>
      <c r="M168" s="72">
        <v>0</v>
      </c>
      <c r="N168" s="72">
        <v>0</v>
      </c>
      <c r="O168" s="72">
        <v>0</v>
      </c>
      <c r="P168" s="72">
        <v>180000</v>
      </c>
      <c r="Q168" s="72">
        <v>0</v>
      </c>
      <c r="R168" s="72">
        <v>180000</v>
      </c>
      <c r="S168" s="72">
        <v>127973747</v>
      </c>
      <c r="T168" s="72">
        <v>70779356</v>
      </c>
      <c r="U168" s="72">
        <v>27257061</v>
      </c>
      <c r="V168" s="72">
        <v>14670151</v>
      </c>
      <c r="W168" s="72">
        <v>3568631</v>
      </c>
      <c r="X168" s="72">
        <v>247309</v>
      </c>
      <c r="Y168" s="72">
        <v>0</v>
      </c>
      <c r="Z168" s="72">
        <v>0</v>
      </c>
      <c r="AA168" s="72">
        <v>0</v>
      </c>
      <c r="AB168" s="72">
        <v>0</v>
      </c>
      <c r="AC168" s="72">
        <v>0</v>
      </c>
      <c r="AD168" s="72">
        <v>0</v>
      </c>
      <c r="AE168" s="72">
        <v>0</v>
      </c>
      <c r="AF168" s="72">
        <v>0</v>
      </c>
      <c r="AG168" s="72">
        <v>2033885</v>
      </c>
      <c r="AH168" s="72">
        <v>118556393</v>
      </c>
      <c r="AI168" s="72">
        <v>1101619</v>
      </c>
      <c r="AJ168" s="72">
        <v>0</v>
      </c>
      <c r="AK168" s="72">
        <v>0</v>
      </c>
      <c r="AL168" s="72">
        <v>1101619</v>
      </c>
      <c r="AM168" s="72">
        <v>119658012</v>
      </c>
      <c r="AN168" s="72">
        <v>8315735</v>
      </c>
      <c r="AO168" s="72">
        <v>50295720</v>
      </c>
      <c r="AP168" s="72">
        <v>58611455</v>
      </c>
      <c r="AQ168" s="72">
        <v>1649211</v>
      </c>
      <c r="AR168" s="72">
        <v>0</v>
      </c>
      <c r="AS168" s="72">
        <v>0</v>
      </c>
      <c r="AT168" s="72">
        <v>5335958</v>
      </c>
      <c r="AU168" s="72">
        <v>0</v>
      </c>
      <c r="AV168" s="72">
        <v>0</v>
      </c>
      <c r="AW168" s="72">
        <v>0</v>
      </c>
      <c r="AX168" s="72">
        <v>7500000</v>
      </c>
      <c r="AY168" s="72">
        <v>0</v>
      </c>
      <c r="AZ168" s="72">
        <v>12835958</v>
      </c>
      <c r="BA168" s="72">
        <v>44126286</v>
      </c>
      <c r="BB168" s="72">
        <v>0</v>
      </c>
      <c r="BC168" s="72">
        <v>0</v>
      </c>
      <c r="BD168" s="72">
        <v>0</v>
      </c>
      <c r="BE168" s="72">
        <v>44126286</v>
      </c>
      <c r="BF168" s="72">
        <v>0</v>
      </c>
      <c r="BG168" s="72">
        <v>0</v>
      </c>
      <c r="BH168" s="72">
        <v>0</v>
      </c>
      <c r="BI168" s="72">
        <v>0</v>
      </c>
      <c r="BJ168" s="72">
        <v>44126286</v>
      </c>
      <c r="BK168" s="72">
        <v>767</v>
      </c>
      <c r="BL168" s="72">
        <v>8788</v>
      </c>
      <c r="BM168" s="72">
        <v>0</v>
      </c>
      <c r="BN168" s="72">
        <v>0</v>
      </c>
      <c r="BO168" s="72">
        <v>0</v>
      </c>
      <c r="BP168" s="72">
        <v>0</v>
      </c>
      <c r="BQ168" s="72">
        <v>0</v>
      </c>
      <c r="BR168" s="72">
        <v>0</v>
      </c>
      <c r="BS168" s="72">
        <v>127973747</v>
      </c>
    </row>
    <row r="169" spans="1:71" x14ac:dyDescent="0.2">
      <c r="A169" t="s">
        <v>769</v>
      </c>
      <c r="B169" t="s">
        <v>1457</v>
      </c>
      <c r="C169" t="s">
        <v>67</v>
      </c>
      <c r="D169" s="72">
        <v>8300000</v>
      </c>
      <c r="E169" s="72">
        <v>0</v>
      </c>
      <c r="F169" s="72">
        <v>7205199</v>
      </c>
      <c r="G169" s="72">
        <v>5174538</v>
      </c>
      <c r="H169" s="72">
        <v>45000</v>
      </c>
      <c r="I169" s="72">
        <v>0</v>
      </c>
      <c r="J169" s="72">
        <v>1235000</v>
      </c>
      <c r="K169" s="72">
        <v>633466</v>
      </c>
      <c r="L169" s="72">
        <v>22593203</v>
      </c>
      <c r="M169" s="72">
        <v>0</v>
      </c>
      <c r="N169" s="72">
        <v>0</v>
      </c>
      <c r="O169" s="72">
        <v>0</v>
      </c>
      <c r="P169" s="72">
        <v>102960</v>
      </c>
      <c r="Q169" s="72">
        <v>0</v>
      </c>
      <c r="R169" s="72">
        <v>102960</v>
      </c>
      <c r="S169" s="72">
        <v>22696163</v>
      </c>
      <c r="T169" s="72">
        <v>13951782</v>
      </c>
      <c r="U169" s="72">
        <v>4952915</v>
      </c>
      <c r="V169" s="72">
        <v>2150000</v>
      </c>
      <c r="W169" s="72">
        <v>750000</v>
      </c>
      <c r="X169" s="72">
        <v>225000</v>
      </c>
      <c r="Y169" s="72">
        <v>0</v>
      </c>
      <c r="Z169" s="72">
        <v>0</v>
      </c>
      <c r="AA169" s="72">
        <v>56000</v>
      </c>
      <c r="AB169" s="72">
        <v>0</v>
      </c>
      <c r="AC169" s="72">
        <v>0</v>
      </c>
      <c r="AD169" s="72">
        <v>49000</v>
      </c>
      <c r="AE169" s="72">
        <v>0</v>
      </c>
      <c r="AF169" s="72">
        <v>97022</v>
      </c>
      <c r="AG169" s="72">
        <v>730000</v>
      </c>
      <c r="AH169" s="72">
        <v>22961719</v>
      </c>
      <c r="AI169" s="72">
        <v>0</v>
      </c>
      <c r="AJ169" s="72">
        <v>0</v>
      </c>
      <c r="AK169" s="72">
        <v>0</v>
      </c>
      <c r="AL169" s="72">
        <v>0</v>
      </c>
      <c r="AM169" s="72">
        <v>22961719</v>
      </c>
      <c r="AN169" s="72">
        <v>-265556</v>
      </c>
      <c r="AO169" s="72">
        <v>10114995</v>
      </c>
      <c r="AP169" s="72">
        <v>9849439</v>
      </c>
      <c r="AQ169" s="72">
        <v>175000</v>
      </c>
      <c r="AR169" s="72">
        <v>0</v>
      </c>
      <c r="AS169" s="72">
        <v>0</v>
      </c>
      <c r="AT169" s="72">
        <v>0</v>
      </c>
      <c r="AU169" s="72">
        <v>0</v>
      </c>
      <c r="AV169" s="72">
        <v>0</v>
      </c>
      <c r="AW169" s="72">
        <v>0</v>
      </c>
      <c r="AX169" s="72">
        <v>0</v>
      </c>
      <c r="AY169" s="72">
        <v>0</v>
      </c>
      <c r="AZ169" s="72">
        <v>0</v>
      </c>
      <c r="BA169" s="72">
        <v>9674439</v>
      </c>
      <c r="BB169" s="72">
        <v>0</v>
      </c>
      <c r="BC169" s="72">
        <v>0</v>
      </c>
      <c r="BD169" s="72">
        <v>0</v>
      </c>
      <c r="BE169" s="72">
        <v>9674439</v>
      </c>
      <c r="BF169" s="72">
        <v>0</v>
      </c>
      <c r="BG169" s="72">
        <v>0</v>
      </c>
      <c r="BH169" s="72">
        <v>0</v>
      </c>
      <c r="BI169" s="72">
        <v>0</v>
      </c>
      <c r="BJ169" s="72">
        <v>9674439</v>
      </c>
      <c r="BK169" s="72">
        <v>115</v>
      </c>
      <c r="BL169" s="72">
        <v>1804</v>
      </c>
      <c r="BM169" s="72">
        <v>0</v>
      </c>
      <c r="BN169" s="72">
        <v>0</v>
      </c>
      <c r="BO169" s="72">
        <v>0</v>
      </c>
      <c r="BP169" s="72">
        <v>0</v>
      </c>
      <c r="BQ169" s="72">
        <v>0</v>
      </c>
      <c r="BR169" s="72">
        <v>0</v>
      </c>
      <c r="BS169" s="72">
        <v>22961719</v>
      </c>
    </row>
    <row r="170" spans="1:71" x14ac:dyDescent="0.2">
      <c r="A170" t="s">
        <v>770</v>
      </c>
      <c r="B170" t="s">
        <v>1458</v>
      </c>
      <c r="C170" t="s">
        <v>50</v>
      </c>
      <c r="D170" s="72">
        <v>17651488</v>
      </c>
      <c r="E170" s="72">
        <v>915147</v>
      </c>
      <c r="F170" s="72">
        <v>3243413</v>
      </c>
      <c r="G170" s="72">
        <v>19713613</v>
      </c>
      <c r="H170" s="72">
        <v>78703</v>
      </c>
      <c r="I170" s="72">
        <v>0</v>
      </c>
      <c r="J170" s="72">
        <v>2973246</v>
      </c>
      <c r="K170" s="72">
        <v>1203535</v>
      </c>
      <c r="L170" s="72">
        <v>45779145</v>
      </c>
      <c r="M170" s="72">
        <v>0</v>
      </c>
      <c r="N170" s="72">
        <v>0</v>
      </c>
      <c r="O170" s="72">
        <v>130000</v>
      </c>
      <c r="P170" s="72">
        <v>0</v>
      </c>
      <c r="Q170" s="72">
        <v>16428</v>
      </c>
      <c r="R170" s="72">
        <v>146428</v>
      </c>
      <c r="S170" s="72">
        <v>45925573</v>
      </c>
      <c r="T170" s="72">
        <v>20844833</v>
      </c>
      <c r="U170" s="72">
        <v>7422877</v>
      </c>
      <c r="V170" s="72">
        <v>12010175</v>
      </c>
      <c r="W170" s="72">
        <v>963950</v>
      </c>
      <c r="X170" s="72">
        <v>133507</v>
      </c>
      <c r="Y170" s="72">
        <v>0</v>
      </c>
      <c r="Z170" s="72">
        <v>0</v>
      </c>
      <c r="AA170" s="72">
        <v>0</v>
      </c>
      <c r="AB170" s="72">
        <v>0</v>
      </c>
      <c r="AC170" s="72">
        <v>0</v>
      </c>
      <c r="AD170" s="72">
        <v>280000</v>
      </c>
      <c r="AE170" s="72">
        <v>130076</v>
      </c>
      <c r="AF170" s="72">
        <v>78859</v>
      </c>
      <c r="AG170" s="72">
        <v>2377630</v>
      </c>
      <c r="AH170" s="72">
        <v>44241907</v>
      </c>
      <c r="AI170" s="72">
        <v>159715</v>
      </c>
      <c r="AJ170" s="72">
        <v>0</v>
      </c>
      <c r="AK170" s="72">
        <v>0</v>
      </c>
      <c r="AL170" s="72">
        <v>159715</v>
      </c>
      <c r="AM170" s="72">
        <v>44401622</v>
      </c>
      <c r="AN170" s="72">
        <v>1523951</v>
      </c>
      <c r="AO170" s="72">
        <v>6784623</v>
      </c>
      <c r="AP170" s="72">
        <v>8308574</v>
      </c>
      <c r="AQ170" s="72">
        <v>623488</v>
      </c>
      <c r="AR170" s="72">
        <v>0</v>
      </c>
      <c r="AS170" s="72">
        <v>0</v>
      </c>
      <c r="AT170" s="72">
        <v>573354</v>
      </c>
      <c r="AU170" s="72">
        <v>0</v>
      </c>
      <c r="AV170" s="72">
        <v>0</v>
      </c>
      <c r="AW170" s="72">
        <v>0</v>
      </c>
      <c r="AX170" s="72">
        <v>0</v>
      </c>
      <c r="AY170" s="72">
        <v>0</v>
      </c>
      <c r="AZ170" s="72">
        <v>573354</v>
      </c>
      <c r="BA170" s="72">
        <v>7111732</v>
      </c>
      <c r="BB170" s="72">
        <v>0</v>
      </c>
      <c r="BC170" s="72">
        <v>0</v>
      </c>
      <c r="BD170" s="72">
        <v>0</v>
      </c>
      <c r="BE170" s="72">
        <v>7111731</v>
      </c>
      <c r="BF170" s="72">
        <v>0</v>
      </c>
      <c r="BG170" s="72">
        <v>0</v>
      </c>
      <c r="BH170" s="72">
        <v>0</v>
      </c>
      <c r="BI170" s="72">
        <v>0</v>
      </c>
      <c r="BJ170" s="72">
        <v>7111731</v>
      </c>
      <c r="BS170" s="72">
        <v>45925573</v>
      </c>
    </row>
    <row r="171" spans="1:71" x14ac:dyDescent="0.2">
      <c r="A171" t="s">
        <v>772</v>
      </c>
      <c r="B171" t="s">
        <v>1460</v>
      </c>
      <c r="C171" t="s">
        <v>44</v>
      </c>
      <c r="D171" s="72">
        <v>20180288</v>
      </c>
      <c r="E171" s="72">
        <v>0</v>
      </c>
      <c r="F171" s="72">
        <v>0</v>
      </c>
      <c r="G171" s="72">
        <v>81834085</v>
      </c>
      <c r="H171" s="72">
        <v>1151121</v>
      </c>
      <c r="I171" s="72">
        <v>500000</v>
      </c>
      <c r="J171" s="72">
        <v>3771436</v>
      </c>
      <c r="K171" s="72">
        <v>2500000</v>
      </c>
      <c r="L171" s="72">
        <v>109936930</v>
      </c>
      <c r="M171" s="72">
        <v>0</v>
      </c>
      <c r="N171" s="72">
        <v>0</v>
      </c>
      <c r="O171" s="72">
        <v>0</v>
      </c>
      <c r="P171" s="72">
        <v>610000</v>
      </c>
      <c r="Q171" s="72">
        <v>0</v>
      </c>
      <c r="R171" s="72">
        <v>610000</v>
      </c>
      <c r="S171" s="72">
        <v>110546930</v>
      </c>
      <c r="T171" s="72">
        <v>39066665</v>
      </c>
      <c r="U171" s="72">
        <v>18330186</v>
      </c>
      <c r="V171" s="72">
        <v>45657425</v>
      </c>
      <c r="W171" s="72">
        <v>2372100</v>
      </c>
      <c r="X171" s="72">
        <v>410500</v>
      </c>
      <c r="Y171" s="72">
        <v>0</v>
      </c>
      <c r="Z171" s="72">
        <v>0</v>
      </c>
      <c r="AA171" s="72">
        <v>791933</v>
      </c>
      <c r="AB171" s="72">
        <v>0</v>
      </c>
      <c r="AC171" s="72">
        <v>0</v>
      </c>
      <c r="AD171" s="72">
        <v>0</v>
      </c>
      <c r="AE171" s="72">
        <v>0</v>
      </c>
      <c r="AF171" s="72">
        <v>68510</v>
      </c>
      <c r="AG171" s="72">
        <v>471793</v>
      </c>
      <c r="AH171" s="72">
        <v>107169112</v>
      </c>
      <c r="AI171" s="72">
        <v>0</v>
      </c>
      <c r="AJ171" s="72">
        <v>680000</v>
      </c>
      <c r="AK171" s="72">
        <v>0</v>
      </c>
      <c r="AL171" s="72">
        <v>680000</v>
      </c>
      <c r="AM171" s="72">
        <v>107849112</v>
      </c>
      <c r="AN171" s="72">
        <v>2697818</v>
      </c>
      <c r="AO171" s="72">
        <v>9217069</v>
      </c>
      <c r="AP171" s="72">
        <v>11914887</v>
      </c>
      <c r="AR171" s="72">
        <v>0</v>
      </c>
      <c r="AS171" s="72">
        <v>0</v>
      </c>
      <c r="AT171" s="72">
        <v>0</v>
      </c>
      <c r="AU171" s="72">
        <v>0</v>
      </c>
      <c r="AV171" s="72">
        <v>0</v>
      </c>
      <c r="AW171" s="72">
        <v>0</v>
      </c>
      <c r="AX171" s="72">
        <v>0</v>
      </c>
      <c r="AY171" s="72">
        <v>0</v>
      </c>
      <c r="AZ171" s="72">
        <v>0</v>
      </c>
      <c r="BA171" s="72">
        <v>10414887</v>
      </c>
      <c r="BB171" s="72">
        <v>0</v>
      </c>
      <c r="BC171" s="72">
        <v>0</v>
      </c>
      <c r="BD171" s="72">
        <v>0</v>
      </c>
      <c r="BE171" s="72">
        <v>10414887</v>
      </c>
      <c r="BF171" s="72">
        <v>0</v>
      </c>
      <c r="BG171" s="72">
        <v>0</v>
      </c>
      <c r="BH171" s="72">
        <v>0</v>
      </c>
      <c r="BI171" s="72">
        <v>0</v>
      </c>
      <c r="BJ171" s="72">
        <v>10414887</v>
      </c>
      <c r="BK171" s="72">
        <v>0</v>
      </c>
      <c r="BL171" s="72">
        <v>0</v>
      </c>
      <c r="BM171" s="72">
        <v>0</v>
      </c>
      <c r="BN171" s="72">
        <v>0</v>
      </c>
      <c r="BO171" s="72">
        <v>0</v>
      </c>
      <c r="BP171" s="72">
        <v>0</v>
      </c>
      <c r="BQ171" s="72">
        <v>0</v>
      </c>
      <c r="BR171" s="72">
        <v>0</v>
      </c>
      <c r="BS171" s="72">
        <v>110546930</v>
      </c>
    </row>
    <row r="172" spans="1:71" x14ac:dyDescent="0.2">
      <c r="A172" t="s">
        <v>774</v>
      </c>
      <c r="B172" t="s">
        <v>1462</v>
      </c>
      <c r="C172" t="s">
        <v>66</v>
      </c>
      <c r="D172" s="72">
        <v>7590854</v>
      </c>
      <c r="E172" s="72">
        <v>719757</v>
      </c>
      <c r="F172" s="72">
        <v>0</v>
      </c>
      <c r="G172" s="72">
        <v>23881989</v>
      </c>
      <c r="H172" s="72">
        <v>0</v>
      </c>
      <c r="I172" s="72">
        <v>0</v>
      </c>
      <c r="J172" s="72">
        <v>1251838</v>
      </c>
      <c r="K172" s="72">
        <v>1291583</v>
      </c>
      <c r="L172" s="72">
        <v>34736021</v>
      </c>
      <c r="M172" s="72">
        <v>0</v>
      </c>
      <c r="N172" s="72">
        <v>0</v>
      </c>
      <c r="O172" s="72">
        <v>0</v>
      </c>
      <c r="P172" s="72">
        <v>13316</v>
      </c>
      <c r="Q172" s="72">
        <v>75000</v>
      </c>
      <c r="R172" s="72">
        <v>88316</v>
      </c>
      <c r="S172" s="72">
        <v>34824337</v>
      </c>
      <c r="T172" s="72">
        <v>15258099</v>
      </c>
      <c r="U172" s="72">
        <v>7577233</v>
      </c>
      <c r="V172" s="72">
        <v>11975716</v>
      </c>
      <c r="W172" s="72">
        <v>685058</v>
      </c>
      <c r="X172" s="72">
        <v>288465</v>
      </c>
      <c r="Y172" s="72">
        <v>0</v>
      </c>
      <c r="Z172" s="72">
        <v>0</v>
      </c>
      <c r="AA172" s="72">
        <v>0</v>
      </c>
      <c r="AB172" s="72">
        <v>0</v>
      </c>
      <c r="AC172" s="72">
        <v>0</v>
      </c>
      <c r="AD172" s="72">
        <v>0</v>
      </c>
      <c r="AE172" s="72">
        <v>0</v>
      </c>
      <c r="AF172" s="72">
        <v>0</v>
      </c>
      <c r="AG172" s="72">
        <v>250117</v>
      </c>
      <c r="AH172" s="72">
        <v>36034688</v>
      </c>
      <c r="AI172" s="72">
        <v>0</v>
      </c>
      <c r="AJ172" s="72">
        <v>0</v>
      </c>
      <c r="AK172" s="72">
        <v>0</v>
      </c>
      <c r="AL172" s="72">
        <v>0</v>
      </c>
      <c r="AM172" s="72">
        <v>36034688</v>
      </c>
      <c r="AN172" s="72">
        <v>-1210351</v>
      </c>
      <c r="AO172" s="72">
        <v>4505463</v>
      </c>
      <c r="AP172" s="72">
        <v>3295112</v>
      </c>
      <c r="AQ172" s="72">
        <v>0</v>
      </c>
      <c r="AR172" s="72">
        <v>0</v>
      </c>
      <c r="AS172" s="72">
        <v>0</v>
      </c>
      <c r="AT172" s="72">
        <v>0</v>
      </c>
      <c r="AU172" s="72">
        <v>0</v>
      </c>
      <c r="AV172" s="72">
        <v>0</v>
      </c>
      <c r="AW172" s="72">
        <v>0</v>
      </c>
      <c r="AX172" s="72">
        <v>0</v>
      </c>
      <c r="AY172" s="72">
        <v>0</v>
      </c>
      <c r="AZ172" s="72">
        <v>0</v>
      </c>
      <c r="BA172" s="72">
        <v>3295112</v>
      </c>
      <c r="BB172" s="72">
        <v>0</v>
      </c>
      <c r="BC172" s="72">
        <v>0</v>
      </c>
      <c r="BD172" s="72">
        <v>0</v>
      </c>
      <c r="BE172" s="72">
        <v>3295112</v>
      </c>
      <c r="BF172" s="72">
        <v>0</v>
      </c>
      <c r="BG172" s="72">
        <v>0</v>
      </c>
      <c r="BH172" s="72">
        <v>0</v>
      </c>
      <c r="BI172" s="72">
        <v>0</v>
      </c>
      <c r="BJ172" s="72">
        <v>3295112</v>
      </c>
      <c r="BM172" s="72">
        <v>0</v>
      </c>
      <c r="BN172" s="72">
        <v>0</v>
      </c>
      <c r="BO172" s="72">
        <v>0</v>
      </c>
      <c r="BP172" s="72">
        <v>0</v>
      </c>
      <c r="BQ172" s="72">
        <v>0</v>
      </c>
      <c r="BR172" s="72">
        <v>0</v>
      </c>
      <c r="BS172" s="72">
        <v>36034688</v>
      </c>
    </row>
    <row r="173" spans="1:71" x14ac:dyDescent="0.2">
      <c r="A173" t="s">
        <v>114</v>
      </c>
      <c r="B173" t="s">
        <v>835</v>
      </c>
      <c r="C173" t="s">
        <v>71</v>
      </c>
      <c r="D173" s="72">
        <v>1589641</v>
      </c>
      <c r="E173" s="72">
        <v>116525</v>
      </c>
      <c r="F173" s="72">
        <v>1022821</v>
      </c>
      <c r="G173" s="72">
        <v>4039299</v>
      </c>
      <c r="H173" s="72">
        <v>25000</v>
      </c>
      <c r="I173" s="72">
        <v>0</v>
      </c>
      <c r="J173" s="72">
        <v>245973</v>
      </c>
      <c r="K173" s="72">
        <v>643012</v>
      </c>
      <c r="L173" s="72">
        <v>7682271</v>
      </c>
      <c r="M173" s="72">
        <v>0</v>
      </c>
      <c r="N173" s="72">
        <v>0</v>
      </c>
      <c r="O173" s="72">
        <v>0</v>
      </c>
      <c r="P173" s="72">
        <v>0</v>
      </c>
      <c r="Q173" s="72">
        <v>0</v>
      </c>
      <c r="R173" s="72">
        <v>0</v>
      </c>
      <c r="S173" s="72">
        <v>7682271</v>
      </c>
      <c r="T173" s="72">
        <v>4456851</v>
      </c>
      <c r="U173" s="72">
        <v>1795640</v>
      </c>
      <c r="V173" s="72">
        <v>1102200</v>
      </c>
      <c r="W173" s="72">
        <v>166681</v>
      </c>
      <c r="X173" s="72">
        <v>6500</v>
      </c>
      <c r="Y173" s="72">
        <v>0</v>
      </c>
      <c r="Z173" s="72">
        <v>0</v>
      </c>
      <c r="AA173" s="72">
        <v>0</v>
      </c>
      <c r="AB173" s="72">
        <v>0</v>
      </c>
      <c r="AC173" s="72">
        <v>0</v>
      </c>
      <c r="AD173" s="72">
        <v>0</v>
      </c>
      <c r="AE173" s="72">
        <v>0</v>
      </c>
      <c r="AF173" s="72">
        <v>0</v>
      </c>
      <c r="AG173" s="72">
        <v>254570</v>
      </c>
      <c r="AH173" s="72">
        <v>7782442</v>
      </c>
      <c r="AI173" s="72">
        <v>13340</v>
      </c>
      <c r="AJ173" s="72">
        <v>0</v>
      </c>
      <c r="AK173" s="72">
        <v>0</v>
      </c>
      <c r="AL173" s="72">
        <v>13340</v>
      </c>
      <c r="AM173" s="72">
        <v>7795782</v>
      </c>
      <c r="AN173" s="72">
        <v>-113511</v>
      </c>
      <c r="AO173" s="72">
        <v>1108614</v>
      </c>
      <c r="AP173" s="72">
        <v>995103</v>
      </c>
      <c r="AQ173" s="72">
        <v>20000</v>
      </c>
      <c r="AR173" s="72">
        <v>0</v>
      </c>
      <c r="AS173" s="72">
        <v>0</v>
      </c>
      <c r="AT173" s="72">
        <v>0</v>
      </c>
      <c r="AU173" s="72">
        <v>0</v>
      </c>
      <c r="AV173" s="72">
        <v>0</v>
      </c>
      <c r="AW173" s="72">
        <v>0</v>
      </c>
      <c r="AX173" s="72">
        <v>0</v>
      </c>
      <c r="AY173" s="72">
        <v>0</v>
      </c>
      <c r="AZ173" s="72">
        <v>0</v>
      </c>
      <c r="BA173" s="72">
        <v>975103</v>
      </c>
      <c r="BB173" s="72">
        <v>0</v>
      </c>
      <c r="BC173" s="72">
        <v>0</v>
      </c>
      <c r="BD173" s="72">
        <v>0</v>
      </c>
      <c r="BE173" s="72">
        <v>975103</v>
      </c>
      <c r="BF173" s="72">
        <v>0</v>
      </c>
      <c r="BG173" s="72">
        <v>0</v>
      </c>
      <c r="BH173" s="72">
        <v>0</v>
      </c>
      <c r="BI173" s="72">
        <v>0</v>
      </c>
      <c r="BJ173" s="72">
        <v>975103</v>
      </c>
      <c r="BK173" s="72">
        <v>76</v>
      </c>
      <c r="BL173" s="72">
        <v>806</v>
      </c>
      <c r="BM173" s="72">
        <v>0</v>
      </c>
      <c r="BN173" s="72">
        <v>0</v>
      </c>
      <c r="BO173" s="72">
        <v>0</v>
      </c>
      <c r="BP173" s="72">
        <v>0</v>
      </c>
      <c r="BQ173" s="72">
        <v>0</v>
      </c>
      <c r="BR173" s="72">
        <v>0</v>
      </c>
      <c r="BS173" s="72">
        <v>7795782</v>
      </c>
    </row>
    <row r="174" spans="1:71" x14ac:dyDescent="0.2">
      <c r="A174" t="s">
        <v>122</v>
      </c>
      <c r="B174" t="s">
        <v>843</v>
      </c>
      <c r="C174" t="s">
        <v>61</v>
      </c>
      <c r="D174" s="72">
        <v>15986169</v>
      </c>
      <c r="E174" s="72">
        <v>860731</v>
      </c>
      <c r="F174" s="72">
        <v>0</v>
      </c>
      <c r="G174" s="72">
        <v>14932556</v>
      </c>
      <c r="H174" s="72">
        <v>53044</v>
      </c>
      <c r="I174" s="72">
        <v>0</v>
      </c>
      <c r="J174" s="72">
        <v>2344345</v>
      </c>
      <c r="K174" s="72">
        <v>1792403</v>
      </c>
      <c r="L174" s="72">
        <v>35969247</v>
      </c>
      <c r="M174" s="72">
        <v>0</v>
      </c>
      <c r="N174" s="72">
        <v>0</v>
      </c>
      <c r="O174" s="72">
        <v>0</v>
      </c>
      <c r="P174" s="72">
        <v>266257</v>
      </c>
      <c r="Q174" s="72">
        <v>18000</v>
      </c>
      <c r="R174" s="72">
        <v>284257</v>
      </c>
      <c r="S174" s="72">
        <v>36253504</v>
      </c>
      <c r="T174" s="72">
        <v>19902057</v>
      </c>
      <c r="U174" s="72">
        <v>8540726</v>
      </c>
      <c r="V174" s="72">
        <v>5188212</v>
      </c>
      <c r="W174" s="72">
        <v>855687</v>
      </c>
      <c r="X174" s="72">
        <v>80988</v>
      </c>
      <c r="Y174" s="72">
        <v>0</v>
      </c>
      <c r="Z174" s="72">
        <v>0</v>
      </c>
      <c r="AA174" s="72">
        <v>0</v>
      </c>
      <c r="AB174" s="72">
        <v>0</v>
      </c>
      <c r="AC174" s="72">
        <v>0</v>
      </c>
      <c r="AD174" s="72">
        <v>118150</v>
      </c>
      <c r="AE174" s="72">
        <v>0</v>
      </c>
      <c r="AF174" s="72">
        <v>0</v>
      </c>
      <c r="AG174" s="72">
        <v>516057</v>
      </c>
      <c r="AH174" s="72">
        <v>35201877</v>
      </c>
      <c r="AI174" s="72">
        <v>0</v>
      </c>
      <c r="AJ174" s="72">
        <v>260000</v>
      </c>
      <c r="AK174" s="72">
        <v>0</v>
      </c>
      <c r="AL174" s="72">
        <v>260000</v>
      </c>
      <c r="AM174" s="72">
        <v>35461877</v>
      </c>
      <c r="AN174" s="72">
        <v>791627</v>
      </c>
      <c r="AO174" s="72">
        <v>7333064</v>
      </c>
      <c r="AP174" s="72">
        <v>8124691</v>
      </c>
      <c r="AQ174" s="72">
        <v>0</v>
      </c>
      <c r="AR174" s="72">
        <v>0</v>
      </c>
      <c r="AS174" s="72">
        <v>0</v>
      </c>
      <c r="AT174" s="72">
        <v>0</v>
      </c>
      <c r="AU174" s="72">
        <v>0</v>
      </c>
      <c r="AW174" s="72">
        <v>0</v>
      </c>
      <c r="AX174" s="72">
        <v>0</v>
      </c>
      <c r="AY174" s="72">
        <v>0</v>
      </c>
      <c r="AZ174" s="72">
        <v>0</v>
      </c>
      <c r="BA174" s="72">
        <v>8124691</v>
      </c>
      <c r="BB174" s="72">
        <v>0</v>
      </c>
      <c r="BC174" s="72">
        <v>0</v>
      </c>
      <c r="BD174" s="72">
        <v>0</v>
      </c>
      <c r="BE174" s="72">
        <v>8124691</v>
      </c>
      <c r="BF174" s="72">
        <v>0</v>
      </c>
      <c r="BG174" s="72">
        <v>0</v>
      </c>
      <c r="BH174" s="72">
        <v>0</v>
      </c>
      <c r="BI174" s="72">
        <v>0</v>
      </c>
      <c r="BJ174" s="72">
        <v>8124691</v>
      </c>
      <c r="BK174" s="72">
        <v>206</v>
      </c>
      <c r="BL174" s="72">
        <v>3792</v>
      </c>
      <c r="BS174" s="72">
        <v>36253504</v>
      </c>
    </row>
    <row r="175" spans="1:71" x14ac:dyDescent="0.2">
      <c r="A175" t="s">
        <v>144</v>
      </c>
      <c r="B175" t="s">
        <v>865</v>
      </c>
      <c r="C175" t="s">
        <v>41</v>
      </c>
      <c r="D175" s="72">
        <v>3586852</v>
      </c>
      <c r="E175" s="72">
        <v>0</v>
      </c>
      <c r="F175" s="72">
        <v>0</v>
      </c>
      <c r="G175" s="72">
        <v>5866533</v>
      </c>
      <c r="H175" s="72">
        <v>59715</v>
      </c>
      <c r="I175" s="72">
        <v>0</v>
      </c>
      <c r="J175" s="72">
        <v>317900</v>
      </c>
      <c r="K175" s="72">
        <v>801913</v>
      </c>
      <c r="L175" s="72">
        <v>10632913</v>
      </c>
      <c r="M175" s="72">
        <v>0</v>
      </c>
      <c r="N175" s="72">
        <v>0</v>
      </c>
      <c r="O175" s="72">
        <v>0</v>
      </c>
      <c r="P175" s="72">
        <v>0</v>
      </c>
      <c r="Q175" s="72">
        <v>0</v>
      </c>
      <c r="R175" s="72">
        <v>0</v>
      </c>
      <c r="S175" s="72">
        <v>10632913</v>
      </c>
      <c r="T175" s="72">
        <v>4267780</v>
      </c>
      <c r="U175" s="72">
        <v>2239254</v>
      </c>
      <c r="V175" s="72">
        <v>1441798</v>
      </c>
      <c r="W175" s="72">
        <v>366735</v>
      </c>
      <c r="X175" s="72">
        <v>300000</v>
      </c>
      <c r="Y175" s="72">
        <v>0</v>
      </c>
      <c r="Z175" s="72">
        <v>0</v>
      </c>
      <c r="AA175" s="72">
        <v>0</v>
      </c>
      <c r="AB175" s="72">
        <v>0</v>
      </c>
      <c r="AC175" s="72">
        <v>0</v>
      </c>
      <c r="AD175" s="72">
        <v>45000</v>
      </c>
      <c r="AE175" s="72">
        <v>0</v>
      </c>
      <c r="AF175" s="72">
        <v>10823</v>
      </c>
      <c r="AG175" s="72">
        <v>175000</v>
      </c>
      <c r="AH175" s="72">
        <v>8846390</v>
      </c>
      <c r="AI175" s="72">
        <v>1750000</v>
      </c>
      <c r="AJ175" s="72">
        <v>0</v>
      </c>
      <c r="AK175" s="72">
        <v>0</v>
      </c>
      <c r="AL175" s="72">
        <v>1750000</v>
      </c>
      <c r="AM175" s="72">
        <v>10596390</v>
      </c>
      <c r="AN175" s="72">
        <v>36523</v>
      </c>
      <c r="AO175" s="72">
        <v>4087944</v>
      </c>
      <c r="AP175" s="72">
        <v>4124467</v>
      </c>
      <c r="AQ175" s="72">
        <v>120000</v>
      </c>
      <c r="AR175" s="72">
        <v>0</v>
      </c>
      <c r="AS175" s="72">
        <v>0</v>
      </c>
      <c r="AT175" s="72">
        <v>0</v>
      </c>
      <c r="AU175" s="72">
        <v>0</v>
      </c>
      <c r="AV175" s="72">
        <v>0</v>
      </c>
      <c r="AW175" s="72">
        <v>0</v>
      </c>
      <c r="AX175" s="72">
        <v>0</v>
      </c>
      <c r="AY175" s="72">
        <v>0</v>
      </c>
      <c r="AZ175" s="72">
        <v>0</v>
      </c>
      <c r="BA175" s="72">
        <v>4004467</v>
      </c>
      <c r="BB175" s="72">
        <v>0</v>
      </c>
      <c r="BC175" s="72">
        <v>0</v>
      </c>
      <c r="BD175" s="72">
        <v>0</v>
      </c>
      <c r="BE175" s="72">
        <v>4004467</v>
      </c>
      <c r="BF175" s="72">
        <v>0</v>
      </c>
      <c r="BG175" s="72">
        <v>0</v>
      </c>
      <c r="BH175" s="72">
        <v>0</v>
      </c>
      <c r="BI175" s="72">
        <v>0</v>
      </c>
      <c r="BJ175" s="72">
        <v>4004467</v>
      </c>
      <c r="BK175" s="72">
        <v>101</v>
      </c>
      <c r="BL175" s="72">
        <v>1006</v>
      </c>
      <c r="BM175" s="72">
        <v>250779</v>
      </c>
      <c r="BN175" s="72">
        <v>94272</v>
      </c>
      <c r="BO175" s="72">
        <v>39160</v>
      </c>
      <c r="BP175" s="72">
        <v>0</v>
      </c>
      <c r="BQ175" s="72">
        <v>0</v>
      </c>
      <c r="BR175" s="72">
        <v>384211</v>
      </c>
      <c r="BS175" s="72">
        <v>10632913</v>
      </c>
    </row>
    <row r="176" spans="1:71" x14ac:dyDescent="0.2">
      <c r="A176" t="s">
        <v>173</v>
      </c>
      <c r="B176" t="s">
        <v>894</v>
      </c>
      <c r="C176" t="s">
        <v>91</v>
      </c>
      <c r="D176" s="72">
        <v>2831106</v>
      </c>
      <c r="E176" s="72">
        <v>2000</v>
      </c>
      <c r="F176" s="72">
        <v>0</v>
      </c>
      <c r="G176" s="72">
        <v>3713857</v>
      </c>
      <c r="H176" s="72">
        <v>0</v>
      </c>
      <c r="I176" s="72">
        <v>0</v>
      </c>
      <c r="J176" s="72">
        <v>767921</v>
      </c>
      <c r="K176" s="72">
        <v>787500</v>
      </c>
      <c r="L176" s="72">
        <v>8102384</v>
      </c>
      <c r="M176" s="72">
        <v>0</v>
      </c>
      <c r="N176" s="72">
        <v>0</v>
      </c>
      <c r="O176" s="72">
        <v>0</v>
      </c>
      <c r="P176" s="72">
        <v>7500</v>
      </c>
      <c r="Q176" s="72">
        <v>5000</v>
      </c>
      <c r="R176" s="72">
        <v>12500</v>
      </c>
      <c r="S176" s="72">
        <v>8114884</v>
      </c>
      <c r="T176" s="72">
        <v>4750623</v>
      </c>
      <c r="U176" s="72">
        <v>1633442</v>
      </c>
      <c r="V176" s="72">
        <v>1313619</v>
      </c>
      <c r="W176" s="72">
        <v>383063</v>
      </c>
      <c r="X176" s="72">
        <v>29755</v>
      </c>
      <c r="Y176" s="72">
        <v>0</v>
      </c>
      <c r="Z176" s="72">
        <v>0</v>
      </c>
      <c r="AA176" s="72">
        <v>0</v>
      </c>
      <c r="AB176" s="72">
        <v>0</v>
      </c>
      <c r="AC176" s="72">
        <v>0</v>
      </c>
      <c r="AD176" s="72">
        <v>0</v>
      </c>
      <c r="AE176" s="72">
        <v>0</v>
      </c>
      <c r="AF176" s="72">
        <v>0</v>
      </c>
      <c r="AG176" s="72">
        <v>155350</v>
      </c>
      <c r="AH176" s="72">
        <v>8265852</v>
      </c>
      <c r="AI176" s="72">
        <v>84106</v>
      </c>
      <c r="AJ176" s="72">
        <v>0</v>
      </c>
      <c r="AK176" s="72">
        <v>0</v>
      </c>
      <c r="AL176" s="72">
        <v>84106</v>
      </c>
      <c r="AM176" s="72">
        <v>8349958</v>
      </c>
      <c r="AN176" s="72">
        <v>-235074</v>
      </c>
      <c r="AO176" s="72">
        <v>2344048</v>
      </c>
      <c r="AP176" s="72">
        <v>2108974</v>
      </c>
      <c r="AQ176" s="72">
        <v>0</v>
      </c>
      <c r="AR176" s="72">
        <v>0</v>
      </c>
      <c r="AS176" s="72">
        <v>0</v>
      </c>
      <c r="AT176" s="72">
        <v>0</v>
      </c>
      <c r="AU176" s="72">
        <v>0</v>
      </c>
      <c r="AV176" s="72">
        <v>0</v>
      </c>
      <c r="AW176" s="72">
        <v>0</v>
      </c>
      <c r="AX176" s="72">
        <v>0</v>
      </c>
      <c r="AY176" s="72">
        <v>0</v>
      </c>
      <c r="AZ176" s="72">
        <v>0</v>
      </c>
      <c r="BA176" s="72">
        <v>2108974</v>
      </c>
      <c r="BB176" s="72">
        <v>0</v>
      </c>
      <c r="BC176" s="72">
        <v>0</v>
      </c>
      <c r="BD176" s="72">
        <v>0</v>
      </c>
      <c r="BE176" s="72">
        <v>2108974</v>
      </c>
      <c r="BF176" s="72">
        <v>0</v>
      </c>
      <c r="BG176" s="72">
        <v>0</v>
      </c>
      <c r="BH176" s="72">
        <v>0</v>
      </c>
      <c r="BI176" s="72">
        <v>0</v>
      </c>
      <c r="BJ176" s="72">
        <v>2108974</v>
      </c>
      <c r="BK176" s="72">
        <v>101</v>
      </c>
      <c r="BL176" s="72">
        <v>1052</v>
      </c>
      <c r="BM176" s="72">
        <v>0</v>
      </c>
      <c r="BN176" s="72">
        <v>0</v>
      </c>
      <c r="BO176" s="72">
        <v>0</v>
      </c>
      <c r="BP176" s="72">
        <v>0</v>
      </c>
      <c r="BQ176" s="72">
        <v>0</v>
      </c>
      <c r="BR176" s="72">
        <v>0</v>
      </c>
      <c r="BS176" s="72">
        <v>8349958</v>
      </c>
    </row>
    <row r="177" spans="1:71" x14ac:dyDescent="0.2">
      <c r="A177" t="s">
        <v>177</v>
      </c>
      <c r="B177" t="s">
        <v>898</v>
      </c>
      <c r="C177" t="s">
        <v>68</v>
      </c>
      <c r="D177" s="72">
        <v>791519</v>
      </c>
      <c r="E177" s="72">
        <v>28929</v>
      </c>
      <c r="F177" s="72">
        <v>948442</v>
      </c>
      <c r="G177" s="72">
        <v>3309148</v>
      </c>
      <c r="H177" s="72">
        <v>7500</v>
      </c>
      <c r="I177" s="72">
        <v>0</v>
      </c>
      <c r="J177" s="72">
        <v>142030</v>
      </c>
      <c r="K177" s="72">
        <v>500000</v>
      </c>
      <c r="L177" s="72">
        <v>5727568</v>
      </c>
      <c r="M177" s="72">
        <v>0</v>
      </c>
      <c r="N177" s="72">
        <v>0</v>
      </c>
      <c r="O177" s="72">
        <v>0</v>
      </c>
      <c r="P177" s="72">
        <v>0</v>
      </c>
      <c r="Q177" s="72">
        <v>85000</v>
      </c>
      <c r="R177" s="72">
        <v>85000</v>
      </c>
      <c r="S177" s="72">
        <v>5812568</v>
      </c>
      <c r="T177" s="72">
        <v>3100000</v>
      </c>
      <c r="U177" s="72">
        <v>1116000</v>
      </c>
      <c r="V177" s="72">
        <v>1236200</v>
      </c>
      <c r="W177" s="72">
        <v>200000</v>
      </c>
      <c r="X177" s="72">
        <v>75000</v>
      </c>
      <c r="Y177" s="72">
        <v>0</v>
      </c>
      <c r="Z177" s="72">
        <v>0</v>
      </c>
      <c r="AA177" s="72">
        <v>0</v>
      </c>
      <c r="AB177" s="72">
        <v>0</v>
      </c>
      <c r="AC177" s="72">
        <v>0</v>
      </c>
      <c r="AD177" s="72">
        <v>0</v>
      </c>
      <c r="AE177" s="72">
        <v>0</v>
      </c>
      <c r="AF177" s="72">
        <v>0</v>
      </c>
      <c r="AG177" s="72">
        <v>85000</v>
      </c>
      <c r="AH177" s="72">
        <v>5812200</v>
      </c>
      <c r="AI177" s="72">
        <v>10000</v>
      </c>
      <c r="AJ177" s="72">
        <v>10000</v>
      </c>
      <c r="AK177" s="72">
        <v>0</v>
      </c>
      <c r="AL177" s="72">
        <v>20000</v>
      </c>
      <c r="AM177" s="72">
        <v>5832200</v>
      </c>
      <c r="AN177" s="72">
        <v>-19632</v>
      </c>
      <c r="AO177" s="72">
        <v>3288608</v>
      </c>
      <c r="AP177" s="72">
        <v>3268976</v>
      </c>
      <c r="AQ177" s="72">
        <v>200000</v>
      </c>
      <c r="AR177" s="72">
        <v>0</v>
      </c>
      <c r="AS177" s="72">
        <v>0</v>
      </c>
      <c r="AT177" s="72">
        <v>0</v>
      </c>
      <c r="AU177" s="72">
        <v>0</v>
      </c>
      <c r="AV177" s="72">
        <v>0</v>
      </c>
      <c r="AW177" s="72">
        <v>0</v>
      </c>
      <c r="AX177" s="72">
        <v>0</v>
      </c>
      <c r="AY177" s="72">
        <v>0</v>
      </c>
      <c r="AZ177" s="72">
        <v>0</v>
      </c>
      <c r="BA177" s="72">
        <v>3068976</v>
      </c>
      <c r="BB177" s="72">
        <v>0</v>
      </c>
      <c r="BC177" s="72">
        <v>0</v>
      </c>
      <c r="BD177" s="72">
        <v>0</v>
      </c>
      <c r="BE177" s="72">
        <v>3068976</v>
      </c>
      <c r="BF177" s="72">
        <v>0</v>
      </c>
      <c r="BG177" s="72">
        <v>0</v>
      </c>
      <c r="BH177" s="72">
        <v>0</v>
      </c>
      <c r="BI177" s="72">
        <v>0</v>
      </c>
      <c r="BJ177" s="72">
        <v>3068976</v>
      </c>
      <c r="BK177" s="72">
        <v>52</v>
      </c>
      <c r="BL177" s="72">
        <v>530</v>
      </c>
      <c r="BM177" s="72">
        <v>0</v>
      </c>
      <c r="BN177" s="72">
        <v>0</v>
      </c>
      <c r="BO177" s="72">
        <v>0</v>
      </c>
      <c r="BP177" s="72">
        <v>0</v>
      </c>
      <c r="BQ177" s="72">
        <v>0</v>
      </c>
      <c r="BR177" s="72">
        <v>0</v>
      </c>
      <c r="BS177" s="72">
        <v>5832200</v>
      </c>
    </row>
    <row r="178" spans="1:71" x14ac:dyDescent="0.2">
      <c r="A178" t="s">
        <v>179</v>
      </c>
      <c r="B178" t="s">
        <v>900</v>
      </c>
      <c r="C178" t="s">
        <v>41</v>
      </c>
      <c r="D178" s="72">
        <v>1423897</v>
      </c>
      <c r="E178" s="72">
        <v>178751</v>
      </c>
      <c r="F178" s="72">
        <v>0</v>
      </c>
      <c r="G178" s="72">
        <v>4337708</v>
      </c>
      <c r="H178" s="72">
        <v>171637</v>
      </c>
      <c r="I178" s="72">
        <v>0</v>
      </c>
      <c r="J178" s="72">
        <v>266486</v>
      </c>
      <c r="K178" s="72">
        <v>994584</v>
      </c>
      <c r="L178" s="72">
        <v>7373063</v>
      </c>
      <c r="M178" s="72">
        <v>0</v>
      </c>
      <c r="N178" s="72">
        <v>0</v>
      </c>
      <c r="O178" s="72">
        <v>0</v>
      </c>
      <c r="P178" s="72">
        <v>0</v>
      </c>
      <c r="Q178" s="72">
        <v>0</v>
      </c>
      <c r="R178" s="72">
        <v>0</v>
      </c>
      <c r="S178" s="72">
        <v>7373063</v>
      </c>
      <c r="T178" s="72">
        <v>3637201</v>
      </c>
      <c r="U178" s="72">
        <v>1450761</v>
      </c>
      <c r="V178" s="72">
        <v>1710589</v>
      </c>
      <c r="W178" s="72">
        <v>211714</v>
      </c>
      <c r="X178" s="72">
        <v>149639</v>
      </c>
      <c r="Y178" s="72">
        <v>0</v>
      </c>
      <c r="Z178" s="72">
        <v>0</v>
      </c>
      <c r="AA178" s="72">
        <v>0</v>
      </c>
      <c r="AB178" s="72">
        <v>0</v>
      </c>
      <c r="AC178" s="72">
        <v>0</v>
      </c>
      <c r="AD178" s="72">
        <v>0</v>
      </c>
      <c r="AE178" s="72">
        <v>0</v>
      </c>
      <c r="AF178" s="72">
        <v>0</v>
      </c>
      <c r="AG178" s="72">
        <v>83013</v>
      </c>
      <c r="AH178" s="72">
        <v>7242917</v>
      </c>
      <c r="AI178" s="72">
        <v>51000</v>
      </c>
      <c r="AJ178" s="72">
        <v>0</v>
      </c>
      <c r="AK178" s="72">
        <v>0</v>
      </c>
      <c r="AL178" s="72">
        <v>51000</v>
      </c>
      <c r="AM178" s="72">
        <v>7293917</v>
      </c>
      <c r="AN178" s="72">
        <v>79146</v>
      </c>
      <c r="AO178" s="72">
        <v>1274107</v>
      </c>
      <c r="AP178" s="72">
        <v>1353253</v>
      </c>
      <c r="AQ178" s="72">
        <v>100000</v>
      </c>
      <c r="AR178" s="72">
        <v>0</v>
      </c>
      <c r="AS178" s="72">
        <v>0</v>
      </c>
      <c r="AT178" s="72">
        <v>0</v>
      </c>
      <c r="AU178" s="72">
        <v>0</v>
      </c>
      <c r="AV178" s="72">
        <v>0</v>
      </c>
      <c r="AW178" s="72">
        <v>0</v>
      </c>
      <c r="AX178" s="72">
        <v>0</v>
      </c>
      <c r="AY178" s="72">
        <v>0</v>
      </c>
      <c r="AZ178" s="72">
        <v>0</v>
      </c>
      <c r="BA178" s="72">
        <v>1253253</v>
      </c>
      <c r="BB178" s="72">
        <v>0</v>
      </c>
      <c r="BC178" s="72">
        <v>0</v>
      </c>
      <c r="BD178" s="72">
        <v>0</v>
      </c>
      <c r="BE178" s="72">
        <v>1253253</v>
      </c>
      <c r="BF178" s="72">
        <v>0</v>
      </c>
      <c r="BG178" s="72">
        <v>0</v>
      </c>
      <c r="BH178" s="72">
        <v>0</v>
      </c>
      <c r="BI178" s="72">
        <v>0</v>
      </c>
      <c r="BJ178" s="72">
        <v>1253253</v>
      </c>
      <c r="BM178" s="72">
        <v>0</v>
      </c>
      <c r="BN178" s="72">
        <v>0</v>
      </c>
      <c r="BO178" s="72">
        <v>0</v>
      </c>
      <c r="BP178" s="72">
        <v>0</v>
      </c>
      <c r="BQ178" s="72">
        <v>0</v>
      </c>
      <c r="BR178" s="72">
        <v>0</v>
      </c>
      <c r="BS178" s="72">
        <v>7373063</v>
      </c>
    </row>
    <row r="179" spans="1:71" x14ac:dyDescent="0.2">
      <c r="A179" t="s">
        <v>358</v>
      </c>
      <c r="B179" t="s">
        <v>1070</v>
      </c>
      <c r="C179" t="s">
        <v>95</v>
      </c>
      <c r="D179" s="72">
        <v>4677394</v>
      </c>
      <c r="E179" s="72">
        <v>0</v>
      </c>
      <c r="F179" s="72">
        <v>0</v>
      </c>
      <c r="G179" s="72">
        <v>10173949</v>
      </c>
      <c r="H179" s="72">
        <v>128734</v>
      </c>
      <c r="I179" s="72">
        <v>0</v>
      </c>
      <c r="J179" s="72">
        <v>639605</v>
      </c>
      <c r="K179" s="72">
        <v>450888</v>
      </c>
      <c r="L179" s="72">
        <v>16070570</v>
      </c>
      <c r="M179" s="72">
        <v>0</v>
      </c>
      <c r="N179" s="72">
        <v>0</v>
      </c>
      <c r="O179" s="72">
        <v>264785</v>
      </c>
      <c r="P179" s="72">
        <v>147570</v>
      </c>
      <c r="Q179" s="72">
        <v>39550</v>
      </c>
      <c r="R179" s="72">
        <v>451905</v>
      </c>
      <c r="S179" s="72">
        <v>16522475</v>
      </c>
      <c r="T179" s="72">
        <v>6676021</v>
      </c>
      <c r="U179" s="72">
        <v>4113526</v>
      </c>
      <c r="V179" s="72">
        <v>4239353</v>
      </c>
      <c r="W179" s="72">
        <v>801462</v>
      </c>
      <c r="X179" s="72">
        <v>319000</v>
      </c>
      <c r="Y179" s="72">
        <v>0</v>
      </c>
      <c r="Z179" s="72">
        <v>0</v>
      </c>
      <c r="AA179" s="72">
        <v>0</v>
      </c>
      <c r="AB179" s="72">
        <v>0</v>
      </c>
      <c r="AC179" s="72">
        <v>0</v>
      </c>
      <c r="AD179" s="72">
        <v>0</v>
      </c>
      <c r="AE179" s="72">
        <v>0</v>
      </c>
      <c r="AF179" s="72">
        <v>0</v>
      </c>
      <c r="AG179" s="72">
        <v>393200</v>
      </c>
      <c r="AH179" s="72">
        <v>16542562</v>
      </c>
      <c r="AI179" s="72">
        <v>300785</v>
      </c>
      <c r="AJ179" s="72">
        <v>300000</v>
      </c>
      <c r="AK179" s="72">
        <v>0</v>
      </c>
      <c r="AL179" s="72">
        <v>600785</v>
      </c>
      <c r="AM179" s="72">
        <v>17143347</v>
      </c>
      <c r="AN179" s="72">
        <v>-620872</v>
      </c>
      <c r="AO179" s="72">
        <v>5435763</v>
      </c>
      <c r="AP179" s="72">
        <v>4814891</v>
      </c>
      <c r="AQ179" s="72">
        <v>206400</v>
      </c>
      <c r="AR179" s="72">
        <v>0</v>
      </c>
      <c r="AS179" s="72">
        <v>394806</v>
      </c>
      <c r="AT179" s="72">
        <v>151803</v>
      </c>
      <c r="AU179" s="72">
        <v>0</v>
      </c>
      <c r="AV179" s="72">
        <v>0</v>
      </c>
      <c r="AW179" s="72">
        <v>0</v>
      </c>
      <c r="AX179" s="72">
        <v>0</v>
      </c>
      <c r="AY179" s="72">
        <v>0</v>
      </c>
      <c r="AZ179" s="72">
        <v>546609</v>
      </c>
      <c r="BA179" s="72">
        <v>4061882</v>
      </c>
      <c r="BB179" s="72">
        <v>0</v>
      </c>
      <c r="BC179" s="72">
        <v>0</v>
      </c>
      <c r="BD179" s="72">
        <v>0</v>
      </c>
      <c r="BE179" s="72">
        <v>4061882</v>
      </c>
      <c r="BF179" s="72">
        <v>0</v>
      </c>
      <c r="BG179" s="72">
        <v>0</v>
      </c>
      <c r="BH179" s="72">
        <v>0</v>
      </c>
      <c r="BI179" s="72">
        <v>0</v>
      </c>
      <c r="BJ179" s="72">
        <v>4061882</v>
      </c>
      <c r="BS179" s="72">
        <v>17143347</v>
      </c>
    </row>
    <row r="180" spans="1:71" x14ac:dyDescent="0.2">
      <c r="A180" t="s">
        <v>196</v>
      </c>
      <c r="B180" t="s">
        <v>889</v>
      </c>
      <c r="C180" t="s">
        <v>60</v>
      </c>
      <c r="D180" s="72">
        <v>2268750</v>
      </c>
      <c r="E180" s="72">
        <v>576250</v>
      </c>
      <c r="F180" s="72">
        <v>0</v>
      </c>
      <c r="G180" s="72">
        <v>4074000</v>
      </c>
      <c r="H180" s="72">
        <v>41000</v>
      </c>
      <c r="I180" s="72">
        <v>0</v>
      </c>
      <c r="J180" s="72">
        <v>363000</v>
      </c>
      <c r="K180" s="72">
        <v>367609</v>
      </c>
      <c r="L180" s="72">
        <v>7690609</v>
      </c>
      <c r="M180" s="72">
        <v>0</v>
      </c>
      <c r="N180" s="72">
        <v>0</v>
      </c>
      <c r="O180" s="72">
        <v>0</v>
      </c>
      <c r="P180" s="72">
        <v>0</v>
      </c>
      <c r="Q180" s="72">
        <v>33000</v>
      </c>
      <c r="R180" s="72">
        <v>33000</v>
      </c>
      <c r="S180" s="72">
        <v>7723609</v>
      </c>
      <c r="T180" s="72">
        <v>3641590</v>
      </c>
      <c r="U180" s="72">
        <v>2017455</v>
      </c>
      <c r="V180" s="72">
        <v>1612476</v>
      </c>
      <c r="W180" s="72">
        <v>309621</v>
      </c>
      <c r="X180" s="72">
        <v>22412</v>
      </c>
      <c r="Y180" s="72">
        <v>0</v>
      </c>
      <c r="Z180" s="72">
        <v>0</v>
      </c>
      <c r="AA180" s="72">
        <v>0</v>
      </c>
      <c r="AB180" s="72">
        <v>0</v>
      </c>
      <c r="AC180" s="72">
        <v>0</v>
      </c>
      <c r="AD180" s="72">
        <v>0</v>
      </c>
      <c r="AE180" s="72">
        <v>0</v>
      </c>
      <c r="AF180" s="72">
        <v>0</v>
      </c>
      <c r="AG180" s="72">
        <v>231025</v>
      </c>
      <c r="AH180" s="72">
        <v>7834579</v>
      </c>
      <c r="AI180" s="72">
        <v>14000</v>
      </c>
      <c r="AJ180" s="72">
        <v>0</v>
      </c>
      <c r="AK180" s="72">
        <v>0</v>
      </c>
      <c r="AL180" s="72">
        <v>14000</v>
      </c>
      <c r="AM180" s="72">
        <v>7848579</v>
      </c>
      <c r="AN180" s="72">
        <v>-124970</v>
      </c>
      <c r="AO180" s="72">
        <v>791271</v>
      </c>
      <c r="AP180" s="72">
        <v>666301</v>
      </c>
      <c r="AQ180" s="72">
        <v>125000</v>
      </c>
      <c r="AR180" s="72">
        <v>0</v>
      </c>
      <c r="AS180" s="72">
        <v>0</v>
      </c>
      <c r="AT180" s="72">
        <v>68284</v>
      </c>
      <c r="AU180" s="72">
        <v>0</v>
      </c>
      <c r="AV180" s="72">
        <v>0</v>
      </c>
      <c r="AW180" s="72">
        <v>0</v>
      </c>
      <c r="AX180" s="72">
        <v>0</v>
      </c>
      <c r="AY180" s="72">
        <v>0</v>
      </c>
      <c r="AZ180" s="72">
        <v>68284</v>
      </c>
      <c r="BA180" s="72">
        <v>473017</v>
      </c>
      <c r="BB180" s="72">
        <v>0</v>
      </c>
      <c r="BC180" s="72">
        <v>0</v>
      </c>
      <c r="BD180" s="72">
        <v>0</v>
      </c>
      <c r="BE180" s="72">
        <v>473017</v>
      </c>
      <c r="BF180" s="72">
        <v>0</v>
      </c>
      <c r="BG180" s="72">
        <v>0</v>
      </c>
      <c r="BH180" s="72">
        <v>0</v>
      </c>
      <c r="BI180" s="72">
        <v>0</v>
      </c>
      <c r="BJ180" s="72">
        <v>473017</v>
      </c>
      <c r="BK180" s="72">
        <v>0</v>
      </c>
      <c r="BL180" s="72">
        <v>0</v>
      </c>
      <c r="BM180" s="72">
        <v>0</v>
      </c>
      <c r="BN180" s="72">
        <v>0</v>
      </c>
      <c r="BO180" s="72">
        <v>0</v>
      </c>
      <c r="BP180" s="72">
        <v>0</v>
      </c>
      <c r="BQ180" s="72">
        <v>0</v>
      </c>
      <c r="BR180" s="72">
        <v>0</v>
      </c>
      <c r="BS180" s="72">
        <v>7848579</v>
      </c>
    </row>
    <row r="181" spans="1:71" x14ac:dyDescent="0.2">
      <c r="A181" t="s">
        <v>206</v>
      </c>
      <c r="B181" t="s">
        <v>924</v>
      </c>
      <c r="C181" t="s">
        <v>92</v>
      </c>
      <c r="D181" s="72">
        <v>1633913</v>
      </c>
      <c r="E181" s="72">
        <v>87000</v>
      </c>
      <c r="F181" s="72">
        <v>1129505</v>
      </c>
      <c r="G181" s="72">
        <v>3959094</v>
      </c>
      <c r="H181" s="72">
        <v>130806</v>
      </c>
      <c r="I181" s="72">
        <v>0</v>
      </c>
      <c r="J181" s="72">
        <v>529861</v>
      </c>
      <c r="K181" s="72">
        <v>469957</v>
      </c>
      <c r="L181" s="72">
        <v>7940136</v>
      </c>
      <c r="M181" s="72">
        <v>0</v>
      </c>
      <c r="N181" s="72">
        <v>0</v>
      </c>
      <c r="O181" s="72">
        <v>125000</v>
      </c>
      <c r="P181" s="72">
        <v>0</v>
      </c>
      <c r="Q181" s="72">
        <v>31701</v>
      </c>
      <c r="R181" s="72">
        <v>156701</v>
      </c>
      <c r="S181" s="72">
        <v>8096837</v>
      </c>
      <c r="T181" s="72">
        <v>4495476</v>
      </c>
      <c r="U181" s="72">
        <v>1865194</v>
      </c>
      <c r="V181" s="72">
        <v>1655336</v>
      </c>
      <c r="W181" s="72">
        <v>245098</v>
      </c>
      <c r="X181" s="72">
        <v>37555</v>
      </c>
      <c r="Y181" s="72">
        <v>0</v>
      </c>
      <c r="Z181" s="72">
        <v>0</v>
      </c>
      <c r="AA181" s="72">
        <v>0</v>
      </c>
      <c r="AB181" s="72">
        <v>0</v>
      </c>
      <c r="AC181" s="72">
        <v>0</v>
      </c>
      <c r="AD181" s="72">
        <v>0</v>
      </c>
      <c r="AE181" s="72">
        <v>0</v>
      </c>
      <c r="AF181" s="72">
        <v>0</v>
      </c>
      <c r="AG181" s="72">
        <v>141784</v>
      </c>
      <c r="AH181" s="72">
        <v>8440442</v>
      </c>
      <c r="AI181" s="72">
        <v>187000</v>
      </c>
      <c r="AJ181" s="72">
        <v>0</v>
      </c>
      <c r="AK181" s="72">
        <v>0</v>
      </c>
      <c r="AL181" s="72">
        <v>187000</v>
      </c>
      <c r="AM181" s="72">
        <v>8627442</v>
      </c>
      <c r="AN181" s="72">
        <v>-530605</v>
      </c>
      <c r="AO181" s="72">
        <v>5454232</v>
      </c>
      <c r="AP181" s="72">
        <v>4923627</v>
      </c>
      <c r="AQ181" s="72">
        <v>200000</v>
      </c>
      <c r="AR181" s="72">
        <v>0</v>
      </c>
      <c r="AS181" s="72">
        <v>20000</v>
      </c>
      <c r="AT181" s="72">
        <v>102963</v>
      </c>
      <c r="AU181" s="72">
        <v>0</v>
      </c>
      <c r="AW181" s="72">
        <v>0</v>
      </c>
      <c r="AX181" s="72">
        <v>0</v>
      </c>
      <c r="AY181" s="72">
        <v>0</v>
      </c>
      <c r="AZ181" s="72">
        <v>122963</v>
      </c>
      <c r="BA181" s="72">
        <v>4600664</v>
      </c>
      <c r="BB181" s="72">
        <v>0</v>
      </c>
      <c r="BC181" s="72">
        <v>0</v>
      </c>
      <c r="BD181" s="72">
        <v>0</v>
      </c>
      <c r="BE181" s="72">
        <v>4600664</v>
      </c>
      <c r="BF181" s="72">
        <v>0</v>
      </c>
      <c r="BG181" s="72">
        <v>0</v>
      </c>
      <c r="BH181" s="72">
        <v>0</v>
      </c>
      <c r="BI181" s="72">
        <v>0</v>
      </c>
      <c r="BJ181" s="72">
        <v>4600664</v>
      </c>
      <c r="BK181" s="72">
        <v>75</v>
      </c>
      <c r="BL181" s="72">
        <v>785</v>
      </c>
      <c r="BM181" s="72">
        <v>0</v>
      </c>
      <c r="BN181" s="72">
        <v>0</v>
      </c>
      <c r="BO181" s="72">
        <v>0</v>
      </c>
      <c r="BP181" s="72">
        <v>0</v>
      </c>
      <c r="BQ181" s="72">
        <v>0</v>
      </c>
      <c r="BR181" s="72">
        <v>0</v>
      </c>
      <c r="BS181" s="72">
        <v>8627442</v>
      </c>
    </row>
    <row r="182" spans="1:71" x14ac:dyDescent="0.2">
      <c r="A182" t="s">
        <v>208</v>
      </c>
      <c r="B182" t="s">
        <v>926</v>
      </c>
      <c r="C182" t="s">
        <v>103</v>
      </c>
      <c r="D182" s="72">
        <v>6470000</v>
      </c>
      <c r="E182" s="72">
        <v>0</v>
      </c>
      <c r="F182" s="72">
        <v>0</v>
      </c>
      <c r="G182" s="72">
        <v>11000000</v>
      </c>
      <c r="H182" s="72">
        <v>38000</v>
      </c>
      <c r="I182" s="72">
        <v>0</v>
      </c>
      <c r="J182" s="72">
        <v>808000</v>
      </c>
      <c r="K182" s="72">
        <v>850000</v>
      </c>
      <c r="L182" s="72">
        <v>19166000</v>
      </c>
      <c r="M182" s="72">
        <v>0</v>
      </c>
      <c r="N182" s="72">
        <v>0</v>
      </c>
      <c r="O182" s="72">
        <v>0</v>
      </c>
      <c r="P182" s="72">
        <v>700000</v>
      </c>
      <c r="Q182" s="72">
        <v>30000</v>
      </c>
      <c r="R182" s="72">
        <v>730000</v>
      </c>
      <c r="S182" s="72">
        <v>19896000</v>
      </c>
      <c r="T182" s="72">
        <v>9600000</v>
      </c>
      <c r="U182" s="72">
        <v>5200000</v>
      </c>
      <c r="V182" s="72">
        <v>3400000</v>
      </c>
      <c r="W182" s="72">
        <v>725000</v>
      </c>
      <c r="X182" s="72">
        <v>175000</v>
      </c>
      <c r="Y182" s="72">
        <v>0</v>
      </c>
      <c r="Z182" s="72">
        <v>0</v>
      </c>
      <c r="AA182" s="72">
        <v>0</v>
      </c>
      <c r="AB182" s="72">
        <v>0</v>
      </c>
      <c r="AC182" s="72">
        <v>0</v>
      </c>
      <c r="AD182" s="72">
        <v>59360</v>
      </c>
      <c r="AE182" s="72">
        <v>31731</v>
      </c>
      <c r="AF182" s="72">
        <v>11795</v>
      </c>
      <c r="AG182" s="72">
        <v>320000</v>
      </c>
      <c r="AH182" s="72">
        <v>19522886</v>
      </c>
      <c r="AI182" s="72">
        <v>300000</v>
      </c>
      <c r="AJ182" s="72">
        <v>700000</v>
      </c>
      <c r="AK182" s="72">
        <v>0</v>
      </c>
      <c r="AL182" s="72">
        <v>1000000</v>
      </c>
      <c r="AM182" s="72">
        <v>20522886</v>
      </c>
      <c r="AN182" s="72">
        <v>-626886</v>
      </c>
      <c r="AO182" s="72">
        <v>4685382</v>
      </c>
      <c r="AP182" s="72">
        <v>4058496</v>
      </c>
      <c r="AQ182" s="72">
        <v>300000</v>
      </c>
      <c r="AR182" s="72">
        <v>0</v>
      </c>
      <c r="AS182" s="72">
        <v>0</v>
      </c>
      <c r="AT182" s="72">
        <v>0</v>
      </c>
      <c r="AU182" s="72">
        <v>0</v>
      </c>
      <c r="AV182" s="72">
        <v>0</v>
      </c>
      <c r="AW182" s="72">
        <v>0</v>
      </c>
      <c r="AX182" s="72">
        <v>0</v>
      </c>
      <c r="AY182" s="72">
        <v>0</v>
      </c>
      <c r="AZ182" s="72">
        <v>0</v>
      </c>
      <c r="BA182" s="72">
        <v>3758496</v>
      </c>
      <c r="BB182" s="72">
        <v>0</v>
      </c>
      <c r="BC182" s="72">
        <v>0</v>
      </c>
      <c r="BD182" s="72">
        <v>0</v>
      </c>
      <c r="BE182" s="72">
        <v>3758496</v>
      </c>
      <c r="BF182" s="72">
        <v>0</v>
      </c>
      <c r="BG182" s="72">
        <v>0</v>
      </c>
      <c r="BH182" s="72">
        <v>0</v>
      </c>
      <c r="BI182" s="72">
        <v>0</v>
      </c>
      <c r="BJ182" s="72">
        <v>3758496</v>
      </c>
      <c r="BK182" s="72">
        <v>161</v>
      </c>
      <c r="BL182" s="72">
        <v>1990</v>
      </c>
      <c r="BM182" s="72">
        <v>0</v>
      </c>
      <c r="BN182" s="72">
        <v>0</v>
      </c>
      <c r="BO182" s="72">
        <v>0</v>
      </c>
      <c r="BP182" s="72">
        <v>0</v>
      </c>
      <c r="BQ182" s="72">
        <v>0</v>
      </c>
      <c r="BR182" s="72">
        <v>0</v>
      </c>
      <c r="BS182" s="72">
        <v>20522886</v>
      </c>
    </row>
    <row r="183" spans="1:71" x14ac:dyDescent="0.2">
      <c r="A183" t="s">
        <v>214</v>
      </c>
      <c r="B183" t="s">
        <v>932</v>
      </c>
      <c r="C183" t="s">
        <v>23</v>
      </c>
      <c r="D183" s="72">
        <v>20905378</v>
      </c>
      <c r="E183" s="72">
        <v>758253</v>
      </c>
      <c r="F183" s="72">
        <v>0</v>
      </c>
      <c r="G183" s="72">
        <v>1746135</v>
      </c>
      <c r="H183" s="72">
        <v>30890</v>
      </c>
      <c r="I183" s="72">
        <v>0</v>
      </c>
      <c r="J183" s="72">
        <v>2844464</v>
      </c>
      <c r="K183" s="72">
        <v>292127</v>
      </c>
      <c r="L183" s="72">
        <v>26577247</v>
      </c>
      <c r="M183" s="72">
        <v>0</v>
      </c>
      <c r="N183" s="72">
        <v>0</v>
      </c>
      <c r="O183" s="72">
        <v>0</v>
      </c>
      <c r="P183" s="72">
        <v>0</v>
      </c>
      <c r="Q183" s="72">
        <v>0</v>
      </c>
      <c r="R183" s="72">
        <v>0</v>
      </c>
      <c r="S183" s="72">
        <v>26577247</v>
      </c>
      <c r="T183" s="72">
        <v>15561410</v>
      </c>
      <c r="U183" s="72">
        <v>5162909</v>
      </c>
      <c r="V183" s="72">
        <v>2621602</v>
      </c>
      <c r="W183" s="72">
        <v>788824</v>
      </c>
      <c r="X183" s="72">
        <v>251362</v>
      </c>
      <c r="Y183" s="72">
        <v>0</v>
      </c>
      <c r="Z183" s="72">
        <v>0</v>
      </c>
      <c r="AA183" s="72">
        <v>0</v>
      </c>
      <c r="AB183" s="72">
        <v>0</v>
      </c>
      <c r="AC183" s="72">
        <v>0</v>
      </c>
      <c r="AD183" s="72">
        <v>160200</v>
      </c>
      <c r="AE183" s="72">
        <v>0</v>
      </c>
      <c r="AF183" s="72">
        <v>0</v>
      </c>
      <c r="AG183" s="72">
        <v>462800</v>
      </c>
      <c r="AH183" s="72">
        <v>25009107</v>
      </c>
      <c r="AI183" s="72">
        <v>494400</v>
      </c>
      <c r="AJ183" s="72">
        <v>0</v>
      </c>
      <c r="AK183" s="72">
        <v>0</v>
      </c>
      <c r="AL183" s="72">
        <v>494400</v>
      </c>
      <c r="AM183" s="72">
        <v>25503507</v>
      </c>
      <c r="AN183" s="72">
        <v>1073740</v>
      </c>
      <c r="AO183" s="72">
        <v>7581879</v>
      </c>
      <c r="AP183" s="72">
        <v>8655619</v>
      </c>
      <c r="AQ183" s="72">
        <v>0</v>
      </c>
      <c r="AR183" s="72">
        <v>0</v>
      </c>
      <c r="AS183" s="72">
        <v>0</v>
      </c>
      <c r="AT183" s="72">
        <v>0</v>
      </c>
      <c r="AU183" s="72">
        <v>0</v>
      </c>
      <c r="AV183" s="72">
        <v>0</v>
      </c>
      <c r="AW183" s="72">
        <v>0</v>
      </c>
      <c r="AX183" s="72">
        <v>0</v>
      </c>
      <c r="AY183" s="72">
        <v>0</v>
      </c>
      <c r="AZ183" s="72">
        <v>0</v>
      </c>
      <c r="BA183" s="72">
        <v>8655619</v>
      </c>
      <c r="BB183" s="72">
        <v>0</v>
      </c>
      <c r="BC183" s="72">
        <v>0</v>
      </c>
      <c r="BD183" s="72">
        <v>0</v>
      </c>
      <c r="BE183" s="72">
        <v>8655619</v>
      </c>
      <c r="BF183" s="72">
        <v>0</v>
      </c>
      <c r="BG183" s="72">
        <v>0</v>
      </c>
      <c r="BH183" s="72">
        <v>0</v>
      </c>
      <c r="BI183" s="72">
        <v>0</v>
      </c>
      <c r="BJ183" s="72">
        <v>8655619</v>
      </c>
      <c r="BM183" s="72">
        <v>0</v>
      </c>
      <c r="BN183" s="72">
        <v>0</v>
      </c>
      <c r="BO183" s="72">
        <v>0</v>
      </c>
      <c r="BP183" s="72">
        <v>0</v>
      </c>
      <c r="BQ183" s="72">
        <v>0</v>
      </c>
      <c r="BR183" s="72">
        <v>0</v>
      </c>
      <c r="BS183" s="72">
        <v>26577247</v>
      </c>
    </row>
    <row r="184" spans="1:71" x14ac:dyDescent="0.2">
      <c r="A184" t="s">
        <v>217</v>
      </c>
      <c r="B184" t="s">
        <v>935</v>
      </c>
      <c r="C184" t="s">
        <v>88</v>
      </c>
      <c r="D184" s="72">
        <v>1900000</v>
      </c>
      <c r="E184" s="72">
        <v>0</v>
      </c>
      <c r="F184" s="72">
        <v>0</v>
      </c>
      <c r="G184" s="72">
        <v>8400000</v>
      </c>
      <c r="H184" s="72">
        <v>5349</v>
      </c>
      <c r="I184" s="72">
        <v>0</v>
      </c>
      <c r="J184" s="72">
        <v>340000</v>
      </c>
      <c r="K184" s="72">
        <v>1200000</v>
      </c>
      <c r="L184" s="72">
        <v>11845349</v>
      </c>
      <c r="M184" s="72">
        <v>0</v>
      </c>
      <c r="N184" s="72">
        <v>0</v>
      </c>
      <c r="O184" s="72">
        <v>9000</v>
      </c>
      <c r="P184" s="72">
        <v>3449</v>
      </c>
      <c r="Q184" s="72">
        <v>15000</v>
      </c>
      <c r="R184" s="72">
        <v>27449</v>
      </c>
      <c r="S184" s="72">
        <v>11872798</v>
      </c>
      <c r="T184" s="72">
        <v>6410000</v>
      </c>
      <c r="U184" s="72">
        <v>2520000</v>
      </c>
      <c r="V184" s="72">
        <v>2350000</v>
      </c>
      <c r="W184" s="72">
        <v>430000</v>
      </c>
      <c r="X184" s="72">
        <v>10000</v>
      </c>
      <c r="Y184" s="72">
        <v>0</v>
      </c>
      <c r="Z184" s="72">
        <v>0</v>
      </c>
      <c r="AA184" s="72">
        <v>0</v>
      </c>
      <c r="AB184" s="72">
        <v>0</v>
      </c>
      <c r="AC184" s="72">
        <v>0</v>
      </c>
      <c r="AD184" s="72">
        <v>0</v>
      </c>
      <c r="AE184" s="72">
        <v>0</v>
      </c>
      <c r="AF184" s="72">
        <v>0</v>
      </c>
      <c r="AG184" s="72">
        <v>130000</v>
      </c>
      <c r="AH184" s="72">
        <v>11850000</v>
      </c>
      <c r="AI184" s="72">
        <v>11000</v>
      </c>
      <c r="AJ184" s="72">
        <v>0</v>
      </c>
      <c r="AK184" s="72">
        <v>0</v>
      </c>
      <c r="AL184" s="72">
        <v>11000</v>
      </c>
      <c r="AM184" s="72">
        <v>11861000</v>
      </c>
      <c r="AN184" s="72">
        <v>11798</v>
      </c>
      <c r="AO184" s="72">
        <v>1772991</v>
      </c>
      <c r="AP184" s="72">
        <v>1784789</v>
      </c>
      <c r="AQ184" s="72">
        <v>0</v>
      </c>
      <c r="AR184" s="72">
        <v>0</v>
      </c>
      <c r="AS184" s="72">
        <v>0</v>
      </c>
      <c r="AT184" s="72">
        <v>0</v>
      </c>
      <c r="AU184" s="72">
        <v>0</v>
      </c>
      <c r="AV184" s="72">
        <v>0</v>
      </c>
      <c r="AW184" s="72">
        <v>0</v>
      </c>
      <c r="AX184" s="72">
        <v>0</v>
      </c>
      <c r="AY184" s="72">
        <v>0</v>
      </c>
      <c r="AZ184" s="72">
        <v>0</v>
      </c>
      <c r="BA184" s="72">
        <v>1784789</v>
      </c>
      <c r="BB184" s="72">
        <v>0</v>
      </c>
      <c r="BC184" s="72">
        <v>0</v>
      </c>
      <c r="BD184" s="72">
        <v>0</v>
      </c>
      <c r="BE184" s="72">
        <v>1784789</v>
      </c>
      <c r="BF184" s="72">
        <v>0</v>
      </c>
      <c r="BG184" s="72">
        <v>0</v>
      </c>
      <c r="BH184" s="72">
        <v>0</v>
      </c>
      <c r="BI184" s="72">
        <v>0</v>
      </c>
      <c r="BJ184" s="72">
        <v>1784789</v>
      </c>
      <c r="BK184" s="72">
        <v>0</v>
      </c>
      <c r="BL184" s="72">
        <v>0</v>
      </c>
      <c r="BM184" s="72">
        <v>0</v>
      </c>
      <c r="BN184" s="72">
        <v>0</v>
      </c>
      <c r="BO184" s="72">
        <v>0</v>
      </c>
      <c r="BP184" s="72">
        <v>0</v>
      </c>
      <c r="BQ184" s="72">
        <v>0</v>
      </c>
      <c r="BS184" s="72">
        <v>11872798</v>
      </c>
    </row>
    <row r="185" spans="1:71" x14ac:dyDescent="0.2">
      <c r="A185" t="s">
        <v>232</v>
      </c>
      <c r="B185" t="s">
        <v>950</v>
      </c>
      <c r="C185" t="s">
        <v>37</v>
      </c>
      <c r="D185" s="72">
        <v>5654126</v>
      </c>
      <c r="E185" s="72">
        <v>285588</v>
      </c>
      <c r="F185" s="72">
        <v>2156894</v>
      </c>
      <c r="G185" s="72">
        <v>10405623</v>
      </c>
      <c r="H185" s="72">
        <v>11986</v>
      </c>
      <c r="I185" s="72">
        <v>0</v>
      </c>
      <c r="J185" s="72">
        <v>1155931</v>
      </c>
      <c r="K185" s="72">
        <v>1095934</v>
      </c>
      <c r="L185" s="72">
        <v>20766082</v>
      </c>
      <c r="M185" s="72">
        <v>0</v>
      </c>
      <c r="N185" s="72">
        <v>0</v>
      </c>
      <c r="O185" s="72">
        <v>0</v>
      </c>
      <c r="P185" s="72">
        <v>0</v>
      </c>
      <c r="Q185" s="72">
        <v>59504</v>
      </c>
      <c r="R185" s="72">
        <v>59504</v>
      </c>
      <c r="S185" s="72">
        <v>20825586</v>
      </c>
      <c r="T185" s="72">
        <v>11107851</v>
      </c>
      <c r="U185" s="72">
        <v>4297857</v>
      </c>
      <c r="V185" s="72">
        <v>2748194</v>
      </c>
      <c r="W185" s="72">
        <v>601560</v>
      </c>
      <c r="X185" s="72">
        <v>0</v>
      </c>
      <c r="Y185" s="72">
        <v>0</v>
      </c>
      <c r="Z185" s="72">
        <v>0</v>
      </c>
      <c r="AA185" s="72">
        <v>0</v>
      </c>
      <c r="AB185" s="72">
        <v>0</v>
      </c>
      <c r="AC185" s="72">
        <v>0</v>
      </c>
      <c r="AD185" s="72">
        <v>0</v>
      </c>
      <c r="AE185" s="72">
        <v>0</v>
      </c>
      <c r="AF185" s="72">
        <v>0</v>
      </c>
      <c r="AG185" s="72">
        <v>320661</v>
      </c>
      <c r="AH185" s="72">
        <v>19076123</v>
      </c>
      <c r="AI185" s="72">
        <v>1743250</v>
      </c>
      <c r="AJ185" s="72">
        <v>0</v>
      </c>
      <c r="AK185" s="72">
        <v>0</v>
      </c>
      <c r="AL185" s="72">
        <v>1743250</v>
      </c>
      <c r="AM185" s="72">
        <v>20819373</v>
      </c>
      <c r="AN185" s="72">
        <v>6213</v>
      </c>
      <c r="AO185" s="72">
        <v>2844387</v>
      </c>
      <c r="AP185" s="72">
        <v>2850600</v>
      </c>
      <c r="AQ185" s="72">
        <v>0</v>
      </c>
      <c r="AR185" s="72">
        <v>0</v>
      </c>
      <c r="AS185" s="72">
        <v>0</v>
      </c>
      <c r="AT185" s="72">
        <v>0</v>
      </c>
      <c r="AU185" s="72">
        <v>0</v>
      </c>
      <c r="AV185" s="72">
        <v>0</v>
      </c>
      <c r="AW185" s="72">
        <v>972375</v>
      </c>
      <c r="AX185" s="72">
        <v>0</v>
      </c>
      <c r="AY185" s="72">
        <v>0</v>
      </c>
      <c r="AZ185" s="72">
        <v>972375</v>
      </c>
      <c r="BA185" s="72">
        <v>1878225</v>
      </c>
      <c r="BB185" s="72">
        <v>0</v>
      </c>
      <c r="BC185" s="72">
        <v>0</v>
      </c>
      <c r="BD185" s="72">
        <v>0</v>
      </c>
      <c r="BE185" s="72">
        <v>1878225</v>
      </c>
      <c r="BF185" s="72">
        <v>0</v>
      </c>
      <c r="BG185" s="72">
        <v>0</v>
      </c>
      <c r="BH185" s="72">
        <v>0</v>
      </c>
      <c r="BI185" s="72">
        <v>0</v>
      </c>
      <c r="BJ185" s="72">
        <v>1878225</v>
      </c>
      <c r="BM185" s="72">
        <v>0</v>
      </c>
      <c r="BN185" s="72">
        <v>0</v>
      </c>
      <c r="BO185" s="72">
        <v>0</v>
      </c>
      <c r="BP185" s="72">
        <v>0</v>
      </c>
      <c r="BQ185" s="72">
        <v>0</v>
      </c>
      <c r="BR185" s="72">
        <v>0</v>
      </c>
      <c r="BS185" s="72">
        <v>20825586</v>
      </c>
    </row>
    <row r="186" spans="1:71" x14ac:dyDescent="0.2">
      <c r="A186" t="s">
        <v>233</v>
      </c>
      <c r="B186" t="s">
        <v>951</v>
      </c>
      <c r="C186" t="s">
        <v>22</v>
      </c>
      <c r="D186" s="72">
        <v>3406199</v>
      </c>
      <c r="E186" s="72">
        <v>0</v>
      </c>
      <c r="F186" s="72">
        <v>800000</v>
      </c>
      <c r="G186" s="72">
        <v>6896309</v>
      </c>
      <c r="H186" s="72">
        <v>132933</v>
      </c>
      <c r="I186" s="72">
        <v>0</v>
      </c>
      <c r="J186" s="72">
        <v>442921</v>
      </c>
      <c r="K186" s="72">
        <v>750000</v>
      </c>
      <c r="L186" s="72">
        <v>12428362</v>
      </c>
      <c r="M186" s="72">
        <v>0</v>
      </c>
      <c r="N186" s="72">
        <v>0</v>
      </c>
      <c r="O186" s="72">
        <v>0</v>
      </c>
      <c r="P186" s="72">
        <v>15000</v>
      </c>
      <c r="Q186" s="72">
        <v>10000</v>
      </c>
      <c r="R186" s="72">
        <v>25000</v>
      </c>
      <c r="S186" s="72">
        <v>12453362</v>
      </c>
      <c r="T186" s="72">
        <v>7405000</v>
      </c>
      <c r="U186" s="72">
        <v>2695000</v>
      </c>
      <c r="V186" s="72">
        <v>1083157</v>
      </c>
      <c r="W186" s="72">
        <v>459267</v>
      </c>
      <c r="X186" s="72">
        <v>213362</v>
      </c>
      <c r="Y186" s="72">
        <v>0</v>
      </c>
      <c r="Z186" s="72">
        <v>0</v>
      </c>
      <c r="AA186" s="72">
        <v>0</v>
      </c>
      <c r="AB186" s="72">
        <v>0</v>
      </c>
      <c r="AC186" s="72">
        <v>0</v>
      </c>
      <c r="AD186" s="72">
        <v>0</v>
      </c>
      <c r="AE186" s="72">
        <v>0</v>
      </c>
      <c r="AF186" s="72">
        <v>0</v>
      </c>
      <c r="AG186" s="72">
        <v>554271</v>
      </c>
      <c r="AH186" s="72">
        <v>12410057</v>
      </c>
      <c r="AI186" s="72">
        <v>25000</v>
      </c>
      <c r="AJ186" s="72">
        <v>0</v>
      </c>
      <c r="AK186" s="72">
        <v>0</v>
      </c>
      <c r="AL186" s="72">
        <v>25000</v>
      </c>
      <c r="AM186" s="72">
        <v>12435057</v>
      </c>
      <c r="AN186" s="72">
        <v>18305</v>
      </c>
      <c r="AO186" s="72">
        <v>3024854</v>
      </c>
      <c r="AP186" s="72">
        <v>3043159</v>
      </c>
      <c r="AQ186" s="72">
        <v>0</v>
      </c>
      <c r="AR186" s="72">
        <v>0</v>
      </c>
      <c r="AS186" s="72">
        <v>0</v>
      </c>
      <c r="AT186" s="72">
        <v>0</v>
      </c>
      <c r="AU186" s="72">
        <v>0</v>
      </c>
      <c r="AV186" s="72">
        <v>0</v>
      </c>
      <c r="AW186" s="72">
        <v>0</v>
      </c>
      <c r="AX186" s="72">
        <v>0</v>
      </c>
      <c r="AY186" s="72">
        <v>0</v>
      </c>
      <c r="AZ186" s="72">
        <v>0</v>
      </c>
      <c r="BA186" s="72">
        <v>3043159</v>
      </c>
      <c r="BB186" s="72">
        <v>0</v>
      </c>
      <c r="BC186" s="72">
        <v>0</v>
      </c>
      <c r="BD186" s="72">
        <v>0</v>
      </c>
      <c r="BE186" s="72">
        <v>3043159</v>
      </c>
      <c r="BF186" s="72">
        <v>0</v>
      </c>
      <c r="BG186" s="72">
        <v>0</v>
      </c>
      <c r="BH186" s="72">
        <v>0</v>
      </c>
      <c r="BI186" s="72">
        <v>0</v>
      </c>
      <c r="BJ186" s="72">
        <v>3043159</v>
      </c>
      <c r="BK186" s="72">
        <v>0</v>
      </c>
      <c r="BL186" s="72">
        <v>0</v>
      </c>
      <c r="BM186" s="72">
        <v>0</v>
      </c>
      <c r="BN186" s="72">
        <v>0</v>
      </c>
      <c r="BO186" s="72">
        <v>0</v>
      </c>
      <c r="BP186" s="72">
        <v>0</v>
      </c>
      <c r="BQ186" s="72">
        <v>0</v>
      </c>
      <c r="BR186" s="72">
        <v>0</v>
      </c>
      <c r="BS186" s="72">
        <v>12453362</v>
      </c>
    </row>
    <row r="187" spans="1:71" x14ac:dyDescent="0.2">
      <c r="A187" t="s">
        <v>238</v>
      </c>
      <c r="B187" t="s">
        <v>956</v>
      </c>
      <c r="C187" t="s">
        <v>30</v>
      </c>
      <c r="D187" s="72">
        <v>3060686</v>
      </c>
      <c r="E187" s="72">
        <v>101197</v>
      </c>
      <c r="F187" s="72">
        <v>1767225</v>
      </c>
      <c r="G187" s="72">
        <v>2286981</v>
      </c>
      <c r="H187" s="72">
        <v>0</v>
      </c>
      <c r="I187" s="72">
        <v>0</v>
      </c>
      <c r="J187" s="72">
        <v>542960</v>
      </c>
      <c r="K187" s="72">
        <v>1346836</v>
      </c>
      <c r="L187" s="72">
        <v>9105885</v>
      </c>
      <c r="M187" s="72">
        <v>0</v>
      </c>
      <c r="N187" s="72">
        <v>0</v>
      </c>
      <c r="O187" s="72">
        <v>0</v>
      </c>
      <c r="P187" s="72">
        <v>0</v>
      </c>
      <c r="Q187" s="72">
        <v>3016</v>
      </c>
      <c r="R187" s="72">
        <v>3016</v>
      </c>
      <c r="S187" s="72">
        <v>9108901</v>
      </c>
      <c r="T187" s="72">
        <v>4240617</v>
      </c>
      <c r="U187" s="72">
        <v>1502879</v>
      </c>
      <c r="V187" s="72">
        <v>2266974</v>
      </c>
      <c r="W187" s="72">
        <v>220808</v>
      </c>
      <c r="X187" s="72">
        <v>609049</v>
      </c>
      <c r="Y187" s="72">
        <v>0</v>
      </c>
      <c r="Z187" s="72">
        <v>0</v>
      </c>
      <c r="AA187" s="72">
        <v>0</v>
      </c>
      <c r="AB187" s="72">
        <v>0</v>
      </c>
      <c r="AC187" s="72">
        <v>0</v>
      </c>
      <c r="AD187" s="72">
        <v>124646</v>
      </c>
      <c r="AE187" s="72">
        <v>10000</v>
      </c>
      <c r="AF187" s="72">
        <v>4030</v>
      </c>
      <c r="AG187" s="72">
        <v>387257</v>
      </c>
      <c r="AH187" s="72">
        <v>9366260</v>
      </c>
      <c r="AI187" s="72">
        <v>0</v>
      </c>
      <c r="AJ187" s="72">
        <v>0</v>
      </c>
      <c r="AK187" s="72">
        <v>0</v>
      </c>
      <c r="AL187" s="72">
        <v>0</v>
      </c>
      <c r="AM187" s="72">
        <v>9366260</v>
      </c>
      <c r="AN187" s="72">
        <v>-257359</v>
      </c>
      <c r="AO187" s="72">
        <v>2611290</v>
      </c>
      <c r="AP187" s="72">
        <v>2353931</v>
      </c>
      <c r="AQ187" s="72">
        <v>0</v>
      </c>
      <c r="AR187" s="72">
        <v>0</v>
      </c>
      <c r="AS187" s="72">
        <v>0</v>
      </c>
      <c r="AT187" s="72">
        <v>0</v>
      </c>
      <c r="AU187" s="72">
        <v>0</v>
      </c>
      <c r="AV187" s="72">
        <v>0</v>
      </c>
      <c r="AW187" s="72">
        <v>0</v>
      </c>
      <c r="AX187" s="72">
        <v>0</v>
      </c>
      <c r="AY187" s="72">
        <v>0</v>
      </c>
      <c r="AZ187" s="72">
        <v>0</v>
      </c>
      <c r="BA187" s="72">
        <v>2353931</v>
      </c>
      <c r="BB187" s="72">
        <v>0</v>
      </c>
      <c r="BC187" s="72">
        <v>0</v>
      </c>
      <c r="BD187" s="72">
        <v>0</v>
      </c>
      <c r="BE187" s="72">
        <v>2353931</v>
      </c>
      <c r="BF187" s="72">
        <v>0</v>
      </c>
      <c r="BG187" s="72">
        <v>0</v>
      </c>
      <c r="BH187" s="72">
        <v>0</v>
      </c>
      <c r="BI187" s="72">
        <v>0</v>
      </c>
      <c r="BJ187" s="72">
        <v>2353931</v>
      </c>
      <c r="BM187" s="72">
        <v>0</v>
      </c>
      <c r="BN187" s="72">
        <v>0</v>
      </c>
      <c r="BO187" s="72">
        <v>0</v>
      </c>
      <c r="BP187" s="72">
        <v>0</v>
      </c>
      <c r="BQ187" s="72">
        <v>0</v>
      </c>
      <c r="BR187" s="72">
        <v>0</v>
      </c>
      <c r="BS187" s="72">
        <v>9366260</v>
      </c>
    </row>
    <row r="188" spans="1:71" x14ac:dyDescent="0.2">
      <c r="A188" t="s">
        <v>249</v>
      </c>
      <c r="B188" t="s">
        <v>967</v>
      </c>
      <c r="C188" t="s">
        <v>68</v>
      </c>
      <c r="D188" s="72">
        <v>1595416</v>
      </c>
      <c r="E188" s="72">
        <v>107209</v>
      </c>
      <c r="F188" s="72">
        <v>1829519</v>
      </c>
      <c r="G188" s="72">
        <v>3323876</v>
      </c>
      <c r="H188" s="72">
        <v>15660</v>
      </c>
      <c r="I188" s="72">
        <v>0</v>
      </c>
      <c r="J188" s="72">
        <v>255909</v>
      </c>
      <c r="K188" s="72">
        <v>629310</v>
      </c>
      <c r="L188" s="72">
        <v>7756899</v>
      </c>
      <c r="M188" s="72">
        <v>0</v>
      </c>
      <c r="N188" s="72">
        <v>0</v>
      </c>
      <c r="O188" s="72">
        <v>0</v>
      </c>
      <c r="P188" s="72">
        <v>0</v>
      </c>
      <c r="Q188" s="72">
        <v>10400</v>
      </c>
      <c r="R188" s="72">
        <v>10400</v>
      </c>
      <c r="S188" s="72">
        <v>7767299</v>
      </c>
      <c r="T188" s="72">
        <v>4296230</v>
      </c>
      <c r="U188" s="72">
        <v>1473190</v>
      </c>
      <c r="V188" s="72">
        <v>1304269</v>
      </c>
      <c r="W188" s="72">
        <v>198522</v>
      </c>
      <c r="X188" s="72">
        <v>65000</v>
      </c>
      <c r="Y188" s="72">
        <v>0</v>
      </c>
      <c r="Z188" s="72">
        <v>0</v>
      </c>
      <c r="AA188" s="72">
        <v>0</v>
      </c>
      <c r="AB188" s="72">
        <v>0</v>
      </c>
      <c r="AC188" s="72">
        <v>0</v>
      </c>
      <c r="AD188" s="72">
        <v>23294</v>
      </c>
      <c r="AE188" s="72">
        <v>0</v>
      </c>
      <c r="AF188" s="72">
        <v>2115</v>
      </c>
      <c r="AG188" s="72">
        <v>103940</v>
      </c>
      <c r="AH188" s="72">
        <v>7466560</v>
      </c>
      <c r="AI188" s="72">
        <v>0</v>
      </c>
      <c r="AJ188" s="72">
        <v>0</v>
      </c>
      <c r="AK188" s="72">
        <v>0</v>
      </c>
      <c r="AL188" s="72">
        <v>0</v>
      </c>
      <c r="AM188" s="72">
        <v>7466560</v>
      </c>
      <c r="AN188" s="72">
        <v>300739</v>
      </c>
      <c r="AO188" s="72">
        <v>1665861</v>
      </c>
      <c r="AP188" s="72">
        <v>1966600</v>
      </c>
      <c r="AQ188" s="72">
        <v>50000</v>
      </c>
      <c r="AR188" s="72">
        <v>0</v>
      </c>
      <c r="AS188" s="72">
        <v>0</v>
      </c>
      <c r="AT188" s="72">
        <v>0</v>
      </c>
      <c r="AU188" s="72">
        <v>0</v>
      </c>
      <c r="AV188" s="72">
        <v>0</v>
      </c>
      <c r="AW188" s="72">
        <v>0</v>
      </c>
      <c r="AX188" s="72">
        <v>0</v>
      </c>
      <c r="AY188" s="72">
        <v>0</v>
      </c>
      <c r="AZ188" s="72">
        <v>0</v>
      </c>
      <c r="BA188" s="72">
        <v>1916600</v>
      </c>
      <c r="BB188" s="72">
        <v>0</v>
      </c>
      <c r="BC188" s="72">
        <v>0</v>
      </c>
      <c r="BD188" s="72">
        <v>0</v>
      </c>
      <c r="BE188" s="72">
        <v>1916600</v>
      </c>
      <c r="BF188" s="72">
        <v>0</v>
      </c>
      <c r="BG188" s="72">
        <v>0</v>
      </c>
      <c r="BH188" s="72">
        <v>0</v>
      </c>
      <c r="BI188" s="72">
        <v>0</v>
      </c>
      <c r="BJ188" s="72">
        <v>1916600</v>
      </c>
      <c r="BM188" s="72">
        <v>0</v>
      </c>
      <c r="BN188" s="72">
        <v>0</v>
      </c>
      <c r="BO188" s="72">
        <v>0</v>
      </c>
      <c r="BP188" s="72">
        <v>0</v>
      </c>
      <c r="BQ188" s="72">
        <v>0</v>
      </c>
      <c r="BR188" s="72">
        <v>0</v>
      </c>
      <c r="BS188" s="72">
        <v>7767299</v>
      </c>
    </row>
    <row r="189" spans="1:71" x14ac:dyDescent="0.2">
      <c r="A189" t="s">
        <v>250</v>
      </c>
      <c r="B189" t="s">
        <v>968</v>
      </c>
      <c r="C189" t="s">
        <v>84</v>
      </c>
      <c r="D189" s="72">
        <v>1832615</v>
      </c>
      <c r="E189" s="72">
        <v>258611</v>
      </c>
      <c r="F189" s="72">
        <v>179977</v>
      </c>
      <c r="G189" s="72">
        <v>3866732</v>
      </c>
      <c r="H189" s="72">
        <v>1963</v>
      </c>
      <c r="I189" s="72">
        <v>0</v>
      </c>
      <c r="J189" s="72">
        <v>786947</v>
      </c>
      <c r="K189" s="72">
        <v>299826</v>
      </c>
      <c r="L189" s="72">
        <v>7226671</v>
      </c>
      <c r="M189" s="72">
        <v>0</v>
      </c>
      <c r="N189" s="72">
        <v>0</v>
      </c>
      <c r="O189" s="72">
        <v>14861</v>
      </c>
      <c r="P189" s="72">
        <v>0</v>
      </c>
      <c r="Q189" s="72">
        <v>10000</v>
      </c>
      <c r="R189" s="72">
        <v>24861</v>
      </c>
      <c r="S189" s="72">
        <v>7251532</v>
      </c>
      <c r="T189" s="72">
        <v>3452684</v>
      </c>
      <c r="U189" s="72">
        <v>1643838</v>
      </c>
      <c r="V189" s="72">
        <v>1883747</v>
      </c>
      <c r="W189" s="72">
        <v>353031</v>
      </c>
      <c r="X189" s="72">
        <v>126519</v>
      </c>
      <c r="Y189" s="72">
        <v>0</v>
      </c>
      <c r="Z189" s="72">
        <v>0</v>
      </c>
      <c r="AA189" s="72">
        <v>0</v>
      </c>
      <c r="AB189" s="72">
        <v>0</v>
      </c>
      <c r="AC189" s="72">
        <v>0</v>
      </c>
      <c r="AD189" s="72">
        <v>0</v>
      </c>
      <c r="AE189" s="72">
        <v>133000</v>
      </c>
      <c r="AF189" s="72">
        <v>16922</v>
      </c>
      <c r="AG189" s="72">
        <v>162942</v>
      </c>
      <c r="AH189" s="72">
        <v>7772683</v>
      </c>
      <c r="AI189" s="72">
        <v>20000</v>
      </c>
      <c r="AJ189" s="72">
        <v>0</v>
      </c>
      <c r="AK189" s="72">
        <v>0</v>
      </c>
      <c r="AL189" s="72">
        <v>20000</v>
      </c>
      <c r="AM189" s="72">
        <v>7792683</v>
      </c>
      <c r="AN189" s="72">
        <v>-541150</v>
      </c>
      <c r="AO189" s="72">
        <v>2236909</v>
      </c>
      <c r="AP189" s="72">
        <v>1695759</v>
      </c>
      <c r="AQ189" s="72">
        <v>25000</v>
      </c>
      <c r="AR189" s="72">
        <v>0</v>
      </c>
      <c r="AS189" s="72">
        <v>0</v>
      </c>
      <c r="AT189" s="72">
        <v>0</v>
      </c>
      <c r="AU189" s="72">
        <v>0</v>
      </c>
      <c r="AW189" s="72">
        <v>0</v>
      </c>
      <c r="AX189" s="72">
        <v>0</v>
      </c>
      <c r="AY189" s="72">
        <v>0</v>
      </c>
      <c r="AZ189" s="72">
        <v>0</v>
      </c>
      <c r="BA189" s="72">
        <v>1670759</v>
      </c>
      <c r="BB189" s="72">
        <v>0</v>
      </c>
      <c r="BC189" s="72">
        <v>0</v>
      </c>
      <c r="BD189" s="72">
        <v>0</v>
      </c>
      <c r="BE189" s="72">
        <v>1670759</v>
      </c>
      <c r="BF189" s="72">
        <v>0</v>
      </c>
      <c r="BG189" s="72">
        <v>0</v>
      </c>
      <c r="BH189" s="72">
        <v>0</v>
      </c>
      <c r="BI189" s="72">
        <v>0</v>
      </c>
      <c r="BJ189" s="72">
        <v>1670759</v>
      </c>
      <c r="BK189" s="72">
        <v>73</v>
      </c>
      <c r="BL189" s="72">
        <v>636</v>
      </c>
      <c r="BS189" s="72">
        <v>7792683</v>
      </c>
    </row>
    <row r="190" spans="1:71" x14ac:dyDescent="0.2">
      <c r="A190" t="s">
        <v>255</v>
      </c>
      <c r="B190" t="s">
        <v>971</v>
      </c>
      <c r="C190" t="s">
        <v>82</v>
      </c>
      <c r="D190" s="72">
        <v>1005378</v>
      </c>
      <c r="E190" s="72">
        <v>483709</v>
      </c>
      <c r="F190" s="72">
        <v>0</v>
      </c>
      <c r="G190" s="72">
        <v>7412317</v>
      </c>
      <c r="H190" s="72">
        <v>33456</v>
      </c>
      <c r="I190" s="72">
        <v>0</v>
      </c>
      <c r="J190" s="72">
        <v>190402</v>
      </c>
      <c r="K190" s="72">
        <v>918065</v>
      </c>
      <c r="L190" s="72">
        <v>10043327</v>
      </c>
      <c r="M190" s="72">
        <v>0</v>
      </c>
      <c r="N190" s="72">
        <v>0</v>
      </c>
      <c r="O190" s="72">
        <v>0</v>
      </c>
      <c r="P190" s="72">
        <v>40000</v>
      </c>
      <c r="Q190" s="72">
        <v>94614</v>
      </c>
      <c r="R190" s="72">
        <v>134614</v>
      </c>
      <c r="S190" s="72">
        <v>10177941</v>
      </c>
      <c r="T190" s="72">
        <v>4901149</v>
      </c>
      <c r="U190" s="72">
        <v>2425844</v>
      </c>
      <c r="V190" s="72">
        <v>1991102</v>
      </c>
      <c r="W190" s="72">
        <v>376932</v>
      </c>
      <c r="X190" s="72">
        <v>130000</v>
      </c>
      <c r="Y190" s="72">
        <v>0</v>
      </c>
      <c r="Z190" s="72">
        <v>0</v>
      </c>
      <c r="AA190" s="72">
        <v>0</v>
      </c>
      <c r="AB190" s="72">
        <v>0</v>
      </c>
      <c r="AC190" s="72">
        <v>0</v>
      </c>
      <c r="AD190" s="72">
        <v>50000</v>
      </c>
      <c r="AE190" s="72">
        <v>0</v>
      </c>
      <c r="AF190" s="72">
        <v>16655</v>
      </c>
      <c r="AG190" s="72">
        <v>105077</v>
      </c>
      <c r="AH190" s="72">
        <v>9996759</v>
      </c>
      <c r="AI190" s="72">
        <v>0</v>
      </c>
      <c r="AJ190" s="72">
        <v>40000</v>
      </c>
      <c r="AK190" s="72">
        <v>0</v>
      </c>
      <c r="AL190" s="72">
        <v>40000</v>
      </c>
      <c r="AM190" s="72">
        <v>10036759</v>
      </c>
      <c r="AN190" s="72">
        <v>141182</v>
      </c>
      <c r="AO190" s="72">
        <v>598474</v>
      </c>
      <c r="AP190" s="72">
        <v>739656</v>
      </c>
      <c r="AQ190" s="72">
        <v>0</v>
      </c>
      <c r="AR190" s="72">
        <v>0</v>
      </c>
      <c r="AS190" s="72">
        <v>0</v>
      </c>
      <c r="AT190" s="72">
        <v>0</v>
      </c>
      <c r="AU190" s="72">
        <v>0</v>
      </c>
      <c r="AV190" s="72">
        <v>0</v>
      </c>
      <c r="AW190" s="72">
        <v>0</v>
      </c>
      <c r="AX190" s="72">
        <v>0</v>
      </c>
      <c r="AY190" s="72">
        <v>0</v>
      </c>
      <c r="AZ190" s="72">
        <v>0</v>
      </c>
      <c r="BA190" s="72">
        <v>739656</v>
      </c>
      <c r="BB190" s="72">
        <v>0</v>
      </c>
      <c r="BC190" s="72">
        <v>0</v>
      </c>
      <c r="BD190" s="72">
        <v>0</v>
      </c>
      <c r="BE190" s="72">
        <v>739656</v>
      </c>
      <c r="BF190" s="72">
        <v>0</v>
      </c>
      <c r="BG190" s="72">
        <v>0</v>
      </c>
      <c r="BH190" s="72">
        <v>0</v>
      </c>
      <c r="BI190" s="72">
        <v>0</v>
      </c>
      <c r="BJ190" s="72">
        <v>739656</v>
      </c>
      <c r="BM190" s="72">
        <v>0</v>
      </c>
      <c r="BN190" s="72">
        <v>0</v>
      </c>
      <c r="BO190" s="72">
        <v>0</v>
      </c>
      <c r="BP190" s="72">
        <v>0</v>
      </c>
      <c r="BQ190" s="72">
        <v>0</v>
      </c>
      <c r="BR190" s="72">
        <v>0</v>
      </c>
      <c r="BS190" s="72">
        <v>10177941</v>
      </c>
    </row>
    <row r="191" spans="1:71" x14ac:dyDescent="0.2">
      <c r="A191" t="s">
        <v>305</v>
      </c>
      <c r="B191" t="s">
        <v>949</v>
      </c>
      <c r="C191" t="s">
        <v>65</v>
      </c>
      <c r="D191" s="72">
        <v>2631000</v>
      </c>
      <c r="E191" s="72">
        <v>2500</v>
      </c>
      <c r="F191" s="72">
        <v>0</v>
      </c>
      <c r="G191" s="72">
        <v>1152000</v>
      </c>
      <c r="H191" s="72">
        <v>600</v>
      </c>
      <c r="I191" s="72">
        <v>0</v>
      </c>
      <c r="J191" s="72">
        <v>245000</v>
      </c>
      <c r="K191" s="72">
        <v>1084000</v>
      </c>
      <c r="L191" s="72">
        <v>5115100</v>
      </c>
      <c r="M191" s="72">
        <v>0</v>
      </c>
      <c r="N191" s="72">
        <v>0</v>
      </c>
      <c r="O191" s="72">
        <v>0</v>
      </c>
      <c r="P191" s="72">
        <v>0</v>
      </c>
      <c r="Q191" s="72">
        <v>0</v>
      </c>
      <c r="R191" s="72">
        <v>0</v>
      </c>
      <c r="S191" s="72">
        <v>5115100</v>
      </c>
      <c r="T191" s="72">
        <v>2765000</v>
      </c>
      <c r="U191" s="72">
        <v>1184500</v>
      </c>
      <c r="V191" s="72">
        <v>951000</v>
      </c>
      <c r="W191" s="72">
        <v>87000</v>
      </c>
      <c r="X191" s="72">
        <v>10000</v>
      </c>
      <c r="Y191" s="72">
        <v>0</v>
      </c>
      <c r="Z191" s="72">
        <v>0</v>
      </c>
      <c r="AA191" s="72">
        <v>0</v>
      </c>
      <c r="AB191" s="72">
        <v>0</v>
      </c>
      <c r="AC191" s="72">
        <v>0</v>
      </c>
      <c r="AD191" s="72">
        <v>0</v>
      </c>
      <c r="AE191" s="72">
        <v>0</v>
      </c>
      <c r="AF191" s="72">
        <v>0</v>
      </c>
      <c r="AG191" s="72">
        <v>184000</v>
      </c>
      <c r="AH191" s="72">
        <v>5181500</v>
      </c>
      <c r="AI191" s="72">
        <v>0</v>
      </c>
      <c r="AJ191" s="72">
        <v>15000</v>
      </c>
      <c r="AK191" s="72">
        <v>0</v>
      </c>
      <c r="AL191" s="72">
        <v>15000</v>
      </c>
      <c r="AM191" s="72">
        <v>5196500</v>
      </c>
      <c r="AN191" s="72">
        <v>-81400</v>
      </c>
      <c r="AO191" s="72">
        <v>666213</v>
      </c>
      <c r="AP191" s="72">
        <v>584813</v>
      </c>
      <c r="AQ191" s="72">
        <v>40000</v>
      </c>
      <c r="AR191" s="72">
        <v>0</v>
      </c>
      <c r="AS191" s="72">
        <v>0</v>
      </c>
      <c r="AT191" s="72">
        <v>28321</v>
      </c>
      <c r="AU191" s="72">
        <v>0</v>
      </c>
      <c r="AW191" s="72">
        <v>0</v>
      </c>
      <c r="AX191" s="72">
        <v>0</v>
      </c>
      <c r="AY191" s="72">
        <v>0</v>
      </c>
      <c r="AZ191" s="72">
        <v>28321</v>
      </c>
      <c r="BA191" s="72">
        <v>516492</v>
      </c>
      <c r="BB191" s="72">
        <v>0</v>
      </c>
      <c r="BC191" s="72">
        <v>0</v>
      </c>
      <c r="BE191" s="72">
        <v>516492</v>
      </c>
      <c r="BF191" s="72">
        <v>0</v>
      </c>
      <c r="BG191" s="72">
        <v>0</v>
      </c>
      <c r="BH191" s="72">
        <v>0</v>
      </c>
      <c r="BI191" s="72">
        <v>0</v>
      </c>
      <c r="BJ191" s="72">
        <v>516492</v>
      </c>
      <c r="BK191" s="72">
        <v>25</v>
      </c>
      <c r="BL191" s="72">
        <v>425</v>
      </c>
      <c r="BM191" s="72">
        <v>0</v>
      </c>
      <c r="BN191" s="72">
        <v>0</v>
      </c>
      <c r="BO191" s="72">
        <v>0</v>
      </c>
      <c r="BP191" s="72">
        <v>0</v>
      </c>
      <c r="BQ191" s="72">
        <v>0</v>
      </c>
      <c r="BR191" s="72">
        <v>0</v>
      </c>
      <c r="BS191" s="72">
        <v>5196500</v>
      </c>
    </row>
    <row r="192" spans="1:71" x14ac:dyDescent="0.2">
      <c r="A192" t="s">
        <v>336</v>
      </c>
      <c r="B192" t="s">
        <v>1050</v>
      </c>
      <c r="C192" t="s">
        <v>94</v>
      </c>
      <c r="D192" s="72">
        <v>1858437</v>
      </c>
      <c r="E192" s="72">
        <v>112168</v>
      </c>
      <c r="F192" s="72">
        <v>0</v>
      </c>
      <c r="G192" s="72">
        <v>5250330</v>
      </c>
      <c r="H192" s="72">
        <v>43000</v>
      </c>
      <c r="I192" s="72">
        <v>0</v>
      </c>
      <c r="J192" s="72">
        <v>282207</v>
      </c>
      <c r="K192" s="72">
        <v>497000</v>
      </c>
      <c r="L192" s="72">
        <v>8043142</v>
      </c>
      <c r="M192" s="72">
        <v>0</v>
      </c>
      <c r="N192" s="72">
        <v>0</v>
      </c>
      <c r="O192" s="72">
        <v>0</v>
      </c>
      <c r="P192" s="72">
        <v>0</v>
      </c>
      <c r="Q192" s="72">
        <v>10000</v>
      </c>
      <c r="R192" s="72">
        <v>10000</v>
      </c>
      <c r="S192" s="72">
        <v>8053142</v>
      </c>
      <c r="T192" s="72">
        <v>4049264</v>
      </c>
      <c r="U192" s="72">
        <v>1675857</v>
      </c>
      <c r="V192" s="72">
        <v>1776170</v>
      </c>
      <c r="W192" s="72">
        <v>231016</v>
      </c>
      <c r="X192" s="72">
        <v>12000</v>
      </c>
      <c r="Y192" s="72">
        <v>0</v>
      </c>
      <c r="Z192" s="72">
        <v>0</v>
      </c>
      <c r="AA192" s="72">
        <v>0</v>
      </c>
      <c r="AB192" s="72">
        <v>0</v>
      </c>
      <c r="AC192" s="72">
        <v>0</v>
      </c>
      <c r="AD192" s="72">
        <v>0</v>
      </c>
      <c r="AE192" s="72">
        <v>0</v>
      </c>
      <c r="AF192" s="72">
        <v>0</v>
      </c>
      <c r="AG192" s="72">
        <v>177005</v>
      </c>
      <c r="AH192" s="72">
        <v>7921312</v>
      </c>
      <c r="AI192" s="72">
        <v>56000</v>
      </c>
      <c r="AJ192" s="72">
        <v>0</v>
      </c>
      <c r="AK192" s="72">
        <v>0</v>
      </c>
      <c r="AL192" s="72">
        <v>56000</v>
      </c>
      <c r="AM192" s="72">
        <v>7977312</v>
      </c>
      <c r="AN192" s="72">
        <v>75830</v>
      </c>
      <c r="AO192" s="72">
        <v>1138166</v>
      </c>
      <c r="AP192" s="72">
        <v>1213996</v>
      </c>
      <c r="AQ192" s="72">
        <v>50000</v>
      </c>
      <c r="AR192" s="72">
        <v>0</v>
      </c>
      <c r="AS192" s="72">
        <v>0</v>
      </c>
      <c r="AT192" s="72">
        <v>0</v>
      </c>
      <c r="AU192" s="72">
        <v>0</v>
      </c>
      <c r="AV192" s="72">
        <v>0</v>
      </c>
      <c r="AW192" s="72">
        <v>0</v>
      </c>
      <c r="AX192" s="72">
        <v>0</v>
      </c>
      <c r="AY192" s="72">
        <v>0</v>
      </c>
      <c r="AZ192" s="72">
        <v>0</v>
      </c>
      <c r="BA192" s="72">
        <v>1163996</v>
      </c>
      <c r="BB192" s="72">
        <v>0</v>
      </c>
      <c r="BC192" s="72">
        <v>0</v>
      </c>
      <c r="BD192" s="72">
        <v>0</v>
      </c>
      <c r="BE192" s="72">
        <v>1163996</v>
      </c>
      <c r="BF192" s="72">
        <v>0</v>
      </c>
      <c r="BG192" s="72">
        <v>0</v>
      </c>
      <c r="BH192" s="72">
        <v>0</v>
      </c>
      <c r="BI192" s="72">
        <v>0</v>
      </c>
      <c r="BJ192" s="72">
        <v>1163996</v>
      </c>
      <c r="BK192" s="72">
        <v>80</v>
      </c>
      <c r="BL192" s="72">
        <v>963</v>
      </c>
      <c r="BM192" s="72">
        <v>0</v>
      </c>
      <c r="BN192" s="72">
        <v>0</v>
      </c>
      <c r="BO192" s="72">
        <v>0</v>
      </c>
      <c r="BP192" s="72">
        <v>0</v>
      </c>
      <c r="BQ192" s="72">
        <v>0</v>
      </c>
      <c r="BR192" s="72">
        <v>0</v>
      </c>
      <c r="BS192" s="72">
        <v>8053142</v>
      </c>
    </row>
    <row r="193" spans="1:71" x14ac:dyDescent="0.2">
      <c r="A193" t="s">
        <v>337</v>
      </c>
      <c r="B193" t="s">
        <v>1051</v>
      </c>
      <c r="C193" t="s">
        <v>37</v>
      </c>
      <c r="D193" s="72">
        <v>1977895</v>
      </c>
      <c r="E193" s="72">
        <v>0</v>
      </c>
      <c r="F193" s="72">
        <v>0</v>
      </c>
      <c r="G193" s="72">
        <v>5573193</v>
      </c>
      <c r="H193" s="72">
        <v>76718</v>
      </c>
      <c r="I193" s="72">
        <v>0</v>
      </c>
      <c r="J193" s="72">
        <v>288271</v>
      </c>
      <c r="K193" s="72">
        <v>432781</v>
      </c>
      <c r="L193" s="72">
        <v>8348858</v>
      </c>
      <c r="Q193" s="72">
        <v>16206</v>
      </c>
      <c r="R193" s="72">
        <v>16206</v>
      </c>
      <c r="S193" s="72">
        <v>8365064</v>
      </c>
      <c r="T193" s="72">
        <v>5314790</v>
      </c>
      <c r="U193" s="72">
        <v>2127309</v>
      </c>
      <c r="V193" s="72">
        <v>1021605</v>
      </c>
      <c r="W193" s="72">
        <v>372705</v>
      </c>
      <c r="X193" s="72">
        <v>189366</v>
      </c>
      <c r="AG193" s="72">
        <v>198619</v>
      </c>
      <c r="AH193" s="72">
        <v>9224394</v>
      </c>
      <c r="AI193" s="72">
        <v>0</v>
      </c>
      <c r="AL193" s="72">
        <v>0</v>
      </c>
      <c r="AM193" s="72">
        <v>9224394</v>
      </c>
      <c r="AN193" s="72">
        <v>-859330</v>
      </c>
      <c r="AO193" s="72">
        <v>1060658</v>
      </c>
      <c r="AP193" s="72">
        <v>201328</v>
      </c>
      <c r="AQ193" s="72">
        <v>30000</v>
      </c>
      <c r="BA193" s="72">
        <v>171328</v>
      </c>
      <c r="BE193" s="72">
        <v>171328</v>
      </c>
      <c r="BJ193" s="72">
        <v>171328</v>
      </c>
      <c r="BS193" s="72">
        <v>9224394</v>
      </c>
    </row>
    <row r="194" spans="1:71" x14ac:dyDescent="0.2">
      <c r="A194" t="s">
        <v>343</v>
      </c>
      <c r="B194" t="s">
        <v>1057</v>
      </c>
      <c r="C194" t="s">
        <v>24</v>
      </c>
      <c r="D194" s="72">
        <v>14464495</v>
      </c>
      <c r="E194" s="72">
        <v>689752</v>
      </c>
      <c r="F194" s="72">
        <v>0</v>
      </c>
      <c r="G194" s="72">
        <v>5610609</v>
      </c>
      <c r="H194" s="72">
        <v>28272</v>
      </c>
      <c r="I194" s="72">
        <v>0</v>
      </c>
      <c r="J194" s="72">
        <v>1942467</v>
      </c>
      <c r="K194" s="72">
        <v>544795</v>
      </c>
      <c r="L194" s="72">
        <v>23280390</v>
      </c>
      <c r="M194" s="72">
        <v>0</v>
      </c>
      <c r="N194" s="72">
        <v>0</v>
      </c>
      <c r="O194" s="72">
        <v>0</v>
      </c>
      <c r="P194" s="72">
        <v>0</v>
      </c>
      <c r="Q194" s="72">
        <v>60160</v>
      </c>
      <c r="R194" s="72">
        <v>60160</v>
      </c>
      <c r="S194" s="72">
        <v>23340550</v>
      </c>
      <c r="T194" s="72">
        <v>13260364</v>
      </c>
      <c r="U194" s="72">
        <v>5690913</v>
      </c>
      <c r="V194" s="72">
        <v>3187689</v>
      </c>
      <c r="W194" s="72">
        <v>783698</v>
      </c>
      <c r="X194" s="72">
        <v>48895</v>
      </c>
      <c r="Y194" s="72">
        <v>0</v>
      </c>
      <c r="Z194" s="72">
        <v>0</v>
      </c>
      <c r="AA194" s="72">
        <v>0</v>
      </c>
      <c r="AB194" s="72">
        <v>0</v>
      </c>
      <c r="AC194" s="72">
        <v>0</v>
      </c>
      <c r="AD194" s="72">
        <v>239740</v>
      </c>
      <c r="AE194" s="72">
        <v>239740</v>
      </c>
      <c r="AF194" s="72">
        <v>0</v>
      </c>
      <c r="AG194" s="72">
        <v>340190</v>
      </c>
      <c r="AH194" s="72">
        <v>23791229</v>
      </c>
      <c r="AI194" s="72">
        <v>0</v>
      </c>
      <c r="AJ194" s="72">
        <v>0</v>
      </c>
      <c r="AK194" s="72">
        <v>10901</v>
      </c>
      <c r="AL194" s="72">
        <v>10901</v>
      </c>
      <c r="AM194" s="72">
        <v>23802130</v>
      </c>
      <c r="AN194" s="72">
        <v>-461580</v>
      </c>
      <c r="AO194" s="72">
        <v>1576821</v>
      </c>
      <c r="AP194" s="72">
        <v>1115241</v>
      </c>
      <c r="AQ194" s="72">
        <v>100000</v>
      </c>
      <c r="AR194" s="72">
        <v>0</v>
      </c>
      <c r="AS194" s="72">
        <v>0</v>
      </c>
      <c r="AT194" s="72">
        <v>0</v>
      </c>
      <c r="AU194" s="72">
        <v>0</v>
      </c>
      <c r="AV194" s="72">
        <v>0</v>
      </c>
      <c r="AW194" s="72">
        <v>0</v>
      </c>
      <c r="AX194" s="72">
        <v>0</v>
      </c>
      <c r="AY194" s="72">
        <v>0</v>
      </c>
      <c r="AZ194" s="72">
        <v>0</v>
      </c>
      <c r="BA194" s="72">
        <v>1015241</v>
      </c>
      <c r="BB194" s="72">
        <v>0</v>
      </c>
      <c r="BC194" s="72">
        <v>0</v>
      </c>
      <c r="BD194" s="72">
        <v>0</v>
      </c>
      <c r="BE194" s="72">
        <v>1015241</v>
      </c>
      <c r="BF194" s="72">
        <v>0</v>
      </c>
      <c r="BG194" s="72">
        <v>0</v>
      </c>
      <c r="BH194" s="72">
        <v>0</v>
      </c>
      <c r="BI194" s="72">
        <v>0</v>
      </c>
      <c r="BJ194" s="72">
        <v>1015241</v>
      </c>
      <c r="BM194" s="72">
        <v>0</v>
      </c>
      <c r="BN194" s="72">
        <v>0</v>
      </c>
      <c r="BO194" s="72">
        <v>0</v>
      </c>
      <c r="BP194" s="72">
        <v>0</v>
      </c>
      <c r="BQ194" s="72">
        <v>0</v>
      </c>
      <c r="BR194" s="72">
        <v>0</v>
      </c>
      <c r="BS194" s="72">
        <v>23802130</v>
      </c>
    </row>
    <row r="195" spans="1:71" x14ac:dyDescent="0.2">
      <c r="A195" t="s">
        <v>350</v>
      </c>
      <c r="B195" t="s">
        <v>1062</v>
      </c>
      <c r="C195" t="s">
        <v>40</v>
      </c>
      <c r="D195" s="72">
        <v>3158666</v>
      </c>
      <c r="E195" s="72">
        <v>0</v>
      </c>
      <c r="F195" s="72">
        <v>1692143</v>
      </c>
      <c r="G195" s="72">
        <v>12937855</v>
      </c>
      <c r="H195" s="72">
        <v>147339</v>
      </c>
      <c r="I195" s="72">
        <v>0</v>
      </c>
      <c r="J195" s="72">
        <v>502583</v>
      </c>
      <c r="K195" s="72">
        <v>750122</v>
      </c>
      <c r="L195" s="72">
        <v>19188708</v>
      </c>
      <c r="M195" s="72">
        <v>0</v>
      </c>
      <c r="N195" s="72">
        <v>0</v>
      </c>
      <c r="O195" s="72">
        <v>200000</v>
      </c>
      <c r="P195" s="72">
        <v>1200000</v>
      </c>
      <c r="Q195" s="72">
        <v>0</v>
      </c>
      <c r="R195" s="72">
        <v>1400000</v>
      </c>
      <c r="S195" s="72">
        <v>20588708</v>
      </c>
      <c r="T195" s="72">
        <v>9156844</v>
      </c>
      <c r="U195" s="72">
        <v>5187283</v>
      </c>
      <c r="V195" s="72">
        <v>3181511</v>
      </c>
      <c r="W195" s="72">
        <v>1005216</v>
      </c>
      <c r="X195" s="72">
        <v>80000</v>
      </c>
      <c r="Y195" s="72">
        <v>0</v>
      </c>
      <c r="Z195" s="72">
        <v>0</v>
      </c>
      <c r="AA195" s="72">
        <v>0</v>
      </c>
      <c r="AB195" s="72">
        <v>0</v>
      </c>
      <c r="AC195" s="72">
        <v>0</v>
      </c>
      <c r="AD195" s="72">
        <v>0</v>
      </c>
      <c r="AE195" s="72">
        <v>0</v>
      </c>
      <c r="AF195" s="72">
        <v>0</v>
      </c>
      <c r="AG195" s="72">
        <v>235394</v>
      </c>
      <c r="AH195" s="72">
        <v>18846248</v>
      </c>
      <c r="AI195" s="72">
        <v>200000</v>
      </c>
      <c r="AJ195" s="72">
        <v>1200000</v>
      </c>
      <c r="AK195" s="72">
        <v>0</v>
      </c>
      <c r="AL195" s="72">
        <v>1400000</v>
      </c>
      <c r="AM195" s="72">
        <v>20246248</v>
      </c>
      <c r="AN195" s="72">
        <v>342460</v>
      </c>
      <c r="AO195" s="72">
        <v>5931948</v>
      </c>
      <c r="AP195" s="72">
        <v>6274408</v>
      </c>
      <c r="AQ195" s="72">
        <v>600000</v>
      </c>
      <c r="AR195" s="72">
        <v>0</v>
      </c>
      <c r="AS195" s="72">
        <v>0</v>
      </c>
      <c r="AT195" s="72">
        <v>0</v>
      </c>
      <c r="AU195" s="72">
        <v>0</v>
      </c>
      <c r="AV195" s="72">
        <v>0</v>
      </c>
      <c r="AW195" s="72">
        <v>0</v>
      </c>
      <c r="AX195" s="72">
        <v>0</v>
      </c>
      <c r="AY195" s="72">
        <v>0</v>
      </c>
      <c r="AZ195" s="72">
        <v>0</v>
      </c>
      <c r="BA195" s="72">
        <v>5674408</v>
      </c>
      <c r="BB195" s="72">
        <v>0</v>
      </c>
      <c r="BC195" s="72">
        <v>0</v>
      </c>
      <c r="BD195" s="72">
        <v>0</v>
      </c>
      <c r="BE195" s="72">
        <v>5674408</v>
      </c>
      <c r="BF195" s="72">
        <v>0</v>
      </c>
      <c r="BG195" s="72">
        <v>0</v>
      </c>
      <c r="BH195" s="72">
        <v>0</v>
      </c>
      <c r="BI195" s="72">
        <v>0</v>
      </c>
      <c r="BJ195" s="72">
        <v>5674408</v>
      </c>
      <c r="BK195" s="72">
        <v>0</v>
      </c>
      <c r="BL195" s="72">
        <v>0</v>
      </c>
      <c r="BM195" s="72">
        <v>0</v>
      </c>
      <c r="BN195" s="72">
        <v>0</v>
      </c>
      <c r="BO195" s="72">
        <v>0</v>
      </c>
      <c r="BP195" s="72">
        <v>0</v>
      </c>
      <c r="BQ195" s="72">
        <v>0</v>
      </c>
      <c r="BR195" s="72">
        <v>0</v>
      </c>
      <c r="BS195" s="72">
        <v>20588708</v>
      </c>
    </row>
    <row r="196" spans="1:71" x14ac:dyDescent="0.2">
      <c r="A196" t="s">
        <v>360</v>
      </c>
      <c r="B196" t="s">
        <v>1072</v>
      </c>
      <c r="C196" t="s">
        <v>74</v>
      </c>
      <c r="D196" s="72">
        <v>1371142</v>
      </c>
      <c r="E196" s="72">
        <v>130243</v>
      </c>
      <c r="F196" s="72">
        <v>1407398</v>
      </c>
      <c r="G196" s="72">
        <v>4612367</v>
      </c>
      <c r="H196" s="72">
        <v>10927</v>
      </c>
      <c r="I196" s="72">
        <v>0</v>
      </c>
      <c r="J196" s="72">
        <v>239459</v>
      </c>
      <c r="K196" s="72">
        <v>423398</v>
      </c>
      <c r="L196" s="72">
        <v>8194934</v>
      </c>
      <c r="M196" s="72">
        <v>0</v>
      </c>
      <c r="N196" s="72">
        <v>0</v>
      </c>
      <c r="O196" s="72">
        <v>0</v>
      </c>
      <c r="P196" s="72">
        <v>0</v>
      </c>
      <c r="Q196" s="72">
        <v>55859</v>
      </c>
      <c r="R196" s="72">
        <v>55859</v>
      </c>
      <c r="S196" s="72">
        <v>8250793</v>
      </c>
      <c r="T196" s="72">
        <v>4881871</v>
      </c>
      <c r="U196" s="72">
        <v>1768931</v>
      </c>
      <c r="V196" s="72">
        <v>1084074</v>
      </c>
      <c r="W196" s="72">
        <v>316007</v>
      </c>
      <c r="X196" s="72">
        <v>62000</v>
      </c>
      <c r="Y196" s="72">
        <v>0</v>
      </c>
      <c r="Z196" s="72">
        <v>0</v>
      </c>
      <c r="AA196" s="72">
        <v>0</v>
      </c>
      <c r="AB196" s="72">
        <v>0</v>
      </c>
      <c r="AC196" s="72">
        <v>0</v>
      </c>
      <c r="AD196" s="72">
        <v>0</v>
      </c>
      <c r="AE196" s="72">
        <v>0</v>
      </c>
      <c r="AF196" s="72">
        <v>0</v>
      </c>
      <c r="AG196" s="72">
        <v>138787</v>
      </c>
      <c r="AH196" s="72">
        <v>8251670</v>
      </c>
      <c r="AI196" s="72">
        <v>1500</v>
      </c>
      <c r="AJ196" s="72">
        <v>0</v>
      </c>
      <c r="AK196" s="72">
        <v>4400</v>
      </c>
      <c r="AL196" s="72">
        <v>5900</v>
      </c>
      <c r="AM196" s="72">
        <v>8257570</v>
      </c>
      <c r="AN196" s="72">
        <v>-6777</v>
      </c>
      <c r="AO196" s="72">
        <v>4547684</v>
      </c>
      <c r="AP196" s="72">
        <v>4540907</v>
      </c>
      <c r="AQ196" s="72">
        <v>0</v>
      </c>
      <c r="AR196" s="72">
        <v>0</v>
      </c>
      <c r="AS196" s="72">
        <v>0</v>
      </c>
      <c r="AT196" s="72">
        <v>0</v>
      </c>
      <c r="AU196" s="72">
        <v>0</v>
      </c>
      <c r="AV196" s="72">
        <v>0</v>
      </c>
      <c r="AW196" s="72">
        <v>0</v>
      </c>
      <c r="AX196" s="72">
        <v>0</v>
      </c>
      <c r="AY196" s="72">
        <v>0</v>
      </c>
      <c r="AZ196" s="72">
        <v>0</v>
      </c>
      <c r="BA196" s="72">
        <v>4540907</v>
      </c>
      <c r="BB196" s="72">
        <v>0</v>
      </c>
      <c r="BC196" s="72">
        <v>0</v>
      </c>
      <c r="BD196" s="72">
        <v>0</v>
      </c>
      <c r="BE196" s="72">
        <v>4540907</v>
      </c>
      <c r="BF196" s="72">
        <v>0</v>
      </c>
      <c r="BG196" s="72">
        <v>0</v>
      </c>
      <c r="BH196" s="72">
        <v>0</v>
      </c>
      <c r="BI196" s="72">
        <v>0</v>
      </c>
      <c r="BJ196" s="72">
        <v>4540907</v>
      </c>
      <c r="BM196" s="72">
        <v>0</v>
      </c>
      <c r="BN196" s="72">
        <v>0</v>
      </c>
      <c r="BO196" s="72">
        <v>0</v>
      </c>
      <c r="BP196" s="72">
        <v>0</v>
      </c>
      <c r="BQ196" s="72">
        <v>0</v>
      </c>
      <c r="BR196" s="72">
        <v>0</v>
      </c>
      <c r="BS196" s="72">
        <v>8257570</v>
      </c>
    </row>
    <row r="197" spans="1:71" x14ac:dyDescent="0.2">
      <c r="A197" t="s">
        <v>369</v>
      </c>
      <c r="B197" t="s">
        <v>1080</v>
      </c>
      <c r="C197" t="s">
        <v>32</v>
      </c>
      <c r="D197" s="72">
        <v>5399392</v>
      </c>
      <c r="E197" s="72">
        <v>324091</v>
      </c>
      <c r="F197" s="72">
        <v>0</v>
      </c>
      <c r="G197" s="72">
        <v>8499329</v>
      </c>
      <c r="H197" s="72">
        <v>52444</v>
      </c>
      <c r="I197" s="72">
        <v>0</v>
      </c>
      <c r="J197" s="72">
        <v>1176808</v>
      </c>
      <c r="K197" s="72">
        <v>1943056</v>
      </c>
      <c r="L197" s="72">
        <v>17395120</v>
      </c>
      <c r="M197" s="72">
        <v>1500000</v>
      </c>
      <c r="N197" s="72">
        <v>0</v>
      </c>
      <c r="O197" s="72">
        <v>0</v>
      </c>
      <c r="P197" s="72">
        <v>0</v>
      </c>
      <c r="Q197" s="72">
        <v>0</v>
      </c>
      <c r="R197" s="72">
        <v>1500000</v>
      </c>
      <c r="S197" s="72">
        <v>18895120</v>
      </c>
      <c r="T197" s="72">
        <v>9825441</v>
      </c>
      <c r="U197" s="72">
        <v>4556955</v>
      </c>
      <c r="V197" s="72">
        <v>4195887</v>
      </c>
      <c r="W197" s="72">
        <v>501718</v>
      </c>
      <c r="X197" s="72">
        <v>164763</v>
      </c>
      <c r="Y197" s="72">
        <v>0</v>
      </c>
      <c r="Z197" s="72">
        <v>0</v>
      </c>
      <c r="AA197" s="72">
        <v>31973</v>
      </c>
      <c r="AB197" s="72">
        <v>0</v>
      </c>
      <c r="AC197" s="72">
        <v>0</v>
      </c>
      <c r="AD197" s="72">
        <v>0</v>
      </c>
      <c r="AE197" s="72">
        <v>0</v>
      </c>
      <c r="AF197" s="72">
        <v>0</v>
      </c>
      <c r="AG197" s="72">
        <v>213808</v>
      </c>
      <c r="AH197" s="72">
        <v>19490545</v>
      </c>
      <c r="AI197" s="72">
        <v>0</v>
      </c>
      <c r="AJ197" s="72">
        <v>0</v>
      </c>
      <c r="AK197" s="72">
        <v>0</v>
      </c>
      <c r="AL197" s="72">
        <v>0</v>
      </c>
      <c r="AM197" s="72">
        <v>19490545</v>
      </c>
      <c r="AN197" s="72">
        <v>-595425</v>
      </c>
      <c r="AO197" s="72">
        <v>3171725</v>
      </c>
      <c r="AP197" s="72">
        <v>2576300</v>
      </c>
      <c r="AQ197" s="72">
        <v>5000</v>
      </c>
      <c r="AR197" s="72">
        <v>0</v>
      </c>
      <c r="AS197" s="72">
        <v>0</v>
      </c>
      <c r="AT197" s="72">
        <v>0</v>
      </c>
      <c r="AU197" s="72">
        <v>0</v>
      </c>
      <c r="AV197" s="72">
        <v>0</v>
      </c>
      <c r="AW197" s="72">
        <v>0</v>
      </c>
      <c r="AX197" s="72">
        <v>0</v>
      </c>
      <c r="AY197" s="72">
        <v>0</v>
      </c>
      <c r="AZ197" s="72">
        <v>0</v>
      </c>
      <c r="BA197" s="72">
        <v>2571300</v>
      </c>
      <c r="BB197" s="72">
        <v>0</v>
      </c>
      <c r="BC197" s="72">
        <v>0</v>
      </c>
      <c r="BD197" s="72">
        <v>0</v>
      </c>
      <c r="BE197" s="72">
        <v>2571300</v>
      </c>
      <c r="BF197" s="72">
        <v>0</v>
      </c>
      <c r="BG197" s="72">
        <v>0</v>
      </c>
      <c r="BH197" s="72">
        <v>0</v>
      </c>
      <c r="BI197" s="72">
        <v>0</v>
      </c>
      <c r="BJ197" s="72">
        <v>2571300</v>
      </c>
      <c r="BK197" s="72">
        <v>0</v>
      </c>
      <c r="BL197" s="72">
        <v>0</v>
      </c>
      <c r="BM197" s="72">
        <v>0</v>
      </c>
      <c r="BN197" s="72">
        <v>0</v>
      </c>
      <c r="BO197" s="72">
        <v>0</v>
      </c>
      <c r="BP197" s="72">
        <v>0</v>
      </c>
      <c r="BQ197" s="72">
        <v>0</v>
      </c>
      <c r="BR197" s="72">
        <v>0</v>
      </c>
      <c r="BS197" s="72">
        <v>19490545</v>
      </c>
    </row>
    <row r="198" spans="1:71" x14ac:dyDescent="0.2">
      <c r="A198" t="s">
        <v>376</v>
      </c>
      <c r="B198" t="s">
        <v>1087</v>
      </c>
      <c r="C198" t="s">
        <v>67</v>
      </c>
      <c r="D198" s="72">
        <v>22591329</v>
      </c>
      <c r="E198" s="72">
        <v>461048</v>
      </c>
      <c r="F198" s="72">
        <v>0</v>
      </c>
      <c r="G198" s="72">
        <v>1067647</v>
      </c>
      <c r="H198" s="72">
        <v>22117</v>
      </c>
      <c r="I198" s="72">
        <v>0</v>
      </c>
      <c r="J198" s="72">
        <v>2849170</v>
      </c>
      <c r="K198" s="72">
        <v>3821405</v>
      </c>
      <c r="L198" s="72">
        <v>30812716</v>
      </c>
      <c r="M198" s="72">
        <v>0</v>
      </c>
      <c r="N198" s="72">
        <v>0</v>
      </c>
      <c r="O198" s="72">
        <v>0</v>
      </c>
      <c r="P198" s="72">
        <v>0</v>
      </c>
      <c r="Q198" s="72">
        <v>10000</v>
      </c>
      <c r="R198" s="72">
        <v>10000</v>
      </c>
      <c r="S198" s="72">
        <v>30822716</v>
      </c>
      <c r="T198" s="72">
        <v>18222591</v>
      </c>
      <c r="U198" s="72">
        <v>6267225</v>
      </c>
      <c r="V198" s="72">
        <v>3970886</v>
      </c>
      <c r="W198" s="72">
        <v>1286700</v>
      </c>
      <c r="X198" s="72">
        <v>650474</v>
      </c>
      <c r="Y198" s="72">
        <v>0</v>
      </c>
      <c r="Z198" s="72">
        <v>0</v>
      </c>
      <c r="AA198" s="72">
        <v>0</v>
      </c>
      <c r="AB198" s="72">
        <v>0</v>
      </c>
      <c r="AC198" s="72">
        <v>0</v>
      </c>
      <c r="AD198" s="72">
        <v>0</v>
      </c>
      <c r="AE198" s="72">
        <v>0</v>
      </c>
      <c r="AF198" s="72">
        <v>0</v>
      </c>
      <c r="AG198" s="72">
        <v>424797</v>
      </c>
      <c r="AH198" s="72">
        <v>30822673</v>
      </c>
      <c r="AI198" s="72">
        <v>0</v>
      </c>
      <c r="AJ198" s="72">
        <v>0</v>
      </c>
      <c r="AK198" s="72">
        <v>0</v>
      </c>
      <c r="AL198" s="72">
        <v>0</v>
      </c>
      <c r="AM198" s="72">
        <v>30822673</v>
      </c>
      <c r="AN198" s="72">
        <v>43</v>
      </c>
      <c r="AO198" s="72">
        <v>30686473</v>
      </c>
      <c r="AP198" s="72">
        <v>30686516</v>
      </c>
      <c r="AQ198" s="72">
        <v>0</v>
      </c>
      <c r="AR198" s="72">
        <v>0</v>
      </c>
      <c r="AS198" s="72">
        <v>0</v>
      </c>
      <c r="AT198" s="72">
        <v>0</v>
      </c>
      <c r="AU198" s="72">
        <v>0</v>
      </c>
      <c r="AV198" s="72">
        <v>0</v>
      </c>
      <c r="AW198" s="72">
        <v>0</v>
      </c>
      <c r="AX198" s="72">
        <v>0</v>
      </c>
      <c r="AY198" s="72">
        <v>0</v>
      </c>
      <c r="AZ198" s="72">
        <v>0</v>
      </c>
      <c r="BA198" s="72">
        <v>30686516</v>
      </c>
      <c r="BB198" s="72">
        <v>0</v>
      </c>
      <c r="BC198" s="72">
        <v>0</v>
      </c>
      <c r="BD198" s="72">
        <v>0</v>
      </c>
      <c r="BE198" s="72">
        <v>30686516</v>
      </c>
      <c r="BF198" s="72">
        <v>0</v>
      </c>
      <c r="BG198" s="72">
        <v>0</v>
      </c>
      <c r="BH198" s="72">
        <v>0</v>
      </c>
      <c r="BI198" s="72">
        <v>0</v>
      </c>
      <c r="BJ198" s="72">
        <v>30686516</v>
      </c>
      <c r="BK198" s="72">
        <v>0</v>
      </c>
      <c r="BL198" s="72">
        <v>0</v>
      </c>
      <c r="BM198" s="72">
        <v>0</v>
      </c>
      <c r="BN198" s="72">
        <v>0</v>
      </c>
      <c r="BO198" s="72">
        <v>0</v>
      </c>
      <c r="BP198" s="72">
        <v>0</v>
      </c>
      <c r="BQ198" s="72">
        <v>0</v>
      </c>
      <c r="BR198" s="72">
        <v>0</v>
      </c>
      <c r="BS198" s="72">
        <v>30822716</v>
      </c>
    </row>
    <row r="199" spans="1:71" x14ac:dyDescent="0.2">
      <c r="A199" t="s">
        <v>415</v>
      </c>
      <c r="B199" t="s">
        <v>1123</v>
      </c>
      <c r="C199" t="s">
        <v>30</v>
      </c>
      <c r="D199" s="72">
        <v>1504120</v>
      </c>
      <c r="E199" s="72">
        <v>0</v>
      </c>
      <c r="F199" s="72">
        <v>0</v>
      </c>
      <c r="G199" s="72">
        <v>4614786</v>
      </c>
      <c r="H199" s="72">
        <v>21502</v>
      </c>
      <c r="I199" s="72">
        <v>0</v>
      </c>
      <c r="J199" s="72">
        <v>248000</v>
      </c>
      <c r="K199" s="72">
        <v>767515</v>
      </c>
      <c r="L199" s="72">
        <v>7155923</v>
      </c>
      <c r="M199" s="72">
        <v>0</v>
      </c>
      <c r="N199" s="72">
        <v>0</v>
      </c>
      <c r="O199" s="72">
        <v>0</v>
      </c>
      <c r="P199" s="72">
        <v>42840</v>
      </c>
      <c r="Q199" s="72">
        <v>13433</v>
      </c>
      <c r="S199" s="72">
        <v>7212196</v>
      </c>
      <c r="T199" s="72">
        <v>3189319</v>
      </c>
      <c r="U199" s="72">
        <v>1268562</v>
      </c>
      <c r="V199" s="72">
        <v>2402675</v>
      </c>
      <c r="W199" s="72">
        <v>202768</v>
      </c>
      <c r="X199" s="72">
        <v>7000</v>
      </c>
      <c r="Y199" s="72">
        <v>0</v>
      </c>
      <c r="Z199" s="72">
        <v>0</v>
      </c>
      <c r="AA199" s="72">
        <v>0</v>
      </c>
      <c r="AB199" s="72">
        <v>0</v>
      </c>
      <c r="AC199" s="72">
        <v>0</v>
      </c>
      <c r="AD199" s="72">
        <v>0</v>
      </c>
      <c r="AE199" s="72">
        <v>0</v>
      </c>
      <c r="AF199" s="72">
        <v>0</v>
      </c>
      <c r="AG199" s="72">
        <v>114927</v>
      </c>
      <c r="AH199" s="72">
        <v>7185251</v>
      </c>
      <c r="AI199" s="72">
        <v>16000</v>
      </c>
      <c r="AJ199" s="72">
        <v>20000</v>
      </c>
      <c r="AK199" s="72">
        <v>0</v>
      </c>
      <c r="AL199" s="72">
        <v>36000</v>
      </c>
      <c r="AM199" s="72">
        <v>7221251</v>
      </c>
      <c r="AN199" s="72">
        <v>-9055</v>
      </c>
      <c r="AO199" s="72">
        <v>987757</v>
      </c>
      <c r="AP199" s="72">
        <v>978702</v>
      </c>
      <c r="AQ199" s="72">
        <v>0</v>
      </c>
      <c r="AR199" s="72">
        <v>0</v>
      </c>
      <c r="AS199" s="72">
        <v>0</v>
      </c>
      <c r="AT199" s="72">
        <v>0</v>
      </c>
      <c r="AU199" s="72">
        <v>0</v>
      </c>
      <c r="AV199" s="72">
        <v>0</v>
      </c>
      <c r="AW199" s="72">
        <v>0</v>
      </c>
      <c r="AX199" s="72">
        <v>0</v>
      </c>
      <c r="AY199" s="72">
        <v>0</v>
      </c>
      <c r="AZ199" s="72">
        <v>0</v>
      </c>
      <c r="BA199" s="72">
        <v>978702</v>
      </c>
      <c r="BB199" s="72">
        <v>0</v>
      </c>
      <c r="BC199" s="72">
        <v>0</v>
      </c>
      <c r="BD199" s="72">
        <v>0</v>
      </c>
      <c r="BE199" s="72">
        <v>978702</v>
      </c>
      <c r="BF199" s="72">
        <v>0</v>
      </c>
      <c r="BG199" s="72">
        <v>0</v>
      </c>
      <c r="BH199" s="72">
        <v>0</v>
      </c>
      <c r="BI199" s="72">
        <v>0</v>
      </c>
      <c r="BJ199" s="72">
        <v>978702</v>
      </c>
      <c r="BK199" s="72">
        <v>50</v>
      </c>
      <c r="BL199" s="72">
        <v>725</v>
      </c>
      <c r="BM199" s="72">
        <v>0</v>
      </c>
      <c r="BN199" s="72">
        <v>0</v>
      </c>
      <c r="BO199" s="72">
        <v>0</v>
      </c>
      <c r="BP199" s="72">
        <v>0</v>
      </c>
      <c r="BQ199" s="72">
        <v>0</v>
      </c>
      <c r="BR199" s="72">
        <v>0</v>
      </c>
      <c r="BS199" s="72">
        <v>7221251</v>
      </c>
    </row>
    <row r="200" spans="1:71" x14ac:dyDescent="0.2">
      <c r="A200" t="s">
        <v>426</v>
      </c>
      <c r="B200" t="s">
        <v>1134</v>
      </c>
      <c r="C200" t="s">
        <v>30</v>
      </c>
      <c r="D200" s="72">
        <v>1347820</v>
      </c>
      <c r="E200" s="72">
        <v>184918</v>
      </c>
      <c r="F200" s="72">
        <v>0</v>
      </c>
      <c r="G200" s="72">
        <v>4979400</v>
      </c>
      <c r="H200" s="72">
        <v>857</v>
      </c>
      <c r="I200" s="72">
        <v>0</v>
      </c>
      <c r="J200" s="72">
        <v>222675</v>
      </c>
      <c r="K200" s="72">
        <v>1259340</v>
      </c>
      <c r="L200" s="72">
        <v>7995010</v>
      </c>
      <c r="M200" s="72">
        <v>0</v>
      </c>
      <c r="N200" s="72">
        <v>0</v>
      </c>
      <c r="O200" s="72">
        <v>0</v>
      </c>
      <c r="P200" s="72">
        <v>0</v>
      </c>
      <c r="Q200" s="72">
        <v>66200</v>
      </c>
      <c r="R200" s="72">
        <v>66200</v>
      </c>
      <c r="S200" s="72">
        <v>8061210</v>
      </c>
      <c r="T200" s="72">
        <v>4729133</v>
      </c>
      <c r="U200" s="72">
        <v>1614884</v>
      </c>
      <c r="V200" s="72">
        <v>1794678</v>
      </c>
      <c r="W200" s="72">
        <v>265569</v>
      </c>
      <c r="X200" s="72">
        <v>72081</v>
      </c>
      <c r="Y200" s="72">
        <v>0</v>
      </c>
      <c r="Z200" s="72">
        <v>0</v>
      </c>
      <c r="AA200" s="72">
        <v>0</v>
      </c>
      <c r="AB200" s="72">
        <v>0</v>
      </c>
      <c r="AC200" s="72">
        <v>0</v>
      </c>
      <c r="AD200" s="72">
        <v>0</v>
      </c>
      <c r="AE200" s="72">
        <v>0</v>
      </c>
      <c r="AF200" s="72">
        <v>0</v>
      </c>
      <c r="AG200" s="72">
        <v>97867</v>
      </c>
      <c r="AH200" s="72">
        <v>8574212</v>
      </c>
      <c r="AI200" s="72">
        <v>0</v>
      </c>
      <c r="AJ200" s="72">
        <v>0</v>
      </c>
      <c r="AK200" s="72">
        <v>0</v>
      </c>
      <c r="AL200" s="72">
        <v>0</v>
      </c>
      <c r="AM200" s="72">
        <v>8574212</v>
      </c>
      <c r="AN200" s="72">
        <v>-513002</v>
      </c>
      <c r="AO200" s="72">
        <v>3364551</v>
      </c>
      <c r="AP200" s="72">
        <v>2851549</v>
      </c>
      <c r="AQ200" s="72">
        <v>88000</v>
      </c>
      <c r="AR200" s="72">
        <v>0</v>
      </c>
      <c r="AS200" s="72">
        <v>0</v>
      </c>
      <c r="AT200" s="72">
        <v>0</v>
      </c>
      <c r="AU200" s="72">
        <v>0</v>
      </c>
      <c r="AV200" s="72">
        <v>0</v>
      </c>
      <c r="AW200" s="72">
        <v>0</v>
      </c>
      <c r="AX200" s="72">
        <v>0</v>
      </c>
      <c r="AY200" s="72">
        <v>21160</v>
      </c>
      <c r="AZ200" s="72">
        <v>21160</v>
      </c>
      <c r="BA200" s="72">
        <v>2742389</v>
      </c>
      <c r="BB200" s="72">
        <v>0</v>
      </c>
      <c r="BC200" s="72">
        <v>0</v>
      </c>
      <c r="BD200" s="72">
        <v>0</v>
      </c>
      <c r="BE200" s="72">
        <v>2742389</v>
      </c>
      <c r="BF200" s="72">
        <v>0</v>
      </c>
      <c r="BG200" s="72">
        <v>0</v>
      </c>
      <c r="BH200" s="72">
        <v>0</v>
      </c>
      <c r="BI200" s="72">
        <v>0</v>
      </c>
      <c r="BJ200" s="72">
        <v>2742389</v>
      </c>
      <c r="BM200" s="72">
        <v>0</v>
      </c>
      <c r="BN200" s="72">
        <v>0</v>
      </c>
      <c r="BO200" s="72">
        <v>0</v>
      </c>
      <c r="BP200" s="72">
        <v>0</v>
      </c>
      <c r="BQ200" s="72">
        <v>0</v>
      </c>
      <c r="BR200" s="72">
        <v>0</v>
      </c>
      <c r="BS200" s="72">
        <v>8574212</v>
      </c>
    </row>
    <row r="201" spans="1:71" x14ac:dyDescent="0.2">
      <c r="A201" t="s">
        <v>435</v>
      </c>
      <c r="B201" t="s">
        <v>1143</v>
      </c>
      <c r="C201" t="s">
        <v>78</v>
      </c>
      <c r="D201" s="72">
        <v>3877673</v>
      </c>
      <c r="E201" s="72">
        <v>816100</v>
      </c>
      <c r="F201" s="72">
        <v>1588378</v>
      </c>
      <c r="G201" s="72">
        <v>4815263</v>
      </c>
      <c r="H201" s="72">
        <v>31411</v>
      </c>
      <c r="J201" s="72">
        <v>673942</v>
      </c>
      <c r="K201" s="72">
        <v>647406</v>
      </c>
      <c r="L201" s="72">
        <v>12450172</v>
      </c>
      <c r="M201" s="72">
        <v>0</v>
      </c>
      <c r="N201" s="72">
        <v>0</v>
      </c>
      <c r="O201" s="72">
        <v>0</v>
      </c>
      <c r="P201" s="72">
        <v>1000</v>
      </c>
      <c r="Q201" s="72">
        <v>36001</v>
      </c>
      <c r="R201" s="72">
        <v>37001</v>
      </c>
      <c r="S201" s="72">
        <v>12487173</v>
      </c>
      <c r="T201" s="72">
        <v>6272389</v>
      </c>
      <c r="U201" s="72">
        <v>2655685</v>
      </c>
      <c r="V201" s="72">
        <v>2818625</v>
      </c>
      <c r="W201" s="72">
        <v>592946</v>
      </c>
      <c r="X201" s="72">
        <v>163429</v>
      </c>
      <c r="Y201" s="72">
        <v>0</v>
      </c>
      <c r="Z201" s="72">
        <v>0</v>
      </c>
      <c r="AA201" s="72">
        <v>0</v>
      </c>
      <c r="AB201" s="72">
        <v>0</v>
      </c>
      <c r="AC201" s="72">
        <v>0</v>
      </c>
      <c r="AD201" s="72">
        <v>70000</v>
      </c>
      <c r="AE201" s="72">
        <v>0</v>
      </c>
      <c r="AF201" s="72">
        <v>42548</v>
      </c>
      <c r="AG201" s="72">
        <v>184449</v>
      </c>
      <c r="AH201" s="72">
        <v>12800072</v>
      </c>
      <c r="AI201" s="72">
        <v>0</v>
      </c>
      <c r="AJ201" s="72">
        <v>1000</v>
      </c>
      <c r="AK201" s="72">
        <v>0</v>
      </c>
      <c r="AL201" s="72">
        <v>1000</v>
      </c>
      <c r="AM201" s="72">
        <v>12801072</v>
      </c>
      <c r="AN201" s="72">
        <v>-313899</v>
      </c>
      <c r="AO201" s="72">
        <v>2328897</v>
      </c>
      <c r="AP201" s="72">
        <v>2014998</v>
      </c>
      <c r="AQ201" s="72">
        <v>0</v>
      </c>
      <c r="AR201" s="72">
        <v>0</v>
      </c>
      <c r="AS201" s="72">
        <v>0</v>
      </c>
      <c r="AT201" s="72">
        <v>0</v>
      </c>
      <c r="AU201" s="72">
        <v>0</v>
      </c>
      <c r="AW201" s="72">
        <v>0</v>
      </c>
      <c r="AX201" s="72">
        <v>0</v>
      </c>
      <c r="AY201" s="72">
        <v>0</v>
      </c>
      <c r="AZ201" s="72">
        <v>0</v>
      </c>
      <c r="BA201" s="72">
        <v>2014998</v>
      </c>
      <c r="BB201" s="72">
        <v>0</v>
      </c>
      <c r="BC201" s="72">
        <v>0</v>
      </c>
      <c r="BD201" s="72">
        <v>0</v>
      </c>
      <c r="BE201" s="72">
        <v>2014998</v>
      </c>
      <c r="BF201" s="72">
        <v>0</v>
      </c>
      <c r="BG201" s="72">
        <v>0</v>
      </c>
      <c r="BH201" s="72">
        <v>0</v>
      </c>
      <c r="BI201" s="72">
        <v>0</v>
      </c>
      <c r="BJ201" s="72">
        <v>2014998</v>
      </c>
      <c r="BK201" s="72">
        <v>82</v>
      </c>
      <c r="BL201" s="72">
        <v>1120</v>
      </c>
      <c r="BS201" s="72">
        <v>12801072</v>
      </c>
    </row>
    <row r="202" spans="1:71" x14ac:dyDescent="0.2">
      <c r="A202" t="s">
        <v>462</v>
      </c>
      <c r="B202" t="s">
        <v>1167</v>
      </c>
      <c r="C202" t="s">
        <v>56</v>
      </c>
      <c r="D202" s="72">
        <v>18938328</v>
      </c>
      <c r="E202" s="72">
        <v>1943821</v>
      </c>
      <c r="F202" s="72">
        <v>0</v>
      </c>
      <c r="G202" s="72">
        <v>15285872</v>
      </c>
      <c r="H202" s="72">
        <v>353455</v>
      </c>
      <c r="I202" s="72">
        <v>0</v>
      </c>
      <c r="J202" s="72">
        <v>7533423</v>
      </c>
      <c r="K202" s="72">
        <v>1539361</v>
      </c>
      <c r="L202" s="72">
        <v>45594260</v>
      </c>
      <c r="M202" s="72">
        <v>495000</v>
      </c>
      <c r="N202" s="72">
        <v>0</v>
      </c>
      <c r="O202" s="72">
        <v>0</v>
      </c>
      <c r="P202" s="72">
        <v>106991</v>
      </c>
      <c r="Q202" s="72">
        <v>0</v>
      </c>
      <c r="R202" s="72">
        <v>601991</v>
      </c>
      <c r="S202" s="72">
        <v>46196251</v>
      </c>
      <c r="T202" s="72">
        <v>27328409</v>
      </c>
      <c r="U202" s="72">
        <v>11364942</v>
      </c>
      <c r="V202" s="72">
        <v>4738757</v>
      </c>
      <c r="W202" s="72">
        <v>1444750</v>
      </c>
      <c r="X202" s="72">
        <v>57308</v>
      </c>
      <c r="Y202" s="72">
        <v>0</v>
      </c>
      <c r="Z202" s="72">
        <v>0</v>
      </c>
      <c r="AA202" s="72">
        <v>0</v>
      </c>
      <c r="AB202" s="72">
        <v>0</v>
      </c>
      <c r="AC202" s="72">
        <v>0</v>
      </c>
      <c r="AD202" s="72">
        <v>646252</v>
      </c>
      <c r="AE202" s="72">
        <v>0</v>
      </c>
      <c r="AF202" s="72">
        <v>0</v>
      </c>
      <c r="AG202" s="72">
        <v>727231</v>
      </c>
      <c r="AH202" s="72">
        <v>46307649</v>
      </c>
      <c r="AI202" s="72">
        <v>0</v>
      </c>
      <c r="AJ202" s="72">
        <v>106991</v>
      </c>
      <c r="AK202" s="72">
        <v>0</v>
      </c>
      <c r="AL202" s="72">
        <v>106991</v>
      </c>
      <c r="AM202" s="72">
        <v>46414640</v>
      </c>
      <c r="AN202" s="72">
        <v>-218389</v>
      </c>
      <c r="AO202" s="72">
        <v>3070345</v>
      </c>
      <c r="AP202" s="72">
        <v>2851956</v>
      </c>
      <c r="AQ202" s="72">
        <v>275000</v>
      </c>
      <c r="AR202" s="72">
        <v>0</v>
      </c>
      <c r="AS202" s="72">
        <v>0</v>
      </c>
      <c r="AT202" s="72">
        <v>0</v>
      </c>
      <c r="AU202" s="72">
        <v>0</v>
      </c>
      <c r="AV202" s="72">
        <v>0</v>
      </c>
      <c r="AW202" s="72">
        <v>0</v>
      </c>
      <c r="AX202" s="72">
        <v>0</v>
      </c>
      <c r="AY202" s="72">
        <v>0</v>
      </c>
      <c r="AZ202" s="72">
        <v>0</v>
      </c>
      <c r="BA202" s="72">
        <v>2576956</v>
      </c>
      <c r="BB202" s="72">
        <v>0</v>
      </c>
      <c r="BC202" s="72">
        <v>0</v>
      </c>
      <c r="BD202" s="72">
        <v>0</v>
      </c>
      <c r="BE202" s="72">
        <v>2576956</v>
      </c>
      <c r="BF202" s="72">
        <v>0</v>
      </c>
      <c r="BG202" s="72">
        <v>0</v>
      </c>
      <c r="BH202" s="72">
        <v>0</v>
      </c>
      <c r="BI202" s="72">
        <v>0</v>
      </c>
      <c r="BJ202" s="72">
        <v>2576956</v>
      </c>
      <c r="BM202" s="72">
        <v>0</v>
      </c>
      <c r="BN202" s="72">
        <v>0</v>
      </c>
      <c r="BO202" s="72">
        <v>0</v>
      </c>
      <c r="BP202" s="72">
        <v>0</v>
      </c>
      <c r="BQ202" s="72">
        <v>0</v>
      </c>
      <c r="BR202" s="72">
        <v>0</v>
      </c>
      <c r="BS202" s="72">
        <v>46414640</v>
      </c>
    </row>
    <row r="203" spans="1:71" x14ac:dyDescent="0.2">
      <c r="A203" t="s">
        <v>471</v>
      </c>
      <c r="B203" t="s">
        <v>1176</v>
      </c>
      <c r="C203" t="s">
        <v>54</v>
      </c>
      <c r="D203" s="72">
        <v>1741285</v>
      </c>
      <c r="E203" s="72">
        <v>2318</v>
      </c>
      <c r="F203" s="72">
        <v>1408362</v>
      </c>
      <c r="G203" s="72">
        <v>4174815</v>
      </c>
      <c r="H203" s="72">
        <v>55112</v>
      </c>
      <c r="I203" s="72">
        <v>0</v>
      </c>
      <c r="J203" s="72">
        <v>274263</v>
      </c>
      <c r="K203" s="72">
        <v>788224</v>
      </c>
      <c r="L203" s="72">
        <v>8444379</v>
      </c>
      <c r="M203" s="72">
        <v>0</v>
      </c>
      <c r="N203" s="72">
        <v>0</v>
      </c>
      <c r="O203" s="72">
        <v>0</v>
      </c>
      <c r="P203" s="72">
        <v>18392</v>
      </c>
      <c r="Q203" s="72">
        <v>31608</v>
      </c>
      <c r="R203" s="72">
        <v>50000</v>
      </c>
      <c r="S203" s="72">
        <v>8494379</v>
      </c>
      <c r="T203" s="72">
        <v>4081454</v>
      </c>
      <c r="U203" s="72">
        <v>1642960</v>
      </c>
      <c r="V203" s="72">
        <v>2213178</v>
      </c>
      <c r="W203" s="72">
        <v>227983</v>
      </c>
      <c r="X203" s="72">
        <v>10000</v>
      </c>
      <c r="Y203" s="72">
        <v>0</v>
      </c>
      <c r="Z203" s="72">
        <v>0</v>
      </c>
      <c r="AA203" s="72">
        <v>0</v>
      </c>
      <c r="AB203" s="72">
        <v>0</v>
      </c>
      <c r="AC203" s="72">
        <v>0</v>
      </c>
      <c r="AD203" s="72">
        <v>50000</v>
      </c>
      <c r="AE203" s="72">
        <v>0</v>
      </c>
      <c r="AF203" s="72">
        <v>32155</v>
      </c>
      <c r="AG203" s="72">
        <v>124369</v>
      </c>
      <c r="AH203" s="72">
        <v>8382099</v>
      </c>
      <c r="AI203" s="72">
        <v>5000</v>
      </c>
      <c r="AJ203" s="72">
        <v>35000</v>
      </c>
      <c r="AK203" s="72">
        <v>0</v>
      </c>
      <c r="AL203" s="72">
        <v>40000</v>
      </c>
      <c r="AM203" s="72">
        <v>8422099</v>
      </c>
      <c r="AN203" s="72">
        <v>72280</v>
      </c>
      <c r="AO203" s="72">
        <v>116980</v>
      </c>
      <c r="AP203" s="72">
        <v>189260</v>
      </c>
      <c r="AQ203" s="72">
        <v>100000</v>
      </c>
      <c r="AR203" s="72">
        <v>0</v>
      </c>
      <c r="AS203" s="72">
        <v>0</v>
      </c>
      <c r="AT203" s="72">
        <v>0</v>
      </c>
      <c r="AU203" s="72">
        <v>0</v>
      </c>
      <c r="AV203" s="72">
        <v>0</v>
      </c>
      <c r="AW203" s="72">
        <v>0</v>
      </c>
      <c r="AX203" s="72">
        <v>0</v>
      </c>
      <c r="AY203" s="72">
        <v>0</v>
      </c>
      <c r="AZ203" s="72">
        <v>0</v>
      </c>
      <c r="BA203" s="72">
        <v>89260</v>
      </c>
      <c r="BB203" s="72">
        <v>0</v>
      </c>
      <c r="BC203" s="72">
        <v>0</v>
      </c>
      <c r="BD203" s="72">
        <v>0</v>
      </c>
      <c r="BE203" s="72">
        <v>89260</v>
      </c>
      <c r="BF203" s="72">
        <v>0</v>
      </c>
      <c r="BG203" s="72">
        <v>0</v>
      </c>
      <c r="BH203" s="72">
        <v>0</v>
      </c>
      <c r="BI203" s="72">
        <v>0</v>
      </c>
      <c r="BJ203" s="72">
        <v>89260</v>
      </c>
      <c r="BK203" s="72">
        <v>60</v>
      </c>
      <c r="BL203" s="72">
        <v>840</v>
      </c>
      <c r="BM203" s="72">
        <v>0</v>
      </c>
      <c r="BN203" s="72">
        <v>0</v>
      </c>
      <c r="BO203" s="72">
        <v>0</v>
      </c>
      <c r="BP203" s="72">
        <v>0</v>
      </c>
      <c r="BQ203" s="72">
        <v>0</v>
      </c>
      <c r="BR203" s="72">
        <v>0</v>
      </c>
      <c r="BS203" s="72">
        <v>8494379</v>
      </c>
    </row>
    <row r="204" spans="1:71" x14ac:dyDescent="0.2">
      <c r="A204" t="s">
        <v>475</v>
      </c>
      <c r="B204" t="s">
        <v>1179</v>
      </c>
      <c r="C204" t="s">
        <v>65</v>
      </c>
      <c r="D204" s="72">
        <v>58625246</v>
      </c>
      <c r="E204" s="72">
        <v>0</v>
      </c>
      <c r="F204" s="72">
        <v>0</v>
      </c>
      <c r="G204" s="72">
        <v>16349036</v>
      </c>
      <c r="H204" s="72">
        <v>6751490</v>
      </c>
      <c r="I204" s="72">
        <v>0</v>
      </c>
      <c r="J204" s="72">
        <v>6909955</v>
      </c>
      <c r="K204" s="72">
        <v>2342250</v>
      </c>
      <c r="L204" s="72">
        <v>90977977</v>
      </c>
      <c r="M204" s="72">
        <v>0</v>
      </c>
      <c r="N204" s="72">
        <v>0</v>
      </c>
      <c r="O204" s="72">
        <v>0</v>
      </c>
      <c r="P204" s="72">
        <v>10000</v>
      </c>
      <c r="Q204" s="72">
        <v>339737</v>
      </c>
      <c r="R204" s="72">
        <v>349737</v>
      </c>
      <c r="S204" s="72">
        <v>91327714</v>
      </c>
      <c r="T204" s="72">
        <v>57538199</v>
      </c>
      <c r="U204" s="72">
        <v>24814850</v>
      </c>
      <c r="V204" s="72">
        <v>11084814</v>
      </c>
      <c r="W204" s="72">
        <v>4162848</v>
      </c>
      <c r="X204" s="72">
        <v>1483197</v>
      </c>
      <c r="Y204" s="72">
        <v>0</v>
      </c>
      <c r="Z204" s="72">
        <v>0</v>
      </c>
      <c r="AA204" s="72">
        <v>0</v>
      </c>
      <c r="AB204" s="72">
        <v>0</v>
      </c>
      <c r="AC204" s="72">
        <v>0</v>
      </c>
      <c r="AD204" s="72">
        <v>291435</v>
      </c>
      <c r="AE204" s="72">
        <v>0</v>
      </c>
      <c r="AF204" s="72">
        <v>0</v>
      </c>
      <c r="AG204" s="72">
        <v>1917652</v>
      </c>
      <c r="AH204" s="72">
        <v>101292995</v>
      </c>
      <c r="AI204" s="72">
        <v>0</v>
      </c>
      <c r="AJ204" s="72">
        <v>104942</v>
      </c>
      <c r="AK204" s="72">
        <v>457500</v>
      </c>
      <c r="AL204" s="72">
        <v>562442</v>
      </c>
      <c r="AM204" s="72">
        <v>101855437</v>
      </c>
      <c r="AN204" s="72">
        <v>-10527723</v>
      </c>
      <c r="AO204" s="72">
        <v>55453912</v>
      </c>
      <c r="AP204" s="72">
        <v>44926189</v>
      </c>
      <c r="AQ204" s="72">
        <v>3366277</v>
      </c>
      <c r="AR204" s="72">
        <v>0</v>
      </c>
      <c r="AS204" s="72">
        <v>0</v>
      </c>
      <c r="AT204" s="72">
        <v>0</v>
      </c>
      <c r="AU204" s="72">
        <v>0</v>
      </c>
      <c r="AV204" s="72">
        <v>0</v>
      </c>
      <c r="AW204" s="72">
        <v>0</v>
      </c>
      <c r="AX204" s="72">
        <v>0</v>
      </c>
      <c r="AY204" s="72">
        <v>0</v>
      </c>
      <c r="AZ204" s="72">
        <v>0</v>
      </c>
      <c r="BA204" s="72">
        <v>41559912</v>
      </c>
      <c r="BB204" s="72">
        <v>0</v>
      </c>
      <c r="BC204" s="72">
        <v>0</v>
      </c>
      <c r="BD204" s="72">
        <v>0</v>
      </c>
      <c r="BE204" s="72">
        <v>41559912</v>
      </c>
      <c r="BF204" s="72">
        <v>0</v>
      </c>
      <c r="BG204" s="72">
        <v>0</v>
      </c>
      <c r="BH204" s="72">
        <v>0</v>
      </c>
      <c r="BI204" s="72">
        <v>0</v>
      </c>
      <c r="BJ204" s="72">
        <v>41559912</v>
      </c>
      <c r="BK204" s="72">
        <v>511</v>
      </c>
      <c r="BL204" s="72">
        <v>7214</v>
      </c>
      <c r="BM204" s="72">
        <v>0</v>
      </c>
      <c r="BN204" s="72">
        <v>0</v>
      </c>
      <c r="BO204" s="72">
        <v>0</v>
      </c>
      <c r="BP204" s="72">
        <v>0</v>
      </c>
      <c r="BQ204" s="72">
        <v>0</v>
      </c>
      <c r="BR204" s="72">
        <v>0</v>
      </c>
      <c r="BS204" s="72">
        <v>101855437</v>
      </c>
    </row>
    <row r="205" spans="1:71" x14ac:dyDescent="0.2">
      <c r="A205" t="s">
        <v>483</v>
      </c>
      <c r="B205" t="s">
        <v>1187</v>
      </c>
      <c r="C205" t="s">
        <v>42</v>
      </c>
      <c r="D205" s="72">
        <v>32160700</v>
      </c>
      <c r="E205" s="72">
        <v>0</v>
      </c>
      <c r="F205" s="72">
        <v>0</v>
      </c>
      <c r="G205" s="72">
        <v>17270000</v>
      </c>
      <c r="H205" s="72">
        <v>500000</v>
      </c>
      <c r="I205" s="72">
        <v>0</v>
      </c>
      <c r="J205" s="72">
        <v>4505000</v>
      </c>
      <c r="K205" s="72">
        <v>3944000</v>
      </c>
      <c r="L205" s="72">
        <v>58379700</v>
      </c>
      <c r="M205" s="72">
        <v>0</v>
      </c>
      <c r="N205" s="72">
        <v>0</v>
      </c>
      <c r="O205" s="72">
        <v>0</v>
      </c>
      <c r="P205" s="72">
        <v>0</v>
      </c>
      <c r="Q205" s="72">
        <v>25000</v>
      </c>
      <c r="R205" s="72">
        <v>25000</v>
      </c>
      <c r="S205" s="72">
        <v>58404700</v>
      </c>
      <c r="T205" s="72">
        <v>30292700</v>
      </c>
      <c r="U205" s="72">
        <v>11286900</v>
      </c>
      <c r="V205" s="72">
        <v>13648500</v>
      </c>
      <c r="W205" s="72">
        <v>3350000</v>
      </c>
      <c r="X205" s="72">
        <v>450000</v>
      </c>
      <c r="Y205" s="72">
        <v>0</v>
      </c>
      <c r="Z205" s="72">
        <v>0</v>
      </c>
      <c r="AA205" s="72">
        <v>0</v>
      </c>
      <c r="AB205" s="72">
        <v>0</v>
      </c>
      <c r="AC205" s="72">
        <v>0</v>
      </c>
      <c r="AD205" s="72">
        <v>146000</v>
      </c>
      <c r="AE205" s="72">
        <v>0</v>
      </c>
      <c r="AF205" s="72">
        <v>14000</v>
      </c>
      <c r="AG205" s="72">
        <v>987393</v>
      </c>
      <c r="AH205" s="72">
        <v>60175493</v>
      </c>
      <c r="AI205" s="72">
        <v>0</v>
      </c>
      <c r="AJ205" s="72">
        <v>0</v>
      </c>
      <c r="AK205" s="72">
        <v>0</v>
      </c>
      <c r="AL205" s="72">
        <v>0</v>
      </c>
      <c r="AM205" s="72">
        <v>60175493</v>
      </c>
      <c r="AN205" s="72">
        <v>-1770793</v>
      </c>
      <c r="AO205" s="72">
        <v>14972636</v>
      </c>
      <c r="AP205" s="72">
        <v>13201843</v>
      </c>
      <c r="AQ205" s="72">
        <v>150000</v>
      </c>
      <c r="AR205" s="72">
        <v>0</v>
      </c>
      <c r="AS205" s="72">
        <v>0</v>
      </c>
      <c r="AT205" s="72">
        <v>0</v>
      </c>
      <c r="AU205" s="72">
        <v>0</v>
      </c>
      <c r="AW205" s="72">
        <v>0</v>
      </c>
      <c r="AX205" s="72">
        <v>0</v>
      </c>
      <c r="AY205" s="72">
        <v>0</v>
      </c>
      <c r="AZ205" s="72">
        <v>0</v>
      </c>
      <c r="BA205" s="72">
        <v>13051843</v>
      </c>
      <c r="BB205" s="72">
        <v>0</v>
      </c>
      <c r="BC205" s="72">
        <v>0</v>
      </c>
      <c r="BD205" s="72">
        <v>0</v>
      </c>
      <c r="BE205" s="72">
        <v>13051843</v>
      </c>
      <c r="BF205" s="72">
        <v>0</v>
      </c>
      <c r="BG205" s="72">
        <v>0</v>
      </c>
      <c r="BH205" s="72">
        <v>0</v>
      </c>
      <c r="BI205" s="72">
        <v>0</v>
      </c>
      <c r="BJ205" s="72">
        <v>13051843</v>
      </c>
      <c r="BK205" s="72">
        <v>520</v>
      </c>
      <c r="BL205" s="72">
        <v>6300</v>
      </c>
      <c r="BM205" s="72">
        <v>0</v>
      </c>
      <c r="BN205" s="72">
        <v>0</v>
      </c>
      <c r="BO205" s="72">
        <v>0</v>
      </c>
      <c r="BP205" s="72">
        <v>0</v>
      </c>
      <c r="BQ205" s="72">
        <v>0</v>
      </c>
      <c r="BR205" s="72">
        <v>0</v>
      </c>
      <c r="BS205" s="72">
        <v>60175493</v>
      </c>
    </row>
    <row r="206" spans="1:71" x14ac:dyDescent="0.2">
      <c r="A206" t="s">
        <v>486</v>
      </c>
      <c r="B206" t="s">
        <v>1190</v>
      </c>
      <c r="C206" t="s">
        <v>68</v>
      </c>
      <c r="D206" s="72">
        <v>4384897</v>
      </c>
      <c r="E206" s="72">
        <v>525937</v>
      </c>
      <c r="F206" s="72">
        <v>171877</v>
      </c>
      <c r="G206" s="72">
        <v>5759802</v>
      </c>
      <c r="H206" s="72">
        <v>18807</v>
      </c>
      <c r="I206" s="72">
        <v>0</v>
      </c>
      <c r="J206" s="72">
        <v>791249</v>
      </c>
      <c r="K206" s="72">
        <v>1132167</v>
      </c>
      <c r="L206" s="72">
        <v>12784736</v>
      </c>
      <c r="M206" s="72">
        <v>0</v>
      </c>
      <c r="N206" s="72">
        <v>0</v>
      </c>
      <c r="O206" s="72">
        <v>0</v>
      </c>
      <c r="P206" s="72">
        <v>300600</v>
      </c>
      <c r="R206" s="72">
        <v>415688</v>
      </c>
      <c r="S206" s="72">
        <v>13200424</v>
      </c>
      <c r="T206" s="72">
        <v>6662742</v>
      </c>
      <c r="U206" s="72">
        <v>2991974</v>
      </c>
      <c r="V206" s="72">
        <v>2035677</v>
      </c>
      <c r="W206" s="72">
        <v>414023</v>
      </c>
      <c r="X206" s="72">
        <v>109388</v>
      </c>
      <c r="Y206" s="72">
        <v>0</v>
      </c>
      <c r="Z206" s="72">
        <v>0</v>
      </c>
      <c r="AA206" s="72">
        <v>0</v>
      </c>
      <c r="AB206" s="72">
        <v>0</v>
      </c>
      <c r="AC206" s="72">
        <v>0</v>
      </c>
      <c r="AD206" s="72">
        <v>0</v>
      </c>
      <c r="AE206" s="72">
        <v>0</v>
      </c>
      <c r="AF206" s="72">
        <v>0</v>
      </c>
      <c r="AG206" s="72">
        <v>140315</v>
      </c>
      <c r="AH206" s="72">
        <v>12354119</v>
      </c>
      <c r="AI206" s="72">
        <v>360000</v>
      </c>
      <c r="AJ206" s="72">
        <v>23600</v>
      </c>
      <c r="AK206" s="72">
        <v>0</v>
      </c>
      <c r="AL206" s="72">
        <v>383600</v>
      </c>
      <c r="AM206" s="72">
        <v>12737719</v>
      </c>
      <c r="AN206" s="72">
        <v>462705</v>
      </c>
      <c r="AO206" s="72">
        <v>5337034</v>
      </c>
      <c r="AP206" s="72">
        <v>5799739</v>
      </c>
      <c r="AQ206" s="72">
        <v>331186</v>
      </c>
      <c r="AR206" s="72">
        <v>0</v>
      </c>
      <c r="AS206" s="72">
        <v>0</v>
      </c>
      <c r="AT206" s="72">
        <v>0</v>
      </c>
      <c r="AU206" s="72">
        <v>0</v>
      </c>
      <c r="AV206" s="72">
        <v>0</v>
      </c>
      <c r="AW206" s="72">
        <v>0</v>
      </c>
      <c r="AX206" s="72">
        <v>0</v>
      </c>
      <c r="AY206" s="72">
        <v>0</v>
      </c>
      <c r="AZ206" s="72">
        <v>0</v>
      </c>
      <c r="BA206" s="72">
        <v>5468553</v>
      </c>
      <c r="BB206" s="72">
        <v>0</v>
      </c>
      <c r="BC206" s="72">
        <v>0</v>
      </c>
      <c r="BD206" s="72">
        <v>0</v>
      </c>
      <c r="BE206" s="72">
        <v>5468553</v>
      </c>
      <c r="BF206" s="72">
        <v>0</v>
      </c>
      <c r="BG206" s="72">
        <v>0</v>
      </c>
      <c r="BH206" s="72">
        <v>0</v>
      </c>
      <c r="BI206" s="72">
        <v>0</v>
      </c>
      <c r="BJ206" s="72">
        <v>5468553</v>
      </c>
      <c r="BK206" s="72">
        <v>0</v>
      </c>
      <c r="BL206" s="72">
        <v>0</v>
      </c>
      <c r="BM206" s="72">
        <v>0</v>
      </c>
      <c r="BN206" s="72">
        <v>0</v>
      </c>
      <c r="BO206" s="72">
        <v>0</v>
      </c>
      <c r="BP206" s="72">
        <v>0</v>
      </c>
      <c r="BQ206" s="72">
        <v>0</v>
      </c>
      <c r="BR206" s="72">
        <v>0</v>
      </c>
      <c r="BS206" s="72">
        <v>13200424</v>
      </c>
    </row>
    <row r="207" spans="1:71" x14ac:dyDescent="0.2">
      <c r="A207" t="s">
        <v>495</v>
      </c>
      <c r="B207" t="s">
        <v>1199</v>
      </c>
      <c r="C207" t="s">
        <v>48</v>
      </c>
      <c r="D207" s="72">
        <v>1647353</v>
      </c>
      <c r="E207" s="72">
        <v>83017</v>
      </c>
      <c r="F207" s="72">
        <v>991552</v>
      </c>
      <c r="G207" s="72">
        <v>5281279</v>
      </c>
      <c r="H207" s="72">
        <v>14392</v>
      </c>
      <c r="I207" s="72">
        <v>0</v>
      </c>
      <c r="J207" s="72">
        <v>393439</v>
      </c>
      <c r="K207" s="72">
        <v>500000</v>
      </c>
      <c r="L207" s="72">
        <v>8911032</v>
      </c>
      <c r="M207" s="72">
        <v>0</v>
      </c>
      <c r="N207" s="72">
        <v>0</v>
      </c>
      <c r="O207" s="72">
        <v>0</v>
      </c>
      <c r="P207" s="72">
        <v>10000</v>
      </c>
      <c r="Q207" s="72">
        <v>2000</v>
      </c>
      <c r="R207" s="72">
        <v>12000</v>
      </c>
      <c r="S207" s="72">
        <v>8923032</v>
      </c>
      <c r="T207" s="72">
        <v>4460620</v>
      </c>
      <c r="U207" s="72">
        <v>1754095</v>
      </c>
      <c r="V207" s="72">
        <v>1685549</v>
      </c>
      <c r="W207" s="72">
        <v>290481</v>
      </c>
      <c r="X207" s="72">
        <v>0</v>
      </c>
      <c r="Y207" s="72">
        <v>0</v>
      </c>
      <c r="Z207" s="72">
        <v>0</v>
      </c>
      <c r="AA207" s="72">
        <v>0</v>
      </c>
      <c r="AB207" s="72">
        <v>0</v>
      </c>
      <c r="AC207" s="72">
        <v>0</v>
      </c>
      <c r="AD207" s="72">
        <v>0</v>
      </c>
      <c r="AE207" s="72">
        <v>0</v>
      </c>
      <c r="AF207" s="72">
        <v>0</v>
      </c>
      <c r="AG207" s="72">
        <v>113049</v>
      </c>
      <c r="AH207" s="72">
        <v>8303794</v>
      </c>
      <c r="AI207" s="72">
        <v>500</v>
      </c>
      <c r="AJ207" s="72">
        <v>0</v>
      </c>
      <c r="AK207" s="72">
        <v>1000</v>
      </c>
      <c r="AL207" s="72">
        <v>1500</v>
      </c>
      <c r="AM207" s="72">
        <v>8305294</v>
      </c>
      <c r="AN207" s="72">
        <v>617738</v>
      </c>
      <c r="AO207" s="72">
        <v>569700</v>
      </c>
      <c r="AP207" s="72">
        <v>1187438</v>
      </c>
      <c r="AQ207" s="72">
        <v>150000</v>
      </c>
      <c r="AR207" s="72">
        <v>0</v>
      </c>
      <c r="AS207" s="72">
        <v>0</v>
      </c>
      <c r="AT207" s="72">
        <v>0</v>
      </c>
      <c r="AU207" s="72">
        <v>0</v>
      </c>
      <c r="AV207" s="72">
        <v>0</v>
      </c>
      <c r="AW207" s="72">
        <v>0</v>
      </c>
      <c r="AX207" s="72">
        <v>0</v>
      </c>
      <c r="AY207" s="72">
        <v>0</v>
      </c>
      <c r="AZ207" s="72">
        <v>0</v>
      </c>
      <c r="BA207" s="72">
        <v>1037438</v>
      </c>
      <c r="BB207" s="72">
        <v>0</v>
      </c>
      <c r="BC207" s="72">
        <v>0</v>
      </c>
      <c r="BD207" s="72">
        <v>0</v>
      </c>
      <c r="BE207" s="72">
        <v>1037438</v>
      </c>
      <c r="BF207" s="72">
        <v>0</v>
      </c>
      <c r="BG207" s="72">
        <v>0</v>
      </c>
      <c r="BH207" s="72">
        <v>0</v>
      </c>
      <c r="BI207" s="72">
        <v>0</v>
      </c>
      <c r="BJ207" s="72">
        <v>1037438</v>
      </c>
      <c r="BK207" s="72">
        <v>0</v>
      </c>
      <c r="BL207" s="72">
        <v>0</v>
      </c>
      <c r="BM207" s="72">
        <v>0</v>
      </c>
      <c r="BN207" s="72">
        <v>0</v>
      </c>
      <c r="BO207" s="72">
        <v>0</v>
      </c>
      <c r="BP207" s="72">
        <v>0</v>
      </c>
      <c r="BQ207" s="72">
        <v>0</v>
      </c>
      <c r="BR207" s="72">
        <v>0</v>
      </c>
      <c r="BS207" s="72">
        <v>8923032</v>
      </c>
    </row>
    <row r="208" spans="1:71" x14ac:dyDescent="0.2">
      <c r="A208" t="s">
        <v>497</v>
      </c>
      <c r="B208" t="s">
        <v>1201</v>
      </c>
      <c r="C208" t="s">
        <v>28</v>
      </c>
      <c r="D208" s="72">
        <v>2728768</v>
      </c>
      <c r="E208" s="72">
        <v>0</v>
      </c>
      <c r="F208" s="72">
        <v>1057527</v>
      </c>
      <c r="G208" s="72">
        <v>6295904</v>
      </c>
      <c r="H208" s="72">
        <v>84147</v>
      </c>
      <c r="I208" s="72">
        <v>0</v>
      </c>
      <c r="J208" s="72">
        <v>411615</v>
      </c>
      <c r="K208" s="72">
        <v>712378</v>
      </c>
      <c r="L208" s="72">
        <v>11290339</v>
      </c>
      <c r="M208" s="72">
        <v>0</v>
      </c>
      <c r="N208" s="72">
        <v>0</v>
      </c>
      <c r="O208" s="72">
        <v>0</v>
      </c>
      <c r="P208" s="72">
        <v>0</v>
      </c>
      <c r="Q208" s="72">
        <v>0</v>
      </c>
      <c r="R208" s="72">
        <v>0</v>
      </c>
      <c r="S208" s="72">
        <v>11290339</v>
      </c>
      <c r="T208" s="72">
        <v>5575561</v>
      </c>
      <c r="U208" s="72">
        <v>2031188</v>
      </c>
      <c r="V208" s="72">
        <v>2859428</v>
      </c>
      <c r="W208" s="72">
        <v>382863</v>
      </c>
      <c r="X208" s="72">
        <v>424380</v>
      </c>
      <c r="Y208" s="72">
        <v>0</v>
      </c>
      <c r="Z208" s="72">
        <v>0</v>
      </c>
      <c r="AA208" s="72">
        <v>0</v>
      </c>
      <c r="AB208" s="72">
        <v>0</v>
      </c>
      <c r="AC208" s="72">
        <v>0</v>
      </c>
      <c r="AD208" s="72">
        <v>0</v>
      </c>
      <c r="AE208" s="72">
        <v>0</v>
      </c>
      <c r="AF208" s="72">
        <v>0</v>
      </c>
      <c r="AG208" s="72">
        <v>155535</v>
      </c>
      <c r="AH208" s="72">
        <v>11428955</v>
      </c>
      <c r="AI208" s="72">
        <v>200000</v>
      </c>
      <c r="AJ208" s="72">
        <v>0</v>
      </c>
      <c r="AK208" s="72">
        <v>0</v>
      </c>
      <c r="AL208" s="72">
        <v>200000</v>
      </c>
      <c r="AM208" s="72">
        <v>11628955</v>
      </c>
      <c r="AN208" s="72">
        <v>-338616</v>
      </c>
      <c r="AO208" s="72">
        <v>2947716</v>
      </c>
      <c r="AP208" s="72">
        <v>2609100</v>
      </c>
      <c r="AQ208" s="72">
        <v>75000</v>
      </c>
      <c r="AR208" s="72">
        <v>0</v>
      </c>
      <c r="AS208" s="72">
        <v>0</v>
      </c>
      <c r="AT208" s="72">
        <v>0</v>
      </c>
      <c r="AU208" s="72">
        <v>0</v>
      </c>
      <c r="AV208" s="72">
        <v>0</v>
      </c>
      <c r="AW208" s="72">
        <v>0</v>
      </c>
      <c r="AX208" s="72">
        <v>0</v>
      </c>
      <c r="AY208" s="72">
        <v>0</v>
      </c>
      <c r="AZ208" s="72">
        <v>0</v>
      </c>
      <c r="BA208" s="72">
        <v>2534100</v>
      </c>
      <c r="BB208" s="72">
        <v>0</v>
      </c>
      <c r="BC208" s="72">
        <v>0</v>
      </c>
      <c r="BD208" s="72">
        <v>0</v>
      </c>
      <c r="BE208" s="72">
        <v>2534100</v>
      </c>
      <c r="BF208" s="72">
        <v>0</v>
      </c>
      <c r="BG208" s="72">
        <v>0</v>
      </c>
      <c r="BH208" s="72">
        <v>0</v>
      </c>
      <c r="BI208" s="72">
        <v>0</v>
      </c>
      <c r="BJ208" s="72">
        <v>2534100</v>
      </c>
      <c r="BK208" s="72">
        <v>116</v>
      </c>
      <c r="BL208" s="72">
        <v>1253</v>
      </c>
      <c r="BM208" s="72">
        <v>0</v>
      </c>
      <c r="BN208" s="72">
        <v>0</v>
      </c>
      <c r="BO208" s="72">
        <v>0</v>
      </c>
      <c r="BP208" s="72">
        <v>0</v>
      </c>
      <c r="BQ208" s="72">
        <v>0</v>
      </c>
      <c r="BR208" s="72">
        <v>0</v>
      </c>
      <c r="BS208" s="72">
        <v>11628955</v>
      </c>
    </row>
    <row r="209" spans="1:71" x14ac:dyDescent="0.2">
      <c r="A209" t="s">
        <v>516</v>
      </c>
      <c r="B209" t="s">
        <v>1220</v>
      </c>
      <c r="C209" t="s">
        <v>70</v>
      </c>
      <c r="D209" s="72">
        <v>2690571</v>
      </c>
      <c r="E209" s="72">
        <v>0</v>
      </c>
      <c r="F209" s="72">
        <v>5833429</v>
      </c>
      <c r="G209" s="72">
        <v>22167</v>
      </c>
      <c r="H209" s="72">
        <v>0</v>
      </c>
      <c r="I209" s="72">
        <v>437831</v>
      </c>
      <c r="J209" s="72">
        <v>855770</v>
      </c>
      <c r="K209" s="72">
        <v>0</v>
      </c>
      <c r="L209" s="72">
        <v>9839768</v>
      </c>
      <c r="M209" s="72">
        <v>0</v>
      </c>
      <c r="N209" s="72">
        <v>0</v>
      </c>
      <c r="O209" s="72">
        <v>0</v>
      </c>
      <c r="P209" s="72">
        <v>0</v>
      </c>
      <c r="Q209" s="72">
        <v>0</v>
      </c>
      <c r="R209" s="72">
        <v>0</v>
      </c>
      <c r="S209" s="72">
        <v>9839768</v>
      </c>
      <c r="T209" s="72">
        <v>4950652</v>
      </c>
      <c r="U209" s="72">
        <v>2742020</v>
      </c>
      <c r="V209" s="72">
        <v>1837136</v>
      </c>
      <c r="W209" s="72">
        <v>295678</v>
      </c>
      <c r="X209" s="72">
        <v>101078</v>
      </c>
      <c r="Y209" s="72">
        <v>0</v>
      </c>
      <c r="Z209" s="72">
        <v>0</v>
      </c>
      <c r="AA209" s="72">
        <v>0</v>
      </c>
      <c r="AB209" s="72">
        <v>0</v>
      </c>
      <c r="AC209" s="72">
        <v>0</v>
      </c>
      <c r="AD209" s="72">
        <v>0</v>
      </c>
      <c r="AE209" s="72">
        <v>0</v>
      </c>
      <c r="AF209" s="72">
        <v>0</v>
      </c>
      <c r="AG209" s="72">
        <v>404829</v>
      </c>
      <c r="AH209" s="72">
        <v>10331393</v>
      </c>
      <c r="AI209" s="72">
        <v>0</v>
      </c>
      <c r="AJ209" s="72">
        <v>0</v>
      </c>
      <c r="AK209" s="72">
        <v>0</v>
      </c>
      <c r="AL209" s="72">
        <v>0</v>
      </c>
      <c r="AM209" s="72">
        <v>10331393</v>
      </c>
      <c r="AN209" s="72">
        <v>-491625</v>
      </c>
      <c r="AO209" s="72">
        <v>741928</v>
      </c>
      <c r="AP209" s="72">
        <v>250303</v>
      </c>
      <c r="AQ209" s="72">
        <v>0</v>
      </c>
      <c r="AR209" s="72">
        <v>0</v>
      </c>
      <c r="AS209" s="72">
        <v>0</v>
      </c>
      <c r="AT209" s="72">
        <v>0</v>
      </c>
      <c r="AU209" s="72">
        <v>0</v>
      </c>
      <c r="AV209" s="72">
        <v>0</v>
      </c>
      <c r="AW209" s="72">
        <v>0</v>
      </c>
      <c r="AX209" s="72">
        <v>0</v>
      </c>
      <c r="AY209" s="72">
        <v>0</v>
      </c>
      <c r="AZ209" s="72">
        <v>0</v>
      </c>
      <c r="BA209" s="72">
        <v>250303</v>
      </c>
      <c r="BB209" s="72">
        <v>0</v>
      </c>
      <c r="BC209" s="72">
        <v>0</v>
      </c>
      <c r="BD209" s="72">
        <v>0</v>
      </c>
      <c r="BE209" s="72">
        <v>250303</v>
      </c>
      <c r="BF209" s="72">
        <v>0</v>
      </c>
      <c r="BG209" s="72">
        <v>0</v>
      </c>
      <c r="BH209" s="72">
        <v>0</v>
      </c>
      <c r="BI209" s="72">
        <v>0</v>
      </c>
      <c r="BJ209" s="72">
        <v>250303</v>
      </c>
      <c r="BK209" s="72">
        <v>0</v>
      </c>
      <c r="BL209" s="72">
        <v>0</v>
      </c>
      <c r="BM209" s="72">
        <v>0</v>
      </c>
      <c r="BN209" s="72">
        <v>0</v>
      </c>
      <c r="BO209" s="72">
        <v>0</v>
      </c>
      <c r="BP209" s="72">
        <v>0</v>
      </c>
      <c r="BQ209" s="72">
        <v>0</v>
      </c>
      <c r="BR209" s="72">
        <v>0</v>
      </c>
      <c r="BS209" s="72">
        <v>10331393</v>
      </c>
    </row>
    <row r="210" spans="1:71" x14ac:dyDescent="0.2">
      <c r="A210" t="s">
        <v>512</v>
      </c>
      <c r="B210" t="s">
        <v>1216</v>
      </c>
      <c r="C210" t="s">
        <v>42</v>
      </c>
      <c r="D210" s="72">
        <v>6844789</v>
      </c>
      <c r="E210" s="72">
        <v>6012177</v>
      </c>
      <c r="F210" s="72">
        <v>0</v>
      </c>
      <c r="G210" s="72">
        <v>3702943</v>
      </c>
      <c r="H210" s="72">
        <v>65448</v>
      </c>
      <c r="I210" s="72">
        <v>0</v>
      </c>
      <c r="J210" s="72">
        <v>8030721</v>
      </c>
      <c r="K210" s="72">
        <v>1646941</v>
      </c>
      <c r="L210" s="72">
        <v>26303019</v>
      </c>
      <c r="M210" s="72">
        <v>0</v>
      </c>
      <c r="N210" s="72">
        <v>0</v>
      </c>
      <c r="O210" s="72">
        <v>2802871</v>
      </c>
      <c r="P210" s="72">
        <v>68445</v>
      </c>
      <c r="Q210" s="72">
        <v>0</v>
      </c>
      <c r="R210" s="72">
        <v>2871316</v>
      </c>
      <c r="S210" s="72">
        <v>29174335</v>
      </c>
      <c r="T210" s="72">
        <v>13940933</v>
      </c>
      <c r="U210" s="72">
        <v>5175882</v>
      </c>
      <c r="V210" s="72">
        <v>4232836</v>
      </c>
      <c r="W210" s="72">
        <v>1007372</v>
      </c>
      <c r="X210" s="72">
        <v>1274616</v>
      </c>
      <c r="Y210" s="72">
        <v>0</v>
      </c>
      <c r="Z210" s="72">
        <v>0</v>
      </c>
      <c r="AA210" s="72">
        <v>0</v>
      </c>
      <c r="AB210" s="72">
        <v>0</v>
      </c>
      <c r="AC210" s="72">
        <v>0</v>
      </c>
      <c r="AD210" s="72">
        <v>0</v>
      </c>
      <c r="AE210" s="72">
        <v>0</v>
      </c>
      <c r="AF210" s="72">
        <v>0</v>
      </c>
      <c r="AG210" s="72">
        <v>423289</v>
      </c>
      <c r="AH210" s="72">
        <v>26054929</v>
      </c>
      <c r="AI210" s="72">
        <v>2871316</v>
      </c>
      <c r="AJ210" s="72">
        <v>0</v>
      </c>
      <c r="AK210" s="72">
        <v>0</v>
      </c>
      <c r="AL210" s="72">
        <v>2871316</v>
      </c>
      <c r="AM210" s="72">
        <v>28926245</v>
      </c>
      <c r="AN210" s="72">
        <v>248090</v>
      </c>
      <c r="AO210" s="72">
        <v>21325877</v>
      </c>
      <c r="AP210" s="72">
        <v>21573967</v>
      </c>
      <c r="AQ210" s="72">
        <v>1100000</v>
      </c>
      <c r="AR210" s="72">
        <v>0</v>
      </c>
      <c r="AS210" s="72">
        <v>0</v>
      </c>
      <c r="AT210" s="72">
        <v>0</v>
      </c>
      <c r="AU210" s="72">
        <v>0</v>
      </c>
      <c r="AV210" s="72">
        <v>0</v>
      </c>
      <c r="AW210" s="72">
        <v>0</v>
      </c>
      <c r="AX210" s="72">
        <v>0</v>
      </c>
      <c r="AY210" s="72">
        <v>0</v>
      </c>
      <c r="AZ210" s="72">
        <v>0</v>
      </c>
      <c r="BA210" s="72">
        <v>20473967</v>
      </c>
      <c r="BB210" s="72">
        <v>0</v>
      </c>
      <c r="BC210" s="72">
        <v>0</v>
      </c>
      <c r="BD210" s="72">
        <v>0</v>
      </c>
      <c r="BE210" s="72">
        <v>20473967</v>
      </c>
      <c r="BF210" s="72">
        <v>0</v>
      </c>
      <c r="BG210" s="72">
        <v>0</v>
      </c>
      <c r="BH210" s="72">
        <v>0</v>
      </c>
      <c r="BI210" s="72">
        <v>0</v>
      </c>
      <c r="BJ210" s="72">
        <v>20473967</v>
      </c>
      <c r="BK210" s="72">
        <v>0</v>
      </c>
      <c r="BL210" s="72">
        <v>0</v>
      </c>
      <c r="BM210" s="72">
        <v>0</v>
      </c>
      <c r="BN210" s="72">
        <v>0</v>
      </c>
      <c r="BO210" s="72">
        <v>0</v>
      </c>
      <c r="BP210" s="72">
        <v>0</v>
      </c>
      <c r="BQ210" s="72">
        <v>0</v>
      </c>
      <c r="BR210" s="72">
        <v>0</v>
      </c>
      <c r="BS210" s="72">
        <v>29174335</v>
      </c>
    </row>
    <row r="211" spans="1:71" x14ac:dyDescent="0.2">
      <c r="A211" t="s">
        <v>517</v>
      </c>
      <c r="B211" t="s">
        <v>1221</v>
      </c>
      <c r="C211" t="s">
        <v>32</v>
      </c>
      <c r="D211" s="72">
        <v>2554281</v>
      </c>
      <c r="E211" s="72">
        <v>71489</v>
      </c>
      <c r="F211" s="72">
        <v>0</v>
      </c>
      <c r="G211" s="72">
        <v>7596887</v>
      </c>
      <c r="H211" s="72">
        <v>63584</v>
      </c>
      <c r="I211" s="72">
        <v>0</v>
      </c>
      <c r="J211" s="72">
        <v>477691</v>
      </c>
      <c r="K211" s="72">
        <v>499547</v>
      </c>
      <c r="L211" s="72">
        <v>11263479</v>
      </c>
      <c r="M211" s="72">
        <v>0</v>
      </c>
      <c r="N211" s="72">
        <v>0</v>
      </c>
      <c r="O211" s="72">
        <v>0</v>
      </c>
      <c r="P211" s="72">
        <v>49756</v>
      </c>
      <c r="Q211" s="72">
        <v>0</v>
      </c>
      <c r="R211" s="72">
        <v>49756</v>
      </c>
      <c r="S211" s="72">
        <v>11313235</v>
      </c>
      <c r="T211" s="72">
        <v>5749442</v>
      </c>
      <c r="U211" s="72">
        <v>2352426</v>
      </c>
      <c r="V211" s="72">
        <v>2465166</v>
      </c>
      <c r="W211" s="72">
        <v>250870</v>
      </c>
      <c r="X211" s="72">
        <v>25000</v>
      </c>
      <c r="Y211" s="72">
        <v>0</v>
      </c>
      <c r="Z211" s="72">
        <v>0</v>
      </c>
      <c r="AA211" s="72">
        <v>0</v>
      </c>
      <c r="AB211" s="72">
        <v>0</v>
      </c>
      <c r="AC211" s="72">
        <v>0</v>
      </c>
      <c r="AD211" s="72">
        <v>0</v>
      </c>
      <c r="AE211" s="72">
        <v>0</v>
      </c>
      <c r="AF211" s="72">
        <v>0</v>
      </c>
      <c r="AG211" s="72">
        <v>200852</v>
      </c>
      <c r="AH211" s="72">
        <v>11043756</v>
      </c>
      <c r="AI211" s="72">
        <v>31338</v>
      </c>
      <c r="AJ211" s="72">
        <v>37317</v>
      </c>
      <c r="AK211" s="72">
        <v>0</v>
      </c>
      <c r="AL211" s="72">
        <v>68655</v>
      </c>
      <c r="AM211" s="72">
        <v>11112411</v>
      </c>
      <c r="AN211" s="72">
        <v>200824</v>
      </c>
      <c r="AO211" s="72">
        <v>500003</v>
      </c>
      <c r="AP211" s="72">
        <v>700827</v>
      </c>
      <c r="AQ211" s="72">
        <v>50000</v>
      </c>
      <c r="AR211" s="72">
        <v>0</v>
      </c>
      <c r="AS211" s="72">
        <v>0</v>
      </c>
      <c r="AT211" s="72">
        <v>0</v>
      </c>
      <c r="AU211" s="72">
        <v>0</v>
      </c>
      <c r="AV211" s="72">
        <v>0</v>
      </c>
      <c r="AW211" s="72">
        <v>0</v>
      </c>
      <c r="AX211" s="72">
        <v>0</v>
      </c>
      <c r="AY211" s="72">
        <v>0</v>
      </c>
      <c r="AZ211" s="72">
        <v>0</v>
      </c>
      <c r="BA211" s="72">
        <v>650827</v>
      </c>
      <c r="BB211" s="72">
        <v>0</v>
      </c>
      <c r="BC211" s="72">
        <v>0</v>
      </c>
      <c r="BD211" s="72">
        <v>0</v>
      </c>
      <c r="BE211" s="72">
        <v>650827</v>
      </c>
      <c r="BF211" s="72">
        <v>0</v>
      </c>
      <c r="BG211" s="72">
        <v>0</v>
      </c>
      <c r="BH211" s="72">
        <v>0</v>
      </c>
      <c r="BI211" s="72">
        <v>0</v>
      </c>
      <c r="BJ211" s="72">
        <v>650827</v>
      </c>
      <c r="BK211" s="72">
        <v>81</v>
      </c>
      <c r="BL211" s="72">
        <v>1276</v>
      </c>
      <c r="BM211" s="72">
        <v>0</v>
      </c>
      <c r="BN211" s="72">
        <v>0</v>
      </c>
      <c r="BO211" s="72">
        <v>0</v>
      </c>
      <c r="BP211" s="72">
        <v>0</v>
      </c>
      <c r="BQ211" s="72">
        <v>0</v>
      </c>
      <c r="BR211" s="72">
        <v>0</v>
      </c>
      <c r="BS211" s="72">
        <v>11313235</v>
      </c>
    </row>
    <row r="212" spans="1:71" x14ac:dyDescent="0.2">
      <c r="A212" t="s">
        <v>572</v>
      </c>
      <c r="B212" t="s">
        <v>1271</v>
      </c>
      <c r="C212" t="s">
        <v>110</v>
      </c>
      <c r="D212" s="72">
        <v>3431825</v>
      </c>
      <c r="E212" s="72">
        <v>0</v>
      </c>
      <c r="F212" s="72">
        <v>1789672</v>
      </c>
      <c r="G212" s="72">
        <v>9228214</v>
      </c>
      <c r="H212" s="72">
        <v>3516</v>
      </c>
      <c r="I212" s="72">
        <v>0</v>
      </c>
      <c r="J212" s="72">
        <v>570446</v>
      </c>
      <c r="K212" s="72">
        <v>416169</v>
      </c>
      <c r="L212" s="72">
        <v>15439842</v>
      </c>
      <c r="M212" s="72">
        <v>0</v>
      </c>
      <c r="N212" s="72">
        <v>0</v>
      </c>
      <c r="O212" s="72">
        <v>0</v>
      </c>
      <c r="P212" s="72">
        <v>2636</v>
      </c>
      <c r="Q212" s="72">
        <v>26696</v>
      </c>
      <c r="R212" s="72">
        <v>29332</v>
      </c>
      <c r="S212" s="72">
        <v>15469174</v>
      </c>
      <c r="T212" s="72">
        <v>7938104</v>
      </c>
      <c r="U212" s="72">
        <v>3418423</v>
      </c>
      <c r="V212" s="72">
        <v>3067757</v>
      </c>
      <c r="W212" s="72">
        <v>534250</v>
      </c>
      <c r="X212" s="72">
        <v>228312</v>
      </c>
      <c r="Y212" s="72">
        <v>0</v>
      </c>
      <c r="Z212" s="72">
        <v>0</v>
      </c>
      <c r="AA212" s="72">
        <v>0</v>
      </c>
      <c r="AB212" s="72">
        <v>0</v>
      </c>
      <c r="AC212" s="72">
        <v>0</v>
      </c>
      <c r="AD212" s="72">
        <v>0</v>
      </c>
      <c r="AE212" s="72">
        <v>0</v>
      </c>
      <c r="AF212" s="72">
        <v>0</v>
      </c>
      <c r="AG212" s="72">
        <v>211796</v>
      </c>
      <c r="AH212" s="72">
        <v>15398642</v>
      </c>
      <c r="AI212" s="72">
        <v>25000</v>
      </c>
      <c r="AJ212" s="72">
        <v>0</v>
      </c>
      <c r="AK212" s="72">
        <v>0</v>
      </c>
      <c r="AL212" s="72">
        <v>25000</v>
      </c>
      <c r="AM212" s="72">
        <v>15423642</v>
      </c>
      <c r="AN212" s="72">
        <v>45532</v>
      </c>
      <c r="AO212" s="72">
        <v>5449399</v>
      </c>
      <c r="AP212" s="72">
        <v>5494931</v>
      </c>
      <c r="AQ212" s="72">
        <v>90000</v>
      </c>
      <c r="AR212" s="72">
        <v>0</v>
      </c>
      <c r="AS212" s="72">
        <v>0</v>
      </c>
      <c r="AT212" s="72">
        <v>0</v>
      </c>
      <c r="AU212" s="72">
        <v>0</v>
      </c>
      <c r="AV212" s="72">
        <v>0</v>
      </c>
      <c r="AW212" s="72">
        <v>0</v>
      </c>
      <c r="AX212" s="72">
        <v>0</v>
      </c>
      <c r="AY212" s="72">
        <v>0</v>
      </c>
      <c r="AZ212" s="72">
        <v>0</v>
      </c>
      <c r="BA212" s="72">
        <v>5404931</v>
      </c>
      <c r="BB212" s="72">
        <v>0</v>
      </c>
      <c r="BC212" s="72">
        <v>0</v>
      </c>
      <c r="BD212" s="72">
        <v>0</v>
      </c>
      <c r="BE212" s="72">
        <v>5404931</v>
      </c>
      <c r="BF212" s="72">
        <v>0</v>
      </c>
      <c r="BG212" s="72">
        <v>0</v>
      </c>
      <c r="BH212" s="72">
        <v>0</v>
      </c>
      <c r="BI212" s="72">
        <v>0</v>
      </c>
      <c r="BJ212" s="72">
        <v>5404931</v>
      </c>
      <c r="BS212" s="72">
        <v>15469174</v>
      </c>
    </row>
    <row r="213" spans="1:71" x14ac:dyDescent="0.2">
      <c r="A213" t="s">
        <v>578</v>
      </c>
      <c r="B213" t="s">
        <v>1275</v>
      </c>
      <c r="C213" t="s">
        <v>72</v>
      </c>
      <c r="D213" s="72">
        <v>24582194</v>
      </c>
      <c r="E213" s="72">
        <v>0</v>
      </c>
      <c r="F213" s="72">
        <v>5704313</v>
      </c>
      <c r="G213" s="72">
        <v>8474751</v>
      </c>
      <c r="H213" s="72">
        <v>41612</v>
      </c>
      <c r="I213" s="72">
        <v>0</v>
      </c>
      <c r="J213" s="72">
        <v>3785843</v>
      </c>
      <c r="K213" s="72">
        <v>806503</v>
      </c>
      <c r="L213" s="72">
        <v>43395216</v>
      </c>
      <c r="M213" s="72">
        <v>0</v>
      </c>
      <c r="N213" s="72">
        <v>0</v>
      </c>
      <c r="O213" s="72">
        <v>0</v>
      </c>
      <c r="P213" s="72">
        <v>0</v>
      </c>
      <c r="Q213" s="72">
        <v>0</v>
      </c>
      <c r="R213" s="72">
        <v>0</v>
      </c>
      <c r="S213" s="72">
        <v>43395216</v>
      </c>
      <c r="T213" s="72">
        <v>25303744</v>
      </c>
      <c r="U213" s="72">
        <v>8900478</v>
      </c>
      <c r="V213" s="72">
        <v>5765938</v>
      </c>
      <c r="W213" s="72">
        <v>1827984</v>
      </c>
      <c r="X213" s="72">
        <v>20461</v>
      </c>
      <c r="Y213" s="72">
        <v>0</v>
      </c>
      <c r="Z213" s="72">
        <v>0</v>
      </c>
      <c r="AA213" s="72">
        <v>0</v>
      </c>
      <c r="AB213" s="72">
        <v>0</v>
      </c>
      <c r="AC213" s="72">
        <v>0</v>
      </c>
      <c r="AD213" s="72">
        <v>0</v>
      </c>
      <c r="AE213" s="72">
        <v>0</v>
      </c>
      <c r="AF213" s="72">
        <v>0</v>
      </c>
      <c r="AG213" s="72">
        <v>803200</v>
      </c>
      <c r="AH213" s="72">
        <v>42621805</v>
      </c>
      <c r="AI213" s="72">
        <v>0</v>
      </c>
      <c r="AJ213" s="72">
        <v>10000</v>
      </c>
      <c r="AK213" s="72">
        <v>0</v>
      </c>
      <c r="AL213" s="72">
        <v>10000</v>
      </c>
      <c r="AM213" s="72">
        <v>42631805</v>
      </c>
      <c r="AN213" s="72">
        <v>763411</v>
      </c>
      <c r="AO213" s="72">
        <v>2473228</v>
      </c>
      <c r="AP213" s="72">
        <v>3236639</v>
      </c>
      <c r="AQ213" s="72">
        <v>0</v>
      </c>
      <c r="AR213" s="72">
        <v>0</v>
      </c>
      <c r="AS213" s="72">
        <v>0</v>
      </c>
      <c r="AT213" s="72">
        <v>0</v>
      </c>
      <c r="AU213" s="72">
        <v>0</v>
      </c>
      <c r="AV213" s="72">
        <v>0</v>
      </c>
      <c r="AW213" s="72">
        <v>0</v>
      </c>
      <c r="AX213" s="72">
        <v>0</v>
      </c>
      <c r="AY213" s="72">
        <v>0</v>
      </c>
      <c r="AZ213" s="72">
        <v>0</v>
      </c>
      <c r="BA213" s="72">
        <v>3236639</v>
      </c>
      <c r="BB213" s="72">
        <v>0</v>
      </c>
      <c r="BC213" s="72">
        <v>0</v>
      </c>
      <c r="BD213" s="72">
        <v>0</v>
      </c>
      <c r="BE213" s="72">
        <v>3236639</v>
      </c>
      <c r="BF213" s="72">
        <v>0</v>
      </c>
      <c r="BG213" s="72">
        <v>0</v>
      </c>
      <c r="BH213" s="72">
        <v>0</v>
      </c>
      <c r="BI213" s="72">
        <v>0</v>
      </c>
      <c r="BJ213" s="72">
        <v>3236639</v>
      </c>
      <c r="BK213" s="72">
        <v>344</v>
      </c>
      <c r="BL213" s="72">
        <v>4465</v>
      </c>
      <c r="BM213" s="72">
        <v>0</v>
      </c>
      <c r="BN213" s="72">
        <v>0</v>
      </c>
      <c r="BO213" s="72">
        <v>0</v>
      </c>
      <c r="BP213" s="72">
        <v>0</v>
      </c>
      <c r="BQ213" s="72">
        <v>0</v>
      </c>
      <c r="BR213" s="72">
        <v>0</v>
      </c>
      <c r="BS213" s="72">
        <v>43395216</v>
      </c>
    </row>
    <row r="214" spans="1:71" x14ac:dyDescent="0.2">
      <c r="A214" t="s">
        <v>606</v>
      </c>
      <c r="B214" t="s">
        <v>1303</v>
      </c>
      <c r="C214" t="s">
        <v>79</v>
      </c>
      <c r="D214" s="72">
        <v>2961000</v>
      </c>
      <c r="E214" s="72">
        <v>0</v>
      </c>
      <c r="F214" s="72">
        <v>0</v>
      </c>
      <c r="G214" s="72">
        <v>4814323</v>
      </c>
      <c r="H214" s="72">
        <v>0</v>
      </c>
      <c r="I214" s="72">
        <v>0</v>
      </c>
      <c r="J214" s="72">
        <v>655000</v>
      </c>
      <c r="K214" s="72">
        <v>350000</v>
      </c>
      <c r="L214" s="72">
        <v>8780323</v>
      </c>
      <c r="M214" s="72">
        <v>0</v>
      </c>
      <c r="N214" s="72">
        <v>0</v>
      </c>
      <c r="O214" s="72">
        <v>860000</v>
      </c>
      <c r="P214" s="72">
        <v>0</v>
      </c>
      <c r="Q214" s="72">
        <v>0</v>
      </c>
      <c r="R214" s="72">
        <v>860000</v>
      </c>
      <c r="S214" s="72">
        <v>9640323</v>
      </c>
      <c r="T214" s="72">
        <v>5013005</v>
      </c>
      <c r="U214" s="72">
        <v>2120559</v>
      </c>
      <c r="V214" s="72">
        <v>2018150</v>
      </c>
      <c r="W214" s="72">
        <v>387600</v>
      </c>
      <c r="X214" s="72">
        <v>40000</v>
      </c>
      <c r="Y214" s="72">
        <v>0</v>
      </c>
      <c r="Z214" s="72">
        <v>0</v>
      </c>
      <c r="AA214" s="72">
        <v>0</v>
      </c>
      <c r="AB214" s="72">
        <v>0</v>
      </c>
      <c r="AC214" s="72">
        <v>0</v>
      </c>
      <c r="AD214" s="72">
        <v>0</v>
      </c>
      <c r="AE214" s="72">
        <v>0</v>
      </c>
      <c r="AF214" s="72">
        <v>0</v>
      </c>
      <c r="AG214" s="72">
        <v>135000</v>
      </c>
      <c r="AH214" s="72">
        <v>9714314</v>
      </c>
      <c r="AI214" s="72">
        <v>0</v>
      </c>
      <c r="AJ214" s="72">
        <v>0</v>
      </c>
      <c r="AK214" s="72">
        <v>0</v>
      </c>
      <c r="AL214" s="72">
        <v>0</v>
      </c>
      <c r="AM214" s="72">
        <v>9714314</v>
      </c>
      <c r="AN214" s="72">
        <v>-73991</v>
      </c>
      <c r="AO214" s="72">
        <v>1271248</v>
      </c>
      <c r="AP214" s="72">
        <v>1197257</v>
      </c>
      <c r="AQ214" s="72">
        <v>150000</v>
      </c>
      <c r="AR214" s="72">
        <v>0</v>
      </c>
      <c r="AS214" s="72">
        <v>0</v>
      </c>
      <c r="AT214" s="72">
        <v>0</v>
      </c>
      <c r="AU214" s="72">
        <v>0</v>
      </c>
      <c r="AV214" s="72">
        <v>0</v>
      </c>
      <c r="AW214" s="72">
        <v>0</v>
      </c>
      <c r="AX214" s="72">
        <v>0</v>
      </c>
      <c r="AY214" s="72">
        <v>0</v>
      </c>
      <c r="AZ214" s="72">
        <v>0</v>
      </c>
      <c r="BA214" s="72">
        <v>1047257</v>
      </c>
      <c r="BB214" s="72">
        <v>0</v>
      </c>
      <c r="BC214" s="72">
        <v>0</v>
      </c>
      <c r="BD214" s="72">
        <v>0</v>
      </c>
      <c r="BE214" s="72">
        <v>1047257</v>
      </c>
      <c r="BF214" s="72">
        <v>0</v>
      </c>
      <c r="BG214" s="72">
        <v>0</v>
      </c>
      <c r="BH214" s="72">
        <v>0</v>
      </c>
      <c r="BI214" s="72">
        <v>0</v>
      </c>
      <c r="BJ214" s="72">
        <v>1047257</v>
      </c>
      <c r="BK214" s="72">
        <v>0</v>
      </c>
      <c r="BL214" s="72">
        <v>0</v>
      </c>
      <c r="BM214" s="72">
        <v>0</v>
      </c>
      <c r="BN214" s="72">
        <v>0</v>
      </c>
      <c r="BO214" s="72">
        <v>0</v>
      </c>
      <c r="BP214" s="72">
        <v>0</v>
      </c>
      <c r="BQ214" s="72">
        <v>0</v>
      </c>
      <c r="BR214" s="72">
        <v>0</v>
      </c>
      <c r="BS214" s="72">
        <v>9714314</v>
      </c>
    </row>
    <row r="215" spans="1:71" x14ac:dyDescent="0.2">
      <c r="A215" t="s">
        <v>617</v>
      </c>
      <c r="B215" t="s">
        <v>1313</v>
      </c>
      <c r="C215" t="s">
        <v>72</v>
      </c>
      <c r="D215" s="72">
        <v>12946783</v>
      </c>
      <c r="E215" s="72">
        <v>0</v>
      </c>
      <c r="F215" s="72">
        <v>0</v>
      </c>
      <c r="G215" s="72">
        <v>2340728</v>
      </c>
      <c r="H215" s="72">
        <v>46700</v>
      </c>
      <c r="I215" s="72">
        <v>0</v>
      </c>
      <c r="J215" s="72">
        <v>5197522</v>
      </c>
      <c r="K215" s="72">
        <v>643188</v>
      </c>
      <c r="L215" s="72">
        <v>21174920</v>
      </c>
      <c r="M215" s="72">
        <v>0</v>
      </c>
      <c r="N215" s="72">
        <v>0</v>
      </c>
      <c r="O215" s="72">
        <v>0</v>
      </c>
      <c r="P215" s="72">
        <v>5955</v>
      </c>
      <c r="Q215" s="72">
        <v>50000</v>
      </c>
      <c r="R215" s="72">
        <v>55955</v>
      </c>
      <c r="S215" s="72">
        <v>21230875</v>
      </c>
      <c r="T215" s="72">
        <v>14434827</v>
      </c>
      <c r="U215" s="72">
        <v>5901284</v>
      </c>
      <c r="V215" s="72">
        <v>2381778</v>
      </c>
      <c r="W215" s="72">
        <v>1046654</v>
      </c>
      <c r="X215" s="72">
        <v>153954</v>
      </c>
      <c r="Y215" s="72">
        <v>0</v>
      </c>
      <c r="Z215" s="72">
        <v>0</v>
      </c>
      <c r="AA215" s="72">
        <v>0</v>
      </c>
      <c r="AB215" s="72">
        <v>0</v>
      </c>
      <c r="AC215" s="72">
        <v>0</v>
      </c>
      <c r="AD215" s="72">
        <v>0</v>
      </c>
      <c r="AE215" s="72">
        <v>0</v>
      </c>
      <c r="AF215" s="72">
        <v>0</v>
      </c>
      <c r="AG215" s="72">
        <v>395773</v>
      </c>
      <c r="AH215" s="72">
        <v>24314270</v>
      </c>
      <c r="AI215" s="72">
        <v>65000</v>
      </c>
      <c r="AJ215" s="72">
        <v>35000</v>
      </c>
      <c r="AK215" s="72">
        <v>10000</v>
      </c>
      <c r="AL215" s="72">
        <v>110000</v>
      </c>
      <c r="AM215" s="72">
        <v>24424270</v>
      </c>
      <c r="AN215" s="72">
        <v>-3193394</v>
      </c>
      <c r="AO215" s="72">
        <v>7447008</v>
      </c>
      <c r="AP215" s="72">
        <v>4253614</v>
      </c>
      <c r="AQ215" s="72">
        <v>200000</v>
      </c>
      <c r="AR215" s="72">
        <v>0</v>
      </c>
      <c r="AS215" s="72">
        <v>0</v>
      </c>
      <c r="AT215" s="72">
        <v>0</v>
      </c>
      <c r="AU215" s="72">
        <v>0</v>
      </c>
      <c r="AW215" s="72">
        <v>0</v>
      </c>
      <c r="AX215" s="72">
        <v>0</v>
      </c>
      <c r="AY215" s="72">
        <v>0</v>
      </c>
      <c r="AZ215" s="72">
        <v>0</v>
      </c>
      <c r="BA215" s="72">
        <v>4053614</v>
      </c>
      <c r="BB215" s="72">
        <v>0</v>
      </c>
      <c r="BC215" s="72">
        <v>0</v>
      </c>
      <c r="BD215" s="72">
        <v>0</v>
      </c>
      <c r="BE215" s="72">
        <v>4053614</v>
      </c>
      <c r="BF215" s="72">
        <v>0</v>
      </c>
      <c r="BG215" s="72">
        <v>0</v>
      </c>
      <c r="BH215" s="72">
        <v>0</v>
      </c>
      <c r="BI215" s="72">
        <v>0</v>
      </c>
      <c r="BJ215" s="72">
        <v>4053614</v>
      </c>
      <c r="BK215" s="72">
        <v>139</v>
      </c>
      <c r="BL215" s="72">
        <v>1729</v>
      </c>
      <c r="BM215" s="72">
        <v>0</v>
      </c>
      <c r="BN215" s="72">
        <v>0</v>
      </c>
      <c r="BO215" s="72">
        <v>0</v>
      </c>
      <c r="BP215" s="72">
        <v>0</v>
      </c>
      <c r="BQ215" s="72">
        <v>0</v>
      </c>
      <c r="BR215" s="72">
        <v>0</v>
      </c>
      <c r="BS215" s="72">
        <v>24424270</v>
      </c>
    </row>
    <row r="216" spans="1:71" x14ac:dyDescent="0.2">
      <c r="A216" t="s">
        <v>679</v>
      </c>
      <c r="B216" t="s">
        <v>1369</v>
      </c>
      <c r="C216" t="s">
        <v>68</v>
      </c>
      <c r="D216" s="72">
        <v>11191054</v>
      </c>
      <c r="E216" s="72">
        <v>0</v>
      </c>
      <c r="F216" s="72">
        <v>0</v>
      </c>
      <c r="G216" s="72">
        <v>6875000</v>
      </c>
      <c r="H216" s="72">
        <v>127700</v>
      </c>
      <c r="I216" s="72">
        <v>14794</v>
      </c>
      <c r="J216" s="72">
        <v>1940718</v>
      </c>
      <c r="K216" s="72">
        <v>876074</v>
      </c>
      <c r="L216" s="72">
        <v>21025340</v>
      </c>
      <c r="M216" s="72">
        <v>0</v>
      </c>
      <c r="N216" s="72">
        <v>0</v>
      </c>
      <c r="O216" s="72">
        <v>0</v>
      </c>
      <c r="P216" s="72">
        <v>20700</v>
      </c>
      <c r="Q216" s="72">
        <v>10000</v>
      </c>
      <c r="R216" s="72">
        <v>30700</v>
      </c>
      <c r="S216" s="72">
        <v>21056040</v>
      </c>
      <c r="T216" s="72">
        <v>12709182</v>
      </c>
      <c r="U216" s="72">
        <v>4309837</v>
      </c>
      <c r="V216" s="72">
        <v>3000000</v>
      </c>
      <c r="W216" s="72">
        <v>571871</v>
      </c>
      <c r="X216" s="72">
        <v>52405</v>
      </c>
      <c r="Y216" s="72">
        <v>0</v>
      </c>
      <c r="Z216" s="72">
        <v>0</v>
      </c>
      <c r="AA216" s="72">
        <v>0</v>
      </c>
      <c r="AB216" s="72">
        <v>0</v>
      </c>
      <c r="AC216" s="72">
        <v>0</v>
      </c>
      <c r="AD216" s="72">
        <v>58319</v>
      </c>
      <c r="AE216" s="72">
        <v>0</v>
      </c>
      <c r="AF216" s="72">
        <v>25444</v>
      </c>
      <c r="AG216" s="72">
        <v>191494</v>
      </c>
      <c r="AH216" s="72">
        <v>20918552</v>
      </c>
      <c r="AI216" s="72">
        <v>2500</v>
      </c>
      <c r="AJ216" s="72">
        <v>20700</v>
      </c>
      <c r="AK216" s="72">
        <v>0</v>
      </c>
      <c r="AL216" s="72">
        <v>23200</v>
      </c>
      <c r="AM216" s="72">
        <v>20941752</v>
      </c>
      <c r="AN216" s="72">
        <v>114288</v>
      </c>
      <c r="AO216" s="72">
        <v>1212197</v>
      </c>
      <c r="AP216" s="72">
        <v>1326485</v>
      </c>
      <c r="AQ216" s="72">
        <v>100000</v>
      </c>
      <c r="AR216" s="72">
        <v>0</v>
      </c>
      <c r="AS216" s="72">
        <v>0</v>
      </c>
      <c r="AT216" s="72">
        <v>0</v>
      </c>
      <c r="AU216" s="72">
        <v>0</v>
      </c>
      <c r="AV216" s="72">
        <v>0</v>
      </c>
      <c r="AW216" s="72">
        <v>0</v>
      </c>
      <c r="AX216" s="72">
        <v>0</v>
      </c>
      <c r="AY216" s="72">
        <v>0</v>
      </c>
      <c r="AZ216" s="72">
        <v>0</v>
      </c>
      <c r="BA216" s="72">
        <v>1226485</v>
      </c>
      <c r="BB216" s="72">
        <v>0</v>
      </c>
      <c r="BC216" s="72">
        <v>0</v>
      </c>
      <c r="BD216" s="72">
        <v>0</v>
      </c>
      <c r="BE216" s="72">
        <v>1226485</v>
      </c>
      <c r="BF216" s="72">
        <v>0</v>
      </c>
      <c r="BG216" s="72">
        <v>0</v>
      </c>
      <c r="BH216" s="72">
        <v>0</v>
      </c>
      <c r="BI216" s="72">
        <v>0</v>
      </c>
      <c r="BJ216" s="72">
        <v>1226485</v>
      </c>
      <c r="BK216" s="72">
        <v>0</v>
      </c>
      <c r="BL216" s="72">
        <v>0</v>
      </c>
      <c r="BM216" s="72">
        <v>0</v>
      </c>
      <c r="BN216" s="72">
        <v>0</v>
      </c>
      <c r="BO216" s="72">
        <v>0</v>
      </c>
      <c r="BP216" s="72">
        <v>0</v>
      </c>
      <c r="BQ216" s="72">
        <v>0</v>
      </c>
      <c r="BR216" s="72">
        <v>0</v>
      </c>
      <c r="BS216" s="72">
        <v>21056040</v>
      </c>
    </row>
    <row r="217" spans="1:71" x14ac:dyDescent="0.2">
      <c r="A217" t="s">
        <v>703</v>
      </c>
      <c r="B217" t="s">
        <v>1393</v>
      </c>
      <c r="C217" t="s">
        <v>92</v>
      </c>
      <c r="D217" s="72">
        <v>4000000</v>
      </c>
      <c r="E217" s="72">
        <v>100000</v>
      </c>
      <c r="F217" s="72">
        <v>2600000</v>
      </c>
      <c r="G217" s="72">
        <v>6276434</v>
      </c>
      <c r="H217" s="72">
        <v>29000</v>
      </c>
      <c r="I217" s="72">
        <v>0</v>
      </c>
      <c r="J217" s="72">
        <v>550000</v>
      </c>
      <c r="K217" s="72">
        <v>945000</v>
      </c>
      <c r="L217" s="72">
        <v>14500434</v>
      </c>
      <c r="M217" s="72">
        <v>0</v>
      </c>
      <c r="N217" s="72">
        <v>0</v>
      </c>
      <c r="O217" s="72">
        <v>10000</v>
      </c>
      <c r="P217" s="72">
        <v>10000</v>
      </c>
      <c r="Q217" s="72">
        <v>2000</v>
      </c>
      <c r="R217" s="72">
        <v>22000</v>
      </c>
      <c r="S217" s="72">
        <v>14522434</v>
      </c>
      <c r="T217" s="72">
        <v>8515107</v>
      </c>
      <c r="U217" s="72">
        <v>3358756</v>
      </c>
      <c r="V217" s="72">
        <v>1500000</v>
      </c>
      <c r="W217" s="72">
        <v>300000</v>
      </c>
      <c r="X217" s="72">
        <v>200000</v>
      </c>
      <c r="Y217" s="72">
        <v>0</v>
      </c>
      <c r="Z217" s="72">
        <v>55000</v>
      </c>
      <c r="AA217" s="72">
        <v>0</v>
      </c>
      <c r="AB217" s="72">
        <v>0</v>
      </c>
      <c r="AC217" s="72">
        <v>0</v>
      </c>
      <c r="AD217" s="72">
        <v>20000</v>
      </c>
      <c r="AE217" s="72">
        <v>0</v>
      </c>
      <c r="AF217" s="72">
        <v>32000</v>
      </c>
      <c r="AG217" s="72">
        <v>530000</v>
      </c>
      <c r="AH217" s="72">
        <v>14510863</v>
      </c>
      <c r="AI217" s="72">
        <v>10000</v>
      </c>
      <c r="AJ217" s="72">
        <v>10000</v>
      </c>
      <c r="AK217" s="72">
        <v>0</v>
      </c>
      <c r="AL217" s="72">
        <v>20000</v>
      </c>
      <c r="AM217" s="72">
        <v>14530863</v>
      </c>
      <c r="AN217" s="72">
        <v>-8429</v>
      </c>
      <c r="AO217" s="72">
        <v>2744198</v>
      </c>
      <c r="AP217" s="72">
        <v>2735769</v>
      </c>
      <c r="AQ217" s="72">
        <v>100000</v>
      </c>
      <c r="AR217" s="72">
        <v>0</v>
      </c>
      <c r="AS217" s="72">
        <v>0</v>
      </c>
      <c r="AT217" s="72">
        <v>0</v>
      </c>
      <c r="AU217" s="72">
        <v>0</v>
      </c>
      <c r="AW217" s="72">
        <v>0</v>
      </c>
      <c r="AX217" s="72">
        <v>0</v>
      </c>
      <c r="AY217" s="72">
        <v>0</v>
      </c>
      <c r="AZ217" s="72">
        <v>0</v>
      </c>
      <c r="BA217" s="72">
        <v>2635769</v>
      </c>
      <c r="BB217" s="72">
        <v>0</v>
      </c>
      <c r="BC217" s="72">
        <v>0</v>
      </c>
      <c r="BD217" s="72">
        <v>0</v>
      </c>
      <c r="BE217" s="72">
        <v>2635769</v>
      </c>
      <c r="BF217" s="72">
        <v>0</v>
      </c>
      <c r="BG217" s="72">
        <v>0</v>
      </c>
      <c r="BH217" s="72">
        <v>0</v>
      </c>
      <c r="BI217" s="72">
        <v>0</v>
      </c>
      <c r="BJ217" s="72">
        <v>2635769</v>
      </c>
      <c r="BK217" s="72">
        <v>120</v>
      </c>
      <c r="BL217" s="72">
        <v>1565</v>
      </c>
      <c r="BS217" s="72">
        <v>14530863</v>
      </c>
    </row>
    <row r="218" spans="1:71" x14ac:dyDescent="0.2">
      <c r="A218" t="s">
        <v>716</v>
      </c>
      <c r="B218" t="s">
        <v>1406</v>
      </c>
      <c r="C218" t="s">
        <v>47</v>
      </c>
      <c r="D218" s="72">
        <v>2425000</v>
      </c>
      <c r="E218" s="72">
        <v>55750</v>
      </c>
      <c r="F218" s="72">
        <v>1800000</v>
      </c>
      <c r="G218" s="72">
        <v>6411576</v>
      </c>
      <c r="H218" s="72">
        <v>38424</v>
      </c>
      <c r="I218" s="72">
        <v>0</v>
      </c>
      <c r="J218" s="72">
        <v>341000</v>
      </c>
      <c r="K218" s="72">
        <v>360000</v>
      </c>
      <c r="L218" s="72">
        <v>11431750</v>
      </c>
      <c r="M218" s="72">
        <v>0</v>
      </c>
      <c r="N218" s="72">
        <v>0</v>
      </c>
      <c r="O218" s="72">
        <v>0</v>
      </c>
      <c r="P218" s="72">
        <v>0</v>
      </c>
      <c r="Q218" s="72">
        <v>52000</v>
      </c>
      <c r="R218" s="72">
        <v>52000</v>
      </c>
      <c r="S218" s="72">
        <v>11483750</v>
      </c>
      <c r="T218" s="72">
        <v>6474000</v>
      </c>
      <c r="U218" s="72">
        <v>2350000</v>
      </c>
      <c r="V218" s="72">
        <v>1075000</v>
      </c>
      <c r="W218" s="72">
        <v>300000</v>
      </c>
      <c r="X218" s="72">
        <v>50000</v>
      </c>
      <c r="Y218" s="72">
        <v>0</v>
      </c>
      <c r="Z218" s="72">
        <v>0</v>
      </c>
      <c r="AA218" s="72">
        <v>0</v>
      </c>
      <c r="AB218" s="72">
        <v>0</v>
      </c>
      <c r="AC218" s="72">
        <v>0</v>
      </c>
      <c r="AD218" s="72">
        <v>0</v>
      </c>
      <c r="AE218" s="72">
        <v>0</v>
      </c>
      <c r="AF218" s="72">
        <v>0</v>
      </c>
      <c r="AG218" s="72">
        <v>280000</v>
      </c>
      <c r="AH218" s="72">
        <v>10529000</v>
      </c>
      <c r="AI218" s="72">
        <v>400000</v>
      </c>
      <c r="AJ218" s="72">
        <v>0</v>
      </c>
      <c r="AK218" s="72">
        <v>0</v>
      </c>
      <c r="AL218" s="72">
        <v>400000</v>
      </c>
      <c r="AM218" s="72">
        <v>10929000</v>
      </c>
      <c r="AN218" s="72">
        <v>554750</v>
      </c>
      <c r="AO218" s="72">
        <v>3582527</v>
      </c>
      <c r="AP218" s="72">
        <v>4137277</v>
      </c>
      <c r="AQ218" s="72">
        <v>450000</v>
      </c>
      <c r="AR218" s="72">
        <v>0</v>
      </c>
      <c r="AS218" s="72">
        <v>0</v>
      </c>
      <c r="AT218" s="72">
        <v>0</v>
      </c>
      <c r="AU218" s="72">
        <v>0</v>
      </c>
      <c r="AV218" s="72">
        <v>0</v>
      </c>
      <c r="AW218" s="72">
        <v>0</v>
      </c>
      <c r="AX218" s="72">
        <v>0</v>
      </c>
      <c r="AY218" s="72">
        <v>0</v>
      </c>
      <c r="AZ218" s="72">
        <v>0</v>
      </c>
      <c r="BA218" s="72">
        <v>3687277</v>
      </c>
      <c r="BB218" s="72">
        <v>0</v>
      </c>
      <c r="BC218" s="72">
        <v>0</v>
      </c>
      <c r="BD218" s="72">
        <v>0</v>
      </c>
      <c r="BE218" s="72">
        <v>3687277</v>
      </c>
      <c r="BF218" s="72">
        <v>0</v>
      </c>
      <c r="BG218" s="72">
        <v>0</v>
      </c>
      <c r="BH218" s="72">
        <v>0</v>
      </c>
      <c r="BI218" s="72">
        <v>0</v>
      </c>
      <c r="BJ218" s="72">
        <v>3687277</v>
      </c>
      <c r="BK218" s="72">
        <v>123</v>
      </c>
      <c r="BL218" s="72">
        <v>1284</v>
      </c>
      <c r="BM218" s="72">
        <v>0</v>
      </c>
      <c r="BN218" s="72">
        <v>0</v>
      </c>
      <c r="BO218" s="72">
        <v>0</v>
      </c>
      <c r="BP218" s="72">
        <v>0</v>
      </c>
      <c r="BQ218" s="72">
        <v>0</v>
      </c>
      <c r="BR218" s="72">
        <v>0</v>
      </c>
      <c r="BS218" s="72">
        <v>11483750</v>
      </c>
    </row>
    <row r="219" spans="1:71" x14ac:dyDescent="0.2">
      <c r="A219" t="s">
        <v>730</v>
      </c>
      <c r="B219" t="s">
        <v>1420</v>
      </c>
      <c r="C219" t="s">
        <v>83</v>
      </c>
      <c r="D219" s="72">
        <v>4574307</v>
      </c>
      <c r="E219" s="72">
        <v>291301</v>
      </c>
      <c r="F219" s="72">
        <v>0</v>
      </c>
      <c r="G219" s="72">
        <v>8827395</v>
      </c>
      <c r="H219" s="72">
        <v>95679</v>
      </c>
      <c r="I219" s="72">
        <v>0</v>
      </c>
      <c r="J219" s="72">
        <v>707742</v>
      </c>
      <c r="K219" s="72">
        <v>976796</v>
      </c>
      <c r="L219" s="72">
        <v>15473220</v>
      </c>
      <c r="M219" s="72">
        <v>0</v>
      </c>
      <c r="N219" s="72">
        <v>0</v>
      </c>
      <c r="O219" s="72">
        <v>0</v>
      </c>
      <c r="P219" s="72">
        <v>0</v>
      </c>
      <c r="Q219" s="72">
        <v>0</v>
      </c>
      <c r="R219" s="72">
        <v>0</v>
      </c>
      <c r="S219" s="72">
        <v>15473220</v>
      </c>
      <c r="T219" s="72">
        <v>9100907</v>
      </c>
      <c r="U219" s="72">
        <v>3355416</v>
      </c>
      <c r="V219" s="72">
        <v>2764551</v>
      </c>
      <c r="W219" s="72">
        <v>415894</v>
      </c>
      <c r="X219" s="72">
        <v>105216</v>
      </c>
      <c r="Y219" s="72">
        <v>0</v>
      </c>
      <c r="Z219" s="72">
        <v>0</v>
      </c>
      <c r="AA219" s="72">
        <v>0</v>
      </c>
      <c r="AB219" s="72">
        <v>0</v>
      </c>
      <c r="AC219" s="72">
        <v>0</v>
      </c>
      <c r="AD219" s="72">
        <v>0</v>
      </c>
      <c r="AE219" s="72">
        <v>0</v>
      </c>
      <c r="AF219" s="72">
        <v>0</v>
      </c>
      <c r="AG219" s="72">
        <v>183471</v>
      </c>
      <c r="AH219" s="72">
        <v>15925455</v>
      </c>
      <c r="AI219" s="72">
        <v>58615</v>
      </c>
      <c r="AJ219" s="72">
        <v>0</v>
      </c>
      <c r="AK219" s="72">
        <v>0</v>
      </c>
      <c r="AL219" s="72">
        <v>58615</v>
      </c>
      <c r="AM219" s="72">
        <v>15984070</v>
      </c>
      <c r="AN219" s="72">
        <v>-510850</v>
      </c>
      <c r="AO219" s="72">
        <v>1964050</v>
      </c>
      <c r="AP219" s="72">
        <v>1453200</v>
      </c>
      <c r="AQ219" s="72">
        <v>50000</v>
      </c>
      <c r="AR219" s="72">
        <v>0</v>
      </c>
      <c r="AS219" s="72">
        <v>0</v>
      </c>
      <c r="AT219" s="72">
        <v>0</v>
      </c>
      <c r="AU219" s="72">
        <v>0</v>
      </c>
      <c r="AV219" s="72">
        <v>0</v>
      </c>
      <c r="AW219" s="72">
        <v>0</v>
      </c>
      <c r="AX219" s="72">
        <v>0</v>
      </c>
      <c r="AY219" s="72">
        <v>0</v>
      </c>
      <c r="AZ219" s="72">
        <v>0</v>
      </c>
      <c r="BA219" s="72">
        <v>1403200</v>
      </c>
      <c r="BB219" s="72">
        <v>0</v>
      </c>
      <c r="BC219" s="72">
        <v>0</v>
      </c>
      <c r="BD219" s="72">
        <v>0</v>
      </c>
      <c r="BE219" s="72">
        <v>1403200</v>
      </c>
      <c r="BF219" s="72">
        <v>0</v>
      </c>
      <c r="BG219" s="72">
        <v>0</v>
      </c>
      <c r="BH219" s="72">
        <v>0</v>
      </c>
      <c r="BI219" s="72">
        <v>0</v>
      </c>
      <c r="BJ219" s="72">
        <v>1403200</v>
      </c>
      <c r="BM219" s="72">
        <v>0</v>
      </c>
      <c r="BN219" s="72">
        <v>0</v>
      </c>
      <c r="BO219" s="72">
        <v>0</v>
      </c>
      <c r="BP219" s="72">
        <v>0</v>
      </c>
      <c r="BQ219" s="72">
        <v>0</v>
      </c>
      <c r="BR219" s="72">
        <v>0</v>
      </c>
      <c r="BS219" s="72">
        <v>15984070</v>
      </c>
    </row>
    <row r="220" spans="1:71" x14ac:dyDescent="0.2">
      <c r="A220" t="s">
        <v>737</v>
      </c>
      <c r="B220" t="s">
        <v>1426</v>
      </c>
      <c r="C220" t="s">
        <v>61</v>
      </c>
      <c r="D220" s="72">
        <v>4433100</v>
      </c>
      <c r="E220" s="72">
        <v>0</v>
      </c>
      <c r="F220" s="72">
        <v>1776879</v>
      </c>
      <c r="G220" s="72">
        <v>5222660</v>
      </c>
      <c r="H220" s="72">
        <v>14835</v>
      </c>
      <c r="I220" s="72">
        <v>0</v>
      </c>
      <c r="J220" s="72">
        <v>683608</v>
      </c>
      <c r="K220" s="72">
        <v>450000</v>
      </c>
      <c r="L220" s="72">
        <v>12581082</v>
      </c>
      <c r="M220" s="72">
        <v>0</v>
      </c>
      <c r="N220" s="72">
        <v>0</v>
      </c>
      <c r="O220" s="72">
        <v>0</v>
      </c>
      <c r="P220" s="72">
        <v>22000</v>
      </c>
      <c r="Q220" s="72">
        <v>20000</v>
      </c>
      <c r="R220" s="72">
        <v>42000</v>
      </c>
      <c r="S220" s="72">
        <v>12623082</v>
      </c>
      <c r="T220" s="72">
        <v>7000000</v>
      </c>
      <c r="U220" s="72">
        <v>2751500</v>
      </c>
      <c r="V220" s="72">
        <v>2700000</v>
      </c>
      <c r="W220" s="72">
        <v>500000</v>
      </c>
      <c r="X220" s="72">
        <v>100000</v>
      </c>
      <c r="Y220" s="72">
        <v>0</v>
      </c>
      <c r="Z220" s="72">
        <v>0</v>
      </c>
      <c r="AA220" s="72">
        <v>0</v>
      </c>
      <c r="AB220" s="72">
        <v>0</v>
      </c>
      <c r="AC220" s="72">
        <v>0</v>
      </c>
      <c r="AD220" s="72">
        <v>0</v>
      </c>
      <c r="AE220" s="72">
        <v>0</v>
      </c>
      <c r="AF220" s="72">
        <v>0</v>
      </c>
      <c r="AG220" s="72">
        <v>235000</v>
      </c>
      <c r="AH220" s="72">
        <v>13286500</v>
      </c>
      <c r="AI220" s="72">
        <v>100000</v>
      </c>
      <c r="AJ220" s="72">
        <v>25000</v>
      </c>
      <c r="AK220" s="72">
        <v>0</v>
      </c>
      <c r="AL220" s="72">
        <v>125000</v>
      </c>
      <c r="AM220" s="72">
        <v>13411500</v>
      </c>
      <c r="AN220" s="72">
        <v>-788418</v>
      </c>
      <c r="AO220" s="72">
        <v>3537901</v>
      </c>
      <c r="AP220" s="72">
        <v>2749483</v>
      </c>
      <c r="AQ220" s="72">
        <v>100000</v>
      </c>
      <c r="AR220" s="72">
        <v>0</v>
      </c>
      <c r="AS220" s="72">
        <v>0</v>
      </c>
      <c r="AT220" s="72">
        <v>0</v>
      </c>
      <c r="AU220" s="72">
        <v>0</v>
      </c>
      <c r="AV220" s="72">
        <v>0</v>
      </c>
      <c r="AW220" s="72">
        <v>0</v>
      </c>
      <c r="AX220" s="72">
        <v>0</v>
      </c>
      <c r="AY220" s="72">
        <v>0</v>
      </c>
      <c r="AZ220" s="72">
        <v>0</v>
      </c>
      <c r="BA220" s="72">
        <v>2649483</v>
      </c>
      <c r="BB220" s="72">
        <v>0</v>
      </c>
      <c r="BC220" s="72">
        <v>0</v>
      </c>
      <c r="BD220" s="72">
        <v>0</v>
      </c>
      <c r="BE220" s="72">
        <v>2649483</v>
      </c>
      <c r="BF220" s="72">
        <v>0</v>
      </c>
      <c r="BG220" s="72">
        <v>0</v>
      </c>
      <c r="BH220" s="72">
        <v>0</v>
      </c>
      <c r="BI220" s="72">
        <v>0</v>
      </c>
      <c r="BJ220" s="72">
        <v>2649483</v>
      </c>
      <c r="BK220" s="72">
        <v>80</v>
      </c>
      <c r="BL220" s="72">
        <v>1202</v>
      </c>
      <c r="BM220" s="72">
        <v>0</v>
      </c>
      <c r="BN220" s="72">
        <v>0</v>
      </c>
      <c r="BO220" s="72">
        <v>0</v>
      </c>
      <c r="BP220" s="72">
        <v>0</v>
      </c>
      <c r="BQ220" s="72">
        <v>0</v>
      </c>
      <c r="BR220" s="72">
        <v>0</v>
      </c>
      <c r="BS220" s="72">
        <v>13411500</v>
      </c>
    </row>
    <row r="221" spans="1:71" x14ac:dyDescent="0.2">
      <c r="A221" t="s">
        <v>761</v>
      </c>
      <c r="B221" t="s">
        <v>1449</v>
      </c>
      <c r="C221" t="s">
        <v>26</v>
      </c>
      <c r="D221" s="72">
        <v>1278389</v>
      </c>
      <c r="E221" s="72">
        <v>79168</v>
      </c>
      <c r="F221" s="72">
        <v>0</v>
      </c>
      <c r="G221" s="72">
        <v>5622428</v>
      </c>
      <c r="H221" s="72">
        <v>19980</v>
      </c>
      <c r="I221" s="72">
        <v>0</v>
      </c>
      <c r="J221" s="72">
        <v>265397</v>
      </c>
      <c r="K221" s="72">
        <v>300000</v>
      </c>
      <c r="L221" s="72">
        <v>7565362</v>
      </c>
      <c r="M221" s="72">
        <v>0</v>
      </c>
      <c r="N221" s="72">
        <v>0</v>
      </c>
      <c r="O221" s="72">
        <v>0</v>
      </c>
      <c r="P221" s="72">
        <v>120435</v>
      </c>
      <c r="Q221" s="72">
        <v>52080</v>
      </c>
      <c r="R221" s="72">
        <v>172515</v>
      </c>
      <c r="S221" s="72">
        <v>7737877</v>
      </c>
      <c r="T221" s="72">
        <v>3716242</v>
      </c>
      <c r="U221" s="72">
        <v>1522597</v>
      </c>
      <c r="V221" s="72">
        <v>1714640</v>
      </c>
      <c r="W221" s="72">
        <v>147012</v>
      </c>
      <c r="X221" s="72">
        <v>259221</v>
      </c>
      <c r="Y221" s="72">
        <v>0</v>
      </c>
      <c r="Z221" s="72">
        <v>0</v>
      </c>
      <c r="AA221" s="72">
        <v>0</v>
      </c>
      <c r="AB221" s="72">
        <v>0</v>
      </c>
      <c r="AC221" s="72">
        <v>0</v>
      </c>
      <c r="AD221" s="72">
        <v>0</v>
      </c>
      <c r="AE221" s="72">
        <v>0</v>
      </c>
      <c r="AF221" s="72">
        <v>0</v>
      </c>
      <c r="AG221" s="72">
        <v>104716</v>
      </c>
      <c r="AH221" s="72">
        <v>7464428</v>
      </c>
      <c r="AI221" s="72">
        <v>0</v>
      </c>
      <c r="AJ221" s="72">
        <v>50000</v>
      </c>
      <c r="AK221" s="72">
        <v>0</v>
      </c>
      <c r="AL221" s="72">
        <v>50000</v>
      </c>
      <c r="AM221" s="72">
        <v>7514428</v>
      </c>
      <c r="AN221" s="72">
        <v>223449</v>
      </c>
      <c r="AO221" s="72">
        <v>2869784</v>
      </c>
      <c r="AP221" s="72">
        <v>3093233</v>
      </c>
      <c r="AQ221" s="72">
        <v>40000</v>
      </c>
      <c r="AR221" s="72">
        <v>0</v>
      </c>
      <c r="AS221" s="72">
        <v>0</v>
      </c>
      <c r="AT221" s="72">
        <v>0</v>
      </c>
      <c r="AU221" s="72">
        <v>0</v>
      </c>
      <c r="AV221" s="72">
        <v>0</v>
      </c>
      <c r="AW221" s="72">
        <v>0</v>
      </c>
      <c r="AX221" s="72">
        <v>0</v>
      </c>
      <c r="AY221" s="72">
        <v>0</v>
      </c>
      <c r="AZ221" s="72">
        <v>0</v>
      </c>
      <c r="BA221" s="72">
        <v>3053233</v>
      </c>
      <c r="BB221" s="72">
        <v>0</v>
      </c>
      <c r="BC221" s="72">
        <v>0</v>
      </c>
      <c r="BD221" s="72">
        <v>0</v>
      </c>
      <c r="BE221" s="72">
        <v>3053233</v>
      </c>
      <c r="BF221" s="72">
        <v>0</v>
      </c>
      <c r="BG221" s="72">
        <v>0</v>
      </c>
      <c r="BH221" s="72">
        <v>0</v>
      </c>
      <c r="BI221" s="72">
        <v>0</v>
      </c>
      <c r="BJ221" s="72">
        <v>3053233</v>
      </c>
      <c r="BM221" s="72">
        <v>0</v>
      </c>
      <c r="BN221" s="72">
        <v>0</v>
      </c>
      <c r="BO221" s="72">
        <v>0</v>
      </c>
      <c r="BP221" s="72">
        <v>0</v>
      </c>
      <c r="BQ221" s="72">
        <v>0</v>
      </c>
      <c r="BR221" s="72">
        <v>0</v>
      </c>
      <c r="BS221" s="72">
        <v>7737877</v>
      </c>
    </row>
    <row r="222" spans="1:71" x14ac:dyDescent="0.2">
      <c r="A222" t="s">
        <v>771</v>
      </c>
      <c r="B222" t="s">
        <v>1459</v>
      </c>
      <c r="C222" t="s">
        <v>50</v>
      </c>
      <c r="D222" s="72">
        <v>3945000</v>
      </c>
      <c r="E222" s="72">
        <v>78170</v>
      </c>
      <c r="F222" s="72">
        <v>1418922</v>
      </c>
      <c r="G222" s="72">
        <v>1001359</v>
      </c>
      <c r="H222" s="72">
        <v>15000</v>
      </c>
      <c r="I222" s="72">
        <v>0</v>
      </c>
      <c r="J222" s="72">
        <v>704316</v>
      </c>
      <c r="K222" s="72">
        <v>887982</v>
      </c>
      <c r="L222" s="72">
        <v>8050749</v>
      </c>
      <c r="M222" s="72">
        <v>0</v>
      </c>
      <c r="N222" s="72">
        <v>0</v>
      </c>
      <c r="O222" s="72">
        <v>0</v>
      </c>
      <c r="P222" s="72">
        <v>30000</v>
      </c>
      <c r="Q222" s="72">
        <v>51000</v>
      </c>
      <c r="R222" s="72">
        <v>81000</v>
      </c>
      <c r="S222" s="72">
        <v>8131749</v>
      </c>
      <c r="T222" s="72">
        <v>4460612</v>
      </c>
      <c r="U222" s="72">
        <v>1644158</v>
      </c>
      <c r="V222" s="72">
        <v>1036607</v>
      </c>
      <c r="W222" s="72">
        <v>155691</v>
      </c>
      <c r="X222" s="72">
        <v>15634</v>
      </c>
      <c r="Y222" s="72">
        <v>0</v>
      </c>
      <c r="Z222" s="72">
        <v>0</v>
      </c>
      <c r="AA222" s="72">
        <v>0</v>
      </c>
      <c r="AB222" s="72">
        <v>0</v>
      </c>
      <c r="AC222" s="72">
        <v>0</v>
      </c>
      <c r="AD222" s="72">
        <v>75900</v>
      </c>
      <c r="AE222" s="72">
        <v>0</v>
      </c>
      <c r="AF222" s="72">
        <v>3025</v>
      </c>
      <c r="AG222" s="72">
        <v>97796</v>
      </c>
      <c r="AH222" s="72">
        <v>7489423</v>
      </c>
      <c r="AI222" s="72">
        <v>10000</v>
      </c>
      <c r="AJ222" s="72">
        <v>30000</v>
      </c>
      <c r="AK222" s="72">
        <v>0</v>
      </c>
      <c r="AL222" s="72">
        <v>40000</v>
      </c>
      <c r="AM222" s="72">
        <v>7529423</v>
      </c>
      <c r="AN222" s="72">
        <v>602326</v>
      </c>
      <c r="AO222" s="72">
        <v>1994157</v>
      </c>
      <c r="AP222" s="72">
        <v>2596483</v>
      </c>
      <c r="AQ222" s="72">
        <v>15000</v>
      </c>
      <c r="AR222" s="72">
        <v>0</v>
      </c>
      <c r="AS222" s="72">
        <v>0</v>
      </c>
      <c r="AT222" s="72">
        <v>354081</v>
      </c>
      <c r="AU222" s="72">
        <v>0</v>
      </c>
      <c r="AV222" s="72">
        <v>0</v>
      </c>
      <c r="AW222" s="72">
        <v>0</v>
      </c>
      <c r="AX222" s="72">
        <v>0</v>
      </c>
      <c r="AY222" s="72">
        <v>7133</v>
      </c>
      <c r="AZ222" s="72">
        <v>361214</v>
      </c>
      <c r="BA222" s="72">
        <v>2220269</v>
      </c>
      <c r="BB222" s="72">
        <v>0</v>
      </c>
      <c r="BC222" s="72">
        <v>0</v>
      </c>
      <c r="BD222" s="72">
        <v>0</v>
      </c>
      <c r="BE222" s="72">
        <v>2220269</v>
      </c>
      <c r="BF222" s="72">
        <v>0</v>
      </c>
      <c r="BG222" s="72">
        <v>0</v>
      </c>
      <c r="BH222" s="72">
        <v>0</v>
      </c>
      <c r="BI222" s="72">
        <v>0</v>
      </c>
      <c r="BJ222" s="72">
        <v>2220269</v>
      </c>
      <c r="BK222" s="72">
        <v>0</v>
      </c>
      <c r="BL222" s="72">
        <v>0</v>
      </c>
      <c r="BM222" s="72">
        <v>0</v>
      </c>
      <c r="BN222" s="72">
        <v>0</v>
      </c>
      <c r="BO222" s="72">
        <v>0</v>
      </c>
      <c r="BP222" s="72">
        <v>0</v>
      </c>
      <c r="BQ222" s="72">
        <v>0</v>
      </c>
      <c r="BR222" s="72">
        <v>0</v>
      </c>
      <c r="BS222" s="72">
        <v>8131749</v>
      </c>
    </row>
    <row r="223" spans="1:71" x14ac:dyDescent="0.2">
      <c r="A223" t="s">
        <v>119</v>
      </c>
      <c r="B223" t="s">
        <v>840</v>
      </c>
      <c r="C223" t="s">
        <v>91</v>
      </c>
      <c r="D223" s="72">
        <v>2241716</v>
      </c>
      <c r="E223" s="72">
        <v>0</v>
      </c>
      <c r="F223" s="72">
        <v>0</v>
      </c>
      <c r="G223" s="72">
        <v>5215318</v>
      </c>
      <c r="H223" s="72">
        <v>861</v>
      </c>
      <c r="I223" s="72">
        <v>0</v>
      </c>
      <c r="J223" s="72">
        <v>369908</v>
      </c>
      <c r="K223" s="72">
        <v>743364</v>
      </c>
      <c r="L223" s="72">
        <v>8571167</v>
      </c>
      <c r="M223" s="72">
        <v>0</v>
      </c>
      <c r="N223" s="72">
        <v>0</v>
      </c>
      <c r="O223" s="72">
        <v>0</v>
      </c>
      <c r="P223" s="72">
        <v>0</v>
      </c>
      <c r="Q223" s="72">
        <v>42000</v>
      </c>
      <c r="R223" s="72">
        <v>42000</v>
      </c>
      <c r="S223" s="72">
        <v>8613167</v>
      </c>
      <c r="T223" s="72">
        <v>4628363</v>
      </c>
      <c r="U223" s="72">
        <v>1845596</v>
      </c>
      <c r="V223" s="72">
        <v>1480341</v>
      </c>
      <c r="W223" s="72">
        <v>267917</v>
      </c>
      <c r="X223" s="72">
        <v>55906</v>
      </c>
      <c r="Y223" s="72">
        <v>0</v>
      </c>
      <c r="Z223" s="72">
        <v>0</v>
      </c>
      <c r="AA223" s="72">
        <v>0</v>
      </c>
      <c r="AB223" s="72">
        <v>0</v>
      </c>
      <c r="AC223" s="72">
        <v>0</v>
      </c>
      <c r="AD223" s="72">
        <v>0</v>
      </c>
      <c r="AE223" s="72">
        <v>0</v>
      </c>
      <c r="AF223" s="72">
        <v>0</v>
      </c>
      <c r="AG223" s="72">
        <v>198629</v>
      </c>
      <c r="AH223" s="72">
        <v>8476752</v>
      </c>
      <c r="AI223" s="72">
        <v>0</v>
      </c>
      <c r="AJ223" s="72">
        <v>0</v>
      </c>
      <c r="AK223" s="72">
        <v>0</v>
      </c>
      <c r="AL223" s="72">
        <v>0</v>
      </c>
      <c r="AM223" s="72">
        <v>8476752</v>
      </c>
      <c r="AN223" s="72">
        <v>136415</v>
      </c>
      <c r="AO223" s="72">
        <v>3852042</v>
      </c>
      <c r="AP223" s="72">
        <v>3988457</v>
      </c>
      <c r="AQ223" s="72">
        <v>50000</v>
      </c>
      <c r="AR223" s="72">
        <v>0</v>
      </c>
      <c r="AS223" s="72">
        <v>0</v>
      </c>
      <c r="AT223" s="72">
        <v>0</v>
      </c>
      <c r="AU223" s="72">
        <v>0</v>
      </c>
      <c r="AV223" s="72">
        <v>0</v>
      </c>
      <c r="AW223" s="72">
        <v>0</v>
      </c>
      <c r="AX223" s="72">
        <v>0</v>
      </c>
      <c r="AY223" s="72">
        <v>0</v>
      </c>
      <c r="AZ223" s="72">
        <v>0</v>
      </c>
      <c r="BA223" s="72">
        <v>3938457</v>
      </c>
      <c r="BB223" s="72">
        <v>0</v>
      </c>
      <c r="BC223" s="72">
        <v>0</v>
      </c>
      <c r="BD223" s="72">
        <v>0</v>
      </c>
      <c r="BE223" s="72">
        <v>3938457</v>
      </c>
      <c r="BF223" s="72">
        <v>0</v>
      </c>
      <c r="BG223" s="72">
        <v>0</v>
      </c>
      <c r="BH223" s="72">
        <v>0</v>
      </c>
      <c r="BI223" s="72">
        <v>0</v>
      </c>
      <c r="BJ223" s="72">
        <v>3938457</v>
      </c>
      <c r="BS223" s="72">
        <v>8613167</v>
      </c>
    </row>
    <row r="224" spans="1:71" x14ac:dyDescent="0.2">
      <c r="A224" t="s">
        <v>146</v>
      </c>
      <c r="B224" t="s">
        <v>867</v>
      </c>
      <c r="C224" t="s">
        <v>91</v>
      </c>
      <c r="D224" s="72">
        <v>5611407</v>
      </c>
      <c r="E224" s="72">
        <v>740482</v>
      </c>
      <c r="F224" s="72">
        <v>0</v>
      </c>
      <c r="G224" s="72">
        <v>4462878</v>
      </c>
      <c r="H224" s="72">
        <v>7725</v>
      </c>
      <c r="I224" s="72">
        <v>0</v>
      </c>
      <c r="J224" s="72">
        <v>2511276</v>
      </c>
      <c r="K224" s="72">
        <v>1403613</v>
      </c>
      <c r="L224" s="72">
        <v>14737381</v>
      </c>
      <c r="M224" s="72">
        <v>0</v>
      </c>
      <c r="N224" s="72">
        <v>0</v>
      </c>
      <c r="O224" s="72">
        <v>0</v>
      </c>
      <c r="P224" s="72">
        <v>20000</v>
      </c>
      <c r="Q224" s="72">
        <v>34336</v>
      </c>
      <c r="R224" s="72">
        <v>54336</v>
      </c>
      <c r="S224" s="72">
        <v>14791717</v>
      </c>
      <c r="T224" s="72">
        <v>8439786</v>
      </c>
      <c r="U224" s="72">
        <v>2810944</v>
      </c>
      <c r="V224" s="72">
        <v>2981984</v>
      </c>
      <c r="W224" s="72">
        <v>493691</v>
      </c>
      <c r="X224" s="72">
        <v>50000</v>
      </c>
      <c r="Y224" s="72">
        <v>0</v>
      </c>
      <c r="Z224" s="72">
        <v>0</v>
      </c>
      <c r="AA224" s="72">
        <v>0</v>
      </c>
      <c r="AB224" s="72">
        <v>0</v>
      </c>
      <c r="AC224" s="72">
        <v>0</v>
      </c>
      <c r="AD224" s="72">
        <v>40000</v>
      </c>
      <c r="AE224" s="72">
        <v>0</v>
      </c>
      <c r="AF224" s="72">
        <v>9158</v>
      </c>
      <c r="AG224" s="72">
        <v>279316</v>
      </c>
      <c r="AH224" s="72">
        <v>15104879</v>
      </c>
      <c r="AI224" s="72">
        <v>50000</v>
      </c>
      <c r="AJ224" s="72">
        <v>20000</v>
      </c>
      <c r="AK224" s="72">
        <v>0</v>
      </c>
      <c r="AL224" s="72">
        <v>70000</v>
      </c>
      <c r="AM224" s="72">
        <v>15174879</v>
      </c>
      <c r="AN224" s="72">
        <v>-383162</v>
      </c>
      <c r="AO224" s="72">
        <v>10144323</v>
      </c>
      <c r="AP224" s="72">
        <v>9761161</v>
      </c>
      <c r="AQ224" s="72">
        <v>125000</v>
      </c>
      <c r="AR224" s="72">
        <v>0</v>
      </c>
      <c r="AS224" s="72">
        <v>0</v>
      </c>
      <c r="AT224" s="72">
        <v>0</v>
      </c>
      <c r="AU224" s="72">
        <v>0</v>
      </c>
      <c r="AV224" s="72">
        <v>0</v>
      </c>
      <c r="AW224" s="72">
        <v>0</v>
      </c>
      <c r="AX224" s="72">
        <v>0</v>
      </c>
      <c r="AY224" s="72">
        <v>0</v>
      </c>
      <c r="AZ224" s="72">
        <v>0</v>
      </c>
      <c r="BA224" s="72">
        <v>9636161</v>
      </c>
      <c r="BB224" s="72">
        <v>0</v>
      </c>
      <c r="BC224" s="72">
        <v>0</v>
      </c>
      <c r="BD224" s="72">
        <v>0</v>
      </c>
      <c r="BE224" s="72">
        <v>9636161</v>
      </c>
      <c r="BF224" s="72">
        <v>0</v>
      </c>
      <c r="BG224" s="72">
        <v>0</v>
      </c>
      <c r="BH224" s="72">
        <v>0</v>
      </c>
      <c r="BI224" s="72">
        <v>0</v>
      </c>
      <c r="BJ224" s="72">
        <v>9636161</v>
      </c>
      <c r="BS224" s="72">
        <v>15174879</v>
      </c>
    </row>
    <row r="225" spans="1:71" x14ac:dyDescent="0.2">
      <c r="A225" t="s">
        <v>292</v>
      </c>
      <c r="B225" t="s">
        <v>1006</v>
      </c>
      <c r="C225" t="s">
        <v>91</v>
      </c>
      <c r="D225" s="72">
        <v>8564000</v>
      </c>
      <c r="E225" s="72">
        <v>250000</v>
      </c>
      <c r="F225" s="72">
        <v>0</v>
      </c>
      <c r="G225" s="72">
        <v>7566200</v>
      </c>
      <c r="H225" s="72">
        <v>0</v>
      </c>
      <c r="I225" s="72">
        <v>0</v>
      </c>
      <c r="J225" s="72">
        <v>1154725</v>
      </c>
      <c r="K225" s="72">
        <v>2250000</v>
      </c>
      <c r="L225" s="72">
        <v>19784925</v>
      </c>
      <c r="M225" s="72">
        <v>0</v>
      </c>
      <c r="N225" s="72">
        <v>0</v>
      </c>
      <c r="O225" s="72">
        <v>0</v>
      </c>
      <c r="P225" s="72">
        <v>25000</v>
      </c>
      <c r="Q225" s="72">
        <v>250</v>
      </c>
      <c r="R225" s="72">
        <v>25250</v>
      </c>
      <c r="S225" s="72">
        <v>19810175</v>
      </c>
      <c r="T225" s="72">
        <v>10550000</v>
      </c>
      <c r="U225" s="72">
        <v>3846765</v>
      </c>
      <c r="V225" s="72">
        <v>4325000</v>
      </c>
      <c r="W225" s="72">
        <v>650000</v>
      </c>
      <c r="X225" s="72">
        <v>175000</v>
      </c>
      <c r="Y225" s="72">
        <v>0</v>
      </c>
      <c r="Z225" s="72">
        <v>0</v>
      </c>
      <c r="AA225" s="72">
        <v>0</v>
      </c>
      <c r="AB225" s="72">
        <v>0</v>
      </c>
      <c r="AC225" s="72">
        <v>0</v>
      </c>
      <c r="AD225" s="72">
        <v>0</v>
      </c>
      <c r="AE225" s="72">
        <v>0</v>
      </c>
      <c r="AF225" s="72">
        <v>0</v>
      </c>
      <c r="AG225" s="72">
        <v>290000</v>
      </c>
      <c r="AH225" s="72">
        <v>19836765</v>
      </c>
      <c r="AI225" s="72">
        <v>0</v>
      </c>
      <c r="AJ225" s="72">
        <v>25000</v>
      </c>
      <c r="AK225" s="72">
        <v>0</v>
      </c>
      <c r="AL225" s="72">
        <v>25000</v>
      </c>
      <c r="AM225" s="72">
        <v>19861765</v>
      </c>
      <c r="AN225" s="72">
        <v>-51590</v>
      </c>
      <c r="AO225" s="72">
        <v>1957741</v>
      </c>
      <c r="AP225" s="72">
        <v>1906151</v>
      </c>
      <c r="AQ225" s="72">
        <v>200000</v>
      </c>
      <c r="AR225" s="72">
        <v>0</v>
      </c>
      <c r="AS225" s="72">
        <v>0</v>
      </c>
      <c r="AT225" s="72">
        <v>0</v>
      </c>
      <c r="AU225" s="72">
        <v>0</v>
      </c>
      <c r="AV225" s="72">
        <v>0</v>
      </c>
      <c r="AW225" s="72">
        <v>0</v>
      </c>
      <c r="AX225" s="72">
        <v>0</v>
      </c>
      <c r="AY225" s="72">
        <v>0</v>
      </c>
      <c r="AZ225" s="72">
        <v>0</v>
      </c>
      <c r="BA225" s="72">
        <v>1706151</v>
      </c>
      <c r="BB225" s="72">
        <v>0</v>
      </c>
      <c r="BC225" s="72">
        <v>0</v>
      </c>
      <c r="BD225" s="72">
        <v>0</v>
      </c>
      <c r="BE225" s="72">
        <v>1706151</v>
      </c>
      <c r="BF225" s="72">
        <v>0</v>
      </c>
      <c r="BG225" s="72">
        <v>0</v>
      </c>
      <c r="BH225" s="72">
        <v>0</v>
      </c>
      <c r="BI225" s="72">
        <v>0</v>
      </c>
      <c r="BJ225" s="72">
        <v>1706151</v>
      </c>
      <c r="BK225" s="72">
        <v>0</v>
      </c>
      <c r="BL225" s="72">
        <v>0</v>
      </c>
      <c r="BM225" s="72">
        <v>0</v>
      </c>
      <c r="BN225" s="72">
        <v>0</v>
      </c>
      <c r="BO225" s="72">
        <v>0</v>
      </c>
      <c r="BP225" s="72">
        <v>0</v>
      </c>
      <c r="BQ225" s="72">
        <v>0</v>
      </c>
      <c r="BR225" s="72">
        <v>0</v>
      </c>
      <c r="BS225" s="72">
        <v>19861765</v>
      </c>
    </row>
    <row r="226" spans="1:71" x14ac:dyDescent="0.2">
      <c r="A226" t="s">
        <v>575</v>
      </c>
      <c r="B226" t="s">
        <v>1274</v>
      </c>
      <c r="C226" t="s">
        <v>91</v>
      </c>
      <c r="D226" s="72">
        <v>2489450</v>
      </c>
      <c r="E226" s="72">
        <v>213540</v>
      </c>
      <c r="F226" s="72">
        <v>0</v>
      </c>
      <c r="G226" s="72">
        <v>1564421</v>
      </c>
      <c r="H226" s="72">
        <v>842</v>
      </c>
      <c r="I226" s="72">
        <v>0</v>
      </c>
      <c r="J226" s="72">
        <v>846896</v>
      </c>
      <c r="K226" s="72">
        <v>2278455</v>
      </c>
      <c r="L226" s="72">
        <v>7393604</v>
      </c>
      <c r="M226" s="72">
        <v>0</v>
      </c>
      <c r="N226" s="72">
        <v>0</v>
      </c>
      <c r="O226" s="72">
        <v>0</v>
      </c>
      <c r="P226" s="72">
        <v>0</v>
      </c>
      <c r="Q226" s="72">
        <v>42802</v>
      </c>
      <c r="R226" s="72">
        <v>42802</v>
      </c>
      <c r="S226" s="72">
        <v>7436406</v>
      </c>
      <c r="T226" s="72">
        <v>3846803</v>
      </c>
      <c r="U226" s="72">
        <v>1556073</v>
      </c>
      <c r="V226" s="72">
        <v>1567606</v>
      </c>
      <c r="W226" s="72">
        <v>326425</v>
      </c>
      <c r="X226" s="72">
        <v>92762</v>
      </c>
      <c r="Y226" s="72">
        <v>0</v>
      </c>
      <c r="Z226" s="72">
        <v>0</v>
      </c>
      <c r="AA226" s="72">
        <v>0</v>
      </c>
      <c r="AB226" s="72">
        <v>0</v>
      </c>
      <c r="AC226" s="72">
        <v>0</v>
      </c>
      <c r="AD226" s="72">
        <v>0</v>
      </c>
      <c r="AE226" s="72">
        <v>0</v>
      </c>
      <c r="AF226" s="72">
        <v>0</v>
      </c>
      <c r="AG226" s="72">
        <v>117493</v>
      </c>
      <c r="AH226" s="72">
        <v>7507162</v>
      </c>
      <c r="AI226" s="72">
        <v>52000</v>
      </c>
      <c r="AJ226" s="72">
        <v>0</v>
      </c>
      <c r="AK226" s="72">
        <v>0</v>
      </c>
      <c r="AL226" s="72">
        <v>52000</v>
      </c>
      <c r="AM226" s="72">
        <v>7559162</v>
      </c>
      <c r="AN226" s="72">
        <v>-122756</v>
      </c>
      <c r="AO226" s="72">
        <v>2548554</v>
      </c>
      <c r="AP226" s="72">
        <v>2425798</v>
      </c>
      <c r="AQ226" s="72">
        <v>45000</v>
      </c>
      <c r="AR226" s="72">
        <v>0</v>
      </c>
      <c r="AS226" s="72">
        <v>0</v>
      </c>
      <c r="AT226" s="72">
        <v>0</v>
      </c>
      <c r="AU226" s="72">
        <v>0</v>
      </c>
      <c r="AV226" s="72">
        <v>0</v>
      </c>
      <c r="AW226" s="72">
        <v>0</v>
      </c>
      <c r="AX226" s="72">
        <v>0</v>
      </c>
      <c r="AY226" s="72">
        <v>0</v>
      </c>
      <c r="AZ226" s="72">
        <v>0</v>
      </c>
      <c r="BA226" s="72">
        <v>2380798</v>
      </c>
      <c r="BB226" s="72">
        <v>0</v>
      </c>
      <c r="BC226" s="72">
        <v>0</v>
      </c>
      <c r="BD226" s="72">
        <v>0</v>
      </c>
      <c r="BE226" s="72">
        <v>2380798</v>
      </c>
      <c r="BF226" s="72">
        <v>0</v>
      </c>
      <c r="BG226" s="72">
        <v>0</v>
      </c>
      <c r="BH226" s="72">
        <v>0</v>
      </c>
      <c r="BI226" s="72">
        <v>0</v>
      </c>
      <c r="BJ226" s="72">
        <v>2380798</v>
      </c>
      <c r="BK226" s="72">
        <v>44</v>
      </c>
      <c r="BL226" s="72">
        <v>539</v>
      </c>
      <c r="BM226" s="72">
        <v>0</v>
      </c>
      <c r="BN226" s="72">
        <v>0</v>
      </c>
      <c r="BO226" s="72">
        <v>0</v>
      </c>
      <c r="BP226" s="72">
        <v>0</v>
      </c>
      <c r="BQ226" s="72">
        <v>0</v>
      </c>
      <c r="BR226" s="72">
        <v>0</v>
      </c>
      <c r="BS226" s="72">
        <v>7559162</v>
      </c>
    </row>
    <row r="227" spans="1:71" x14ac:dyDescent="0.2">
      <c r="A227" t="s">
        <v>628</v>
      </c>
      <c r="B227" t="s">
        <v>1324</v>
      </c>
      <c r="C227" t="s">
        <v>91</v>
      </c>
      <c r="D227" s="72">
        <v>9872641</v>
      </c>
      <c r="E227" s="72">
        <v>744091</v>
      </c>
      <c r="F227" s="72">
        <v>0</v>
      </c>
      <c r="G227" s="72">
        <v>4102700</v>
      </c>
      <c r="H227" s="72">
        <v>4550</v>
      </c>
      <c r="I227" s="72">
        <v>0</v>
      </c>
      <c r="J227" s="72">
        <v>3839978</v>
      </c>
      <c r="K227" s="72">
        <v>1629650</v>
      </c>
      <c r="L227" s="72">
        <v>20193610</v>
      </c>
      <c r="M227" s="72">
        <v>0</v>
      </c>
      <c r="N227" s="72">
        <v>0</v>
      </c>
      <c r="O227" s="72">
        <v>0</v>
      </c>
      <c r="P227" s="72">
        <v>0</v>
      </c>
      <c r="Q227" s="72">
        <v>100000</v>
      </c>
      <c r="R227" s="72">
        <v>100000</v>
      </c>
      <c r="S227" s="72">
        <v>20293610</v>
      </c>
      <c r="T227" s="72">
        <v>12550000</v>
      </c>
      <c r="U227" s="72">
        <v>4103300</v>
      </c>
      <c r="V227" s="72">
        <v>4618400</v>
      </c>
      <c r="W227" s="72">
        <v>655100</v>
      </c>
      <c r="X227" s="72">
        <v>0</v>
      </c>
      <c r="Y227" s="72">
        <v>0</v>
      </c>
      <c r="Z227" s="72">
        <v>0</v>
      </c>
      <c r="AA227" s="72">
        <v>0</v>
      </c>
      <c r="AB227" s="72">
        <v>0</v>
      </c>
      <c r="AC227" s="72">
        <v>0</v>
      </c>
      <c r="AD227" s="72">
        <v>0</v>
      </c>
      <c r="AE227" s="72">
        <v>0</v>
      </c>
      <c r="AF227" s="72">
        <v>0</v>
      </c>
      <c r="AG227" s="72">
        <v>388700</v>
      </c>
      <c r="AH227" s="72">
        <v>22315500</v>
      </c>
      <c r="AI227" s="72">
        <v>0</v>
      </c>
      <c r="AJ227" s="72">
        <v>100000</v>
      </c>
      <c r="AK227" s="72">
        <v>0</v>
      </c>
      <c r="AL227" s="72">
        <v>100000</v>
      </c>
      <c r="AM227" s="72">
        <v>22415500</v>
      </c>
      <c r="AN227" s="72">
        <v>-2121890</v>
      </c>
      <c r="AO227" s="72">
        <v>16352664</v>
      </c>
      <c r="AP227" s="72">
        <v>14230774</v>
      </c>
      <c r="AQ227" s="72">
        <v>0</v>
      </c>
      <c r="AR227" s="72">
        <v>0</v>
      </c>
      <c r="AS227" s="72">
        <v>0</v>
      </c>
      <c r="AT227" s="72">
        <v>0</v>
      </c>
      <c r="AU227" s="72">
        <v>0</v>
      </c>
      <c r="AV227" s="72">
        <v>0</v>
      </c>
      <c r="AW227" s="72">
        <v>0</v>
      </c>
      <c r="AX227" s="72">
        <v>0</v>
      </c>
      <c r="AY227" s="72">
        <v>0</v>
      </c>
      <c r="AZ227" s="72">
        <v>0</v>
      </c>
      <c r="BA227" s="72">
        <v>14230774</v>
      </c>
      <c r="BB227" s="72">
        <v>0</v>
      </c>
      <c r="BC227" s="72">
        <v>0</v>
      </c>
      <c r="BD227" s="72">
        <v>0</v>
      </c>
      <c r="BE227" s="72">
        <v>14230774</v>
      </c>
      <c r="BF227" s="72">
        <v>0</v>
      </c>
      <c r="BG227" s="72">
        <v>0</v>
      </c>
      <c r="BH227" s="72">
        <v>0</v>
      </c>
      <c r="BI227" s="72">
        <v>0</v>
      </c>
      <c r="BJ227" s="72">
        <v>14230774</v>
      </c>
      <c r="BK227" s="72">
        <v>0</v>
      </c>
      <c r="BL227" s="72">
        <v>0</v>
      </c>
      <c r="BM227" s="72">
        <v>0</v>
      </c>
      <c r="BN227" s="72">
        <v>0</v>
      </c>
      <c r="BO227" s="72">
        <v>0</v>
      </c>
      <c r="BP227" s="72">
        <v>0</v>
      </c>
      <c r="BQ227" s="72">
        <v>0</v>
      </c>
      <c r="BR227" s="72">
        <v>0</v>
      </c>
      <c r="BS227" s="72">
        <v>22415500</v>
      </c>
    </row>
    <row r="228" spans="1:71" x14ac:dyDescent="0.2">
      <c r="A228" t="s">
        <v>649</v>
      </c>
      <c r="B228" t="s">
        <v>1341</v>
      </c>
      <c r="C228" t="s">
        <v>91</v>
      </c>
      <c r="D228" s="72">
        <v>1746347</v>
      </c>
      <c r="E228" s="72">
        <v>108643</v>
      </c>
      <c r="F228" s="72">
        <v>1060785</v>
      </c>
      <c r="G228" s="72">
        <v>4522174</v>
      </c>
      <c r="H228" s="72">
        <v>18297</v>
      </c>
      <c r="I228" s="72">
        <v>0</v>
      </c>
      <c r="J228" s="72">
        <v>290834</v>
      </c>
      <c r="K228" s="72">
        <v>759959</v>
      </c>
      <c r="L228" s="72">
        <v>8507039</v>
      </c>
      <c r="M228" s="72">
        <v>0</v>
      </c>
      <c r="N228" s="72">
        <v>0</v>
      </c>
      <c r="O228" s="72">
        <v>0</v>
      </c>
      <c r="P228" s="72">
        <v>1000</v>
      </c>
      <c r="Q228" s="72">
        <v>22059</v>
      </c>
      <c r="R228" s="72">
        <v>23059</v>
      </c>
      <c r="S228" s="72">
        <v>8530098</v>
      </c>
      <c r="T228" s="72">
        <v>4502323</v>
      </c>
      <c r="U228" s="72">
        <v>1629467</v>
      </c>
      <c r="V228" s="72">
        <v>1575104</v>
      </c>
      <c r="W228" s="72">
        <v>475841</v>
      </c>
      <c r="X228" s="72">
        <v>24692</v>
      </c>
      <c r="Y228" s="72">
        <v>0</v>
      </c>
      <c r="Z228" s="72">
        <v>0</v>
      </c>
      <c r="AA228" s="72">
        <v>0</v>
      </c>
      <c r="AB228" s="72">
        <v>0</v>
      </c>
      <c r="AC228" s="72">
        <v>0</v>
      </c>
      <c r="AD228" s="72">
        <v>0</v>
      </c>
      <c r="AE228" s="72">
        <v>0</v>
      </c>
      <c r="AF228" s="72">
        <v>0</v>
      </c>
      <c r="AG228" s="72">
        <v>124441</v>
      </c>
      <c r="AH228" s="72">
        <v>8331868</v>
      </c>
      <c r="AI228" s="72">
        <v>45000</v>
      </c>
      <c r="AJ228" s="72">
        <v>1000</v>
      </c>
      <c r="AK228" s="72">
        <v>0</v>
      </c>
      <c r="AL228" s="72">
        <v>46000</v>
      </c>
      <c r="AM228" s="72">
        <v>8377868</v>
      </c>
      <c r="AN228" s="72">
        <v>152230</v>
      </c>
      <c r="AO228" s="72">
        <v>3767722</v>
      </c>
      <c r="AP228" s="72">
        <v>3919952</v>
      </c>
      <c r="AQ228" s="72">
        <v>210000</v>
      </c>
      <c r="AR228" s="72">
        <v>0</v>
      </c>
      <c r="AS228" s="72">
        <v>0</v>
      </c>
      <c r="AT228" s="72">
        <v>0</v>
      </c>
      <c r="AU228" s="72">
        <v>0</v>
      </c>
      <c r="AV228" s="72">
        <v>0</v>
      </c>
      <c r="AW228" s="72">
        <v>0</v>
      </c>
      <c r="AX228" s="72">
        <v>0</v>
      </c>
      <c r="AY228" s="72">
        <v>0</v>
      </c>
      <c r="AZ228" s="72">
        <v>0</v>
      </c>
      <c r="BA228" s="72">
        <v>3709952</v>
      </c>
      <c r="BB228" s="72">
        <v>0</v>
      </c>
      <c r="BC228" s="72">
        <v>0</v>
      </c>
      <c r="BD228" s="72">
        <v>0</v>
      </c>
      <c r="BE228" s="72">
        <v>3709952</v>
      </c>
      <c r="BF228" s="72">
        <v>0</v>
      </c>
      <c r="BG228" s="72">
        <v>0</v>
      </c>
      <c r="BH228" s="72">
        <v>0</v>
      </c>
      <c r="BI228" s="72">
        <v>0</v>
      </c>
      <c r="BJ228" s="72">
        <v>3709952</v>
      </c>
      <c r="BS228" s="72">
        <v>8530098</v>
      </c>
    </row>
    <row r="229" spans="1:71" x14ac:dyDescent="0.2">
      <c r="A229" t="s">
        <v>365</v>
      </c>
      <c r="B229" t="s">
        <v>966</v>
      </c>
      <c r="C229" t="s">
        <v>78</v>
      </c>
      <c r="D229" s="72">
        <v>4103236</v>
      </c>
      <c r="E229" s="72">
        <v>0</v>
      </c>
      <c r="F229" s="72">
        <v>0</v>
      </c>
      <c r="G229" s="72">
        <v>3709980</v>
      </c>
      <c r="H229" s="72">
        <v>20000</v>
      </c>
      <c r="I229" s="72">
        <v>0</v>
      </c>
      <c r="J229" s="72">
        <v>532000</v>
      </c>
      <c r="K229" s="72">
        <v>487775</v>
      </c>
      <c r="L229" s="72">
        <v>8852991</v>
      </c>
      <c r="M229" s="72">
        <v>0</v>
      </c>
      <c r="N229" s="72">
        <v>0</v>
      </c>
      <c r="O229" s="72">
        <v>0</v>
      </c>
      <c r="P229" s="72">
        <v>0</v>
      </c>
      <c r="Q229" s="72">
        <v>15500</v>
      </c>
      <c r="R229" s="72">
        <v>15500</v>
      </c>
      <c r="S229" s="72">
        <v>8868491</v>
      </c>
      <c r="T229" s="72">
        <v>4841755</v>
      </c>
      <c r="U229" s="72">
        <v>2218215</v>
      </c>
      <c r="V229" s="72">
        <v>1214275</v>
      </c>
      <c r="W229" s="72">
        <v>375425</v>
      </c>
      <c r="X229" s="72">
        <v>0</v>
      </c>
      <c r="Y229" s="72">
        <v>0</v>
      </c>
      <c r="Z229" s="72">
        <v>0</v>
      </c>
      <c r="AA229" s="72">
        <v>0</v>
      </c>
      <c r="AB229" s="72">
        <v>0</v>
      </c>
      <c r="AC229" s="72">
        <v>0</v>
      </c>
      <c r="AD229" s="72">
        <v>0</v>
      </c>
      <c r="AE229" s="72">
        <v>0</v>
      </c>
      <c r="AF229" s="72">
        <v>0</v>
      </c>
      <c r="AG229" s="72">
        <v>434640</v>
      </c>
      <c r="AH229" s="72">
        <v>9084310</v>
      </c>
      <c r="AI229" s="72">
        <v>0</v>
      </c>
      <c r="AJ229" s="72">
        <v>0</v>
      </c>
      <c r="AK229" s="72">
        <v>0</v>
      </c>
      <c r="AL229" s="72">
        <v>0</v>
      </c>
      <c r="AM229" s="72">
        <v>9084310</v>
      </c>
      <c r="AN229" s="72">
        <v>-215819</v>
      </c>
      <c r="AO229" s="72">
        <v>325623</v>
      </c>
      <c r="AP229" s="72">
        <v>109804</v>
      </c>
      <c r="AQ229" s="72">
        <v>40000</v>
      </c>
      <c r="AR229" s="72">
        <v>0</v>
      </c>
      <c r="AS229" s="72">
        <v>0</v>
      </c>
      <c r="AT229" s="72">
        <v>0</v>
      </c>
      <c r="AU229" s="72">
        <v>0</v>
      </c>
      <c r="AV229" s="72">
        <v>0</v>
      </c>
      <c r="AW229" s="72">
        <v>0</v>
      </c>
      <c r="AX229" s="72">
        <v>0</v>
      </c>
      <c r="AY229" s="72">
        <v>0</v>
      </c>
      <c r="AZ229" s="72">
        <v>0</v>
      </c>
      <c r="BA229" s="72">
        <v>69804</v>
      </c>
      <c r="BB229" s="72">
        <v>0</v>
      </c>
      <c r="BC229" s="72">
        <v>0</v>
      </c>
      <c r="BD229" s="72">
        <v>0</v>
      </c>
      <c r="BE229" s="72">
        <v>69804</v>
      </c>
      <c r="BF229" s="72">
        <v>0</v>
      </c>
      <c r="BG229" s="72">
        <v>0</v>
      </c>
      <c r="BH229" s="72">
        <v>0</v>
      </c>
      <c r="BI229" s="72">
        <v>0</v>
      </c>
      <c r="BJ229" s="72">
        <v>69804</v>
      </c>
      <c r="BM229" s="72">
        <v>0</v>
      </c>
      <c r="BN229" s="72">
        <v>0</v>
      </c>
      <c r="BO229" s="72">
        <v>0</v>
      </c>
      <c r="BP229" s="72">
        <v>0</v>
      </c>
      <c r="BQ229" s="72">
        <v>0</v>
      </c>
      <c r="BR229" s="72">
        <v>0</v>
      </c>
      <c r="BS229" s="72">
        <v>9084310</v>
      </c>
    </row>
    <row r="230" spans="1:71" x14ac:dyDescent="0.2">
      <c r="A230" t="s">
        <v>452</v>
      </c>
      <c r="B230" t="s">
        <v>1157</v>
      </c>
      <c r="C230" t="s">
        <v>78</v>
      </c>
      <c r="D230" s="72">
        <v>2120000</v>
      </c>
      <c r="E230" s="72">
        <v>220000</v>
      </c>
      <c r="F230" s="72">
        <v>0</v>
      </c>
      <c r="G230" s="72">
        <v>4295000</v>
      </c>
      <c r="H230" s="72">
        <v>53000</v>
      </c>
      <c r="I230" s="72">
        <v>0</v>
      </c>
      <c r="J230" s="72">
        <v>365000</v>
      </c>
      <c r="K230" s="72">
        <v>655000</v>
      </c>
      <c r="L230" s="72">
        <v>7708000</v>
      </c>
      <c r="M230" s="72">
        <v>0</v>
      </c>
      <c r="N230" s="72">
        <v>0</v>
      </c>
      <c r="O230" s="72">
        <v>2600</v>
      </c>
      <c r="P230" s="72">
        <v>20000</v>
      </c>
      <c r="Q230" s="72">
        <v>31500</v>
      </c>
      <c r="R230" s="72">
        <v>54100</v>
      </c>
      <c r="S230" s="72">
        <v>7762100</v>
      </c>
      <c r="T230" s="72">
        <v>4100000</v>
      </c>
      <c r="U230" s="72">
        <v>1800000</v>
      </c>
      <c r="V230" s="72">
        <v>1850000</v>
      </c>
      <c r="W230" s="72">
        <v>245000</v>
      </c>
      <c r="X230" s="72">
        <v>5000</v>
      </c>
      <c r="AG230" s="72">
        <v>158000</v>
      </c>
      <c r="AH230" s="72">
        <v>8158000</v>
      </c>
      <c r="AI230" s="72">
        <v>20000</v>
      </c>
      <c r="AJ230" s="72">
        <v>10000</v>
      </c>
      <c r="AK230" s="72">
        <v>500</v>
      </c>
      <c r="AL230" s="72">
        <v>30500</v>
      </c>
      <c r="AM230" s="72">
        <v>8188500</v>
      </c>
      <c r="AN230" s="72">
        <v>-426400</v>
      </c>
      <c r="AO230" s="72">
        <v>1710890</v>
      </c>
      <c r="AP230" s="72">
        <v>1284490</v>
      </c>
      <c r="AQ230" s="72">
        <v>40000</v>
      </c>
      <c r="AR230" s="72">
        <v>0</v>
      </c>
      <c r="AS230" s="72">
        <v>0</v>
      </c>
      <c r="AT230" s="72">
        <v>0</v>
      </c>
      <c r="AU230" s="72">
        <v>0</v>
      </c>
      <c r="AV230" s="72">
        <v>0</v>
      </c>
      <c r="AW230" s="72">
        <v>0</v>
      </c>
      <c r="AX230" s="72">
        <v>0</v>
      </c>
      <c r="AY230" s="72">
        <v>0</v>
      </c>
      <c r="AZ230" s="72">
        <v>0</v>
      </c>
      <c r="BA230" s="72">
        <v>1244490</v>
      </c>
      <c r="BB230" s="72">
        <v>0</v>
      </c>
      <c r="BC230" s="72">
        <v>0</v>
      </c>
      <c r="BD230" s="72">
        <v>0</v>
      </c>
      <c r="BE230" s="72">
        <v>1244490</v>
      </c>
      <c r="BF230" s="72">
        <v>0</v>
      </c>
      <c r="BG230" s="72">
        <v>0</v>
      </c>
      <c r="BH230" s="72">
        <v>0</v>
      </c>
      <c r="BI230" s="72">
        <v>0</v>
      </c>
      <c r="BJ230" s="72">
        <v>1244490</v>
      </c>
      <c r="BK230" s="72">
        <v>61</v>
      </c>
      <c r="BL230" s="72">
        <v>888</v>
      </c>
      <c r="BM230" s="72">
        <v>0</v>
      </c>
      <c r="BN230" s="72">
        <v>0</v>
      </c>
      <c r="BO230" s="72">
        <v>0</v>
      </c>
      <c r="BP230" s="72">
        <v>0</v>
      </c>
      <c r="BQ230" s="72">
        <v>0</v>
      </c>
      <c r="BR230" s="72">
        <v>0</v>
      </c>
      <c r="BS230" s="72">
        <v>8188500</v>
      </c>
    </row>
    <row r="231" spans="1:71" x14ac:dyDescent="0.2">
      <c r="A231" t="s">
        <v>190</v>
      </c>
      <c r="B231" t="s">
        <v>911</v>
      </c>
      <c r="C231" t="s">
        <v>73</v>
      </c>
      <c r="D231" s="72">
        <v>4984266</v>
      </c>
      <c r="E231" s="72">
        <v>760976</v>
      </c>
      <c r="F231" s="72">
        <v>0</v>
      </c>
      <c r="G231" s="72">
        <v>5781618</v>
      </c>
      <c r="H231" s="72">
        <v>20646</v>
      </c>
      <c r="I231" s="72">
        <v>0</v>
      </c>
      <c r="J231" s="72">
        <v>3327742</v>
      </c>
      <c r="K231" s="72">
        <v>1237778</v>
      </c>
      <c r="L231" s="72">
        <v>16113026</v>
      </c>
      <c r="M231" s="72">
        <v>0</v>
      </c>
      <c r="N231" s="72">
        <v>0</v>
      </c>
      <c r="O231" s="72">
        <v>0</v>
      </c>
      <c r="P231" s="72">
        <v>17352</v>
      </c>
      <c r="Q231" s="72">
        <v>33434</v>
      </c>
      <c r="R231" s="72">
        <v>50786</v>
      </c>
      <c r="S231" s="72">
        <v>16163812</v>
      </c>
      <c r="T231" s="72">
        <v>9582432</v>
      </c>
      <c r="U231" s="72">
        <v>4086433</v>
      </c>
      <c r="V231" s="72">
        <v>2934114</v>
      </c>
      <c r="W231" s="72">
        <v>617374</v>
      </c>
      <c r="X231" s="72">
        <v>135199</v>
      </c>
      <c r="Y231" s="72">
        <v>0</v>
      </c>
      <c r="Z231" s="72">
        <v>0</v>
      </c>
      <c r="AA231" s="72">
        <v>0</v>
      </c>
      <c r="AB231" s="72">
        <v>0</v>
      </c>
      <c r="AC231" s="72">
        <v>0</v>
      </c>
      <c r="AD231" s="72">
        <v>0</v>
      </c>
      <c r="AE231" s="72">
        <v>0</v>
      </c>
      <c r="AF231" s="72">
        <v>0</v>
      </c>
      <c r="AG231" s="72">
        <v>188977</v>
      </c>
      <c r="AH231" s="72">
        <v>17544529</v>
      </c>
      <c r="AI231" s="72">
        <v>0</v>
      </c>
      <c r="AJ231" s="72">
        <v>50000</v>
      </c>
      <c r="AK231" s="72">
        <v>0</v>
      </c>
      <c r="AL231" s="72">
        <v>50000</v>
      </c>
      <c r="AM231" s="72">
        <v>17594529</v>
      </c>
      <c r="AN231" s="72">
        <v>-1430717</v>
      </c>
      <c r="AO231" s="72">
        <v>4643285</v>
      </c>
      <c r="AP231" s="72">
        <v>3212568</v>
      </c>
      <c r="AQ231" s="72">
        <v>220000</v>
      </c>
      <c r="AR231" s="72">
        <v>0</v>
      </c>
      <c r="AS231" s="72">
        <v>0</v>
      </c>
      <c r="AT231" s="72">
        <v>0</v>
      </c>
      <c r="AU231" s="72">
        <v>0</v>
      </c>
      <c r="AV231" s="72">
        <v>0</v>
      </c>
      <c r="AW231" s="72">
        <v>0</v>
      </c>
      <c r="AX231" s="72">
        <v>0</v>
      </c>
      <c r="AY231" s="72">
        <v>0</v>
      </c>
      <c r="AZ231" s="72">
        <v>0</v>
      </c>
      <c r="BA231" s="72">
        <v>2992568</v>
      </c>
      <c r="BB231" s="72">
        <v>0</v>
      </c>
      <c r="BC231" s="72">
        <v>0</v>
      </c>
      <c r="BD231" s="72">
        <v>0</v>
      </c>
      <c r="BE231" s="72">
        <v>2992568</v>
      </c>
      <c r="BF231" s="72">
        <v>0</v>
      </c>
      <c r="BG231" s="72">
        <v>0</v>
      </c>
      <c r="BH231" s="72">
        <v>0</v>
      </c>
      <c r="BI231" s="72">
        <v>0</v>
      </c>
      <c r="BJ231" s="72">
        <v>2992568</v>
      </c>
      <c r="BK231" s="72">
        <v>0</v>
      </c>
      <c r="BL231" s="72">
        <v>0</v>
      </c>
      <c r="BM231" s="72">
        <v>0</v>
      </c>
      <c r="BN231" s="72">
        <v>0</v>
      </c>
      <c r="BO231" s="72">
        <v>0</v>
      </c>
      <c r="BP231" s="72">
        <v>0</v>
      </c>
      <c r="BQ231" s="72">
        <v>0</v>
      </c>
      <c r="BR231" s="72">
        <v>0</v>
      </c>
      <c r="BS231" s="72">
        <v>17594529</v>
      </c>
    </row>
    <row r="232" spans="1:71" x14ac:dyDescent="0.2">
      <c r="A232" t="s">
        <v>341</v>
      </c>
      <c r="B232" t="s">
        <v>1055</v>
      </c>
      <c r="C232" t="s">
        <v>73</v>
      </c>
      <c r="D232" s="72">
        <v>2969373</v>
      </c>
      <c r="E232" s="72">
        <v>233825</v>
      </c>
      <c r="F232" s="72">
        <v>0</v>
      </c>
      <c r="G232" s="72">
        <v>6440273</v>
      </c>
      <c r="H232" s="72">
        <v>38747</v>
      </c>
      <c r="I232" s="72">
        <v>0</v>
      </c>
      <c r="J232" s="72">
        <v>463065</v>
      </c>
      <c r="K232" s="72">
        <v>881580</v>
      </c>
      <c r="L232" s="72">
        <v>11026863</v>
      </c>
      <c r="M232" s="72">
        <v>0</v>
      </c>
      <c r="N232" s="72">
        <v>0</v>
      </c>
      <c r="O232" s="72">
        <v>0</v>
      </c>
      <c r="P232" s="72">
        <v>0</v>
      </c>
      <c r="Q232" s="72">
        <v>0</v>
      </c>
      <c r="R232" s="72">
        <v>0</v>
      </c>
      <c r="S232" s="72">
        <v>11026863</v>
      </c>
      <c r="T232" s="72">
        <v>5752640</v>
      </c>
      <c r="U232" s="72">
        <v>2615651</v>
      </c>
      <c r="V232" s="72">
        <v>2129747</v>
      </c>
      <c r="W232" s="72">
        <v>370223</v>
      </c>
      <c r="X232" s="72">
        <v>26760</v>
      </c>
      <c r="Y232" s="72">
        <v>0</v>
      </c>
      <c r="Z232" s="72">
        <v>0</v>
      </c>
      <c r="AA232" s="72">
        <v>0</v>
      </c>
      <c r="AB232" s="72">
        <v>0</v>
      </c>
      <c r="AC232" s="72">
        <v>0</v>
      </c>
      <c r="AD232" s="72">
        <v>0</v>
      </c>
      <c r="AE232" s="72">
        <v>0</v>
      </c>
      <c r="AF232" s="72">
        <v>0</v>
      </c>
      <c r="AG232" s="72">
        <v>274015</v>
      </c>
      <c r="AH232" s="72">
        <v>11169036</v>
      </c>
      <c r="AI232" s="72">
        <v>4000</v>
      </c>
      <c r="AJ232" s="72">
        <v>0</v>
      </c>
      <c r="AK232" s="72">
        <v>0</v>
      </c>
      <c r="AL232" s="72">
        <v>4000</v>
      </c>
      <c r="AM232" s="72">
        <v>11173036</v>
      </c>
      <c r="AN232" s="72">
        <v>-146173</v>
      </c>
      <c r="AO232" s="72">
        <v>1592354</v>
      </c>
      <c r="AP232" s="72">
        <v>1446181</v>
      </c>
      <c r="AQ232" s="72">
        <v>150000</v>
      </c>
      <c r="AR232" s="72">
        <v>0</v>
      </c>
      <c r="AS232" s="72">
        <v>0</v>
      </c>
      <c r="AT232" s="72">
        <v>0</v>
      </c>
      <c r="AU232" s="72">
        <v>0</v>
      </c>
      <c r="AV232" s="72">
        <v>0</v>
      </c>
      <c r="AW232" s="72">
        <v>0</v>
      </c>
      <c r="AX232" s="72">
        <v>0</v>
      </c>
      <c r="AY232" s="72">
        <v>0</v>
      </c>
      <c r="AZ232" s="72">
        <v>0</v>
      </c>
      <c r="BA232" s="72">
        <v>1296181</v>
      </c>
      <c r="BB232" s="72">
        <v>0</v>
      </c>
      <c r="BC232" s="72">
        <v>0</v>
      </c>
      <c r="BD232" s="72">
        <v>0</v>
      </c>
      <c r="BE232" s="72">
        <v>1296181</v>
      </c>
      <c r="BF232" s="72">
        <v>0</v>
      </c>
      <c r="BG232" s="72">
        <v>0</v>
      </c>
      <c r="BH232" s="72">
        <v>0</v>
      </c>
      <c r="BI232" s="72">
        <v>0</v>
      </c>
      <c r="BJ232" s="72">
        <v>1296181</v>
      </c>
      <c r="BK232" s="72">
        <v>0</v>
      </c>
      <c r="BL232" s="72">
        <v>0</v>
      </c>
      <c r="BM232" s="72">
        <v>0</v>
      </c>
      <c r="BN232" s="72">
        <v>0</v>
      </c>
      <c r="BO232" s="72">
        <v>0</v>
      </c>
      <c r="BP232" s="72">
        <v>0</v>
      </c>
      <c r="BQ232" s="72">
        <v>0</v>
      </c>
      <c r="BR232" s="72">
        <v>0</v>
      </c>
      <c r="BS232" s="72">
        <v>11173036</v>
      </c>
    </row>
    <row r="233" spans="1:71" x14ac:dyDescent="0.2">
      <c r="A233" t="s">
        <v>385</v>
      </c>
      <c r="B233" t="s">
        <v>1096</v>
      </c>
      <c r="C233" t="s">
        <v>73</v>
      </c>
      <c r="D233" s="72">
        <v>4229152</v>
      </c>
      <c r="E233" s="72">
        <v>412589</v>
      </c>
      <c r="F233" s="72">
        <v>0</v>
      </c>
      <c r="G233" s="72">
        <v>7822411</v>
      </c>
      <c r="H233" s="72">
        <v>36476</v>
      </c>
      <c r="I233" s="72">
        <v>0</v>
      </c>
      <c r="J233" s="72">
        <v>928225</v>
      </c>
      <c r="K233" s="72">
        <v>1365211</v>
      </c>
      <c r="L233" s="72">
        <v>14794064</v>
      </c>
      <c r="M233" s="72">
        <v>0</v>
      </c>
      <c r="N233" s="72">
        <v>0</v>
      </c>
      <c r="O233" s="72">
        <v>0</v>
      </c>
      <c r="P233" s="72">
        <v>121875</v>
      </c>
      <c r="Q233" s="72">
        <v>0</v>
      </c>
      <c r="R233" s="72">
        <v>121875</v>
      </c>
      <c r="S233" s="72">
        <v>14915939</v>
      </c>
      <c r="T233" s="72">
        <v>7537701</v>
      </c>
      <c r="U233" s="72">
        <v>3426646</v>
      </c>
      <c r="V233" s="72">
        <v>2378668</v>
      </c>
      <c r="W233" s="72">
        <v>388675</v>
      </c>
      <c r="X233" s="72">
        <v>54733</v>
      </c>
      <c r="Y233" s="72">
        <v>0</v>
      </c>
      <c r="Z233" s="72">
        <v>0</v>
      </c>
      <c r="AA233" s="72">
        <v>0</v>
      </c>
      <c r="AB233" s="72">
        <v>0</v>
      </c>
      <c r="AC233" s="72">
        <v>0</v>
      </c>
      <c r="AD233" s="72">
        <v>0</v>
      </c>
      <c r="AE233" s="72">
        <v>0</v>
      </c>
      <c r="AF233" s="72">
        <v>0</v>
      </c>
      <c r="AG233" s="72">
        <v>588891</v>
      </c>
      <c r="AH233" s="72">
        <v>14375314</v>
      </c>
      <c r="AI233" s="72">
        <v>5000</v>
      </c>
      <c r="AJ233" s="72">
        <v>10000</v>
      </c>
      <c r="AK233" s="72">
        <v>0</v>
      </c>
      <c r="AL233" s="72">
        <v>15000</v>
      </c>
      <c r="AM233" s="72">
        <v>14390314</v>
      </c>
      <c r="AN233" s="72">
        <v>525625</v>
      </c>
      <c r="AO233" s="72">
        <v>2729828</v>
      </c>
      <c r="AP233" s="72">
        <v>3255453</v>
      </c>
      <c r="AQ233" s="72">
        <v>0</v>
      </c>
      <c r="AR233" s="72">
        <v>0</v>
      </c>
      <c r="AS233" s="72">
        <v>0</v>
      </c>
      <c r="AT233" s="72">
        <v>0</v>
      </c>
      <c r="AU233" s="72">
        <v>0</v>
      </c>
      <c r="AV233" s="72">
        <v>0</v>
      </c>
      <c r="AW233" s="72">
        <v>0</v>
      </c>
      <c r="AX233" s="72">
        <v>0</v>
      </c>
      <c r="AY233" s="72">
        <v>0</v>
      </c>
      <c r="AZ233" s="72">
        <v>0</v>
      </c>
      <c r="BA233" s="72">
        <v>3255453</v>
      </c>
      <c r="BB233" s="72">
        <v>0</v>
      </c>
      <c r="BC233" s="72">
        <v>0</v>
      </c>
      <c r="BD233" s="72">
        <v>0</v>
      </c>
      <c r="BE233" s="72">
        <v>3255453</v>
      </c>
      <c r="BF233" s="72">
        <v>0</v>
      </c>
      <c r="BG233" s="72">
        <v>0</v>
      </c>
      <c r="BH233" s="72">
        <v>0</v>
      </c>
      <c r="BI233" s="72">
        <v>0</v>
      </c>
      <c r="BJ233" s="72">
        <v>3255453</v>
      </c>
      <c r="BK233" s="72">
        <v>0</v>
      </c>
      <c r="BL233" s="72">
        <v>0</v>
      </c>
      <c r="BM233" s="72">
        <v>0</v>
      </c>
      <c r="BN233" s="72">
        <v>0</v>
      </c>
      <c r="BO233" s="72">
        <v>0</v>
      </c>
      <c r="BP233" s="72">
        <v>0</v>
      </c>
      <c r="BQ233" s="72">
        <v>0</v>
      </c>
      <c r="BR233" s="72">
        <v>0</v>
      </c>
      <c r="BS233" s="72">
        <v>14915939</v>
      </c>
    </row>
    <row r="234" spans="1:71" x14ac:dyDescent="0.2">
      <c r="A234" t="s">
        <v>597</v>
      </c>
      <c r="B234" t="s">
        <v>1294</v>
      </c>
      <c r="C234" t="s">
        <v>73</v>
      </c>
      <c r="D234" s="72">
        <v>3374081</v>
      </c>
      <c r="E234" s="72">
        <v>330116</v>
      </c>
      <c r="F234" s="72">
        <v>0</v>
      </c>
      <c r="G234" s="72">
        <v>7075537</v>
      </c>
      <c r="H234" s="72">
        <v>36343</v>
      </c>
      <c r="I234" s="72">
        <v>0</v>
      </c>
      <c r="J234" s="72">
        <v>585874</v>
      </c>
      <c r="K234" s="72">
        <v>485863</v>
      </c>
      <c r="L234" s="72">
        <v>11887814</v>
      </c>
      <c r="M234" s="72">
        <v>0</v>
      </c>
      <c r="N234" s="72">
        <v>0</v>
      </c>
      <c r="O234" s="72">
        <v>0</v>
      </c>
      <c r="P234" s="72">
        <v>24334</v>
      </c>
      <c r="Q234" s="72">
        <v>4261</v>
      </c>
      <c r="R234" s="72">
        <v>28595</v>
      </c>
      <c r="S234" s="72">
        <v>11916409</v>
      </c>
      <c r="T234" s="72">
        <v>5755468</v>
      </c>
      <c r="U234" s="72">
        <v>2952700</v>
      </c>
      <c r="V234" s="72">
        <v>2260053</v>
      </c>
      <c r="W234" s="72">
        <v>422614</v>
      </c>
      <c r="X234" s="72">
        <v>179548</v>
      </c>
      <c r="Y234" s="72">
        <v>0</v>
      </c>
      <c r="Z234" s="72">
        <v>0</v>
      </c>
      <c r="AA234" s="72">
        <v>0</v>
      </c>
      <c r="AB234" s="72">
        <v>0</v>
      </c>
      <c r="AC234" s="72">
        <v>0</v>
      </c>
      <c r="AD234" s="72">
        <v>80000</v>
      </c>
      <c r="AE234" s="72">
        <v>0</v>
      </c>
      <c r="AF234" s="72">
        <v>10336</v>
      </c>
      <c r="AG234" s="72">
        <v>233814</v>
      </c>
      <c r="AH234" s="72">
        <v>11894533</v>
      </c>
      <c r="AI234" s="72">
        <v>0</v>
      </c>
      <c r="AJ234" s="72">
        <v>0</v>
      </c>
      <c r="AK234" s="72">
        <v>600</v>
      </c>
      <c r="AL234" s="72">
        <v>600</v>
      </c>
      <c r="AM234" s="72">
        <v>11895133</v>
      </c>
      <c r="AN234" s="72">
        <v>21276</v>
      </c>
      <c r="AO234" s="72">
        <v>1122140</v>
      </c>
      <c r="AP234" s="72">
        <v>1143416</v>
      </c>
      <c r="AQ234" s="72">
        <v>0</v>
      </c>
      <c r="AR234" s="72">
        <v>0</v>
      </c>
      <c r="AS234" s="72">
        <v>0</v>
      </c>
      <c r="AT234" s="72">
        <v>0</v>
      </c>
      <c r="AU234" s="72">
        <v>0</v>
      </c>
      <c r="AV234" s="72">
        <v>0</v>
      </c>
      <c r="AW234" s="72">
        <v>0</v>
      </c>
      <c r="AX234" s="72">
        <v>0</v>
      </c>
      <c r="AY234" s="72">
        <v>0</v>
      </c>
      <c r="AZ234" s="72">
        <v>0</v>
      </c>
      <c r="BA234" s="72">
        <v>1143416</v>
      </c>
      <c r="BB234" s="72">
        <v>0</v>
      </c>
      <c r="BC234" s="72">
        <v>0</v>
      </c>
      <c r="BD234" s="72">
        <v>0</v>
      </c>
      <c r="BE234" s="72">
        <v>1143416</v>
      </c>
      <c r="BF234" s="72">
        <v>0</v>
      </c>
      <c r="BG234" s="72">
        <v>0</v>
      </c>
      <c r="BH234" s="72">
        <v>0</v>
      </c>
      <c r="BI234" s="72">
        <v>0</v>
      </c>
      <c r="BJ234" s="72">
        <v>1143416</v>
      </c>
      <c r="BK234" s="72">
        <v>0</v>
      </c>
      <c r="BL234" s="72">
        <v>0</v>
      </c>
      <c r="BM234" s="72">
        <v>0</v>
      </c>
      <c r="BN234" s="72">
        <v>0</v>
      </c>
      <c r="BO234" s="72">
        <v>0</v>
      </c>
      <c r="BP234" s="72">
        <v>0</v>
      </c>
      <c r="BQ234" s="72">
        <v>0</v>
      </c>
      <c r="BR234" s="72">
        <v>0</v>
      </c>
      <c r="BS234" s="72">
        <v>11916409</v>
      </c>
    </row>
    <row r="235" spans="1:71" x14ac:dyDescent="0.2">
      <c r="A235" t="s">
        <v>118</v>
      </c>
      <c r="B235" t="s">
        <v>839</v>
      </c>
      <c r="C235" t="s">
        <v>85</v>
      </c>
      <c r="D235" s="72">
        <v>2707932</v>
      </c>
      <c r="E235" s="72">
        <v>1232690</v>
      </c>
      <c r="F235" s="72">
        <v>0</v>
      </c>
      <c r="G235" s="72">
        <v>9784528</v>
      </c>
      <c r="H235" s="72">
        <v>42483</v>
      </c>
      <c r="I235" s="72">
        <v>0</v>
      </c>
      <c r="J235" s="72">
        <v>469423</v>
      </c>
      <c r="K235" s="72">
        <v>1284346</v>
      </c>
      <c r="L235" s="72">
        <v>15521402</v>
      </c>
      <c r="M235" s="72">
        <v>0</v>
      </c>
      <c r="N235" s="72">
        <v>0</v>
      </c>
      <c r="O235" s="72">
        <v>105743</v>
      </c>
      <c r="P235" s="72">
        <v>0</v>
      </c>
      <c r="Q235" s="72">
        <v>0</v>
      </c>
      <c r="R235" s="72">
        <v>105743</v>
      </c>
      <c r="S235" s="72">
        <v>15627145</v>
      </c>
      <c r="T235" s="72">
        <v>5501076</v>
      </c>
      <c r="U235" s="72">
        <v>2114548</v>
      </c>
      <c r="V235" s="72">
        <v>2889368</v>
      </c>
      <c r="W235" s="72">
        <v>647015</v>
      </c>
      <c r="X235" s="72">
        <v>419234</v>
      </c>
      <c r="Y235" s="72">
        <v>0</v>
      </c>
      <c r="Z235" s="72">
        <v>0</v>
      </c>
      <c r="AA235" s="72">
        <v>0</v>
      </c>
      <c r="AB235" s="72">
        <v>0</v>
      </c>
      <c r="AC235" s="72">
        <v>0</v>
      </c>
      <c r="AD235" s="72">
        <v>70000</v>
      </c>
      <c r="AE235" s="72">
        <v>0</v>
      </c>
      <c r="AF235" s="72">
        <v>35743</v>
      </c>
      <c r="AG235" s="72">
        <v>231728</v>
      </c>
      <c r="AH235" s="72">
        <v>11908712</v>
      </c>
      <c r="AI235" s="72">
        <v>3981915</v>
      </c>
      <c r="AJ235" s="72">
        <v>0</v>
      </c>
      <c r="AK235" s="72">
        <v>0</v>
      </c>
      <c r="AL235" s="72">
        <v>3981915</v>
      </c>
      <c r="AM235" s="72">
        <v>15890627</v>
      </c>
      <c r="AN235" s="72">
        <v>-263482</v>
      </c>
      <c r="AO235" s="72">
        <v>4433535</v>
      </c>
      <c r="AP235" s="72">
        <v>4170053</v>
      </c>
      <c r="AQ235" s="72">
        <v>40000</v>
      </c>
      <c r="AR235" s="72">
        <v>0</v>
      </c>
      <c r="AS235" s="72">
        <v>0</v>
      </c>
      <c r="AT235" s="72">
        <v>0</v>
      </c>
      <c r="AU235" s="72">
        <v>0</v>
      </c>
      <c r="AV235" s="72">
        <v>0</v>
      </c>
      <c r="AW235" s="72">
        <v>0</v>
      </c>
      <c r="AX235" s="72">
        <v>0</v>
      </c>
      <c r="AY235" s="72">
        <v>0</v>
      </c>
      <c r="AZ235" s="72">
        <v>0</v>
      </c>
      <c r="BA235" s="72">
        <v>4130053</v>
      </c>
      <c r="BB235" s="72">
        <v>0</v>
      </c>
      <c r="BC235" s="72">
        <v>0</v>
      </c>
      <c r="BD235" s="72">
        <v>0</v>
      </c>
      <c r="BE235" s="72">
        <v>4130053</v>
      </c>
      <c r="BF235" s="72">
        <v>0</v>
      </c>
      <c r="BG235" s="72">
        <v>0</v>
      </c>
      <c r="BH235" s="72">
        <v>0</v>
      </c>
      <c r="BI235" s="72">
        <v>0</v>
      </c>
      <c r="BJ235" s="72">
        <v>4130053</v>
      </c>
      <c r="BM235" s="72">
        <v>0</v>
      </c>
      <c r="BN235" s="72">
        <v>0</v>
      </c>
      <c r="BO235" s="72">
        <v>0</v>
      </c>
      <c r="BP235" s="72">
        <v>0</v>
      </c>
      <c r="BQ235" s="72">
        <v>0</v>
      </c>
      <c r="BR235" s="72">
        <v>0</v>
      </c>
      <c r="BS235" s="72">
        <v>15890627</v>
      </c>
    </row>
    <row r="236" spans="1:71" x14ac:dyDescent="0.2">
      <c r="A236" t="s">
        <v>309</v>
      </c>
      <c r="B236" t="s">
        <v>1023</v>
      </c>
      <c r="C236" t="s">
        <v>85</v>
      </c>
      <c r="D236" s="72">
        <v>2060766</v>
      </c>
      <c r="E236" s="72">
        <v>434900</v>
      </c>
      <c r="F236" s="72">
        <v>0</v>
      </c>
      <c r="G236" s="72">
        <v>7459416</v>
      </c>
      <c r="H236" s="72">
        <v>72022</v>
      </c>
      <c r="I236" s="72">
        <v>0</v>
      </c>
      <c r="J236" s="72">
        <v>355969</v>
      </c>
      <c r="K236" s="72">
        <v>780703</v>
      </c>
      <c r="L236" s="72">
        <v>11163776</v>
      </c>
      <c r="M236" s="72">
        <v>0</v>
      </c>
      <c r="N236" s="72">
        <v>0</v>
      </c>
      <c r="O236" s="72">
        <v>500000</v>
      </c>
      <c r="P236" s="72">
        <v>0</v>
      </c>
      <c r="Q236" s="72">
        <v>105022</v>
      </c>
      <c r="R236" s="72">
        <v>605022</v>
      </c>
      <c r="S236" s="72">
        <v>11768798</v>
      </c>
      <c r="T236" s="72">
        <v>5258813</v>
      </c>
      <c r="U236" s="72">
        <v>2344726</v>
      </c>
      <c r="V236" s="72">
        <v>2344408</v>
      </c>
      <c r="W236" s="72">
        <v>416986</v>
      </c>
      <c r="X236" s="72">
        <v>31511</v>
      </c>
      <c r="Y236" s="72">
        <v>0</v>
      </c>
      <c r="Z236" s="72">
        <v>0</v>
      </c>
      <c r="AA236" s="72">
        <v>0</v>
      </c>
      <c r="AB236" s="72">
        <v>0</v>
      </c>
      <c r="AC236" s="72">
        <v>0</v>
      </c>
      <c r="AD236" s="72">
        <v>0</v>
      </c>
      <c r="AE236" s="72">
        <v>0</v>
      </c>
      <c r="AF236" s="72">
        <v>0</v>
      </c>
      <c r="AG236" s="72">
        <v>166437</v>
      </c>
      <c r="AH236" s="72">
        <v>10562881</v>
      </c>
      <c r="AI236" s="72">
        <v>1001928</v>
      </c>
      <c r="AJ236" s="72">
        <v>0</v>
      </c>
      <c r="AK236" s="72">
        <v>0</v>
      </c>
      <c r="AL236" s="72">
        <v>1001928</v>
      </c>
      <c r="AM236" s="72">
        <v>11564809</v>
      </c>
      <c r="AN236" s="72">
        <v>203989</v>
      </c>
      <c r="AO236" s="72">
        <v>3779877</v>
      </c>
      <c r="AP236" s="72">
        <v>3983866</v>
      </c>
      <c r="AQ236" s="72">
        <v>50000</v>
      </c>
      <c r="AR236" s="72">
        <v>0</v>
      </c>
      <c r="AS236" s="72">
        <v>0</v>
      </c>
      <c r="AT236" s="72">
        <v>500000</v>
      </c>
      <c r="AU236" s="72">
        <v>0</v>
      </c>
      <c r="AV236" s="72">
        <v>0</v>
      </c>
      <c r="AW236" s="72">
        <v>0</v>
      </c>
      <c r="AX236" s="72">
        <v>0</v>
      </c>
      <c r="AY236" s="72">
        <v>0</v>
      </c>
      <c r="AZ236" s="72">
        <v>500000</v>
      </c>
      <c r="BA236" s="72">
        <v>3433866</v>
      </c>
      <c r="BB236" s="72">
        <v>0</v>
      </c>
      <c r="BC236" s="72">
        <v>0</v>
      </c>
      <c r="BD236" s="72">
        <v>0</v>
      </c>
      <c r="BE236" s="72">
        <v>3433866</v>
      </c>
      <c r="BF236" s="72">
        <v>0</v>
      </c>
      <c r="BG236" s="72">
        <v>0</v>
      </c>
      <c r="BH236" s="72">
        <v>0</v>
      </c>
      <c r="BI236" s="72">
        <v>0</v>
      </c>
      <c r="BJ236" s="72">
        <v>3433866</v>
      </c>
      <c r="BM236" s="72">
        <v>0</v>
      </c>
      <c r="BN236" s="72">
        <v>0</v>
      </c>
      <c r="BO236" s="72">
        <v>0</v>
      </c>
      <c r="BP236" s="72">
        <v>0</v>
      </c>
      <c r="BQ236" s="72">
        <v>0</v>
      </c>
      <c r="BR236" s="72">
        <v>0</v>
      </c>
      <c r="BS236" s="72">
        <v>11768798</v>
      </c>
    </row>
    <row r="237" spans="1:71" x14ac:dyDescent="0.2">
      <c r="A237" t="s">
        <v>686</v>
      </c>
      <c r="B237" t="s">
        <v>1376</v>
      </c>
      <c r="C237" t="s">
        <v>85</v>
      </c>
      <c r="D237" s="72">
        <v>616853</v>
      </c>
      <c r="E237" s="72">
        <v>85238</v>
      </c>
      <c r="F237" s="72">
        <v>0</v>
      </c>
      <c r="G237" s="72">
        <v>7297782</v>
      </c>
      <c r="H237" s="72">
        <v>0</v>
      </c>
      <c r="I237" s="72">
        <v>0</v>
      </c>
      <c r="J237" s="72">
        <v>140137</v>
      </c>
      <c r="K237" s="72">
        <v>714013</v>
      </c>
      <c r="L237" s="72">
        <v>8854023</v>
      </c>
      <c r="M237" s="72">
        <v>0</v>
      </c>
      <c r="N237" s="72">
        <v>0</v>
      </c>
      <c r="O237" s="72">
        <v>0</v>
      </c>
      <c r="P237" s="72">
        <v>5981</v>
      </c>
      <c r="Q237" s="72">
        <v>35903</v>
      </c>
      <c r="R237" s="72">
        <v>41884</v>
      </c>
      <c r="S237" s="72">
        <v>8895907</v>
      </c>
      <c r="T237" s="72">
        <v>4564579</v>
      </c>
      <c r="U237" s="72">
        <v>1819889</v>
      </c>
      <c r="V237" s="72">
        <v>1209412</v>
      </c>
      <c r="W237" s="72">
        <v>269277</v>
      </c>
      <c r="X237" s="72">
        <v>378758</v>
      </c>
      <c r="Y237" s="72">
        <v>0</v>
      </c>
      <c r="Z237" s="72">
        <v>0</v>
      </c>
      <c r="AA237" s="72">
        <v>0</v>
      </c>
      <c r="AB237" s="72">
        <v>0</v>
      </c>
      <c r="AC237" s="72">
        <v>0</v>
      </c>
      <c r="AD237" s="72">
        <v>0</v>
      </c>
      <c r="AE237" s="72">
        <v>0</v>
      </c>
      <c r="AF237" s="72">
        <v>0</v>
      </c>
      <c r="AG237" s="72">
        <v>336380</v>
      </c>
      <c r="AH237" s="72">
        <v>8578295</v>
      </c>
      <c r="AI237" s="72">
        <v>100000</v>
      </c>
      <c r="AJ237" s="72">
        <v>0</v>
      </c>
      <c r="AK237" s="72">
        <v>0</v>
      </c>
      <c r="AL237" s="72">
        <v>100000</v>
      </c>
      <c r="AM237" s="72">
        <v>8678295</v>
      </c>
      <c r="AN237" s="72">
        <v>217612</v>
      </c>
      <c r="AO237" s="72">
        <v>2635169</v>
      </c>
      <c r="AP237" s="72">
        <v>2852781</v>
      </c>
      <c r="AQ237" s="72">
        <v>0</v>
      </c>
      <c r="AR237" s="72">
        <v>0</v>
      </c>
      <c r="AS237" s="72">
        <v>0</v>
      </c>
      <c r="AT237" s="72">
        <v>0</v>
      </c>
      <c r="AU237" s="72">
        <v>0</v>
      </c>
      <c r="AV237" s="72">
        <v>0</v>
      </c>
      <c r="AW237" s="72">
        <v>0</v>
      </c>
      <c r="AX237" s="72">
        <v>0</v>
      </c>
      <c r="AY237" s="72">
        <v>0</v>
      </c>
      <c r="AZ237" s="72">
        <v>0</v>
      </c>
      <c r="BA237" s="72">
        <v>2852781</v>
      </c>
      <c r="BB237" s="72">
        <v>0</v>
      </c>
      <c r="BC237" s="72">
        <v>0</v>
      </c>
      <c r="BD237" s="72">
        <v>0</v>
      </c>
      <c r="BE237" s="72">
        <v>2852781</v>
      </c>
      <c r="BF237" s="72">
        <v>0</v>
      </c>
      <c r="BG237" s="72">
        <v>0</v>
      </c>
      <c r="BH237" s="72">
        <v>0</v>
      </c>
      <c r="BI237" s="72">
        <v>0</v>
      </c>
      <c r="BJ237" s="72">
        <v>2852781</v>
      </c>
      <c r="BM237" s="72">
        <v>0</v>
      </c>
      <c r="BN237" s="72">
        <v>0</v>
      </c>
      <c r="BO237" s="72">
        <v>0</v>
      </c>
      <c r="BP237" s="72">
        <v>0</v>
      </c>
      <c r="BQ237" s="72">
        <v>0</v>
      </c>
      <c r="BR237" s="72">
        <v>0</v>
      </c>
      <c r="BS237" s="72">
        <v>8895907</v>
      </c>
    </row>
    <row r="238" spans="1:71" x14ac:dyDescent="0.2">
      <c r="A238" t="s">
        <v>489</v>
      </c>
      <c r="B238" t="s">
        <v>1193</v>
      </c>
      <c r="C238" t="s">
        <v>87</v>
      </c>
      <c r="D238" s="72">
        <v>3283203</v>
      </c>
      <c r="E238" s="72">
        <v>61039</v>
      </c>
      <c r="F238" s="72">
        <v>1433726</v>
      </c>
      <c r="G238" s="72">
        <v>2485090</v>
      </c>
      <c r="H238" s="72">
        <v>50790</v>
      </c>
      <c r="I238" s="72">
        <v>0</v>
      </c>
      <c r="J238" s="72">
        <v>1231295</v>
      </c>
      <c r="K238" s="72">
        <v>178965</v>
      </c>
      <c r="L238" s="72">
        <v>8724108</v>
      </c>
      <c r="M238" s="72">
        <v>0</v>
      </c>
      <c r="N238" s="72">
        <v>0</v>
      </c>
      <c r="O238" s="72">
        <v>170000</v>
      </c>
      <c r="P238" s="72">
        <v>5000</v>
      </c>
      <c r="Q238" s="72">
        <v>0</v>
      </c>
      <c r="R238" s="72">
        <v>175000</v>
      </c>
      <c r="S238" s="72">
        <v>8899108</v>
      </c>
      <c r="T238" s="72">
        <v>4199193</v>
      </c>
      <c r="U238" s="72">
        <v>1818419</v>
      </c>
      <c r="V238" s="72">
        <v>1215144</v>
      </c>
      <c r="W238" s="72">
        <v>310000</v>
      </c>
      <c r="X238" s="72">
        <v>105000</v>
      </c>
      <c r="Y238" s="72">
        <v>0</v>
      </c>
      <c r="Z238" s="72">
        <v>0</v>
      </c>
      <c r="AA238" s="72">
        <v>0</v>
      </c>
      <c r="AB238" s="72">
        <v>0</v>
      </c>
      <c r="AC238" s="72">
        <v>0</v>
      </c>
      <c r="AD238" s="72">
        <v>0</v>
      </c>
      <c r="AE238" s="72">
        <v>0</v>
      </c>
      <c r="AF238" s="72">
        <v>0</v>
      </c>
      <c r="AG238" s="72">
        <v>128793</v>
      </c>
      <c r="AH238" s="72">
        <v>7776549</v>
      </c>
      <c r="AI238" s="72">
        <v>119645</v>
      </c>
      <c r="AJ238" s="72">
        <v>0</v>
      </c>
      <c r="AK238" s="72">
        <v>-500</v>
      </c>
      <c r="AL238" s="72">
        <v>119145</v>
      </c>
      <c r="AM238" s="72">
        <v>7895694</v>
      </c>
      <c r="AN238" s="72">
        <v>1003414</v>
      </c>
      <c r="AO238" s="72">
        <v>847575</v>
      </c>
      <c r="AP238" s="72">
        <v>1850989</v>
      </c>
      <c r="AQ238" s="72">
        <v>20000</v>
      </c>
      <c r="AR238" s="72">
        <v>0</v>
      </c>
      <c r="AS238" s="72">
        <v>0</v>
      </c>
      <c r="AT238" s="72">
        <v>0</v>
      </c>
      <c r="AU238" s="72">
        <v>0</v>
      </c>
      <c r="AV238" s="72">
        <v>0</v>
      </c>
      <c r="AW238" s="72">
        <v>0</v>
      </c>
      <c r="AX238" s="72">
        <v>0</v>
      </c>
      <c r="AY238" s="72">
        <v>7373</v>
      </c>
      <c r="AZ238" s="72">
        <v>7373</v>
      </c>
      <c r="BA238" s="72">
        <v>1823616</v>
      </c>
      <c r="BB238" s="72">
        <v>0</v>
      </c>
      <c r="BC238" s="72">
        <v>0</v>
      </c>
      <c r="BD238" s="72">
        <v>0</v>
      </c>
      <c r="BE238" s="72">
        <v>1823616</v>
      </c>
      <c r="BF238" s="72">
        <v>0</v>
      </c>
      <c r="BG238" s="72">
        <v>0</v>
      </c>
      <c r="BH238" s="72">
        <v>0</v>
      </c>
      <c r="BI238" s="72">
        <v>0</v>
      </c>
      <c r="BJ238" s="72">
        <v>1823616</v>
      </c>
      <c r="BM238" s="72">
        <v>0</v>
      </c>
      <c r="BN238" s="72">
        <v>0</v>
      </c>
      <c r="BO238" s="72">
        <v>0</v>
      </c>
      <c r="BP238" s="72">
        <v>0</v>
      </c>
      <c r="BQ238" s="72">
        <v>0</v>
      </c>
      <c r="BR238" s="72">
        <v>0</v>
      </c>
      <c r="BS238" s="72">
        <v>8899108</v>
      </c>
    </row>
    <row r="239" spans="1:71" x14ac:dyDescent="0.2">
      <c r="A239" t="s">
        <v>505</v>
      </c>
      <c r="B239" t="s">
        <v>1209</v>
      </c>
      <c r="C239" t="s">
        <v>87</v>
      </c>
      <c r="D239" s="72">
        <v>1929013</v>
      </c>
      <c r="E239" s="72">
        <v>120565</v>
      </c>
      <c r="F239" s="72">
        <v>1621068</v>
      </c>
      <c r="G239" s="72">
        <v>3161862</v>
      </c>
      <c r="H239" s="72">
        <v>69643</v>
      </c>
      <c r="I239" s="72">
        <v>0</v>
      </c>
      <c r="J239" s="72">
        <v>755959</v>
      </c>
      <c r="K239" s="72">
        <v>468532</v>
      </c>
      <c r="L239" s="72">
        <v>8126642</v>
      </c>
      <c r="M239" s="72">
        <v>0</v>
      </c>
      <c r="N239" s="72">
        <v>0</v>
      </c>
      <c r="O239" s="72">
        <v>0</v>
      </c>
      <c r="P239" s="72">
        <v>0</v>
      </c>
      <c r="Q239" s="72">
        <v>15647</v>
      </c>
      <c r="R239" s="72">
        <v>15647</v>
      </c>
      <c r="S239" s="72">
        <v>8142289</v>
      </c>
      <c r="T239" s="72">
        <v>4533172</v>
      </c>
      <c r="U239" s="72">
        <v>1992342</v>
      </c>
      <c r="V239" s="72">
        <v>1355909</v>
      </c>
      <c r="W239" s="72">
        <v>341885</v>
      </c>
      <c r="X239" s="72">
        <v>155855</v>
      </c>
      <c r="Y239" s="72">
        <v>0</v>
      </c>
      <c r="Z239" s="72">
        <v>0</v>
      </c>
      <c r="AA239" s="72">
        <v>0</v>
      </c>
      <c r="AB239" s="72">
        <v>0</v>
      </c>
      <c r="AC239" s="72">
        <v>0</v>
      </c>
      <c r="AD239" s="72">
        <v>0</v>
      </c>
      <c r="AE239" s="72">
        <v>0</v>
      </c>
      <c r="AF239" s="72">
        <v>0</v>
      </c>
      <c r="AG239" s="72">
        <v>97000</v>
      </c>
      <c r="AH239" s="72">
        <v>8476163</v>
      </c>
      <c r="AI239" s="72">
        <v>15000</v>
      </c>
      <c r="AJ239" s="72">
        <v>0</v>
      </c>
      <c r="AK239" s="72">
        <v>8000</v>
      </c>
      <c r="AL239" s="72">
        <v>23000</v>
      </c>
      <c r="AM239" s="72">
        <v>8499163</v>
      </c>
      <c r="AN239" s="72">
        <v>-356874</v>
      </c>
      <c r="AO239" s="72">
        <v>5855685</v>
      </c>
      <c r="AP239" s="72">
        <v>5498811</v>
      </c>
      <c r="AQ239" s="72">
        <v>0</v>
      </c>
      <c r="AR239" s="72">
        <v>0</v>
      </c>
      <c r="AS239" s="72">
        <v>0</v>
      </c>
      <c r="AT239" s="72">
        <v>100024</v>
      </c>
      <c r="AU239" s="72">
        <v>0</v>
      </c>
      <c r="AV239" s="72">
        <v>0</v>
      </c>
      <c r="AW239" s="72">
        <v>0</v>
      </c>
      <c r="AX239" s="72">
        <v>0</v>
      </c>
      <c r="AY239" s="72">
        <v>0</v>
      </c>
      <c r="AZ239" s="72">
        <v>100024</v>
      </c>
      <c r="BA239" s="72">
        <v>5398787</v>
      </c>
      <c r="BB239" s="72">
        <v>0</v>
      </c>
      <c r="BC239" s="72">
        <v>0</v>
      </c>
      <c r="BD239" s="72">
        <v>0</v>
      </c>
      <c r="BE239" s="72">
        <v>5398787</v>
      </c>
      <c r="BF239" s="72">
        <v>0</v>
      </c>
      <c r="BG239" s="72">
        <v>0</v>
      </c>
      <c r="BH239" s="72">
        <v>0</v>
      </c>
      <c r="BI239" s="72">
        <v>0</v>
      </c>
      <c r="BJ239" s="72">
        <v>5398787</v>
      </c>
      <c r="BM239" s="72">
        <v>0</v>
      </c>
      <c r="BN239" s="72">
        <v>0</v>
      </c>
      <c r="BO239" s="72">
        <v>0</v>
      </c>
      <c r="BP239" s="72">
        <v>0</v>
      </c>
      <c r="BQ239" s="72">
        <v>0</v>
      </c>
      <c r="BR239" s="72">
        <v>0</v>
      </c>
      <c r="BS239" s="72">
        <v>8499163</v>
      </c>
    </row>
    <row r="240" spans="1:71" x14ac:dyDescent="0.2">
      <c r="A240" t="s">
        <v>506</v>
      </c>
      <c r="B240" t="s">
        <v>1210</v>
      </c>
      <c r="C240" t="s">
        <v>87</v>
      </c>
      <c r="D240" s="72">
        <v>979810</v>
      </c>
      <c r="E240" s="72">
        <v>38007</v>
      </c>
      <c r="F240" s="72">
        <v>702803</v>
      </c>
      <c r="G240" s="72">
        <v>1944696</v>
      </c>
      <c r="H240" s="72">
        <v>8456</v>
      </c>
      <c r="I240" s="72">
        <v>0</v>
      </c>
      <c r="J240" s="72">
        <v>133672</v>
      </c>
      <c r="K240" s="72">
        <v>284597</v>
      </c>
      <c r="L240" s="72">
        <v>4092041</v>
      </c>
      <c r="M240" s="72">
        <v>0</v>
      </c>
      <c r="N240" s="72">
        <v>0</v>
      </c>
      <c r="O240" s="72">
        <v>0</v>
      </c>
      <c r="P240" s="72">
        <v>0</v>
      </c>
      <c r="Q240" s="72">
        <v>0</v>
      </c>
      <c r="R240" s="72">
        <v>0</v>
      </c>
      <c r="S240" s="72">
        <v>4092041</v>
      </c>
      <c r="T240" s="72">
        <v>2233023</v>
      </c>
      <c r="U240" s="72">
        <v>1045878</v>
      </c>
      <c r="V240" s="72">
        <v>563060</v>
      </c>
      <c r="W240" s="72">
        <v>221529</v>
      </c>
      <c r="X240" s="72">
        <v>2592</v>
      </c>
      <c r="Y240" s="72">
        <v>0</v>
      </c>
      <c r="Z240" s="72">
        <v>0</v>
      </c>
      <c r="AA240" s="72">
        <v>0</v>
      </c>
      <c r="AB240" s="72">
        <v>0</v>
      </c>
      <c r="AC240" s="72">
        <v>0</v>
      </c>
      <c r="AD240" s="72">
        <v>0</v>
      </c>
      <c r="AE240" s="72">
        <v>0</v>
      </c>
      <c r="AF240" s="72">
        <v>0</v>
      </c>
      <c r="AG240" s="72">
        <v>123307</v>
      </c>
      <c r="AH240" s="72">
        <v>4189389</v>
      </c>
      <c r="AI240" s="72">
        <v>116000</v>
      </c>
      <c r="AJ240" s="72">
        <v>0</v>
      </c>
      <c r="AK240" s="72">
        <v>0</v>
      </c>
      <c r="AL240" s="72">
        <v>116000</v>
      </c>
      <c r="AM240" s="72">
        <v>4305389</v>
      </c>
      <c r="AN240" s="72">
        <v>-213348</v>
      </c>
      <c r="AO240" s="72">
        <v>2783111</v>
      </c>
      <c r="AP240" s="72">
        <v>2569763</v>
      </c>
      <c r="AQ240" s="72">
        <v>35000</v>
      </c>
      <c r="AR240" s="72">
        <v>0</v>
      </c>
      <c r="AS240" s="72">
        <v>32411</v>
      </c>
      <c r="AT240" s="72">
        <v>40000</v>
      </c>
      <c r="AU240" s="72">
        <v>0</v>
      </c>
      <c r="AV240" s="72">
        <v>0</v>
      </c>
      <c r="AW240" s="72">
        <v>0</v>
      </c>
      <c r="AX240" s="72">
        <v>0</v>
      </c>
      <c r="AY240" s="72">
        <v>0</v>
      </c>
      <c r="AZ240" s="72">
        <v>72411</v>
      </c>
      <c r="BA240" s="72">
        <v>2462353</v>
      </c>
      <c r="BB240" s="72">
        <v>0</v>
      </c>
      <c r="BC240" s="72">
        <v>0</v>
      </c>
      <c r="BD240" s="72">
        <v>0</v>
      </c>
      <c r="BE240" s="72">
        <v>2462353</v>
      </c>
      <c r="BF240" s="72">
        <v>0</v>
      </c>
      <c r="BG240" s="72">
        <v>0</v>
      </c>
      <c r="BH240" s="72">
        <v>0</v>
      </c>
      <c r="BI240" s="72">
        <v>0</v>
      </c>
      <c r="BJ240" s="72">
        <v>2462353</v>
      </c>
      <c r="BK240" s="72">
        <v>31</v>
      </c>
      <c r="BL240" s="72">
        <v>384</v>
      </c>
      <c r="BM240" s="72">
        <v>0</v>
      </c>
      <c r="BN240" s="72">
        <v>0</v>
      </c>
      <c r="BO240" s="72">
        <v>0</v>
      </c>
      <c r="BP240" s="72">
        <v>0</v>
      </c>
      <c r="BQ240" s="72">
        <v>0</v>
      </c>
      <c r="BR240" s="72">
        <v>0</v>
      </c>
      <c r="BS240" s="72">
        <v>4305389</v>
      </c>
    </row>
    <row r="241" spans="1:71" x14ac:dyDescent="0.2">
      <c r="A241" t="s">
        <v>735</v>
      </c>
      <c r="B241" t="s">
        <v>1424</v>
      </c>
      <c r="C241" t="s">
        <v>87</v>
      </c>
      <c r="D241" s="72">
        <v>975150</v>
      </c>
      <c r="E241" s="72">
        <v>0</v>
      </c>
      <c r="F241" s="72">
        <v>570416</v>
      </c>
      <c r="G241" s="72">
        <v>3397116</v>
      </c>
      <c r="H241" s="72">
        <v>38534</v>
      </c>
      <c r="I241" s="72">
        <v>0</v>
      </c>
      <c r="J241" s="72">
        <v>148426</v>
      </c>
      <c r="K241" s="72">
        <v>361773</v>
      </c>
      <c r="L241" s="72">
        <v>5491415</v>
      </c>
      <c r="M241" s="72">
        <v>0</v>
      </c>
      <c r="N241" s="72">
        <v>0</v>
      </c>
      <c r="O241" s="72">
        <v>0</v>
      </c>
      <c r="P241" s="72">
        <v>0</v>
      </c>
      <c r="Q241" s="72">
        <v>30000</v>
      </c>
      <c r="R241" s="72">
        <v>30000</v>
      </c>
      <c r="S241" s="72">
        <v>5521415</v>
      </c>
      <c r="T241" s="72">
        <v>2988916</v>
      </c>
      <c r="U241" s="72">
        <v>1221143</v>
      </c>
      <c r="V241" s="72">
        <v>1285804</v>
      </c>
      <c r="W241" s="72">
        <v>207748</v>
      </c>
      <c r="X241" s="72">
        <v>37551</v>
      </c>
      <c r="Y241" s="72">
        <v>0</v>
      </c>
      <c r="Z241" s="72">
        <v>0</v>
      </c>
      <c r="AA241" s="72">
        <v>0</v>
      </c>
      <c r="AB241" s="72">
        <v>0</v>
      </c>
      <c r="AC241" s="72">
        <v>0</v>
      </c>
      <c r="AD241" s="72">
        <v>0</v>
      </c>
      <c r="AE241" s="72">
        <v>0</v>
      </c>
      <c r="AF241" s="72">
        <v>0</v>
      </c>
      <c r="AG241" s="72">
        <v>84194</v>
      </c>
      <c r="AH241" s="72">
        <v>5825356</v>
      </c>
      <c r="AI241" s="72">
        <v>0</v>
      </c>
      <c r="AJ241" s="72">
        <v>0</v>
      </c>
      <c r="AK241" s="72">
        <v>0</v>
      </c>
      <c r="AL241" s="72">
        <v>0</v>
      </c>
      <c r="AM241" s="72">
        <v>5825356</v>
      </c>
      <c r="AN241" s="72">
        <v>-303941</v>
      </c>
      <c r="AO241" s="72">
        <v>2405682</v>
      </c>
      <c r="AP241" s="72">
        <v>2101741</v>
      </c>
      <c r="AQ241" s="72">
        <v>0</v>
      </c>
      <c r="AR241" s="72">
        <v>0</v>
      </c>
      <c r="AS241" s="72">
        <v>0</v>
      </c>
      <c r="AT241" s="72">
        <v>0</v>
      </c>
      <c r="AU241" s="72">
        <v>0</v>
      </c>
      <c r="AV241" s="72">
        <v>0</v>
      </c>
      <c r="AW241" s="72">
        <v>0</v>
      </c>
      <c r="AX241" s="72">
        <v>0</v>
      </c>
      <c r="AY241" s="72">
        <v>0</v>
      </c>
      <c r="AZ241" s="72">
        <v>0</v>
      </c>
      <c r="BA241" s="72">
        <v>2101741</v>
      </c>
      <c r="BB241" s="72">
        <v>0</v>
      </c>
      <c r="BC241" s="72">
        <v>0</v>
      </c>
      <c r="BD241" s="72">
        <v>0</v>
      </c>
      <c r="BE241" s="72">
        <v>2101741</v>
      </c>
      <c r="BF241" s="72">
        <v>0</v>
      </c>
      <c r="BG241" s="72">
        <v>0</v>
      </c>
      <c r="BH241" s="72">
        <v>0</v>
      </c>
      <c r="BI241" s="72">
        <v>0</v>
      </c>
      <c r="BJ241" s="72">
        <v>2101741</v>
      </c>
      <c r="BK241" s="72">
        <v>42</v>
      </c>
      <c r="BL241" s="72">
        <v>515</v>
      </c>
      <c r="BM241" s="72">
        <v>0</v>
      </c>
      <c r="BN241" s="72">
        <v>0</v>
      </c>
      <c r="BO241" s="72">
        <v>0</v>
      </c>
      <c r="BP241" s="72">
        <v>0</v>
      </c>
      <c r="BQ241" s="72">
        <v>0</v>
      </c>
      <c r="BR241" s="72">
        <v>0</v>
      </c>
      <c r="BS241" s="72">
        <v>5825356</v>
      </c>
    </row>
    <row r="242" spans="1:71" x14ac:dyDescent="0.2">
      <c r="A242" t="s">
        <v>657</v>
      </c>
      <c r="B242" t="s">
        <v>1347</v>
      </c>
      <c r="C242" t="s">
        <v>41</v>
      </c>
      <c r="D242" s="72">
        <v>6967368</v>
      </c>
      <c r="E242" s="72">
        <v>392337</v>
      </c>
      <c r="F242" s="72">
        <v>0</v>
      </c>
      <c r="G242" s="72">
        <v>3468547</v>
      </c>
      <c r="H242" s="72">
        <v>6409</v>
      </c>
      <c r="I242" s="72">
        <v>0</v>
      </c>
      <c r="J242" s="72">
        <v>1136737</v>
      </c>
      <c r="K242" s="72">
        <v>1805853</v>
      </c>
      <c r="L242" s="72">
        <v>13777251</v>
      </c>
      <c r="M242" s="72">
        <v>1300000</v>
      </c>
      <c r="N242" s="72">
        <v>0</v>
      </c>
      <c r="O242" s="72">
        <v>0</v>
      </c>
      <c r="P242" s="72">
        <v>946008</v>
      </c>
      <c r="Q242" s="72">
        <v>69630</v>
      </c>
      <c r="R242" s="72">
        <v>2315638</v>
      </c>
      <c r="S242" s="72">
        <v>16092889</v>
      </c>
      <c r="T242" s="72">
        <v>5839274</v>
      </c>
      <c r="U242" s="72">
        <v>2519314</v>
      </c>
      <c r="V242" s="72">
        <v>2507084</v>
      </c>
      <c r="W242" s="72">
        <v>428048</v>
      </c>
      <c r="X242" s="72">
        <v>79299</v>
      </c>
      <c r="Y242" s="72">
        <v>0</v>
      </c>
      <c r="Z242" s="72">
        <v>0</v>
      </c>
      <c r="AA242" s="72">
        <v>1300000</v>
      </c>
      <c r="AB242" s="72">
        <v>0</v>
      </c>
      <c r="AC242" s="72">
        <v>0</v>
      </c>
      <c r="AD242" s="72">
        <v>0</v>
      </c>
      <c r="AE242" s="72">
        <v>24465</v>
      </c>
      <c r="AF242" s="72">
        <v>11668</v>
      </c>
      <c r="AG242" s="72">
        <v>269887</v>
      </c>
      <c r="AH242" s="72">
        <v>12979039</v>
      </c>
      <c r="AI242" s="72">
        <v>1977147</v>
      </c>
      <c r="AJ242" s="72">
        <v>525015</v>
      </c>
      <c r="AK242" s="72">
        <v>0</v>
      </c>
      <c r="AL242" s="72">
        <v>2502162</v>
      </c>
      <c r="AM242" s="72">
        <v>15481201</v>
      </c>
      <c r="AN242" s="72">
        <v>611688</v>
      </c>
      <c r="AO242" s="72">
        <v>256234</v>
      </c>
      <c r="AP242" s="72">
        <v>867922</v>
      </c>
      <c r="AQ242" s="72">
        <v>200000</v>
      </c>
      <c r="AR242" s="72">
        <v>0</v>
      </c>
      <c r="AS242" s="72">
        <v>0</v>
      </c>
      <c r="AT242" s="72">
        <v>0</v>
      </c>
      <c r="AU242" s="72">
        <v>0</v>
      </c>
      <c r="AV242" s="72">
        <v>0</v>
      </c>
      <c r="AW242" s="72">
        <v>0</v>
      </c>
      <c r="AX242" s="72">
        <v>0</v>
      </c>
      <c r="AY242" s="72">
        <v>0</v>
      </c>
      <c r="AZ242" s="72">
        <v>0</v>
      </c>
      <c r="BA242" s="72">
        <v>667922</v>
      </c>
      <c r="BB242" s="72">
        <v>0</v>
      </c>
      <c r="BC242" s="72">
        <v>0</v>
      </c>
      <c r="BD242" s="72">
        <v>0</v>
      </c>
      <c r="BE242" s="72">
        <v>667922</v>
      </c>
      <c r="BF242" s="72">
        <v>0</v>
      </c>
      <c r="BG242" s="72">
        <v>0</v>
      </c>
      <c r="BH242" s="72">
        <v>0</v>
      </c>
      <c r="BI242" s="72">
        <v>0</v>
      </c>
      <c r="BJ242" s="72">
        <v>667922</v>
      </c>
      <c r="BM242" s="72">
        <v>0</v>
      </c>
      <c r="BN242" s="72">
        <v>0</v>
      </c>
      <c r="BO242" s="72">
        <v>0</v>
      </c>
      <c r="BP242" s="72">
        <v>0</v>
      </c>
      <c r="BQ242" s="72">
        <v>0</v>
      </c>
      <c r="BR242" s="72">
        <v>0</v>
      </c>
      <c r="BS242" s="72">
        <v>16092889</v>
      </c>
    </row>
    <row r="243" spans="1:71" x14ac:dyDescent="0.2">
      <c r="A243" t="s">
        <v>626</v>
      </c>
      <c r="B243" t="s">
        <v>1122</v>
      </c>
      <c r="C243" t="s">
        <v>41</v>
      </c>
      <c r="D243" s="72">
        <v>1371881</v>
      </c>
      <c r="E243" s="72">
        <v>135119</v>
      </c>
      <c r="F243" s="72">
        <v>0</v>
      </c>
      <c r="G243" s="72">
        <v>2426957</v>
      </c>
      <c r="H243" s="72">
        <v>38168</v>
      </c>
      <c r="I243" s="72">
        <v>0</v>
      </c>
      <c r="J243" s="72">
        <v>217000</v>
      </c>
      <c r="K243" s="72">
        <v>1563700</v>
      </c>
      <c r="L243" s="72">
        <v>5752825</v>
      </c>
      <c r="M243" s="72">
        <v>0</v>
      </c>
      <c r="N243" s="72">
        <v>0</v>
      </c>
      <c r="O243" s="72">
        <v>0</v>
      </c>
      <c r="P243" s="72">
        <v>0</v>
      </c>
      <c r="Q243" s="72">
        <v>0</v>
      </c>
      <c r="R243" s="72">
        <v>0</v>
      </c>
      <c r="S243" s="72">
        <v>5752825</v>
      </c>
      <c r="T243" s="72">
        <v>3367807</v>
      </c>
      <c r="U243" s="72">
        <v>1636140</v>
      </c>
      <c r="V243" s="72">
        <v>1052835</v>
      </c>
      <c r="W243" s="72">
        <v>136860</v>
      </c>
      <c r="X243" s="72">
        <v>21236</v>
      </c>
      <c r="Y243" s="72">
        <v>0</v>
      </c>
      <c r="Z243" s="72">
        <v>0</v>
      </c>
      <c r="AA243" s="72">
        <v>0</v>
      </c>
      <c r="AB243" s="72">
        <v>0</v>
      </c>
      <c r="AC243" s="72">
        <v>0</v>
      </c>
      <c r="AD243" s="72">
        <v>0</v>
      </c>
      <c r="AE243" s="72">
        <v>0</v>
      </c>
      <c r="AF243" s="72">
        <v>0</v>
      </c>
      <c r="AG243" s="72">
        <v>122634</v>
      </c>
      <c r="AH243" s="72">
        <v>6337512</v>
      </c>
      <c r="AI243" s="72">
        <v>15012</v>
      </c>
      <c r="AJ243" s="72">
        <v>0</v>
      </c>
      <c r="AK243" s="72">
        <v>0</v>
      </c>
      <c r="AL243" s="72">
        <v>15012</v>
      </c>
      <c r="AM243" s="72">
        <v>6352524</v>
      </c>
      <c r="AN243" s="72">
        <v>-599699</v>
      </c>
      <c r="AO243" s="72">
        <v>1401405</v>
      </c>
      <c r="AP243" s="72">
        <v>801706</v>
      </c>
      <c r="AQ243" s="72">
        <v>0</v>
      </c>
      <c r="AR243" s="72">
        <v>0</v>
      </c>
      <c r="AS243" s="72">
        <v>0</v>
      </c>
      <c r="AT243" s="72">
        <v>0</v>
      </c>
      <c r="AU243" s="72">
        <v>0</v>
      </c>
      <c r="AV243" s="72">
        <v>0</v>
      </c>
      <c r="AW243" s="72">
        <v>0</v>
      </c>
      <c r="AX243" s="72">
        <v>0</v>
      </c>
      <c r="AY243" s="72">
        <v>2126</v>
      </c>
      <c r="AZ243" s="72">
        <v>2126</v>
      </c>
      <c r="BA243" s="72">
        <v>799580</v>
      </c>
      <c r="BB243" s="72">
        <v>0</v>
      </c>
      <c r="BC243" s="72">
        <v>0</v>
      </c>
      <c r="BD243" s="72">
        <v>0</v>
      </c>
      <c r="BE243" s="72">
        <v>799580</v>
      </c>
      <c r="BF243" s="72">
        <v>0</v>
      </c>
      <c r="BG243" s="72">
        <v>0</v>
      </c>
      <c r="BH243" s="72">
        <v>0</v>
      </c>
      <c r="BI243" s="72">
        <v>0</v>
      </c>
      <c r="BJ243" s="72">
        <v>799580</v>
      </c>
      <c r="BK243" s="72">
        <v>60</v>
      </c>
      <c r="BL243" s="72">
        <v>753</v>
      </c>
      <c r="BM243" s="72">
        <v>0</v>
      </c>
      <c r="BN243" s="72">
        <v>0</v>
      </c>
      <c r="BO243" s="72">
        <v>0</v>
      </c>
      <c r="BP243" s="72">
        <v>0</v>
      </c>
      <c r="BQ243" s="72">
        <v>0</v>
      </c>
      <c r="BR243" s="72">
        <v>0</v>
      </c>
      <c r="BS243" s="72">
        <v>6352524</v>
      </c>
    </row>
    <row r="244" spans="1:71" x14ac:dyDescent="0.2">
      <c r="A244" t="s">
        <v>699</v>
      </c>
      <c r="B244" t="s">
        <v>1389</v>
      </c>
      <c r="C244" t="s">
        <v>41</v>
      </c>
      <c r="D244" s="72">
        <v>2537129</v>
      </c>
      <c r="E244" s="72">
        <v>250000</v>
      </c>
      <c r="F244" s="72">
        <v>0</v>
      </c>
      <c r="G244" s="72">
        <v>7756925</v>
      </c>
      <c r="H244" s="72">
        <v>99281</v>
      </c>
      <c r="I244" s="72">
        <v>0</v>
      </c>
      <c r="J244" s="72">
        <v>402699</v>
      </c>
      <c r="K244" s="72">
        <v>1500000</v>
      </c>
      <c r="L244" s="72">
        <v>12546034</v>
      </c>
      <c r="M244" s="72">
        <v>0</v>
      </c>
      <c r="N244" s="72">
        <v>0</v>
      </c>
      <c r="O244" s="72">
        <v>71549</v>
      </c>
      <c r="P244" s="72">
        <v>11486</v>
      </c>
      <c r="Q244" s="72">
        <v>0</v>
      </c>
      <c r="R244" s="72">
        <v>83035</v>
      </c>
      <c r="S244" s="72">
        <v>12629069</v>
      </c>
      <c r="T244" s="72">
        <v>6781001</v>
      </c>
      <c r="U244" s="72">
        <v>3132085</v>
      </c>
      <c r="V244" s="72">
        <v>1500000</v>
      </c>
      <c r="W244" s="72">
        <v>400000</v>
      </c>
      <c r="X244" s="72">
        <v>180000</v>
      </c>
      <c r="Y244" s="72">
        <v>0</v>
      </c>
      <c r="Z244" s="72">
        <v>0</v>
      </c>
      <c r="AA244" s="72">
        <v>56000</v>
      </c>
      <c r="AB244" s="72">
        <v>0</v>
      </c>
      <c r="AC244" s="72">
        <v>0</v>
      </c>
      <c r="AD244" s="72">
        <v>0</v>
      </c>
      <c r="AE244" s="72">
        <v>0</v>
      </c>
      <c r="AF244" s="72">
        <v>15549</v>
      </c>
      <c r="AG244" s="72">
        <v>180000</v>
      </c>
      <c r="AH244" s="72">
        <v>12244635</v>
      </c>
      <c r="AI244" s="72">
        <v>171549</v>
      </c>
      <c r="AJ244" s="72">
        <v>0</v>
      </c>
      <c r="AK244" s="72">
        <v>12600</v>
      </c>
      <c r="AL244" s="72">
        <v>184149</v>
      </c>
      <c r="AM244" s="72">
        <v>12428784</v>
      </c>
      <c r="AN244" s="72">
        <v>200285</v>
      </c>
      <c r="AO244" s="72">
        <v>577347</v>
      </c>
      <c r="AP244" s="72">
        <v>777632</v>
      </c>
      <c r="AQ244" s="72">
        <v>75000</v>
      </c>
      <c r="AR244" s="72">
        <v>0</v>
      </c>
      <c r="AS244" s="72">
        <v>0</v>
      </c>
      <c r="AT244" s="72">
        <v>0</v>
      </c>
      <c r="AU244" s="72">
        <v>0</v>
      </c>
      <c r="AV244" s="72">
        <v>0</v>
      </c>
      <c r="AW244" s="72">
        <v>0</v>
      </c>
      <c r="AX244" s="72">
        <v>0</v>
      </c>
      <c r="AY244" s="72">
        <v>0</v>
      </c>
      <c r="AZ244" s="72">
        <v>0</v>
      </c>
      <c r="BA244" s="72">
        <v>702632</v>
      </c>
      <c r="BB244" s="72">
        <v>0</v>
      </c>
      <c r="BC244" s="72">
        <v>0</v>
      </c>
      <c r="BD244" s="72">
        <v>0</v>
      </c>
      <c r="BE244" s="72">
        <v>702632</v>
      </c>
      <c r="BF244" s="72">
        <v>0</v>
      </c>
      <c r="BG244" s="72">
        <v>0</v>
      </c>
      <c r="BH244" s="72">
        <v>0</v>
      </c>
      <c r="BI244" s="72">
        <v>0</v>
      </c>
      <c r="BJ244" s="72">
        <v>702632</v>
      </c>
      <c r="BK244" s="72">
        <v>0</v>
      </c>
      <c r="BL244" s="72">
        <v>0</v>
      </c>
      <c r="BM244" s="72">
        <v>0</v>
      </c>
      <c r="BN244" s="72">
        <v>0</v>
      </c>
      <c r="BO244" s="72">
        <v>0</v>
      </c>
      <c r="BP244" s="72">
        <v>0</v>
      </c>
      <c r="BQ244" s="72">
        <v>0</v>
      </c>
      <c r="BR244" s="72">
        <v>0</v>
      </c>
      <c r="BS244" s="72">
        <v>12629069</v>
      </c>
    </row>
    <row r="245" spans="1:71" x14ac:dyDescent="0.2">
      <c r="A245" t="s">
        <v>279</v>
      </c>
      <c r="B245" t="s">
        <v>996</v>
      </c>
      <c r="C245" t="s">
        <v>94</v>
      </c>
      <c r="D245" s="72">
        <v>2742325</v>
      </c>
      <c r="E245" s="72">
        <v>395559</v>
      </c>
      <c r="F245" s="72">
        <v>0</v>
      </c>
      <c r="G245" s="72">
        <v>7222364</v>
      </c>
      <c r="H245" s="72">
        <v>64788</v>
      </c>
      <c r="I245" s="72">
        <v>0</v>
      </c>
      <c r="J245" s="72">
        <v>464100</v>
      </c>
      <c r="K245" s="72">
        <v>874295</v>
      </c>
      <c r="L245" s="72">
        <v>11763431</v>
      </c>
      <c r="M245" s="72">
        <v>0</v>
      </c>
      <c r="N245" s="72">
        <v>0</v>
      </c>
      <c r="O245" s="72">
        <v>0</v>
      </c>
      <c r="P245" s="72">
        <v>101005</v>
      </c>
      <c r="Q245" s="72">
        <v>34801</v>
      </c>
      <c r="R245" s="72">
        <v>135806</v>
      </c>
      <c r="S245" s="72">
        <v>11899237</v>
      </c>
      <c r="T245" s="72">
        <v>5517795</v>
      </c>
      <c r="U245" s="72">
        <v>2764138</v>
      </c>
      <c r="V245" s="72">
        <v>2738392</v>
      </c>
      <c r="W245" s="72">
        <v>426427</v>
      </c>
      <c r="X245" s="72">
        <v>56782</v>
      </c>
      <c r="Y245" s="72">
        <v>0</v>
      </c>
      <c r="Z245" s="72">
        <v>0</v>
      </c>
      <c r="AA245" s="72">
        <v>0</v>
      </c>
      <c r="AB245" s="72">
        <v>0</v>
      </c>
      <c r="AC245" s="72">
        <v>0</v>
      </c>
      <c r="AD245" s="72">
        <v>0</v>
      </c>
      <c r="AE245" s="72">
        <v>0</v>
      </c>
      <c r="AF245" s="72">
        <v>0</v>
      </c>
      <c r="AG245" s="72">
        <v>175066</v>
      </c>
      <c r="AH245" s="72">
        <v>11678600</v>
      </c>
      <c r="AI245" s="72">
        <v>0</v>
      </c>
      <c r="AJ245" s="72">
        <v>0</v>
      </c>
      <c r="AK245" s="72">
        <v>0</v>
      </c>
      <c r="AL245" s="72">
        <v>0</v>
      </c>
      <c r="AM245" s="72">
        <v>11678600</v>
      </c>
      <c r="AN245" s="72">
        <v>220637</v>
      </c>
      <c r="AO245" s="72">
        <v>2170840</v>
      </c>
      <c r="AP245" s="72">
        <v>2391477</v>
      </c>
      <c r="AQ245" s="72">
        <v>26827</v>
      </c>
      <c r="AR245" s="72">
        <v>0</v>
      </c>
      <c r="AS245" s="72">
        <v>0</v>
      </c>
      <c r="AT245" s="72">
        <v>0</v>
      </c>
      <c r="AU245" s="72">
        <v>0</v>
      </c>
      <c r="AV245" s="72">
        <v>0</v>
      </c>
      <c r="AW245" s="72">
        <v>0</v>
      </c>
      <c r="AX245" s="72">
        <v>0</v>
      </c>
      <c r="AY245" s="72">
        <v>0</v>
      </c>
      <c r="AZ245" s="72">
        <v>0</v>
      </c>
      <c r="BA245" s="72">
        <v>2364650</v>
      </c>
      <c r="BB245" s="72">
        <v>0</v>
      </c>
      <c r="BC245" s="72">
        <v>0</v>
      </c>
      <c r="BD245" s="72">
        <v>0</v>
      </c>
      <c r="BE245" s="72">
        <v>2364650</v>
      </c>
      <c r="BF245" s="72">
        <v>0</v>
      </c>
      <c r="BG245" s="72">
        <v>0</v>
      </c>
      <c r="BH245" s="72">
        <v>0</v>
      </c>
      <c r="BI245" s="72">
        <v>0</v>
      </c>
      <c r="BJ245" s="72">
        <v>2364650</v>
      </c>
      <c r="BK245" s="72">
        <v>118</v>
      </c>
      <c r="BL245" s="72">
        <v>1233</v>
      </c>
      <c r="BM245" s="72">
        <v>0</v>
      </c>
      <c r="BN245" s="72">
        <v>0</v>
      </c>
      <c r="BO245" s="72">
        <v>0</v>
      </c>
      <c r="BP245" s="72">
        <v>0</v>
      </c>
      <c r="BQ245" s="72">
        <v>0</v>
      </c>
      <c r="BR245" s="72">
        <v>0</v>
      </c>
      <c r="BS245" s="72">
        <v>11899237</v>
      </c>
    </row>
    <row r="246" spans="1:71" x14ac:dyDescent="0.2">
      <c r="A246" t="s">
        <v>308</v>
      </c>
      <c r="B246" t="s">
        <v>1022</v>
      </c>
      <c r="C246" t="s">
        <v>94</v>
      </c>
      <c r="D246" s="72">
        <v>1664937</v>
      </c>
      <c r="E246" s="72">
        <v>0</v>
      </c>
      <c r="F246" s="72">
        <v>0</v>
      </c>
      <c r="G246" s="72">
        <v>4289518</v>
      </c>
      <c r="H246" s="72">
        <v>40766</v>
      </c>
      <c r="I246" s="72">
        <v>0</v>
      </c>
      <c r="J246" s="72">
        <v>260401</v>
      </c>
      <c r="K246" s="72">
        <v>1164039</v>
      </c>
      <c r="L246" s="72">
        <v>7419661</v>
      </c>
      <c r="M246" s="72">
        <v>0</v>
      </c>
      <c r="N246" s="72">
        <v>0</v>
      </c>
      <c r="O246" s="72">
        <v>0</v>
      </c>
      <c r="P246" s="72">
        <v>0</v>
      </c>
      <c r="Q246" s="72">
        <v>0</v>
      </c>
      <c r="R246" s="72">
        <v>0</v>
      </c>
      <c r="S246" s="72">
        <v>7419661</v>
      </c>
      <c r="T246" s="72">
        <v>3948128</v>
      </c>
      <c r="U246" s="72">
        <v>1686298</v>
      </c>
      <c r="V246" s="72">
        <v>1072100</v>
      </c>
      <c r="W246" s="72">
        <v>225300</v>
      </c>
      <c r="X246" s="72">
        <v>13060</v>
      </c>
      <c r="Y246" s="72">
        <v>0</v>
      </c>
      <c r="Z246" s="72">
        <v>0</v>
      </c>
      <c r="AA246" s="72">
        <v>0</v>
      </c>
      <c r="AB246" s="72">
        <v>0</v>
      </c>
      <c r="AC246" s="72">
        <v>0</v>
      </c>
      <c r="AD246" s="72">
        <v>0</v>
      </c>
      <c r="AE246" s="72">
        <v>0</v>
      </c>
      <c r="AF246" s="72">
        <v>0</v>
      </c>
      <c r="AG246" s="72">
        <v>645532</v>
      </c>
      <c r="AH246" s="72">
        <v>7590418</v>
      </c>
      <c r="AI246" s="72">
        <v>0</v>
      </c>
      <c r="AJ246" s="72">
        <v>0</v>
      </c>
      <c r="AK246" s="72">
        <v>0</v>
      </c>
      <c r="AL246" s="72">
        <v>0</v>
      </c>
      <c r="AM246" s="72">
        <v>7590418</v>
      </c>
      <c r="AN246" s="72">
        <v>-170757</v>
      </c>
      <c r="AO246" s="72">
        <v>1270134</v>
      </c>
      <c r="AP246" s="72">
        <v>1099377</v>
      </c>
      <c r="AQ246" s="72">
        <v>150000</v>
      </c>
      <c r="AR246" s="72">
        <v>0</v>
      </c>
      <c r="AS246" s="72">
        <v>0</v>
      </c>
      <c r="AT246" s="72">
        <v>0</v>
      </c>
      <c r="AU246" s="72">
        <v>0</v>
      </c>
      <c r="AV246" s="72">
        <v>0</v>
      </c>
      <c r="AW246" s="72">
        <v>0</v>
      </c>
      <c r="AX246" s="72">
        <v>0</v>
      </c>
      <c r="AY246" s="72">
        <v>0</v>
      </c>
      <c r="AZ246" s="72">
        <v>0</v>
      </c>
      <c r="BA246" s="72">
        <v>949377</v>
      </c>
      <c r="BB246" s="72">
        <v>0</v>
      </c>
      <c r="BC246" s="72">
        <v>0</v>
      </c>
      <c r="BD246" s="72">
        <v>0</v>
      </c>
      <c r="BE246" s="72">
        <v>949377</v>
      </c>
      <c r="BF246" s="72">
        <v>0</v>
      </c>
      <c r="BG246" s="72">
        <v>0</v>
      </c>
      <c r="BH246" s="72">
        <v>0</v>
      </c>
      <c r="BI246" s="72">
        <v>0</v>
      </c>
      <c r="BJ246" s="72">
        <v>949377</v>
      </c>
      <c r="BK246" s="72">
        <v>0</v>
      </c>
      <c r="BL246" s="72">
        <v>0</v>
      </c>
      <c r="BM246" s="72">
        <v>0</v>
      </c>
      <c r="BN246" s="72">
        <v>0</v>
      </c>
      <c r="BO246" s="72">
        <v>0</v>
      </c>
      <c r="BP246" s="72">
        <v>0</v>
      </c>
      <c r="BQ246" s="72">
        <v>0</v>
      </c>
      <c r="BR246" s="72">
        <v>0</v>
      </c>
      <c r="BS246" s="72">
        <v>7590418</v>
      </c>
    </row>
    <row r="247" spans="1:71" x14ac:dyDescent="0.2">
      <c r="A247" t="s">
        <v>747</v>
      </c>
      <c r="B247" t="s">
        <v>1436</v>
      </c>
      <c r="C247" t="s">
        <v>94</v>
      </c>
      <c r="D247" s="72">
        <v>4075843</v>
      </c>
      <c r="E247" s="72">
        <v>204596</v>
      </c>
      <c r="F247" s="72">
        <v>0</v>
      </c>
      <c r="G247" s="72">
        <v>19596680</v>
      </c>
      <c r="H247" s="72">
        <v>615728</v>
      </c>
      <c r="I247" s="72">
        <v>0</v>
      </c>
      <c r="J247" s="72">
        <v>670015</v>
      </c>
      <c r="K247" s="72">
        <v>2145350</v>
      </c>
      <c r="L247" s="72">
        <v>27308212</v>
      </c>
      <c r="M247" s="72">
        <v>0</v>
      </c>
      <c r="N247" s="72">
        <v>0</v>
      </c>
      <c r="O247" s="72">
        <v>0</v>
      </c>
      <c r="P247" s="72">
        <v>0</v>
      </c>
      <c r="Q247" s="72">
        <v>0</v>
      </c>
      <c r="R247" s="72">
        <v>0</v>
      </c>
      <c r="S247" s="72">
        <v>27308212</v>
      </c>
      <c r="T247" s="72">
        <v>12920825</v>
      </c>
      <c r="U247" s="72">
        <v>5631978</v>
      </c>
      <c r="V247" s="72">
        <v>5573677</v>
      </c>
      <c r="W247" s="72">
        <v>1679837</v>
      </c>
      <c r="X247" s="72">
        <v>212000</v>
      </c>
      <c r="Y247" s="72">
        <v>0</v>
      </c>
      <c r="Z247" s="72">
        <v>0</v>
      </c>
      <c r="AA247" s="72">
        <v>61000</v>
      </c>
      <c r="AB247" s="72">
        <v>0</v>
      </c>
      <c r="AC247" s="72">
        <v>0</v>
      </c>
      <c r="AD247" s="72">
        <v>0</v>
      </c>
      <c r="AE247" s="72">
        <v>40000</v>
      </c>
      <c r="AF247" s="72">
        <v>22324</v>
      </c>
      <c r="AG247" s="72">
        <v>451337</v>
      </c>
      <c r="AH247" s="72">
        <v>26592978</v>
      </c>
      <c r="AI247" s="72">
        <v>0</v>
      </c>
      <c r="AJ247" s="72">
        <v>0</v>
      </c>
      <c r="AK247" s="72">
        <v>245894</v>
      </c>
      <c r="AL247" s="72">
        <v>245894</v>
      </c>
      <c r="AM247" s="72">
        <v>26838872</v>
      </c>
      <c r="AN247" s="72">
        <v>469340</v>
      </c>
      <c r="AO247" s="72">
        <v>2349004</v>
      </c>
      <c r="AP247" s="72">
        <v>2818344</v>
      </c>
      <c r="AQ247" s="72">
        <v>275000</v>
      </c>
      <c r="AR247" s="72">
        <v>0</v>
      </c>
      <c r="AS247" s="72">
        <v>0</v>
      </c>
      <c r="AT247" s="72">
        <v>0</v>
      </c>
      <c r="AU247" s="72">
        <v>0</v>
      </c>
      <c r="AV247" s="72">
        <v>0</v>
      </c>
      <c r="AW247" s="72">
        <v>0</v>
      </c>
      <c r="AX247" s="72">
        <v>0</v>
      </c>
      <c r="AY247" s="72">
        <v>0</v>
      </c>
      <c r="AZ247" s="72">
        <v>0</v>
      </c>
      <c r="BA247" s="72">
        <v>2543344</v>
      </c>
      <c r="BB247" s="72">
        <v>0</v>
      </c>
      <c r="BC247" s="72">
        <v>0</v>
      </c>
      <c r="BD247" s="72">
        <v>0</v>
      </c>
      <c r="BE247" s="72">
        <v>2543344</v>
      </c>
      <c r="BF247" s="72">
        <v>0</v>
      </c>
      <c r="BG247" s="72">
        <v>0</v>
      </c>
      <c r="BH247" s="72">
        <v>0</v>
      </c>
      <c r="BI247" s="72">
        <v>0</v>
      </c>
      <c r="BJ247" s="72">
        <v>2543344</v>
      </c>
      <c r="BK247" s="72">
        <v>273</v>
      </c>
      <c r="BL247" s="72">
        <v>2978</v>
      </c>
      <c r="BM247" s="72">
        <v>0</v>
      </c>
      <c r="BN247" s="72">
        <v>0</v>
      </c>
      <c r="BO247" s="72">
        <v>0</v>
      </c>
      <c r="BP247" s="72">
        <v>0</v>
      </c>
      <c r="BQ247" s="72">
        <v>0</v>
      </c>
      <c r="BR247" s="72">
        <v>0</v>
      </c>
      <c r="BS247" s="72">
        <v>27308212</v>
      </c>
    </row>
    <row r="248" spans="1:71" x14ac:dyDescent="0.2">
      <c r="A248" t="s">
        <v>605</v>
      </c>
      <c r="B248" t="s">
        <v>1302</v>
      </c>
      <c r="C248" t="s">
        <v>94</v>
      </c>
      <c r="D248" s="72">
        <v>2005312</v>
      </c>
      <c r="E248" s="72">
        <v>0</v>
      </c>
      <c r="F248" s="72">
        <v>0</v>
      </c>
      <c r="G248" s="72">
        <v>6790436</v>
      </c>
      <c r="H248" s="72">
        <v>53702</v>
      </c>
      <c r="I248" s="72">
        <v>0</v>
      </c>
      <c r="J248" s="72">
        <v>286791</v>
      </c>
      <c r="K248" s="72">
        <v>485378</v>
      </c>
      <c r="L248" s="72">
        <v>9621619</v>
      </c>
      <c r="M248" s="72">
        <v>0</v>
      </c>
      <c r="N248" s="72">
        <v>0</v>
      </c>
      <c r="O248" s="72">
        <v>0</v>
      </c>
      <c r="P248" s="72">
        <v>190000</v>
      </c>
      <c r="Q248" s="72">
        <v>66874</v>
      </c>
      <c r="R248" s="72">
        <v>256874</v>
      </c>
      <c r="S248" s="72">
        <v>9878493</v>
      </c>
      <c r="T248" s="72">
        <v>4896610</v>
      </c>
      <c r="U248" s="72">
        <v>1882648</v>
      </c>
      <c r="V248" s="72">
        <v>2304085</v>
      </c>
      <c r="W248" s="72">
        <v>383188</v>
      </c>
      <c r="X248" s="72">
        <v>197878</v>
      </c>
      <c r="Y248" s="72">
        <v>0</v>
      </c>
      <c r="Z248" s="72">
        <v>0</v>
      </c>
      <c r="AA248" s="72">
        <v>30000</v>
      </c>
      <c r="AB248" s="72">
        <v>0</v>
      </c>
      <c r="AC248" s="72">
        <v>0</v>
      </c>
      <c r="AD248" s="72">
        <v>0</v>
      </c>
      <c r="AE248" s="72">
        <v>0</v>
      </c>
      <c r="AF248" s="72">
        <v>21263</v>
      </c>
      <c r="AG248" s="72">
        <v>159841</v>
      </c>
      <c r="AH248" s="72">
        <v>9875513</v>
      </c>
      <c r="AI248" s="72">
        <v>0</v>
      </c>
      <c r="AJ248" s="72">
        <v>300000</v>
      </c>
      <c r="AK248" s="72">
        <v>0</v>
      </c>
      <c r="AL248" s="72">
        <v>300000</v>
      </c>
      <c r="AM248" s="72">
        <v>10175513</v>
      </c>
      <c r="AN248" s="72">
        <v>-297020</v>
      </c>
      <c r="AO248" s="72">
        <v>1872030</v>
      </c>
      <c r="AP248" s="72">
        <v>1575010</v>
      </c>
      <c r="AQ248" s="72">
        <v>100000</v>
      </c>
      <c r="AR248" s="72">
        <v>0</v>
      </c>
      <c r="AS248" s="72">
        <v>0</v>
      </c>
      <c r="AT248" s="72">
        <v>0</v>
      </c>
      <c r="AU248" s="72">
        <v>0</v>
      </c>
      <c r="AV248" s="72">
        <v>0</v>
      </c>
      <c r="AW248" s="72">
        <v>0</v>
      </c>
      <c r="AX248" s="72">
        <v>0</v>
      </c>
      <c r="AY248" s="72">
        <v>0</v>
      </c>
      <c r="AZ248" s="72">
        <v>0</v>
      </c>
      <c r="BA248" s="72">
        <v>1475010</v>
      </c>
      <c r="BB248" s="72">
        <v>0</v>
      </c>
      <c r="BC248" s="72">
        <v>0</v>
      </c>
      <c r="BD248" s="72">
        <v>0</v>
      </c>
      <c r="BE248" s="72">
        <v>1475010</v>
      </c>
      <c r="BF248" s="72">
        <v>0</v>
      </c>
      <c r="BG248" s="72">
        <v>0</v>
      </c>
      <c r="BH248" s="72">
        <v>0</v>
      </c>
      <c r="BI248" s="72">
        <v>0</v>
      </c>
      <c r="BJ248" s="72">
        <v>1475010</v>
      </c>
      <c r="BK248" s="72">
        <v>72</v>
      </c>
      <c r="BL248" s="72">
        <v>986</v>
      </c>
      <c r="BM248" s="72">
        <v>0</v>
      </c>
      <c r="BN248" s="72">
        <v>0</v>
      </c>
      <c r="BO248" s="72">
        <v>0</v>
      </c>
      <c r="BP248" s="72">
        <v>0</v>
      </c>
      <c r="BQ248" s="72">
        <v>0</v>
      </c>
      <c r="BR248" s="72">
        <v>0</v>
      </c>
      <c r="BS248" s="72">
        <v>10175513</v>
      </c>
    </row>
    <row r="249" spans="1:71" x14ac:dyDescent="0.2">
      <c r="A249" t="s">
        <v>286</v>
      </c>
      <c r="B249" t="s">
        <v>1001</v>
      </c>
      <c r="C249" t="s">
        <v>77</v>
      </c>
      <c r="D249" s="72">
        <v>12892309</v>
      </c>
      <c r="E249" s="72">
        <v>0</v>
      </c>
      <c r="F249" s="72">
        <v>0</v>
      </c>
      <c r="G249" s="72">
        <v>15239314</v>
      </c>
      <c r="H249" s="72">
        <v>36635</v>
      </c>
      <c r="I249" s="72">
        <v>0</v>
      </c>
      <c r="J249" s="72">
        <v>1480240</v>
      </c>
      <c r="K249" s="72">
        <v>1272428</v>
      </c>
      <c r="L249" s="72">
        <v>30920926</v>
      </c>
      <c r="M249" s="72">
        <v>0</v>
      </c>
      <c r="N249" s="72">
        <v>0</v>
      </c>
      <c r="O249" s="72">
        <v>0</v>
      </c>
      <c r="P249" s="72">
        <v>8653</v>
      </c>
      <c r="Q249" s="72">
        <v>110000</v>
      </c>
      <c r="R249" s="72">
        <v>118653</v>
      </c>
      <c r="S249" s="72">
        <v>31039579</v>
      </c>
      <c r="T249" s="72">
        <v>16655880</v>
      </c>
      <c r="U249" s="72">
        <v>6601247</v>
      </c>
      <c r="V249" s="72">
        <v>4086269</v>
      </c>
      <c r="W249" s="72">
        <v>874040</v>
      </c>
      <c r="X249" s="72">
        <v>19159</v>
      </c>
      <c r="Y249" s="72">
        <v>0</v>
      </c>
      <c r="Z249" s="72">
        <v>0</v>
      </c>
      <c r="AA249" s="72">
        <v>0</v>
      </c>
      <c r="AB249" s="72">
        <v>0</v>
      </c>
      <c r="AC249" s="72">
        <v>0</v>
      </c>
      <c r="AD249" s="72">
        <v>39000</v>
      </c>
      <c r="AE249" s="72">
        <v>0</v>
      </c>
      <c r="AF249" s="72">
        <v>8036</v>
      </c>
      <c r="AG249" s="72">
        <v>445992</v>
      </c>
      <c r="AH249" s="72">
        <v>28729623</v>
      </c>
      <c r="AI249" s="72">
        <v>0</v>
      </c>
      <c r="AJ249" s="72">
        <v>0</v>
      </c>
      <c r="AK249" s="72">
        <v>0</v>
      </c>
      <c r="AL249" s="72">
        <v>0</v>
      </c>
      <c r="AM249" s="72">
        <v>28729623</v>
      </c>
      <c r="AN249" s="72">
        <v>2309956</v>
      </c>
      <c r="AO249" s="72">
        <v>6384542</v>
      </c>
      <c r="AP249" s="72">
        <v>8694498</v>
      </c>
      <c r="AQ249" s="72">
        <v>0</v>
      </c>
      <c r="AR249" s="72">
        <v>0</v>
      </c>
      <c r="AS249" s="72">
        <v>0</v>
      </c>
      <c r="AT249" s="72">
        <v>0</v>
      </c>
      <c r="AU249" s="72">
        <v>0</v>
      </c>
      <c r="AV249" s="72">
        <v>0</v>
      </c>
      <c r="AW249" s="72">
        <v>0</v>
      </c>
      <c r="AX249" s="72">
        <v>0</v>
      </c>
      <c r="AY249" s="72">
        <v>0</v>
      </c>
      <c r="AZ249" s="72">
        <v>0</v>
      </c>
      <c r="BA249" s="72">
        <v>8694498</v>
      </c>
      <c r="BB249" s="72">
        <v>0</v>
      </c>
      <c r="BC249" s="72">
        <v>0</v>
      </c>
      <c r="BD249" s="72">
        <v>0</v>
      </c>
      <c r="BE249" s="72">
        <v>8694498</v>
      </c>
      <c r="BF249" s="72">
        <v>0</v>
      </c>
      <c r="BG249" s="72">
        <v>0</v>
      </c>
      <c r="BH249" s="72">
        <v>0</v>
      </c>
      <c r="BI249" s="72">
        <v>0</v>
      </c>
      <c r="BJ249" s="72">
        <v>8694498</v>
      </c>
      <c r="BK249" s="72">
        <v>0</v>
      </c>
      <c r="BL249" s="72">
        <v>0</v>
      </c>
      <c r="BM249" s="72">
        <v>0</v>
      </c>
      <c r="BN249" s="72">
        <v>0</v>
      </c>
      <c r="BO249" s="72">
        <v>0</v>
      </c>
      <c r="BP249" s="72">
        <v>0</v>
      </c>
      <c r="BQ249" s="72">
        <v>0</v>
      </c>
      <c r="BR249" s="72">
        <v>0</v>
      </c>
      <c r="BS249" s="72">
        <v>31039579</v>
      </c>
    </row>
    <row r="250" spans="1:71" x14ac:dyDescent="0.2">
      <c r="A250" t="s">
        <v>299</v>
      </c>
      <c r="B250" t="s">
        <v>1013</v>
      </c>
      <c r="C250" t="s">
        <v>77</v>
      </c>
      <c r="D250" s="72">
        <v>41821329</v>
      </c>
      <c r="E250" s="72">
        <v>2326823</v>
      </c>
      <c r="F250" s="72">
        <v>0</v>
      </c>
      <c r="G250" s="72">
        <v>24602774</v>
      </c>
      <c r="H250" s="72">
        <v>96077</v>
      </c>
      <c r="I250" s="72">
        <v>0</v>
      </c>
      <c r="J250" s="72">
        <v>6669533</v>
      </c>
      <c r="K250" s="72">
        <v>4953187</v>
      </c>
      <c r="L250" s="72">
        <v>80469723</v>
      </c>
      <c r="M250" s="72">
        <v>0</v>
      </c>
      <c r="N250" s="72">
        <v>0</v>
      </c>
      <c r="O250" s="72">
        <v>0</v>
      </c>
      <c r="P250" s="72">
        <v>633266</v>
      </c>
      <c r="Q250" s="72">
        <v>200</v>
      </c>
      <c r="R250" s="72">
        <v>633466</v>
      </c>
      <c r="S250" s="72">
        <v>81103189</v>
      </c>
      <c r="T250" s="72">
        <v>42784212</v>
      </c>
      <c r="U250" s="72">
        <v>15087089</v>
      </c>
      <c r="V250" s="72">
        <v>9732050</v>
      </c>
      <c r="W250" s="72">
        <v>2532335</v>
      </c>
      <c r="X250" s="72">
        <v>3583110</v>
      </c>
      <c r="Y250" s="72">
        <v>0</v>
      </c>
      <c r="Z250" s="72">
        <v>0</v>
      </c>
      <c r="AA250" s="72">
        <v>0</v>
      </c>
      <c r="AB250" s="72">
        <v>0</v>
      </c>
      <c r="AC250" s="72">
        <v>0</v>
      </c>
      <c r="AD250" s="72">
        <v>0</v>
      </c>
      <c r="AE250" s="72">
        <v>0</v>
      </c>
      <c r="AF250" s="72">
        <v>0</v>
      </c>
      <c r="AG250" s="72">
        <v>2197814</v>
      </c>
      <c r="AH250" s="72">
        <v>75916610</v>
      </c>
      <c r="AI250" s="72">
        <v>284868</v>
      </c>
      <c r="AJ250" s="72">
        <v>630000</v>
      </c>
      <c r="AK250" s="72">
        <v>0</v>
      </c>
      <c r="AL250" s="72">
        <v>914868</v>
      </c>
      <c r="AM250" s="72">
        <v>76831478</v>
      </c>
      <c r="AN250" s="72">
        <v>4271711</v>
      </c>
      <c r="AO250" s="72">
        <v>23479127</v>
      </c>
      <c r="AP250" s="72">
        <v>27750838</v>
      </c>
      <c r="AQ250" s="72">
        <v>750000</v>
      </c>
      <c r="AR250" s="72">
        <v>0</v>
      </c>
      <c r="AS250" s="72">
        <v>0</v>
      </c>
      <c r="AT250" s="72">
        <v>1729907</v>
      </c>
      <c r="AU250" s="72">
        <v>0</v>
      </c>
      <c r="AV250" s="72">
        <v>0</v>
      </c>
      <c r="AW250" s="72">
        <v>0</v>
      </c>
      <c r="AX250" s="72">
        <v>0</v>
      </c>
      <c r="AY250" s="72">
        <v>0</v>
      </c>
      <c r="AZ250" s="72">
        <v>1729907</v>
      </c>
      <c r="BA250" s="72">
        <v>25270931</v>
      </c>
      <c r="BB250" s="72">
        <v>0</v>
      </c>
      <c r="BC250" s="72">
        <v>0</v>
      </c>
      <c r="BD250" s="72">
        <v>0</v>
      </c>
      <c r="BE250" s="72">
        <v>25270931</v>
      </c>
      <c r="BF250" s="72">
        <v>0</v>
      </c>
      <c r="BG250" s="72">
        <v>0</v>
      </c>
      <c r="BH250" s="72">
        <v>0</v>
      </c>
      <c r="BI250" s="72">
        <v>0</v>
      </c>
      <c r="BJ250" s="72">
        <v>25270931</v>
      </c>
      <c r="BM250" s="72">
        <v>0</v>
      </c>
      <c r="BN250" s="72">
        <v>0</v>
      </c>
      <c r="BO250" s="72">
        <v>0</v>
      </c>
      <c r="BP250" s="72">
        <v>0</v>
      </c>
      <c r="BQ250" s="72">
        <v>0</v>
      </c>
      <c r="BR250" s="72">
        <v>0</v>
      </c>
      <c r="BS250" s="72">
        <v>81103189</v>
      </c>
    </row>
    <row r="251" spans="1:71" x14ac:dyDescent="0.2">
      <c r="A251" t="s">
        <v>409</v>
      </c>
      <c r="B251" t="s">
        <v>1118</v>
      </c>
      <c r="C251" t="s">
        <v>77</v>
      </c>
      <c r="D251" s="72">
        <v>80116924</v>
      </c>
      <c r="E251" s="72">
        <v>0</v>
      </c>
      <c r="F251" s="72">
        <v>0</v>
      </c>
      <c r="G251" s="72">
        <v>44139419</v>
      </c>
      <c r="H251" s="72">
        <v>6776</v>
      </c>
      <c r="I251" s="72">
        <v>0</v>
      </c>
      <c r="J251" s="72">
        <v>12297094</v>
      </c>
      <c r="K251" s="72">
        <v>11554464</v>
      </c>
      <c r="L251" s="72">
        <v>148114677</v>
      </c>
      <c r="M251" s="72">
        <v>0</v>
      </c>
      <c r="N251" s="72">
        <v>0</v>
      </c>
      <c r="O251" s="72">
        <v>0</v>
      </c>
      <c r="P251" s="72">
        <v>1019802</v>
      </c>
      <c r="Q251" s="72">
        <v>20000</v>
      </c>
      <c r="R251" s="72">
        <v>1039802</v>
      </c>
      <c r="S251" s="72">
        <v>149154479</v>
      </c>
      <c r="T251" s="72">
        <v>77981074</v>
      </c>
      <c r="U251" s="72">
        <v>26317258</v>
      </c>
      <c r="V251" s="72">
        <v>27677900</v>
      </c>
      <c r="W251" s="72">
        <v>4002100</v>
      </c>
      <c r="X251" s="72">
        <v>2970000</v>
      </c>
      <c r="Y251" s="72">
        <v>0</v>
      </c>
      <c r="Z251" s="72">
        <v>0</v>
      </c>
      <c r="AA251" s="72">
        <v>0</v>
      </c>
      <c r="AB251" s="72">
        <v>0</v>
      </c>
      <c r="AC251" s="72">
        <v>0</v>
      </c>
      <c r="AD251" s="72">
        <v>736341</v>
      </c>
      <c r="AE251" s="72">
        <v>503659</v>
      </c>
      <c r="AF251" s="72">
        <v>596364</v>
      </c>
      <c r="AG251" s="72">
        <v>1625675</v>
      </c>
      <c r="AH251" s="72">
        <v>142410371</v>
      </c>
      <c r="AI251" s="72">
        <v>575000</v>
      </c>
      <c r="AJ251" s="72">
        <v>500000</v>
      </c>
      <c r="AK251" s="72">
        <v>1000</v>
      </c>
      <c r="AL251" s="72">
        <v>1076000</v>
      </c>
      <c r="AM251" s="72">
        <v>143486371</v>
      </c>
      <c r="AN251" s="72">
        <v>5668108</v>
      </c>
      <c r="AO251" s="72">
        <v>24681354</v>
      </c>
      <c r="AP251" s="72">
        <v>30349462</v>
      </c>
      <c r="AQ251" s="72">
        <v>1500000</v>
      </c>
      <c r="AR251" s="72">
        <v>0</v>
      </c>
      <c r="AS251" s="72">
        <v>0</v>
      </c>
      <c r="AT251" s="72">
        <v>0</v>
      </c>
      <c r="AU251" s="72">
        <v>0</v>
      </c>
      <c r="AV251" s="72">
        <v>0</v>
      </c>
      <c r="AW251" s="72">
        <v>0</v>
      </c>
      <c r="AX251" s="72">
        <v>0</v>
      </c>
      <c r="AY251" s="72">
        <v>0</v>
      </c>
      <c r="AZ251" s="72">
        <v>0</v>
      </c>
      <c r="BA251" s="72">
        <v>28849462</v>
      </c>
      <c r="BB251" s="72">
        <v>0</v>
      </c>
      <c r="BC251" s="72">
        <v>0</v>
      </c>
      <c r="BD251" s="72">
        <v>0</v>
      </c>
      <c r="BE251" s="72">
        <v>28849462</v>
      </c>
      <c r="BF251" s="72">
        <v>0</v>
      </c>
      <c r="BG251" s="72">
        <v>0</v>
      </c>
      <c r="BH251" s="72">
        <v>0</v>
      </c>
      <c r="BI251" s="72">
        <v>0</v>
      </c>
      <c r="BJ251" s="72">
        <v>28849462</v>
      </c>
      <c r="BK251" s="72">
        <v>0</v>
      </c>
      <c r="BL251" s="72">
        <v>0</v>
      </c>
      <c r="BM251" s="72">
        <v>0</v>
      </c>
      <c r="BN251" s="72">
        <v>0</v>
      </c>
      <c r="BO251" s="72">
        <v>0</v>
      </c>
      <c r="BP251" s="72">
        <v>0</v>
      </c>
      <c r="BQ251" s="72">
        <v>0</v>
      </c>
      <c r="BR251" s="72">
        <v>0</v>
      </c>
      <c r="BS251" s="72">
        <v>149154479</v>
      </c>
    </row>
    <row r="252" spans="1:71" x14ac:dyDescent="0.2">
      <c r="A252" t="s">
        <v>443</v>
      </c>
      <c r="B252" t="s">
        <v>1151</v>
      </c>
      <c r="C252" t="s">
        <v>77</v>
      </c>
      <c r="D252" s="72">
        <v>3737412</v>
      </c>
      <c r="E252" s="72">
        <v>109511</v>
      </c>
      <c r="F252" s="72">
        <v>898000</v>
      </c>
      <c r="G252" s="72">
        <v>6201509</v>
      </c>
      <c r="H252" s="72">
        <v>0</v>
      </c>
      <c r="I252" s="72">
        <v>0</v>
      </c>
      <c r="J252" s="72">
        <v>646702</v>
      </c>
      <c r="K252" s="72">
        <v>850000</v>
      </c>
      <c r="L252" s="72">
        <v>12443134</v>
      </c>
      <c r="M252" s="72">
        <v>0</v>
      </c>
      <c r="N252" s="72">
        <v>0</v>
      </c>
      <c r="O252" s="72">
        <v>0</v>
      </c>
      <c r="P252" s="72">
        <v>11309</v>
      </c>
      <c r="Q252" s="72">
        <v>0</v>
      </c>
      <c r="R252" s="72">
        <v>11309</v>
      </c>
      <c r="S252" s="72">
        <v>12454443</v>
      </c>
      <c r="T252" s="72">
        <v>6465538</v>
      </c>
      <c r="U252" s="72">
        <v>2426640</v>
      </c>
      <c r="V252" s="72">
        <v>3150000</v>
      </c>
      <c r="W252" s="72">
        <v>336000</v>
      </c>
      <c r="X252" s="72">
        <v>5000</v>
      </c>
      <c r="Y252" s="72">
        <v>0</v>
      </c>
      <c r="Z252" s="72">
        <v>0</v>
      </c>
      <c r="AA252" s="72">
        <v>0</v>
      </c>
      <c r="AB252" s="72">
        <v>0</v>
      </c>
      <c r="AC252" s="72">
        <v>0</v>
      </c>
      <c r="AD252" s="72">
        <v>0</v>
      </c>
      <c r="AE252" s="72">
        <v>0</v>
      </c>
      <c r="AF252" s="72">
        <v>0</v>
      </c>
      <c r="AG252" s="72">
        <v>275000</v>
      </c>
      <c r="AH252" s="72">
        <v>12658178</v>
      </c>
      <c r="AI252" s="72">
        <v>0</v>
      </c>
      <c r="AJ252" s="72">
        <v>0</v>
      </c>
      <c r="AK252" s="72">
        <v>0</v>
      </c>
      <c r="AL252" s="72">
        <v>0</v>
      </c>
      <c r="AM252" s="72">
        <v>12658178</v>
      </c>
      <c r="AN252" s="72">
        <v>-203735</v>
      </c>
      <c r="AO252" s="72">
        <v>1953173</v>
      </c>
      <c r="AP252" s="72">
        <v>1749438</v>
      </c>
      <c r="AQ252" s="72">
        <v>0</v>
      </c>
      <c r="AR252" s="72">
        <v>0</v>
      </c>
      <c r="AS252" s="72">
        <v>0</v>
      </c>
      <c r="AT252" s="72">
        <v>0</v>
      </c>
      <c r="AU252" s="72">
        <v>0</v>
      </c>
      <c r="AV252" s="72">
        <v>0</v>
      </c>
      <c r="AW252" s="72">
        <v>0</v>
      </c>
      <c r="AX252" s="72">
        <v>0</v>
      </c>
      <c r="AY252" s="72">
        <v>0</v>
      </c>
      <c r="AZ252" s="72">
        <v>0</v>
      </c>
      <c r="BA252" s="72">
        <v>1749438</v>
      </c>
      <c r="BB252" s="72">
        <v>0</v>
      </c>
      <c r="BC252" s="72">
        <v>0</v>
      </c>
      <c r="BD252" s="72">
        <v>0</v>
      </c>
      <c r="BE252" s="72">
        <v>1749438</v>
      </c>
      <c r="BF252" s="72">
        <v>0</v>
      </c>
      <c r="BG252" s="72">
        <v>0</v>
      </c>
      <c r="BH252" s="72">
        <v>0</v>
      </c>
      <c r="BI252" s="72">
        <v>0</v>
      </c>
      <c r="BJ252" s="72">
        <v>1749438</v>
      </c>
      <c r="BK252" s="72">
        <v>0</v>
      </c>
      <c r="BL252" s="72">
        <v>0</v>
      </c>
      <c r="BM252" s="72">
        <v>0</v>
      </c>
      <c r="BN252" s="72">
        <v>0</v>
      </c>
      <c r="BO252" s="72">
        <v>0</v>
      </c>
      <c r="BP252" s="72">
        <v>0</v>
      </c>
      <c r="BQ252" s="72">
        <v>0</v>
      </c>
      <c r="BR252" s="72">
        <v>0</v>
      </c>
      <c r="BS252" s="72">
        <v>12658178</v>
      </c>
    </row>
    <row r="253" spans="1:71" x14ac:dyDescent="0.2">
      <c r="A253" t="s">
        <v>510</v>
      </c>
      <c r="B253" t="s">
        <v>1214</v>
      </c>
      <c r="C253" t="s">
        <v>77</v>
      </c>
      <c r="D253" s="72">
        <v>880000</v>
      </c>
      <c r="E253" s="72">
        <v>8900</v>
      </c>
      <c r="F253" s="72">
        <v>460000</v>
      </c>
      <c r="G253" s="72">
        <v>4500000</v>
      </c>
      <c r="H253" s="72">
        <v>725</v>
      </c>
      <c r="I253" s="72">
        <v>0</v>
      </c>
      <c r="J253" s="72">
        <v>152000</v>
      </c>
      <c r="K253" s="72">
        <v>59675</v>
      </c>
      <c r="L253" s="72">
        <v>6061300</v>
      </c>
      <c r="M253" s="72">
        <v>0</v>
      </c>
      <c r="N253" s="72">
        <v>0</v>
      </c>
      <c r="O253" s="72">
        <v>0</v>
      </c>
      <c r="P253" s="72">
        <v>1465</v>
      </c>
      <c r="Q253" s="72">
        <v>20482</v>
      </c>
      <c r="R253" s="72">
        <v>21947</v>
      </c>
      <c r="S253" s="72">
        <v>6083247</v>
      </c>
      <c r="T253" s="72">
        <v>2808200</v>
      </c>
      <c r="U253" s="72">
        <v>1182000</v>
      </c>
      <c r="V253" s="72">
        <v>1890000</v>
      </c>
      <c r="W253" s="72">
        <v>169000</v>
      </c>
      <c r="X253" s="72">
        <v>57600</v>
      </c>
      <c r="Y253" s="72">
        <v>0</v>
      </c>
      <c r="Z253" s="72">
        <v>0</v>
      </c>
      <c r="AA253" s="72">
        <v>0</v>
      </c>
      <c r="AB253" s="72">
        <v>0</v>
      </c>
      <c r="AC253" s="72">
        <v>0</v>
      </c>
      <c r="AD253" s="72">
        <v>0</v>
      </c>
      <c r="AE253" s="72">
        <v>0</v>
      </c>
      <c r="AF253" s="72">
        <v>0</v>
      </c>
      <c r="AG253" s="72">
        <v>60000</v>
      </c>
      <c r="AH253" s="72">
        <v>6166800</v>
      </c>
      <c r="AI253" s="72">
        <v>48300</v>
      </c>
      <c r="AJ253" s="72">
        <v>0</v>
      </c>
      <c r="AK253" s="72">
        <v>0</v>
      </c>
      <c r="AL253" s="72">
        <v>48300</v>
      </c>
      <c r="AM253" s="72">
        <v>6215100</v>
      </c>
      <c r="AN253" s="72">
        <v>-131853</v>
      </c>
      <c r="AO253" s="72">
        <v>3581972</v>
      </c>
      <c r="AP253" s="72">
        <v>3450119</v>
      </c>
      <c r="AQ253" s="72">
        <v>0</v>
      </c>
      <c r="AR253" s="72">
        <v>0</v>
      </c>
      <c r="AS253" s="72">
        <v>0</v>
      </c>
      <c r="AT253" s="72">
        <v>0</v>
      </c>
      <c r="AU253" s="72">
        <v>0</v>
      </c>
      <c r="AV253" s="72">
        <v>0</v>
      </c>
      <c r="AW253" s="72">
        <v>0</v>
      </c>
      <c r="AX253" s="72">
        <v>0</v>
      </c>
      <c r="AY253" s="72">
        <v>0</v>
      </c>
      <c r="AZ253" s="72">
        <v>0</v>
      </c>
      <c r="BA253" s="72">
        <v>3450119</v>
      </c>
      <c r="BB253" s="72">
        <v>0</v>
      </c>
      <c r="BC253" s="72">
        <v>0</v>
      </c>
      <c r="BD253" s="72">
        <v>0</v>
      </c>
      <c r="BE253" s="72">
        <v>3450119</v>
      </c>
      <c r="BF253" s="72">
        <v>0</v>
      </c>
      <c r="BG253" s="72">
        <v>0</v>
      </c>
      <c r="BH253" s="72">
        <v>0</v>
      </c>
      <c r="BI253" s="72">
        <v>0</v>
      </c>
      <c r="BJ253" s="72">
        <v>3450119</v>
      </c>
      <c r="BK253" s="72">
        <v>0</v>
      </c>
      <c r="BL253" s="72">
        <v>0</v>
      </c>
      <c r="BM253" s="72">
        <v>0</v>
      </c>
      <c r="BN253" s="72">
        <v>0</v>
      </c>
      <c r="BO253" s="72">
        <v>0</v>
      </c>
      <c r="BP253" s="72">
        <v>0</v>
      </c>
      <c r="BQ253" s="72">
        <v>0</v>
      </c>
      <c r="BR253" s="72">
        <v>0</v>
      </c>
      <c r="BS253" s="72">
        <v>6215100</v>
      </c>
    </row>
    <row r="254" spans="1:71" x14ac:dyDescent="0.2">
      <c r="A254" t="s">
        <v>616</v>
      </c>
      <c r="B254" t="s">
        <v>1312</v>
      </c>
      <c r="C254" t="s">
        <v>77</v>
      </c>
      <c r="D254" s="72">
        <v>8012769</v>
      </c>
      <c r="E254" s="72">
        <v>0</v>
      </c>
      <c r="F254" s="72">
        <v>2473987</v>
      </c>
      <c r="G254" s="72">
        <v>10557819</v>
      </c>
      <c r="H254" s="72">
        <v>4737</v>
      </c>
      <c r="I254" s="72">
        <v>0</v>
      </c>
      <c r="J254" s="72">
        <v>1028113</v>
      </c>
      <c r="K254" s="72">
        <v>616145</v>
      </c>
      <c r="L254" s="72">
        <v>22693570</v>
      </c>
      <c r="M254" s="72">
        <v>0</v>
      </c>
      <c r="N254" s="72">
        <v>0</v>
      </c>
      <c r="O254" s="72">
        <v>0</v>
      </c>
      <c r="P254" s="72">
        <v>75000</v>
      </c>
      <c r="Q254" s="72">
        <v>46805</v>
      </c>
      <c r="R254" s="72">
        <v>121805</v>
      </c>
      <c r="S254" s="72">
        <v>22815375</v>
      </c>
      <c r="T254" s="72">
        <v>11833676</v>
      </c>
      <c r="U254" s="72">
        <v>5066813</v>
      </c>
      <c r="V254" s="72">
        <v>3221743</v>
      </c>
      <c r="W254" s="72">
        <v>949590</v>
      </c>
      <c r="X254" s="72">
        <v>504765</v>
      </c>
      <c r="Y254" s="72">
        <v>0</v>
      </c>
      <c r="Z254" s="72">
        <v>0</v>
      </c>
      <c r="AA254" s="72">
        <v>0</v>
      </c>
      <c r="AB254" s="72">
        <v>0</v>
      </c>
      <c r="AC254" s="72">
        <v>0</v>
      </c>
      <c r="AD254" s="72">
        <v>0</v>
      </c>
      <c r="AE254" s="72">
        <v>197377</v>
      </c>
      <c r="AF254" s="72">
        <v>8176</v>
      </c>
      <c r="AG254" s="72">
        <v>362855</v>
      </c>
      <c r="AH254" s="72">
        <v>22144995</v>
      </c>
      <c r="AI254" s="72">
        <v>417000</v>
      </c>
      <c r="AJ254" s="72">
        <v>75000</v>
      </c>
      <c r="AK254" s="72">
        <v>0</v>
      </c>
      <c r="AL254" s="72">
        <v>492000</v>
      </c>
      <c r="AM254" s="72">
        <v>22636995</v>
      </c>
      <c r="AN254" s="72">
        <v>178380</v>
      </c>
      <c r="AO254" s="72">
        <v>6905067</v>
      </c>
      <c r="AP254" s="72">
        <v>7083447</v>
      </c>
      <c r="AQ254" s="72">
        <v>555000</v>
      </c>
      <c r="AR254" s="72">
        <v>0</v>
      </c>
      <c r="AS254" s="72">
        <v>0</v>
      </c>
      <c r="AT254" s="72">
        <v>0</v>
      </c>
      <c r="AU254" s="72">
        <v>0</v>
      </c>
      <c r="AV254" s="72">
        <v>0</v>
      </c>
      <c r="AW254" s="72">
        <v>0</v>
      </c>
      <c r="AX254" s="72">
        <v>0</v>
      </c>
      <c r="AY254" s="72">
        <v>0</v>
      </c>
      <c r="AZ254" s="72">
        <v>0</v>
      </c>
      <c r="BA254" s="72">
        <v>6528447</v>
      </c>
      <c r="BB254" s="72">
        <v>0</v>
      </c>
      <c r="BC254" s="72">
        <v>0</v>
      </c>
      <c r="BD254" s="72">
        <v>0</v>
      </c>
      <c r="BE254" s="72">
        <v>6528447</v>
      </c>
      <c r="BF254" s="72">
        <v>0</v>
      </c>
      <c r="BG254" s="72">
        <v>0</v>
      </c>
      <c r="BH254" s="72">
        <v>0</v>
      </c>
      <c r="BI254" s="72">
        <v>0</v>
      </c>
      <c r="BJ254" s="72">
        <v>6528447</v>
      </c>
      <c r="BK254" s="72">
        <v>0</v>
      </c>
      <c r="BL254" s="72">
        <v>0</v>
      </c>
      <c r="BS254" s="72">
        <v>22815375</v>
      </c>
    </row>
    <row r="255" spans="1:71" x14ac:dyDescent="0.2">
      <c r="A255" t="s">
        <v>673</v>
      </c>
      <c r="B255" t="s">
        <v>1363</v>
      </c>
      <c r="C255" t="s">
        <v>77</v>
      </c>
      <c r="D255" s="72">
        <v>12195946</v>
      </c>
      <c r="E255" s="72">
        <v>2232169</v>
      </c>
      <c r="F255" s="72">
        <v>5765528</v>
      </c>
      <c r="G255" s="72">
        <v>8161351</v>
      </c>
      <c r="H255" s="72">
        <v>1795</v>
      </c>
      <c r="I255" s="72">
        <v>0</v>
      </c>
      <c r="J255" s="72">
        <v>1520724</v>
      </c>
      <c r="K255" s="72">
        <v>1634222</v>
      </c>
      <c r="L255" s="72">
        <v>31511735</v>
      </c>
      <c r="M255" s="72">
        <v>0</v>
      </c>
      <c r="N255" s="72">
        <v>0</v>
      </c>
      <c r="O255" s="72">
        <v>0</v>
      </c>
      <c r="P255" s="72">
        <v>14612</v>
      </c>
      <c r="Q255" s="72">
        <v>20621</v>
      </c>
      <c r="R255" s="72">
        <v>35233</v>
      </c>
      <c r="S255" s="72">
        <v>31546968</v>
      </c>
      <c r="T255" s="72">
        <v>17342992</v>
      </c>
      <c r="U255" s="72">
        <v>6373111</v>
      </c>
      <c r="V255" s="72">
        <v>6080793</v>
      </c>
      <c r="W255" s="72">
        <v>883394</v>
      </c>
      <c r="X255" s="72">
        <v>382404</v>
      </c>
      <c r="Y255" s="72">
        <v>0</v>
      </c>
      <c r="Z255" s="72">
        <v>0</v>
      </c>
      <c r="AA255" s="72">
        <v>0</v>
      </c>
      <c r="AB255" s="72">
        <v>0</v>
      </c>
      <c r="AC255" s="72">
        <v>0</v>
      </c>
      <c r="AD255" s="72">
        <v>0</v>
      </c>
      <c r="AE255" s="72">
        <v>0</v>
      </c>
      <c r="AF255" s="72">
        <v>0</v>
      </c>
      <c r="AG255" s="72">
        <v>821102</v>
      </c>
      <c r="AH255" s="72">
        <v>31883796</v>
      </c>
      <c r="AI255" s="72">
        <v>0</v>
      </c>
      <c r="AJ255" s="72">
        <v>0</v>
      </c>
      <c r="AK255" s="72">
        <v>0</v>
      </c>
      <c r="AL255" s="72">
        <v>0</v>
      </c>
      <c r="AM255" s="72">
        <v>31883796</v>
      </c>
      <c r="AN255" s="72">
        <v>-336828</v>
      </c>
      <c r="AO255" s="72">
        <v>21222516</v>
      </c>
      <c r="AP255" s="72">
        <v>20885688</v>
      </c>
      <c r="AQ255" s="72">
        <v>247754</v>
      </c>
      <c r="AR255" s="72">
        <v>0</v>
      </c>
      <c r="AS255" s="72">
        <v>0</v>
      </c>
      <c r="AT255" s="72">
        <v>277936</v>
      </c>
      <c r="AU255" s="72">
        <v>0</v>
      </c>
      <c r="AV255" s="72">
        <v>0</v>
      </c>
      <c r="AW255" s="72">
        <v>9260</v>
      </c>
      <c r="AX255" s="72">
        <v>0</v>
      </c>
      <c r="AY255" s="72">
        <v>563133</v>
      </c>
      <c r="AZ255" s="72">
        <v>850329</v>
      </c>
      <c r="BA255" s="72">
        <v>19787605</v>
      </c>
      <c r="BB255" s="72">
        <v>0</v>
      </c>
      <c r="BC255" s="72">
        <v>0</v>
      </c>
      <c r="BD255" s="72">
        <v>0</v>
      </c>
      <c r="BE255" s="72">
        <v>19787605</v>
      </c>
      <c r="BF255" s="72">
        <v>0</v>
      </c>
      <c r="BG255" s="72">
        <v>0</v>
      </c>
      <c r="BH255" s="72">
        <v>0</v>
      </c>
      <c r="BI255" s="72">
        <v>0</v>
      </c>
      <c r="BJ255" s="72">
        <v>19787605</v>
      </c>
      <c r="BM255" s="72">
        <v>0</v>
      </c>
      <c r="BN255" s="72">
        <v>0</v>
      </c>
      <c r="BO255" s="72">
        <v>0</v>
      </c>
      <c r="BP255" s="72">
        <v>0</v>
      </c>
      <c r="BQ255" s="72">
        <v>0</v>
      </c>
      <c r="BR255" s="72">
        <v>0</v>
      </c>
      <c r="BS255" s="72">
        <v>31883796</v>
      </c>
    </row>
    <row r="256" spans="1:71" x14ac:dyDescent="0.2">
      <c r="A256" t="s">
        <v>185</v>
      </c>
      <c r="B256" t="s">
        <v>906</v>
      </c>
      <c r="C256" t="s">
        <v>103</v>
      </c>
      <c r="D256" s="72">
        <v>3008946</v>
      </c>
      <c r="E256" s="72">
        <v>277277</v>
      </c>
      <c r="F256" s="72">
        <v>0</v>
      </c>
      <c r="G256" s="72">
        <v>2649539</v>
      </c>
      <c r="H256" s="72">
        <v>11832</v>
      </c>
      <c r="I256" s="72">
        <v>7000</v>
      </c>
      <c r="J256" s="72">
        <v>545493</v>
      </c>
      <c r="K256" s="72">
        <v>1412608</v>
      </c>
      <c r="L256" s="72">
        <v>7912695</v>
      </c>
      <c r="P256" s="72">
        <v>0</v>
      </c>
      <c r="Q256" s="72">
        <v>29129</v>
      </c>
      <c r="R256" s="72">
        <v>29129</v>
      </c>
      <c r="S256" s="72">
        <v>7941824</v>
      </c>
      <c r="T256" s="72">
        <v>3056555</v>
      </c>
      <c r="U256" s="72">
        <v>1927236</v>
      </c>
      <c r="V256" s="72">
        <v>1678975</v>
      </c>
      <c r="W256" s="72">
        <v>234908</v>
      </c>
      <c r="X256" s="72">
        <v>1100000</v>
      </c>
      <c r="Z256" s="72">
        <v>0</v>
      </c>
      <c r="AA256" s="72">
        <v>0</v>
      </c>
      <c r="AB256" s="72">
        <v>0</v>
      </c>
      <c r="AC256" s="72">
        <v>0</v>
      </c>
      <c r="AD256" s="72">
        <v>0</v>
      </c>
      <c r="AE256" s="72">
        <v>12926</v>
      </c>
      <c r="AF256" s="72">
        <v>2626</v>
      </c>
      <c r="AG256" s="72">
        <v>200824</v>
      </c>
      <c r="AH256" s="72">
        <v>8214050</v>
      </c>
      <c r="AI256" s="72">
        <v>75000</v>
      </c>
      <c r="AJ256" s="72">
        <v>0</v>
      </c>
      <c r="AK256" s="72">
        <v>0</v>
      </c>
      <c r="AL256" s="72">
        <v>75000</v>
      </c>
      <c r="AM256" s="72">
        <v>8289050</v>
      </c>
      <c r="AN256" s="72">
        <v>-347226</v>
      </c>
      <c r="AO256" s="72">
        <v>2841744</v>
      </c>
      <c r="AP256" s="72">
        <v>2494518</v>
      </c>
      <c r="AQ256" s="72">
        <v>0</v>
      </c>
      <c r="AR256" s="72">
        <v>0</v>
      </c>
      <c r="AS256" s="72">
        <v>0</v>
      </c>
      <c r="AT256" s="72">
        <v>0</v>
      </c>
      <c r="AU256" s="72">
        <v>0</v>
      </c>
      <c r="AV256" s="72">
        <v>0</v>
      </c>
      <c r="AW256" s="72">
        <v>0</v>
      </c>
      <c r="AX256" s="72">
        <v>0</v>
      </c>
      <c r="AY256" s="72">
        <v>0</v>
      </c>
      <c r="AZ256" s="72">
        <v>0</v>
      </c>
      <c r="BA256" s="72">
        <v>2494518</v>
      </c>
      <c r="BB256" s="72">
        <v>0</v>
      </c>
      <c r="BC256" s="72">
        <v>0</v>
      </c>
      <c r="BD256" s="72">
        <v>0</v>
      </c>
      <c r="BE256" s="72">
        <v>2494518</v>
      </c>
      <c r="BF256" s="72">
        <v>0</v>
      </c>
      <c r="BG256" s="72">
        <v>0</v>
      </c>
      <c r="BH256" s="72">
        <v>0</v>
      </c>
      <c r="BI256" s="72">
        <v>0</v>
      </c>
      <c r="BJ256" s="72">
        <v>2494518</v>
      </c>
      <c r="BM256" s="72">
        <v>0</v>
      </c>
      <c r="BN256" s="72">
        <v>0</v>
      </c>
      <c r="BO256" s="72">
        <v>0</v>
      </c>
      <c r="BP256" s="72">
        <v>0</v>
      </c>
      <c r="BQ256" s="72">
        <v>0</v>
      </c>
      <c r="BR256" s="72">
        <v>0</v>
      </c>
      <c r="BS256" s="72">
        <v>8289050</v>
      </c>
    </row>
    <row r="257" spans="1:71" x14ac:dyDescent="0.2">
      <c r="A257" t="s">
        <v>340</v>
      </c>
      <c r="B257" t="s">
        <v>1054</v>
      </c>
      <c r="C257" t="s">
        <v>54</v>
      </c>
      <c r="D257" s="72">
        <v>3951445</v>
      </c>
      <c r="E257" s="72">
        <v>158316</v>
      </c>
      <c r="F257" s="72">
        <v>0</v>
      </c>
      <c r="G257" s="72">
        <v>10685693</v>
      </c>
      <c r="H257" s="72">
        <v>7246</v>
      </c>
      <c r="I257" s="72">
        <v>0</v>
      </c>
      <c r="J257" s="72">
        <v>644219</v>
      </c>
      <c r="K257" s="72">
        <v>1169693</v>
      </c>
      <c r="L257" s="72">
        <v>16616612</v>
      </c>
      <c r="M257" s="72">
        <v>0</v>
      </c>
      <c r="N257" s="72">
        <v>0</v>
      </c>
      <c r="O257" s="72">
        <v>0</v>
      </c>
      <c r="P257" s="72">
        <v>0</v>
      </c>
      <c r="Q257" s="72">
        <v>0</v>
      </c>
      <c r="R257" s="72">
        <v>0</v>
      </c>
      <c r="S257" s="72">
        <v>16616612</v>
      </c>
      <c r="T257" s="72">
        <v>8440710</v>
      </c>
      <c r="U257" s="72">
        <v>2924171</v>
      </c>
      <c r="V257" s="72">
        <v>3202437</v>
      </c>
      <c r="W257" s="72">
        <v>554389</v>
      </c>
      <c r="X257" s="72">
        <v>75722</v>
      </c>
      <c r="Y257" s="72">
        <v>0</v>
      </c>
      <c r="Z257" s="72">
        <v>0</v>
      </c>
      <c r="AA257" s="72">
        <v>0</v>
      </c>
      <c r="AB257" s="72">
        <v>0</v>
      </c>
      <c r="AC257" s="72">
        <v>0</v>
      </c>
      <c r="AD257" s="72">
        <v>0</v>
      </c>
      <c r="AE257" s="72">
        <v>66000</v>
      </c>
      <c r="AF257" s="72">
        <v>17962</v>
      </c>
      <c r="AG257" s="72">
        <v>332459</v>
      </c>
      <c r="AH257" s="72">
        <v>15613850</v>
      </c>
      <c r="AI257" s="72">
        <v>0</v>
      </c>
      <c r="AJ257" s="72">
        <v>0</v>
      </c>
      <c r="AK257" s="72">
        <v>0</v>
      </c>
      <c r="AL257" s="72">
        <v>0</v>
      </c>
      <c r="AM257" s="72">
        <v>15613850</v>
      </c>
      <c r="AN257" s="72">
        <v>1002762</v>
      </c>
      <c r="AO257" s="72">
        <v>2263232</v>
      </c>
      <c r="AP257" s="72">
        <v>3265994</v>
      </c>
      <c r="AQ257" s="72">
        <v>150000</v>
      </c>
      <c r="AR257" s="72">
        <v>0</v>
      </c>
      <c r="AS257" s="72">
        <v>0</v>
      </c>
      <c r="AT257" s="72">
        <v>0</v>
      </c>
      <c r="AU257" s="72">
        <v>0</v>
      </c>
      <c r="AV257" s="72">
        <v>0</v>
      </c>
      <c r="AW257" s="72">
        <v>0</v>
      </c>
      <c r="AX257" s="72">
        <v>0</v>
      </c>
      <c r="AY257" s="72">
        <v>0</v>
      </c>
      <c r="AZ257" s="72">
        <v>0</v>
      </c>
      <c r="BA257" s="72">
        <v>3115994</v>
      </c>
      <c r="BB257" s="72">
        <v>0</v>
      </c>
      <c r="BC257" s="72">
        <v>0</v>
      </c>
      <c r="BD257" s="72">
        <v>0</v>
      </c>
      <c r="BE257" s="72">
        <v>3115994</v>
      </c>
      <c r="BF257" s="72">
        <v>0</v>
      </c>
      <c r="BG257" s="72">
        <v>0</v>
      </c>
      <c r="BH257" s="72">
        <v>0</v>
      </c>
      <c r="BI257" s="72">
        <v>0</v>
      </c>
      <c r="BJ257" s="72">
        <v>3115994</v>
      </c>
      <c r="BM257" s="72">
        <v>0</v>
      </c>
      <c r="BN257" s="72">
        <v>0</v>
      </c>
      <c r="BO257" s="72">
        <v>0</v>
      </c>
      <c r="BP257" s="72">
        <v>0</v>
      </c>
      <c r="BQ257" s="72">
        <v>0</v>
      </c>
      <c r="BR257" s="72">
        <v>0</v>
      </c>
      <c r="BS257" s="72">
        <v>16616612</v>
      </c>
    </row>
    <row r="258" spans="1:71" x14ac:dyDescent="0.2">
      <c r="A258" t="s">
        <v>683</v>
      </c>
      <c r="B258" t="s">
        <v>1373</v>
      </c>
      <c r="C258" t="s">
        <v>54</v>
      </c>
      <c r="D258" s="72">
        <v>1733764</v>
      </c>
      <c r="E258" s="72">
        <v>98930</v>
      </c>
      <c r="F258" s="72">
        <v>1793157</v>
      </c>
      <c r="G258" s="72">
        <v>5371267</v>
      </c>
      <c r="H258" s="72">
        <v>73830</v>
      </c>
      <c r="I258" s="72">
        <v>0</v>
      </c>
      <c r="J258" s="72">
        <v>273737</v>
      </c>
      <c r="K258" s="72">
        <v>684965</v>
      </c>
      <c r="L258" s="72">
        <v>10029650</v>
      </c>
      <c r="M258" s="72">
        <v>0</v>
      </c>
      <c r="N258" s="72">
        <v>0</v>
      </c>
      <c r="O258" s="72">
        <v>0</v>
      </c>
      <c r="P258" s="72">
        <v>0</v>
      </c>
      <c r="Q258" s="72">
        <v>95000</v>
      </c>
      <c r="R258" s="72">
        <v>95000</v>
      </c>
      <c r="S258" s="72">
        <v>10124650</v>
      </c>
      <c r="T258" s="72">
        <v>4997480</v>
      </c>
      <c r="U258" s="72">
        <v>1817780</v>
      </c>
      <c r="V258" s="72">
        <v>2466000</v>
      </c>
      <c r="W258" s="72">
        <v>549376</v>
      </c>
      <c r="X258" s="72">
        <v>87008</v>
      </c>
      <c r="Y258" s="72">
        <v>0</v>
      </c>
      <c r="Z258" s="72">
        <v>0</v>
      </c>
      <c r="AA258" s="72">
        <v>0</v>
      </c>
      <c r="AB258" s="72">
        <v>0</v>
      </c>
      <c r="AC258" s="72">
        <v>0</v>
      </c>
      <c r="AD258" s="72">
        <v>0</v>
      </c>
      <c r="AE258" s="72">
        <v>0</v>
      </c>
      <c r="AF258" s="72">
        <v>0</v>
      </c>
      <c r="AG258" s="72">
        <v>121741</v>
      </c>
      <c r="AH258" s="72">
        <v>10039385</v>
      </c>
      <c r="AI258" s="72">
        <v>216215</v>
      </c>
      <c r="AJ258" s="72">
        <v>0</v>
      </c>
      <c r="AK258" s="72">
        <v>0</v>
      </c>
      <c r="AL258" s="72">
        <v>216215</v>
      </c>
      <c r="AM258" s="72">
        <v>10255600</v>
      </c>
      <c r="AN258" s="72">
        <v>-130950</v>
      </c>
      <c r="AO258" s="72">
        <v>477252</v>
      </c>
      <c r="AP258" s="72">
        <v>346302</v>
      </c>
      <c r="AQ258" s="72">
        <v>12500</v>
      </c>
      <c r="AR258" s="72">
        <v>0</v>
      </c>
      <c r="AS258" s="72">
        <v>0</v>
      </c>
      <c r="AT258" s="72">
        <v>0</v>
      </c>
      <c r="AU258" s="72">
        <v>0</v>
      </c>
      <c r="AV258" s="72">
        <v>0</v>
      </c>
      <c r="AW258" s="72">
        <v>0</v>
      </c>
      <c r="AX258" s="72">
        <v>0</v>
      </c>
      <c r="AY258" s="72">
        <v>0</v>
      </c>
      <c r="AZ258" s="72">
        <v>0</v>
      </c>
      <c r="BA258" s="72">
        <v>333802</v>
      </c>
      <c r="BB258" s="72">
        <v>0</v>
      </c>
      <c r="BC258" s="72">
        <v>0</v>
      </c>
      <c r="BD258" s="72">
        <v>0</v>
      </c>
      <c r="BE258" s="72">
        <v>333802</v>
      </c>
      <c r="BF258" s="72">
        <v>0</v>
      </c>
      <c r="BG258" s="72">
        <v>0</v>
      </c>
      <c r="BH258" s="72">
        <v>0</v>
      </c>
      <c r="BI258" s="72">
        <v>0</v>
      </c>
      <c r="BJ258" s="72">
        <v>333802</v>
      </c>
      <c r="BM258" s="72">
        <v>0</v>
      </c>
      <c r="BN258" s="72">
        <v>0</v>
      </c>
      <c r="BO258" s="72">
        <v>0</v>
      </c>
      <c r="BP258" s="72">
        <v>0</v>
      </c>
      <c r="BQ258" s="72">
        <v>0</v>
      </c>
      <c r="BR258" s="72">
        <v>0</v>
      </c>
      <c r="BS258" s="72">
        <v>10255600</v>
      </c>
    </row>
    <row r="259" spans="1:71" x14ac:dyDescent="0.2">
      <c r="A259" t="s">
        <v>745</v>
      </c>
      <c r="B259" t="s">
        <v>1434</v>
      </c>
      <c r="C259" t="s">
        <v>54</v>
      </c>
      <c r="D259" s="72">
        <v>2056657</v>
      </c>
      <c r="E259" s="72">
        <v>170602</v>
      </c>
      <c r="F259" s="72">
        <v>1878585</v>
      </c>
      <c r="G259" s="72">
        <v>6051574</v>
      </c>
      <c r="H259" s="72">
        <v>112328</v>
      </c>
      <c r="I259" s="72">
        <v>0</v>
      </c>
      <c r="J259" s="72">
        <v>299000</v>
      </c>
      <c r="K259" s="72">
        <v>1851735</v>
      </c>
      <c r="L259" s="72">
        <v>12420482</v>
      </c>
      <c r="M259" s="72">
        <v>0</v>
      </c>
      <c r="N259" s="72">
        <v>0</v>
      </c>
      <c r="O259" s="72">
        <v>0</v>
      </c>
      <c r="P259" s="72">
        <v>0</v>
      </c>
      <c r="Q259" s="72">
        <v>126387</v>
      </c>
      <c r="R259" s="72">
        <v>126387</v>
      </c>
      <c r="S259" s="72">
        <v>12546869</v>
      </c>
      <c r="T259" s="72">
        <v>5603260</v>
      </c>
      <c r="U259" s="72">
        <v>2547908</v>
      </c>
      <c r="V259" s="72">
        <v>3578433</v>
      </c>
      <c r="W259" s="72">
        <v>255415</v>
      </c>
      <c r="X259" s="72">
        <v>39064</v>
      </c>
      <c r="Y259" s="72">
        <v>0</v>
      </c>
      <c r="Z259" s="72">
        <v>0</v>
      </c>
      <c r="AA259" s="72">
        <v>0</v>
      </c>
      <c r="AB259" s="72">
        <v>0</v>
      </c>
      <c r="AC259" s="72">
        <v>0</v>
      </c>
      <c r="AD259" s="72">
        <v>0</v>
      </c>
      <c r="AE259" s="72">
        <v>0</v>
      </c>
      <c r="AF259" s="72">
        <v>0</v>
      </c>
      <c r="AG259" s="72">
        <v>206293</v>
      </c>
      <c r="AH259" s="72">
        <v>12230371</v>
      </c>
      <c r="AI259" s="72">
        <v>40000</v>
      </c>
      <c r="AJ259" s="72">
        <v>0</v>
      </c>
      <c r="AK259" s="72">
        <v>0</v>
      </c>
      <c r="AL259" s="72">
        <v>40000</v>
      </c>
      <c r="AM259" s="72">
        <v>12270371</v>
      </c>
      <c r="AN259" s="72">
        <v>276498</v>
      </c>
      <c r="AO259" s="72">
        <v>1151551</v>
      </c>
      <c r="AP259" s="72">
        <v>1428049</v>
      </c>
      <c r="AQ259" s="72">
        <v>60000</v>
      </c>
      <c r="AR259" s="72">
        <v>0</v>
      </c>
      <c r="AS259" s="72">
        <v>0</v>
      </c>
      <c r="AT259" s="72">
        <v>0</v>
      </c>
      <c r="AU259" s="72">
        <v>0</v>
      </c>
      <c r="AV259" s="72">
        <v>0</v>
      </c>
      <c r="AW259" s="72">
        <v>0</v>
      </c>
      <c r="AX259" s="72">
        <v>0</v>
      </c>
      <c r="AY259" s="72">
        <v>0</v>
      </c>
      <c r="AZ259" s="72">
        <v>0</v>
      </c>
      <c r="BA259" s="72">
        <v>1368049</v>
      </c>
      <c r="BB259" s="72">
        <v>0</v>
      </c>
      <c r="BC259" s="72">
        <v>0</v>
      </c>
      <c r="BD259" s="72">
        <v>0</v>
      </c>
      <c r="BE259" s="72">
        <v>1368049</v>
      </c>
      <c r="BF259" s="72">
        <v>0</v>
      </c>
      <c r="BG259" s="72">
        <v>0</v>
      </c>
      <c r="BH259" s="72">
        <v>0</v>
      </c>
      <c r="BI259" s="72">
        <v>0</v>
      </c>
      <c r="BJ259" s="72">
        <v>1368049</v>
      </c>
      <c r="BK259" s="72">
        <v>91</v>
      </c>
      <c r="BL259" s="72">
        <v>1</v>
      </c>
      <c r="BM259" s="72">
        <v>0</v>
      </c>
      <c r="BN259" s="72">
        <v>0</v>
      </c>
      <c r="BO259" s="72">
        <v>0</v>
      </c>
      <c r="BP259" s="72">
        <v>0</v>
      </c>
      <c r="BQ259" s="72">
        <v>0</v>
      </c>
      <c r="BR259" s="72">
        <v>0</v>
      </c>
      <c r="BS259" s="72">
        <v>12546869</v>
      </c>
    </row>
    <row r="260" spans="1:71" x14ac:dyDescent="0.2">
      <c r="A260" t="s">
        <v>351</v>
      </c>
      <c r="B260" t="s">
        <v>1063</v>
      </c>
      <c r="C260" t="s">
        <v>108</v>
      </c>
      <c r="D260" s="72">
        <v>6051845</v>
      </c>
      <c r="E260" s="72">
        <v>313724</v>
      </c>
      <c r="F260" s="72">
        <v>0</v>
      </c>
      <c r="G260" s="72">
        <v>6390094</v>
      </c>
      <c r="H260" s="72">
        <v>74637</v>
      </c>
      <c r="I260" s="72">
        <v>0</v>
      </c>
      <c r="J260" s="72">
        <v>1043535</v>
      </c>
      <c r="K260" s="72">
        <v>832357</v>
      </c>
      <c r="L260" s="72">
        <v>14706192</v>
      </c>
      <c r="M260" s="72">
        <v>0</v>
      </c>
      <c r="N260" s="72">
        <v>0</v>
      </c>
      <c r="O260" s="72">
        <v>0</v>
      </c>
      <c r="P260" s="72">
        <v>127849</v>
      </c>
      <c r="Q260" s="72">
        <v>0</v>
      </c>
      <c r="R260" s="72">
        <v>127849</v>
      </c>
      <c r="S260" s="72">
        <v>14834041</v>
      </c>
      <c r="T260" s="72">
        <v>8663290</v>
      </c>
      <c r="U260" s="72">
        <v>3175149</v>
      </c>
      <c r="V260" s="72">
        <v>2734958</v>
      </c>
      <c r="W260" s="72">
        <v>535626</v>
      </c>
      <c r="X260" s="72">
        <v>51076</v>
      </c>
      <c r="Y260" s="72">
        <v>0</v>
      </c>
      <c r="Z260" s="72">
        <v>0</v>
      </c>
      <c r="AA260" s="72">
        <v>0</v>
      </c>
      <c r="AB260" s="72">
        <v>0</v>
      </c>
      <c r="AC260" s="72">
        <v>0</v>
      </c>
      <c r="AD260" s="72">
        <v>0</v>
      </c>
      <c r="AE260" s="72">
        <v>0</v>
      </c>
      <c r="AF260" s="72">
        <v>0</v>
      </c>
      <c r="AG260" s="72">
        <v>230664</v>
      </c>
      <c r="AH260" s="72">
        <v>15390763</v>
      </c>
      <c r="AI260" s="72">
        <v>0</v>
      </c>
      <c r="AJ260" s="72">
        <v>0</v>
      </c>
      <c r="AK260" s="72">
        <v>0</v>
      </c>
      <c r="AL260" s="72">
        <v>0</v>
      </c>
      <c r="AM260" s="72">
        <v>15390763</v>
      </c>
      <c r="AN260" s="72">
        <v>-556722</v>
      </c>
      <c r="AO260" s="72">
        <v>1351934</v>
      </c>
      <c r="AP260" s="72">
        <v>795212</v>
      </c>
      <c r="AQ260" s="72">
        <v>42600</v>
      </c>
      <c r="AR260" s="72">
        <v>0</v>
      </c>
      <c r="AS260" s="72">
        <v>0</v>
      </c>
      <c r="AT260" s="72">
        <v>0</v>
      </c>
      <c r="AU260" s="72">
        <v>0</v>
      </c>
      <c r="AV260" s="72">
        <v>0</v>
      </c>
      <c r="AW260" s="72">
        <v>0</v>
      </c>
      <c r="AX260" s="72">
        <v>0</v>
      </c>
      <c r="AY260" s="72">
        <v>0</v>
      </c>
      <c r="AZ260" s="72">
        <v>0</v>
      </c>
      <c r="BA260" s="72">
        <v>752612</v>
      </c>
      <c r="BB260" s="72">
        <v>0</v>
      </c>
      <c r="BC260" s="72">
        <v>0</v>
      </c>
      <c r="BD260" s="72">
        <v>0</v>
      </c>
      <c r="BE260" s="72">
        <v>752612</v>
      </c>
      <c r="BF260" s="72">
        <v>0</v>
      </c>
      <c r="BG260" s="72">
        <v>0</v>
      </c>
      <c r="BH260" s="72">
        <v>0</v>
      </c>
      <c r="BI260" s="72">
        <v>0</v>
      </c>
      <c r="BJ260" s="72">
        <v>752612</v>
      </c>
      <c r="BM260" s="72">
        <v>0</v>
      </c>
      <c r="BN260" s="72">
        <v>0</v>
      </c>
      <c r="BO260" s="72">
        <v>0</v>
      </c>
      <c r="BP260" s="72">
        <v>0</v>
      </c>
      <c r="BQ260" s="72">
        <v>0</v>
      </c>
      <c r="BR260" s="72">
        <v>0</v>
      </c>
      <c r="BS260" s="72">
        <v>15390763</v>
      </c>
    </row>
    <row r="261" spans="1:71" x14ac:dyDescent="0.2">
      <c r="A261" t="s">
        <v>676</v>
      </c>
      <c r="B261" t="s">
        <v>1366</v>
      </c>
      <c r="C261" t="s">
        <v>108</v>
      </c>
      <c r="D261" s="72">
        <v>6998518</v>
      </c>
      <c r="E261" s="72">
        <v>378608</v>
      </c>
      <c r="F261" s="72">
        <v>0</v>
      </c>
      <c r="G261" s="72">
        <v>15992382</v>
      </c>
      <c r="H261" s="72">
        <v>91000</v>
      </c>
      <c r="I261" s="72">
        <v>0</v>
      </c>
      <c r="J261" s="72">
        <v>1363720</v>
      </c>
      <c r="K261" s="72">
        <v>1832790</v>
      </c>
      <c r="L261" s="72">
        <v>26657018</v>
      </c>
      <c r="M261" s="72">
        <v>0</v>
      </c>
      <c r="N261" s="72">
        <v>0</v>
      </c>
      <c r="O261" s="72">
        <v>0</v>
      </c>
      <c r="P261" s="72">
        <v>0</v>
      </c>
      <c r="Q261" s="72">
        <v>0</v>
      </c>
      <c r="R261" s="72">
        <v>0</v>
      </c>
      <c r="S261" s="72">
        <v>26657018</v>
      </c>
      <c r="T261" s="72">
        <v>14882933</v>
      </c>
      <c r="U261" s="72">
        <v>6044544</v>
      </c>
      <c r="V261" s="72">
        <v>4354813</v>
      </c>
      <c r="W261" s="72">
        <v>948104</v>
      </c>
      <c r="X261" s="72">
        <v>122134</v>
      </c>
      <c r="Y261" s="72">
        <v>0</v>
      </c>
      <c r="Z261" s="72">
        <v>0</v>
      </c>
      <c r="AA261" s="72">
        <v>0</v>
      </c>
      <c r="AB261" s="72">
        <v>0</v>
      </c>
      <c r="AC261" s="72">
        <v>0</v>
      </c>
      <c r="AD261" s="72">
        <v>0</v>
      </c>
      <c r="AE261" s="72">
        <v>0</v>
      </c>
      <c r="AF261" s="72">
        <v>0</v>
      </c>
      <c r="AG261" s="72">
        <v>310690</v>
      </c>
      <c r="AH261" s="72">
        <v>26663218</v>
      </c>
      <c r="AI261" s="72">
        <v>0</v>
      </c>
      <c r="AJ261" s="72">
        <v>0</v>
      </c>
      <c r="AK261" s="72">
        <v>0</v>
      </c>
      <c r="AL261" s="72">
        <v>0</v>
      </c>
      <c r="AM261" s="72">
        <v>26663218</v>
      </c>
      <c r="AN261" s="72">
        <v>-6200</v>
      </c>
      <c r="AO261" s="72">
        <v>1457451</v>
      </c>
      <c r="AP261" s="72">
        <v>1451251</v>
      </c>
      <c r="AQ261" s="72">
        <v>605404</v>
      </c>
      <c r="AR261" s="72">
        <v>0</v>
      </c>
      <c r="AS261" s="72">
        <v>0</v>
      </c>
      <c r="AT261" s="72">
        <v>544596</v>
      </c>
      <c r="AU261" s="72">
        <v>0</v>
      </c>
      <c r="AV261" s="72">
        <v>0</v>
      </c>
      <c r="AW261" s="72">
        <v>0</v>
      </c>
      <c r="AX261" s="72">
        <v>0</v>
      </c>
      <c r="AY261" s="72">
        <v>0</v>
      </c>
      <c r="AZ261" s="72">
        <v>544596</v>
      </c>
      <c r="BA261" s="72">
        <v>301251</v>
      </c>
      <c r="BB261" s="72">
        <v>0</v>
      </c>
      <c r="BC261" s="72">
        <v>0</v>
      </c>
      <c r="BD261" s="72">
        <v>0</v>
      </c>
      <c r="BE261" s="72">
        <v>301251</v>
      </c>
      <c r="BF261" s="72">
        <v>0</v>
      </c>
      <c r="BG261" s="72">
        <v>0</v>
      </c>
      <c r="BH261" s="72">
        <v>0</v>
      </c>
      <c r="BI261" s="72">
        <v>0</v>
      </c>
      <c r="BJ261" s="72">
        <v>301251</v>
      </c>
      <c r="BK261" s="72">
        <v>0</v>
      </c>
      <c r="BL261" s="72">
        <v>0</v>
      </c>
      <c r="BM261" s="72">
        <v>0</v>
      </c>
      <c r="BN261" s="72">
        <v>0</v>
      </c>
      <c r="BO261" s="72">
        <v>0</v>
      </c>
      <c r="BP261" s="72">
        <v>0</v>
      </c>
      <c r="BQ261" s="72">
        <v>0</v>
      </c>
      <c r="BR261" s="72">
        <v>0</v>
      </c>
      <c r="BS261" s="72">
        <v>26663218</v>
      </c>
    </row>
    <row r="262" spans="1:71" x14ac:dyDescent="0.2">
      <c r="A262" t="s">
        <v>532</v>
      </c>
      <c r="B262" t="s">
        <v>1236</v>
      </c>
      <c r="C262" t="s">
        <v>108</v>
      </c>
      <c r="D262" s="72">
        <v>10517889</v>
      </c>
      <c r="E262" s="72">
        <v>453423</v>
      </c>
      <c r="F262" s="72">
        <v>0</v>
      </c>
      <c r="G262" s="72">
        <v>13118073</v>
      </c>
      <c r="H262" s="72">
        <v>143687</v>
      </c>
      <c r="I262" s="72">
        <v>0</v>
      </c>
      <c r="J262" s="72">
        <v>2002124</v>
      </c>
      <c r="K262" s="72">
        <v>2386801</v>
      </c>
      <c r="L262" s="72">
        <v>28621997</v>
      </c>
      <c r="M262" s="72">
        <v>0</v>
      </c>
      <c r="N262" s="72">
        <v>0</v>
      </c>
      <c r="O262" s="72">
        <v>0</v>
      </c>
      <c r="P262" s="72">
        <v>0</v>
      </c>
      <c r="Q262" s="72">
        <v>0</v>
      </c>
      <c r="R262" s="72">
        <v>0</v>
      </c>
      <c r="S262" s="72">
        <v>28621997</v>
      </c>
      <c r="T262" s="72">
        <v>18070510</v>
      </c>
      <c r="U262" s="72">
        <v>6435544</v>
      </c>
      <c r="V262" s="72">
        <v>3319649</v>
      </c>
      <c r="W262" s="72">
        <v>900781</v>
      </c>
      <c r="X262" s="72">
        <v>365414</v>
      </c>
      <c r="Y262" s="72">
        <v>0</v>
      </c>
      <c r="Z262" s="72">
        <v>0</v>
      </c>
      <c r="AA262" s="72">
        <v>0</v>
      </c>
      <c r="AB262" s="72">
        <v>0</v>
      </c>
      <c r="AC262" s="72">
        <v>0</v>
      </c>
      <c r="AD262" s="72">
        <v>0</v>
      </c>
      <c r="AE262" s="72">
        <v>0</v>
      </c>
      <c r="AF262" s="72">
        <v>0</v>
      </c>
      <c r="AG262" s="72">
        <v>381394</v>
      </c>
      <c r="AH262" s="72">
        <v>29473292</v>
      </c>
      <c r="AI262" s="72">
        <v>0</v>
      </c>
      <c r="AJ262" s="72">
        <v>0</v>
      </c>
      <c r="AK262" s="72">
        <v>0</v>
      </c>
      <c r="AL262" s="72">
        <v>0</v>
      </c>
      <c r="AM262" s="72">
        <v>29473292</v>
      </c>
      <c r="AN262" s="72">
        <v>-851295</v>
      </c>
      <c r="AO262" s="72">
        <v>3742204</v>
      </c>
      <c r="AP262" s="72">
        <v>2890909</v>
      </c>
      <c r="AQ262" s="72">
        <v>150000</v>
      </c>
      <c r="AR262" s="72">
        <v>0</v>
      </c>
      <c r="AS262" s="72">
        <v>0</v>
      </c>
      <c r="AT262" s="72">
        <v>0</v>
      </c>
      <c r="AU262" s="72">
        <v>0</v>
      </c>
      <c r="AV262" s="72">
        <v>0</v>
      </c>
      <c r="AW262" s="72">
        <v>0</v>
      </c>
      <c r="AX262" s="72">
        <v>0</v>
      </c>
      <c r="AY262" s="72">
        <v>0</v>
      </c>
      <c r="AZ262" s="72">
        <v>0</v>
      </c>
      <c r="BA262" s="72">
        <v>2740909</v>
      </c>
      <c r="BB262" s="72">
        <v>0</v>
      </c>
      <c r="BC262" s="72">
        <v>0</v>
      </c>
      <c r="BD262" s="72">
        <v>0</v>
      </c>
      <c r="BE262" s="72">
        <v>2740909</v>
      </c>
      <c r="BF262" s="72">
        <v>0</v>
      </c>
      <c r="BG262" s="72">
        <v>0</v>
      </c>
      <c r="BH262" s="72">
        <v>0</v>
      </c>
      <c r="BI262" s="72">
        <v>0</v>
      </c>
      <c r="BJ262" s="72">
        <v>2740909</v>
      </c>
      <c r="BK262" s="72">
        <v>0</v>
      </c>
      <c r="BL262" s="72">
        <v>0</v>
      </c>
      <c r="BM262" s="72">
        <v>0</v>
      </c>
      <c r="BN262" s="72">
        <v>0</v>
      </c>
      <c r="BO262" s="72">
        <v>0</v>
      </c>
      <c r="BP262" s="72">
        <v>0</v>
      </c>
      <c r="BQ262" s="72">
        <v>0</v>
      </c>
      <c r="BR262" s="72">
        <v>0</v>
      </c>
      <c r="BS262" s="72">
        <v>29473292</v>
      </c>
    </row>
    <row r="263" spans="1:71" x14ac:dyDescent="0.2">
      <c r="A263" t="s">
        <v>542</v>
      </c>
      <c r="B263" t="s">
        <v>1242</v>
      </c>
      <c r="C263" t="s">
        <v>108</v>
      </c>
      <c r="D263" s="72">
        <v>5267624</v>
      </c>
      <c r="E263" s="72">
        <v>210959</v>
      </c>
      <c r="F263" s="72">
        <v>2044630</v>
      </c>
      <c r="G263" s="72">
        <v>6568154</v>
      </c>
      <c r="H263" s="72">
        <v>10386</v>
      </c>
      <c r="I263" s="72">
        <v>0</v>
      </c>
      <c r="J263" s="72">
        <v>900605</v>
      </c>
      <c r="K263" s="72">
        <v>1429003</v>
      </c>
      <c r="L263" s="72">
        <v>16431361</v>
      </c>
      <c r="M263" s="72">
        <v>0</v>
      </c>
      <c r="N263" s="72">
        <v>0</v>
      </c>
      <c r="O263" s="72">
        <v>0</v>
      </c>
      <c r="P263" s="72">
        <v>4769</v>
      </c>
      <c r="Q263" s="72">
        <v>20000</v>
      </c>
      <c r="R263" s="72">
        <v>24769</v>
      </c>
      <c r="S263" s="72">
        <v>16456130</v>
      </c>
      <c r="T263" s="72">
        <v>8504460</v>
      </c>
      <c r="U263" s="72">
        <v>3204474</v>
      </c>
      <c r="V263" s="72">
        <v>2415479</v>
      </c>
      <c r="W263" s="72">
        <v>589729</v>
      </c>
      <c r="X263" s="72">
        <v>602009</v>
      </c>
      <c r="Y263" s="72">
        <v>0</v>
      </c>
      <c r="Z263" s="72">
        <v>0</v>
      </c>
      <c r="AA263" s="72">
        <v>0</v>
      </c>
      <c r="AB263" s="72">
        <v>0</v>
      </c>
      <c r="AC263" s="72">
        <v>0</v>
      </c>
      <c r="AD263" s="72">
        <v>0</v>
      </c>
      <c r="AE263" s="72">
        <v>0</v>
      </c>
      <c r="AF263" s="72">
        <v>0</v>
      </c>
      <c r="AG263" s="72">
        <v>242459</v>
      </c>
      <c r="AH263" s="72">
        <v>15558610</v>
      </c>
      <c r="AI263" s="72">
        <v>120721</v>
      </c>
      <c r="AJ263" s="72">
        <v>10000</v>
      </c>
      <c r="AK263" s="72">
        <v>0</v>
      </c>
      <c r="AL263" s="72">
        <v>130721</v>
      </c>
      <c r="AM263" s="72">
        <v>15689331</v>
      </c>
      <c r="AN263" s="72">
        <v>766799</v>
      </c>
      <c r="AO263" s="72">
        <v>3623958</v>
      </c>
      <c r="AP263" s="72">
        <v>4390757</v>
      </c>
      <c r="AQ263" s="72">
        <v>100000</v>
      </c>
      <c r="AR263" s="72">
        <v>0</v>
      </c>
      <c r="AS263" s="72">
        <v>0</v>
      </c>
      <c r="AT263" s="72">
        <v>201431</v>
      </c>
      <c r="AU263" s="72">
        <v>0</v>
      </c>
      <c r="AV263" s="72">
        <v>0</v>
      </c>
      <c r="AW263" s="72">
        <v>0</v>
      </c>
      <c r="AX263" s="72">
        <v>0</v>
      </c>
      <c r="AY263" s="72">
        <v>0</v>
      </c>
      <c r="AZ263" s="72">
        <v>201431</v>
      </c>
      <c r="BA263" s="72">
        <v>4089326</v>
      </c>
      <c r="BB263" s="72">
        <v>0</v>
      </c>
      <c r="BC263" s="72">
        <v>0</v>
      </c>
      <c r="BD263" s="72">
        <v>0</v>
      </c>
      <c r="BE263" s="72">
        <v>4089326</v>
      </c>
      <c r="BF263" s="72">
        <v>0</v>
      </c>
      <c r="BG263" s="72">
        <v>0</v>
      </c>
      <c r="BH263" s="72">
        <v>0</v>
      </c>
      <c r="BI263" s="72">
        <v>0</v>
      </c>
      <c r="BJ263" s="72">
        <v>4089326</v>
      </c>
      <c r="BK263" s="72">
        <v>119</v>
      </c>
      <c r="BL263" s="72">
        <v>1604</v>
      </c>
      <c r="BM263" s="72">
        <v>0</v>
      </c>
      <c r="BN263" s="72">
        <v>0</v>
      </c>
      <c r="BO263" s="72">
        <v>0</v>
      </c>
      <c r="BP263" s="72">
        <v>0</v>
      </c>
      <c r="BQ263" s="72">
        <v>0</v>
      </c>
      <c r="BR263" s="72">
        <v>0</v>
      </c>
      <c r="BS263" s="72">
        <v>16456130</v>
      </c>
    </row>
    <row r="264" spans="1:71" x14ac:dyDescent="0.2">
      <c r="A264" t="s">
        <v>639</v>
      </c>
      <c r="B264" t="s">
        <v>1334</v>
      </c>
      <c r="C264" t="s">
        <v>108</v>
      </c>
      <c r="D264" s="72">
        <v>2074453</v>
      </c>
      <c r="E264" s="72">
        <v>149092</v>
      </c>
      <c r="F264" s="72">
        <v>893755</v>
      </c>
      <c r="G264" s="72">
        <v>3152432</v>
      </c>
      <c r="H264" s="72">
        <v>54437</v>
      </c>
      <c r="I264" s="72">
        <v>0</v>
      </c>
      <c r="J264" s="72">
        <v>325826</v>
      </c>
      <c r="K264" s="72">
        <v>484544</v>
      </c>
      <c r="L264" s="72">
        <v>7134539</v>
      </c>
      <c r="M264" s="72">
        <v>0</v>
      </c>
      <c r="N264" s="72">
        <v>0</v>
      </c>
      <c r="O264" s="72">
        <v>0</v>
      </c>
      <c r="P264" s="72">
        <v>215947</v>
      </c>
      <c r="Q264" s="72">
        <v>0</v>
      </c>
      <c r="R264" s="72">
        <v>215947</v>
      </c>
      <c r="S264" s="72">
        <v>7350486</v>
      </c>
      <c r="T264" s="72">
        <v>4325045</v>
      </c>
      <c r="U264" s="72">
        <v>1467774</v>
      </c>
      <c r="V264" s="72">
        <v>1640504</v>
      </c>
      <c r="W264" s="72">
        <v>255059</v>
      </c>
      <c r="X264" s="72">
        <v>28221</v>
      </c>
      <c r="Y264" s="72">
        <v>0</v>
      </c>
      <c r="Z264" s="72">
        <v>0</v>
      </c>
      <c r="AA264" s="72">
        <v>0</v>
      </c>
      <c r="AB264" s="72">
        <v>0</v>
      </c>
      <c r="AC264" s="72">
        <v>0</v>
      </c>
      <c r="AD264" s="72">
        <v>0</v>
      </c>
      <c r="AE264" s="72">
        <v>0</v>
      </c>
      <c r="AF264" s="72">
        <v>0</v>
      </c>
      <c r="AG264" s="72">
        <v>135272</v>
      </c>
      <c r="AH264" s="72">
        <v>7851875</v>
      </c>
      <c r="AI264" s="72">
        <v>0</v>
      </c>
      <c r="AJ264" s="72">
        <v>256977</v>
      </c>
      <c r="AK264" s="72">
        <v>0</v>
      </c>
      <c r="AL264" s="72">
        <v>256977</v>
      </c>
      <c r="AM264" s="72">
        <v>8108852</v>
      </c>
      <c r="AN264" s="72">
        <v>-758366</v>
      </c>
      <c r="AO264" s="72">
        <v>5366323</v>
      </c>
      <c r="AP264" s="72">
        <v>4607957</v>
      </c>
      <c r="AQ264" s="72">
        <v>105957</v>
      </c>
      <c r="AR264" s="72">
        <v>0</v>
      </c>
      <c r="AS264" s="72">
        <v>0</v>
      </c>
      <c r="AT264" s="72">
        <v>102838</v>
      </c>
      <c r="AU264" s="72">
        <v>0</v>
      </c>
      <c r="AV264" s="72">
        <v>0</v>
      </c>
      <c r="AW264" s="72">
        <v>0</v>
      </c>
      <c r="AX264" s="72">
        <v>0</v>
      </c>
      <c r="AY264" s="72">
        <v>0</v>
      </c>
      <c r="AZ264" s="72">
        <v>102838</v>
      </c>
      <c r="BA264" s="72">
        <v>4399162</v>
      </c>
      <c r="BB264" s="72">
        <v>0</v>
      </c>
      <c r="BC264" s="72">
        <v>0</v>
      </c>
      <c r="BD264" s="72">
        <v>0</v>
      </c>
      <c r="BE264" s="72">
        <v>4399162</v>
      </c>
      <c r="BF264" s="72">
        <v>0</v>
      </c>
      <c r="BG264" s="72">
        <v>0</v>
      </c>
      <c r="BH264" s="72">
        <v>0</v>
      </c>
      <c r="BI264" s="72">
        <v>0</v>
      </c>
      <c r="BJ264" s="72">
        <v>4399162</v>
      </c>
      <c r="BM264" s="72">
        <v>0</v>
      </c>
      <c r="BN264" s="72">
        <v>0</v>
      </c>
      <c r="BO264" s="72">
        <v>0</v>
      </c>
      <c r="BP264" s="72">
        <v>0</v>
      </c>
      <c r="BQ264" s="72">
        <v>0</v>
      </c>
      <c r="BR264" s="72">
        <v>0</v>
      </c>
      <c r="BS264" s="72">
        <v>8108852</v>
      </c>
    </row>
    <row r="265" spans="1:71" x14ac:dyDescent="0.2">
      <c r="A265" t="s">
        <v>222</v>
      </c>
      <c r="B265" t="s">
        <v>940</v>
      </c>
      <c r="C265" t="s">
        <v>108</v>
      </c>
      <c r="D265" s="72">
        <v>7922691</v>
      </c>
      <c r="E265" s="72">
        <v>509451</v>
      </c>
      <c r="F265" s="72">
        <v>0</v>
      </c>
      <c r="G265" s="72">
        <v>5520410</v>
      </c>
      <c r="H265" s="72">
        <v>26706</v>
      </c>
      <c r="I265" s="72">
        <v>0</v>
      </c>
      <c r="J265" s="72">
        <v>1643708</v>
      </c>
      <c r="K265" s="72">
        <v>1990689</v>
      </c>
      <c r="L265" s="72">
        <v>17613656</v>
      </c>
      <c r="M265" s="72">
        <v>0</v>
      </c>
      <c r="N265" s="72">
        <v>0</v>
      </c>
      <c r="O265" s="72">
        <v>0</v>
      </c>
      <c r="P265" s="72">
        <v>0</v>
      </c>
      <c r="Q265" s="72">
        <v>125000</v>
      </c>
      <c r="R265" s="72">
        <v>125000</v>
      </c>
      <c r="S265" s="72">
        <v>17738656</v>
      </c>
      <c r="T265" s="72">
        <v>9960390</v>
      </c>
      <c r="U265" s="72">
        <v>4000891</v>
      </c>
      <c r="V265" s="72">
        <v>2498062</v>
      </c>
      <c r="W265" s="72">
        <v>591024</v>
      </c>
      <c r="X265" s="72">
        <v>23635</v>
      </c>
      <c r="Y265" s="72">
        <v>0</v>
      </c>
      <c r="Z265" s="72">
        <v>0</v>
      </c>
      <c r="AA265" s="72">
        <v>0</v>
      </c>
      <c r="AB265" s="72">
        <v>0</v>
      </c>
      <c r="AC265" s="72">
        <v>0</v>
      </c>
      <c r="AD265" s="72">
        <v>0</v>
      </c>
      <c r="AE265" s="72">
        <v>0</v>
      </c>
      <c r="AF265" s="72">
        <v>0</v>
      </c>
      <c r="AG265" s="72">
        <v>321325</v>
      </c>
      <c r="AH265" s="72">
        <v>17395327</v>
      </c>
      <c r="AI265" s="72">
        <v>455647</v>
      </c>
      <c r="AJ265" s="72">
        <v>0</v>
      </c>
      <c r="AK265" s="72">
        <v>44236</v>
      </c>
      <c r="AL265" s="72">
        <v>499883</v>
      </c>
      <c r="AM265" s="72">
        <v>17895210</v>
      </c>
      <c r="AN265" s="72">
        <v>-156554</v>
      </c>
      <c r="AO265" s="72">
        <v>1163935</v>
      </c>
      <c r="AP265" s="72">
        <v>1007381</v>
      </c>
      <c r="AQ265" s="72">
        <v>0</v>
      </c>
      <c r="AR265" s="72">
        <v>0</v>
      </c>
      <c r="AS265" s="72">
        <v>0</v>
      </c>
      <c r="AT265" s="72">
        <v>0</v>
      </c>
      <c r="AU265" s="72">
        <v>0</v>
      </c>
      <c r="AV265" s="72">
        <v>0</v>
      </c>
      <c r="AW265" s="72">
        <v>0</v>
      </c>
      <c r="AX265" s="72">
        <v>0</v>
      </c>
      <c r="AY265" s="72">
        <v>0</v>
      </c>
      <c r="AZ265" s="72">
        <v>0</v>
      </c>
      <c r="BA265" s="72">
        <v>1007381</v>
      </c>
      <c r="BB265" s="72">
        <v>0</v>
      </c>
      <c r="BC265" s="72">
        <v>0</v>
      </c>
      <c r="BD265" s="72">
        <v>0</v>
      </c>
      <c r="BE265" s="72">
        <v>1007381</v>
      </c>
      <c r="BF265" s="72">
        <v>0</v>
      </c>
      <c r="BG265" s="72">
        <v>1230648</v>
      </c>
      <c r="BH265" s="72">
        <v>1230648</v>
      </c>
      <c r="BI265" s="72">
        <v>0</v>
      </c>
      <c r="BJ265" s="72">
        <v>2238029</v>
      </c>
      <c r="BK265" s="72">
        <v>0</v>
      </c>
      <c r="BL265" s="72">
        <v>0</v>
      </c>
      <c r="BM265" s="72">
        <v>0</v>
      </c>
      <c r="BN265" s="72">
        <v>0</v>
      </c>
      <c r="BO265" s="72">
        <v>0</v>
      </c>
      <c r="BP265" s="72">
        <v>0</v>
      </c>
      <c r="BQ265" s="72">
        <v>0</v>
      </c>
      <c r="BR265" s="72">
        <v>0</v>
      </c>
      <c r="BS265" s="72">
        <v>17895210</v>
      </c>
    </row>
    <row r="266" spans="1:71" x14ac:dyDescent="0.2">
      <c r="A266" t="s">
        <v>145</v>
      </c>
      <c r="B266" t="s">
        <v>866</v>
      </c>
      <c r="C266" t="s">
        <v>42</v>
      </c>
      <c r="D266" s="72">
        <v>6409555</v>
      </c>
      <c r="E266" s="72">
        <v>0</v>
      </c>
      <c r="F266" s="72">
        <v>0</v>
      </c>
      <c r="G266" s="72">
        <v>7908000</v>
      </c>
      <c r="H266" s="72">
        <v>29476</v>
      </c>
      <c r="I266" s="72">
        <v>0</v>
      </c>
      <c r="J266" s="72">
        <v>1615671</v>
      </c>
      <c r="K266" s="72">
        <v>2192800</v>
      </c>
      <c r="L266" s="72">
        <v>18155502</v>
      </c>
      <c r="M266" s="72">
        <v>0</v>
      </c>
      <c r="N266" s="72">
        <v>0</v>
      </c>
      <c r="O266" s="72">
        <v>0</v>
      </c>
      <c r="P266" s="72">
        <v>58342</v>
      </c>
      <c r="Q266" s="72">
        <v>0</v>
      </c>
      <c r="R266" s="72">
        <v>58342</v>
      </c>
      <c r="S266" s="72">
        <v>18213844</v>
      </c>
      <c r="T266" s="72">
        <v>9060033</v>
      </c>
      <c r="U266" s="72">
        <v>3543149</v>
      </c>
      <c r="V266" s="72">
        <v>4510497</v>
      </c>
      <c r="W266" s="72">
        <v>425000</v>
      </c>
      <c r="X266" s="72">
        <v>80000</v>
      </c>
      <c r="Y266" s="72">
        <v>0</v>
      </c>
      <c r="Z266" s="72">
        <v>0</v>
      </c>
      <c r="AA266" s="72">
        <v>0</v>
      </c>
      <c r="AB266" s="72">
        <v>0</v>
      </c>
      <c r="AC266" s="72">
        <v>0</v>
      </c>
      <c r="AD266" s="72">
        <v>30000</v>
      </c>
      <c r="AE266" s="72">
        <v>0</v>
      </c>
      <c r="AF266" s="72">
        <v>15688</v>
      </c>
      <c r="AG266" s="72">
        <v>165000</v>
      </c>
      <c r="AH266" s="72">
        <v>17829367</v>
      </c>
      <c r="AI266" s="72">
        <v>123800</v>
      </c>
      <c r="AJ266" s="72">
        <v>0</v>
      </c>
      <c r="AK266" s="72">
        <v>0</v>
      </c>
      <c r="AL266" s="72">
        <v>123800</v>
      </c>
      <c r="AM266" s="72">
        <v>17953167</v>
      </c>
      <c r="AN266" s="72">
        <v>260676</v>
      </c>
      <c r="AO266" s="72">
        <v>-249479</v>
      </c>
      <c r="AP266" s="72">
        <v>11197</v>
      </c>
      <c r="AQ266" s="72">
        <v>310000</v>
      </c>
      <c r="AR266" s="72">
        <v>0</v>
      </c>
      <c r="AS266" s="72">
        <v>0</v>
      </c>
      <c r="AT266" s="72">
        <v>0</v>
      </c>
      <c r="AU266" s="72">
        <v>0</v>
      </c>
      <c r="AV266" s="72">
        <v>0</v>
      </c>
      <c r="AW266" s="72">
        <v>0</v>
      </c>
      <c r="AX266" s="72">
        <v>0</v>
      </c>
      <c r="AY266" s="72">
        <v>0</v>
      </c>
      <c r="AZ266" s="72">
        <v>0</v>
      </c>
      <c r="BA266" s="72">
        <v>-298803</v>
      </c>
      <c r="BB266" s="72">
        <v>0</v>
      </c>
      <c r="BC266" s="72">
        <v>0</v>
      </c>
      <c r="BD266" s="72">
        <v>0</v>
      </c>
      <c r="BE266" s="72">
        <v>-298803</v>
      </c>
      <c r="BF266" s="72">
        <v>0</v>
      </c>
      <c r="BG266" s="72">
        <v>0</v>
      </c>
      <c r="BH266" s="72">
        <v>0</v>
      </c>
      <c r="BI266" s="72">
        <v>0</v>
      </c>
      <c r="BJ266" s="72">
        <v>-298803</v>
      </c>
      <c r="BK266" s="72">
        <v>0</v>
      </c>
      <c r="BL266" s="72">
        <v>0</v>
      </c>
      <c r="BM266" s="72">
        <v>0</v>
      </c>
      <c r="BN266" s="72">
        <v>0</v>
      </c>
      <c r="BO266" s="72">
        <v>0</v>
      </c>
      <c r="BP266" s="72">
        <v>0</v>
      </c>
      <c r="BQ266" s="72">
        <v>0</v>
      </c>
      <c r="BR266" s="72">
        <v>0</v>
      </c>
      <c r="BS266" s="72">
        <v>18213844</v>
      </c>
    </row>
    <row r="267" spans="1:71" x14ac:dyDescent="0.2">
      <c r="A267" t="s">
        <v>164</v>
      </c>
      <c r="B267" t="s">
        <v>885</v>
      </c>
      <c r="C267" t="s">
        <v>42</v>
      </c>
      <c r="D267" s="72">
        <v>2871915</v>
      </c>
      <c r="E267" s="72">
        <v>160080</v>
      </c>
      <c r="F267" s="72">
        <v>0</v>
      </c>
      <c r="G267" s="72">
        <v>9283708</v>
      </c>
      <c r="H267" s="72">
        <v>24000</v>
      </c>
      <c r="I267" s="72">
        <v>0</v>
      </c>
      <c r="J267" s="72">
        <v>489355</v>
      </c>
      <c r="K267" s="72">
        <v>1413629</v>
      </c>
      <c r="L267" s="72">
        <v>14242687</v>
      </c>
      <c r="M267" s="72">
        <v>0</v>
      </c>
      <c r="N267" s="72">
        <v>0</v>
      </c>
      <c r="O267" s="72">
        <v>0</v>
      </c>
      <c r="P267" s="72">
        <v>0</v>
      </c>
      <c r="Q267" s="72">
        <v>271410</v>
      </c>
      <c r="R267" s="72">
        <v>271410</v>
      </c>
      <c r="S267" s="72">
        <v>14514097</v>
      </c>
      <c r="T267" s="72">
        <v>7402505</v>
      </c>
      <c r="U267" s="72">
        <v>2595716</v>
      </c>
      <c r="V267" s="72">
        <v>3351789</v>
      </c>
      <c r="W267" s="72">
        <v>528753</v>
      </c>
      <c r="X267" s="72">
        <v>381663</v>
      </c>
      <c r="Y267" s="72">
        <v>0</v>
      </c>
      <c r="Z267" s="72">
        <v>0</v>
      </c>
      <c r="AA267" s="72">
        <v>0</v>
      </c>
      <c r="AB267" s="72">
        <v>0</v>
      </c>
      <c r="AC267" s="72">
        <v>0</v>
      </c>
      <c r="AD267" s="72">
        <v>0</v>
      </c>
      <c r="AE267" s="72">
        <v>60000</v>
      </c>
      <c r="AF267" s="72">
        <v>137167</v>
      </c>
      <c r="AG267" s="72">
        <v>104218</v>
      </c>
      <c r="AH267" s="72">
        <v>14561811</v>
      </c>
      <c r="AI267" s="72">
        <v>195000</v>
      </c>
      <c r="AJ267" s="72">
        <v>0</v>
      </c>
      <c r="AK267" s="72">
        <v>0</v>
      </c>
      <c r="AL267" s="72">
        <v>195000</v>
      </c>
      <c r="AM267" s="72">
        <v>14756811</v>
      </c>
      <c r="AN267" s="72">
        <v>-242714</v>
      </c>
      <c r="AO267" s="72">
        <v>2145472</v>
      </c>
      <c r="AP267" s="72">
        <v>1902758</v>
      </c>
      <c r="AQ267" s="72">
        <v>0</v>
      </c>
      <c r="AR267" s="72">
        <v>0</v>
      </c>
      <c r="AS267" s="72">
        <v>0</v>
      </c>
      <c r="AT267" s="72">
        <v>0</v>
      </c>
      <c r="AU267" s="72">
        <v>0</v>
      </c>
      <c r="AV267" s="72">
        <v>0</v>
      </c>
      <c r="AW267" s="72">
        <v>0</v>
      </c>
      <c r="AX267" s="72">
        <v>0</v>
      </c>
      <c r="AY267" s="72">
        <v>0</v>
      </c>
      <c r="AZ267" s="72">
        <v>0</v>
      </c>
      <c r="BA267" s="72">
        <v>1902758</v>
      </c>
      <c r="BB267" s="72">
        <v>0</v>
      </c>
      <c r="BC267" s="72">
        <v>0</v>
      </c>
      <c r="BD267" s="72">
        <v>0</v>
      </c>
      <c r="BE267" s="72">
        <v>1902758</v>
      </c>
      <c r="BF267" s="72">
        <v>0</v>
      </c>
      <c r="BG267" s="72">
        <v>0</v>
      </c>
      <c r="BH267" s="72">
        <v>0</v>
      </c>
      <c r="BI267" s="72">
        <v>0</v>
      </c>
      <c r="BJ267" s="72">
        <v>1902758</v>
      </c>
      <c r="BM267" s="72">
        <v>0</v>
      </c>
      <c r="BN267" s="72">
        <v>0</v>
      </c>
      <c r="BO267" s="72">
        <v>0</v>
      </c>
      <c r="BP267" s="72">
        <v>0</v>
      </c>
      <c r="BQ267" s="72">
        <v>0</v>
      </c>
      <c r="BR267" s="72">
        <v>0</v>
      </c>
      <c r="BS267" s="72">
        <v>14756811</v>
      </c>
    </row>
    <row r="268" spans="1:71" x14ac:dyDescent="0.2">
      <c r="A268" t="s">
        <v>227</v>
      </c>
      <c r="B268" t="s">
        <v>915</v>
      </c>
      <c r="C268" t="s">
        <v>42</v>
      </c>
      <c r="D268" s="72">
        <v>5426485</v>
      </c>
      <c r="E268" s="72">
        <v>0</v>
      </c>
      <c r="F268" s="72">
        <v>2771355</v>
      </c>
      <c r="G268" s="72">
        <v>5012767</v>
      </c>
      <c r="H268" s="72">
        <v>130000</v>
      </c>
      <c r="I268" s="72">
        <v>0</v>
      </c>
      <c r="J268" s="72">
        <v>853874</v>
      </c>
      <c r="K268" s="72">
        <v>975000</v>
      </c>
      <c r="L268" s="72">
        <v>15169481</v>
      </c>
      <c r="M268" s="72">
        <v>0</v>
      </c>
      <c r="N268" s="72">
        <v>0</v>
      </c>
      <c r="O268" s="72">
        <v>0</v>
      </c>
      <c r="P268" s="72">
        <v>0</v>
      </c>
      <c r="Q268" s="72">
        <v>0</v>
      </c>
      <c r="R268" s="72">
        <v>0</v>
      </c>
      <c r="S268" s="72">
        <v>15169481</v>
      </c>
      <c r="T268" s="72">
        <v>6477161</v>
      </c>
      <c r="U268" s="72">
        <v>2663098</v>
      </c>
      <c r="V268" s="72">
        <v>4906460</v>
      </c>
      <c r="W268" s="72">
        <v>450000</v>
      </c>
      <c r="X268" s="72">
        <v>0</v>
      </c>
      <c r="Y268" s="72">
        <v>0</v>
      </c>
      <c r="Z268" s="72">
        <v>0</v>
      </c>
      <c r="AA268" s="72">
        <v>0</v>
      </c>
      <c r="AB268" s="72">
        <v>0</v>
      </c>
      <c r="AC268" s="72">
        <v>0</v>
      </c>
      <c r="AD268" s="72">
        <v>0</v>
      </c>
      <c r="AE268" s="72">
        <v>0</v>
      </c>
      <c r="AF268" s="72">
        <v>0</v>
      </c>
      <c r="AG268" s="72">
        <v>189552</v>
      </c>
      <c r="AH268" s="72">
        <v>14686271</v>
      </c>
      <c r="AI268" s="72">
        <v>500000</v>
      </c>
      <c r="AJ268" s="72">
        <v>0</v>
      </c>
      <c r="AK268" s="72">
        <v>0</v>
      </c>
      <c r="AL268" s="72">
        <v>500000</v>
      </c>
      <c r="AM268" s="72">
        <v>15186271</v>
      </c>
      <c r="AN268" s="72">
        <v>-16790</v>
      </c>
      <c r="AO268" s="72">
        <v>103546</v>
      </c>
      <c r="AP268" s="72">
        <v>86756</v>
      </c>
      <c r="AQ268" s="72">
        <v>70000</v>
      </c>
      <c r="AR268" s="72">
        <v>0</v>
      </c>
      <c r="AS268" s="72">
        <v>0</v>
      </c>
      <c r="AT268" s="72">
        <v>0</v>
      </c>
      <c r="AU268" s="72">
        <v>0</v>
      </c>
      <c r="AV268" s="72">
        <v>0</v>
      </c>
      <c r="AW268" s="72">
        <v>0</v>
      </c>
      <c r="AX268" s="72">
        <v>0</v>
      </c>
      <c r="AY268" s="72">
        <v>0</v>
      </c>
      <c r="AZ268" s="72">
        <v>0</v>
      </c>
      <c r="BA268" s="72">
        <v>16756</v>
      </c>
      <c r="BB268" s="72">
        <v>0</v>
      </c>
      <c r="BC268" s="72">
        <v>0</v>
      </c>
      <c r="BD268" s="72">
        <v>0</v>
      </c>
      <c r="BE268" s="72">
        <v>16756</v>
      </c>
      <c r="BF268" s="72">
        <v>0</v>
      </c>
      <c r="BG268" s="72">
        <v>0</v>
      </c>
      <c r="BH268" s="72">
        <v>0</v>
      </c>
      <c r="BI268" s="72">
        <v>0</v>
      </c>
      <c r="BJ268" s="72">
        <v>16756</v>
      </c>
      <c r="BK268" s="72">
        <v>122</v>
      </c>
      <c r="BL268" s="72">
        <v>1650</v>
      </c>
      <c r="BM268" s="72">
        <v>0</v>
      </c>
      <c r="BN268" s="72">
        <v>0</v>
      </c>
      <c r="BO268" s="72">
        <v>0</v>
      </c>
      <c r="BP268" s="72">
        <v>0</v>
      </c>
      <c r="BQ268" s="72">
        <v>0</v>
      </c>
      <c r="BR268" s="72">
        <v>0</v>
      </c>
      <c r="BS268" s="72">
        <v>15186271</v>
      </c>
    </row>
    <row r="269" spans="1:71" x14ac:dyDescent="0.2">
      <c r="A269" t="s">
        <v>310</v>
      </c>
      <c r="B269" t="s">
        <v>1024</v>
      </c>
      <c r="C269" t="s">
        <v>42</v>
      </c>
      <c r="D269" s="72">
        <v>1620604</v>
      </c>
      <c r="E269" s="72">
        <v>0</v>
      </c>
      <c r="F269" s="72">
        <v>0</v>
      </c>
      <c r="G269" s="72">
        <v>6656399</v>
      </c>
      <c r="H269" s="72">
        <v>76905</v>
      </c>
      <c r="I269" s="72">
        <v>0</v>
      </c>
      <c r="J269" s="72">
        <v>208564</v>
      </c>
      <c r="K269" s="72">
        <v>529305</v>
      </c>
      <c r="L269" s="72">
        <v>9091777</v>
      </c>
      <c r="M269" s="72">
        <v>0</v>
      </c>
      <c r="N269" s="72">
        <v>0</v>
      </c>
      <c r="O269" s="72">
        <v>0</v>
      </c>
      <c r="P269" s="72">
        <v>0</v>
      </c>
      <c r="Q269" s="72">
        <v>28406</v>
      </c>
      <c r="R269" s="72">
        <v>28406</v>
      </c>
      <c r="S269" s="72">
        <v>9120183</v>
      </c>
      <c r="T269" s="72">
        <v>4675805</v>
      </c>
      <c r="U269" s="72">
        <v>1838980</v>
      </c>
      <c r="V269" s="72">
        <v>2495589</v>
      </c>
      <c r="W269" s="72">
        <v>337677</v>
      </c>
      <c r="X269" s="72">
        <v>50770</v>
      </c>
      <c r="Y269" s="72">
        <v>0</v>
      </c>
      <c r="Z269" s="72">
        <v>0</v>
      </c>
      <c r="AA269" s="72">
        <v>0</v>
      </c>
      <c r="AB269" s="72">
        <v>0</v>
      </c>
      <c r="AC269" s="72">
        <v>0</v>
      </c>
      <c r="AD269" s="72">
        <v>40000</v>
      </c>
      <c r="AE269" s="72">
        <v>0</v>
      </c>
      <c r="AF269" s="72">
        <v>49753</v>
      </c>
      <c r="AG269" s="72">
        <v>135479</v>
      </c>
      <c r="AH269" s="72">
        <v>9624053</v>
      </c>
      <c r="AI269" s="72">
        <v>25000</v>
      </c>
      <c r="AJ269" s="72">
        <v>0</v>
      </c>
      <c r="AK269" s="72">
        <v>0</v>
      </c>
      <c r="AL269" s="72">
        <v>25000</v>
      </c>
      <c r="AM269" s="72">
        <v>9649053</v>
      </c>
      <c r="AN269" s="72">
        <v>-528870</v>
      </c>
      <c r="AO269" s="72">
        <v>1925348</v>
      </c>
      <c r="AP269" s="72">
        <v>1396478</v>
      </c>
      <c r="AQ269" s="72">
        <v>0</v>
      </c>
      <c r="AR269" s="72">
        <v>0</v>
      </c>
      <c r="AS269" s="72">
        <v>0</v>
      </c>
      <c r="AT269" s="72">
        <v>0</v>
      </c>
      <c r="AU269" s="72">
        <v>0</v>
      </c>
      <c r="AV269" s="72">
        <v>0</v>
      </c>
      <c r="AW269" s="72">
        <v>0</v>
      </c>
      <c r="AX269" s="72">
        <v>0</v>
      </c>
      <c r="AY269" s="72">
        <v>50000</v>
      </c>
      <c r="AZ269" s="72">
        <v>50000</v>
      </c>
      <c r="BA269" s="72">
        <v>1346478</v>
      </c>
      <c r="BB269" s="72">
        <v>0</v>
      </c>
      <c r="BC269" s="72">
        <v>0</v>
      </c>
      <c r="BD269" s="72">
        <v>0</v>
      </c>
      <c r="BE269" s="72">
        <v>1346478</v>
      </c>
      <c r="BF269" s="72">
        <v>0</v>
      </c>
      <c r="BG269" s="72">
        <v>0</v>
      </c>
      <c r="BH269" s="72">
        <v>0</v>
      </c>
      <c r="BI269" s="72">
        <v>0</v>
      </c>
      <c r="BJ269" s="72">
        <v>1346478</v>
      </c>
      <c r="BK269" s="72">
        <v>62</v>
      </c>
      <c r="BL269" s="72">
        <v>944</v>
      </c>
      <c r="BM269" s="72">
        <v>0</v>
      </c>
      <c r="BN269" s="72">
        <v>0</v>
      </c>
      <c r="BO269" s="72">
        <v>0</v>
      </c>
      <c r="BP269" s="72">
        <v>0</v>
      </c>
      <c r="BQ269" s="72">
        <v>0</v>
      </c>
      <c r="BR269" s="72">
        <v>0</v>
      </c>
      <c r="BS269" s="72">
        <v>9649053</v>
      </c>
    </row>
    <row r="270" spans="1:71" x14ac:dyDescent="0.2">
      <c r="A270" t="s">
        <v>339</v>
      </c>
      <c r="B270" t="s">
        <v>1053</v>
      </c>
      <c r="C270" t="s">
        <v>42</v>
      </c>
      <c r="D270" s="72">
        <v>4696928</v>
      </c>
      <c r="E270" s="72">
        <v>0</v>
      </c>
      <c r="F270" s="72">
        <v>2946601</v>
      </c>
      <c r="G270" s="72">
        <v>13340229</v>
      </c>
      <c r="H270" s="72">
        <v>40883</v>
      </c>
      <c r="J270" s="72">
        <v>735669</v>
      </c>
      <c r="K270" s="72">
        <v>2723333</v>
      </c>
      <c r="L270" s="72">
        <v>24483643</v>
      </c>
      <c r="M270" s="72">
        <v>0</v>
      </c>
      <c r="N270" s="72">
        <v>0</v>
      </c>
      <c r="O270" s="72">
        <v>0</v>
      </c>
      <c r="P270" s="72">
        <v>0</v>
      </c>
      <c r="Q270" s="72">
        <v>0</v>
      </c>
      <c r="R270" s="72">
        <v>0</v>
      </c>
      <c r="S270" s="72">
        <v>24483643</v>
      </c>
      <c r="T270" s="72">
        <v>11018264</v>
      </c>
      <c r="U270" s="72">
        <v>4206031</v>
      </c>
      <c r="V270" s="72">
        <v>7363269</v>
      </c>
      <c r="W270" s="72">
        <v>670109</v>
      </c>
      <c r="X270" s="72">
        <v>11025</v>
      </c>
      <c r="Y270" s="72">
        <v>0</v>
      </c>
      <c r="Z270" s="72">
        <v>0</v>
      </c>
      <c r="AA270" s="72">
        <v>0</v>
      </c>
      <c r="AB270" s="72">
        <v>0</v>
      </c>
      <c r="AC270" s="72">
        <v>0</v>
      </c>
      <c r="AD270" s="72">
        <v>0</v>
      </c>
      <c r="AE270" s="72">
        <v>0</v>
      </c>
      <c r="AF270" s="72">
        <v>0</v>
      </c>
      <c r="AG270" s="72">
        <v>210334</v>
      </c>
      <c r="AH270" s="72">
        <v>23479032</v>
      </c>
      <c r="AI270" s="72">
        <v>0</v>
      </c>
      <c r="AJ270" s="72">
        <v>0</v>
      </c>
      <c r="AK270" s="72">
        <v>0</v>
      </c>
      <c r="AL270" s="72">
        <v>0</v>
      </c>
      <c r="AM270" s="72">
        <v>23479032</v>
      </c>
      <c r="AN270" s="72">
        <v>1004611</v>
      </c>
      <c r="AO270" s="72">
        <v>2782405</v>
      </c>
      <c r="AP270" s="72">
        <v>3787016</v>
      </c>
      <c r="AQ270" s="72">
        <v>500000</v>
      </c>
      <c r="AR270" s="72">
        <v>0</v>
      </c>
      <c r="AS270" s="72">
        <v>0</v>
      </c>
      <c r="AT270" s="72">
        <v>334883</v>
      </c>
      <c r="AV270" s="72">
        <v>0</v>
      </c>
      <c r="AW270" s="72">
        <v>0</v>
      </c>
      <c r="AX270" s="72">
        <v>0</v>
      </c>
      <c r="AY270" s="72">
        <v>0</v>
      </c>
      <c r="AZ270" s="72">
        <v>334883</v>
      </c>
      <c r="BA270" s="72">
        <v>2952133</v>
      </c>
      <c r="BB270" s="72">
        <v>0</v>
      </c>
      <c r="BC270" s="72">
        <v>0</v>
      </c>
      <c r="BD270" s="72">
        <v>0</v>
      </c>
      <c r="BE270" s="72">
        <v>2952133</v>
      </c>
      <c r="BF270" s="72">
        <v>0</v>
      </c>
      <c r="BG270" s="72">
        <v>0</v>
      </c>
      <c r="BH270" s="72">
        <v>0</v>
      </c>
      <c r="BI270" s="72">
        <v>0</v>
      </c>
      <c r="BJ270" s="72">
        <v>2952133</v>
      </c>
      <c r="BK270" s="72">
        <v>205</v>
      </c>
      <c r="BL270" s="72">
        <v>2540</v>
      </c>
      <c r="BM270" s="72">
        <v>0</v>
      </c>
      <c r="BN270" s="72">
        <v>0</v>
      </c>
      <c r="BO270" s="72">
        <v>0</v>
      </c>
      <c r="BP270" s="72">
        <v>0</v>
      </c>
      <c r="BQ270" s="72">
        <v>0</v>
      </c>
      <c r="BR270" s="72">
        <v>0</v>
      </c>
      <c r="BS270" s="72">
        <v>24483643</v>
      </c>
    </row>
    <row r="271" spans="1:71" x14ac:dyDescent="0.2">
      <c r="A271" t="s">
        <v>742</v>
      </c>
      <c r="B271" t="s">
        <v>1155</v>
      </c>
      <c r="C271" t="s">
        <v>42</v>
      </c>
      <c r="D271" s="72">
        <v>32191689</v>
      </c>
      <c r="E271" s="72">
        <v>0</v>
      </c>
      <c r="F271" s="72">
        <v>0</v>
      </c>
      <c r="G271" s="72">
        <v>23580565</v>
      </c>
      <c r="H271" s="72">
        <v>101429</v>
      </c>
      <c r="I271" s="72">
        <v>0</v>
      </c>
      <c r="J271" s="72">
        <v>4025254</v>
      </c>
      <c r="K271" s="72">
        <v>1337971</v>
      </c>
      <c r="L271" s="72">
        <v>61236908</v>
      </c>
      <c r="M271" s="72">
        <v>0</v>
      </c>
      <c r="N271" s="72">
        <v>0</v>
      </c>
      <c r="O271" s="72">
        <v>0</v>
      </c>
      <c r="P271" s="72">
        <v>59553</v>
      </c>
      <c r="Q271" s="72">
        <v>0</v>
      </c>
      <c r="R271" s="72">
        <v>59553</v>
      </c>
      <c r="S271" s="72">
        <v>61296461</v>
      </c>
      <c r="T271" s="72">
        <v>32377387</v>
      </c>
      <c r="U271" s="72">
        <v>14896490</v>
      </c>
      <c r="V271" s="72">
        <v>15686131</v>
      </c>
      <c r="W271" s="72">
        <v>667325</v>
      </c>
      <c r="X271" s="72">
        <v>0</v>
      </c>
      <c r="Y271" s="72">
        <v>0</v>
      </c>
      <c r="Z271" s="72">
        <v>0</v>
      </c>
      <c r="AA271" s="72">
        <v>0</v>
      </c>
      <c r="AB271" s="72">
        <v>0</v>
      </c>
      <c r="AC271" s="72">
        <v>0</v>
      </c>
      <c r="AD271" s="72">
        <v>0</v>
      </c>
      <c r="AE271" s="72">
        <v>0</v>
      </c>
      <c r="AF271" s="72">
        <v>0</v>
      </c>
      <c r="AG271" s="72">
        <v>1090219</v>
      </c>
      <c r="AH271" s="72">
        <v>64717552</v>
      </c>
      <c r="AI271" s="72">
        <v>119076</v>
      </c>
      <c r="AJ271" s="72">
        <v>0</v>
      </c>
      <c r="AK271" s="72">
        <v>0</v>
      </c>
      <c r="AL271" s="72">
        <v>119076</v>
      </c>
      <c r="AM271" s="72">
        <v>64836628</v>
      </c>
      <c r="AN271" s="72">
        <v>-3540167</v>
      </c>
      <c r="AO271" s="72">
        <v>4607112</v>
      </c>
      <c r="AP271" s="72">
        <v>1066945</v>
      </c>
      <c r="AQ271" s="72">
        <v>800000</v>
      </c>
      <c r="AR271" s="72">
        <v>0</v>
      </c>
      <c r="AS271" s="72">
        <v>0</v>
      </c>
      <c r="AT271" s="72">
        <v>0</v>
      </c>
      <c r="AU271" s="72">
        <v>0</v>
      </c>
      <c r="AV271" s="72">
        <v>0</v>
      </c>
      <c r="AW271" s="72">
        <v>0</v>
      </c>
      <c r="AX271" s="72">
        <v>0</v>
      </c>
      <c r="AY271" s="72">
        <v>0</v>
      </c>
      <c r="AZ271" s="72">
        <v>0</v>
      </c>
      <c r="BA271" s="72">
        <v>266945</v>
      </c>
      <c r="BB271" s="72">
        <v>0</v>
      </c>
      <c r="BC271" s="72">
        <v>0</v>
      </c>
      <c r="BD271" s="72">
        <v>0</v>
      </c>
      <c r="BE271" s="72">
        <v>266945</v>
      </c>
      <c r="BF271" s="72">
        <v>0</v>
      </c>
      <c r="BG271" s="72">
        <v>0</v>
      </c>
      <c r="BH271" s="72">
        <v>0</v>
      </c>
      <c r="BI271" s="72">
        <v>0</v>
      </c>
      <c r="BJ271" s="72">
        <v>266945</v>
      </c>
      <c r="BK271" s="72">
        <v>652</v>
      </c>
      <c r="BL271" s="72">
        <v>7753</v>
      </c>
      <c r="BM271" s="72">
        <v>0</v>
      </c>
      <c r="BN271" s="72">
        <v>0</v>
      </c>
      <c r="BO271" s="72">
        <v>0</v>
      </c>
      <c r="BP271" s="72">
        <v>0</v>
      </c>
      <c r="BQ271" s="72">
        <v>0</v>
      </c>
      <c r="BR271" s="72">
        <v>0</v>
      </c>
      <c r="BS271" s="72">
        <v>64836628</v>
      </c>
    </row>
    <row r="272" spans="1:71" x14ac:dyDescent="0.2">
      <c r="A272" t="s">
        <v>758</v>
      </c>
      <c r="B272" t="s">
        <v>1446</v>
      </c>
      <c r="C272" t="s">
        <v>42</v>
      </c>
      <c r="D272" s="72">
        <v>3047945</v>
      </c>
      <c r="E272" s="72">
        <v>216326</v>
      </c>
      <c r="F272" s="72">
        <v>0</v>
      </c>
      <c r="G272" s="72">
        <v>3944979</v>
      </c>
      <c r="H272" s="72">
        <v>45339</v>
      </c>
      <c r="I272" s="72">
        <v>0</v>
      </c>
      <c r="J272" s="72">
        <v>459875</v>
      </c>
      <c r="K272" s="72">
        <v>1038222</v>
      </c>
      <c r="L272" s="72">
        <v>8752686</v>
      </c>
      <c r="M272" s="72">
        <v>0</v>
      </c>
      <c r="N272" s="72">
        <v>0</v>
      </c>
      <c r="O272" s="72">
        <v>50000</v>
      </c>
      <c r="P272" s="72">
        <v>0</v>
      </c>
      <c r="Q272" s="72">
        <v>117750</v>
      </c>
      <c r="R272" s="72">
        <v>167750</v>
      </c>
      <c r="S272" s="72">
        <v>8920436</v>
      </c>
      <c r="T272" s="72">
        <v>4120271</v>
      </c>
      <c r="U272" s="72">
        <v>1557134</v>
      </c>
      <c r="V272" s="72">
        <v>2630984</v>
      </c>
      <c r="W272" s="72">
        <v>233632</v>
      </c>
      <c r="X272" s="72">
        <v>81027</v>
      </c>
      <c r="Y272" s="72">
        <v>0</v>
      </c>
      <c r="Z272" s="72">
        <v>0</v>
      </c>
      <c r="AA272" s="72">
        <v>0</v>
      </c>
      <c r="AB272" s="72">
        <v>0</v>
      </c>
      <c r="AC272" s="72">
        <v>0</v>
      </c>
      <c r="AD272" s="72">
        <v>50908</v>
      </c>
      <c r="AE272" s="72">
        <v>0</v>
      </c>
      <c r="AF272" s="72">
        <v>12133</v>
      </c>
      <c r="AG272" s="72">
        <v>126223</v>
      </c>
      <c r="AH272" s="72">
        <v>8812312</v>
      </c>
      <c r="AI272" s="72">
        <v>208000</v>
      </c>
      <c r="AJ272" s="72">
        <v>0</v>
      </c>
      <c r="AK272" s="72">
        <v>1000</v>
      </c>
      <c r="AL272" s="72">
        <v>209000</v>
      </c>
      <c r="AM272" s="72">
        <v>9021312</v>
      </c>
      <c r="AN272" s="72">
        <v>-100876</v>
      </c>
      <c r="AO272" s="72">
        <v>1379172</v>
      </c>
      <c r="AP272" s="72">
        <v>1278296</v>
      </c>
      <c r="AQ272" s="72">
        <v>31000</v>
      </c>
      <c r="AR272" s="72">
        <v>0</v>
      </c>
      <c r="AS272" s="72">
        <v>92500</v>
      </c>
      <c r="AT272" s="72">
        <v>6000</v>
      </c>
      <c r="AU272" s="72">
        <v>0</v>
      </c>
      <c r="AV272" s="72">
        <v>0</v>
      </c>
      <c r="AW272" s="72">
        <v>0</v>
      </c>
      <c r="AX272" s="72">
        <v>0</v>
      </c>
      <c r="AY272" s="72">
        <v>0</v>
      </c>
      <c r="AZ272" s="72">
        <v>98500</v>
      </c>
      <c r="BA272" s="72">
        <v>1148796</v>
      </c>
      <c r="BB272" s="72">
        <v>0</v>
      </c>
      <c r="BC272" s="72">
        <v>0</v>
      </c>
      <c r="BD272" s="72">
        <v>0</v>
      </c>
      <c r="BE272" s="72">
        <v>1148796</v>
      </c>
      <c r="BF272" s="72">
        <v>0</v>
      </c>
      <c r="BG272" s="72">
        <v>0</v>
      </c>
      <c r="BH272" s="72">
        <v>0</v>
      </c>
      <c r="BI272" s="72">
        <v>0</v>
      </c>
      <c r="BJ272" s="72">
        <v>1148796</v>
      </c>
      <c r="BM272" s="72">
        <v>0</v>
      </c>
      <c r="BN272" s="72">
        <v>0</v>
      </c>
      <c r="BO272" s="72">
        <v>0</v>
      </c>
      <c r="BP272" s="72">
        <v>0</v>
      </c>
      <c r="BQ272" s="72">
        <v>0</v>
      </c>
      <c r="BR272" s="72">
        <v>0</v>
      </c>
      <c r="BS272" s="72">
        <v>9021312</v>
      </c>
    </row>
    <row r="273" spans="1:71" x14ac:dyDescent="0.2">
      <c r="A273" t="s">
        <v>169</v>
      </c>
      <c r="B273" t="s">
        <v>890</v>
      </c>
      <c r="C273" t="s">
        <v>45</v>
      </c>
      <c r="D273" s="72">
        <v>2622636</v>
      </c>
      <c r="E273" s="72">
        <v>0</v>
      </c>
      <c r="F273" s="72">
        <v>0</v>
      </c>
      <c r="G273" s="72">
        <v>9336885</v>
      </c>
      <c r="H273" s="72">
        <v>295101</v>
      </c>
      <c r="I273" s="72">
        <v>0</v>
      </c>
      <c r="J273" s="72">
        <v>413707</v>
      </c>
      <c r="K273" s="72">
        <v>1601375</v>
      </c>
      <c r="L273" s="72">
        <v>14269704</v>
      </c>
      <c r="M273" s="72">
        <v>0</v>
      </c>
      <c r="N273" s="72">
        <v>0</v>
      </c>
      <c r="O273" s="72">
        <v>0</v>
      </c>
      <c r="P273" s="72">
        <v>0</v>
      </c>
      <c r="Q273" s="72">
        <v>0</v>
      </c>
      <c r="R273" s="72">
        <v>0</v>
      </c>
      <c r="S273" s="72">
        <v>14269704</v>
      </c>
      <c r="T273" s="72">
        <v>6854163</v>
      </c>
      <c r="U273" s="72">
        <v>3947712</v>
      </c>
      <c r="V273" s="72">
        <v>1730395</v>
      </c>
      <c r="W273" s="72">
        <v>435670</v>
      </c>
      <c r="X273" s="72">
        <v>200000</v>
      </c>
      <c r="Y273" s="72">
        <v>0</v>
      </c>
      <c r="Z273" s="72">
        <v>0</v>
      </c>
      <c r="AA273" s="72">
        <v>0</v>
      </c>
      <c r="AB273" s="72">
        <v>0</v>
      </c>
      <c r="AC273" s="72">
        <v>0</v>
      </c>
      <c r="AD273" s="72">
        <v>140000</v>
      </c>
      <c r="AE273" s="72">
        <v>0</v>
      </c>
      <c r="AF273" s="72">
        <v>43023</v>
      </c>
      <c r="AG273" s="72">
        <v>475000</v>
      </c>
      <c r="AH273" s="72">
        <v>13825963</v>
      </c>
      <c r="AI273" s="72">
        <v>0</v>
      </c>
      <c r="AJ273" s="72">
        <v>0</v>
      </c>
      <c r="AK273" s="72">
        <v>0</v>
      </c>
      <c r="AL273" s="72">
        <v>0</v>
      </c>
      <c r="AM273" s="72">
        <v>13825963</v>
      </c>
      <c r="AN273" s="72">
        <v>443742</v>
      </c>
      <c r="AO273" s="72">
        <v>4462476</v>
      </c>
      <c r="AP273" s="72">
        <v>4906218</v>
      </c>
      <c r="AQ273" s="72">
        <v>0</v>
      </c>
      <c r="AR273" s="72">
        <v>0</v>
      </c>
      <c r="AS273" s="72">
        <v>0</v>
      </c>
      <c r="AT273" s="72">
        <v>0</v>
      </c>
      <c r="AU273" s="72">
        <v>0</v>
      </c>
      <c r="AV273" s="72">
        <v>0</v>
      </c>
      <c r="AW273" s="72">
        <v>0</v>
      </c>
      <c r="AX273" s="72">
        <v>0</v>
      </c>
      <c r="AY273" s="72">
        <v>0</v>
      </c>
      <c r="AZ273" s="72">
        <v>0</v>
      </c>
      <c r="BA273" s="72">
        <v>4906218</v>
      </c>
      <c r="BB273" s="72">
        <v>0</v>
      </c>
      <c r="BC273" s="72">
        <v>0</v>
      </c>
      <c r="BD273" s="72">
        <v>0</v>
      </c>
      <c r="BE273" s="72">
        <v>4906218</v>
      </c>
      <c r="BF273" s="72">
        <v>0</v>
      </c>
      <c r="BG273" s="72">
        <v>0</v>
      </c>
      <c r="BH273" s="72">
        <v>0</v>
      </c>
      <c r="BI273" s="72">
        <v>0</v>
      </c>
      <c r="BJ273" s="72">
        <v>4906218</v>
      </c>
      <c r="BK273" s="72">
        <v>0</v>
      </c>
      <c r="BL273" s="72">
        <v>0</v>
      </c>
      <c r="BM273" s="72">
        <v>0</v>
      </c>
      <c r="BN273" s="72">
        <v>0</v>
      </c>
      <c r="BO273" s="72">
        <v>0</v>
      </c>
      <c r="BP273" s="72">
        <v>0</v>
      </c>
      <c r="BQ273" s="72">
        <v>0</v>
      </c>
      <c r="BR273" s="72">
        <v>0</v>
      </c>
      <c r="BS273" s="72">
        <v>14269704</v>
      </c>
    </row>
    <row r="274" spans="1:71" x14ac:dyDescent="0.2">
      <c r="A274" t="s">
        <v>230</v>
      </c>
      <c r="B274" t="s">
        <v>948</v>
      </c>
      <c r="C274" t="s">
        <v>45</v>
      </c>
      <c r="D274" s="72">
        <v>4552768</v>
      </c>
      <c r="E274" s="72">
        <v>0</v>
      </c>
      <c r="F274" s="72">
        <v>0</v>
      </c>
      <c r="G274" s="72">
        <v>8637685</v>
      </c>
      <c r="H274" s="72">
        <v>17652</v>
      </c>
      <c r="I274" s="72">
        <v>0</v>
      </c>
      <c r="J274" s="72">
        <v>618539</v>
      </c>
      <c r="K274" s="72">
        <v>1569300</v>
      </c>
      <c r="L274" s="72">
        <v>15395944</v>
      </c>
      <c r="M274" s="72">
        <v>0</v>
      </c>
      <c r="N274" s="72">
        <v>0</v>
      </c>
      <c r="O274" s="72">
        <v>800</v>
      </c>
      <c r="P274" s="72">
        <v>0</v>
      </c>
      <c r="Q274" s="72">
        <v>55674</v>
      </c>
      <c r="R274" s="72">
        <v>56474</v>
      </c>
      <c r="S274" s="72">
        <v>15452418</v>
      </c>
      <c r="T274" s="72">
        <v>8602945</v>
      </c>
      <c r="U274" s="72">
        <v>3393906</v>
      </c>
      <c r="V274" s="72">
        <v>2511444</v>
      </c>
      <c r="W274" s="72">
        <v>596595</v>
      </c>
      <c r="X274" s="72">
        <v>450307</v>
      </c>
      <c r="Y274" s="72">
        <v>0</v>
      </c>
      <c r="Z274" s="72">
        <v>0</v>
      </c>
      <c r="AA274" s="72">
        <v>0</v>
      </c>
      <c r="AB274" s="72">
        <v>0</v>
      </c>
      <c r="AC274" s="72">
        <v>0</v>
      </c>
      <c r="AD274" s="72">
        <v>105638</v>
      </c>
      <c r="AE274" s="72">
        <v>0</v>
      </c>
      <c r="AF274" s="72">
        <v>0</v>
      </c>
      <c r="AG274" s="72">
        <v>158129</v>
      </c>
      <c r="AH274" s="72">
        <v>15818962</v>
      </c>
      <c r="AI274" s="72">
        <v>80000</v>
      </c>
      <c r="AJ274" s="72">
        <v>0</v>
      </c>
      <c r="AK274" s="72">
        <v>0</v>
      </c>
      <c r="AL274" s="72">
        <v>80000</v>
      </c>
      <c r="AM274" s="72">
        <v>15898962</v>
      </c>
      <c r="AN274" s="72">
        <v>-446544</v>
      </c>
      <c r="AO274" s="72">
        <v>3247543</v>
      </c>
      <c r="AP274" s="72">
        <v>2800999</v>
      </c>
      <c r="AQ274" s="72">
        <v>150000</v>
      </c>
      <c r="AR274" s="72">
        <v>0</v>
      </c>
      <c r="AS274" s="72">
        <v>0</v>
      </c>
      <c r="AT274" s="72">
        <v>0</v>
      </c>
      <c r="AU274" s="72">
        <v>0</v>
      </c>
      <c r="AV274" s="72">
        <v>0</v>
      </c>
      <c r="AW274" s="72">
        <v>0</v>
      </c>
      <c r="AX274" s="72">
        <v>0</v>
      </c>
      <c r="AY274" s="72">
        <v>0</v>
      </c>
      <c r="AZ274" s="72">
        <v>0</v>
      </c>
      <c r="BA274" s="72">
        <v>2650999</v>
      </c>
      <c r="BB274" s="72">
        <v>0</v>
      </c>
      <c r="BC274" s="72">
        <v>0</v>
      </c>
      <c r="BD274" s="72">
        <v>0</v>
      </c>
      <c r="BE274" s="72">
        <v>2650999</v>
      </c>
      <c r="BF274" s="72">
        <v>0</v>
      </c>
      <c r="BG274" s="72">
        <v>0</v>
      </c>
      <c r="BH274" s="72">
        <v>0</v>
      </c>
      <c r="BI274" s="72">
        <v>0</v>
      </c>
      <c r="BJ274" s="72">
        <v>2650999</v>
      </c>
      <c r="BK274" s="72">
        <v>123</v>
      </c>
      <c r="BL274" s="72">
        <v>1813</v>
      </c>
      <c r="BM274" s="72">
        <v>0</v>
      </c>
      <c r="BN274" s="72">
        <v>0</v>
      </c>
      <c r="BO274" s="72">
        <v>0</v>
      </c>
      <c r="BP274" s="72">
        <v>0</v>
      </c>
      <c r="BQ274" s="72">
        <v>0</v>
      </c>
      <c r="BR274" s="72">
        <v>0</v>
      </c>
      <c r="BS274" s="72">
        <v>15898962</v>
      </c>
    </row>
    <row r="275" spans="1:71" x14ac:dyDescent="0.2">
      <c r="A275" t="s">
        <v>272</v>
      </c>
      <c r="B275" t="s">
        <v>989</v>
      </c>
      <c r="C275" t="s">
        <v>45</v>
      </c>
      <c r="D275" s="72">
        <v>2500000</v>
      </c>
      <c r="E275" s="72">
        <v>0</v>
      </c>
      <c r="F275" s="72">
        <v>0</v>
      </c>
      <c r="G275" s="72">
        <v>8085000</v>
      </c>
      <c r="H275" s="72">
        <v>37880</v>
      </c>
      <c r="I275" s="72">
        <v>0</v>
      </c>
      <c r="J275" s="72">
        <v>350000</v>
      </c>
      <c r="K275" s="72">
        <v>899300</v>
      </c>
      <c r="L275" s="72">
        <v>11872180</v>
      </c>
      <c r="M275" s="72">
        <v>0</v>
      </c>
      <c r="N275" s="72">
        <v>0</v>
      </c>
      <c r="O275" s="72">
        <v>0</v>
      </c>
      <c r="P275" s="72">
        <v>0</v>
      </c>
      <c r="Q275" s="72">
        <v>18500</v>
      </c>
      <c r="R275" s="72">
        <v>18500</v>
      </c>
      <c r="S275" s="72">
        <v>11890680</v>
      </c>
      <c r="T275" s="72">
        <v>6665026</v>
      </c>
      <c r="U275" s="72">
        <v>2395233</v>
      </c>
      <c r="V275" s="72">
        <v>2010804</v>
      </c>
      <c r="W275" s="72">
        <v>527360</v>
      </c>
      <c r="X275" s="72">
        <v>25806</v>
      </c>
      <c r="Y275" s="72">
        <v>0</v>
      </c>
      <c r="Z275" s="72">
        <v>0</v>
      </c>
      <c r="AA275" s="72">
        <v>0</v>
      </c>
      <c r="AB275" s="72">
        <v>0</v>
      </c>
      <c r="AC275" s="72">
        <v>0</v>
      </c>
      <c r="AD275" s="72">
        <v>35000</v>
      </c>
      <c r="AE275" s="72">
        <v>0</v>
      </c>
      <c r="AF275" s="72">
        <v>6078</v>
      </c>
      <c r="AG275" s="72">
        <v>186573</v>
      </c>
      <c r="AH275" s="72">
        <v>11851880</v>
      </c>
      <c r="AI275" s="72">
        <v>54000</v>
      </c>
      <c r="AJ275" s="72">
        <v>0</v>
      </c>
      <c r="AK275" s="72">
        <v>0</v>
      </c>
      <c r="AL275" s="72">
        <v>54000</v>
      </c>
      <c r="AM275" s="72">
        <v>11905880</v>
      </c>
      <c r="AN275" s="72">
        <v>-15200</v>
      </c>
      <c r="AO275" s="72">
        <v>3609141</v>
      </c>
      <c r="AP275" s="72">
        <v>3593941</v>
      </c>
      <c r="AQ275" s="72">
        <v>0</v>
      </c>
      <c r="AR275" s="72">
        <v>0</v>
      </c>
      <c r="AS275" s="72">
        <v>0</v>
      </c>
      <c r="AT275" s="72">
        <v>0</v>
      </c>
      <c r="AU275" s="72">
        <v>0</v>
      </c>
      <c r="AV275" s="72">
        <v>0</v>
      </c>
      <c r="AW275" s="72">
        <v>0</v>
      </c>
      <c r="AX275" s="72">
        <v>0</v>
      </c>
      <c r="AY275" s="72">
        <v>0</v>
      </c>
      <c r="AZ275" s="72">
        <v>0</v>
      </c>
      <c r="BA275" s="72">
        <v>3593941</v>
      </c>
      <c r="BB275" s="72">
        <v>0</v>
      </c>
      <c r="BC275" s="72">
        <v>0</v>
      </c>
      <c r="BD275" s="72">
        <v>0</v>
      </c>
      <c r="BE275" s="72">
        <v>3593941</v>
      </c>
      <c r="BF275" s="72">
        <v>0</v>
      </c>
      <c r="BG275" s="72">
        <v>0</v>
      </c>
      <c r="BH275" s="72">
        <v>0</v>
      </c>
      <c r="BI275" s="72">
        <v>0</v>
      </c>
      <c r="BJ275" s="72">
        <v>3593941</v>
      </c>
      <c r="BK275" s="72">
        <v>0</v>
      </c>
      <c r="BL275" s="72">
        <v>0</v>
      </c>
      <c r="BM275" s="72">
        <v>0</v>
      </c>
      <c r="BN275" s="72">
        <v>0</v>
      </c>
      <c r="BO275" s="72">
        <v>0</v>
      </c>
      <c r="BP275" s="72">
        <v>0</v>
      </c>
      <c r="BQ275" s="72">
        <v>0</v>
      </c>
      <c r="BR275" s="72">
        <v>0</v>
      </c>
      <c r="BS275" s="72">
        <v>11905880</v>
      </c>
    </row>
    <row r="276" spans="1:71" x14ac:dyDescent="0.2">
      <c r="A276" t="s">
        <v>149</v>
      </c>
      <c r="B276" t="s">
        <v>870</v>
      </c>
      <c r="C276" t="s">
        <v>30</v>
      </c>
      <c r="D276" s="72">
        <v>5323838</v>
      </c>
      <c r="E276" s="72">
        <v>342992</v>
      </c>
      <c r="F276" s="72">
        <v>0</v>
      </c>
      <c r="G276" s="72">
        <v>9811478</v>
      </c>
      <c r="H276" s="72">
        <v>49314</v>
      </c>
      <c r="J276" s="72">
        <v>835040</v>
      </c>
      <c r="K276" s="72">
        <v>1588995</v>
      </c>
      <c r="L276" s="72">
        <v>17951657</v>
      </c>
      <c r="M276" s="72">
        <v>0</v>
      </c>
      <c r="N276" s="72">
        <v>0</v>
      </c>
      <c r="O276" s="72">
        <v>0</v>
      </c>
      <c r="P276" s="72">
        <v>0</v>
      </c>
      <c r="Q276" s="72">
        <v>56555</v>
      </c>
      <c r="R276" s="72">
        <v>56555</v>
      </c>
      <c r="S276" s="72">
        <v>18008212</v>
      </c>
      <c r="T276" s="72">
        <v>9036380</v>
      </c>
      <c r="U276" s="72">
        <v>3265266</v>
      </c>
      <c r="V276" s="72">
        <v>4039315</v>
      </c>
      <c r="W276" s="72">
        <v>646885</v>
      </c>
      <c r="X276" s="72">
        <v>319408</v>
      </c>
      <c r="Y276" s="72">
        <v>0</v>
      </c>
      <c r="Z276" s="72">
        <v>0</v>
      </c>
      <c r="AA276" s="72">
        <v>0</v>
      </c>
      <c r="AB276" s="72">
        <v>0</v>
      </c>
      <c r="AC276" s="72">
        <v>0</v>
      </c>
      <c r="AD276" s="72">
        <v>0</v>
      </c>
      <c r="AE276" s="72">
        <v>13988</v>
      </c>
      <c r="AF276" s="72">
        <v>2496</v>
      </c>
      <c r="AG276" s="72">
        <v>316272</v>
      </c>
      <c r="AH276" s="72">
        <v>17640010</v>
      </c>
      <c r="AI276" s="72">
        <v>0</v>
      </c>
      <c r="AJ276" s="72">
        <v>0</v>
      </c>
      <c r="AK276" s="72">
        <v>0</v>
      </c>
      <c r="AL276" s="72">
        <v>0</v>
      </c>
      <c r="AM276" s="72">
        <v>17640010</v>
      </c>
      <c r="AN276" s="72">
        <v>368202</v>
      </c>
      <c r="AO276" s="72">
        <v>610263</v>
      </c>
      <c r="AP276" s="72">
        <v>978465</v>
      </c>
      <c r="AQ276" s="72">
        <v>25000</v>
      </c>
      <c r="AR276" s="72">
        <v>0</v>
      </c>
      <c r="AS276" s="72">
        <v>0</v>
      </c>
      <c r="AT276" s="72">
        <v>0</v>
      </c>
      <c r="AU276" s="72">
        <v>0</v>
      </c>
      <c r="AW276" s="72">
        <v>0</v>
      </c>
      <c r="AX276" s="72">
        <v>0</v>
      </c>
      <c r="AY276" s="72">
        <v>0</v>
      </c>
      <c r="AZ276" s="72">
        <v>0</v>
      </c>
      <c r="BA276" s="72">
        <v>953465</v>
      </c>
      <c r="BB276" s="72">
        <v>0</v>
      </c>
      <c r="BC276" s="72">
        <v>0</v>
      </c>
      <c r="BD276" s="72">
        <v>0</v>
      </c>
      <c r="BE276" s="72">
        <v>953465</v>
      </c>
      <c r="BF276" s="72">
        <v>0</v>
      </c>
      <c r="BG276" s="72">
        <v>0</v>
      </c>
      <c r="BH276" s="72">
        <v>0</v>
      </c>
      <c r="BI276" s="72">
        <v>0</v>
      </c>
      <c r="BJ276" s="72">
        <v>953465</v>
      </c>
      <c r="BS276" s="72">
        <v>18008212</v>
      </c>
    </row>
    <row r="277" spans="1:71" x14ac:dyDescent="0.2">
      <c r="A277" t="s">
        <v>251</v>
      </c>
      <c r="B277" t="s">
        <v>969</v>
      </c>
      <c r="C277" t="s">
        <v>30</v>
      </c>
      <c r="D277" s="72">
        <v>1760000</v>
      </c>
      <c r="E277" s="72">
        <v>170000</v>
      </c>
      <c r="F277" s="72">
        <v>1200000</v>
      </c>
      <c r="G277" s="72">
        <v>4450000</v>
      </c>
      <c r="H277" s="72">
        <v>5900</v>
      </c>
      <c r="I277" s="72">
        <v>0</v>
      </c>
      <c r="J277" s="72">
        <v>290000</v>
      </c>
      <c r="K277" s="72">
        <v>2880000</v>
      </c>
      <c r="L277" s="72">
        <v>10755900</v>
      </c>
      <c r="M277" s="72">
        <v>0</v>
      </c>
      <c r="N277" s="72">
        <v>0</v>
      </c>
      <c r="O277" s="72">
        <v>0</v>
      </c>
      <c r="P277" s="72">
        <v>0</v>
      </c>
      <c r="Q277" s="72">
        <v>0</v>
      </c>
      <c r="R277" s="72">
        <v>0</v>
      </c>
      <c r="S277" s="72">
        <v>10755900</v>
      </c>
      <c r="T277" s="72">
        <v>5650000</v>
      </c>
      <c r="U277" s="72">
        <v>2500000</v>
      </c>
      <c r="V277" s="72">
        <v>1900000</v>
      </c>
      <c r="W277" s="72">
        <v>475000</v>
      </c>
      <c r="X277" s="72">
        <v>30000</v>
      </c>
      <c r="Y277" s="72">
        <v>0</v>
      </c>
      <c r="Z277" s="72">
        <v>0</v>
      </c>
      <c r="AA277" s="72">
        <v>0</v>
      </c>
      <c r="AB277" s="72">
        <v>0</v>
      </c>
      <c r="AC277" s="72">
        <v>0</v>
      </c>
      <c r="AD277" s="72">
        <v>18350</v>
      </c>
      <c r="AE277" s="72">
        <v>0</v>
      </c>
      <c r="AF277" s="72">
        <v>6588</v>
      </c>
      <c r="AG277" s="72">
        <v>120000</v>
      </c>
      <c r="AH277" s="72">
        <v>10699938</v>
      </c>
      <c r="AI277" s="72">
        <v>0</v>
      </c>
      <c r="AJ277" s="72">
        <v>0</v>
      </c>
      <c r="AK277" s="72">
        <v>0</v>
      </c>
      <c r="AL277" s="72">
        <v>0</v>
      </c>
      <c r="AM277" s="72">
        <v>10699938</v>
      </c>
      <c r="AN277" s="72">
        <v>55962</v>
      </c>
      <c r="AO277" s="72">
        <v>1539900</v>
      </c>
      <c r="AP277" s="72">
        <v>1595862</v>
      </c>
      <c r="AQ277" s="72">
        <v>75000</v>
      </c>
      <c r="AR277" s="72">
        <v>0</v>
      </c>
      <c r="AS277" s="72">
        <v>0</v>
      </c>
      <c r="AT277" s="72">
        <v>0</v>
      </c>
      <c r="AU277" s="72">
        <v>0</v>
      </c>
      <c r="AV277" s="72">
        <v>0</v>
      </c>
      <c r="AW277" s="72">
        <v>0</v>
      </c>
      <c r="AX277" s="72">
        <v>0</v>
      </c>
      <c r="AY277" s="72">
        <v>0</v>
      </c>
      <c r="AZ277" s="72">
        <v>0</v>
      </c>
      <c r="BA277" s="72">
        <v>1520862</v>
      </c>
      <c r="BB277" s="72">
        <v>0</v>
      </c>
      <c r="BC277" s="72">
        <v>0</v>
      </c>
      <c r="BD277" s="72">
        <v>0</v>
      </c>
      <c r="BE277" s="72">
        <v>1520862</v>
      </c>
      <c r="BF277" s="72">
        <v>0</v>
      </c>
      <c r="BG277" s="72">
        <v>0</v>
      </c>
      <c r="BH277" s="72">
        <v>0</v>
      </c>
      <c r="BI277" s="72">
        <v>0</v>
      </c>
      <c r="BJ277" s="72">
        <v>1520862</v>
      </c>
      <c r="BK277" s="72">
        <v>0</v>
      </c>
      <c r="BL277" s="72">
        <v>0</v>
      </c>
      <c r="BM277" s="72">
        <v>0</v>
      </c>
      <c r="BN277" s="72">
        <v>0</v>
      </c>
      <c r="BO277" s="72">
        <v>0</v>
      </c>
      <c r="BP277" s="72">
        <v>0</v>
      </c>
      <c r="BQ277" s="72">
        <v>0</v>
      </c>
      <c r="BR277" s="72">
        <v>0</v>
      </c>
      <c r="BS277" s="72">
        <v>10755900</v>
      </c>
    </row>
    <row r="278" spans="1:71" x14ac:dyDescent="0.2">
      <c r="A278" t="s">
        <v>642</v>
      </c>
      <c r="B278" t="s">
        <v>1127</v>
      </c>
      <c r="C278" t="s">
        <v>30</v>
      </c>
      <c r="D278" s="72">
        <v>1580000</v>
      </c>
      <c r="E278" s="72">
        <v>2000</v>
      </c>
      <c r="F278" s="72">
        <v>0</v>
      </c>
      <c r="G278" s="72">
        <v>6300000</v>
      </c>
      <c r="H278" s="72">
        <v>72000</v>
      </c>
      <c r="I278" s="72">
        <v>20000</v>
      </c>
      <c r="J278" s="72">
        <v>262000</v>
      </c>
      <c r="K278" s="72">
        <v>744800</v>
      </c>
      <c r="L278" s="72">
        <v>8980800</v>
      </c>
      <c r="M278" s="72">
        <v>0</v>
      </c>
      <c r="N278" s="72">
        <v>0</v>
      </c>
      <c r="O278" s="72">
        <v>0</v>
      </c>
      <c r="P278" s="72">
        <v>11165</v>
      </c>
      <c r="Q278" s="72">
        <v>9000</v>
      </c>
      <c r="R278" s="72">
        <v>20165</v>
      </c>
      <c r="S278" s="72">
        <v>9000965</v>
      </c>
      <c r="T278" s="72">
        <v>3919190</v>
      </c>
      <c r="U278" s="72">
        <v>2465929</v>
      </c>
      <c r="V278" s="72">
        <v>2076298</v>
      </c>
      <c r="W278" s="72">
        <v>261426</v>
      </c>
      <c r="X278" s="72">
        <v>76239</v>
      </c>
      <c r="Y278" s="72">
        <v>0</v>
      </c>
      <c r="Z278" s="72">
        <v>0</v>
      </c>
      <c r="AA278" s="72">
        <v>0</v>
      </c>
      <c r="AB278" s="72">
        <v>0</v>
      </c>
      <c r="AC278" s="72">
        <v>0</v>
      </c>
      <c r="AD278" s="72">
        <v>0</v>
      </c>
      <c r="AE278" s="72">
        <v>0</v>
      </c>
      <c r="AF278" s="72">
        <v>0</v>
      </c>
      <c r="AG278" s="72">
        <v>32000</v>
      </c>
      <c r="AH278" s="72">
        <v>8831082</v>
      </c>
      <c r="AI278" s="72">
        <v>180000</v>
      </c>
      <c r="AJ278" s="72">
        <v>25000</v>
      </c>
      <c r="AK278" s="72">
        <v>0</v>
      </c>
      <c r="AL278" s="72">
        <v>205000</v>
      </c>
      <c r="AM278" s="72">
        <v>9036082</v>
      </c>
      <c r="AN278" s="72">
        <v>-35117</v>
      </c>
      <c r="AO278" s="72">
        <v>165394</v>
      </c>
      <c r="AP278" s="72">
        <v>130277</v>
      </c>
      <c r="AQ278" s="72">
        <v>20000</v>
      </c>
      <c r="AR278" s="72">
        <v>0</v>
      </c>
      <c r="AS278" s="72">
        <v>0</v>
      </c>
      <c r="AT278" s="72">
        <v>0</v>
      </c>
      <c r="AU278" s="72">
        <v>0</v>
      </c>
      <c r="AV278" s="72">
        <v>0</v>
      </c>
      <c r="AW278" s="72">
        <v>0</v>
      </c>
      <c r="AX278" s="72">
        <v>0</v>
      </c>
      <c r="AY278" s="72">
        <v>0</v>
      </c>
      <c r="AZ278" s="72">
        <v>0</v>
      </c>
      <c r="BA278" s="72">
        <v>110277</v>
      </c>
      <c r="BB278" s="72">
        <v>0</v>
      </c>
      <c r="BC278" s="72">
        <v>0</v>
      </c>
      <c r="BD278" s="72">
        <v>0</v>
      </c>
      <c r="BE278" s="72">
        <v>110277</v>
      </c>
      <c r="BF278" s="72">
        <v>0</v>
      </c>
      <c r="BG278" s="72">
        <v>0</v>
      </c>
      <c r="BH278" s="72">
        <v>0</v>
      </c>
      <c r="BI278" s="72">
        <v>0</v>
      </c>
      <c r="BJ278" s="72">
        <v>110277</v>
      </c>
      <c r="BM278" s="72">
        <v>0</v>
      </c>
      <c r="BN278" s="72">
        <v>0</v>
      </c>
      <c r="BO278" s="72">
        <v>0</v>
      </c>
      <c r="BP278" s="72">
        <v>0</v>
      </c>
      <c r="BQ278" s="72">
        <v>0</v>
      </c>
      <c r="BR278" s="72">
        <v>0</v>
      </c>
      <c r="BS278" s="72">
        <v>9036082</v>
      </c>
    </row>
    <row r="279" spans="1:71" x14ac:dyDescent="0.2">
      <c r="A279" t="s">
        <v>701</v>
      </c>
      <c r="B279" t="s">
        <v>1391</v>
      </c>
      <c r="C279" t="s">
        <v>30</v>
      </c>
      <c r="D279" s="72">
        <v>2070942</v>
      </c>
      <c r="E279" s="72">
        <v>240000</v>
      </c>
      <c r="F279" s="72">
        <v>824690</v>
      </c>
      <c r="G279" s="72">
        <v>6654778</v>
      </c>
      <c r="H279" s="72">
        <v>66285</v>
      </c>
      <c r="I279" s="72">
        <v>0</v>
      </c>
      <c r="J279" s="72">
        <v>367453</v>
      </c>
      <c r="K279" s="72">
        <v>996000</v>
      </c>
      <c r="L279" s="72">
        <v>11220148</v>
      </c>
      <c r="M279" s="72">
        <v>0</v>
      </c>
      <c r="N279" s="72">
        <v>0</v>
      </c>
      <c r="O279" s="72">
        <v>0</v>
      </c>
      <c r="P279" s="72">
        <v>50000</v>
      </c>
      <c r="Q279" s="72">
        <v>0</v>
      </c>
      <c r="R279" s="72">
        <v>50000</v>
      </c>
      <c r="S279" s="72">
        <v>11270148</v>
      </c>
      <c r="T279" s="72">
        <v>6168050</v>
      </c>
      <c r="U279" s="72">
        <v>2781830</v>
      </c>
      <c r="V279" s="72">
        <v>1912522</v>
      </c>
      <c r="W279" s="72">
        <v>496494</v>
      </c>
      <c r="X279" s="72">
        <v>72689</v>
      </c>
      <c r="Y279" s="72">
        <v>0</v>
      </c>
      <c r="Z279" s="72">
        <v>0</v>
      </c>
      <c r="AA279" s="72">
        <v>0</v>
      </c>
      <c r="AB279" s="72">
        <v>0</v>
      </c>
      <c r="AC279" s="72">
        <v>0</v>
      </c>
      <c r="AD279" s="72">
        <v>0</v>
      </c>
      <c r="AE279" s="72">
        <v>0</v>
      </c>
      <c r="AF279" s="72">
        <v>0</v>
      </c>
      <c r="AG279" s="72">
        <v>219975</v>
      </c>
      <c r="AH279" s="72">
        <v>11651560</v>
      </c>
      <c r="AI279" s="72">
        <v>0</v>
      </c>
      <c r="AJ279" s="72">
        <v>50000</v>
      </c>
      <c r="AK279" s="72">
        <v>0</v>
      </c>
      <c r="AL279" s="72">
        <v>50000</v>
      </c>
      <c r="AM279" s="72">
        <v>11701560</v>
      </c>
      <c r="AN279" s="72">
        <v>-431412</v>
      </c>
      <c r="AO279" s="72">
        <v>4487737</v>
      </c>
      <c r="AP279" s="72">
        <v>4056325</v>
      </c>
      <c r="AQ279" s="72">
        <v>50000</v>
      </c>
      <c r="AR279" s="72">
        <v>0</v>
      </c>
      <c r="AS279" s="72">
        <v>29</v>
      </c>
      <c r="AT279" s="72">
        <v>159403</v>
      </c>
      <c r="AU279" s="72">
        <v>0</v>
      </c>
      <c r="AV279" s="72">
        <v>0</v>
      </c>
      <c r="AW279" s="72">
        <v>0</v>
      </c>
      <c r="AX279" s="72">
        <v>0</v>
      </c>
      <c r="AY279" s="72">
        <v>24303</v>
      </c>
      <c r="AZ279" s="72">
        <v>183735</v>
      </c>
      <c r="BA279" s="72">
        <v>3822590</v>
      </c>
      <c r="BB279" s="72">
        <v>0</v>
      </c>
      <c r="BC279" s="72">
        <v>0</v>
      </c>
      <c r="BD279" s="72">
        <v>0</v>
      </c>
      <c r="BE279" s="72">
        <v>3822590</v>
      </c>
      <c r="BF279" s="72">
        <v>0</v>
      </c>
      <c r="BG279" s="72">
        <v>0</v>
      </c>
      <c r="BH279" s="72">
        <v>0</v>
      </c>
      <c r="BI279" s="72">
        <v>0</v>
      </c>
      <c r="BJ279" s="72">
        <v>3822590</v>
      </c>
      <c r="BM279" s="72">
        <v>0</v>
      </c>
      <c r="BN279" s="72">
        <v>0</v>
      </c>
      <c r="BO279" s="72">
        <v>0</v>
      </c>
      <c r="BP279" s="72">
        <v>0</v>
      </c>
      <c r="BQ279" s="72">
        <v>0</v>
      </c>
      <c r="BR279" s="72">
        <v>0</v>
      </c>
      <c r="BS279" s="72">
        <v>11701560</v>
      </c>
    </row>
    <row r="280" spans="1:71" x14ac:dyDescent="0.2">
      <c r="A280" t="s">
        <v>604</v>
      </c>
      <c r="B280" t="s">
        <v>1301</v>
      </c>
      <c r="C280" t="s">
        <v>96</v>
      </c>
      <c r="D280" s="72">
        <v>2355000</v>
      </c>
      <c r="E280" s="72">
        <v>0</v>
      </c>
      <c r="F280" s="72">
        <v>0</v>
      </c>
      <c r="G280" s="72">
        <v>7341044</v>
      </c>
      <c r="H280" s="72">
        <v>85250</v>
      </c>
      <c r="I280" s="72">
        <v>0</v>
      </c>
      <c r="J280" s="72">
        <v>352000</v>
      </c>
      <c r="K280" s="72">
        <v>451700</v>
      </c>
      <c r="L280" s="72">
        <v>10584994</v>
      </c>
      <c r="M280" s="72">
        <v>0</v>
      </c>
      <c r="N280" s="72">
        <v>0</v>
      </c>
      <c r="O280" s="72">
        <v>0</v>
      </c>
      <c r="P280" s="72">
        <v>0</v>
      </c>
      <c r="Q280" s="72">
        <v>75000</v>
      </c>
      <c r="R280" s="72">
        <v>75000</v>
      </c>
      <c r="S280" s="72">
        <v>10659994</v>
      </c>
      <c r="T280" s="72">
        <v>4263003</v>
      </c>
      <c r="U280" s="72">
        <v>2195595</v>
      </c>
      <c r="V280" s="72">
        <v>1970496</v>
      </c>
      <c r="W280" s="72">
        <v>406440</v>
      </c>
      <c r="X280" s="72">
        <v>250000</v>
      </c>
      <c r="Y280" s="72">
        <v>0</v>
      </c>
      <c r="Z280" s="72">
        <v>0</v>
      </c>
      <c r="AA280" s="72">
        <v>0</v>
      </c>
      <c r="AB280" s="72">
        <v>0</v>
      </c>
      <c r="AC280" s="72">
        <v>0</v>
      </c>
      <c r="AD280" s="72">
        <v>23000</v>
      </c>
      <c r="AE280" s="72">
        <v>0</v>
      </c>
      <c r="AF280" s="72">
        <v>23412</v>
      </c>
      <c r="AG280" s="72">
        <v>100000</v>
      </c>
      <c r="AH280" s="72">
        <v>9231946</v>
      </c>
      <c r="AI280" s="72">
        <v>1602140</v>
      </c>
      <c r="AJ280" s="72">
        <v>0</v>
      </c>
      <c r="AK280" s="72">
        <v>0</v>
      </c>
      <c r="AL280" s="72">
        <v>1602140</v>
      </c>
      <c r="AM280" s="72">
        <v>10834086</v>
      </c>
      <c r="AN280" s="72">
        <v>-174092</v>
      </c>
      <c r="AO280" s="72">
        <v>3969509</v>
      </c>
      <c r="AP280" s="72">
        <v>3795417</v>
      </c>
      <c r="AQ280" s="72">
        <v>120000</v>
      </c>
      <c r="AR280" s="72">
        <v>0</v>
      </c>
      <c r="AS280" s="72">
        <v>0</v>
      </c>
      <c r="AT280" s="72">
        <v>0</v>
      </c>
      <c r="AU280" s="72">
        <v>0</v>
      </c>
      <c r="AV280" s="72">
        <v>0</v>
      </c>
      <c r="AW280" s="72">
        <v>0</v>
      </c>
      <c r="AX280" s="72">
        <v>0</v>
      </c>
      <c r="AY280" s="72">
        <v>0</v>
      </c>
      <c r="AZ280" s="72">
        <v>0</v>
      </c>
      <c r="BA280" s="72">
        <v>3675417</v>
      </c>
      <c r="BB280" s="72">
        <v>0</v>
      </c>
      <c r="BC280" s="72">
        <v>0</v>
      </c>
      <c r="BD280" s="72">
        <v>0</v>
      </c>
      <c r="BE280" s="72">
        <v>3675417</v>
      </c>
      <c r="BF280" s="72">
        <v>0</v>
      </c>
      <c r="BG280" s="72">
        <v>0</v>
      </c>
      <c r="BH280" s="72">
        <v>0</v>
      </c>
      <c r="BI280" s="72">
        <v>0</v>
      </c>
      <c r="BJ280" s="72">
        <v>3675417</v>
      </c>
      <c r="BS280" s="72">
        <v>10834086</v>
      </c>
    </row>
    <row r="281" spans="1:71" x14ac:dyDescent="0.2">
      <c r="A281" t="s">
        <v>608</v>
      </c>
      <c r="B281" t="s">
        <v>1305</v>
      </c>
      <c r="C281" t="s">
        <v>96</v>
      </c>
      <c r="D281" s="72">
        <v>8693191</v>
      </c>
      <c r="E281" s="72">
        <v>127</v>
      </c>
      <c r="F281" s="72">
        <v>0</v>
      </c>
      <c r="G281" s="72">
        <v>8324340</v>
      </c>
      <c r="H281" s="72">
        <v>68318</v>
      </c>
      <c r="I281" s="72">
        <v>0</v>
      </c>
      <c r="J281" s="72">
        <v>1137272</v>
      </c>
      <c r="K281" s="72">
        <v>1094249</v>
      </c>
      <c r="L281" s="72">
        <v>19317497</v>
      </c>
      <c r="M281" s="72">
        <v>0</v>
      </c>
      <c r="N281" s="72">
        <v>0</v>
      </c>
      <c r="O281" s="72">
        <v>0</v>
      </c>
      <c r="P281" s="72">
        <v>359198</v>
      </c>
      <c r="Q281" s="72">
        <v>212508</v>
      </c>
      <c r="R281" s="72">
        <v>571706</v>
      </c>
      <c r="S281" s="72">
        <v>19889203</v>
      </c>
      <c r="T281" s="72">
        <v>10464844</v>
      </c>
      <c r="U281" s="72">
        <v>4689179</v>
      </c>
      <c r="V281" s="72">
        <v>3092928</v>
      </c>
      <c r="W281" s="72">
        <v>791500</v>
      </c>
      <c r="X281" s="72">
        <v>140000</v>
      </c>
      <c r="Y281" s="72">
        <v>0</v>
      </c>
      <c r="Z281" s="72">
        <v>137597</v>
      </c>
      <c r="AA281" s="72">
        <v>0</v>
      </c>
      <c r="AB281" s="72">
        <v>0</v>
      </c>
      <c r="AC281" s="72">
        <v>0</v>
      </c>
      <c r="AD281" s="72">
        <v>0</v>
      </c>
      <c r="AE281" s="72">
        <v>0</v>
      </c>
      <c r="AF281" s="72">
        <v>41946</v>
      </c>
      <c r="AG281" s="72">
        <v>491907</v>
      </c>
      <c r="AH281" s="72">
        <v>19849901</v>
      </c>
      <c r="AI281" s="72">
        <v>10000</v>
      </c>
      <c r="AJ281" s="72">
        <v>200000</v>
      </c>
      <c r="AK281" s="72">
        <v>10000</v>
      </c>
      <c r="AL281" s="72">
        <v>220000</v>
      </c>
      <c r="AM281" s="72">
        <v>20069901</v>
      </c>
      <c r="AN281" s="72">
        <v>-180698</v>
      </c>
      <c r="AO281" s="72">
        <v>5535912</v>
      </c>
      <c r="AP281" s="72">
        <v>5355214</v>
      </c>
      <c r="AQ281" s="72">
        <v>400000</v>
      </c>
      <c r="AR281" s="72">
        <v>0</v>
      </c>
      <c r="AS281" s="72">
        <v>0</v>
      </c>
      <c r="AT281" s="72">
        <v>312165</v>
      </c>
      <c r="AU281" s="72">
        <v>0</v>
      </c>
      <c r="AV281" s="72">
        <v>0</v>
      </c>
      <c r="AW281" s="72">
        <v>0</v>
      </c>
      <c r="AX281" s="72">
        <v>0</v>
      </c>
      <c r="AY281" s="72">
        <v>0</v>
      </c>
      <c r="AZ281" s="72">
        <v>312165</v>
      </c>
      <c r="BA281" s="72">
        <v>4643049</v>
      </c>
      <c r="BB281" s="72">
        <v>0</v>
      </c>
      <c r="BC281" s="72">
        <v>0</v>
      </c>
      <c r="BD281" s="72">
        <v>0</v>
      </c>
      <c r="BE281" s="72">
        <v>4643049</v>
      </c>
      <c r="BF281" s="72">
        <v>0</v>
      </c>
      <c r="BG281" s="72">
        <v>0</v>
      </c>
      <c r="BH281" s="72">
        <v>0</v>
      </c>
      <c r="BI281" s="72">
        <v>0</v>
      </c>
      <c r="BJ281" s="72">
        <v>4643049</v>
      </c>
      <c r="BK281" s="72">
        <v>133</v>
      </c>
      <c r="BL281" s="72">
        <v>1950</v>
      </c>
      <c r="BM281" s="72">
        <v>0</v>
      </c>
      <c r="BN281" s="72">
        <v>0</v>
      </c>
      <c r="BO281" s="72">
        <v>0</v>
      </c>
      <c r="BP281" s="72">
        <v>0</v>
      </c>
      <c r="BQ281" s="72">
        <v>0</v>
      </c>
      <c r="BR281" s="72">
        <v>0</v>
      </c>
      <c r="BS281" s="72">
        <v>20069901</v>
      </c>
    </row>
    <row r="282" spans="1:71" x14ac:dyDescent="0.2">
      <c r="A282" t="s">
        <v>189</v>
      </c>
      <c r="B282" t="s">
        <v>909</v>
      </c>
      <c r="C282" t="s">
        <v>84</v>
      </c>
      <c r="D282" s="72">
        <v>1859981</v>
      </c>
      <c r="E282" s="72">
        <v>0</v>
      </c>
      <c r="F282" s="72">
        <v>1533750</v>
      </c>
      <c r="G282" s="72">
        <v>4006000</v>
      </c>
      <c r="H282" s="72">
        <v>0</v>
      </c>
      <c r="I282" s="72">
        <v>52000</v>
      </c>
      <c r="J282" s="72">
        <v>265000</v>
      </c>
      <c r="K282" s="72">
        <v>273985</v>
      </c>
      <c r="L282" s="72">
        <v>7990716</v>
      </c>
      <c r="M282" s="72">
        <v>0</v>
      </c>
      <c r="N282" s="72">
        <v>0</v>
      </c>
      <c r="O282" s="72">
        <v>0</v>
      </c>
      <c r="P282" s="72">
        <v>0</v>
      </c>
      <c r="Q282" s="72">
        <v>5000</v>
      </c>
      <c r="R282" s="72">
        <v>5000</v>
      </c>
      <c r="S282" s="72">
        <v>7995716</v>
      </c>
      <c r="T282" s="72">
        <v>3689866</v>
      </c>
      <c r="U282" s="72">
        <v>1657525</v>
      </c>
      <c r="V282" s="72">
        <v>1995189</v>
      </c>
      <c r="W282" s="72">
        <v>340000</v>
      </c>
      <c r="X282" s="72">
        <v>138500</v>
      </c>
      <c r="Y282" s="72">
        <v>0</v>
      </c>
      <c r="Z282" s="72">
        <v>0</v>
      </c>
      <c r="AA282" s="72">
        <v>0</v>
      </c>
      <c r="AB282" s="72">
        <v>0</v>
      </c>
      <c r="AC282" s="72">
        <v>0</v>
      </c>
      <c r="AD282" s="72">
        <v>0</v>
      </c>
      <c r="AE282" s="72">
        <v>0</v>
      </c>
      <c r="AF282" s="72">
        <v>0</v>
      </c>
      <c r="AG282" s="72">
        <v>199595</v>
      </c>
      <c r="AH282" s="72">
        <v>8020675</v>
      </c>
      <c r="AI282" s="72">
        <v>50000</v>
      </c>
      <c r="AJ282" s="72">
        <v>0</v>
      </c>
      <c r="AK282" s="72">
        <v>0</v>
      </c>
      <c r="AL282" s="72">
        <v>50000</v>
      </c>
      <c r="AM282" s="72">
        <v>8070675</v>
      </c>
      <c r="AN282" s="72">
        <v>-74959</v>
      </c>
      <c r="AO282" s="72">
        <v>2865596</v>
      </c>
      <c r="AP282" s="72">
        <v>2790637</v>
      </c>
      <c r="AQ282" s="72">
        <v>50000</v>
      </c>
      <c r="AR282" s="72">
        <v>0</v>
      </c>
      <c r="AS282" s="72">
        <v>0</v>
      </c>
      <c r="AT282" s="72">
        <v>0</v>
      </c>
      <c r="AU282" s="72">
        <v>0</v>
      </c>
      <c r="AV282" s="72">
        <v>0</v>
      </c>
      <c r="AW282" s="72">
        <v>0</v>
      </c>
      <c r="AX282" s="72">
        <v>0</v>
      </c>
      <c r="AY282" s="72">
        <v>0</v>
      </c>
      <c r="AZ282" s="72">
        <v>0</v>
      </c>
      <c r="BA282" s="72">
        <v>2740637</v>
      </c>
      <c r="BB282" s="72">
        <v>0</v>
      </c>
      <c r="BC282" s="72">
        <v>0</v>
      </c>
      <c r="BD282" s="72">
        <v>0</v>
      </c>
      <c r="BE282" s="72">
        <v>2740637</v>
      </c>
      <c r="BF282" s="72">
        <v>0</v>
      </c>
      <c r="BG282" s="72">
        <v>0</v>
      </c>
      <c r="BH282" s="72">
        <v>0</v>
      </c>
      <c r="BI282" s="72">
        <v>0</v>
      </c>
      <c r="BJ282" s="72">
        <v>2740637</v>
      </c>
      <c r="BK282" s="72">
        <v>0</v>
      </c>
      <c r="BL282" s="72">
        <v>0</v>
      </c>
      <c r="BM282" s="72">
        <v>0</v>
      </c>
      <c r="BN282" s="72">
        <v>0</v>
      </c>
      <c r="BO282" s="72">
        <v>0</v>
      </c>
      <c r="BP282" s="72">
        <v>0</v>
      </c>
      <c r="BQ282" s="72">
        <v>0</v>
      </c>
      <c r="BR282" s="72">
        <v>0</v>
      </c>
      <c r="BS282" s="72">
        <v>8070675</v>
      </c>
    </row>
    <row r="283" spans="1:71" x14ac:dyDescent="0.2">
      <c r="A283" t="s">
        <v>235</v>
      </c>
      <c r="B283" t="s">
        <v>953</v>
      </c>
      <c r="C283" t="s">
        <v>84</v>
      </c>
      <c r="D283" s="72">
        <v>2144133</v>
      </c>
      <c r="E283" s="72">
        <v>210113</v>
      </c>
      <c r="F283" s="72">
        <v>1599998</v>
      </c>
      <c r="G283" s="72">
        <v>2506268</v>
      </c>
      <c r="H283" s="72">
        <v>984</v>
      </c>
      <c r="I283" s="72">
        <v>0</v>
      </c>
      <c r="J283" s="72">
        <v>1160538</v>
      </c>
      <c r="K283" s="72">
        <v>1614416</v>
      </c>
      <c r="L283" s="72">
        <v>9236450</v>
      </c>
      <c r="M283" s="72">
        <v>0</v>
      </c>
      <c r="N283" s="72">
        <v>0</v>
      </c>
      <c r="O283" s="72">
        <v>0</v>
      </c>
      <c r="P283" s="72">
        <v>29003</v>
      </c>
      <c r="Q283" s="72">
        <v>6328</v>
      </c>
      <c r="R283" s="72">
        <v>35331</v>
      </c>
      <c r="S283" s="72">
        <v>9271781</v>
      </c>
      <c r="T283" s="72">
        <v>4540363</v>
      </c>
      <c r="U283" s="72">
        <v>2384510</v>
      </c>
      <c r="V283" s="72">
        <v>1669680</v>
      </c>
      <c r="W283" s="72">
        <v>350000</v>
      </c>
      <c r="X283" s="72">
        <v>100000</v>
      </c>
      <c r="Y283" s="72">
        <v>0</v>
      </c>
      <c r="Z283" s="72">
        <v>0</v>
      </c>
      <c r="AA283" s="72">
        <v>0</v>
      </c>
      <c r="AB283" s="72">
        <v>0</v>
      </c>
      <c r="AC283" s="72">
        <v>0</v>
      </c>
      <c r="AD283" s="72">
        <v>0</v>
      </c>
      <c r="AE283" s="72">
        <v>0</v>
      </c>
      <c r="AF283" s="72">
        <v>0</v>
      </c>
      <c r="AG283" s="72">
        <v>161898</v>
      </c>
      <c r="AH283" s="72">
        <v>9206451</v>
      </c>
      <c r="AI283" s="72">
        <v>69223</v>
      </c>
      <c r="AJ283" s="72">
        <v>29003</v>
      </c>
      <c r="AK283" s="72">
        <v>0</v>
      </c>
      <c r="AL283" s="72">
        <v>98226</v>
      </c>
      <c r="AM283" s="72">
        <v>9304677</v>
      </c>
      <c r="AN283" s="72">
        <v>-32896</v>
      </c>
      <c r="AO283" s="72">
        <v>1032406</v>
      </c>
      <c r="AP283" s="72">
        <v>999510</v>
      </c>
      <c r="AQ283" s="72">
        <v>29459</v>
      </c>
      <c r="AR283" s="72">
        <v>0</v>
      </c>
      <c r="AS283" s="72">
        <v>0</v>
      </c>
      <c r="AT283" s="72">
        <v>0</v>
      </c>
      <c r="AU283" s="72">
        <v>0</v>
      </c>
      <c r="AV283" s="72">
        <v>0</v>
      </c>
      <c r="AW283" s="72">
        <v>0</v>
      </c>
      <c r="AX283" s="72">
        <v>0</v>
      </c>
      <c r="AY283" s="72">
        <v>488</v>
      </c>
      <c r="AZ283" s="72">
        <v>488</v>
      </c>
      <c r="BA283" s="72">
        <v>969563</v>
      </c>
      <c r="BB283" s="72">
        <v>0</v>
      </c>
      <c r="BC283" s="72">
        <v>0</v>
      </c>
      <c r="BD283" s="72">
        <v>0</v>
      </c>
      <c r="BE283" s="72">
        <v>969563</v>
      </c>
      <c r="BF283" s="72">
        <v>0</v>
      </c>
      <c r="BG283" s="72">
        <v>0</v>
      </c>
      <c r="BH283" s="72">
        <v>0</v>
      </c>
      <c r="BI283" s="72">
        <v>0</v>
      </c>
      <c r="BJ283" s="72">
        <v>969563</v>
      </c>
      <c r="BM283" s="72">
        <v>0</v>
      </c>
      <c r="BN283" s="72">
        <v>0</v>
      </c>
      <c r="BO283" s="72">
        <v>0</v>
      </c>
      <c r="BP283" s="72">
        <v>0</v>
      </c>
      <c r="BQ283" s="72">
        <v>0</v>
      </c>
      <c r="BR283" s="72">
        <v>0</v>
      </c>
      <c r="BS283" s="72">
        <v>9304677</v>
      </c>
    </row>
    <row r="284" spans="1:71" x14ac:dyDescent="0.2">
      <c r="A284" t="s">
        <v>768</v>
      </c>
      <c r="B284" t="s">
        <v>1456</v>
      </c>
      <c r="C284" t="s">
        <v>84</v>
      </c>
      <c r="D284" s="72">
        <v>3111247</v>
      </c>
      <c r="E284" s="72">
        <v>166660</v>
      </c>
      <c r="F284" s="72">
        <v>0</v>
      </c>
      <c r="G284" s="72">
        <v>5138447</v>
      </c>
      <c r="H284" s="72">
        <v>7422</v>
      </c>
      <c r="J284" s="72">
        <v>716194</v>
      </c>
      <c r="K284" s="72">
        <v>1195000</v>
      </c>
      <c r="L284" s="72">
        <v>10334971</v>
      </c>
      <c r="M284" s="72">
        <v>0</v>
      </c>
      <c r="N284" s="72">
        <v>0</v>
      </c>
      <c r="O284" s="72">
        <v>49500</v>
      </c>
      <c r="P284" s="72">
        <v>0</v>
      </c>
      <c r="Q284" s="72">
        <v>27989</v>
      </c>
      <c r="R284" s="72">
        <v>77489</v>
      </c>
      <c r="S284" s="72">
        <v>10412460</v>
      </c>
      <c r="T284" s="72">
        <v>5359293</v>
      </c>
      <c r="U284" s="72">
        <v>2279967</v>
      </c>
      <c r="V284" s="72">
        <v>1948594</v>
      </c>
      <c r="W284" s="72">
        <v>388499</v>
      </c>
      <c r="X284" s="72">
        <v>0</v>
      </c>
      <c r="Y284" s="72">
        <v>0</v>
      </c>
      <c r="Z284" s="72">
        <v>0</v>
      </c>
      <c r="AA284" s="72">
        <v>0</v>
      </c>
      <c r="AB284" s="72">
        <v>0</v>
      </c>
      <c r="AC284" s="72">
        <v>0</v>
      </c>
      <c r="AD284" s="72">
        <v>0</v>
      </c>
      <c r="AE284" s="72">
        <v>0</v>
      </c>
      <c r="AG284" s="72">
        <v>195342</v>
      </c>
      <c r="AH284" s="72">
        <v>10171695</v>
      </c>
      <c r="AI284" s="72">
        <v>75000</v>
      </c>
      <c r="AJ284" s="72">
        <v>0</v>
      </c>
      <c r="AK284" s="72">
        <v>0</v>
      </c>
      <c r="AL284" s="72">
        <v>75000</v>
      </c>
      <c r="AM284" s="72">
        <v>10246695</v>
      </c>
      <c r="AN284" s="72">
        <v>165764</v>
      </c>
      <c r="AO284" s="72">
        <v>253037</v>
      </c>
      <c r="AP284" s="72">
        <v>418801</v>
      </c>
      <c r="AQ284" s="72">
        <v>0</v>
      </c>
      <c r="AR284" s="72">
        <v>0</v>
      </c>
      <c r="AS284" s="72">
        <v>0</v>
      </c>
      <c r="AT284" s="72">
        <v>0</v>
      </c>
      <c r="AU284" s="72">
        <v>0</v>
      </c>
      <c r="AW284" s="72">
        <v>0</v>
      </c>
      <c r="AX284" s="72">
        <v>0</v>
      </c>
      <c r="AY284" s="72">
        <v>0</v>
      </c>
      <c r="AZ284" s="72">
        <v>0</v>
      </c>
      <c r="BA284" s="72">
        <v>418801</v>
      </c>
      <c r="BB284" s="72">
        <v>0</v>
      </c>
      <c r="BC284" s="72">
        <v>0</v>
      </c>
      <c r="BF284" s="72">
        <v>0</v>
      </c>
      <c r="BG284" s="72">
        <v>0</v>
      </c>
      <c r="BH284" s="72">
        <v>0</v>
      </c>
      <c r="BI284" s="72">
        <v>0</v>
      </c>
      <c r="BJ284" s="72">
        <v>418801</v>
      </c>
      <c r="BS284" s="72">
        <v>10412460</v>
      </c>
    </row>
    <row r="285" spans="1:71" x14ac:dyDescent="0.2">
      <c r="A285" t="s">
        <v>257</v>
      </c>
      <c r="B285" t="s">
        <v>974</v>
      </c>
      <c r="C285" t="s">
        <v>23</v>
      </c>
      <c r="D285" s="72">
        <v>7168416</v>
      </c>
      <c r="E285" s="72">
        <v>1081109</v>
      </c>
      <c r="F285" s="72">
        <v>0</v>
      </c>
      <c r="G285" s="72">
        <v>499775</v>
      </c>
      <c r="H285" s="72">
        <v>25000</v>
      </c>
      <c r="I285" s="72">
        <v>0</v>
      </c>
      <c r="J285" s="72">
        <v>4653102</v>
      </c>
      <c r="K285" s="72">
        <v>786746</v>
      </c>
      <c r="L285" s="72">
        <v>14214148</v>
      </c>
      <c r="M285" s="72">
        <v>0</v>
      </c>
      <c r="N285" s="72">
        <v>0</v>
      </c>
      <c r="O285" s="72">
        <v>0</v>
      </c>
      <c r="P285" s="72">
        <v>42567</v>
      </c>
      <c r="Q285" s="72">
        <v>3000</v>
      </c>
      <c r="R285" s="72">
        <v>45567</v>
      </c>
      <c r="S285" s="72">
        <v>14259715</v>
      </c>
      <c r="T285" s="72">
        <v>7430289</v>
      </c>
      <c r="U285" s="72">
        <v>2526298</v>
      </c>
      <c r="V285" s="72">
        <v>2581068</v>
      </c>
      <c r="W285" s="72">
        <v>268365</v>
      </c>
      <c r="X285" s="72">
        <v>35000</v>
      </c>
      <c r="Y285" s="72">
        <v>0</v>
      </c>
      <c r="Z285" s="72">
        <v>0</v>
      </c>
      <c r="AA285" s="72">
        <v>0</v>
      </c>
      <c r="AB285" s="72">
        <v>0</v>
      </c>
      <c r="AC285" s="72">
        <v>0</v>
      </c>
      <c r="AD285" s="72">
        <v>0</v>
      </c>
      <c r="AE285" s="72">
        <v>0</v>
      </c>
      <c r="AF285" s="72">
        <v>0</v>
      </c>
      <c r="AG285" s="72">
        <v>300000</v>
      </c>
      <c r="AH285" s="72">
        <v>13141020</v>
      </c>
      <c r="AI285" s="72">
        <v>150000</v>
      </c>
      <c r="AJ285" s="72">
        <v>50000</v>
      </c>
      <c r="AK285" s="72">
        <v>0</v>
      </c>
      <c r="AL285" s="72">
        <v>200000</v>
      </c>
      <c r="AM285" s="72">
        <v>13341020</v>
      </c>
      <c r="AN285" s="72">
        <v>918695</v>
      </c>
      <c r="AO285" s="72">
        <v>1609758</v>
      </c>
      <c r="AP285" s="72">
        <v>2528453</v>
      </c>
      <c r="AQ285" s="72">
        <v>0</v>
      </c>
      <c r="AR285" s="72">
        <v>0</v>
      </c>
      <c r="AS285" s="72">
        <v>0</v>
      </c>
      <c r="AT285" s="72">
        <v>0</v>
      </c>
      <c r="AU285" s="72">
        <v>0</v>
      </c>
      <c r="AW285" s="72">
        <v>0</v>
      </c>
      <c r="AX285" s="72">
        <v>0</v>
      </c>
      <c r="AY285" s="72">
        <v>0</v>
      </c>
      <c r="AZ285" s="72">
        <v>0</v>
      </c>
      <c r="BA285" s="72">
        <v>2528453</v>
      </c>
      <c r="BB285" s="72">
        <v>0</v>
      </c>
      <c r="BC285" s="72">
        <v>0</v>
      </c>
      <c r="BD285" s="72">
        <v>0</v>
      </c>
      <c r="BE285" s="72">
        <v>2528453</v>
      </c>
      <c r="BF285" s="72">
        <v>0</v>
      </c>
      <c r="BG285" s="72">
        <v>0</v>
      </c>
      <c r="BH285" s="72">
        <v>0</v>
      </c>
      <c r="BI285" s="72">
        <v>0</v>
      </c>
      <c r="BJ285" s="72">
        <v>2528453</v>
      </c>
      <c r="BS285" s="72">
        <v>14259715</v>
      </c>
    </row>
    <row r="286" spans="1:71" x14ac:dyDescent="0.2">
      <c r="A286" t="s">
        <v>374</v>
      </c>
      <c r="B286" t="s">
        <v>1085</v>
      </c>
      <c r="C286" t="s">
        <v>23</v>
      </c>
      <c r="D286" s="72">
        <v>12898032</v>
      </c>
      <c r="E286" s="72">
        <v>510717</v>
      </c>
      <c r="F286" s="72">
        <v>0</v>
      </c>
      <c r="G286" s="72">
        <v>623597</v>
      </c>
      <c r="H286" s="72">
        <v>9250</v>
      </c>
      <c r="I286" s="72">
        <v>0</v>
      </c>
      <c r="J286" s="72">
        <v>1701451</v>
      </c>
      <c r="K286" s="72">
        <v>395750</v>
      </c>
      <c r="L286" s="72">
        <v>16138797</v>
      </c>
      <c r="M286" s="72">
        <v>0</v>
      </c>
      <c r="N286" s="72">
        <v>0</v>
      </c>
      <c r="O286" s="72">
        <v>0</v>
      </c>
      <c r="P286" s="72">
        <v>347000</v>
      </c>
      <c r="Q286" s="72">
        <v>0</v>
      </c>
      <c r="R286" s="72">
        <v>347000</v>
      </c>
      <c r="S286" s="72">
        <v>16485797</v>
      </c>
      <c r="T286" s="72">
        <v>8742555</v>
      </c>
      <c r="U286" s="72">
        <v>3084866</v>
      </c>
      <c r="V286" s="72">
        <v>2746553</v>
      </c>
      <c r="W286" s="72">
        <v>500000</v>
      </c>
      <c r="X286" s="72">
        <v>20000</v>
      </c>
      <c r="Y286" s="72">
        <v>0</v>
      </c>
      <c r="Z286" s="72">
        <v>0</v>
      </c>
      <c r="AA286" s="72">
        <v>0</v>
      </c>
      <c r="AB286" s="72">
        <v>0</v>
      </c>
      <c r="AC286" s="72">
        <v>0</v>
      </c>
      <c r="AD286" s="72">
        <v>0</v>
      </c>
      <c r="AE286" s="72">
        <v>0</v>
      </c>
      <c r="AF286" s="72">
        <v>0</v>
      </c>
      <c r="AG286" s="72">
        <v>351525</v>
      </c>
      <c r="AH286" s="72">
        <v>15445499</v>
      </c>
      <c r="AI286" s="72">
        <v>135000</v>
      </c>
      <c r="AJ286" s="72">
        <v>347000</v>
      </c>
      <c r="AK286" s="72">
        <v>0</v>
      </c>
      <c r="AL286" s="72">
        <v>482000</v>
      </c>
      <c r="AM286" s="72">
        <v>15927499</v>
      </c>
      <c r="AN286" s="72">
        <v>558298</v>
      </c>
      <c r="AO286" s="72">
        <v>4268398</v>
      </c>
      <c r="AP286" s="72">
        <v>4826696</v>
      </c>
      <c r="AQ286" s="72">
        <v>50000</v>
      </c>
      <c r="AR286" s="72">
        <v>0</v>
      </c>
      <c r="AS286" s="72">
        <v>0</v>
      </c>
      <c r="AT286" s="72">
        <v>0</v>
      </c>
      <c r="AU286" s="72">
        <v>0</v>
      </c>
      <c r="AV286" s="72">
        <v>0</v>
      </c>
      <c r="AW286" s="72">
        <v>0</v>
      </c>
      <c r="AX286" s="72">
        <v>0</v>
      </c>
      <c r="AY286" s="72">
        <v>0</v>
      </c>
      <c r="AZ286" s="72">
        <v>0</v>
      </c>
      <c r="BA286" s="72">
        <v>4776696</v>
      </c>
      <c r="BB286" s="72">
        <v>0</v>
      </c>
      <c r="BC286" s="72">
        <v>0</v>
      </c>
      <c r="BD286" s="72">
        <v>0</v>
      </c>
      <c r="BE286" s="72">
        <v>4776696</v>
      </c>
      <c r="BF286" s="72">
        <v>0</v>
      </c>
      <c r="BG286" s="72">
        <v>0</v>
      </c>
      <c r="BH286" s="72">
        <v>0</v>
      </c>
      <c r="BI286" s="72">
        <v>0</v>
      </c>
      <c r="BJ286" s="72">
        <v>4776696</v>
      </c>
      <c r="BM286" s="72">
        <v>0</v>
      </c>
      <c r="BN286" s="72">
        <v>0</v>
      </c>
      <c r="BO286" s="72">
        <v>0</v>
      </c>
      <c r="BP286" s="72">
        <v>0</v>
      </c>
      <c r="BQ286" s="72">
        <v>0</v>
      </c>
      <c r="BR286" s="72">
        <v>0</v>
      </c>
      <c r="BS286" s="72">
        <v>16485797</v>
      </c>
    </row>
    <row r="287" spans="1:71" x14ac:dyDescent="0.2">
      <c r="A287" t="s">
        <v>556</v>
      </c>
      <c r="B287" t="s">
        <v>1255</v>
      </c>
      <c r="C287" t="s">
        <v>23</v>
      </c>
      <c r="D287" s="72">
        <v>21615000</v>
      </c>
      <c r="E287" s="72">
        <v>0</v>
      </c>
      <c r="F287" s="72">
        <v>0</v>
      </c>
      <c r="G287" s="72">
        <v>11361180</v>
      </c>
      <c r="H287" s="72">
        <v>119496</v>
      </c>
      <c r="I287" s="72">
        <v>0</v>
      </c>
      <c r="J287" s="72">
        <v>2822000</v>
      </c>
      <c r="K287" s="72">
        <v>550950</v>
      </c>
      <c r="L287" s="72">
        <v>36468626</v>
      </c>
      <c r="M287" s="72">
        <v>0</v>
      </c>
      <c r="N287" s="72">
        <v>0</v>
      </c>
      <c r="O287" s="72">
        <v>0</v>
      </c>
      <c r="P287" s="72">
        <v>800506</v>
      </c>
      <c r="Q287" s="72">
        <v>0</v>
      </c>
      <c r="R287" s="72">
        <v>800506</v>
      </c>
      <c r="S287" s="72">
        <v>37269132</v>
      </c>
      <c r="T287" s="72">
        <v>21439386</v>
      </c>
      <c r="U287" s="72">
        <v>8375789</v>
      </c>
      <c r="V287" s="72">
        <v>3908168</v>
      </c>
      <c r="W287" s="72">
        <v>1363136</v>
      </c>
      <c r="X287" s="72">
        <v>705000</v>
      </c>
      <c r="Y287" s="72">
        <v>0</v>
      </c>
      <c r="Z287" s="72">
        <v>0</v>
      </c>
      <c r="AA287" s="72">
        <v>0</v>
      </c>
      <c r="AB287" s="72">
        <v>0</v>
      </c>
      <c r="AC287" s="72">
        <v>0</v>
      </c>
      <c r="AD287" s="72">
        <v>134000</v>
      </c>
      <c r="AE287" s="72">
        <v>0</v>
      </c>
      <c r="AF287" s="72">
        <v>11077</v>
      </c>
      <c r="AG287" s="72">
        <v>679791</v>
      </c>
      <c r="AH287" s="72">
        <v>36616347</v>
      </c>
      <c r="AI287" s="72">
        <v>700000</v>
      </c>
      <c r="AJ287" s="72">
        <v>250000</v>
      </c>
      <c r="AK287" s="72">
        <v>0</v>
      </c>
      <c r="AL287" s="72">
        <v>950000</v>
      </c>
      <c r="AM287" s="72">
        <v>37566347</v>
      </c>
      <c r="AN287" s="72">
        <v>-297215</v>
      </c>
      <c r="AO287" s="72">
        <v>8396008</v>
      </c>
      <c r="AP287" s="72">
        <v>8098793</v>
      </c>
      <c r="AQ287" s="72">
        <v>1000000</v>
      </c>
      <c r="AR287" s="72">
        <v>0</v>
      </c>
      <c r="AS287" s="72">
        <v>0</v>
      </c>
      <c r="AT287" s="72">
        <v>0</v>
      </c>
      <c r="AU287" s="72">
        <v>0</v>
      </c>
      <c r="AV287" s="72">
        <v>0</v>
      </c>
      <c r="AW287" s="72">
        <v>0</v>
      </c>
      <c r="AX287" s="72">
        <v>0</v>
      </c>
      <c r="AY287" s="72">
        <v>0</v>
      </c>
      <c r="AZ287" s="72">
        <v>0</v>
      </c>
      <c r="BA287" s="72">
        <v>7098793</v>
      </c>
      <c r="BB287" s="72">
        <v>0</v>
      </c>
      <c r="BC287" s="72">
        <v>0</v>
      </c>
      <c r="BD287" s="72">
        <v>0</v>
      </c>
      <c r="BE287" s="72">
        <v>7098793</v>
      </c>
      <c r="BF287" s="72">
        <v>0</v>
      </c>
      <c r="BG287" s="72">
        <v>0</v>
      </c>
      <c r="BH287" s="72">
        <v>0</v>
      </c>
      <c r="BI287" s="72">
        <v>0</v>
      </c>
      <c r="BJ287" s="72">
        <v>7098793</v>
      </c>
      <c r="BK287" s="72">
        <v>232</v>
      </c>
      <c r="BL287" s="72">
        <v>3508</v>
      </c>
      <c r="BM287" s="72">
        <v>0</v>
      </c>
      <c r="BN287" s="72">
        <v>0</v>
      </c>
      <c r="BO287" s="72">
        <v>0</v>
      </c>
      <c r="BP287" s="72">
        <v>0</v>
      </c>
      <c r="BQ287" s="72">
        <v>0</v>
      </c>
      <c r="BR287" s="72">
        <v>0</v>
      </c>
      <c r="BS287" s="72">
        <v>37566347</v>
      </c>
    </row>
    <row r="288" spans="1:71" x14ac:dyDescent="0.2">
      <c r="A288" t="s">
        <v>558</v>
      </c>
      <c r="B288" t="s">
        <v>1257</v>
      </c>
      <c r="C288" t="s">
        <v>23</v>
      </c>
      <c r="D288" s="72">
        <v>38790000</v>
      </c>
      <c r="E288" s="72">
        <v>810000</v>
      </c>
      <c r="F288" s="72">
        <v>0</v>
      </c>
      <c r="G288" s="72">
        <v>1514000</v>
      </c>
      <c r="H288" s="72">
        <v>150000</v>
      </c>
      <c r="I288" s="72">
        <v>0</v>
      </c>
      <c r="J288" s="72">
        <v>5907000</v>
      </c>
      <c r="K288" s="72">
        <v>675000</v>
      </c>
      <c r="L288" s="72">
        <v>47846000</v>
      </c>
      <c r="M288" s="72">
        <v>0</v>
      </c>
      <c r="N288" s="72">
        <v>0</v>
      </c>
      <c r="O288" s="72">
        <v>0</v>
      </c>
      <c r="P288" s="72">
        <v>520500</v>
      </c>
      <c r="Q288" s="72">
        <v>3000</v>
      </c>
      <c r="R288" s="72">
        <v>523500</v>
      </c>
      <c r="S288" s="72">
        <v>48369500</v>
      </c>
      <c r="T288" s="72">
        <v>27396000</v>
      </c>
      <c r="U288" s="72">
        <v>10800000</v>
      </c>
      <c r="V288" s="72">
        <v>4700000</v>
      </c>
      <c r="W288" s="72">
        <v>1350000</v>
      </c>
      <c r="X288" s="72">
        <v>650000</v>
      </c>
      <c r="Y288" s="72">
        <v>0</v>
      </c>
      <c r="Z288" s="72">
        <v>0</v>
      </c>
      <c r="AA288" s="72">
        <v>0</v>
      </c>
      <c r="AB288" s="72">
        <v>0</v>
      </c>
      <c r="AC288" s="72">
        <v>0</v>
      </c>
      <c r="AD288" s="72">
        <v>0</v>
      </c>
      <c r="AE288" s="72">
        <v>0</v>
      </c>
      <c r="AF288" s="72">
        <v>0</v>
      </c>
      <c r="AG288" s="72">
        <v>904000</v>
      </c>
      <c r="AH288" s="72">
        <v>45800000</v>
      </c>
      <c r="AI288" s="72">
        <v>3000000</v>
      </c>
      <c r="AJ288" s="72">
        <v>0</v>
      </c>
      <c r="AK288" s="72">
        <v>0</v>
      </c>
      <c r="AL288" s="72">
        <v>3000000</v>
      </c>
      <c r="AM288" s="72">
        <v>48800000</v>
      </c>
      <c r="AN288" s="72">
        <v>-430500</v>
      </c>
      <c r="AO288" s="72">
        <v>28210506</v>
      </c>
      <c r="AP288" s="72">
        <v>27780006</v>
      </c>
      <c r="AQ288" s="72">
        <v>100006</v>
      </c>
      <c r="AR288" s="72">
        <v>0</v>
      </c>
      <c r="AS288" s="72">
        <v>0</v>
      </c>
      <c r="AT288" s="72">
        <v>0</v>
      </c>
      <c r="AU288" s="72">
        <v>0</v>
      </c>
      <c r="AV288" s="72">
        <v>0</v>
      </c>
      <c r="AW288" s="72">
        <v>0</v>
      </c>
      <c r="AX288" s="72">
        <v>0</v>
      </c>
      <c r="AY288" s="72">
        <v>0</v>
      </c>
      <c r="AZ288" s="72">
        <v>0</v>
      </c>
      <c r="BA288" s="72">
        <v>27680000</v>
      </c>
      <c r="BB288" s="72">
        <v>0</v>
      </c>
      <c r="BC288" s="72">
        <v>0</v>
      </c>
      <c r="BD288" s="72">
        <v>0</v>
      </c>
      <c r="BE288" s="72">
        <v>27680000</v>
      </c>
      <c r="BF288" s="72">
        <v>0</v>
      </c>
      <c r="BG288" s="72">
        <v>0</v>
      </c>
      <c r="BH288" s="72">
        <v>0</v>
      </c>
      <c r="BI288" s="72">
        <v>0</v>
      </c>
      <c r="BJ288" s="72">
        <v>27680000</v>
      </c>
      <c r="BM288" s="72">
        <v>0</v>
      </c>
      <c r="BN288" s="72">
        <v>0</v>
      </c>
      <c r="BO288" s="72">
        <v>0</v>
      </c>
      <c r="BP288" s="72">
        <v>0</v>
      </c>
      <c r="BQ288" s="72">
        <v>0</v>
      </c>
      <c r="BR288" s="72">
        <v>0</v>
      </c>
      <c r="BS288" s="72">
        <v>48800000</v>
      </c>
    </row>
    <row r="289" spans="1:71" x14ac:dyDescent="0.2">
      <c r="A289" t="s">
        <v>632</v>
      </c>
      <c r="B289" t="s">
        <v>1328</v>
      </c>
      <c r="C289" t="s">
        <v>23</v>
      </c>
      <c r="D289" s="72">
        <v>48134424</v>
      </c>
      <c r="E289" s="72">
        <v>1689500</v>
      </c>
      <c r="F289" s="72">
        <v>0</v>
      </c>
      <c r="G289" s="72">
        <v>3257349</v>
      </c>
      <c r="H289" s="72">
        <v>8500</v>
      </c>
      <c r="I289" s="72">
        <v>0</v>
      </c>
      <c r="J289" s="72">
        <v>13146721</v>
      </c>
      <c r="K289" s="72">
        <v>2094727</v>
      </c>
      <c r="L289" s="72">
        <v>68331221</v>
      </c>
      <c r="M289" s="72">
        <v>0</v>
      </c>
      <c r="N289" s="72">
        <v>0</v>
      </c>
      <c r="O289" s="72">
        <v>0</v>
      </c>
      <c r="P289" s="72">
        <v>110000</v>
      </c>
      <c r="Q289" s="72">
        <v>0</v>
      </c>
      <c r="R289" s="72">
        <v>110000</v>
      </c>
      <c r="S289" s="72">
        <v>68441221</v>
      </c>
      <c r="T289" s="72">
        <v>42166756</v>
      </c>
      <c r="U289" s="72">
        <v>12506486</v>
      </c>
      <c r="V289" s="72">
        <v>6396744</v>
      </c>
      <c r="W289" s="72">
        <v>1340696</v>
      </c>
      <c r="X289" s="72">
        <v>232347</v>
      </c>
      <c r="Y289" s="72">
        <v>0</v>
      </c>
      <c r="Z289" s="72">
        <v>0</v>
      </c>
      <c r="AA289" s="72">
        <v>0</v>
      </c>
      <c r="AB289" s="72">
        <v>0</v>
      </c>
      <c r="AC289" s="72">
        <v>0</v>
      </c>
      <c r="AD289" s="72">
        <v>0</v>
      </c>
      <c r="AE289" s="72">
        <v>0</v>
      </c>
      <c r="AF289" s="72">
        <v>0</v>
      </c>
      <c r="AG289" s="72">
        <v>1002155</v>
      </c>
      <c r="AH289" s="72">
        <v>63645183</v>
      </c>
      <c r="AI289" s="72">
        <v>50000</v>
      </c>
      <c r="AJ289" s="72">
        <v>150000</v>
      </c>
      <c r="AK289" s="72">
        <v>0</v>
      </c>
      <c r="AL289" s="72">
        <v>200000</v>
      </c>
      <c r="AM289" s="72">
        <v>63845183</v>
      </c>
      <c r="AN289" s="72">
        <v>4596038</v>
      </c>
      <c r="AO289" s="72">
        <v>25303783</v>
      </c>
      <c r="AP289" s="72">
        <v>29899821</v>
      </c>
      <c r="AQ289" s="72">
        <v>2500000</v>
      </c>
      <c r="AR289" s="72">
        <v>0</v>
      </c>
      <c r="AS289" s="72">
        <v>0</v>
      </c>
      <c r="AT289" s="72">
        <v>0</v>
      </c>
      <c r="AU289" s="72">
        <v>0</v>
      </c>
      <c r="AV289" s="72">
        <v>0</v>
      </c>
      <c r="AW289" s="72">
        <v>0</v>
      </c>
      <c r="AX289" s="72">
        <v>0</v>
      </c>
      <c r="AY289" s="72">
        <v>0</v>
      </c>
      <c r="AZ289" s="72">
        <v>0</v>
      </c>
      <c r="BA289" s="72">
        <v>27399821</v>
      </c>
      <c r="BB289" s="72">
        <v>0</v>
      </c>
      <c r="BC289" s="72">
        <v>0</v>
      </c>
      <c r="BD289" s="72">
        <v>0</v>
      </c>
      <c r="BE289" s="72">
        <v>27399821</v>
      </c>
      <c r="BF289" s="72">
        <v>0</v>
      </c>
      <c r="BG289" s="72">
        <v>218749</v>
      </c>
      <c r="BH289" s="72">
        <v>218749</v>
      </c>
      <c r="BI289" s="72">
        <v>0</v>
      </c>
      <c r="BJ289" s="72">
        <v>27618570</v>
      </c>
      <c r="BM289" s="72">
        <v>0</v>
      </c>
      <c r="BN289" s="72">
        <v>0</v>
      </c>
      <c r="BO289" s="72">
        <v>0</v>
      </c>
      <c r="BP289" s="72">
        <v>0</v>
      </c>
      <c r="BQ289" s="72">
        <v>0</v>
      </c>
      <c r="BR289" s="72">
        <v>0</v>
      </c>
      <c r="BS289" s="72">
        <v>68441221</v>
      </c>
    </row>
    <row r="290" spans="1:71" x14ac:dyDescent="0.2">
      <c r="A290" t="s">
        <v>124</v>
      </c>
      <c r="B290" t="s">
        <v>845</v>
      </c>
      <c r="C290" t="s">
        <v>47</v>
      </c>
      <c r="D290" s="72">
        <v>1097408</v>
      </c>
      <c r="E290" s="72">
        <v>85356</v>
      </c>
      <c r="F290" s="72">
        <v>1023090</v>
      </c>
      <c r="G290" s="72">
        <v>3662381</v>
      </c>
      <c r="H290" s="72">
        <v>63915</v>
      </c>
      <c r="I290" s="72">
        <v>0</v>
      </c>
      <c r="J290" s="72">
        <v>175044</v>
      </c>
      <c r="K290" s="72">
        <v>899339</v>
      </c>
      <c r="L290" s="72">
        <v>7006533</v>
      </c>
      <c r="O290" s="72">
        <v>0</v>
      </c>
      <c r="P290" s="72">
        <v>0</v>
      </c>
      <c r="Q290" s="72">
        <v>10000</v>
      </c>
      <c r="R290" s="72">
        <v>10000</v>
      </c>
      <c r="S290" s="72">
        <v>7016533</v>
      </c>
      <c r="T290" s="72">
        <v>3815000</v>
      </c>
      <c r="U290" s="72">
        <v>1316865</v>
      </c>
      <c r="V290" s="72">
        <v>1042591</v>
      </c>
      <c r="W290" s="72">
        <v>210000</v>
      </c>
      <c r="X290" s="72">
        <v>50000</v>
      </c>
      <c r="Y290" s="72">
        <v>0</v>
      </c>
      <c r="AG290" s="72">
        <v>166742</v>
      </c>
      <c r="AH290" s="72">
        <v>6601198</v>
      </c>
      <c r="AI290" s="72">
        <v>0</v>
      </c>
      <c r="AJ290" s="72">
        <v>0</v>
      </c>
      <c r="AK290" s="72">
        <v>0</v>
      </c>
      <c r="AL290" s="72">
        <v>0</v>
      </c>
      <c r="AM290" s="72">
        <v>6601198</v>
      </c>
      <c r="AN290" s="72">
        <v>415335</v>
      </c>
      <c r="AO290" s="72">
        <v>1751634</v>
      </c>
      <c r="AP290" s="72">
        <v>2166969</v>
      </c>
      <c r="AQ290" s="72">
        <v>100000</v>
      </c>
      <c r="AR290" s="72">
        <v>0</v>
      </c>
      <c r="AS290" s="72">
        <v>0</v>
      </c>
      <c r="AT290" s="72">
        <v>55498</v>
      </c>
      <c r="AY290" s="72">
        <v>0</v>
      </c>
      <c r="AZ290" s="72">
        <v>55498</v>
      </c>
      <c r="BA290" s="72">
        <v>2011471</v>
      </c>
      <c r="BE290" s="72">
        <v>2011471</v>
      </c>
      <c r="BJ290" s="72">
        <v>2011471</v>
      </c>
      <c r="BS290" s="72">
        <v>7016533</v>
      </c>
    </row>
    <row r="291" spans="1:71" x14ac:dyDescent="0.2">
      <c r="A291" t="s">
        <v>129</v>
      </c>
      <c r="B291" t="s">
        <v>850</v>
      </c>
      <c r="C291" t="s">
        <v>47</v>
      </c>
      <c r="D291" s="72">
        <v>1865000</v>
      </c>
      <c r="E291" s="72">
        <v>138883</v>
      </c>
      <c r="F291" s="72">
        <v>1687211</v>
      </c>
      <c r="G291" s="72">
        <v>4594987</v>
      </c>
      <c r="H291" s="72">
        <v>24480</v>
      </c>
      <c r="I291" s="72">
        <v>0</v>
      </c>
      <c r="J291" s="72">
        <v>332849</v>
      </c>
      <c r="K291" s="72">
        <v>1093012</v>
      </c>
      <c r="L291" s="72">
        <v>9736422</v>
      </c>
      <c r="N291" s="72">
        <v>0</v>
      </c>
      <c r="O291" s="72">
        <v>0</v>
      </c>
      <c r="P291" s="72">
        <v>33862</v>
      </c>
      <c r="Q291" s="72">
        <v>5000</v>
      </c>
      <c r="R291" s="72">
        <v>38862</v>
      </c>
      <c r="S291" s="72">
        <v>9775284</v>
      </c>
      <c r="T291" s="72">
        <v>5181256</v>
      </c>
      <c r="U291" s="72">
        <v>1846610</v>
      </c>
      <c r="V291" s="72">
        <v>1851881</v>
      </c>
      <c r="W291" s="72">
        <v>328184</v>
      </c>
      <c r="X291" s="72">
        <v>180000</v>
      </c>
      <c r="Y291" s="72">
        <v>0</v>
      </c>
      <c r="Z291" s="72">
        <v>0</v>
      </c>
      <c r="AA291" s="72">
        <v>0</v>
      </c>
      <c r="AB291" s="72">
        <v>0</v>
      </c>
      <c r="AC291" s="72">
        <v>0</v>
      </c>
      <c r="AD291" s="72">
        <v>0</v>
      </c>
      <c r="AE291" s="72">
        <v>0</v>
      </c>
      <c r="AF291" s="72">
        <v>0</v>
      </c>
      <c r="AG291" s="72">
        <v>297579</v>
      </c>
      <c r="AH291" s="72">
        <v>9685510</v>
      </c>
      <c r="AI291" s="72">
        <v>0</v>
      </c>
      <c r="AJ291" s="72">
        <v>0</v>
      </c>
      <c r="AK291" s="72">
        <v>0</v>
      </c>
      <c r="AL291" s="72">
        <v>0</v>
      </c>
      <c r="AM291" s="72">
        <v>9685510</v>
      </c>
      <c r="AN291" s="72">
        <v>89774</v>
      </c>
      <c r="AO291" s="72">
        <v>2528080</v>
      </c>
      <c r="AP291" s="72">
        <v>2617854</v>
      </c>
      <c r="AQ291" s="72">
        <v>130000</v>
      </c>
      <c r="AR291" s="72">
        <v>0</v>
      </c>
      <c r="AS291" s="72">
        <v>60000</v>
      </c>
      <c r="AT291" s="72">
        <v>0</v>
      </c>
      <c r="AU291" s="72">
        <v>0</v>
      </c>
      <c r="AV291" s="72">
        <v>0</v>
      </c>
      <c r="AW291" s="72">
        <v>0</v>
      </c>
      <c r="AX291" s="72">
        <v>0</v>
      </c>
      <c r="AY291" s="72">
        <v>0</v>
      </c>
      <c r="AZ291" s="72">
        <v>60000</v>
      </c>
      <c r="BA291" s="72">
        <v>2427854</v>
      </c>
      <c r="BE291" s="72">
        <v>2427854</v>
      </c>
      <c r="BI291" s="72">
        <v>0</v>
      </c>
      <c r="BJ291" s="72">
        <v>2427854</v>
      </c>
      <c r="BK291" s="72">
        <v>64</v>
      </c>
      <c r="BL291" s="72">
        <v>980</v>
      </c>
      <c r="BM291" s="72">
        <v>0</v>
      </c>
      <c r="BN291" s="72">
        <v>0</v>
      </c>
      <c r="BO291" s="72">
        <v>0</v>
      </c>
      <c r="BP291" s="72">
        <v>0</v>
      </c>
      <c r="BQ291" s="72">
        <v>0</v>
      </c>
      <c r="BR291" s="72">
        <v>0</v>
      </c>
      <c r="BS291" s="72">
        <v>9775284</v>
      </c>
    </row>
    <row r="292" spans="1:71" x14ac:dyDescent="0.2">
      <c r="A292" t="s">
        <v>323</v>
      </c>
      <c r="B292" t="s">
        <v>1037</v>
      </c>
      <c r="C292" t="s">
        <v>47</v>
      </c>
      <c r="D292" s="72">
        <v>1185000</v>
      </c>
      <c r="E292" s="72">
        <v>60920</v>
      </c>
      <c r="F292" s="72">
        <v>600000</v>
      </c>
      <c r="G292" s="72">
        <v>2870000</v>
      </c>
      <c r="H292" s="72">
        <v>23500</v>
      </c>
      <c r="I292" s="72">
        <v>0</v>
      </c>
      <c r="J292" s="72">
        <v>201000</v>
      </c>
      <c r="K292" s="72">
        <v>1330780</v>
      </c>
      <c r="L292" s="72">
        <v>6271200</v>
      </c>
      <c r="M292" s="72">
        <v>0</v>
      </c>
      <c r="N292" s="72">
        <v>0</v>
      </c>
      <c r="O292" s="72">
        <v>10000</v>
      </c>
      <c r="S292" s="72">
        <v>6281200</v>
      </c>
      <c r="T292" s="72">
        <v>3335000</v>
      </c>
      <c r="U292" s="72">
        <v>1161458</v>
      </c>
      <c r="V292" s="72">
        <v>1287267</v>
      </c>
      <c r="W292" s="72">
        <v>332600</v>
      </c>
      <c r="X292" s="72">
        <v>96500</v>
      </c>
      <c r="Y292" s="72">
        <v>0</v>
      </c>
      <c r="Z292" s="72">
        <v>0</v>
      </c>
      <c r="AA292" s="72">
        <v>0</v>
      </c>
      <c r="AB292" s="72">
        <v>0</v>
      </c>
      <c r="AC292" s="72">
        <v>0</v>
      </c>
      <c r="AD292" s="72">
        <v>0</v>
      </c>
      <c r="AE292" s="72">
        <v>0</v>
      </c>
      <c r="AF292" s="72">
        <v>0</v>
      </c>
      <c r="AG292" s="72">
        <v>102475</v>
      </c>
      <c r="AH292" s="72">
        <v>6315300</v>
      </c>
      <c r="AI292" s="72">
        <v>12000</v>
      </c>
      <c r="AK292" s="72">
        <v>1000</v>
      </c>
      <c r="AL292" s="72">
        <v>13000</v>
      </c>
      <c r="AM292" s="72">
        <v>6328300</v>
      </c>
      <c r="AO292" s="72">
        <v>2335797</v>
      </c>
      <c r="AP292" s="72">
        <v>2288697</v>
      </c>
      <c r="AQ292" s="72">
        <v>160000</v>
      </c>
      <c r="AR292" s="72">
        <v>0</v>
      </c>
      <c r="AS292" s="72">
        <v>0</v>
      </c>
      <c r="AT292" s="72">
        <v>0</v>
      </c>
      <c r="AU292" s="72">
        <v>0</v>
      </c>
      <c r="AV292" s="72">
        <v>0</v>
      </c>
      <c r="AW292" s="72">
        <v>0</v>
      </c>
      <c r="AX292" s="72">
        <v>0</v>
      </c>
      <c r="AY292" s="72">
        <v>0</v>
      </c>
      <c r="AZ292" s="72">
        <v>0</v>
      </c>
      <c r="BA292" s="72">
        <v>2128697</v>
      </c>
      <c r="BB292" s="72">
        <v>0</v>
      </c>
      <c r="BC292" s="72">
        <v>0</v>
      </c>
      <c r="BE292" s="72">
        <v>2128697</v>
      </c>
      <c r="BF292" s="72">
        <v>0</v>
      </c>
      <c r="BG292" s="72">
        <v>0</v>
      </c>
      <c r="BI292" s="72">
        <v>0</v>
      </c>
      <c r="BJ292" s="72">
        <v>2128697</v>
      </c>
      <c r="BM292" s="72">
        <v>0</v>
      </c>
      <c r="BN292" s="72">
        <v>0</v>
      </c>
      <c r="BO292" s="72">
        <v>0</v>
      </c>
      <c r="BP292" s="72">
        <v>0</v>
      </c>
      <c r="BQ292" s="72">
        <v>0</v>
      </c>
      <c r="BR292" s="72">
        <v>0</v>
      </c>
      <c r="BS292" s="72">
        <v>6328300</v>
      </c>
    </row>
    <row r="293" spans="1:71" x14ac:dyDescent="0.2">
      <c r="A293" t="s">
        <v>490</v>
      </c>
      <c r="B293" t="s">
        <v>1194</v>
      </c>
      <c r="C293" t="s">
        <v>47</v>
      </c>
      <c r="D293" s="72">
        <v>1182116</v>
      </c>
      <c r="E293" s="72">
        <v>49656</v>
      </c>
      <c r="F293" s="72">
        <v>1014804</v>
      </c>
      <c r="G293" s="72">
        <v>4284208</v>
      </c>
      <c r="H293" s="72">
        <v>30000</v>
      </c>
      <c r="I293" s="72">
        <v>0</v>
      </c>
      <c r="J293" s="72">
        <v>197885</v>
      </c>
      <c r="K293" s="72">
        <v>406657</v>
      </c>
      <c r="L293" s="72">
        <v>7165326</v>
      </c>
      <c r="M293" s="72">
        <v>0</v>
      </c>
      <c r="N293" s="72">
        <v>0</v>
      </c>
      <c r="O293" s="72">
        <v>0</v>
      </c>
      <c r="P293" s="72">
        <v>0</v>
      </c>
      <c r="Q293" s="72">
        <v>0</v>
      </c>
      <c r="R293" s="72">
        <v>0</v>
      </c>
      <c r="S293" s="72">
        <v>7165326</v>
      </c>
      <c r="T293" s="72">
        <v>3690800</v>
      </c>
      <c r="U293" s="72">
        <v>1511780</v>
      </c>
      <c r="V293" s="72">
        <v>1483519</v>
      </c>
      <c r="W293" s="72">
        <v>203000</v>
      </c>
      <c r="X293" s="72">
        <v>55000</v>
      </c>
      <c r="Y293" s="72">
        <v>0</v>
      </c>
      <c r="AG293" s="72">
        <v>198000</v>
      </c>
      <c r="AH293" s="72">
        <v>7142099</v>
      </c>
      <c r="AI293" s="72">
        <v>0</v>
      </c>
      <c r="AJ293" s="72">
        <v>0</v>
      </c>
      <c r="AK293" s="72">
        <v>0</v>
      </c>
      <c r="AL293" s="72">
        <v>0</v>
      </c>
      <c r="AM293" s="72">
        <v>7142099</v>
      </c>
      <c r="AN293" s="72">
        <v>23227</v>
      </c>
      <c r="AO293" s="72">
        <v>2117264</v>
      </c>
      <c r="AP293" s="72">
        <v>2140491</v>
      </c>
      <c r="AQ293" s="72">
        <v>148000</v>
      </c>
      <c r="AR293" s="72">
        <v>0</v>
      </c>
      <c r="AS293" s="72">
        <v>0</v>
      </c>
      <c r="AT293" s="72">
        <v>15614</v>
      </c>
      <c r="AW293" s="72">
        <v>0</v>
      </c>
      <c r="AY293" s="72">
        <v>0</v>
      </c>
      <c r="AZ293" s="72">
        <v>15614</v>
      </c>
      <c r="BA293" s="72">
        <v>1976877</v>
      </c>
      <c r="BE293" s="72">
        <v>1976877</v>
      </c>
      <c r="BJ293" s="72">
        <v>1976877</v>
      </c>
      <c r="BS293" s="72">
        <v>7165326</v>
      </c>
    </row>
    <row r="294" spans="1:71" x14ac:dyDescent="0.2">
      <c r="A294" t="s">
        <v>689</v>
      </c>
      <c r="B294" t="s">
        <v>1379</v>
      </c>
      <c r="C294" t="s">
        <v>47</v>
      </c>
      <c r="D294" s="72">
        <v>1300379</v>
      </c>
      <c r="E294" s="72">
        <v>314463</v>
      </c>
      <c r="F294" s="72">
        <v>1100000</v>
      </c>
      <c r="G294" s="72">
        <v>2801721</v>
      </c>
      <c r="H294" s="72">
        <v>2550</v>
      </c>
      <c r="I294" s="72">
        <v>0</v>
      </c>
      <c r="J294" s="72">
        <v>232984</v>
      </c>
      <c r="K294" s="72">
        <v>714910</v>
      </c>
      <c r="L294" s="72">
        <v>6467007</v>
      </c>
      <c r="M294" s="72">
        <v>0</v>
      </c>
      <c r="N294" s="72">
        <v>0</v>
      </c>
      <c r="O294" s="72">
        <v>0</v>
      </c>
      <c r="P294" s="72">
        <v>0</v>
      </c>
      <c r="Q294" s="72">
        <v>60156</v>
      </c>
      <c r="R294" s="72">
        <v>60156</v>
      </c>
      <c r="S294" s="72">
        <v>6527163</v>
      </c>
      <c r="T294" s="72">
        <v>3414299</v>
      </c>
      <c r="U294" s="72">
        <v>1418212</v>
      </c>
      <c r="V294" s="72">
        <v>1031216</v>
      </c>
      <c r="W294" s="72">
        <v>249238</v>
      </c>
      <c r="X294" s="72">
        <v>96500</v>
      </c>
      <c r="Y294" s="72">
        <v>0</v>
      </c>
      <c r="Z294" s="72">
        <v>0</v>
      </c>
      <c r="AA294" s="72">
        <v>0</v>
      </c>
      <c r="AB294" s="72">
        <v>0</v>
      </c>
      <c r="AC294" s="72">
        <v>0</v>
      </c>
      <c r="AD294" s="72">
        <v>0</v>
      </c>
      <c r="AE294" s="72">
        <v>48000</v>
      </c>
      <c r="AF294" s="72">
        <v>80177</v>
      </c>
      <c r="AG294" s="72">
        <v>185550</v>
      </c>
      <c r="AH294" s="72">
        <v>6523192</v>
      </c>
      <c r="AI294" s="72">
        <v>0</v>
      </c>
      <c r="AJ294" s="72">
        <v>15000</v>
      </c>
      <c r="AK294" s="72">
        <v>0</v>
      </c>
      <c r="AL294" s="72">
        <v>15000</v>
      </c>
      <c r="AM294" s="72">
        <v>6538192</v>
      </c>
      <c r="AN294" s="72">
        <v>-11029</v>
      </c>
      <c r="AO294" s="72">
        <v>2092283</v>
      </c>
      <c r="AP294" s="72">
        <v>2081254</v>
      </c>
      <c r="AQ294" s="72">
        <v>75000</v>
      </c>
      <c r="AR294" s="72">
        <v>0</v>
      </c>
      <c r="AS294" s="72">
        <v>93263</v>
      </c>
      <c r="AT294" s="72">
        <v>35675</v>
      </c>
      <c r="AU294" s="72">
        <v>0</v>
      </c>
      <c r="AV294" s="72">
        <v>0</v>
      </c>
      <c r="AW294" s="72">
        <v>0</v>
      </c>
      <c r="AX294" s="72">
        <v>0</v>
      </c>
      <c r="AY294" s="72">
        <v>50991</v>
      </c>
      <c r="AZ294" s="72">
        <v>179929</v>
      </c>
      <c r="BA294" s="72">
        <v>1826325</v>
      </c>
      <c r="BB294" s="72">
        <v>0</v>
      </c>
      <c r="BC294" s="72">
        <v>0</v>
      </c>
      <c r="BD294" s="72">
        <v>0</v>
      </c>
      <c r="BE294" s="72">
        <v>1826325</v>
      </c>
      <c r="BF294" s="72">
        <v>0</v>
      </c>
      <c r="BG294" s="72">
        <v>0</v>
      </c>
      <c r="BH294" s="72">
        <v>0</v>
      </c>
      <c r="BI294" s="72">
        <v>0</v>
      </c>
      <c r="BJ294" s="72">
        <v>1826325</v>
      </c>
      <c r="BK294" s="72">
        <v>54</v>
      </c>
      <c r="BL294" s="72">
        <v>672</v>
      </c>
      <c r="BM294" s="72">
        <v>0</v>
      </c>
      <c r="BN294" s="72">
        <v>0</v>
      </c>
      <c r="BO294" s="72">
        <v>0</v>
      </c>
      <c r="BP294" s="72">
        <v>0</v>
      </c>
      <c r="BQ294" s="72">
        <v>0</v>
      </c>
      <c r="BR294" s="72">
        <v>0</v>
      </c>
      <c r="BS294" s="72">
        <v>6538192</v>
      </c>
    </row>
    <row r="295" spans="1:71" x14ac:dyDescent="0.2">
      <c r="A295" t="s">
        <v>142</v>
      </c>
      <c r="B295" t="s">
        <v>863</v>
      </c>
      <c r="C295" t="s">
        <v>74</v>
      </c>
      <c r="D295" s="72">
        <v>1994647</v>
      </c>
      <c r="E295" s="72">
        <v>338113</v>
      </c>
      <c r="F295" s="72">
        <v>825000</v>
      </c>
      <c r="G295" s="72">
        <v>2077203</v>
      </c>
      <c r="H295" s="72">
        <v>0</v>
      </c>
      <c r="I295" s="72">
        <v>0</v>
      </c>
      <c r="J295" s="72">
        <v>1033151</v>
      </c>
      <c r="K295" s="72">
        <v>1310125</v>
      </c>
      <c r="L295" s="72">
        <v>7578239</v>
      </c>
      <c r="M295" s="72">
        <v>0</v>
      </c>
      <c r="N295" s="72">
        <v>0</v>
      </c>
      <c r="O295" s="72">
        <v>0</v>
      </c>
      <c r="P295" s="72">
        <v>0</v>
      </c>
      <c r="Q295" s="72">
        <v>500</v>
      </c>
      <c r="R295" s="72">
        <v>500</v>
      </c>
      <c r="S295" s="72">
        <v>7578739</v>
      </c>
      <c r="T295" s="72">
        <v>4359625</v>
      </c>
      <c r="U295" s="72">
        <v>1514790</v>
      </c>
      <c r="V295" s="72">
        <v>1085508</v>
      </c>
      <c r="W295" s="72">
        <v>226368</v>
      </c>
      <c r="X295" s="72">
        <v>145285</v>
      </c>
      <c r="Y295" s="72">
        <v>0</v>
      </c>
      <c r="Z295" s="72">
        <v>0</v>
      </c>
      <c r="AA295" s="72">
        <v>0</v>
      </c>
      <c r="AB295" s="72">
        <v>0</v>
      </c>
      <c r="AC295" s="72">
        <v>0</v>
      </c>
      <c r="AD295" s="72">
        <v>0</v>
      </c>
      <c r="AE295" s="72">
        <v>0</v>
      </c>
      <c r="AF295" s="72">
        <v>0</v>
      </c>
      <c r="AG295" s="72">
        <v>178130</v>
      </c>
      <c r="AH295" s="72">
        <v>7509706</v>
      </c>
      <c r="AI295" s="72">
        <v>104000</v>
      </c>
      <c r="AJ295" s="72">
        <v>0</v>
      </c>
      <c r="AK295" s="72">
        <v>0</v>
      </c>
      <c r="AL295" s="72">
        <v>104000</v>
      </c>
      <c r="AM295" s="72">
        <v>7613706</v>
      </c>
      <c r="AN295" s="72">
        <v>-34967</v>
      </c>
      <c r="AO295" s="72">
        <v>3812455</v>
      </c>
      <c r="AP295" s="72">
        <v>3777488</v>
      </c>
      <c r="AQ295" s="72">
        <v>0</v>
      </c>
      <c r="AR295" s="72">
        <v>0</v>
      </c>
      <c r="AS295" s="72">
        <v>0</v>
      </c>
      <c r="AT295" s="72">
        <v>0</v>
      </c>
      <c r="AU295" s="72">
        <v>0</v>
      </c>
      <c r="AV295" s="72">
        <v>0</v>
      </c>
      <c r="AW295" s="72">
        <v>0</v>
      </c>
      <c r="AX295" s="72">
        <v>0</v>
      </c>
      <c r="AY295" s="72">
        <v>1056</v>
      </c>
      <c r="AZ295" s="72">
        <v>1056</v>
      </c>
      <c r="BA295" s="72">
        <v>3776432</v>
      </c>
      <c r="BB295" s="72">
        <v>0</v>
      </c>
      <c r="BC295" s="72">
        <v>0</v>
      </c>
      <c r="BD295" s="72">
        <v>0</v>
      </c>
      <c r="BE295" s="72">
        <v>3776432</v>
      </c>
      <c r="BF295" s="72">
        <v>0</v>
      </c>
      <c r="BG295" s="72">
        <v>0</v>
      </c>
      <c r="BH295" s="72">
        <v>0</v>
      </c>
      <c r="BI295" s="72">
        <v>0</v>
      </c>
      <c r="BJ295" s="72">
        <v>3776432</v>
      </c>
      <c r="BK295" s="72">
        <v>54</v>
      </c>
      <c r="BL295" s="72">
        <v>559</v>
      </c>
      <c r="BM295" s="72">
        <v>0</v>
      </c>
      <c r="BN295" s="72">
        <v>0</v>
      </c>
      <c r="BO295" s="72">
        <v>0</v>
      </c>
      <c r="BP295" s="72">
        <v>0</v>
      </c>
      <c r="BQ295" s="72">
        <v>0</v>
      </c>
      <c r="BR295" s="72">
        <v>0</v>
      </c>
      <c r="BS295" s="72">
        <v>7613706</v>
      </c>
    </row>
    <row r="296" spans="1:71" x14ac:dyDescent="0.2">
      <c r="A296" t="s">
        <v>213</v>
      </c>
      <c r="B296" t="s">
        <v>931</v>
      </c>
      <c r="C296" t="s">
        <v>74</v>
      </c>
      <c r="D296" s="72">
        <v>2756395</v>
      </c>
      <c r="E296" s="72">
        <v>0</v>
      </c>
      <c r="F296" s="72">
        <v>831385</v>
      </c>
      <c r="G296" s="72">
        <v>6004248</v>
      </c>
      <c r="H296" s="72">
        <v>46466</v>
      </c>
      <c r="I296" s="72">
        <v>0</v>
      </c>
      <c r="J296" s="72">
        <v>444279</v>
      </c>
      <c r="K296" s="72">
        <v>527827</v>
      </c>
      <c r="O296" s="72">
        <v>0</v>
      </c>
      <c r="P296" s="72">
        <v>0</v>
      </c>
      <c r="Q296" s="72">
        <v>182347</v>
      </c>
      <c r="R296" s="72">
        <v>182347</v>
      </c>
      <c r="S296" s="72">
        <v>10792947</v>
      </c>
      <c r="T296" s="72">
        <v>5814276</v>
      </c>
      <c r="U296" s="72">
        <v>2437412</v>
      </c>
      <c r="V296" s="72">
        <v>1743921</v>
      </c>
      <c r="W296" s="72">
        <v>466808</v>
      </c>
      <c r="X296" s="72">
        <v>250000</v>
      </c>
      <c r="AG296" s="72">
        <v>246366</v>
      </c>
      <c r="AH296" s="72">
        <v>10958783</v>
      </c>
      <c r="AI296" s="72">
        <v>0</v>
      </c>
      <c r="AJ296" s="72">
        <v>0</v>
      </c>
      <c r="AK296" s="72">
        <v>0</v>
      </c>
      <c r="AL296" s="72">
        <v>0</v>
      </c>
      <c r="AM296" s="72">
        <v>10958783</v>
      </c>
      <c r="AN296" s="72">
        <v>-165836</v>
      </c>
      <c r="AO296" s="72">
        <v>2408687</v>
      </c>
      <c r="AP296" s="72">
        <v>2242851</v>
      </c>
      <c r="AQ296" s="72">
        <v>313806</v>
      </c>
      <c r="BA296" s="72">
        <v>1929045</v>
      </c>
      <c r="BB296" s="72">
        <v>0</v>
      </c>
      <c r="BC296" s="72">
        <v>0</v>
      </c>
      <c r="BD296" s="72">
        <v>0</v>
      </c>
      <c r="BE296" s="72">
        <v>1929045</v>
      </c>
      <c r="BF296" s="72">
        <v>0</v>
      </c>
      <c r="BG296" s="72">
        <v>0</v>
      </c>
      <c r="BH296" s="72">
        <v>0</v>
      </c>
      <c r="BI296" s="72">
        <v>0</v>
      </c>
      <c r="BJ296" s="72">
        <v>1929045</v>
      </c>
      <c r="BS296" s="72">
        <v>10958783</v>
      </c>
    </row>
    <row r="297" spans="1:71" x14ac:dyDescent="0.2">
      <c r="A297" t="s">
        <v>533</v>
      </c>
      <c r="B297" t="s">
        <v>1236</v>
      </c>
      <c r="C297" t="s">
        <v>74</v>
      </c>
      <c r="D297" s="72">
        <v>3981895</v>
      </c>
      <c r="E297" s="72">
        <v>1746275</v>
      </c>
      <c r="F297" s="72">
        <v>0</v>
      </c>
      <c r="G297" s="72">
        <v>2289361</v>
      </c>
      <c r="H297" s="72">
        <v>7168</v>
      </c>
      <c r="I297" s="72">
        <v>0</v>
      </c>
      <c r="J297" s="72">
        <v>959538</v>
      </c>
      <c r="K297" s="72">
        <v>1117205</v>
      </c>
      <c r="L297" s="72">
        <v>10101442</v>
      </c>
      <c r="M297" s="72">
        <v>0</v>
      </c>
      <c r="N297" s="72">
        <v>0</v>
      </c>
      <c r="O297" s="72">
        <v>0</v>
      </c>
      <c r="P297" s="72">
        <v>0</v>
      </c>
      <c r="Q297" s="72">
        <v>30000</v>
      </c>
      <c r="R297" s="72">
        <v>30000</v>
      </c>
      <c r="S297" s="72">
        <v>10131442</v>
      </c>
      <c r="T297" s="72">
        <v>5355812</v>
      </c>
      <c r="U297" s="72">
        <v>1962953</v>
      </c>
      <c r="V297" s="72">
        <v>2041689</v>
      </c>
      <c r="W297" s="72">
        <v>309800</v>
      </c>
      <c r="X297" s="72">
        <v>150000</v>
      </c>
      <c r="Y297" s="72">
        <v>0</v>
      </c>
      <c r="Z297" s="72">
        <v>0</v>
      </c>
      <c r="AA297" s="72">
        <v>0</v>
      </c>
      <c r="AB297" s="72">
        <v>0</v>
      </c>
      <c r="AC297" s="72">
        <v>0</v>
      </c>
      <c r="AD297" s="72">
        <v>0</v>
      </c>
      <c r="AE297" s="72">
        <v>0</v>
      </c>
      <c r="AF297" s="72">
        <v>0</v>
      </c>
      <c r="AG297" s="72">
        <v>298106</v>
      </c>
      <c r="AH297" s="72">
        <v>10118360</v>
      </c>
      <c r="AI297" s="72">
        <v>31100</v>
      </c>
      <c r="AJ297" s="72">
        <v>0</v>
      </c>
      <c r="AK297" s="72">
        <v>0</v>
      </c>
      <c r="AL297" s="72">
        <v>31100</v>
      </c>
      <c r="AM297" s="72">
        <v>10149460</v>
      </c>
      <c r="AN297" s="72">
        <v>-18018</v>
      </c>
      <c r="AO297" s="72">
        <v>3337852</v>
      </c>
      <c r="AP297" s="72">
        <v>3319834</v>
      </c>
      <c r="AQ297" s="72">
        <v>150000</v>
      </c>
      <c r="AR297" s="72">
        <v>0</v>
      </c>
      <c r="AS297" s="72">
        <v>0</v>
      </c>
      <c r="AT297" s="72">
        <v>0</v>
      </c>
      <c r="AU297" s="72">
        <v>0</v>
      </c>
      <c r="AV297" s="72">
        <v>0</v>
      </c>
      <c r="AW297" s="72">
        <v>0</v>
      </c>
      <c r="AX297" s="72">
        <v>0</v>
      </c>
      <c r="AY297" s="72">
        <v>0</v>
      </c>
      <c r="AZ297" s="72">
        <v>0</v>
      </c>
      <c r="BA297" s="72">
        <v>3169834</v>
      </c>
      <c r="BB297" s="72">
        <v>0</v>
      </c>
      <c r="BC297" s="72">
        <v>0</v>
      </c>
      <c r="BD297" s="72">
        <v>0</v>
      </c>
      <c r="BE297" s="72">
        <v>3169834</v>
      </c>
      <c r="BF297" s="72">
        <v>0</v>
      </c>
      <c r="BG297" s="72">
        <v>326500</v>
      </c>
      <c r="BH297" s="72">
        <v>326500</v>
      </c>
      <c r="BI297" s="72">
        <v>0</v>
      </c>
      <c r="BJ297" s="72">
        <v>3496334</v>
      </c>
      <c r="BK297" s="72">
        <v>109</v>
      </c>
      <c r="BL297" s="72">
        <v>1009</v>
      </c>
      <c r="BM297" s="72">
        <v>0</v>
      </c>
      <c r="BN297" s="72">
        <v>0</v>
      </c>
      <c r="BO297" s="72">
        <v>0</v>
      </c>
      <c r="BP297" s="72">
        <v>0</v>
      </c>
      <c r="BQ297" s="72">
        <v>0</v>
      </c>
      <c r="BR297" s="72">
        <v>0</v>
      </c>
      <c r="BS297" s="72">
        <v>10149460</v>
      </c>
    </row>
    <row r="298" spans="1:71" x14ac:dyDescent="0.2">
      <c r="A298" t="s">
        <v>167</v>
      </c>
      <c r="B298" t="s">
        <v>888</v>
      </c>
      <c r="C298" t="s">
        <v>34</v>
      </c>
      <c r="D298" s="72">
        <v>15556188</v>
      </c>
      <c r="E298" s="72">
        <v>727456</v>
      </c>
      <c r="F298" s="72">
        <v>5126283</v>
      </c>
      <c r="G298" s="72">
        <v>4953430</v>
      </c>
      <c r="H298" s="72">
        <v>24496</v>
      </c>
      <c r="I298" s="72">
        <v>0</v>
      </c>
      <c r="J298" s="72">
        <v>2289499</v>
      </c>
      <c r="K298" s="72">
        <v>872993</v>
      </c>
      <c r="L298" s="72">
        <v>29550345</v>
      </c>
      <c r="M298" s="72">
        <v>0</v>
      </c>
      <c r="N298" s="72">
        <v>0</v>
      </c>
      <c r="O298" s="72">
        <v>0</v>
      </c>
      <c r="P298" s="72">
        <v>0</v>
      </c>
      <c r="Q298" s="72">
        <v>0</v>
      </c>
      <c r="R298" s="72">
        <v>0</v>
      </c>
      <c r="S298" s="72">
        <v>29550345</v>
      </c>
      <c r="T298" s="72">
        <v>15939347</v>
      </c>
      <c r="U298" s="72">
        <v>7197489</v>
      </c>
      <c r="V298" s="72">
        <v>4772651</v>
      </c>
      <c r="W298" s="72">
        <v>883893</v>
      </c>
      <c r="X298" s="72">
        <v>311962</v>
      </c>
      <c r="Y298" s="72">
        <v>0</v>
      </c>
      <c r="Z298" s="72">
        <v>0</v>
      </c>
      <c r="AA298" s="72">
        <v>0</v>
      </c>
      <c r="AB298" s="72">
        <v>0</v>
      </c>
      <c r="AC298" s="72">
        <v>0</v>
      </c>
      <c r="AD298" s="72">
        <v>0</v>
      </c>
      <c r="AE298" s="72">
        <v>0</v>
      </c>
      <c r="AF298" s="72">
        <v>0</v>
      </c>
      <c r="AG298" s="72">
        <v>525992</v>
      </c>
      <c r="AH298" s="72">
        <v>29631334</v>
      </c>
      <c r="AI298" s="72">
        <v>0</v>
      </c>
      <c r="AJ298" s="72">
        <v>0</v>
      </c>
      <c r="AK298" s="72">
        <v>0</v>
      </c>
      <c r="AL298" s="72">
        <v>0</v>
      </c>
      <c r="AM298" s="72">
        <v>29631334</v>
      </c>
      <c r="AN298" s="72">
        <v>-80989</v>
      </c>
      <c r="AO298" s="72">
        <v>7507116</v>
      </c>
      <c r="AP298" s="72">
        <v>7426127</v>
      </c>
      <c r="AQ298" s="72">
        <v>154845</v>
      </c>
      <c r="AR298" s="72">
        <v>0</v>
      </c>
      <c r="AS298" s="72">
        <v>0</v>
      </c>
      <c r="AT298" s="72">
        <v>0</v>
      </c>
      <c r="AU298" s="72">
        <v>0</v>
      </c>
      <c r="AV298" s="72">
        <v>0</v>
      </c>
      <c r="AW298" s="72">
        <v>0</v>
      </c>
      <c r="AX298" s="72">
        <v>0</v>
      </c>
      <c r="AY298" s="72">
        <v>0</v>
      </c>
      <c r="AZ298" s="72">
        <v>0</v>
      </c>
      <c r="BA298" s="72">
        <v>7271282</v>
      </c>
      <c r="BB298" s="72">
        <v>0</v>
      </c>
      <c r="BC298" s="72">
        <v>0</v>
      </c>
      <c r="BD298" s="72">
        <v>0</v>
      </c>
      <c r="BE298" s="72">
        <v>7271282</v>
      </c>
      <c r="BF298" s="72">
        <v>0</v>
      </c>
      <c r="BG298" s="72">
        <v>0</v>
      </c>
      <c r="BH298" s="72">
        <v>0</v>
      </c>
      <c r="BI298" s="72">
        <v>0</v>
      </c>
      <c r="BJ298" s="72">
        <v>7271282</v>
      </c>
      <c r="BM298" s="72">
        <v>0</v>
      </c>
      <c r="BN298" s="72">
        <v>0</v>
      </c>
      <c r="BO298" s="72">
        <v>0</v>
      </c>
      <c r="BP298" s="72">
        <v>0</v>
      </c>
      <c r="BQ298" s="72">
        <v>0</v>
      </c>
      <c r="BR298" s="72">
        <v>0</v>
      </c>
      <c r="BS298" s="72">
        <v>29631334</v>
      </c>
    </row>
    <row r="299" spans="1:71" x14ac:dyDescent="0.2">
      <c r="A299" t="s">
        <v>193</v>
      </c>
      <c r="B299" t="s">
        <v>912</v>
      </c>
      <c r="C299" t="s">
        <v>34</v>
      </c>
      <c r="D299" s="72">
        <v>8883132</v>
      </c>
      <c r="E299" s="72">
        <v>405139</v>
      </c>
      <c r="F299" s="72">
        <v>5618826</v>
      </c>
      <c r="G299" s="72">
        <v>4562812</v>
      </c>
      <c r="H299" s="72">
        <v>78423</v>
      </c>
      <c r="I299" s="72">
        <v>0</v>
      </c>
      <c r="J299" s="72">
        <v>1333063</v>
      </c>
      <c r="K299" s="72">
        <v>810568</v>
      </c>
      <c r="L299" s="72">
        <v>21691963</v>
      </c>
      <c r="M299" s="72">
        <v>0</v>
      </c>
      <c r="N299" s="72">
        <v>0</v>
      </c>
      <c r="O299" s="72">
        <v>0</v>
      </c>
      <c r="P299" s="72">
        <v>10388</v>
      </c>
      <c r="Q299" s="72">
        <v>267267</v>
      </c>
      <c r="R299" s="72">
        <v>277655</v>
      </c>
      <c r="S299" s="72">
        <v>21969618</v>
      </c>
      <c r="T299" s="72">
        <v>10903061</v>
      </c>
      <c r="U299" s="72">
        <v>4641959</v>
      </c>
      <c r="V299" s="72">
        <v>2686237</v>
      </c>
      <c r="W299" s="72">
        <v>880058</v>
      </c>
      <c r="X299" s="72">
        <v>0</v>
      </c>
      <c r="Y299" s="72">
        <v>0</v>
      </c>
      <c r="Z299" s="72">
        <v>0</v>
      </c>
      <c r="AA299" s="72">
        <v>0</v>
      </c>
      <c r="AB299" s="72">
        <v>0</v>
      </c>
      <c r="AC299" s="72">
        <v>0</v>
      </c>
      <c r="AD299" s="72">
        <v>0</v>
      </c>
      <c r="AE299" s="72">
        <v>0</v>
      </c>
      <c r="AF299" s="72">
        <v>0</v>
      </c>
      <c r="AG299" s="72">
        <v>1975224</v>
      </c>
      <c r="AH299" s="72">
        <v>21086539</v>
      </c>
      <c r="AI299" s="72">
        <v>0</v>
      </c>
      <c r="AJ299" s="72">
        <v>0</v>
      </c>
      <c r="AK299" s="72">
        <v>0</v>
      </c>
      <c r="AL299" s="72">
        <v>0</v>
      </c>
      <c r="AM299" s="72">
        <v>21086539</v>
      </c>
      <c r="AN299" s="72">
        <v>883079</v>
      </c>
      <c r="AO299" s="72">
        <v>4179545</v>
      </c>
      <c r="AP299" s="72">
        <v>5062624</v>
      </c>
      <c r="AQ299" s="72">
        <v>311076</v>
      </c>
      <c r="AR299" s="72">
        <v>0</v>
      </c>
      <c r="AS299" s="72">
        <v>0</v>
      </c>
      <c r="AT299" s="72">
        <v>0</v>
      </c>
      <c r="AU299" s="72">
        <v>0</v>
      </c>
      <c r="AV299" s="72">
        <v>0</v>
      </c>
      <c r="AW299" s="72">
        <v>0</v>
      </c>
      <c r="AX299" s="72">
        <v>0</v>
      </c>
      <c r="AY299" s="72">
        <v>0</v>
      </c>
      <c r="AZ299" s="72">
        <v>0</v>
      </c>
      <c r="BA299" s="72">
        <v>4751548</v>
      </c>
      <c r="BB299" s="72">
        <v>0</v>
      </c>
      <c r="BC299" s="72">
        <v>0</v>
      </c>
      <c r="BD299" s="72">
        <v>0</v>
      </c>
      <c r="BE299" s="72">
        <v>4751548</v>
      </c>
      <c r="BF299" s="72">
        <v>0</v>
      </c>
      <c r="BG299" s="72">
        <v>0</v>
      </c>
      <c r="BH299" s="72">
        <v>0</v>
      </c>
      <c r="BI299" s="72">
        <v>0</v>
      </c>
      <c r="BJ299" s="72">
        <v>4751548</v>
      </c>
      <c r="BM299" s="72">
        <v>0</v>
      </c>
      <c r="BN299" s="72">
        <v>0</v>
      </c>
      <c r="BO299" s="72">
        <v>0</v>
      </c>
      <c r="BP299" s="72">
        <v>0</v>
      </c>
      <c r="BQ299" s="72">
        <v>0</v>
      </c>
      <c r="BR299" s="72">
        <v>0</v>
      </c>
      <c r="BS299" s="72">
        <v>21969618</v>
      </c>
    </row>
    <row r="300" spans="1:71" x14ac:dyDescent="0.2">
      <c r="A300" t="s">
        <v>555</v>
      </c>
      <c r="B300" t="s">
        <v>1254</v>
      </c>
      <c r="C300" t="s">
        <v>34</v>
      </c>
      <c r="D300" s="72">
        <v>119157773</v>
      </c>
      <c r="E300" s="72">
        <v>5755278</v>
      </c>
      <c r="F300" s="72">
        <v>0</v>
      </c>
      <c r="G300" s="72">
        <v>8393849</v>
      </c>
      <c r="H300" s="72">
        <v>19675</v>
      </c>
      <c r="I300" s="72">
        <v>0</v>
      </c>
      <c r="J300" s="72">
        <v>15399371</v>
      </c>
      <c r="K300" s="72">
        <v>18588304</v>
      </c>
      <c r="L300" s="72">
        <v>167314250</v>
      </c>
      <c r="M300" s="72">
        <v>0</v>
      </c>
      <c r="N300" s="72">
        <v>0</v>
      </c>
      <c r="O300" s="72">
        <v>0</v>
      </c>
      <c r="P300" s="72">
        <v>0</v>
      </c>
      <c r="Q300" s="72">
        <v>25000</v>
      </c>
      <c r="R300" s="72">
        <v>25000</v>
      </c>
      <c r="S300" s="72">
        <v>167339250</v>
      </c>
      <c r="T300" s="72">
        <v>100284852</v>
      </c>
      <c r="U300" s="72">
        <v>38232815</v>
      </c>
      <c r="V300" s="72">
        <v>12735600</v>
      </c>
      <c r="W300" s="72">
        <v>5221350</v>
      </c>
      <c r="X300" s="72">
        <v>275700</v>
      </c>
      <c r="Y300" s="72">
        <v>0</v>
      </c>
      <c r="Z300" s="72">
        <v>0</v>
      </c>
      <c r="AA300" s="72">
        <v>0</v>
      </c>
      <c r="AB300" s="72">
        <v>0</v>
      </c>
      <c r="AC300" s="72">
        <v>0</v>
      </c>
      <c r="AD300" s="72">
        <v>0</v>
      </c>
      <c r="AE300" s="72">
        <v>0</v>
      </c>
      <c r="AF300" s="72">
        <v>0</v>
      </c>
      <c r="AG300" s="72">
        <v>7885164</v>
      </c>
      <c r="AH300" s="72">
        <v>164635481</v>
      </c>
      <c r="AI300" s="72">
        <v>0</v>
      </c>
      <c r="AJ300" s="72">
        <v>0</v>
      </c>
      <c r="AK300" s="72">
        <v>0</v>
      </c>
      <c r="AL300" s="72">
        <v>0</v>
      </c>
      <c r="AM300" s="72">
        <v>164635481</v>
      </c>
      <c r="AN300" s="72">
        <v>2703769</v>
      </c>
      <c r="AO300" s="72">
        <v>41745030</v>
      </c>
      <c r="AP300" s="72">
        <v>44448799</v>
      </c>
      <c r="AQ300" s="72">
        <v>2600000</v>
      </c>
      <c r="AR300" s="72">
        <v>0</v>
      </c>
      <c r="AS300" s="72">
        <v>0</v>
      </c>
      <c r="AT300" s="72">
        <v>0</v>
      </c>
      <c r="AU300" s="72">
        <v>0</v>
      </c>
      <c r="AV300" s="72">
        <v>0</v>
      </c>
      <c r="AW300" s="72">
        <v>0</v>
      </c>
      <c r="AX300" s="72">
        <v>0</v>
      </c>
      <c r="AY300" s="72">
        <v>0</v>
      </c>
      <c r="AZ300" s="72">
        <v>0</v>
      </c>
      <c r="BA300" s="72">
        <v>41848799</v>
      </c>
      <c r="BB300" s="72">
        <v>0</v>
      </c>
      <c r="BC300" s="72">
        <v>0</v>
      </c>
      <c r="BD300" s="72">
        <v>0</v>
      </c>
      <c r="BE300" s="72">
        <v>41848799</v>
      </c>
      <c r="BF300" s="72">
        <v>0</v>
      </c>
      <c r="BG300" s="72">
        <v>0</v>
      </c>
      <c r="BH300" s="72">
        <v>0</v>
      </c>
      <c r="BI300" s="72">
        <v>0</v>
      </c>
      <c r="BJ300" s="72">
        <v>41848799</v>
      </c>
      <c r="BM300" s="72">
        <v>0</v>
      </c>
      <c r="BN300" s="72">
        <v>0</v>
      </c>
      <c r="BO300" s="72">
        <v>0</v>
      </c>
      <c r="BP300" s="72">
        <v>0</v>
      </c>
      <c r="BQ300" s="72">
        <v>0</v>
      </c>
      <c r="BR300" s="72">
        <v>0</v>
      </c>
      <c r="BS300" s="72">
        <v>167339250</v>
      </c>
    </row>
    <row r="301" spans="1:71" x14ac:dyDescent="0.2">
      <c r="A301" t="s">
        <v>288</v>
      </c>
      <c r="B301" t="s">
        <v>1002</v>
      </c>
      <c r="C301" t="s">
        <v>63</v>
      </c>
      <c r="D301" s="72">
        <v>5762699</v>
      </c>
      <c r="E301" s="72">
        <v>589350</v>
      </c>
      <c r="F301" s="72">
        <v>0</v>
      </c>
      <c r="G301" s="72">
        <v>5501702</v>
      </c>
      <c r="H301" s="72">
        <v>11896</v>
      </c>
      <c r="I301" s="72">
        <v>0</v>
      </c>
      <c r="J301" s="72">
        <v>1359337</v>
      </c>
      <c r="K301" s="72">
        <v>787500</v>
      </c>
      <c r="L301" s="72">
        <v>14012484</v>
      </c>
      <c r="M301" s="72">
        <v>0</v>
      </c>
      <c r="N301" s="72">
        <v>0</v>
      </c>
      <c r="O301" s="72">
        <v>0</v>
      </c>
      <c r="P301" s="72">
        <v>30000</v>
      </c>
      <c r="Q301" s="72">
        <v>0</v>
      </c>
      <c r="R301" s="72">
        <v>30000</v>
      </c>
      <c r="S301" s="72">
        <v>14042484</v>
      </c>
      <c r="T301" s="72">
        <v>8422268</v>
      </c>
      <c r="U301" s="72">
        <v>2706852</v>
      </c>
      <c r="V301" s="72">
        <v>2387209</v>
      </c>
      <c r="W301" s="72">
        <v>611000</v>
      </c>
      <c r="X301" s="72">
        <v>40000</v>
      </c>
      <c r="Y301" s="72">
        <v>0</v>
      </c>
      <c r="Z301" s="72">
        <v>0</v>
      </c>
      <c r="AA301" s="72">
        <v>0</v>
      </c>
      <c r="AB301" s="72">
        <v>0</v>
      </c>
      <c r="AC301" s="72">
        <v>0</v>
      </c>
      <c r="AD301" s="72">
        <v>0</v>
      </c>
      <c r="AE301" s="72">
        <v>0</v>
      </c>
      <c r="AF301" s="72">
        <v>0</v>
      </c>
      <c r="AG301" s="72">
        <v>825000</v>
      </c>
      <c r="AH301" s="72">
        <v>14992329</v>
      </c>
      <c r="AI301" s="72">
        <v>0</v>
      </c>
      <c r="AJ301" s="72">
        <v>10000</v>
      </c>
      <c r="AK301" s="72">
        <v>0</v>
      </c>
      <c r="AL301" s="72">
        <v>10000</v>
      </c>
      <c r="AM301" s="72">
        <v>15002329</v>
      </c>
      <c r="AN301" s="72">
        <v>-959845</v>
      </c>
      <c r="AO301" s="72">
        <v>2225812</v>
      </c>
      <c r="AP301" s="72">
        <v>1265967</v>
      </c>
      <c r="AQ301" s="72">
        <v>0</v>
      </c>
      <c r="AR301" s="72">
        <v>0</v>
      </c>
      <c r="AS301" s="72">
        <v>0</v>
      </c>
      <c r="AT301" s="72">
        <v>0</v>
      </c>
      <c r="AU301" s="72">
        <v>0</v>
      </c>
      <c r="AV301" s="72">
        <v>0</v>
      </c>
      <c r="AW301" s="72">
        <v>0</v>
      </c>
      <c r="AX301" s="72">
        <v>0</v>
      </c>
      <c r="AY301" s="72">
        <v>0</v>
      </c>
      <c r="AZ301" s="72">
        <v>0</v>
      </c>
      <c r="BA301" s="72">
        <v>1265967</v>
      </c>
      <c r="BB301" s="72">
        <v>0</v>
      </c>
      <c r="BC301" s="72">
        <v>0</v>
      </c>
      <c r="BD301" s="72">
        <v>0</v>
      </c>
      <c r="BE301" s="72">
        <v>1265967</v>
      </c>
      <c r="BF301" s="72">
        <v>0</v>
      </c>
      <c r="BG301" s="72">
        <v>0</v>
      </c>
      <c r="BH301" s="72">
        <v>0</v>
      </c>
      <c r="BI301" s="72">
        <v>0</v>
      </c>
      <c r="BJ301" s="72">
        <v>1265967</v>
      </c>
      <c r="BK301" s="72">
        <v>108</v>
      </c>
      <c r="BL301" s="72">
        <v>1345</v>
      </c>
      <c r="BM301" s="72">
        <v>0</v>
      </c>
      <c r="BN301" s="72">
        <v>0</v>
      </c>
      <c r="BO301" s="72">
        <v>0</v>
      </c>
      <c r="BP301" s="72">
        <v>0</v>
      </c>
      <c r="BQ301" s="72">
        <v>0</v>
      </c>
      <c r="BR301" s="72">
        <v>0</v>
      </c>
      <c r="BS301" s="72">
        <v>15002329</v>
      </c>
    </row>
    <row r="302" spans="1:71" x14ac:dyDescent="0.2">
      <c r="A302" t="s">
        <v>394</v>
      </c>
      <c r="B302" t="s">
        <v>1105</v>
      </c>
      <c r="C302" t="s">
        <v>63</v>
      </c>
      <c r="D302" s="72">
        <v>442000</v>
      </c>
      <c r="E302" s="72">
        <v>0</v>
      </c>
      <c r="F302" s="72">
        <v>0</v>
      </c>
      <c r="G302" s="72">
        <v>6875</v>
      </c>
      <c r="H302" s="72">
        <v>0</v>
      </c>
      <c r="I302" s="72">
        <v>0</v>
      </c>
      <c r="J302" s="72">
        <v>48000</v>
      </c>
      <c r="K302" s="72">
        <v>2825</v>
      </c>
      <c r="L302" s="72">
        <v>499700</v>
      </c>
      <c r="M302" s="72">
        <v>0</v>
      </c>
      <c r="N302" s="72">
        <v>0</v>
      </c>
      <c r="O302" s="72">
        <v>0</v>
      </c>
      <c r="P302" s="72">
        <v>0</v>
      </c>
      <c r="Q302" s="72">
        <v>3500</v>
      </c>
      <c r="R302" s="72">
        <v>3500</v>
      </c>
      <c r="S302" s="72">
        <v>503200</v>
      </c>
      <c r="T302" s="72">
        <v>203000</v>
      </c>
      <c r="U302" s="72">
        <v>75000</v>
      </c>
      <c r="V302" s="72">
        <v>225000</v>
      </c>
      <c r="W302" s="72">
        <v>20000</v>
      </c>
      <c r="X302" s="72">
        <v>10000</v>
      </c>
      <c r="Y302" s="72">
        <v>0</v>
      </c>
      <c r="Z302" s="72">
        <v>0</v>
      </c>
      <c r="AA302" s="72">
        <v>0</v>
      </c>
      <c r="AB302" s="72">
        <v>0</v>
      </c>
      <c r="AC302" s="72">
        <v>0</v>
      </c>
      <c r="AD302" s="72">
        <v>0</v>
      </c>
      <c r="AE302" s="72">
        <v>0</v>
      </c>
      <c r="AF302" s="72">
        <v>0</v>
      </c>
      <c r="AG302" s="72">
        <v>32000</v>
      </c>
      <c r="AH302" s="72">
        <v>565000</v>
      </c>
      <c r="AI302" s="72">
        <v>0</v>
      </c>
      <c r="AJ302" s="72">
        <v>0</v>
      </c>
      <c r="AK302" s="72">
        <v>500</v>
      </c>
      <c r="AL302" s="72">
        <v>500</v>
      </c>
      <c r="AM302" s="72">
        <v>565500</v>
      </c>
      <c r="AN302" s="72">
        <v>-62300</v>
      </c>
      <c r="AO302" s="72">
        <v>925323</v>
      </c>
      <c r="AP302" s="72">
        <v>863023</v>
      </c>
      <c r="AQ302" s="72">
        <v>20000</v>
      </c>
      <c r="AR302" s="72">
        <v>0</v>
      </c>
      <c r="AS302" s="72">
        <v>0</v>
      </c>
      <c r="AT302" s="72">
        <v>0</v>
      </c>
      <c r="AU302" s="72">
        <v>0</v>
      </c>
      <c r="AV302" s="72">
        <v>0</v>
      </c>
      <c r="AW302" s="72">
        <v>0</v>
      </c>
      <c r="AX302" s="72">
        <v>0</v>
      </c>
      <c r="AY302" s="72">
        <v>0</v>
      </c>
      <c r="AZ302" s="72">
        <v>0</v>
      </c>
      <c r="BA302" s="72">
        <v>843023</v>
      </c>
      <c r="BB302" s="72">
        <v>0</v>
      </c>
      <c r="BC302" s="72">
        <v>0</v>
      </c>
      <c r="BD302" s="72">
        <v>0</v>
      </c>
      <c r="BE302" s="72">
        <v>843023</v>
      </c>
      <c r="BF302" s="72">
        <v>0</v>
      </c>
      <c r="BG302" s="72">
        <v>0</v>
      </c>
      <c r="BH302" s="72">
        <v>0</v>
      </c>
      <c r="BI302" s="72">
        <v>0</v>
      </c>
      <c r="BJ302" s="72">
        <v>843023</v>
      </c>
      <c r="BK302" s="72">
        <v>0</v>
      </c>
      <c r="BL302" s="72">
        <v>0</v>
      </c>
      <c r="BM302" s="72">
        <v>0</v>
      </c>
      <c r="BN302" s="72">
        <v>0</v>
      </c>
      <c r="BO302" s="72">
        <v>0</v>
      </c>
      <c r="BP302" s="72">
        <v>0</v>
      </c>
      <c r="BQ302" s="72">
        <v>0</v>
      </c>
      <c r="BR302" s="72">
        <v>0</v>
      </c>
      <c r="BS302" s="72">
        <v>925323</v>
      </c>
    </row>
    <row r="303" spans="1:71" x14ac:dyDescent="0.2">
      <c r="A303" t="s">
        <v>455</v>
      </c>
      <c r="B303" t="s">
        <v>1160</v>
      </c>
      <c r="C303" t="s">
        <v>63</v>
      </c>
      <c r="D303" s="72">
        <v>5017474</v>
      </c>
      <c r="E303" s="72">
        <v>508282</v>
      </c>
      <c r="F303" s="72">
        <v>0</v>
      </c>
      <c r="G303" s="72">
        <v>4084736</v>
      </c>
      <c r="H303" s="72">
        <v>26255</v>
      </c>
      <c r="I303" s="72">
        <v>0</v>
      </c>
      <c r="J303" s="72">
        <v>2078126</v>
      </c>
      <c r="K303" s="72">
        <v>1661751</v>
      </c>
      <c r="L303" s="72">
        <v>13376624</v>
      </c>
      <c r="M303" s="72">
        <v>0</v>
      </c>
      <c r="N303" s="72">
        <v>0</v>
      </c>
      <c r="O303" s="72">
        <v>0</v>
      </c>
      <c r="P303" s="72">
        <v>0</v>
      </c>
      <c r="Q303" s="72">
        <v>0</v>
      </c>
      <c r="R303" s="72">
        <v>0</v>
      </c>
      <c r="S303" s="72">
        <v>13376624</v>
      </c>
      <c r="T303" s="72">
        <v>6697524</v>
      </c>
      <c r="U303" s="72">
        <v>2795969</v>
      </c>
      <c r="V303" s="72">
        <v>2550025</v>
      </c>
      <c r="W303" s="72">
        <v>567325</v>
      </c>
      <c r="X303" s="72">
        <v>204642</v>
      </c>
      <c r="Y303" s="72">
        <v>0</v>
      </c>
      <c r="Z303" s="72">
        <v>0</v>
      </c>
      <c r="AA303" s="72">
        <v>0</v>
      </c>
      <c r="AB303" s="72">
        <v>0</v>
      </c>
      <c r="AC303" s="72">
        <v>0</v>
      </c>
      <c r="AD303" s="72">
        <v>0</v>
      </c>
      <c r="AE303" s="72">
        <v>104000</v>
      </c>
      <c r="AF303" s="72">
        <v>98975</v>
      </c>
      <c r="AG303" s="72">
        <v>198025</v>
      </c>
      <c r="AH303" s="72">
        <v>13216485</v>
      </c>
      <c r="AI303" s="72">
        <v>25000</v>
      </c>
      <c r="AJ303" s="72">
        <v>0</v>
      </c>
      <c r="AK303" s="72">
        <v>0</v>
      </c>
      <c r="AL303" s="72">
        <v>25000</v>
      </c>
      <c r="AM303" s="72">
        <v>13241485</v>
      </c>
      <c r="AN303" s="72">
        <v>135139</v>
      </c>
      <c r="AO303" s="72">
        <v>1672797</v>
      </c>
      <c r="AP303" s="72">
        <v>1807936</v>
      </c>
      <c r="AQ303" s="72">
        <v>85000</v>
      </c>
      <c r="AR303" s="72">
        <v>0</v>
      </c>
      <c r="AS303" s="72">
        <v>0</v>
      </c>
      <c r="AT303" s="72">
        <v>0</v>
      </c>
      <c r="AU303" s="72">
        <v>0</v>
      </c>
      <c r="AV303" s="72">
        <v>0</v>
      </c>
      <c r="AW303" s="72">
        <v>0</v>
      </c>
      <c r="AX303" s="72">
        <v>0</v>
      </c>
      <c r="AY303" s="72">
        <v>0</v>
      </c>
      <c r="AZ303" s="72">
        <v>0</v>
      </c>
      <c r="BA303" s="72">
        <v>1722936</v>
      </c>
      <c r="BB303" s="72">
        <v>0</v>
      </c>
      <c r="BC303" s="72">
        <v>0</v>
      </c>
      <c r="BD303" s="72">
        <v>0</v>
      </c>
      <c r="BE303" s="72">
        <v>1722936</v>
      </c>
      <c r="BF303" s="72">
        <v>0</v>
      </c>
      <c r="BG303" s="72">
        <v>0</v>
      </c>
      <c r="BH303" s="72">
        <v>0</v>
      </c>
      <c r="BI303" s="72">
        <v>0</v>
      </c>
      <c r="BJ303" s="72">
        <v>1722936</v>
      </c>
      <c r="BK303" s="72">
        <v>64</v>
      </c>
      <c r="BL303" s="72">
        <v>1112</v>
      </c>
      <c r="BM303" s="72">
        <v>0</v>
      </c>
      <c r="BN303" s="72">
        <v>0</v>
      </c>
      <c r="BO303" s="72">
        <v>0</v>
      </c>
      <c r="BP303" s="72">
        <v>0</v>
      </c>
      <c r="BQ303" s="72">
        <v>0</v>
      </c>
      <c r="BR303" s="72">
        <v>0</v>
      </c>
      <c r="BS303" s="72">
        <v>13376624</v>
      </c>
    </row>
    <row r="304" spans="1:71" x14ac:dyDescent="0.2">
      <c r="A304" t="s">
        <v>574</v>
      </c>
      <c r="B304" t="s">
        <v>1273</v>
      </c>
      <c r="C304" t="s">
        <v>63</v>
      </c>
      <c r="D304" s="72">
        <v>8850103</v>
      </c>
      <c r="E304" s="72">
        <v>649485</v>
      </c>
      <c r="F304" s="72">
        <v>0</v>
      </c>
      <c r="G304" s="72">
        <v>3791417</v>
      </c>
      <c r="H304" s="72">
        <v>31981</v>
      </c>
      <c r="I304" s="72">
        <v>0</v>
      </c>
      <c r="J304" s="72">
        <v>2921257</v>
      </c>
      <c r="K304" s="72">
        <v>4856893</v>
      </c>
      <c r="L304" s="72">
        <v>21101136</v>
      </c>
      <c r="M304" s="72">
        <v>0</v>
      </c>
      <c r="N304" s="72">
        <v>0</v>
      </c>
      <c r="O304" s="72">
        <v>0</v>
      </c>
      <c r="P304" s="72">
        <v>36687</v>
      </c>
      <c r="Q304" s="72">
        <v>167292</v>
      </c>
      <c r="R304" s="72">
        <v>203979</v>
      </c>
      <c r="S304" s="72">
        <v>21305115</v>
      </c>
      <c r="T304" s="72">
        <v>13067293</v>
      </c>
      <c r="U304" s="72">
        <v>4546378</v>
      </c>
      <c r="V304" s="72">
        <v>3093360</v>
      </c>
      <c r="W304" s="72">
        <v>666332</v>
      </c>
      <c r="X304" s="72">
        <v>9748</v>
      </c>
      <c r="Y304" s="72">
        <v>0</v>
      </c>
      <c r="Z304" s="72">
        <v>0</v>
      </c>
      <c r="AA304" s="72">
        <v>0</v>
      </c>
      <c r="AB304" s="72">
        <v>0</v>
      </c>
      <c r="AC304" s="72">
        <v>0</v>
      </c>
      <c r="AD304" s="72">
        <v>0</v>
      </c>
      <c r="AE304" s="72">
        <v>0</v>
      </c>
      <c r="AF304" s="72">
        <v>0</v>
      </c>
      <c r="AG304" s="72">
        <v>392562</v>
      </c>
      <c r="AH304" s="72">
        <v>21775673</v>
      </c>
      <c r="AI304" s="72">
        <v>0</v>
      </c>
      <c r="AJ304" s="72">
        <v>12000</v>
      </c>
      <c r="AK304" s="72">
        <v>0</v>
      </c>
      <c r="AL304" s="72">
        <v>12000</v>
      </c>
      <c r="AM304" s="72">
        <v>21787673</v>
      </c>
      <c r="AN304" s="72">
        <v>-482558</v>
      </c>
      <c r="AO304" s="72">
        <v>506288</v>
      </c>
      <c r="AP304" s="72">
        <v>23730</v>
      </c>
      <c r="AQ304" s="72">
        <v>322634</v>
      </c>
      <c r="AR304" s="72">
        <v>0</v>
      </c>
      <c r="AS304" s="72">
        <v>0</v>
      </c>
      <c r="AT304" s="72">
        <v>0</v>
      </c>
      <c r="AU304" s="72">
        <v>0</v>
      </c>
      <c r="AV304" s="72">
        <v>0</v>
      </c>
      <c r="AW304" s="72">
        <v>0</v>
      </c>
      <c r="AX304" s="72">
        <v>0</v>
      </c>
      <c r="AY304" s="72">
        <v>0</v>
      </c>
      <c r="AZ304" s="72">
        <v>0</v>
      </c>
      <c r="BA304" s="72">
        <v>-298904</v>
      </c>
      <c r="BB304" s="72">
        <v>0</v>
      </c>
      <c r="BC304" s="72">
        <v>0</v>
      </c>
      <c r="BD304" s="72">
        <v>0</v>
      </c>
      <c r="BE304" s="72">
        <v>-298904</v>
      </c>
      <c r="BF304" s="72">
        <v>0</v>
      </c>
      <c r="BG304" s="72">
        <v>0</v>
      </c>
      <c r="BH304" s="72">
        <v>0</v>
      </c>
      <c r="BI304" s="72">
        <v>0</v>
      </c>
      <c r="BJ304" s="72">
        <v>-298904</v>
      </c>
      <c r="BM304" s="72">
        <v>0</v>
      </c>
      <c r="BN304" s="72">
        <v>0</v>
      </c>
      <c r="BO304" s="72">
        <v>0</v>
      </c>
      <c r="BP304" s="72">
        <v>0</v>
      </c>
      <c r="BQ304" s="72">
        <v>0</v>
      </c>
      <c r="BR304" s="72">
        <v>0</v>
      </c>
      <c r="BS304" s="72">
        <v>21787673</v>
      </c>
    </row>
    <row r="305" spans="1:71" x14ac:dyDescent="0.2">
      <c r="A305" t="s">
        <v>715</v>
      </c>
      <c r="B305" t="s">
        <v>1405</v>
      </c>
      <c r="C305" t="s">
        <v>63</v>
      </c>
      <c r="D305" s="72">
        <v>13132986</v>
      </c>
      <c r="E305" s="72">
        <v>1523702</v>
      </c>
      <c r="F305" s="72">
        <v>0</v>
      </c>
      <c r="G305" s="72">
        <v>4356944</v>
      </c>
      <c r="H305" s="72">
        <v>24421</v>
      </c>
      <c r="I305" s="72">
        <v>0</v>
      </c>
      <c r="J305" s="72">
        <v>1778273</v>
      </c>
      <c r="K305" s="72">
        <v>984515</v>
      </c>
      <c r="L305" s="72">
        <v>21800841</v>
      </c>
      <c r="M305" s="72">
        <v>0</v>
      </c>
      <c r="N305" s="72">
        <v>0</v>
      </c>
      <c r="O305" s="72">
        <v>0</v>
      </c>
      <c r="P305" s="72">
        <v>0</v>
      </c>
      <c r="Q305" s="72">
        <v>175000</v>
      </c>
      <c r="R305" s="72">
        <v>175000</v>
      </c>
      <c r="S305" s="72">
        <v>21975841</v>
      </c>
      <c r="T305" s="72">
        <v>12114178</v>
      </c>
      <c r="U305" s="72">
        <v>4482246</v>
      </c>
      <c r="V305" s="72">
        <v>4069482</v>
      </c>
      <c r="W305" s="72">
        <v>780525</v>
      </c>
      <c r="X305" s="72">
        <v>494273</v>
      </c>
      <c r="Y305" s="72">
        <v>0</v>
      </c>
      <c r="Z305" s="72">
        <v>0</v>
      </c>
      <c r="AA305" s="72">
        <v>0</v>
      </c>
      <c r="AB305" s="72">
        <v>338182</v>
      </c>
      <c r="AC305" s="72">
        <v>0</v>
      </c>
      <c r="AD305" s="72">
        <v>0</v>
      </c>
      <c r="AE305" s="72">
        <v>0</v>
      </c>
      <c r="AF305" s="72">
        <v>423615</v>
      </c>
      <c r="AG305" s="72">
        <v>589946</v>
      </c>
      <c r="AH305" s="72">
        <v>23292447</v>
      </c>
      <c r="AI305" s="72">
        <v>0</v>
      </c>
      <c r="AJ305" s="72">
        <v>0</v>
      </c>
      <c r="AK305" s="72">
        <v>0</v>
      </c>
      <c r="AL305" s="72">
        <v>0</v>
      </c>
      <c r="AM305" s="72">
        <v>23292447</v>
      </c>
      <c r="AN305" s="72">
        <v>-1316606</v>
      </c>
      <c r="AO305" s="72">
        <v>15533134</v>
      </c>
      <c r="AP305" s="72">
        <v>14216528</v>
      </c>
      <c r="AQ305" s="72">
        <v>656864</v>
      </c>
      <c r="AR305" s="72">
        <v>0</v>
      </c>
      <c r="AS305" s="72">
        <v>0</v>
      </c>
      <c r="AT305" s="72">
        <v>1858000</v>
      </c>
      <c r="AU305" s="72">
        <v>0</v>
      </c>
      <c r="AV305" s="72">
        <v>0</v>
      </c>
      <c r="AW305" s="72">
        <v>0</v>
      </c>
      <c r="AX305" s="72">
        <v>0</v>
      </c>
      <c r="AY305" s="72">
        <v>0</v>
      </c>
      <c r="AZ305" s="72">
        <v>1858000</v>
      </c>
      <c r="BA305" s="72">
        <v>11701664</v>
      </c>
      <c r="BB305" s="72">
        <v>0</v>
      </c>
      <c r="BC305" s="72">
        <v>0</v>
      </c>
      <c r="BD305" s="72">
        <v>0</v>
      </c>
      <c r="BE305" s="72">
        <v>11701664</v>
      </c>
      <c r="BF305" s="72">
        <v>0</v>
      </c>
      <c r="BG305" s="72">
        <v>0</v>
      </c>
      <c r="BH305" s="72">
        <v>0</v>
      </c>
      <c r="BI305" s="72">
        <v>0</v>
      </c>
      <c r="BJ305" s="72">
        <v>11701664</v>
      </c>
      <c r="BK305" s="72">
        <v>118</v>
      </c>
      <c r="BL305" s="72">
        <v>2020</v>
      </c>
      <c r="BM305" s="72">
        <v>0</v>
      </c>
      <c r="BN305" s="72">
        <v>0</v>
      </c>
      <c r="BO305" s="72">
        <v>0</v>
      </c>
      <c r="BP305" s="72">
        <v>0</v>
      </c>
      <c r="BQ305" s="72">
        <v>0</v>
      </c>
      <c r="BR305" s="72">
        <v>0</v>
      </c>
      <c r="BS305" s="72">
        <v>23292447</v>
      </c>
    </row>
    <row r="306" spans="1:71" x14ac:dyDescent="0.2">
      <c r="A306" t="s">
        <v>121</v>
      </c>
      <c r="B306" t="s">
        <v>842</v>
      </c>
      <c r="C306" t="s">
        <v>62</v>
      </c>
      <c r="D306" s="72">
        <v>2545747</v>
      </c>
      <c r="E306" s="72">
        <v>168932</v>
      </c>
      <c r="F306" s="72">
        <v>1938000</v>
      </c>
      <c r="G306" s="72">
        <v>9504657</v>
      </c>
      <c r="H306" s="72">
        <v>130000</v>
      </c>
      <c r="I306" s="72">
        <v>0</v>
      </c>
      <c r="J306" s="72">
        <v>415718</v>
      </c>
      <c r="K306" s="72">
        <v>1146723</v>
      </c>
      <c r="L306" s="72">
        <v>15849777</v>
      </c>
      <c r="M306" s="72">
        <v>0</v>
      </c>
      <c r="N306" s="72">
        <v>0</v>
      </c>
      <c r="O306" s="72">
        <v>0</v>
      </c>
      <c r="P306" s="72">
        <v>0</v>
      </c>
      <c r="Q306" s="72">
        <v>0</v>
      </c>
      <c r="R306" s="72">
        <v>0</v>
      </c>
      <c r="S306" s="72">
        <v>15849777</v>
      </c>
      <c r="T306" s="72">
        <v>6718783</v>
      </c>
      <c r="U306" s="72">
        <v>2599702</v>
      </c>
      <c r="V306" s="72">
        <v>2878264</v>
      </c>
      <c r="W306" s="72">
        <v>889127</v>
      </c>
      <c r="X306" s="72">
        <v>382650</v>
      </c>
      <c r="Y306" s="72">
        <v>0</v>
      </c>
      <c r="Z306" s="72">
        <v>0</v>
      </c>
      <c r="AA306" s="72">
        <v>0</v>
      </c>
      <c r="AB306" s="72">
        <v>0</v>
      </c>
      <c r="AC306" s="72">
        <v>0</v>
      </c>
      <c r="AD306" s="72">
        <v>0</v>
      </c>
      <c r="AE306" s="72">
        <v>0</v>
      </c>
      <c r="AF306" s="72">
        <v>0</v>
      </c>
      <c r="AG306" s="72">
        <v>306691</v>
      </c>
      <c r="AH306" s="72">
        <v>13775217</v>
      </c>
      <c r="AI306" s="72">
        <v>0</v>
      </c>
      <c r="AJ306" s="72">
        <v>0</v>
      </c>
      <c r="AK306" s="72">
        <v>0</v>
      </c>
      <c r="AL306" s="72">
        <v>0</v>
      </c>
      <c r="AM306" s="72">
        <v>13775217</v>
      </c>
      <c r="AN306" s="72">
        <v>2074560</v>
      </c>
      <c r="AO306" s="72">
        <v>5519819</v>
      </c>
      <c r="AP306" s="72">
        <v>7594379</v>
      </c>
      <c r="AQ306" s="72">
        <v>125000</v>
      </c>
      <c r="AR306" s="72">
        <v>0</v>
      </c>
      <c r="AS306" s="72">
        <v>0</v>
      </c>
      <c r="AT306" s="72">
        <v>0</v>
      </c>
      <c r="AU306" s="72">
        <v>0</v>
      </c>
      <c r="AV306" s="72">
        <v>0</v>
      </c>
      <c r="AW306" s="72">
        <v>0</v>
      </c>
      <c r="AX306" s="72">
        <v>166654</v>
      </c>
      <c r="AY306" s="72">
        <v>0</v>
      </c>
      <c r="AZ306" s="72">
        <v>166654</v>
      </c>
      <c r="BA306" s="72">
        <v>7302725</v>
      </c>
      <c r="BB306" s="72">
        <v>0</v>
      </c>
      <c r="BC306" s="72">
        <v>0</v>
      </c>
      <c r="BD306" s="72">
        <v>0</v>
      </c>
      <c r="BE306" s="72">
        <v>7302725</v>
      </c>
      <c r="BF306" s="72">
        <v>0</v>
      </c>
      <c r="BG306" s="72">
        <v>0</v>
      </c>
      <c r="BH306" s="72">
        <v>0</v>
      </c>
      <c r="BI306" s="72">
        <v>0</v>
      </c>
      <c r="BJ306" s="72">
        <v>7302725</v>
      </c>
      <c r="BM306" s="72">
        <v>0</v>
      </c>
      <c r="BN306" s="72">
        <v>0</v>
      </c>
      <c r="BO306" s="72">
        <v>0</v>
      </c>
      <c r="BP306" s="72">
        <v>0</v>
      </c>
      <c r="BQ306" s="72">
        <v>0</v>
      </c>
      <c r="BR306" s="72">
        <v>0</v>
      </c>
      <c r="BS306" s="72">
        <v>15849777</v>
      </c>
    </row>
    <row r="307" spans="1:71" x14ac:dyDescent="0.2">
      <c r="A307" t="s">
        <v>162</v>
      </c>
      <c r="B307" t="s">
        <v>883</v>
      </c>
      <c r="C307" t="s">
        <v>62</v>
      </c>
      <c r="D307" s="72">
        <v>1610042</v>
      </c>
      <c r="E307" s="72">
        <v>1152522</v>
      </c>
      <c r="F307" s="72">
        <v>1046033</v>
      </c>
      <c r="G307" s="72">
        <v>3451137</v>
      </c>
      <c r="H307" s="72">
        <v>0</v>
      </c>
      <c r="I307" s="72">
        <v>0</v>
      </c>
      <c r="J307" s="72">
        <v>262710</v>
      </c>
      <c r="K307" s="72">
        <v>669178</v>
      </c>
      <c r="L307" s="72">
        <v>8191622</v>
      </c>
      <c r="M307" s="72">
        <v>0</v>
      </c>
      <c r="N307" s="72">
        <v>0</v>
      </c>
      <c r="O307" s="72">
        <v>0</v>
      </c>
      <c r="P307" s="72">
        <v>0</v>
      </c>
      <c r="Q307" s="72">
        <v>0</v>
      </c>
      <c r="R307" s="72">
        <v>0</v>
      </c>
      <c r="S307" s="72">
        <v>8191622</v>
      </c>
      <c r="T307" s="72">
        <v>4180579</v>
      </c>
      <c r="U307" s="72">
        <v>1757447</v>
      </c>
      <c r="V307" s="72">
        <v>1523113</v>
      </c>
      <c r="W307" s="72">
        <v>228896</v>
      </c>
      <c r="X307" s="72">
        <v>92102</v>
      </c>
      <c r="Y307" s="72">
        <v>0</v>
      </c>
      <c r="Z307" s="72">
        <v>0</v>
      </c>
      <c r="AA307" s="72">
        <v>0</v>
      </c>
      <c r="AB307" s="72">
        <v>0</v>
      </c>
      <c r="AC307" s="72">
        <v>0</v>
      </c>
      <c r="AD307" s="72">
        <v>0</v>
      </c>
      <c r="AE307" s="72">
        <v>109438</v>
      </c>
      <c r="AF307" s="72">
        <v>23688</v>
      </c>
      <c r="AG307" s="72">
        <v>245940</v>
      </c>
      <c r="AH307" s="72">
        <v>8161203</v>
      </c>
      <c r="AI307" s="72">
        <v>0</v>
      </c>
      <c r="AJ307" s="72">
        <v>0</v>
      </c>
      <c r="AK307" s="72">
        <v>65106</v>
      </c>
      <c r="AL307" s="72">
        <v>65106</v>
      </c>
      <c r="AM307" s="72">
        <v>8226309</v>
      </c>
      <c r="AN307" s="72">
        <v>-34687</v>
      </c>
      <c r="AO307" s="72">
        <v>1352125</v>
      </c>
      <c r="AP307" s="72">
        <v>1317438</v>
      </c>
      <c r="AQ307" s="72">
        <v>150000</v>
      </c>
      <c r="AR307" s="72">
        <v>0</v>
      </c>
      <c r="AS307" s="72">
        <v>0</v>
      </c>
      <c r="AT307" s="72">
        <v>0</v>
      </c>
      <c r="AU307" s="72">
        <v>0</v>
      </c>
      <c r="AV307" s="72">
        <v>0</v>
      </c>
      <c r="AW307" s="72">
        <v>0</v>
      </c>
      <c r="AX307" s="72">
        <v>0</v>
      </c>
      <c r="AY307" s="72">
        <v>0</v>
      </c>
      <c r="AZ307" s="72">
        <v>0</v>
      </c>
      <c r="BA307" s="72">
        <v>1167438</v>
      </c>
      <c r="BB307" s="72">
        <v>0</v>
      </c>
      <c r="BC307" s="72">
        <v>0</v>
      </c>
      <c r="BD307" s="72">
        <v>0</v>
      </c>
      <c r="BE307" s="72">
        <v>1167438</v>
      </c>
      <c r="BF307" s="72">
        <v>97515</v>
      </c>
      <c r="BG307" s="72">
        <v>0</v>
      </c>
      <c r="BH307" s="72">
        <v>97515</v>
      </c>
      <c r="BI307" s="72">
        <v>0</v>
      </c>
      <c r="BJ307" s="72">
        <v>1264953</v>
      </c>
      <c r="BM307" s="72">
        <v>0</v>
      </c>
      <c r="BN307" s="72">
        <v>0</v>
      </c>
      <c r="BO307" s="72">
        <v>0</v>
      </c>
      <c r="BP307" s="72">
        <v>0</v>
      </c>
      <c r="BQ307" s="72">
        <v>0</v>
      </c>
      <c r="BR307" s="72">
        <v>0</v>
      </c>
      <c r="BS307" s="72">
        <v>8226309</v>
      </c>
    </row>
    <row r="308" spans="1:71" x14ac:dyDescent="0.2">
      <c r="A308" t="s">
        <v>170</v>
      </c>
      <c r="B308" t="s">
        <v>891</v>
      </c>
      <c r="C308" t="s">
        <v>62</v>
      </c>
      <c r="D308" s="72">
        <v>4810744</v>
      </c>
      <c r="E308" s="72">
        <v>1376378</v>
      </c>
      <c r="F308" s="72">
        <v>3878451</v>
      </c>
      <c r="G308" s="72">
        <v>3614782</v>
      </c>
      <c r="H308" s="72">
        <v>28188</v>
      </c>
      <c r="I308" s="72">
        <v>0</v>
      </c>
      <c r="J308" s="72">
        <v>749347</v>
      </c>
      <c r="K308" s="72">
        <v>1240806</v>
      </c>
      <c r="L308" s="72">
        <v>15698696</v>
      </c>
      <c r="M308" s="72">
        <v>0</v>
      </c>
      <c r="N308" s="72">
        <v>0</v>
      </c>
      <c r="O308" s="72">
        <v>0</v>
      </c>
      <c r="P308" s="72">
        <v>0</v>
      </c>
      <c r="Q308" s="72">
        <v>33000</v>
      </c>
      <c r="R308" s="72">
        <v>33000</v>
      </c>
      <c r="S308" s="72">
        <v>15731696</v>
      </c>
      <c r="T308" s="72">
        <v>8552790</v>
      </c>
      <c r="U308" s="72">
        <v>3172940</v>
      </c>
      <c r="V308" s="72">
        <v>2584606</v>
      </c>
      <c r="W308" s="72">
        <v>835664</v>
      </c>
      <c r="X308" s="72">
        <v>202869</v>
      </c>
      <c r="Y308" s="72">
        <v>0</v>
      </c>
      <c r="Z308" s="72">
        <v>0</v>
      </c>
      <c r="AA308" s="72">
        <v>0</v>
      </c>
      <c r="AB308" s="72">
        <v>0</v>
      </c>
      <c r="AC308" s="72">
        <v>0</v>
      </c>
      <c r="AD308" s="72">
        <v>0</v>
      </c>
      <c r="AE308" s="72">
        <v>0</v>
      </c>
      <c r="AF308" s="72">
        <v>0</v>
      </c>
      <c r="AG308" s="72">
        <v>571843</v>
      </c>
      <c r="AH308" s="72">
        <v>15920712</v>
      </c>
      <c r="AI308" s="72">
        <v>43826</v>
      </c>
      <c r="AJ308" s="72">
        <v>0</v>
      </c>
      <c r="AK308" s="72">
        <v>34000</v>
      </c>
      <c r="AL308" s="72">
        <v>77826</v>
      </c>
      <c r="AM308" s="72">
        <v>15998538</v>
      </c>
      <c r="AN308" s="72">
        <v>-266842</v>
      </c>
      <c r="AO308" s="72">
        <v>1606645</v>
      </c>
      <c r="AP308" s="72">
        <v>1339803</v>
      </c>
      <c r="AQ308" s="72">
        <v>60000</v>
      </c>
      <c r="AR308" s="72">
        <v>0</v>
      </c>
      <c r="AS308" s="72">
        <v>0</v>
      </c>
      <c r="AT308" s="72">
        <v>0</v>
      </c>
      <c r="AU308" s="72">
        <v>0</v>
      </c>
      <c r="AV308" s="72">
        <v>0</v>
      </c>
      <c r="AW308" s="72">
        <v>0</v>
      </c>
      <c r="AX308" s="72">
        <v>0</v>
      </c>
      <c r="AY308" s="72">
        <v>0</v>
      </c>
      <c r="AZ308" s="72">
        <v>0</v>
      </c>
      <c r="BA308" s="72">
        <v>1279803</v>
      </c>
      <c r="BB308" s="72">
        <v>0</v>
      </c>
      <c r="BC308" s="72">
        <v>0</v>
      </c>
      <c r="BD308" s="72">
        <v>0</v>
      </c>
      <c r="BE308" s="72">
        <v>1279803</v>
      </c>
      <c r="BF308" s="72">
        <v>0</v>
      </c>
      <c r="BG308" s="72">
        <v>0</v>
      </c>
      <c r="BH308" s="72">
        <v>0</v>
      </c>
      <c r="BI308" s="72">
        <v>0</v>
      </c>
      <c r="BJ308" s="72">
        <v>1279803</v>
      </c>
      <c r="BM308" s="72">
        <v>0</v>
      </c>
      <c r="BN308" s="72">
        <v>0</v>
      </c>
      <c r="BO308" s="72">
        <v>0</v>
      </c>
      <c r="BP308" s="72">
        <v>0</v>
      </c>
      <c r="BQ308" s="72">
        <v>0</v>
      </c>
      <c r="BR308" s="72">
        <v>0</v>
      </c>
      <c r="BS308" s="72">
        <v>15998538</v>
      </c>
    </row>
    <row r="309" spans="1:71" x14ac:dyDescent="0.2">
      <c r="A309" t="s">
        <v>301</v>
      </c>
      <c r="B309" t="s">
        <v>1015</v>
      </c>
      <c r="C309" t="s">
        <v>62</v>
      </c>
      <c r="D309" s="72">
        <v>3282166</v>
      </c>
      <c r="E309" s="72">
        <v>1070009</v>
      </c>
      <c r="F309" s="72">
        <v>4514328</v>
      </c>
      <c r="G309" s="72">
        <v>9268703</v>
      </c>
      <c r="H309" s="72">
        <v>102265</v>
      </c>
      <c r="I309" s="72">
        <v>0</v>
      </c>
      <c r="J309" s="72">
        <v>546854</v>
      </c>
      <c r="K309" s="72">
        <v>1653749</v>
      </c>
      <c r="L309" s="72">
        <v>20438074</v>
      </c>
      <c r="M309" s="72">
        <v>0</v>
      </c>
      <c r="N309" s="72">
        <v>0</v>
      </c>
      <c r="O309" s="72">
        <v>66576</v>
      </c>
      <c r="P309" s="72">
        <v>0</v>
      </c>
      <c r="Q309" s="72">
        <v>31354</v>
      </c>
      <c r="R309" s="72">
        <v>97930</v>
      </c>
      <c r="S309" s="72">
        <v>20536004</v>
      </c>
      <c r="T309" s="72">
        <v>9716660</v>
      </c>
      <c r="U309" s="72">
        <v>3868512</v>
      </c>
      <c r="V309" s="72">
        <v>3550876</v>
      </c>
      <c r="W309" s="72">
        <v>865945</v>
      </c>
      <c r="X309" s="72">
        <v>70713</v>
      </c>
      <c r="Y309" s="72">
        <v>0</v>
      </c>
      <c r="Z309" s="72">
        <v>0</v>
      </c>
      <c r="AA309" s="72">
        <v>0</v>
      </c>
      <c r="AB309" s="72">
        <v>0</v>
      </c>
      <c r="AC309" s="72">
        <v>0</v>
      </c>
      <c r="AD309" s="72">
        <v>65000</v>
      </c>
      <c r="AE309" s="72">
        <v>0</v>
      </c>
      <c r="AF309" s="72">
        <v>1576</v>
      </c>
      <c r="AG309" s="72">
        <v>205237</v>
      </c>
      <c r="AH309" s="72">
        <v>18344519</v>
      </c>
      <c r="AI309" s="72">
        <v>1836990</v>
      </c>
      <c r="AJ309" s="72">
        <v>0</v>
      </c>
      <c r="AK309" s="72">
        <v>0</v>
      </c>
      <c r="AL309" s="72">
        <v>1836990</v>
      </c>
      <c r="AM309" s="72">
        <v>20181509</v>
      </c>
      <c r="AN309" s="72">
        <v>354495</v>
      </c>
      <c r="AO309" s="72">
        <v>6310221</v>
      </c>
      <c r="AP309" s="72">
        <v>6664716</v>
      </c>
      <c r="AQ309" s="72">
        <v>300000</v>
      </c>
      <c r="AR309" s="72">
        <v>0</v>
      </c>
      <c r="AS309" s="72">
        <v>0</v>
      </c>
      <c r="AT309" s="72">
        <v>0</v>
      </c>
      <c r="AU309" s="72">
        <v>0</v>
      </c>
      <c r="AV309" s="72">
        <v>0</v>
      </c>
      <c r="AW309" s="72">
        <v>0</v>
      </c>
      <c r="AX309" s="72">
        <v>0</v>
      </c>
      <c r="AY309" s="72">
        <v>0</v>
      </c>
      <c r="AZ309" s="72">
        <v>0</v>
      </c>
      <c r="BA309" s="72">
        <v>6364716</v>
      </c>
      <c r="BB309" s="72">
        <v>0</v>
      </c>
      <c r="BC309" s="72">
        <v>0</v>
      </c>
      <c r="BD309" s="72">
        <v>0</v>
      </c>
      <c r="BE309" s="72">
        <v>6364716</v>
      </c>
      <c r="BF309" s="72">
        <v>0</v>
      </c>
      <c r="BG309" s="72">
        <v>0</v>
      </c>
      <c r="BH309" s="72">
        <v>0</v>
      </c>
      <c r="BI309" s="72">
        <v>0</v>
      </c>
      <c r="BJ309" s="72">
        <v>6364716</v>
      </c>
      <c r="BM309" s="72">
        <v>0</v>
      </c>
      <c r="BN309" s="72">
        <v>0</v>
      </c>
      <c r="BO309" s="72">
        <v>0</v>
      </c>
      <c r="BP309" s="72">
        <v>0</v>
      </c>
      <c r="BQ309" s="72">
        <v>0</v>
      </c>
      <c r="BR309" s="72">
        <v>0</v>
      </c>
      <c r="BS309" s="72">
        <v>20536004</v>
      </c>
    </row>
    <row r="310" spans="1:71" x14ac:dyDescent="0.2">
      <c r="A310" t="s">
        <v>420</v>
      </c>
      <c r="B310" t="s">
        <v>1128</v>
      </c>
      <c r="C310" t="s">
        <v>62</v>
      </c>
      <c r="D310" s="72">
        <v>2750049</v>
      </c>
      <c r="E310" s="72">
        <v>233673</v>
      </c>
      <c r="F310" s="72">
        <v>3009879</v>
      </c>
      <c r="G310" s="72">
        <v>5842835</v>
      </c>
      <c r="H310" s="72">
        <v>106989</v>
      </c>
      <c r="I310" s="72">
        <v>0</v>
      </c>
      <c r="J310" s="72">
        <v>423633</v>
      </c>
      <c r="K310" s="72">
        <v>468982</v>
      </c>
      <c r="L310" s="72">
        <v>12836040</v>
      </c>
      <c r="M310" s="72">
        <v>0</v>
      </c>
      <c r="N310" s="72">
        <v>0</v>
      </c>
      <c r="O310" s="72">
        <v>0</v>
      </c>
      <c r="P310" s="72">
        <v>0</v>
      </c>
      <c r="Q310" s="72">
        <v>0</v>
      </c>
      <c r="R310" s="72">
        <v>0</v>
      </c>
      <c r="S310" s="72">
        <v>12836040</v>
      </c>
      <c r="T310" s="72">
        <v>6991210</v>
      </c>
      <c r="U310" s="72">
        <v>1846149</v>
      </c>
      <c r="V310" s="72">
        <v>2404843</v>
      </c>
      <c r="W310" s="72">
        <v>610703</v>
      </c>
      <c r="X310" s="72">
        <v>163191</v>
      </c>
      <c r="Y310" s="72">
        <v>0</v>
      </c>
      <c r="Z310" s="72">
        <v>0</v>
      </c>
      <c r="AA310" s="72">
        <v>0</v>
      </c>
      <c r="AB310" s="72">
        <v>0</v>
      </c>
      <c r="AC310" s="72">
        <v>0</v>
      </c>
      <c r="AD310" s="72">
        <v>0</v>
      </c>
      <c r="AE310" s="72">
        <v>0</v>
      </c>
      <c r="AF310" s="72">
        <v>0</v>
      </c>
      <c r="AG310" s="72">
        <v>228461</v>
      </c>
      <c r="AH310" s="72">
        <v>12244557</v>
      </c>
      <c r="AI310" s="72">
        <v>0</v>
      </c>
      <c r="AJ310" s="72">
        <v>0</v>
      </c>
      <c r="AK310" s="72">
        <v>176000</v>
      </c>
      <c r="AL310" s="72">
        <v>176000</v>
      </c>
      <c r="AM310" s="72">
        <v>12420557</v>
      </c>
      <c r="AN310" s="72">
        <v>415483</v>
      </c>
      <c r="AO310" s="72">
        <v>5546826</v>
      </c>
      <c r="AP310" s="72">
        <v>5962309</v>
      </c>
      <c r="AQ310" s="72">
        <v>0</v>
      </c>
      <c r="AR310" s="72">
        <v>0</v>
      </c>
      <c r="AS310" s="72">
        <v>0</v>
      </c>
      <c r="AT310" s="72">
        <v>0</v>
      </c>
      <c r="AU310" s="72">
        <v>0</v>
      </c>
      <c r="AV310" s="72">
        <v>0</v>
      </c>
      <c r="AW310" s="72">
        <v>0</v>
      </c>
      <c r="AX310" s="72">
        <v>0</v>
      </c>
      <c r="AY310" s="72">
        <v>0</v>
      </c>
      <c r="AZ310" s="72">
        <v>0</v>
      </c>
      <c r="BA310" s="72">
        <v>5962309</v>
      </c>
      <c r="BB310" s="72">
        <v>0</v>
      </c>
      <c r="BC310" s="72">
        <v>0</v>
      </c>
      <c r="BD310" s="72">
        <v>0</v>
      </c>
      <c r="BE310" s="72">
        <v>5962309</v>
      </c>
      <c r="BF310" s="72">
        <v>0</v>
      </c>
      <c r="BG310" s="72">
        <v>0</v>
      </c>
      <c r="BH310" s="72">
        <v>0</v>
      </c>
      <c r="BI310" s="72">
        <v>0</v>
      </c>
      <c r="BJ310" s="72">
        <v>5962309</v>
      </c>
      <c r="BM310" s="72">
        <v>0</v>
      </c>
      <c r="BN310" s="72">
        <v>0</v>
      </c>
      <c r="BO310" s="72">
        <v>0</v>
      </c>
      <c r="BP310" s="72">
        <v>0</v>
      </c>
      <c r="BQ310" s="72">
        <v>0</v>
      </c>
      <c r="BR310" s="72">
        <v>0</v>
      </c>
      <c r="BS310" s="72">
        <v>12836040</v>
      </c>
    </row>
    <row r="311" spans="1:71" x14ac:dyDescent="0.2">
      <c r="A311" t="s">
        <v>581</v>
      </c>
      <c r="B311" t="s">
        <v>1278</v>
      </c>
      <c r="C311" t="s">
        <v>62</v>
      </c>
      <c r="D311" s="72">
        <v>32828081</v>
      </c>
      <c r="E311" s="72">
        <v>1300722</v>
      </c>
      <c r="F311" s="72">
        <v>14884821</v>
      </c>
      <c r="G311" s="72">
        <v>45681571</v>
      </c>
      <c r="H311" s="72">
        <v>130355</v>
      </c>
      <c r="I311" s="72">
        <v>0</v>
      </c>
      <c r="J311" s="72">
        <v>4356657</v>
      </c>
      <c r="K311" s="72">
        <v>912909</v>
      </c>
      <c r="L311" s="72">
        <v>100095116</v>
      </c>
      <c r="M311" s="72">
        <v>0</v>
      </c>
      <c r="N311" s="72">
        <v>0</v>
      </c>
      <c r="O311" s="72">
        <v>0</v>
      </c>
      <c r="P311" s="72">
        <v>0</v>
      </c>
      <c r="Q311" s="72">
        <v>27293</v>
      </c>
      <c r="R311" s="72">
        <v>27293</v>
      </c>
      <c r="S311" s="72">
        <v>100122409</v>
      </c>
      <c r="T311" s="72">
        <v>53348204</v>
      </c>
      <c r="U311" s="72">
        <v>21186246</v>
      </c>
      <c r="V311" s="72">
        <v>15172376</v>
      </c>
      <c r="W311" s="72">
        <v>2271853</v>
      </c>
      <c r="X311" s="72">
        <v>1284174</v>
      </c>
      <c r="Y311" s="72">
        <v>0</v>
      </c>
      <c r="Z311" s="72">
        <v>0</v>
      </c>
      <c r="AA311" s="72">
        <v>0</v>
      </c>
      <c r="AB311" s="72">
        <v>0</v>
      </c>
      <c r="AC311" s="72">
        <v>0</v>
      </c>
      <c r="AD311" s="72">
        <v>0</v>
      </c>
      <c r="AE311" s="72">
        <v>0</v>
      </c>
      <c r="AF311" s="72">
        <v>0</v>
      </c>
      <c r="AG311" s="72">
        <v>1600216</v>
      </c>
      <c r="AH311" s="72">
        <v>94863069</v>
      </c>
      <c r="AI311" s="72">
        <v>2500000</v>
      </c>
      <c r="AJ311" s="72">
        <v>0</v>
      </c>
      <c r="AK311" s="72">
        <v>0</v>
      </c>
      <c r="AL311" s="72">
        <v>2500000</v>
      </c>
      <c r="AM311" s="72">
        <v>97363069</v>
      </c>
      <c r="AN311" s="72">
        <v>2759340</v>
      </c>
      <c r="AO311" s="72">
        <v>17547585</v>
      </c>
      <c r="AP311" s="72">
        <v>20306925</v>
      </c>
      <c r="AQ311" s="72">
        <v>1500000</v>
      </c>
      <c r="AR311" s="72">
        <v>0</v>
      </c>
      <c r="AS311" s="72">
        <v>0</v>
      </c>
      <c r="AT311" s="72">
        <v>0</v>
      </c>
      <c r="AU311" s="72">
        <v>0</v>
      </c>
      <c r="AV311" s="72">
        <v>0</v>
      </c>
      <c r="AW311" s="72">
        <v>0</v>
      </c>
      <c r="AX311" s="72">
        <v>0</v>
      </c>
      <c r="AY311" s="72">
        <v>0</v>
      </c>
      <c r="AZ311" s="72">
        <v>0</v>
      </c>
      <c r="BA311" s="72">
        <v>18806925</v>
      </c>
      <c r="BB311" s="72">
        <v>0</v>
      </c>
      <c r="BC311" s="72">
        <v>0</v>
      </c>
      <c r="BD311" s="72">
        <v>0</v>
      </c>
      <c r="BE311" s="72">
        <v>18806925</v>
      </c>
      <c r="BF311" s="72">
        <v>0</v>
      </c>
      <c r="BG311" s="72">
        <v>0</v>
      </c>
      <c r="BH311" s="72">
        <v>0</v>
      </c>
      <c r="BI311" s="72">
        <v>0</v>
      </c>
      <c r="BJ311" s="72">
        <v>18806925</v>
      </c>
      <c r="BM311" s="72">
        <v>0</v>
      </c>
      <c r="BN311" s="72">
        <v>0</v>
      </c>
      <c r="BO311" s="72">
        <v>0</v>
      </c>
      <c r="BP311" s="72">
        <v>0</v>
      </c>
      <c r="BQ311" s="72">
        <v>0</v>
      </c>
      <c r="BR311" s="72">
        <v>0</v>
      </c>
      <c r="BS311" s="72">
        <v>100122409</v>
      </c>
    </row>
    <row r="312" spans="1:71" x14ac:dyDescent="0.2">
      <c r="A312" t="s">
        <v>719</v>
      </c>
      <c r="B312" t="s">
        <v>1409</v>
      </c>
      <c r="C312" t="s">
        <v>62</v>
      </c>
      <c r="D312" s="72">
        <v>2640549</v>
      </c>
      <c r="E312" s="72">
        <v>402229</v>
      </c>
      <c r="F312" s="72">
        <v>1158227</v>
      </c>
      <c r="G312" s="72">
        <v>1337855</v>
      </c>
      <c r="H312" s="72">
        <v>0</v>
      </c>
      <c r="I312" s="72">
        <v>0</v>
      </c>
      <c r="J312" s="72">
        <v>414500</v>
      </c>
      <c r="K312" s="72">
        <v>579674</v>
      </c>
      <c r="L312" s="72">
        <v>6533034</v>
      </c>
      <c r="M312" s="72">
        <v>0</v>
      </c>
      <c r="N312" s="72">
        <v>0</v>
      </c>
      <c r="O312" s="72">
        <v>0</v>
      </c>
      <c r="P312" s="72">
        <v>0</v>
      </c>
      <c r="Q312" s="72">
        <v>0</v>
      </c>
      <c r="R312" s="72">
        <v>0</v>
      </c>
      <c r="S312" s="72">
        <v>6533034</v>
      </c>
      <c r="T312" s="72">
        <v>3654022</v>
      </c>
      <c r="U312" s="72">
        <v>1553124</v>
      </c>
      <c r="V312" s="72">
        <v>1318690</v>
      </c>
      <c r="W312" s="72">
        <v>236039</v>
      </c>
      <c r="X312" s="72">
        <v>51202</v>
      </c>
      <c r="Y312" s="72">
        <v>0</v>
      </c>
      <c r="Z312" s="72">
        <v>0</v>
      </c>
      <c r="AA312" s="72">
        <v>0</v>
      </c>
      <c r="AB312" s="72">
        <v>0</v>
      </c>
      <c r="AC312" s="72">
        <v>0</v>
      </c>
      <c r="AD312" s="72">
        <v>0</v>
      </c>
      <c r="AE312" s="72">
        <v>90000</v>
      </c>
      <c r="AF312" s="72">
        <v>117769</v>
      </c>
      <c r="AG312" s="72">
        <v>298379</v>
      </c>
      <c r="AH312" s="72">
        <v>7319225</v>
      </c>
      <c r="AI312" s="72">
        <v>25000</v>
      </c>
      <c r="AJ312" s="72">
        <v>0</v>
      </c>
      <c r="AK312" s="72">
        <v>0</v>
      </c>
      <c r="AL312" s="72">
        <v>25000</v>
      </c>
      <c r="AM312" s="72">
        <v>7344225</v>
      </c>
      <c r="AN312" s="72">
        <v>-811191</v>
      </c>
      <c r="AO312" s="72">
        <v>1363004</v>
      </c>
      <c r="AP312" s="72">
        <v>551813</v>
      </c>
      <c r="AQ312" s="72">
        <v>75000</v>
      </c>
      <c r="AR312" s="72">
        <v>0</v>
      </c>
      <c r="AS312" s="72">
        <v>0</v>
      </c>
      <c r="AT312" s="72">
        <v>0</v>
      </c>
      <c r="AU312" s="72">
        <v>0</v>
      </c>
      <c r="AV312" s="72">
        <v>0</v>
      </c>
      <c r="AW312" s="72">
        <v>0</v>
      </c>
      <c r="AX312" s="72">
        <v>0</v>
      </c>
      <c r="AY312" s="72">
        <v>0</v>
      </c>
      <c r="AZ312" s="72">
        <v>0</v>
      </c>
      <c r="BA312" s="72">
        <v>476813</v>
      </c>
      <c r="BB312" s="72">
        <v>0</v>
      </c>
      <c r="BC312" s="72">
        <v>0</v>
      </c>
      <c r="BD312" s="72">
        <v>0</v>
      </c>
      <c r="BE312" s="72">
        <v>476813</v>
      </c>
      <c r="BF312" s="72">
        <v>0</v>
      </c>
      <c r="BG312" s="72">
        <v>0</v>
      </c>
      <c r="BH312" s="72">
        <v>0</v>
      </c>
      <c r="BI312" s="72">
        <v>0</v>
      </c>
      <c r="BJ312" s="72">
        <v>476813</v>
      </c>
      <c r="BM312" s="72">
        <v>0</v>
      </c>
      <c r="BN312" s="72">
        <v>0</v>
      </c>
      <c r="BO312" s="72">
        <v>0</v>
      </c>
      <c r="BP312" s="72">
        <v>0</v>
      </c>
      <c r="BQ312" s="72">
        <v>0</v>
      </c>
      <c r="BR312" s="72">
        <v>0</v>
      </c>
      <c r="BS312" s="72">
        <v>7344225</v>
      </c>
    </row>
    <row r="313" spans="1:71" x14ac:dyDescent="0.2">
      <c r="A313" t="s">
        <v>477</v>
      </c>
      <c r="B313" t="s">
        <v>1181</v>
      </c>
      <c r="C313" t="s">
        <v>51</v>
      </c>
      <c r="D313" s="72">
        <v>11285737</v>
      </c>
      <c r="E313" s="72">
        <v>428</v>
      </c>
      <c r="F313" s="72">
        <v>0</v>
      </c>
      <c r="G313" s="72">
        <v>9616361</v>
      </c>
      <c r="H313" s="72">
        <v>11152</v>
      </c>
      <c r="I313" s="72">
        <v>0</v>
      </c>
      <c r="J313" s="72">
        <v>1185832</v>
      </c>
      <c r="K313" s="72">
        <v>2583386</v>
      </c>
      <c r="L313" s="72">
        <v>24682896</v>
      </c>
      <c r="M313" s="72">
        <v>0</v>
      </c>
      <c r="N313" s="72">
        <v>0</v>
      </c>
      <c r="O313" s="72">
        <v>762546</v>
      </c>
      <c r="P313" s="72">
        <v>0</v>
      </c>
      <c r="Q313" s="72">
        <v>63297</v>
      </c>
      <c r="R313" s="72">
        <v>825843</v>
      </c>
      <c r="S313" s="72">
        <v>25508739</v>
      </c>
      <c r="T313" s="72">
        <v>12689167</v>
      </c>
      <c r="U313" s="72">
        <v>4896548</v>
      </c>
      <c r="V313" s="72">
        <v>3792556</v>
      </c>
      <c r="W313" s="72">
        <v>1326778</v>
      </c>
      <c r="X313" s="72">
        <v>377509</v>
      </c>
      <c r="Y313" s="72">
        <v>0</v>
      </c>
      <c r="Z313" s="72">
        <v>0</v>
      </c>
      <c r="AA313" s="72">
        <v>0</v>
      </c>
      <c r="AB313" s="72">
        <v>0</v>
      </c>
      <c r="AC313" s="72">
        <v>0</v>
      </c>
      <c r="AD313" s="72">
        <v>0</v>
      </c>
      <c r="AE313" s="72">
        <v>0</v>
      </c>
      <c r="AF313" s="72">
        <v>0</v>
      </c>
      <c r="AG313" s="72">
        <v>510081</v>
      </c>
      <c r="AH313" s="72">
        <v>23592640</v>
      </c>
      <c r="AI313" s="72">
        <v>775546</v>
      </c>
      <c r="AJ313" s="72">
        <v>0</v>
      </c>
      <c r="AK313" s="72">
        <v>1500</v>
      </c>
      <c r="AL313" s="72">
        <v>777046</v>
      </c>
      <c r="AM313" s="72">
        <v>24369686</v>
      </c>
      <c r="AN313" s="72">
        <v>1139053</v>
      </c>
      <c r="AO313" s="72">
        <v>7969555</v>
      </c>
      <c r="AP313" s="72">
        <v>9108608</v>
      </c>
      <c r="AQ313" s="72">
        <v>527812</v>
      </c>
      <c r="AR313" s="72">
        <v>0</v>
      </c>
      <c r="AS313" s="72">
        <v>0</v>
      </c>
      <c r="AT313" s="72">
        <v>0</v>
      </c>
      <c r="AU313" s="72">
        <v>0</v>
      </c>
      <c r="AV313" s="72">
        <v>1222668</v>
      </c>
      <c r="AW313" s="72">
        <v>0</v>
      </c>
      <c r="AX313" s="72">
        <v>0</v>
      </c>
      <c r="AY313" s="72">
        <v>0</v>
      </c>
      <c r="AZ313" s="72">
        <v>1222668</v>
      </c>
      <c r="BA313" s="72">
        <v>7358128</v>
      </c>
      <c r="BB313" s="72">
        <v>0</v>
      </c>
      <c r="BC313" s="72">
        <v>0</v>
      </c>
      <c r="BD313" s="72">
        <v>0</v>
      </c>
      <c r="BE313" s="72">
        <v>7358128</v>
      </c>
      <c r="BF313" s="72">
        <v>0</v>
      </c>
      <c r="BG313" s="72">
        <v>0</v>
      </c>
      <c r="BH313" s="72">
        <v>0</v>
      </c>
      <c r="BI313" s="72">
        <v>0</v>
      </c>
      <c r="BJ313" s="72">
        <v>7358128</v>
      </c>
      <c r="BK313" s="72">
        <v>219</v>
      </c>
      <c r="BL313" s="72">
        <v>2399</v>
      </c>
      <c r="BM313" s="72">
        <v>0</v>
      </c>
      <c r="BN313" s="72">
        <v>0</v>
      </c>
      <c r="BO313" s="72">
        <v>0</v>
      </c>
      <c r="BP313" s="72">
        <v>0</v>
      </c>
      <c r="BQ313" s="72">
        <v>0</v>
      </c>
      <c r="BR313" s="72">
        <v>0</v>
      </c>
      <c r="BS313" s="72">
        <v>25508739</v>
      </c>
    </row>
    <row r="314" spans="1:71" x14ac:dyDescent="0.2">
      <c r="A314" t="s">
        <v>199</v>
      </c>
      <c r="B314" t="s">
        <v>918</v>
      </c>
      <c r="C314" t="s">
        <v>35</v>
      </c>
      <c r="D314" s="72">
        <v>13530579</v>
      </c>
      <c r="E314" s="72">
        <v>1126587</v>
      </c>
      <c r="F314" s="72">
        <v>3590238</v>
      </c>
      <c r="G314" s="72">
        <v>14058924</v>
      </c>
      <c r="H314" s="72">
        <v>49795</v>
      </c>
      <c r="I314" s="72">
        <v>0</v>
      </c>
      <c r="J314" s="72">
        <v>1496287</v>
      </c>
      <c r="K314" s="72">
        <v>1904487</v>
      </c>
      <c r="L314" s="72">
        <v>35756897</v>
      </c>
      <c r="M314" s="72">
        <v>0</v>
      </c>
      <c r="N314" s="72">
        <v>0</v>
      </c>
      <c r="O314" s="72">
        <v>0</v>
      </c>
      <c r="P314" s="72">
        <v>200000</v>
      </c>
      <c r="Q314" s="72">
        <v>320585</v>
      </c>
      <c r="R314" s="72">
        <v>520585</v>
      </c>
      <c r="S314" s="72">
        <v>36277482</v>
      </c>
      <c r="T314" s="72">
        <v>19110315</v>
      </c>
      <c r="U314" s="72">
        <v>6387863</v>
      </c>
      <c r="V314" s="72">
        <v>5970369</v>
      </c>
      <c r="W314" s="72">
        <v>1789369</v>
      </c>
      <c r="X314" s="72">
        <v>775033</v>
      </c>
      <c r="Y314" s="72">
        <v>0</v>
      </c>
      <c r="Z314" s="72">
        <v>0</v>
      </c>
      <c r="AA314" s="72">
        <v>0</v>
      </c>
      <c r="AB314" s="72">
        <v>0</v>
      </c>
      <c r="AC314" s="72">
        <v>0</v>
      </c>
      <c r="AD314" s="72">
        <v>187150</v>
      </c>
      <c r="AE314" s="72">
        <v>0</v>
      </c>
      <c r="AF314" s="72">
        <v>0</v>
      </c>
      <c r="AG314" s="72">
        <v>656617</v>
      </c>
      <c r="AH314" s="72">
        <v>34876716</v>
      </c>
      <c r="AI314" s="72">
        <v>190150</v>
      </c>
      <c r="AJ314" s="72">
        <v>200000</v>
      </c>
      <c r="AK314" s="72">
        <v>10000</v>
      </c>
      <c r="AL314" s="72">
        <v>400150</v>
      </c>
      <c r="AM314" s="72">
        <v>35276866</v>
      </c>
      <c r="AN314" s="72">
        <v>1000616</v>
      </c>
      <c r="AO314" s="72">
        <v>9293362</v>
      </c>
      <c r="AP314" s="72">
        <v>10293978</v>
      </c>
      <c r="AQ314" s="72">
        <v>0</v>
      </c>
      <c r="AR314" s="72">
        <v>0</v>
      </c>
      <c r="AS314" s="72">
        <v>0</v>
      </c>
      <c r="AT314" s="72">
        <v>0</v>
      </c>
      <c r="AU314" s="72">
        <v>0</v>
      </c>
      <c r="AV314" s="72">
        <v>0</v>
      </c>
      <c r="AW314" s="72">
        <v>0</v>
      </c>
      <c r="AX314" s="72">
        <v>0</v>
      </c>
      <c r="AY314" s="72">
        <v>0</v>
      </c>
      <c r="AZ314" s="72">
        <v>0</v>
      </c>
      <c r="BA314" s="72">
        <v>10293978</v>
      </c>
      <c r="BB314" s="72">
        <v>0</v>
      </c>
      <c r="BC314" s="72">
        <v>0</v>
      </c>
      <c r="BD314" s="72">
        <v>0</v>
      </c>
      <c r="BE314" s="72">
        <v>10293978</v>
      </c>
      <c r="BF314" s="72">
        <v>0</v>
      </c>
      <c r="BG314" s="72">
        <v>0</v>
      </c>
      <c r="BH314" s="72">
        <v>0</v>
      </c>
      <c r="BI314" s="72">
        <v>0</v>
      </c>
      <c r="BJ314" s="72">
        <v>10293978</v>
      </c>
      <c r="BM314" s="72">
        <v>0</v>
      </c>
      <c r="BN314" s="72">
        <v>0</v>
      </c>
      <c r="BO314" s="72">
        <v>0</v>
      </c>
      <c r="BP314" s="72">
        <v>0</v>
      </c>
      <c r="BQ314" s="72">
        <v>0</v>
      </c>
      <c r="BR314" s="72">
        <v>0</v>
      </c>
      <c r="BS314" s="72">
        <v>36277482</v>
      </c>
    </row>
    <row r="315" spans="1:71" x14ac:dyDescent="0.2">
      <c r="A315" t="s">
        <v>355</v>
      </c>
      <c r="B315" t="s">
        <v>1067</v>
      </c>
      <c r="C315" t="s">
        <v>35</v>
      </c>
      <c r="D315" s="72">
        <v>4544585</v>
      </c>
      <c r="E315" s="72">
        <v>172923</v>
      </c>
      <c r="F315" s="72">
        <v>0</v>
      </c>
      <c r="G315" s="72">
        <v>17525125</v>
      </c>
      <c r="H315" s="72">
        <v>69904</v>
      </c>
      <c r="I315" s="72">
        <v>0</v>
      </c>
      <c r="J315" s="72">
        <v>951545</v>
      </c>
      <c r="K315" s="72">
        <v>354589</v>
      </c>
      <c r="L315" s="72">
        <v>23618671</v>
      </c>
      <c r="M315" s="72">
        <v>0</v>
      </c>
      <c r="N315" s="72">
        <v>0</v>
      </c>
      <c r="O315" s="72">
        <v>0</v>
      </c>
      <c r="P315" s="72">
        <v>45000</v>
      </c>
      <c r="Q315" s="72">
        <v>710042</v>
      </c>
      <c r="R315" s="72">
        <v>755042</v>
      </c>
      <c r="S315" s="72">
        <v>24373713</v>
      </c>
      <c r="T315" s="72">
        <v>14178806</v>
      </c>
      <c r="U315" s="72">
        <v>5028866</v>
      </c>
      <c r="V315" s="72">
        <v>4294767</v>
      </c>
      <c r="W315" s="72">
        <v>535254</v>
      </c>
      <c r="X315" s="72">
        <v>43252</v>
      </c>
      <c r="Y315" s="72">
        <v>0</v>
      </c>
      <c r="Z315" s="72">
        <v>0</v>
      </c>
      <c r="AA315" s="72">
        <v>0</v>
      </c>
      <c r="AB315" s="72">
        <v>0</v>
      </c>
      <c r="AC315" s="72">
        <v>0</v>
      </c>
      <c r="AD315" s="72">
        <v>0</v>
      </c>
      <c r="AE315" s="72">
        <v>0</v>
      </c>
      <c r="AF315" s="72">
        <v>0</v>
      </c>
      <c r="AG315" s="72">
        <v>135865</v>
      </c>
      <c r="AH315" s="72">
        <v>24216810</v>
      </c>
      <c r="AI315" s="72">
        <v>0</v>
      </c>
      <c r="AJ315" s="72">
        <v>45000</v>
      </c>
      <c r="AK315" s="72">
        <v>0</v>
      </c>
      <c r="AL315" s="72">
        <v>45000</v>
      </c>
      <c r="AM315" s="72">
        <v>24261810</v>
      </c>
      <c r="AN315" s="72">
        <v>111903</v>
      </c>
      <c r="AO315" s="72">
        <v>9779659</v>
      </c>
      <c r="AP315" s="72">
        <v>9891562</v>
      </c>
      <c r="AQ315" s="72">
        <v>125000</v>
      </c>
      <c r="AR315" s="72">
        <v>0</v>
      </c>
      <c r="AS315" s="72">
        <v>0</v>
      </c>
      <c r="AT315" s="72">
        <v>0</v>
      </c>
      <c r="AU315" s="72">
        <v>0</v>
      </c>
      <c r="AV315" s="72">
        <v>0</v>
      </c>
      <c r="AW315" s="72">
        <v>0</v>
      </c>
      <c r="AX315" s="72">
        <v>0</v>
      </c>
      <c r="AY315" s="72">
        <v>0</v>
      </c>
      <c r="AZ315" s="72">
        <v>0</v>
      </c>
      <c r="BA315" s="72">
        <v>9766562</v>
      </c>
      <c r="BB315" s="72">
        <v>0</v>
      </c>
      <c r="BC315" s="72">
        <v>0</v>
      </c>
      <c r="BD315" s="72">
        <v>0</v>
      </c>
      <c r="BE315" s="72">
        <v>9766562</v>
      </c>
      <c r="BF315" s="72">
        <v>0</v>
      </c>
      <c r="BG315" s="72">
        <v>0</v>
      </c>
      <c r="BH315" s="72">
        <v>0</v>
      </c>
      <c r="BI315" s="72">
        <v>0</v>
      </c>
      <c r="BJ315" s="72">
        <v>9766562</v>
      </c>
      <c r="BK315" s="72">
        <v>252</v>
      </c>
      <c r="BL315" s="72">
        <v>2938</v>
      </c>
      <c r="BS315" s="72">
        <v>24373713</v>
      </c>
    </row>
    <row r="316" spans="1:71" x14ac:dyDescent="0.2">
      <c r="A316" t="s">
        <v>327</v>
      </c>
      <c r="B316" t="s">
        <v>1041</v>
      </c>
      <c r="C316" t="s">
        <v>35</v>
      </c>
      <c r="D316" s="72">
        <v>50887797</v>
      </c>
      <c r="E316" s="72">
        <v>1865181</v>
      </c>
      <c r="F316" s="72">
        <v>0</v>
      </c>
      <c r="G316" s="72">
        <v>11234384</v>
      </c>
      <c r="H316" s="72">
        <v>43824</v>
      </c>
      <c r="I316" s="72">
        <v>0</v>
      </c>
      <c r="J316" s="72">
        <v>8448926</v>
      </c>
      <c r="K316" s="72">
        <v>8525642</v>
      </c>
      <c r="L316" s="72">
        <v>81005754</v>
      </c>
      <c r="M316" s="72">
        <v>0</v>
      </c>
      <c r="N316" s="72">
        <v>0</v>
      </c>
      <c r="O316" s="72">
        <v>0</v>
      </c>
      <c r="P316" s="72">
        <v>564300</v>
      </c>
      <c r="Q316" s="72">
        <v>10000</v>
      </c>
      <c r="R316" s="72">
        <v>574300</v>
      </c>
      <c r="S316" s="72">
        <v>81580054</v>
      </c>
      <c r="T316" s="72">
        <v>49393187</v>
      </c>
      <c r="U316" s="72">
        <v>14073492</v>
      </c>
      <c r="V316" s="72">
        <v>8292718</v>
      </c>
      <c r="W316" s="72">
        <v>2381318</v>
      </c>
      <c r="X316" s="72">
        <v>1320955</v>
      </c>
      <c r="Y316" s="72">
        <v>0</v>
      </c>
      <c r="Z316" s="72">
        <v>0</v>
      </c>
      <c r="AA316" s="72">
        <v>898185</v>
      </c>
      <c r="AB316" s="72">
        <v>125000</v>
      </c>
      <c r="AC316" s="72">
        <v>0</v>
      </c>
      <c r="AD316" s="72">
        <v>115000</v>
      </c>
      <c r="AE316" s="72">
        <v>0</v>
      </c>
      <c r="AF316" s="72">
        <v>716265</v>
      </c>
      <c r="AG316" s="72">
        <v>1781465</v>
      </c>
      <c r="AH316" s="72">
        <v>79097585</v>
      </c>
      <c r="AI316" s="72">
        <v>66860</v>
      </c>
      <c r="AJ316" s="72">
        <v>600000</v>
      </c>
      <c r="AK316" s="72">
        <v>1001000</v>
      </c>
      <c r="AL316" s="72">
        <v>1667860</v>
      </c>
      <c r="AM316" s="72">
        <v>80765445</v>
      </c>
      <c r="AN316" s="72">
        <v>814609</v>
      </c>
      <c r="AO316" s="72">
        <v>9033221</v>
      </c>
      <c r="AP316" s="72">
        <v>9847830</v>
      </c>
      <c r="AQ316" s="72">
        <v>3200000</v>
      </c>
      <c r="AR316" s="72">
        <v>0</v>
      </c>
      <c r="AS316" s="72">
        <v>0</v>
      </c>
      <c r="AT316" s="72">
        <v>1000303</v>
      </c>
      <c r="AU316" s="72">
        <v>0</v>
      </c>
      <c r="AV316" s="72">
        <v>0</v>
      </c>
      <c r="AW316" s="72">
        <v>0</v>
      </c>
      <c r="AX316" s="72">
        <v>0</v>
      </c>
      <c r="AY316" s="72">
        <v>0</v>
      </c>
      <c r="AZ316" s="72">
        <v>1000303</v>
      </c>
      <c r="BA316" s="72">
        <v>5647527</v>
      </c>
      <c r="BB316" s="72">
        <v>0</v>
      </c>
      <c r="BC316" s="72">
        <v>0</v>
      </c>
      <c r="BD316" s="72">
        <v>0</v>
      </c>
      <c r="BE316" s="72">
        <v>5647527</v>
      </c>
      <c r="BF316" s="72">
        <v>0</v>
      </c>
      <c r="BG316" s="72">
        <v>0</v>
      </c>
      <c r="BH316" s="72">
        <v>0</v>
      </c>
      <c r="BI316" s="72">
        <v>0</v>
      </c>
      <c r="BJ316" s="72">
        <v>5647527</v>
      </c>
      <c r="BM316" s="72">
        <v>0</v>
      </c>
      <c r="BN316" s="72">
        <v>0</v>
      </c>
      <c r="BO316" s="72">
        <v>0</v>
      </c>
      <c r="BP316" s="72">
        <v>0</v>
      </c>
      <c r="BQ316" s="72">
        <v>0</v>
      </c>
      <c r="BR316" s="72">
        <v>0</v>
      </c>
      <c r="BS316" s="72">
        <v>81580054</v>
      </c>
    </row>
    <row r="317" spans="1:71" x14ac:dyDescent="0.2">
      <c r="A317" t="s">
        <v>353</v>
      </c>
      <c r="B317" t="s">
        <v>1065</v>
      </c>
      <c r="C317" t="s">
        <v>35</v>
      </c>
      <c r="D317" s="72">
        <v>25292179</v>
      </c>
      <c r="E317" s="72">
        <v>0</v>
      </c>
      <c r="F317" s="72">
        <v>0</v>
      </c>
      <c r="G317" s="72">
        <v>30771079</v>
      </c>
      <c r="H317" s="72">
        <v>0</v>
      </c>
      <c r="I317" s="72">
        <v>0</v>
      </c>
      <c r="J317" s="72">
        <v>3486918</v>
      </c>
      <c r="K317" s="72">
        <v>2853950</v>
      </c>
      <c r="L317" s="72">
        <v>62404126</v>
      </c>
      <c r="M317" s="72">
        <v>0</v>
      </c>
      <c r="N317" s="72">
        <v>0</v>
      </c>
      <c r="O317" s="72">
        <v>0</v>
      </c>
      <c r="P317" s="72">
        <v>0</v>
      </c>
      <c r="Q317" s="72">
        <v>150000</v>
      </c>
      <c r="R317" s="72">
        <v>150000</v>
      </c>
      <c r="S317" s="72">
        <v>62554126</v>
      </c>
      <c r="T317" s="72">
        <v>26750000</v>
      </c>
      <c r="U317" s="72">
        <v>11558519</v>
      </c>
      <c r="V317" s="72">
        <v>19908917</v>
      </c>
      <c r="W317" s="72">
        <v>1201850</v>
      </c>
      <c r="X317" s="72">
        <v>0</v>
      </c>
      <c r="Y317" s="72">
        <v>0</v>
      </c>
      <c r="Z317" s="72">
        <v>0</v>
      </c>
      <c r="AA317" s="72">
        <v>0</v>
      </c>
      <c r="AB317" s="72">
        <v>0</v>
      </c>
      <c r="AC317" s="72">
        <v>0</v>
      </c>
      <c r="AD317" s="72">
        <v>0</v>
      </c>
      <c r="AE317" s="72">
        <v>0</v>
      </c>
      <c r="AF317" s="72">
        <v>0</v>
      </c>
      <c r="AG317" s="72">
        <v>1285095</v>
      </c>
      <c r="AH317" s="72">
        <v>60704381</v>
      </c>
      <c r="AI317" s="72">
        <v>0</v>
      </c>
      <c r="AJ317" s="72">
        <v>0</v>
      </c>
      <c r="AK317" s="72">
        <v>870000</v>
      </c>
      <c r="AL317" s="72">
        <v>870000</v>
      </c>
      <c r="AM317" s="72">
        <v>61574381</v>
      </c>
      <c r="AN317" s="72">
        <v>979745</v>
      </c>
      <c r="AO317" s="72">
        <v>80290</v>
      </c>
      <c r="AP317" s="72">
        <v>1060035</v>
      </c>
      <c r="AQ317" s="72">
        <v>60000</v>
      </c>
      <c r="AR317" s="72">
        <v>0</v>
      </c>
      <c r="AS317" s="72">
        <v>0</v>
      </c>
      <c r="AT317" s="72">
        <v>0</v>
      </c>
      <c r="AU317" s="72">
        <v>0</v>
      </c>
      <c r="AV317" s="72">
        <v>0</v>
      </c>
      <c r="AW317" s="72">
        <v>0</v>
      </c>
      <c r="AX317" s="72">
        <v>5278750</v>
      </c>
      <c r="AY317" s="72">
        <v>0</v>
      </c>
      <c r="AZ317" s="72">
        <v>5278750</v>
      </c>
      <c r="BA317" s="72">
        <v>-4278715</v>
      </c>
      <c r="BB317" s="72">
        <v>0</v>
      </c>
      <c r="BC317" s="72">
        <v>0</v>
      </c>
      <c r="BD317" s="72">
        <v>0</v>
      </c>
      <c r="BE317" s="72">
        <v>-4278715</v>
      </c>
      <c r="BF317" s="72">
        <v>0</v>
      </c>
      <c r="BG317" s="72">
        <v>0</v>
      </c>
      <c r="BH317" s="72">
        <v>0</v>
      </c>
      <c r="BI317" s="72">
        <v>0</v>
      </c>
      <c r="BJ317" s="72">
        <v>-4278715</v>
      </c>
      <c r="BK317" s="72">
        <v>604</v>
      </c>
      <c r="BL317" s="72">
        <v>6645</v>
      </c>
      <c r="BM317" s="72">
        <v>0</v>
      </c>
      <c r="BN317" s="72">
        <v>0</v>
      </c>
      <c r="BO317" s="72">
        <v>0</v>
      </c>
      <c r="BP317" s="72">
        <v>0</v>
      </c>
      <c r="BQ317" s="72">
        <v>0</v>
      </c>
      <c r="BR317" s="72">
        <v>0</v>
      </c>
      <c r="BS317" s="72">
        <v>62554126</v>
      </c>
    </row>
    <row r="318" spans="1:71" x14ac:dyDescent="0.2">
      <c r="A318" t="s">
        <v>503</v>
      </c>
      <c r="B318" t="s">
        <v>1207</v>
      </c>
      <c r="C318" t="s">
        <v>35</v>
      </c>
      <c r="D318" s="72">
        <v>40858244</v>
      </c>
      <c r="E318" s="72">
        <v>0</v>
      </c>
      <c r="F318" s="72">
        <v>0</v>
      </c>
      <c r="G318" s="72">
        <v>2866207</v>
      </c>
      <c r="H318" s="72">
        <v>1734</v>
      </c>
      <c r="I318" s="72">
        <v>0</v>
      </c>
      <c r="J318" s="72">
        <v>4756889</v>
      </c>
      <c r="K318" s="72">
        <v>4307489</v>
      </c>
      <c r="L318" s="72">
        <v>52790563</v>
      </c>
      <c r="M318" s="72">
        <v>0</v>
      </c>
      <c r="N318" s="72">
        <v>0</v>
      </c>
      <c r="O318" s="72">
        <v>0</v>
      </c>
      <c r="P318" s="72">
        <v>0</v>
      </c>
      <c r="Q318" s="72">
        <v>515688</v>
      </c>
      <c r="R318" s="72">
        <v>515688</v>
      </c>
      <c r="S318" s="72">
        <v>53306251</v>
      </c>
      <c r="T318" s="72">
        <v>33793000</v>
      </c>
      <c r="U318" s="72">
        <v>12136752</v>
      </c>
      <c r="V318" s="72">
        <v>5754153</v>
      </c>
      <c r="W318" s="72">
        <v>1571059</v>
      </c>
      <c r="X318" s="72">
        <v>817573</v>
      </c>
      <c r="Y318" s="72">
        <v>0</v>
      </c>
      <c r="Z318" s="72">
        <v>0</v>
      </c>
      <c r="AA318" s="72">
        <v>0</v>
      </c>
      <c r="AB318" s="72">
        <v>0</v>
      </c>
      <c r="AC318" s="72">
        <v>0</v>
      </c>
      <c r="AD318" s="72">
        <v>175000</v>
      </c>
      <c r="AE318" s="72">
        <v>0</v>
      </c>
      <c r="AF318" s="72">
        <v>54388</v>
      </c>
      <c r="AG318" s="72">
        <v>1140000</v>
      </c>
      <c r="AH318" s="72">
        <v>55441925</v>
      </c>
      <c r="AI318" s="72">
        <v>459000</v>
      </c>
      <c r="AJ318" s="72">
        <v>0</v>
      </c>
      <c r="AK318" s="72">
        <v>520000</v>
      </c>
      <c r="AL318" s="72">
        <v>979000</v>
      </c>
      <c r="AM318" s="72">
        <v>56420925</v>
      </c>
      <c r="AN318" s="72">
        <v>-3114674</v>
      </c>
      <c r="AO318" s="72">
        <v>15901253</v>
      </c>
      <c r="AP318" s="72">
        <v>12786579</v>
      </c>
      <c r="AQ318" s="72">
        <v>500000</v>
      </c>
      <c r="AR318" s="72">
        <v>0</v>
      </c>
      <c r="AS318" s="72">
        <v>0</v>
      </c>
      <c r="AT318" s="72">
        <v>0</v>
      </c>
      <c r="AU318" s="72">
        <v>0</v>
      </c>
      <c r="AV318" s="72">
        <v>0</v>
      </c>
      <c r="AW318" s="72">
        <v>0</v>
      </c>
      <c r="AX318" s="72">
        <v>0</v>
      </c>
      <c r="AY318" s="72">
        <v>0</v>
      </c>
      <c r="AZ318" s="72">
        <v>0</v>
      </c>
      <c r="BA318" s="72">
        <v>12286579</v>
      </c>
      <c r="BB318" s="72">
        <v>0</v>
      </c>
      <c r="BC318" s="72">
        <v>0</v>
      </c>
      <c r="BD318" s="72">
        <v>0</v>
      </c>
      <c r="BE318" s="72">
        <v>12286579</v>
      </c>
      <c r="BF318" s="72">
        <v>0</v>
      </c>
      <c r="BG318" s="72">
        <v>0</v>
      </c>
      <c r="BH318" s="72">
        <v>0</v>
      </c>
      <c r="BI318" s="72">
        <v>0</v>
      </c>
      <c r="BJ318" s="72">
        <v>12286579</v>
      </c>
      <c r="BS318" s="72">
        <v>56420925</v>
      </c>
    </row>
    <row r="319" spans="1:71" x14ac:dyDescent="0.2">
      <c r="A319" t="s">
        <v>601</v>
      </c>
      <c r="B319" t="s">
        <v>1298</v>
      </c>
      <c r="C319" t="s">
        <v>35</v>
      </c>
      <c r="D319" s="72">
        <v>21571688</v>
      </c>
      <c r="E319" s="72">
        <v>0</v>
      </c>
      <c r="F319" s="72">
        <v>4648875</v>
      </c>
      <c r="G319" s="72">
        <v>27633807</v>
      </c>
      <c r="H319" s="72">
        <v>0</v>
      </c>
      <c r="I319" s="72">
        <v>0</v>
      </c>
      <c r="J319" s="72">
        <v>2959436</v>
      </c>
      <c r="K319" s="72">
        <v>5235669</v>
      </c>
      <c r="L319" s="72">
        <v>62049475</v>
      </c>
      <c r="M319" s="72">
        <v>0</v>
      </c>
      <c r="N319" s="72">
        <v>0</v>
      </c>
      <c r="O319" s="72">
        <v>0</v>
      </c>
      <c r="P319" s="72">
        <v>65000</v>
      </c>
      <c r="Q319" s="72">
        <v>170000</v>
      </c>
      <c r="R319" s="72">
        <v>235000</v>
      </c>
      <c r="S319" s="72">
        <v>62284475</v>
      </c>
      <c r="T319" s="72">
        <v>29531778</v>
      </c>
      <c r="U319" s="72">
        <v>12742024</v>
      </c>
      <c r="V319" s="72">
        <v>13313764</v>
      </c>
      <c r="W319" s="72">
        <v>1708840</v>
      </c>
      <c r="X319" s="72">
        <v>204725</v>
      </c>
      <c r="Y319" s="72">
        <v>0</v>
      </c>
      <c r="Z319" s="72">
        <v>0</v>
      </c>
      <c r="AA319" s="72">
        <v>0</v>
      </c>
      <c r="AB319" s="72">
        <v>0</v>
      </c>
      <c r="AC319" s="72">
        <v>0</v>
      </c>
      <c r="AD319" s="72">
        <v>0</v>
      </c>
      <c r="AE319" s="72">
        <v>0</v>
      </c>
      <c r="AF319" s="72">
        <v>0</v>
      </c>
      <c r="AG319" s="72">
        <v>601415</v>
      </c>
      <c r="AH319" s="72">
        <v>58102546</v>
      </c>
      <c r="AI319" s="72">
        <v>1080000</v>
      </c>
      <c r="AJ319" s="72">
        <v>65000</v>
      </c>
      <c r="AK319" s="72">
        <v>1196855</v>
      </c>
      <c r="AL319" s="72">
        <v>2341855</v>
      </c>
      <c r="AM319" s="72">
        <v>60444401</v>
      </c>
      <c r="AN319" s="72">
        <v>1840074</v>
      </c>
      <c r="AO319" s="72">
        <v>11768173</v>
      </c>
      <c r="AP319" s="72">
        <v>13608247</v>
      </c>
      <c r="AQ319" s="72">
        <v>775000</v>
      </c>
      <c r="AR319" s="72">
        <v>0</v>
      </c>
      <c r="AS319" s="72">
        <v>0</v>
      </c>
      <c r="AT319" s="72">
        <v>0</v>
      </c>
      <c r="AU319" s="72">
        <v>0</v>
      </c>
      <c r="AV319" s="72">
        <v>0</v>
      </c>
      <c r="AW319" s="72">
        <v>0</v>
      </c>
      <c r="AX319" s="72">
        <v>0</v>
      </c>
      <c r="AY319" s="72">
        <v>0</v>
      </c>
      <c r="AZ319" s="72">
        <v>0</v>
      </c>
      <c r="BA319" s="72">
        <v>12833247</v>
      </c>
      <c r="BB319" s="72">
        <v>0</v>
      </c>
      <c r="BC319" s="72">
        <v>0</v>
      </c>
      <c r="BD319" s="72">
        <v>0</v>
      </c>
      <c r="BE319" s="72">
        <v>12833247</v>
      </c>
      <c r="BF319" s="72">
        <v>0</v>
      </c>
      <c r="BG319" s="72">
        <v>0</v>
      </c>
      <c r="BH319" s="72">
        <v>0</v>
      </c>
      <c r="BI319" s="72">
        <v>0</v>
      </c>
      <c r="BJ319" s="72">
        <v>12833247</v>
      </c>
      <c r="BM319" s="72">
        <v>0</v>
      </c>
      <c r="BN319" s="72">
        <v>0</v>
      </c>
      <c r="BO319" s="72">
        <v>0</v>
      </c>
      <c r="BP319" s="72">
        <v>0</v>
      </c>
      <c r="BQ319" s="72">
        <v>0</v>
      </c>
      <c r="BR319" s="72">
        <v>0</v>
      </c>
      <c r="BS319" s="72">
        <v>62284475</v>
      </c>
    </row>
    <row r="320" spans="1:71" x14ac:dyDescent="0.2">
      <c r="A320" t="s">
        <v>363</v>
      </c>
      <c r="B320" t="s">
        <v>1074</v>
      </c>
      <c r="C320" t="s">
        <v>35</v>
      </c>
      <c r="D320" s="72">
        <v>100907629</v>
      </c>
      <c r="E320" s="72">
        <v>5031277</v>
      </c>
      <c r="F320" s="72">
        <v>0</v>
      </c>
      <c r="G320" s="72">
        <v>38124411</v>
      </c>
      <c r="H320" s="72">
        <v>68778</v>
      </c>
      <c r="I320" s="72">
        <v>0</v>
      </c>
      <c r="J320" s="72">
        <v>17527643</v>
      </c>
      <c r="K320" s="72">
        <v>6458488</v>
      </c>
      <c r="L320" s="72">
        <v>168118226</v>
      </c>
      <c r="M320" s="72">
        <v>0</v>
      </c>
      <c r="N320" s="72">
        <v>0</v>
      </c>
      <c r="O320" s="72">
        <v>0</v>
      </c>
      <c r="P320" s="72">
        <v>0</v>
      </c>
      <c r="Q320" s="72">
        <v>60000</v>
      </c>
      <c r="R320" s="72">
        <v>60000</v>
      </c>
      <c r="S320" s="72">
        <v>168178226</v>
      </c>
      <c r="T320" s="72">
        <v>102604928</v>
      </c>
      <c r="U320" s="72">
        <v>38960206</v>
      </c>
      <c r="V320" s="72">
        <v>14527679</v>
      </c>
      <c r="W320" s="72">
        <v>4656018</v>
      </c>
      <c r="X320" s="72">
        <v>185217</v>
      </c>
      <c r="Y320" s="72">
        <v>0</v>
      </c>
      <c r="Z320" s="72">
        <v>0</v>
      </c>
      <c r="AA320" s="72">
        <v>0</v>
      </c>
      <c r="AB320" s="72">
        <v>0</v>
      </c>
      <c r="AC320" s="72">
        <v>0</v>
      </c>
      <c r="AD320" s="72">
        <v>0</v>
      </c>
      <c r="AE320" s="72">
        <v>0</v>
      </c>
      <c r="AF320" s="72">
        <v>277500</v>
      </c>
      <c r="AG320" s="72">
        <v>3664154</v>
      </c>
      <c r="AH320" s="72">
        <v>164875702</v>
      </c>
      <c r="AI320" s="72">
        <v>333333</v>
      </c>
      <c r="AJ320" s="72">
        <v>0</v>
      </c>
      <c r="AK320" s="72">
        <v>0</v>
      </c>
      <c r="AL320" s="72">
        <v>333333</v>
      </c>
      <c r="AM320" s="72">
        <v>165209035</v>
      </c>
      <c r="AN320" s="72">
        <v>2969191</v>
      </c>
      <c r="AO320" s="72">
        <v>21185272</v>
      </c>
      <c r="AP320" s="72">
        <v>24154463</v>
      </c>
      <c r="AQ320" s="72">
        <v>1800000</v>
      </c>
      <c r="AR320" s="72">
        <v>0</v>
      </c>
      <c r="AS320" s="72">
        <v>0</v>
      </c>
      <c r="AT320" s="72">
        <v>0</v>
      </c>
      <c r="AU320" s="72">
        <v>0</v>
      </c>
      <c r="AV320" s="72">
        <v>0</v>
      </c>
      <c r="AW320" s="72">
        <v>0</v>
      </c>
      <c r="AX320" s="72">
        <v>0</v>
      </c>
      <c r="AY320" s="72">
        <v>0</v>
      </c>
      <c r="AZ320" s="72">
        <v>0</v>
      </c>
      <c r="BA320" s="72">
        <v>22354463</v>
      </c>
      <c r="BB320" s="72">
        <v>0</v>
      </c>
      <c r="BC320" s="72">
        <v>0</v>
      </c>
      <c r="BD320" s="72">
        <v>0</v>
      </c>
      <c r="BE320" s="72">
        <v>22354463</v>
      </c>
      <c r="BF320" s="72">
        <v>0</v>
      </c>
      <c r="BG320" s="72">
        <v>0</v>
      </c>
      <c r="BH320" s="72">
        <v>0</v>
      </c>
      <c r="BI320" s="72">
        <v>0</v>
      </c>
      <c r="BJ320" s="72">
        <v>22354463</v>
      </c>
      <c r="BM320" s="72">
        <v>0</v>
      </c>
      <c r="BN320" s="72">
        <v>0</v>
      </c>
      <c r="BO320" s="72">
        <v>0</v>
      </c>
      <c r="BP320" s="72">
        <v>0</v>
      </c>
      <c r="BQ320" s="72">
        <v>0</v>
      </c>
      <c r="BR320" s="72">
        <v>0</v>
      </c>
      <c r="BS320" s="72">
        <v>168178226</v>
      </c>
    </row>
    <row r="321" spans="1:71" x14ac:dyDescent="0.2">
      <c r="A321" t="s">
        <v>270</v>
      </c>
      <c r="B321" t="s">
        <v>987</v>
      </c>
      <c r="C321" t="s">
        <v>35</v>
      </c>
      <c r="D321" s="72">
        <v>141895403</v>
      </c>
      <c r="E321" s="72">
        <v>0</v>
      </c>
      <c r="G321" s="72">
        <v>14331959</v>
      </c>
      <c r="H321" s="72">
        <v>250000</v>
      </c>
      <c r="I321" s="72">
        <v>0</v>
      </c>
      <c r="J321" s="72">
        <v>17939545</v>
      </c>
      <c r="K321" s="72">
        <v>1346172</v>
      </c>
      <c r="L321" s="72">
        <v>175763079</v>
      </c>
      <c r="O321" s="72">
        <v>0</v>
      </c>
      <c r="P321" s="72">
        <v>108150</v>
      </c>
      <c r="Q321" s="72">
        <v>425382</v>
      </c>
      <c r="R321" s="72">
        <v>533532</v>
      </c>
      <c r="S321" s="72">
        <v>176296611</v>
      </c>
      <c r="T321" s="72">
        <v>110198081</v>
      </c>
      <c r="U321" s="72">
        <v>40888889</v>
      </c>
      <c r="V321" s="72">
        <v>12271578</v>
      </c>
      <c r="W321" s="72">
        <v>5639875</v>
      </c>
      <c r="X321" s="72">
        <v>279659</v>
      </c>
      <c r="AG321" s="72">
        <v>2864586</v>
      </c>
      <c r="AH321" s="72">
        <v>172142668</v>
      </c>
      <c r="AI321" s="72">
        <v>449350</v>
      </c>
      <c r="AJ321" s="72">
        <v>50000</v>
      </c>
      <c r="AK321" s="72">
        <v>14166</v>
      </c>
      <c r="AL321" s="72">
        <v>513516</v>
      </c>
      <c r="AM321" s="72">
        <v>172656184</v>
      </c>
      <c r="AN321" s="72">
        <v>3640427</v>
      </c>
      <c r="AO321" s="72">
        <v>38241504</v>
      </c>
      <c r="AP321" s="72">
        <v>41881931</v>
      </c>
      <c r="AQ321" s="72">
        <v>2668211</v>
      </c>
      <c r="AR321" s="72">
        <v>0</v>
      </c>
      <c r="AS321" s="72">
        <v>0</v>
      </c>
      <c r="AT321" s="72">
        <v>0</v>
      </c>
      <c r="AU321" s="72">
        <v>0</v>
      </c>
      <c r="AV321" s="72">
        <v>0</v>
      </c>
      <c r="AW321" s="72">
        <v>0</v>
      </c>
      <c r="AX321" s="72">
        <v>0</v>
      </c>
      <c r="AY321" s="72">
        <v>0</v>
      </c>
      <c r="AZ321" s="72">
        <v>0</v>
      </c>
      <c r="BA321" s="72">
        <v>39213720</v>
      </c>
      <c r="BE321" s="72">
        <v>39213720</v>
      </c>
      <c r="BJ321" s="72">
        <v>39213720</v>
      </c>
      <c r="BK321" s="72">
        <v>936</v>
      </c>
      <c r="BL321" s="72">
        <v>13641</v>
      </c>
      <c r="BM321" s="72">
        <v>0</v>
      </c>
      <c r="BN321" s="72">
        <v>0</v>
      </c>
      <c r="BO321" s="72">
        <v>0</v>
      </c>
      <c r="BP321" s="72">
        <v>0</v>
      </c>
      <c r="BQ321" s="72">
        <v>0</v>
      </c>
      <c r="BR321" s="72">
        <v>0</v>
      </c>
      <c r="BS321" s="72">
        <v>176296611</v>
      </c>
    </row>
    <row r="322" spans="1:71" x14ac:dyDescent="0.2">
      <c r="A322" t="s">
        <v>130</v>
      </c>
      <c r="B322" t="s">
        <v>851</v>
      </c>
      <c r="C322" t="s">
        <v>83</v>
      </c>
      <c r="D322" s="72">
        <v>4918369</v>
      </c>
      <c r="E322" s="72">
        <v>396537</v>
      </c>
      <c r="F322" s="72">
        <v>0</v>
      </c>
      <c r="G322" s="72">
        <v>2854216</v>
      </c>
      <c r="H322" s="72">
        <v>152584</v>
      </c>
      <c r="I322" s="72">
        <v>0</v>
      </c>
      <c r="J322" s="72">
        <v>2577896</v>
      </c>
      <c r="K322" s="72">
        <v>594735</v>
      </c>
      <c r="L322" s="72">
        <v>11494337</v>
      </c>
      <c r="M322" s="72">
        <v>0</v>
      </c>
      <c r="N322" s="72">
        <v>0</v>
      </c>
      <c r="O322" s="72">
        <v>0</v>
      </c>
      <c r="P322" s="72">
        <v>7000</v>
      </c>
      <c r="Q322" s="72">
        <v>35000</v>
      </c>
      <c r="R322" s="72">
        <v>42000</v>
      </c>
      <c r="S322" s="72">
        <v>11536337</v>
      </c>
      <c r="T322" s="72">
        <v>6817793</v>
      </c>
      <c r="U322" s="72">
        <v>2665761</v>
      </c>
      <c r="V322" s="72">
        <v>2023115</v>
      </c>
      <c r="W322" s="72">
        <v>365000</v>
      </c>
      <c r="X322" s="72">
        <v>28000</v>
      </c>
      <c r="Y322" s="72">
        <v>0</v>
      </c>
      <c r="Z322" s="72">
        <v>0</v>
      </c>
      <c r="AA322" s="72">
        <v>0</v>
      </c>
      <c r="AB322" s="72">
        <v>0</v>
      </c>
      <c r="AC322" s="72">
        <v>0</v>
      </c>
      <c r="AD322" s="72">
        <v>0</v>
      </c>
      <c r="AE322" s="72">
        <v>0</v>
      </c>
      <c r="AF322" s="72">
        <v>0</v>
      </c>
      <c r="AG322" s="72">
        <v>227150</v>
      </c>
      <c r="AH322" s="72">
        <v>12126819</v>
      </c>
      <c r="AI322" s="72">
        <v>75000</v>
      </c>
      <c r="AJ322" s="72">
        <v>7000</v>
      </c>
      <c r="AK322" s="72">
        <v>0</v>
      </c>
      <c r="AL322" s="72">
        <v>82000</v>
      </c>
      <c r="AM322" s="72">
        <v>12208819</v>
      </c>
      <c r="AN322" s="72">
        <v>-672482</v>
      </c>
      <c r="AO322" s="72">
        <v>3825154</v>
      </c>
      <c r="AP322" s="72">
        <v>3152672</v>
      </c>
      <c r="AQ322" s="72">
        <v>35000</v>
      </c>
      <c r="AR322" s="72">
        <v>0</v>
      </c>
      <c r="AS322" s="72">
        <v>0</v>
      </c>
      <c r="AT322" s="72">
        <v>0</v>
      </c>
      <c r="AU322" s="72">
        <v>0</v>
      </c>
      <c r="AV322" s="72">
        <v>0</v>
      </c>
      <c r="AW322" s="72">
        <v>0</v>
      </c>
      <c r="AX322" s="72">
        <v>0</v>
      </c>
      <c r="AY322" s="72">
        <v>0</v>
      </c>
      <c r="AZ322" s="72">
        <v>0</v>
      </c>
      <c r="BA322" s="72">
        <v>3117672</v>
      </c>
      <c r="BB322" s="72">
        <v>0</v>
      </c>
      <c r="BC322" s="72">
        <v>0</v>
      </c>
      <c r="BD322" s="72">
        <v>0</v>
      </c>
      <c r="BE322" s="72">
        <v>3117672</v>
      </c>
      <c r="BF322" s="72">
        <v>0</v>
      </c>
      <c r="BG322" s="72">
        <v>0</v>
      </c>
      <c r="BH322" s="72">
        <v>0</v>
      </c>
      <c r="BI322" s="72">
        <v>0</v>
      </c>
      <c r="BJ322" s="72">
        <v>3117672</v>
      </c>
      <c r="BK322" s="72">
        <v>82</v>
      </c>
      <c r="BL322" s="72">
        <v>1162</v>
      </c>
      <c r="BM322" s="72">
        <v>0</v>
      </c>
      <c r="BN322" s="72">
        <v>0</v>
      </c>
      <c r="BO322" s="72">
        <v>0</v>
      </c>
      <c r="BP322" s="72">
        <v>0</v>
      </c>
      <c r="BQ322" s="72">
        <v>0</v>
      </c>
      <c r="BR322" s="72">
        <v>0</v>
      </c>
      <c r="BS322" s="72">
        <v>12208819</v>
      </c>
    </row>
    <row r="323" spans="1:71" x14ac:dyDescent="0.2">
      <c r="A323" t="s">
        <v>296</v>
      </c>
      <c r="B323" t="s">
        <v>1010</v>
      </c>
      <c r="C323" t="s">
        <v>83</v>
      </c>
      <c r="D323" s="72">
        <v>3053074</v>
      </c>
      <c r="E323" s="72">
        <v>466495</v>
      </c>
      <c r="F323" s="72">
        <v>3220880</v>
      </c>
      <c r="G323" s="72">
        <v>4773676</v>
      </c>
      <c r="H323" s="72">
        <v>50000</v>
      </c>
      <c r="I323" s="72">
        <v>0</v>
      </c>
      <c r="J323" s="72">
        <v>492501</v>
      </c>
      <c r="K323" s="72">
        <v>810184</v>
      </c>
      <c r="L323" s="72">
        <v>12866810</v>
      </c>
      <c r="M323" s="72">
        <v>0</v>
      </c>
      <c r="N323" s="72">
        <v>0</v>
      </c>
      <c r="O323" s="72">
        <v>0</v>
      </c>
      <c r="P323" s="72">
        <v>7700</v>
      </c>
      <c r="Q323" s="72">
        <v>35000</v>
      </c>
      <c r="R323" s="72">
        <v>42700</v>
      </c>
      <c r="S323" s="72">
        <v>12909510</v>
      </c>
      <c r="T323" s="72">
        <v>6808819</v>
      </c>
      <c r="U323" s="72">
        <v>2751422</v>
      </c>
      <c r="V323" s="72">
        <v>2486649</v>
      </c>
      <c r="W323" s="72">
        <v>600157</v>
      </c>
      <c r="X323" s="72">
        <v>257340</v>
      </c>
      <c r="Y323" s="72">
        <v>0</v>
      </c>
      <c r="Z323" s="72">
        <v>0</v>
      </c>
      <c r="AA323" s="72">
        <v>0</v>
      </c>
      <c r="AB323" s="72">
        <v>0</v>
      </c>
      <c r="AC323" s="72">
        <v>0</v>
      </c>
      <c r="AD323" s="72">
        <v>0</v>
      </c>
      <c r="AE323" s="72">
        <v>0</v>
      </c>
      <c r="AF323" s="72">
        <v>0</v>
      </c>
      <c r="AG323" s="72">
        <v>165300</v>
      </c>
      <c r="AH323" s="72">
        <v>13069687</v>
      </c>
      <c r="AI323" s="72">
        <v>0</v>
      </c>
      <c r="AJ323" s="72">
        <v>18000</v>
      </c>
      <c r="AK323" s="72">
        <v>0</v>
      </c>
      <c r="AL323" s="72">
        <v>18000</v>
      </c>
      <c r="AM323" s="72">
        <v>13087687</v>
      </c>
      <c r="AN323" s="72">
        <v>-178177</v>
      </c>
      <c r="AO323" s="72">
        <v>4980039</v>
      </c>
      <c r="AP323" s="72">
        <v>4801862</v>
      </c>
      <c r="AQ323" s="72">
        <v>0</v>
      </c>
      <c r="AR323" s="72">
        <v>0</v>
      </c>
      <c r="AS323" s="72">
        <v>0</v>
      </c>
      <c r="AT323" s="72">
        <v>0</v>
      </c>
      <c r="AU323" s="72">
        <v>0</v>
      </c>
      <c r="AV323" s="72">
        <v>0</v>
      </c>
      <c r="AW323" s="72">
        <v>0</v>
      </c>
      <c r="AX323" s="72">
        <v>0</v>
      </c>
      <c r="AY323" s="72">
        <v>0</v>
      </c>
      <c r="AZ323" s="72">
        <v>0</v>
      </c>
      <c r="BA323" s="72">
        <v>4801862</v>
      </c>
      <c r="BB323" s="72">
        <v>0</v>
      </c>
      <c r="BC323" s="72">
        <v>0</v>
      </c>
      <c r="BD323" s="72">
        <v>0</v>
      </c>
      <c r="BE323" s="72">
        <v>4801862</v>
      </c>
      <c r="BF323" s="72">
        <v>0</v>
      </c>
      <c r="BG323" s="72">
        <v>0</v>
      </c>
      <c r="BH323" s="72">
        <v>0</v>
      </c>
      <c r="BI323" s="72">
        <v>0</v>
      </c>
      <c r="BJ323" s="72">
        <v>4801862</v>
      </c>
      <c r="BK323" s="72">
        <v>76</v>
      </c>
      <c r="BL323" s="72">
        <v>1106</v>
      </c>
      <c r="BM323" s="72">
        <v>0</v>
      </c>
      <c r="BN323" s="72">
        <v>0</v>
      </c>
      <c r="BO323" s="72">
        <v>0</v>
      </c>
      <c r="BP323" s="72">
        <v>0</v>
      </c>
      <c r="BQ323" s="72">
        <v>0</v>
      </c>
      <c r="BR323" s="72">
        <v>0</v>
      </c>
      <c r="BS323" s="72">
        <v>13087687</v>
      </c>
    </row>
    <row r="324" spans="1:71" x14ac:dyDescent="0.2">
      <c r="A324" t="s">
        <v>307</v>
      </c>
      <c r="B324" t="s">
        <v>1021</v>
      </c>
      <c r="C324" t="s">
        <v>83</v>
      </c>
      <c r="E324" s="72">
        <v>115249</v>
      </c>
      <c r="F324" s="72">
        <v>430525</v>
      </c>
      <c r="G324" s="72">
        <v>2485175</v>
      </c>
      <c r="H324" s="72">
        <v>53165</v>
      </c>
      <c r="I324" s="72">
        <v>0</v>
      </c>
      <c r="J324" s="72">
        <v>231628</v>
      </c>
      <c r="K324" s="72">
        <v>235500</v>
      </c>
      <c r="L324" s="72">
        <v>4472786</v>
      </c>
      <c r="M324" s="72">
        <v>0</v>
      </c>
      <c r="N324" s="72">
        <v>0</v>
      </c>
      <c r="O324" s="72">
        <v>0</v>
      </c>
      <c r="P324" s="72">
        <v>0</v>
      </c>
      <c r="Q324" s="72">
        <v>30000</v>
      </c>
      <c r="R324" s="72">
        <v>30000</v>
      </c>
      <c r="S324" s="72">
        <v>4502786</v>
      </c>
      <c r="T324" s="72">
        <v>2460756</v>
      </c>
      <c r="U324" s="72">
        <v>1069163</v>
      </c>
      <c r="V324" s="72">
        <v>707337</v>
      </c>
      <c r="W324" s="72">
        <v>141435</v>
      </c>
      <c r="X324" s="72">
        <v>38440</v>
      </c>
      <c r="Y324" s="72">
        <v>0</v>
      </c>
      <c r="Z324" s="72">
        <v>0</v>
      </c>
      <c r="AA324" s="72">
        <v>0</v>
      </c>
      <c r="AB324" s="72">
        <v>0</v>
      </c>
      <c r="AC324" s="72">
        <v>0</v>
      </c>
      <c r="AD324" s="72">
        <v>0</v>
      </c>
      <c r="AE324" s="72">
        <v>0</v>
      </c>
      <c r="AF324" s="72">
        <v>0</v>
      </c>
      <c r="AG324" s="72">
        <v>66228</v>
      </c>
      <c r="AH324" s="72">
        <v>4483359</v>
      </c>
      <c r="AI324" s="72">
        <v>0</v>
      </c>
      <c r="AJ324" s="72">
        <v>0</v>
      </c>
      <c r="AK324" s="72">
        <v>0</v>
      </c>
      <c r="AL324" s="72">
        <v>0</v>
      </c>
      <c r="AM324" s="72">
        <v>4483359</v>
      </c>
      <c r="AN324" s="72">
        <v>19427</v>
      </c>
      <c r="AO324" s="72">
        <v>1414191</v>
      </c>
      <c r="AP324" s="72">
        <v>1433618</v>
      </c>
      <c r="AQ324" s="72">
        <v>0</v>
      </c>
      <c r="AR324" s="72">
        <v>0</v>
      </c>
      <c r="AS324" s="72">
        <v>0</v>
      </c>
      <c r="AT324" s="72">
        <v>0</v>
      </c>
      <c r="AU324" s="72">
        <v>0</v>
      </c>
      <c r="AV324" s="72">
        <v>0</v>
      </c>
      <c r="AW324" s="72">
        <v>0</v>
      </c>
      <c r="AX324" s="72">
        <v>0</v>
      </c>
      <c r="AY324" s="72">
        <v>0</v>
      </c>
      <c r="AZ324" s="72">
        <v>0</v>
      </c>
      <c r="BA324" s="72">
        <v>1433618</v>
      </c>
      <c r="BB324" s="72">
        <v>0</v>
      </c>
      <c r="BC324" s="72">
        <v>0</v>
      </c>
      <c r="BD324" s="72">
        <v>0</v>
      </c>
      <c r="BE324" s="72">
        <v>1433618</v>
      </c>
      <c r="BF324" s="72">
        <v>0</v>
      </c>
      <c r="BG324" s="72">
        <v>0</v>
      </c>
      <c r="BH324" s="72">
        <v>0</v>
      </c>
      <c r="BI324" s="72">
        <v>0</v>
      </c>
      <c r="BJ324" s="72">
        <v>1433618</v>
      </c>
      <c r="BK324" s="72">
        <v>31</v>
      </c>
      <c r="BL324" s="72">
        <v>415</v>
      </c>
      <c r="BM324" s="72">
        <v>0</v>
      </c>
      <c r="BN324" s="72">
        <v>0</v>
      </c>
      <c r="BO324" s="72">
        <v>0</v>
      </c>
      <c r="BP324" s="72">
        <v>0</v>
      </c>
      <c r="BQ324" s="72">
        <v>0</v>
      </c>
      <c r="BR324" s="72">
        <v>0</v>
      </c>
      <c r="BS324" s="72">
        <v>4502786</v>
      </c>
    </row>
    <row r="325" spans="1:71" x14ac:dyDescent="0.2">
      <c r="A325" t="s">
        <v>579</v>
      </c>
      <c r="B325" t="s">
        <v>1276</v>
      </c>
      <c r="C325" t="s">
        <v>83</v>
      </c>
      <c r="D325" s="72">
        <v>917893</v>
      </c>
      <c r="E325" s="72">
        <v>118152</v>
      </c>
      <c r="F325" s="72">
        <v>450000</v>
      </c>
      <c r="G325" s="72">
        <v>1820273</v>
      </c>
      <c r="H325" s="72">
        <v>24428</v>
      </c>
      <c r="I325" s="72">
        <v>0</v>
      </c>
      <c r="J325" s="72">
        <v>144942</v>
      </c>
      <c r="K325" s="72">
        <v>1077957</v>
      </c>
      <c r="L325" s="72">
        <v>4553646</v>
      </c>
      <c r="M325" s="72">
        <v>0</v>
      </c>
      <c r="N325" s="72">
        <v>0</v>
      </c>
      <c r="O325" s="72">
        <v>0</v>
      </c>
      <c r="P325" s="72">
        <v>0</v>
      </c>
      <c r="Q325" s="72">
        <v>100</v>
      </c>
      <c r="R325" s="72">
        <v>100</v>
      </c>
      <c r="S325" s="72">
        <v>4553746</v>
      </c>
      <c r="T325" s="72">
        <v>2778797</v>
      </c>
      <c r="U325" s="72">
        <v>962517</v>
      </c>
      <c r="V325" s="72">
        <v>455764</v>
      </c>
      <c r="W325" s="72">
        <v>128710</v>
      </c>
      <c r="X325" s="72">
        <v>1350</v>
      </c>
      <c r="Y325" s="72">
        <v>0</v>
      </c>
      <c r="Z325" s="72">
        <v>0</v>
      </c>
      <c r="AA325" s="72">
        <v>0</v>
      </c>
      <c r="AB325" s="72">
        <v>0</v>
      </c>
      <c r="AC325" s="72">
        <v>0</v>
      </c>
      <c r="AD325" s="72">
        <v>0</v>
      </c>
      <c r="AE325" s="72">
        <v>0</v>
      </c>
      <c r="AF325" s="72">
        <v>0</v>
      </c>
      <c r="AG325" s="72">
        <v>181450</v>
      </c>
      <c r="AH325" s="72">
        <v>4508588</v>
      </c>
      <c r="AI325" s="72">
        <v>0</v>
      </c>
      <c r="AJ325" s="72">
        <v>0</v>
      </c>
      <c r="AK325" s="72">
        <v>0</v>
      </c>
      <c r="AL325" s="72">
        <v>0</v>
      </c>
      <c r="AM325" s="72">
        <v>4508588</v>
      </c>
      <c r="AN325" s="72">
        <v>45158</v>
      </c>
      <c r="AO325" s="72">
        <v>1169323</v>
      </c>
      <c r="AP325" s="72">
        <v>1214481</v>
      </c>
      <c r="AQ325" s="72">
        <v>25000</v>
      </c>
      <c r="AR325" s="72">
        <v>0</v>
      </c>
      <c r="AS325" s="72">
        <v>0</v>
      </c>
      <c r="AT325" s="72">
        <v>0</v>
      </c>
      <c r="AU325" s="72">
        <v>0</v>
      </c>
      <c r="AV325" s="72">
        <v>0</v>
      </c>
      <c r="AW325" s="72">
        <v>0</v>
      </c>
      <c r="AX325" s="72">
        <v>0</v>
      </c>
      <c r="AY325" s="72">
        <v>0</v>
      </c>
      <c r="AZ325" s="72">
        <v>0</v>
      </c>
      <c r="BA325" s="72">
        <v>1189481</v>
      </c>
      <c r="BB325" s="72">
        <v>0</v>
      </c>
      <c r="BC325" s="72">
        <v>0</v>
      </c>
      <c r="BD325" s="72">
        <v>0</v>
      </c>
      <c r="BE325" s="72">
        <v>1189481</v>
      </c>
      <c r="BF325" s="72">
        <v>0</v>
      </c>
      <c r="BG325" s="72">
        <v>0</v>
      </c>
      <c r="BH325" s="72">
        <v>0</v>
      </c>
      <c r="BI325" s="72">
        <v>0</v>
      </c>
      <c r="BJ325" s="72">
        <v>1189481</v>
      </c>
      <c r="BK325" s="72">
        <v>0</v>
      </c>
      <c r="BL325" s="72">
        <v>0</v>
      </c>
      <c r="BM325" s="72">
        <v>0</v>
      </c>
      <c r="BN325" s="72">
        <v>0</v>
      </c>
      <c r="BO325" s="72">
        <v>0</v>
      </c>
      <c r="BP325" s="72">
        <v>0</v>
      </c>
      <c r="BQ325" s="72">
        <v>0</v>
      </c>
      <c r="BR325" s="72">
        <v>0</v>
      </c>
      <c r="BS325" s="72">
        <v>4553746</v>
      </c>
    </row>
    <row r="326" spans="1:71" x14ac:dyDescent="0.2">
      <c r="A326" t="s">
        <v>583</v>
      </c>
      <c r="B326" t="s">
        <v>1280</v>
      </c>
      <c r="C326" t="s">
        <v>83</v>
      </c>
      <c r="D326" s="72">
        <v>3603059</v>
      </c>
      <c r="E326" s="72">
        <v>442139</v>
      </c>
      <c r="F326" s="72">
        <v>0</v>
      </c>
      <c r="G326" s="72">
        <v>6624563</v>
      </c>
      <c r="H326" s="72">
        <v>51366</v>
      </c>
      <c r="I326" s="72">
        <v>0</v>
      </c>
      <c r="J326" s="72">
        <v>927904</v>
      </c>
      <c r="K326" s="72">
        <v>767017</v>
      </c>
      <c r="L326" s="72">
        <v>12416048</v>
      </c>
      <c r="M326" s="72">
        <v>0</v>
      </c>
      <c r="N326" s="72">
        <v>0</v>
      </c>
      <c r="O326" s="72">
        <v>0</v>
      </c>
      <c r="P326" s="72">
        <v>0</v>
      </c>
      <c r="Q326" s="72">
        <v>75000</v>
      </c>
      <c r="R326" s="72">
        <v>75000</v>
      </c>
      <c r="S326" s="72">
        <v>12491048</v>
      </c>
      <c r="T326" s="72">
        <v>6484678</v>
      </c>
      <c r="U326" s="72">
        <v>2537693</v>
      </c>
      <c r="V326" s="72">
        <v>2438132</v>
      </c>
      <c r="W326" s="72">
        <v>435699</v>
      </c>
      <c r="X326" s="72">
        <v>10705</v>
      </c>
      <c r="Y326" s="72">
        <v>0</v>
      </c>
      <c r="Z326" s="72">
        <v>0</v>
      </c>
      <c r="AA326" s="72">
        <v>0</v>
      </c>
      <c r="AB326" s="72">
        <v>0</v>
      </c>
      <c r="AC326" s="72">
        <v>0</v>
      </c>
      <c r="AD326" s="72">
        <v>0</v>
      </c>
      <c r="AE326" s="72">
        <v>0</v>
      </c>
      <c r="AF326" s="72">
        <v>0</v>
      </c>
      <c r="AG326" s="72">
        <v>198907</v>
      </c>
      <c r="AH326" s="72">
        <v>12105814</v>
      </c>
      <c r="AI326" s="72">
        <v>0</v>
      </c>
      <c r="AJ326" s="72">
        <v>0</v>
      </c>
      <c r="AK326" s="72">
        <v>0</v>
      </c>
      <c r="AL326" s="72">
        <v>0</v>
      </c>
      <c r="AM326" s="72">
        <v>12105814</v>
      </c>
      <c r="AN326" s="72">
        <v>385234</v>
      </c>
      <c r="AO326" s="72">
        <v>836203</v>
      </c>
      <c r="AP326" s="72">
        <v>1221437</v>
      </c>
      <c r="AQ326" s="72">
        <v>55000</v>
      </c>
      <c r="AR326" s="72">
        <v>0</v>
      </c>
      <c r="AS326" s="72">
        <v>0</v>
      </c>
      <c r="AT326" s="72">
        <v>0</v>
      </c>
      <c r="AU326" s="72">
        <v>0</v>
      </c>
      <c r="AV326" s="72">
        <v>0</v>
      </c>
      <c r="AW326" s="72">
        <v>0</v>
      </c>
      <c r="AX326" s="72">
        <v>0</v>
      </c>
      <c r="AY326" s="72">
        <v>0</v>
      </c>
      <c r="AZ326" s="72">
        <v>0</v>
      </c>
      <c r="BA326" s="72">
        <v>1166437</v>
      </c>
      <c r="BB326" s="72">
        <v>0</v>
      </c>
      <c r="BC326" s="72">
        <v>0</v>
      </c>
      <c r="BD326" s="72">
        <v>0</v>
      </c>
      <c r="BE326" s="72">
        <v>1166437</v>
      </c>
      <c r="BF326" s="72">
        <v>0</v>
      </c>
      <c r="BG326" s="72">
        <v>0</v>
      </c>
      <c r="BH326" s="72">
        <v>0</v>
      </c>
      <c r="BI326" s="72">
        <v>0</v>
      </c>
      <c r="BJ326" s="72">
        <v>1166437</v>
      </c>
      <c r="BK326" s="72">
        <v>108</v>
      </c>
      <c r="BL326" s="72">
        <v>1202</v>
      </c>
      <c r="BM326" s="72">
        <v>0</v>
      </c>
      <c r="BN326" s="72">
        <v>0</v>
      </c>
      <c r="BO326" s="72">
        <v>0</v>
      </c>
      <c r="BP326" s="72">
        <v>0</v>
      </c>
      <c r="BQ326" s="72">
        <v>0</v>
      </c>
      <c r="BR326" s="72">
        <v>0</v>
      </c>
      <c r="BS326" s="72">
        <v>12491048</v>
      </c>
    </row>
    <row r="327" spans="1:71" x14ac:dyDescent="0.2">
      <c r="A327" t="s">
        <v>668</v>
      </c>
      <c r="B327" t="s">
        <v>1358</v>
      </c>
      <c r="C327" t="s">
        <v>83</v>
      </c>
      <c r="D327" s="72">
        <v>4091399</v>
      </c>
      <c r="E327" s="72">
        <v>330029</v>
      </c>
      <c r="F327" s="72">
        <v>1570923</v>
      </c>
      <c r="G327" s="72">
        <v>4344184</v>
      </c>
      <c r="H327" s="72">
        <v>6878</v>
      </c>
      <c r="I327" s="72">
        <v>0</v>
      </c>
      <c r="J327" s="72">
        <v>925196</v>
      </c>
      <c r="K327" s="72">
        <v>722959</v>
      </c>
      <c r="L327" s="72">
        <v>11991568</v>
      </c>
      <c r="M327" s="72">
        <v>0</v>
      </c>
      <c r="N327" s="72">
        <v>0</v>
      </c>
      <c r="O327" s="72">
        <v>0</v>
      </c>
      <c r="P327" s="72">
        <v>200</v>
      </c>
      <c r="Q327" s="72">
        <v>55000</v>
      </c>
      <c r="R327" s="72">
        <v>55200</v>
      </c>
      <c r="S327" s="72">
        <v>12046768</v>
      </c>
      <c r="T327" s="72">
        <v>6360440</v>
      </c>
      <c r="U327" s="72">
        <v>2379269</v>
      </c>
      <c r="V327" s="72">
        <v>2569967</v>
      </c>
      <c r="W327" s="72">
        <v>405151</v>
      </c>
      <c r="X327" s="72">
        <v>19241</v>
      </c>
      <c r="Y327" s="72">
        <v>0</v>
      </c>
      <c r="Z327" s="72">
        <v>0</v>
      </c>
      <c r="AA327" s="72">
        <v>0</v>
      </c>
      <c r="AB327" s="72">
        <v>0</v>
      </c>
      <c r="AC327" s="72">
        <v>0</v>
      </c>
      <c r="AD327" s="72">
        <v>0</v>
      </c>
      <c r="AE327" s="72">
        <v>0</v>
      </c>
      <c r="AF327" s="72">
        <v>0</v>
      </c>
      <c r="AG327" s="72">
        <v>236128</v>
      </c>
      <c r="AH327" s="72">
        <v>11970195</v>
      </c>
      <c r="AI327" s="72">
        <v>15000</v>
      </c>
      <c r="AJ327" s="72">
        <v>0</v>
      </c>
      <c r="AK327" s="72">
        <v>0</v>
      </c>
      <c r="AL327" s="72">
        <v>15000</v>
      </c>
      <c r="AM327" s="72">
        <v>11985195</v>
      </c>
      <c r="AN327" s="72">
        <v>61573</v>
      </c>
      <c r="AO327" s="72">
        <v>6220905</v>
      </c>
      <c r="AP327" s="72">
        <v>6282478</v>
      </c>
      <c r="AQ327" s="72">
        <v>100000</v>
      </c>
      <c r="AR327" s="72">
        <v>0</v>
      </c>
      <c r="AS327" s="72">
        <v>0</v>
      </c>
      <c r="AT327" s="72">
        <v>0</v>
      </c>
      <c r="AU327" s="72">
        <v>0</v>
      </c>
      <c r="AV327" s="72">
        <v>0</v>
      </c>
      <c r="AW327" s="72">
        <v>0</v>
      </c>
      <c r="AX327" s="72">
        <v>0</v>
      </c>
      <c r="AY327" s="72">
        <v>8520</v>
      </c>
      <c r="AZ327" s="72">
        <v>8520</v>
      </c>
      <c r="BA327" s="72">
        <v>6173958</v>
      </c>
      <c r="BB327" s="72">
        <v>0</v>
      </c>
      <c r="BC327" s="72">
        <v>0</v>
      </c>
      <c r="BD327" s="72">
        <v>0</v>
      </c>
      <c r="BE327" s="72">
        <v>6173958</v>
      </c>
      <c r="BF327" s="72">
        <v>0</v>
      </c>
      <c r="BG327" s="72">
        <v>0</v>
      </c>
      <c r="BH327" s="72">
        <v>0</v>
      </c>
      <c r="BI327" s="72">
        <v>0</v>
      </c>
      <c r="BJ327" s="72">
        <v>6173958</v>
      </c>
      <c r="BK327" s="72">
        <v>0</v>
      </c>
      <c r="BL327" s="72">
        <v>0</v>
      </c>
      <c r="BM327" s="72">
        <v>0</v>
      </c>
      <c r="BN327" s="72">
        <v>0</v>
      </c>
      <c r="BO327" s="72">
        <v>0</v>
      </c>
      <c r="BP327" s="72">
        <v>0</v>
      </c>
      <c r="BQ327" s="72">
        <v>0</v>
      </c>
      <c r="BR327" s="72">
        <v>0</v>
      </c>
      <c r="BS327" s="72">
        <v>12046768</v>
      </c>
    </row>
    <row r="328" spans="1:71" x14ac:dyDescent="0.2">
      <c r="A328" t="s">
        <v>161</v>
      </c>
      <c r="B328" t="s">
        <v>882</v>
      </c>
      <c r="C328" t="s">
        <v>43</v>
      </c>
      <c r="D328" s="72">
        <v>3793280</v>
      </c>
      <c r="E328" s="72">
        <v>306387</v>
      </c>
      <c r="F328" s="72">
        <v>1774565</v>
      </c>
      <c r="G328" s="72">
        <v>2882945</v>
      </c>
      <c r="H328" s="72">
        <v>48227</v>
      </c>
      <c r="I328" s="72">
        <v>0</v>
      </c>
      <c r="J328" s="72">
        <v>1043628</v>
      </c>
      <c r="K328" s="72">
        <v>790900</v>
      </c>
      <c r="L328" s="72">
        <v>10639932</v>
      </c>
      <c r="M328" s="72">
        <v>0</v>
      </c>
      <c r="N328" s="72">
        <v>0</v>
      </c>
      <c r="O328" s="72">
        <v>0</v>
      </c>
      <c r="P328" s="72">
        <v>100000</v>
      </c>
      <c r="Q328" s="72">
        <v>50000</v>
      </c>
      <c r="R328" s="72">
        <v>150000</v>
      </c>
      <c r="S328" s="72">
        <v>10789932</v>
      </c>
      <c r="T328" s="72">
        <v>5525875</v>
      </c>
      <c r="U328" s="72">
        <v>1941151</v>
      </c>
      <c r="V328" s="72">
        <v>2312713</v>
      </c>
      <c r="W328" s="72">
        <v>314889</v>
      </c>
      <c r="X328" s="72">
        <v>105805</v>
      </c>
      <c r="Y328" s="72">
        <v>0</v>
      </c>
      <c r="Z328" s="72">
        <v>0</v>
      </c>
      <c r="AA328" s="72">
        <v>0</v>
      </c>
      <c r="AB328" s="72">
        <v>0</v>
      </c>
      <c r="AC328" s="72">
        <v>0</v>
      </c>
      <c r="AD328" s="72">
        <v>0</v>
      </c>
      <c r="AE328" s="72">
        <v>0</v>
      </c>
      <c r="AF328" s="72">
        <v>0</v>
      </c>
      <c r="AG328" s="72">
        <v>499714</v>
      </c>
      <c r="AH328" s="72">
        <v>10700147</v>
      </c>
      <c r="AI328" s="72">
        <v>559125</v>
      </c>
      <c r="AJ328" s="72">
        <v>100000</v>
      </c>
      <c r="AK328" s="72">
        <v>0</v>
      </c>
      <c r="AL328" s="72">
        <v>659125</v>
      </c>
      <c r="AM328" s="72">
        <v>11359272</v>
      </c>
      <c r="AN328" s="72">
        <v>-569340</v>
      </c>
      <c r="AO328" s="72">
        <v>1673703</v>
      </c>
      <c r="AP328" s="72">
        <v>1104363</v>
      </c>
      <c r="AQ328" s="72">
        <v>115000</v>
      </c>
      <c r="AR328" s="72">
        <v>0</v>
      </c>
      <c r="AS328" s="72">
        <v>0</v>
      </c>
      <c r="AT328" s="72">
        <v>0</v>
      </c>
      <c r="AU328" s="72">
        <v>0</v>
      </c>
      <c r="AV328" s="72">
        <v>0</v>
      </c>
      <c r="AW328" s="72">
        <v>0</v>
      </c>
      <c r="AX328" s="72">
        <v>0</v>
      </c>
      <c r="AY328" s="72">
        <v>0</v>
      </c>
      <c r="AZ328" s="72">
        <v>0</v>
      </c>
      <c r="BA328" s="72">
        <v>989363</v>
      </c>
      <c r="BB328" s="72">
        <v>0</v>
      </c>
      <c r="BC328" s="72">
        <v>0</v>
      </c>
      <c r="BD328" s="72">
        <v>0</v>
      </c>
      <c r="BE328" s="72">
        <v>989363</v>
      </c>
      <c r="BF328" s="72">
        <v>0</v>
      </c>
      <c r="BG328" s="72">
        <v>0</v>
      </c>
      <c r="BH328" s="72">
        <v>0</v>
      </c>
      <c r="BI328" s="72">
        <v>0</v>
      </c>
      <c r="BJ328" s="72">
        <v>989363</v>
      </c>
      <c r="BK328" s="72">
        <v>66</v>
      </c>
      <c r="BL328" s="72">
        <v>929</v>
      </c>
      <c r="BM328" s="72">
        <v>0</v>
      </c>
      <c r="BN328" s="72">
        <v>0</v>
      </c>
      <c r="BO328" s="72">
        <v>0</v>
      </c>
      <c r="BP328" s="72">
        <v>0</v>
      </c>
      <c r="BQ328" s="72">
        <v>0</v>
      </c>
      <c r="BR328" s="72">
        <v>0</v>
      </c>
      <c r="BS328" s="72">
        <v>11359272</v>
      </c>
    </row>
    <row r="329" spans="1:71" x14ac:dyDescent="0.2">
      <c r="A329" t="s">
        <v>203</v>
      </c>
      <c r="B329" t="s">
        <v>922</v>
      </c>
      <c r="C329" t="s">
        <v>43</v>
      </c>
      <c r="D329" s="72">
        <v>5904100</v>
      </c>
      <c r="E329" s="72">
        <v>0</v>
      </c>
      <c r="F329" s="72">
        <v>0</v>
      </c>
      <c r="G329" s="72">
        <v>2399000</v>
      </c>
      <c r="H329" s="72">
        <v>125000</v>
      </c>
      <c r="I329" s="72">
        <v>0</v>
      </c>
      <c r="J329" s="72">
        <v>2704700</v>
      </c>
      <c r="K329" s="72">
        <v>1402000</v>
      </c>
      <c r="L329" s="72">
        <v>12534800</v>
      </c>
      <c r="M329" s="72">
        <v>0</v>
      </c>
      <c r="N329" s="72">
        <v>0</v>
      </c>
      <c r="O329" s="72">
        <v>82500</v>
      </c>
      <c r="P329" s="72">
        <v>0</v>
      </c>
      <c r="Q329" s="72">
        <v>0</v>
      </c>
      <c r="R329" s="72">
        <v>82500</v>
      </c>
      <c r="S329" s="72">
        <v>12617300</v>
      </c>
      <c r="T329" s="72">
        <v>6145300</v>
      </c>
      <c r="U329" s="72">
        <v>2615600</v>
      </c>
      <c r="V329" s="72">
        <v>2820500</v>
      </c>
      <c r="W329" s="72">
        <v>334000</v>
      </c>
      <c r="X329" s="72">
        <v>9600</v>
      </c>
      <c r="Y329" s="72">
        <v>0</v>
      </c>
      <c r="Z329" s="72">
        <v>0</v>
      </c>
      <c r="AA329" s="72">
        <v>0</v>
      </c>
      <c r="AB329" s="72">
        <v>0</v>
      </c>
      <c r="AC329" s="72">
        <v>0</v>
      </c>
      <c r="AD329" s="72">
        <v>82500</v>
      </c>
      <c r="AE329" s="72">
        <v>0</v>
      </c>
      <c r="AF329" s="72">
        <v>0</v>
      </c>
      <c r="AG329" s="72">
        <v>302100</v>
      </c>
      <c r="AH329" s="72">
        <v>12309600</v>
      </c>
      <c r="AI329" s="72">
        <v>200000</v>
      </c>
      <c r="AJ329" s="72">
        <v>0</v>
      </c>
      <c r="AK329" s="72">
        <v>0</v>
      </c>
      <c r="AL329" s="72">
        <v>200000</v>
      </c>
      <c r="AM329" s="72">
        <v>12509600</v>
      </c>
      <c r="AQ329" s="72">
        <v>75000</v>
      </c>
      <c r="AR329" s="72">
        <v>0</v>
      </c>
      <c r="AS329" s="72">
        <v>0</v>
      </c>
      <c r="AT329" s="72">
        <v>0</v>
      </c>
      <c r="AU329" s="72">
        <v>0</v>
      </c>
      <c r="AV329" s="72">
        <v>0</v>
      </c>
      <c r="AW329" s="72">
        <v>0</v>
      </c>
      <c r="AX329" s="72">
        <v>0</v>
      </c>
      <c r="AY329" s="72">
        <v>0</v>
      </c>
      <c r="AZ329" s="72">
        <v>0</v>
      </c>
      <c r="BB329" s="72">
        <v>0</v>
      </c>
      <c r="BC329" s="72">
        <v>0</v>
      </c>
      <c r="BD329" s="72">
        <v>0</v>
      </c>
      <c r="BF329" s="72">
        <v>0</v>
      </c>
      <c r="BG329" s="72">
        <v>0</v>
      </c>
      <c r="BH329" s="72">
        <v>0</v>
      </c>
      <c r="BI329" s="72">
        <v>0</v>
      </c>
      <c r="BJ329" s="72">
        <v>546851</v>
      </c>
      <c r="BK329" s="72">
        <v>103</v>
      </c>
      <c r="BL329" s="72">
        <v>1139</v>
      </c>
      <c r="BM329" s="72">
        <v>0</v>
      </c>
      <c r="BN329" s="72">
        <v>0</v>
      </c>
      <c r="BO329" s="72">
        <v>0</v>
      </c>
      <c r="BP329" s="72">
        <v>0</v>
      </c>
      <c r="BQ329" s="72">
        <v>0</v>
      </c>
      <c r="BR329" s="72">
        <v>0</v>
      </c>
      <c r="BS329" s="72">
        <v>12617300</v>
      </c>
    </row>
    <row r="330" spans="1:71" x14ac:dyDescent="0.2">
      <c r="A330" t="s">
        <v>216</v>
      </c>
      <c r="B330" t="s">
        <v>934</v>
      </c>
      <c r="C330" t="s">
        <v>43</v>
      </c>
      <c r="D330" s="72">
        <v>18127600</v>
      </c>
      <c r="E330" s="72">
        <v>0</v>
      </c>
      <c r="F330" s="72">
        <v>0</v>
      </c>
      <c r="G330" s="72">
        <v>5617000</v>
      </c>
      <c r="H330" s="72">
        <v>89000</v>
      </c>
      <c r="I330" s="72">
        <v>0</v>
      </c>
      <c r="J330" s="72">
        <v>2378600</v>
      </c>
      <c r="K330" s="72">
        <v>1402450</v>
      </c>
      <c r="L330" s="72">
        <v>27614650</v>
      </c>
      <c r="M330" s="72">
        <v>0</v>
      </c>
      <c r="N330" s="72">
        <v>0</v>
      </c>
      <c r="O330" s="72">
        <v>0</v>
      </c>
      <c r="P330" s="72">
        <v>37550</v>
      </c>
      <c r="Q330" s="72">
        <v>340000</v>
      </c>
      <c r="R330" s="72">
        <v>377550</v>
      </c>
      <c r="S330" s="72">
        <v>27992200</v>
      </c>
      <c r="T330" s="72">
        <v>15850000</v>
      </c>
      <c r="U330" s="72">
        <v>6181000</v>
      </c>
      <c r="V330" s="72">
        <v>4251000</v>
      </c>
      <c r="W330" s="72">
        <v>856000</v>
      </c>
      <c r="X330" s="72">
        <v>10000</v>
      </c>
      <c r="Y330" s="72">
        <v>0</v>
      </c>
      <c r="Z330" s="72">
        <v>0</v>
      </c>
      <c r="AA330" s="72">
        <v>0</v>
      </c>
      <c r="AB330" s="72">
        <v>0</v>
      </c>
      <c r="AC330" s="72">
        <v>0</v>
      </c>
      <c r="AD330" s="72">
        <v>0</v>
      </c>
      <c r="AE330" s="72">
        <v>0</v>
      </c>
      <c r="AF330" s="72">
        <v>0</v>
      </c>
      <c r="AG330" s="72">
        <v>742000</v>
      </c>
      <c r="AH330" s="72">
        <v>27890000</v>
      </c>
      <c r="AI330" s="72">
        <v>300000</v>
      </c>
      <c r="AJ330" s="72">
        <v>40000</v>
      </c>
      <c r="AK330" s="72">
        <v>0</v>
      </c>
      <c r="AL330" s="72">
        <v>340000</v>
      </c>
      <c r="AM330" s="72">
        <v>28230000</v>
      </c>
      <c r="AN330" s="72">
        <v>-237800</v>
      </c>
      <c r="AO330" s="72">
        <v>403938</v>
      </c>
      <c r="AP330" s="72">
        <v>166138</v>
      </c>
      <c r="AQ330" s="72">
        <v>300000</v>
      </c>
      <c r="AR330" s="72">
        <v>0</v>
      </c>
      <c r="AS330" s="72">
        <v>0</v>
      </c>
      <c r="AT330" s="72">
        <v>0</v>
      </c>
      <c r="AU330" s="72">
        <v>0</v>
      </c>
      <c r="AV330" s="72">
        <v>0</v>
      </c>
      <c r="AW330" s="72">
        <v>0</v>
      </c>
      <c r="AX330" s="72">
        <v>0</v>
      </c>
      <c r="AY330" s="72">
        <v>0</v>
      </c>
      <c r="AZ330" s="72">
        <v>0</v>
      </c>
      <c r="BA330" s="72">
        <v>-133862</v>
      </c>
      <c r="BB330" s="72">
        <v>0</v>
      </c>
      <c r="BC330" s="72">
        <v>0</v>
      </c>
      <c r="BE330" s="72">
        <v>-133862</v>
      </c>
      <c r="BF330" s="72">
        <v>0</v>
      </c>
      <c r="BG330" s="72">
        <v>1899000</v>
      </c>
      <c r="BH330" s="72">
        <v>1899000</v>
      </c>
      <c r="BI330" s="72">
        <v>0</v>
      </c>
      <c r="BJ330" s="72">
        <v>1765138</v>
      </c>
      <c r="BK330" s="72">
        <v>0</v>
      </c>
      <c r="BL330" s="72">
        <v>0</v>
      </c>
      <c r="BM330" s="72">
        <v>0</v>
      </c>
      <c r="BN330" s="72">
        <v>0</v>
      </c>
      <c r="BR330" s="72">
        <v>0</v>
      </c>
      <c r="BS330" s="72">
        <v>28230000</v>
      </c>
    </row>
    <row r="331" spans="1:71" x14ac:dyDescent="0.2">
      <c r="A331" t="s">
        <v>395</v>
      </c>
      <c r="B331" t="s">
        <v>1106</v>
      </c>
      <c r="C331" t="s">
        <v>43</v>
      </c>
      <c r="D331" s="72">
        <v>24324636</v>
      </c>
      <c r="E331" s="72">
        <v>0</v>
      </c>
      <c r="F331" s="72">
        <v>0</v>
      </c>
      <c r="G331" s="72">
        <v>3709983</v>
      </c>
      <c r="H331" s="72">
        <v>125000</v>
      </c>
      <c r="I331" s="72">
        <v>0</v>
      </c>
      <c r="J331" s="72">
        <v>4991364</v>
      </c>
      <c r="K331" s="72">
        <v>405000</v>
      </c>
      <c r="L331" s="72">
        <v>33555983</v>
      </c>
      <c r="M331" s="72">
        <v>0</v>
      </c>
      <c r="N331" s="72">
        <v>0</v>
      </c>
      <c r="O331" s="72">
        <v>0</v>
      </c>
      <c r="P331" s="72">
        <v>0</v>
      </c>
      <c r="Q331" s="72">
        <v>0</v>
      </c>
      <c r="R331" s="72">
        <v>0</v>
      </c>
      <c r="S331" s="72">
        <v>33555983</v>
      </c>
      <c r="T331" s="72">
        <v>20559000</v>
      </c>
      <c r="U331" s="72">
        <v>8149000</v>
      </c>
      <c r="V331" s="72">
        <v>3963000</v>
      </c>
      <c r="W331" s="72">
        <v>1377000</v>
      </c>
      <c r="X331" s="72">
        <v>267000</v>
      </c>
      <c r="Y331" s="72">
        <v>0</v>
      </c>
      <c r="Z331" s="72">
        <v>0</v>
      </c>
      <c r="AA331" s="72">
        <v>0</v>
      </c>
      <c r="AB331" s="72">
        <v>0</v>
      </c>
      <c r="AC331" s="72">
        <v>0</v>
      </c>
      <c r="AD331" s="72">
        <v>0</v>
      </c>
      <c r="AE331" s="72">
        <v>0</v>
      </c>
      <c r="AF331" s="72">
        <v>0</v>
      </c>
      <c r="AG331" s="72">
        <v>1393000</v>
      </c>
      <c r="AH331" s="72">
        <v>35708000</v>
      </c>
      <c r="AI331" s="72">
        <v>125000</v>
      </c>
      <c r="AJ331" s="72">
        <v>0</v>
      </c>
      <c r="AK331" s="72">
        <v>0</v>
      </c>
      <c r="AL331" s="72">
        <v>125000</v>
      </c>
      <c r="AM331" s="72">
        <v>35833000</v>
      </c>
      <c r="AN331" s="72">
        <v>-2277017</v>
      </c>
      <c r="AO331" s="72">
        <v>11923203</v>
      </c>
      <c r="AP331" s="72">
        <v>9646186</v>
      </c>
      <c r="AQ331" s="72">
        <v>2000000</v>
      </c>
      <c r="AR331" s="72">
        <v>0</v>
      </c>
      <c r="AS331" s="72">
        <v>0</v>
      </c>
      <c r="AT331" s="72">
        <v>0</v>
      </c>
      <c r="AU331" s="72">
        <v>0</v>
      </c>
      <c r="AV331" s="72">
        <v>0</v>
      </c>
      <c r="AW331" s="72">
        <v>0</v>
      </c>
      <c r="AX331" s="72">
        <v>0</v>
      </c>
      <c r="AY331" s="72">
        <v>0</v>
      </c>
      <c r="AZ331" s="72">
        <v>0</v>
      </c>
      <c r="BA331" s="72">
        <v>7646186</v>
      </c>
      <c r="BB331" s="72">
        <v>0</v>
      </c>
      <c r="BC331" s="72">
        <v>0</v>
      </c>
      <c r="BD331" s="72">
        <v>0</v>
      </c>
      <c r="BE331" s="72">
        <v>7646186</v>
      </c>
      <c r="BF331" s="72">
        <v>0</v>
      </c>
      <c r="BG331" s="72">
        <v>0</v>
      </c>
      <c r="BH331" s="72">
        <v>0</v>
      </c>
      <c r="BI331" s="72">
        <v>0</v>
      </c>
      <c r="BJ331" s="72">
        <v>7646186</v>
      </c>
      <c r="BK331" s="72">
        <v>170</v>
      </c>
      <c r="BL331" s="72">
        <v>2846</v>
      </c>
      <c r="BM331" s="72">
        <v>0</v>
      </c>
      <c r="BN331" s="72">
        <v>0</v>
      </c>
      <c r="BO331" s="72">
        <v>0</v>
      </c>
      <c r="BP331" s="72">
        <v>0</v>
      </c>
      <c r="BQ331" s="72">
        <v>0</v>
      </c>
      <c r="BR331" s="72">
        <v>0</v>
      </c>
      <c r="BS331" s="72">
        <v>35833000</v>
      </c>
    </row>
    <row r="332" spans="1:71" x14ac:dyDescent="0.2">
      <c r="A332" t="s">
        <v>414</v>
      </c>
      <c r="B332" t="s">
        <v>1241</v>
      </c>
      <c r="C332" t="s">
        <v>43</v>
      </c>
      <c r="D332" s="72">
        <v>1899000</v>
      </c>
      <c r="E332" s="72">
        <v>0</v>
      </c>
      <c r="F332" s="72">
        <v>1023000</v>
      </c>
      <c r="G332" s="72">
        <v>2025000</v>
      </c>
      <c r="H332" s="72">
        <v>30000</v>
      </c>
      <c r="I332" s="72">
        <v>0</v>
      </c>
      <c r="J332" s="72">
        <v>401000</v>
      </c>
      <c r="K332" s="72">
        <v>299000</v>
      </c>
      <c r="L332" s="72">
        <v>5677000</v>
      </c>
      <c r="M332" s="72">
        <v>0</v>
      </c>
      <c r="N332" s="72">
        <v>0</v>
      </c>
      <c r="O332" s="72">
        <v>0</v>
      </c>
      <c r="P332" s="72">
        <v>0</v>
      </c>
      <c r="Q332" s="72">
        <v>0</v>
      </c>
      <c r="R332" s="72">
        <v>0</v>
      </c>
      <c r="S332" s="72">
        <v>5677000</v>
      </c>
      <c r="T332" s="72">
        <v>1897500</v>
      </c>
      <c r="U332" s="72">
        <v>975000</v>
      </c>
      <c r="V332" s="72">
        <v>2682000</v>
      </c>
      <c r="W332" s="72">
        <v>140000</v>
      </c>
      <c r="X332" s="72">
        <v>0</v>
      </c>
      <c r="Y332" s="72">
        <v>0</v>
      </c>
      <c r="Z332" s="72">
        <v>0</v>
      </c>
      <c r="AA332" s="72">
        <v>41000</v>
      </c>
      <c r="AB332" s="72">
        <v>0</v>
      </c>
      <c r="AC332" s="72">
        <v>419250</v>
      </c>
      <c r="AD332" s="72">
        <v>0</v>
      </c>
      <c r="AE332" s="72">
        <v>0</v>
      </c>
      <c r="AF332" s="72">
        <v>4250</v>
      </c>
      <c r="AG332" s="72">
        <v>150000</v>
      </c>
      <c r="AH332" s="72">
        <v>6309000</v>
      </c>
      <c r="AI332" s="72">
        <v>40000</v>
      </c>
      <c r="AJ332" s="72">
        <v>0</v>
      </c>
      <c r="AK332" s="72">
        <v>35184</v>
      </c>
      <c r="AL332" s="72">
        <v>75184</v>
      </c>
      <c r="AM332" s="72">
        <v>6384184</v>
      </c>
      <c r="AN332" s="72">
        <v>-707184</v>
      </c>
      <c r="AO332" s="72">
        <v>409464</v>
      </c>
      <c r="AP332" s="72">
        <v>-297720</v>
      </c>
      <c r="AQ332" s="72">
        <v>0</v>
      </c>
      <c r="AR332" s="72">
        <v>0</v>
      </c>
      <c r="AS332" s="72">
        <v>0</v>
      </c>
      <c r="AT332" s="72">
        <v>0</v>
      </c>
      <c r="AU332" s="72">
        <v>0</v>
      </c>
      <c r="AV332" s="72">
        <v>0</v>
      </c>
      <c r="AW332" s="72">
        <v>0</v>
      </c>
      <c r="AX332" s="72">
        <v>0</v>
      </c>
      <c r="AY332" s="72">
        <v>0</v>
      </c>
      <c r="AZ332" s="72">
        <v>0</v>
      </c>
      <c r="BA332" s="72">
        <v>-297720</v>
      </c>
      <c r="BB332" s="72">
        <v>0</v>
      </c>
      <c r="BC332" s="72">
        <v>0</v>
      </c>
      <c r="BD332" s="72">
        <v>0</v>
      </c>
      <c r="BE332" s="72">
        <v>-297720</v>
      </c>
      <c r="BF332" s="72">
        <v>0</v>
      </c>
      <c r="BG332" s="72">
        <v>0</v>
      </c>
      <c r="BH332" s="72">
        <v>0</v>
      </c>
      <c r="BI332" s="72">
        <v>0</v>
      </c>
      <c r="BJ332" s="72">
        <v>-297720</v>
      </c>
      <c r="BK332" s="72">
        <v>0</v>
      </c>
      <c r="BL332" s="72">
        <v>0</v>
      </c>
      <c r="BM332" s="72">
        <v>0</v>
      </c>
      <c r="BN332" s="72">
        <v>0</v>
      </c>
      <c r="BO332" s="72">
        <v>0</v>
      </c>
      <c r="BP332" s="72">
        <v>0</v>
      </c>
      <c r="BQ332" s="72">
        <v>0</v>
      </c>
      <c r="BR332" s="72">
        <v>0</v>
      </c>
      <c r="BS332" s="72">
        <v>6384184</v>
      </c>
    </row>
    <row r="333" spans="1:71" x14ac:dyDescent="0.2">
      <c r="A333" t="s">
        <v>515</v>
      </c>
      <c r="B333" t="s">
        <v>1219</v>
      </c>
      <c r="C333" t="s">
        <v>43</v>
      </c>
      <c r="D333" s="72">
        <v>5204913</v>
      </c>
      <c r="E333" s="72">
        <v>279278</v>
      </c>
      <c r="F333" s="72">
        <v>0</v>
      </c>
      <c r="G333" s="72">
        <v>1102884</v>
      </c>
      <c r="H333" s="72">
        <v>328</v>
      </c>
      <c r="I333" s="72">
        <v>0</v>
      </c>
      <c r="J333" s="72">
        <v>951232</v>
      </c>
      <c r="K333" s="72">
        <v>288880</v>
      </c>
      <c r="L333" s="72">
        <v>7827515</v>
      </c>
      <c r="M333" s="72">
        <v>0</v>
      </c>
      <c r="N333" s="72">
        <v>0</v>
      </c>
      <c r="O333" s="72">
        <v>0</v>
      </c>
      <c r="P333" s="72">
        <v>12978</v>
      </c>
      <c r="Q333" s="72">
        <v>34270</v>
      </c>
      <c r="R333" s="72">
        <v>47248</v>
      </c>
      <c r="S333" s="72">
        <v>7874763</v>
      </c>
      <c r="T333" s="72">
        <v>3966160</v>
      </c>
      <c r="U333" s="72">
        <v>1772554</v>
      </c>
      <c r="V333" s="72">
        <v>2206805</v>
      </c>
      <c r="W333" s="72">
        <v>208239</v>
      </c>
      <c r="X333" s="72">
        <v>71705</v>
      </c>
      <c r="Y333" s="72">
        <v>0</v>
      </c>
      <c r="Z333" s="72">
        <v>0</v>
      </c>
      <c r="AA333" s="72">
        <v>0</v>
      </c>
      <c r="AB333" s="72">
        <v>0</v>
      </c>
      <c r="AC333" s="72">
        <v>0</v>
      </c>
      <c r="AD333" s="72">
        <v>0</v>
      </c>
      <c r="AE333" s="72">
        <v>0</v>
      </c>
      <c r="AF333" s="72">
        <v>0</v>
      </c>
      <c r="AG333" s="72">
        <v>153971</v>
      </c>
      <c r="AH333" s="72">
        <v>8379434</v>
      </c>
      <c r="AI333" s="72">
        <v>150000</v>
      </c>
      <c r="AJ333" s="72">
        <v>0</v>
      </c>
      <c r="AK333" s="72">
        <v>0</v>
      </c>
      <c r="AL333" s="72">
        <v>150000</v>
      </c>
      <c r="AM333" s="72">
        <v>8529434</v>
      </c>
      <c r="AN333" s="72">
        <v>-654671</v>
      </c>
      <c r="AO333" s="72">
        <v>791921</v>
      </c>
      <c r="AP333" s="72">
        <v>137250</v>
      </c>
      <c r="AQ333" s="72">
        <v>0</v>
      </c>
      <c r="AR333" s="72">
        <v>0</v>
      </c>
      <c r="AS333" s="72">
        <v>0</v>
      </c>
      <c r="AT333" s="72">
        <v>0</v>
      </c>
      <c r="AU333" s="72">
        <v>0</v>
      </c>
      <c r="AV333" s="72">
        <v>0</v>
      </c>
      <c r="AW333" s="72">
        <v>0</v>
      </c>
      <c r="AX333" s="72">
        <v>0</v>
      </c>
      <c r="AY333" s="72">
        <v>0</v>
      </c>
      <c r="AZ333" s="72">
        <v>0</v>
      </c>
      <c r="BA333" s="72">
        <v>137250</v>
      </c>
      <c r="BB333" s="72">
        <v>0</v>
      </c>
      <c r="BC333" s="72">
        <v>0</v>
      </c>
      <c r="BD333" s="72">
        <v>0</v>
      </c>
      <c r="BE333" s="72">
        <v>137250</v>
      </c>
      <c r="BF333" s="72">
        <v>0</v>
      </c>
      <c r="BG333" s="72">
        <v>571030</v>
      </c>
      <c r="BH333" s="72">
        <v>571030</v>
      </c>
      <c r="BI333" s="72">
        <v>0</v>
      </c>
      <c r="BJ333" s="72">
        <v>708280</v>
      </c>
      <c r="BM333" s="72">
        <v>0</v>
      </c>
      <c r="BN333" s="72">
        <v>0</v>
      </c>
      <c r="BO333" s="72">
        <v>0</v>
      </c>
      <c r="BP333" s="72">
        <v>0</v>
      </c>
      <c r="BQ333" s="72">
        <v>0</v>
      </c>
      <c r="BR333" s="72">
        <v>0</v>
      </c>
      <c r="BS333" s="72">
        <v>8529434</v>
      </c>
    </row>
    <row r="334" spans="1:71" x14ac:dyDescent="0.2">
      <c r="A334" t="s">
        <v>743</v>
      </c>
      <c r="B334" t="s">
        <v>1432</v>
      </c>
      <c r="C334" t="s">
        <v>43</v>
      </c>
      <c r="D334" s="72">
        <v>17464304</v>
      </c>
      <c r="E334" s="72">
        <v>0</v>
      </c>
      <c r="F334" s="72">
        <v>0</v>
      </c>
      <c r="G334" s="72">
        <v>3622766</v>
      </c>
      <c r="H334" s="72">
        <v>115000</v>
      </c>
      <c r="I334" s="72">
        <v>0</v>
      </c>
      <c r="J334" s="72">
        <v>2592488</v>
      </c>
      <c r="K334" s="72">
        <v>2340800</v>
      </c>
      <c r="L334" s="72">
        <v>26135358</v>
      </c>
      <c r="M334" s="72">
        <v>0</v>
      </c>
      <c r="N334" s="72">
        <v>0</v>
      </c>
      <c r="O334" s="72">
        <v>0</v>
      </c>
      <c r="P334" s="72">
        <v>15000</v>
      </c>
      <c r="Q334" s="72">
        <v>90000</v>
      </c>
      <c r="R334" s="72">
        <v>105000</v>
      </c>
      <c r="S334" s="72">
        <v>26240358</v>
      </c>
      <c r="T334" s="72">
        <v>13095153</v>
      </c>
      <c r="U334" s="72">
        <v>4991087</v>
      </c>
      <c r="V334" s="72">
        <v>4777363</v>
      </c>
      <c r="W334" s="72">
        <v>790000</v>
      </c>
      <c r="X334" s="72">
        <v>238547</v>
      </c>
      <c r="Y334" s="72">
        <v>0</v>
      </c>
      <c r="Z334" s="72">
        <v>0</v>
      </c>
      <c r="AA334" s="72">
        <v>0</v>
      </c>
      <c r="AB334" s="72">
        <v>0</v>
      </c>
      <c r="AC334" s="72">
        <v>0</v>
      </c>
      <c r="AD334" s="72">
        <v>120000</v>
      </c>
      <c r="AE334" s="72">
        <v>0</v>
      </c>
      <c r="AF334" s="72">
        <v>41300</v>
      </c>
      <c r="AG334" s="72">
        <v>442121</v>
      </c>
      <c r="AH334" s="72">
        <v>24495571</v>
      </c>
      <c r="AI334" s="72">
        <v>35000</v>
      </c>
      <c r="AJ334" s="72">
        <v>15000</v>
      </c>
      <c r="AK334" s="72">
        <v>0</v>
      </c>
      <c r="AL334" s="72">
        <v>50000</v>
      </c>
      <c r="AM334" s="72">
        <v>24545571</v>
      </c>
      <c r="AN334" s="72">
        <v>1694787</v>
      </c>
      <c r="AO334" s="72">
        <v>8457961</v>
      </c>
      <c r="AP334" s="72">
        <v>10152748</v>
      </c>
      <c r="AQ334" s="72">
        <v>675000</v>
      </c>
      <c r="AR334" s="72">
        <v>0</v>
      </c>
      <c r="AS334" s="72">
        <v>0</v>
      </c>
      <c r="AT334" s="72">
        <v>0</v>
      </c>
      <c r="AU334" s="72">
        <v>0</v>
      </c>
      <c r="AV334" s="72">
        <v>0</v>
      </c>
      <c r="AW334" s="72">
        <v>0</v>
      </c>
      <c r="AX334" s="72">
        <v>0</v>
      </c>
      <c r="AY334" s="72">
        <v>0</v>
      </c>
      <c r="AZ334" s="72">
        <v>0</v>
      </c>
      <c r="BA334" s="72">
        <v>9477748</v>
      </c>
      <c r="BB334" s="72">
        <v>0</v>
      </c>
      <c r="BC334" s="72">
        <v>0</v>
      </c>
      <c r="BD334" s="72">
        <v>0</v>
      </c>
      <c r="BE334" s="72">
        <v>9477748</v>
      </c>
      <c r="BF334" s="72">
        <v>0</v>
      </c>
      <c r="BG334" s="72">
        <v>0</v>
      </c>
      <c r="BH334" s="72">
        <v>0</v>
      </c>
      <c r="BI334" s="72">
        <v>0</v>
      </c>
      <c r="BJ334" s="72">
        <v>9477748</v>
      </c>
      <c r="BK334" s="72">
        <v>105</v>
      </c>
      <c r="BL334" s="72">
        <v>2086</v>
      </c>
      <c r="BM334" s="72">
        <v>0</v>
      </c>
      <c r="BN334" s="72">
        <v>0</v>
      </c>
      <c r="BO334" s="72">
        <v>0</v>
      </c>
      <c r="BP334" s="72">
        <v>0</v>
      </c>
      <c r="BQ334" s="72">
        <v>0</v>
      </c>
      <c r="BR334" s="72">
        <v>0</v>
      </c>
      <c r="BS334" s="72">
        <v>26240358</v>
      </c>
    </row>
    <row r="335" spans="1:71" x14ac:dyDescent="0.2">
      <c r="A335" t="s">
        <v>150</v>
      </c>
      <c r="B335" t="s">
        <v>871</v>
      </c>
      <c r="C335" t="s">
        <v>50</v>
      </c>
      <c r="D335" s="72">
        <v>46625000</v>
      </c>
      <c r="E335" s="72">
        <v>1550000</v>
      </c>
      <c r="F335" s="72">
        <v>0</v>
      </c>
      <c r="G335" s="72">
        <v>10580000</v>
      </c>
      <c r="H335" s="72">
        <v>65000</v>
      </c>
      <c r="I335" s="72">
        <v>0</v>
      </c>
      <c r="J335" s="72">
        <v>6105000</v>
      </c>
      <c r="K335" s="72">
        <v>2185000</v>
      </c>
      <c r="L335" s="72">
        <v>67110000</v>
      </c>
      <c r="M335" s="72">
        <v>0</v>
      </c>
      <c r="N335" s="72">
        <v>0</v>
      </c>
      <c r="O335" s="72">
        <v>0</v>
      </c>
      <c r="P335" s="72">
        <v>100000</v>
      </c>
      <c r="Q335" s="72">
        <v>0</v>
      </c>
      <c r="R335" s="72">
        <v>100000</v>
      </c>
      <c r="S335" s="72">
        <v>67210000</v>
      </c>
      <c r="T335" s="72">
        <v>41060000</v>
      </c>
      <c r="U335" s="72">
        <v>17170000</v>
      </c>
      <c r="V335" s="72">
        <v>6915000</v>
      </c>
      <c r="W335" s="72">
        <v>1770000</v>
      </c>
      <c r="X335" s="72">
        <v>165000</v>
      </c>
      <c r="Y335" s="72">
        <v>0</v>
      </c>
      <c r="Z335" s="72">
        <v>0</v>
      </c>
      <c r="AA335" s="72">
        <v>0</v>
      </c>
      <c r="AB335" s="72">
        <v>0</v>
      </c>
      <c r="AC335" s="72">
        <v>0</v>
      </c>
      <c r="AD335" s="72">
        <v>0</v>
      </c>
      <c r="AE335" s="72">
        <v>0</v>
      </c>
      <c r="AF335" s="72">
        <v>0</v>
      </c>
      <c r="AG335" s="72">
        <v>3740000</v>
      </c>
      <c r="AH335" s="72">
        <v>70820000</v>
      </c>
      <c r="AI335" s="72">
        <v>50000</v>
      </c>
      <c r="AJ335" s="72">
        <v>100000</v>
      </c>
      <c r="AK335" s="72">
        <v>0</v>
      </c>
      <c r="AL335" s="72">
        <v>150000</v>
      </c>
      <c r="AM335" s="72">
        <v>70970000</v>
      </c>
      <c r="AN335" s="72">
        <v>-3760000</v>
      </c>
      <c r="AO335" s="72">
        <v>17225650</v>
      </c>
      <c r="AP335" s="72">
        <v>13465650</v>
      </c>
      <c r="AQ335" s="72">
        <v>0</v>
      </c>
      <c r="AR335" s="72">
        <v>0</v>
      </c>
      <c r="AS335" s="72">
        <v>0</v>
      </c>
      <c r="AT335" s="72">
        <v>0</v>
      </c>
      <c r="AU335" s="72">
        <v>0</v>
      </c>
      <c r="AV335" s="72">
        <v>0</v>
      </c>
      <c r="AW335" s="72">
        <v>0</v>
      </c>
      <c r="AX335" s="72">
        <v>0</v>
      </c>
      <c r="AY335" s="72">
        <v>0</v>
      </c>
      <c r="AZ335" s="72">
        <v>0</v>
      </c>
      <c r="BA335" s="72">
        <v>13465650</v>
      </c>
      <c r="BB335" s="72">
        <v>0</v>
      </c>
      <c r="BC335" s="72">
        <v>0</v>
      </c>
      <c r="BD335" s="72">
        <v>0</v>
      </c>
      <c r="BE335" s="72">
        <v>13465650</v>
      </c>
      <c r="BF335" s="72">
        <v>0</v>
      </c>
      <c r="BG335" s="72">
        <v>5041006</v>
      </c>
      <c r="BH335" s="72">
        <v>5041006</v>
      </c>
      <c r="BI335" s="72">
        <v>0</v>
      </c>
      <c r="BJ335" s="72">
        <v>18506656</v>
      </c>
      <c r="BM335" s="72">
        <v>0</v>
      </c>
      <c r="BN335" s="72">
        <v>0</v>
      </c>
      <c r="BO335" s="72">
        <v>0</v>
      </c>
      <c r="BP335" s="72">
        <v>0</v>
      </c>
      <c r="BQ335" s="72">
        <v>0</v>
      </c>
      <c r="BR335" s="72">
        <v>0</v>
      </c>
      <c r="BS335" s="72">
        <v>70970000</v>
      </c>
    </row>
    <row r="336" spans="1:71" x14ac:dyDescent="0.2">
      <c r="A336" t="s">
        <v>209</v>
      </c>
      <c r="B336" t="s">
        <v>927</v>
      </c>
      <c r="C336" t="s">
        <v>50</v>
      </c>
      <c r="D336" s="72">
        <v>1750144</v>
      </c>
      <c r="E336" s="72">
        <v>147532</v>
      </c>
      <c r="F336" s="72">
        <v>851647</v>
      </c>
      <c r="G336" s="72">
        <v>2536119</v>
      </c>
      <c r="H336" s="72">
        <v>18128</v>
      </c>
      <c r="I336" s="72">
        <v>0</v>
      </c>
      <c r="J336" s="72">
        <v>267772</v>
      </c>
      <c r="K336" s="72">
        <v>705241</v>
      </c>
      <c r="L336" s="72">
        <v>6276583</v>
      </c>
      <c r="M336" s="72">
        <v>0</v>
      </c>
      <c r="N336" s="72">
        <v>0</v>
      </c>
      <c r="O336" s="72">
        <v>0</v>
      </c>
      <c r="P336" s="72">
        <v>0</v>
      </c>
      <c r="Q336" s="72">
        <v>19500</v>
      </c>
      <c r="R336" s="72">
        <v>19500</v>
      </c>
      <c r="S336" s="72">
        <v>6296083</v>
      </c>
      <c r="T336" s="72">
        <v>3476213</v>
      </c>
      <c r="U336" s="72">
        <v>1134249</v>
      </c>
      <c r="V336" s="72">
        <v>1072953</v>
      </c>
      <c r="W336" s="72">
        <v>270882</v>
      </c>
      <c r="X336" s="72">
        <v>17700</v>
      </c>
      <c r="Y336" s="72">
        <v>0</v>
      </c>
      <c r="Z336" s="72">
        <v>0</v>
      </c>
      <c r="AA336" s="72">
        <v>0</v>
      </c>
      <c r="AB336" s="72">
        <v>0</v>
      </c>
      <c r="AC336" s="72">
        <v>0</v>
      </c>
      <c r="AD336" s="72">
        <v>0</v>
      </c>
      <c r="AE336" s="72">
        <v>0</v>
      </c>
      <c r="AF336" s="72">
        <v>0</v>
      </c>
      <c r="AG336" s="72">
        <v>97623</v>
      </c>
      <c r="AH336" s="72">
        <v>6069620</v>
      </c>
      <c r="AI336" s="72">
        <v>15000</v>
      </c>
      <c r="AJ336" s="72">
        <v>0</v>
      </c>
      <c r="AK336" s="72">
        <v>0</v>
      </c>
      <c r="AL336" s="72">
        <v>15000</v>
      </c>
      <c r="AM336" s="72">
        <v>6084620</v>
      </c>
      <c r="AN336" s="72">
        <v>211463</v>
      </c>
      <c r="AO336" s="72">
        <v>2548790</v>
      </c>
      <c r="AP336" s="72">
        <v>2760253</v>
      </c>
      <c r="AQ336" s="72">
        <v>25000</v>
      </c>
      <c r="AR336" s="72">
        <v>0</v>
      </c>
      <c r="AS336" s="72">
        <v>400000</v>
      </c>
      <c r="AT336" s="72">
        <v>0</v>
      </c>
      <c r="AU336" s="72">
        <v>0</v>
      </c>
      <c r="AV336" s="72">
        <v>0</v>
      </c>
      <c r="AW336" s="72">
        <v>0</v>
      </c>
      <c r="AX336" s="72">
        <v>0</v>
      </c>
      <c r="AY336" s="72">
        <v>0</v>
      </c>
      <c r="AZ336" s="72">
        <v>400000</v>
      </c>
      <c r="BA336" s="72">
        <v>2335253</v>
      </c>
      <c r="BB336" s="72">
        <v>0</v>
      </c>
      <c r="BC336" s="72">
        <v>0</v>
      </c>
      <c r="BD336" s="72">
        <v>0</v>
      </c>
      <c r="BE336" s="72">
        <v>2335253</v>
      </c>
      <c r="BF336" s="72">
        <v>0</v>
      </c>
      <c r="BG336" s="72">
        <v>0</v>
      </c>
      <c r="BH336" s="72">
        <v>0</v>
      </c>
      <c r="BI336" s="72">
        <v>0</v>
      </c>
      <c r="BJ336" s="72">
        <v>2335253</v>
      </c>
      <c r="BK336" s="72">
        <v>36</v>
      </c>
      <c r="BL336" s="72">
        <v>560</v>
      </c>
      <c r="BM336" s="72">
        <v>0</v>
      </c>
      <c r="BN336" s="72">
        <v>0</v>
      </c>
      <c r="BO336" s="72">
        <v>0</v>
      </c>
      <c r="BP336" s="72">
        <v>0</v>
      </c>
      <c r="BQ336" s="72">
        <v>0</v>
      </c>
      <c r="BR336" s="72">
        <v>0</v>
      </c>
      <c r="BS336" s="72">
        <v>6296083</v>
      </c>
    </row>
    <row r="337" spans="1:71" x14ac:dyDescent="0.2">
      <c r="A337" t="s">
        <v>349</v>
      </c>
      <c r="B337" t="s">
        <v>1061</v>
      </c>
      <c r="C337" t="s">
        <v>50</v>
      </c>
      <c r="D337" s="72">
        <v>3471300</v>
      </c>
      <c r="E337" s="72">
        <v>385000</v>
      </c>
      <c r="F337" s="72">
        <v>1712000</v>
      </c>
      <c r="G337" s="72">
        <v>5473866</v>
      </c>
      <c r="H337" s="72">
        <v>16700</v>
      </c>
      <c r="I337" s="72">
        <v>0</v>
      </c>
      <c r="J337" s="72">
        <v>518700</v>
      </c>
      <c r="K337" s="72">
        <v>1086000</v>
      </c>
      <c r="L337" s="72">
        <v>12663566</v>
      </c>
      <c r="M337" s="72">
        <v>0</v>
      </c>
      <c r="N337" s="72">
        <v>0</v>
      </c>
      <c r="O337" s="72">
        <v>0</v>
      </c>
      <c r="P337" s="72">
        <v>3330</v>
      </c>
      <c r="Q337" s="72">
        <v>40000</v>
      </c>
      <c r="R337" s="72">
        <v>43330</v>
      </c>
      <c r="S337" s="72">
        <v>12706896</v>
      </c>
      <c r="T337" s="72">
        <v>6480500</v>
      </c>
      <c r="U337" s="72">
        <v>2850000</v>
      </c>
      <c r="V337" s="72">
        <v>2280318</v>
      </c>
      <c r="W337" s="72">
        <v>674998</v>
      </c>
      <c r="X337" s="72">
        <v>746920</v>
      </c>
      <c r="Y337" s="72">
        <v>0</v>
      </c>
      <c r="Z337" s="72">
        <v>0</v>
      </c>
      <c r="AA337" s="72">
        <v>0</v>
      </c>
      <c r="AB337" s="72">
        <v>0</v>
      </c>
      <c r="AC337" s="72">
        <v>0</v>
      </c>
      <c r="AD337" s="72">
        <v>0</v>
      </c>
      <c r="AE337" s="72">
        <v>0</v>
      </c>
      <c r="AF337" s="72">
        <v>0</v>
      </c>
      <c r="AG337" s="72">
        <v>208549</v>
      </c>
      <c r="AH337" s="72">
        <v>13241285</v>
      </c>
      <c r="AI337" s="72">
        <v>614515</v>
      </c>
      <c r="AJ337" s="72">
        <v>10000</v>
      </c>
      <c r="AK337" s="72">
        <v>0</v>
      </c>
      <c r="AL337" s="72">
        <v>624515</v>
      </c>
      <c r="AM337" s="72">
        <v>13865800</v>
      </c>
      <c r="AN337" s="72">
        <v>-1158904</v>
      </c>
      <c r="AO337" s="72">
        <v>7265996</v>
      </c>
      <c r="AP337" s="72">
        <v>6107092</v>
      </c>
      <c r="AQ337" s="72">
        <v>110000</v>
      </c>
      <c r="AR337" s="72">
        <v>0</v>
      </c>
      <c r="AS337" s="72">
        <v>0</v>
      </c>
      <c r="AT337" s="72">
        <v>210585</v>
      </c>
      <c r="AU337" s="72">
        <v>0</v>
      </c>
      <c r="AV337" s="72">
        <v>0</v>
      </c>
      <c r="AW337" s="72">
        <v>0</v>
      </c>
      <c r="AX337" s="72">
        <v>0</v>
      </c>
      <c r="AY337" s="72">
        <v>0</v>
      </c>
      <c r="AZ337" s="72">
        <v>210585</v>
      </c>
      <c r="BA337" s="72">
        <v>5786507</v>
      </c>
      <c r="BB337" s="72">
        <v>0</v>
      </c>
      <c r="BC337" s="72">
        <v>0</v>
      </c>
      <c r="BD337" s="72">
        <v>0</v>
      </c>
      <c r="BE337" s="72">
        <v>5786507</v>
      </c>
      <c r="BF337" s="72">
        <v>0</v>
      </c>
      <c r="BG337" s="72">
        <v>0</v>
      </c>
      <c r="BH337" s="72">
        <v>0</v>
      </c>
      <c r="BI337" s="72">
        <v>0</v>
      </c>
      <c r="BJ337" s="72">
        <v>5786507</v>
      </c>
      <c r="BK337" s="72">
        <v>97</v>
      </c>
      <c r="BL337" s="72">
        <v>1329</v>
      </c>
      <c r="BM337" s="72">
        <v>0</v>
      </c>
      <c r="BN337" s="72">
        <v>0</v>
      </c>
      <c r="BO337" s="72">
        <v>0</v>
      </c>
      <c r="BP337" s="72">
        <v>0</v>
      </c>
      <c r="BQ337" s="72">
        <v>0</v>
      </c>
      <c r="BR337" s="72">
        <v>0</v>
      </c>
      <c r="BS337" s="72">
        <v>13865800</v>
      </c>
    </row>
    <row r="338" spans="1:71" x14ac:dyDescent="0.2">
      <c r="A338" t="s">
        <v>153</v>
      </c>
      <c r="B338" t="s">
        <v>874</v>
      </c>
      <c r="C338" t="s">
        <v>50</v>
      </c>
      <c r="D338" s="72">
        <v>14988000</v>
      </c>
      <c r="E338" s="72">
        <v>0</v>
      </c>
      <c r="F338" s="72">
        <v>0</v>
      </c>
      <c r="G338" s="72">
        <v>5838000</v>
      </c>
      <c r="H338" s="72">
        <v>6000</v>
      </c>
      <c r="I338" s="72">
        <v>0</v>
      </c>
      <c r="J338" s="72">
        <v>1920000</v>
      </c>
      <c r="K338" s="72">
        <v>729000</v>
      </c>
      <c r="L338" s="72">
        <v>23481000</v>
      </c>
      <c r="M338" s="72">
        <v>0</v>
      </c>
      <c r="N338" s="72">
        <v>0</v>
      </c>
      <c r="O338" s="72">
        <v>5000</v>
      </c>
      <c r="P338" s="72">
        <v>0</v>
      </c>
      <c r="Q338" s="72">
        <v>107000</v>
      </c>
      <c r="R338" s="72">
        <v>112000</v>
      </c>
      <c r="S338" s="72">
        <v>23593000</v>
      </c>
      <c r="T338" s="72">
        <v>13835000</v>
      </c>
      <c r="U338" s="72">
        <v>4931499</v>
      </c>
      <c r="V338" s="72">
        <v>3575939</v>
      </c>
      <c r="W338" s="72">
        <v>949124</v>
      </c>
      <c r="X338" s="72">
        <v>55445</v>
      </c>
      <c r="Y338" s="72">
        <v>0</v>
      </c>
      <c r="Z338" s="72">
        <v>0</v>
      </c>
      <c r="AA338" s="72">
        <v>0</v>
      </c>
      <c r="AB338" s="72">
        <v>0</v>
      </c>
      <c r="AC338" s="72">
        <v>0</v>
      </c>
      <c r="AD338" s="72">
        <v>0</v>
      </c>
      <c r="AE338" s="72">
        <v>0</v>
      </c>
      <c r="AF338" s="72">
        <v>0</v>
      </c>
      <c r="AG338" s="72">
        <v>237635</v>
      </c>
      <c r="AH338" s="72">
        <v>23584642</v>
      </c>
      <c r="AI338" s="72">
        <v>30000</v>
      </c>
      <c r="AJ338" s="72">
        <v>0</v>
      </c>
      <c r="AK338" s="72">
        <v>0</v>
      </c>
      <c r="AL338" s="72">
        <v>30000</v>
      </c>
      <c r="AM338" s="72">
        <v>23614642</v>
      </c>
      <c r="AN338" s="72">
        <v>-21642</v>
      </c>
      <c r="AO338" s="72">
        <v>3245535</v>
      </c>
      <c r="AP338" s="72">
        <v>3223893</v>
      </c>
      <c r="AQ338" s="72">
        <v>0</v>
      </c>
      <c r="AR338" s="72">
        <v>0</v>
      </c>
      <c r="AS338" s="72">
        <v>0</v>
      </c>
      <c r="AT338" s="72">
        <v>0</v>
      </c>
      <c r="AU338" s="72">
        <v>0</v>
      </c>
      <c r="AV338" s="72">
        <v>0</v>
      </c>
      <c r="AW338" s="72">
        <v>0</v>
      </c>
      <c r="AX338" s="72">
        <v>0</v>
      </c>
      <c r="AY338" s="72">
        <v>0</v>
      </c>
      <c r="AZ338" s="72">
        <v>0</v>
      </c>
      <c r="BA338" s="72">
        <v>3223893</v>
      </c>
      <c r="BB338" s="72">
        <v>0</v>
      </c>
      <c r="BC338" s="72">
        <v>0</v>
      </c>
      <c r="BD338" s="72">
        <v>0</v>
      </c>
      <c r="BE338" s="72">
        <v>3223893</v>
      </c>
      <c r="BF338" s="72">
        <v>0</v>
      </c>
      <c r="BG338" s="72">
        <v>0</v>
      </c>
      <c r="BH338" s="72">
        <v>0</v>
      </c>
      <c r="BI338" s="72">
        <v>0</v>
      </c>
      <c r="BJ338" s="72">
        <v>3223893</v>
      </c>
      <c r="BK338" s="72">
        <v>0</v>
      </c>
      <c r="BL338" s="72">
        <v>0</v>
      </c>
      <c r="BM338" s="72">
        <v>0</v>
      </c>
      <c r="BN338" s="72">
        <v>0</v>
      </c>
      <c r="BO338" s="72">
        <v>0</v>
      </c>
      <c r="BP338" s="72">
        <v>0</v>
      </c>
      <c r="BQ338" s="72">
        <v>0</v>
      </c>
      <c r="BR338" s="72">
        <v>0</v>
      </c>
      <c r="BS338" s="72">
        <v>23614642</v>
      </c>
    </row>
    <row r="339" spans="1:71" x14ac:dyDescent="0.2">
      <c r="A339" t="s">
        <v>614</v>
      </c>
      <c r="B339" t="s">
        <v>1310</v>
      </c>
      <c r="C339" t="s">
        <v>93</v>
      </c>
      <c r="D339" s="72">
        <v>5758940</v>
      </c>
      <c r="E339" s="72">
        <v>0</v>
      </c>
      <c r="F339" s="72">
        <v>0</v>
      </c>
      <c r="G339" s="72">
        <v>8963673</v>
      </c>
      <c r="H339" s="72">
        <v>120060</v>
      </c>
      <c r="I339" s="72">
        <v>0</v>
      </c>
      <c r="J339" s="72">
        <v>864607</v>
      </c>
      <c r="K339" s="72">
        <v>850000</v>
      </c>
      <c r="L339" s="72">
        <v>16557280</v>
      </c>
      <c r="M339" s="72">
        <v>0</v>
      </c>
      <c r="N339" s="72">
        <v>0</v>
      </c>
      <c r="O339" s="72">
        <v>0</v>
      </c>
      <c r="P339" s="72">
        <v>0</v>
      </c>
      <c r="Q339" s="72">
        <v>0</v>
      </c>
      <c r="R339" s="72">
        <v>0</v>
      </c>
      <c r="S339" s="72">
        <v>16557280</v>
      </c>
      <c r="T339" s="72">
        <v>8086606</v>
      </c>
      <c r="U339" s="72">
        <v>3546065</v>
      </c>
      <c r="V339" s="72">
        <v>2545429</v>
      </c>
      <c r="W339" s="72">
        <v>548539</v>
      </c>
      <c r="X339" s="72">
        <v>600000</v>
      </c>
      <c r="Y339" s="72">
        <v>0</v>
      </c>
      <c r="Z339" s="72">
        <v>0</v>
      </c>
      <c r="AA339" s="72">
        <v>0</v>
      </c>
      <c r="AB339" s="72">
        <v>0</v>
      </c>
      <c r="AC339" s="72">
        <v>0</v>
      </c>
      <c r="AD339" s="72">
        <v>68590</v>
      </c>
      <c r="AE339" s="72">
        <v>0</v>
      </c>
      <c r="AF339" s="72">
        <v>0</v>
      </c>
      <c r="AG339" s="72">
        <v>750000</v>
      </c>
      <c r="AH339" s="72">
        <v>16145229</v>
      </c>
      <c r="AI339" s="72">
        <v>200000</v>
      </c>
      <c r="AJ339" s="72">
        <v>0</v>
      </c>
      <c r="AK339" s="72">
        <v>0</v>
      </c>
      <c r="AL339" s="72">
        <v>200000</v>
      </c>
      <c r="AM339" s="72">
        <v>16345229</v>
      </c>
      <c r="AN339" s="72">
        <v>212051</v>
      </c>
      <c r="AO339" s="72">
        <v>3744381</v>
      </c>
      <c r="AP339" s="72">
        <v>3956432</v>
      </c>
      <c r="AQ339" s="72">
        <v>300000</v>
      </c>
      <c r="AR339" s="72">
        <v>0</v>
      </c>
      <c r="AS339" s="72">
        <v>0</v>
      </c>
      <c r="AT339" s="72">
        <v>0</v>
      </c>
      <c r="AU339" s="72">
        <v>0</v>
      </c>
      <c r="AV339" s="72">
        <v>0</v>
      </c>
      <c r="AW339" s="72">
        <v>0</v>
      </c>
      <c r="AX339" s="72">
        <v>0</v>
      </c>
      <c r="AY339" s="72">
        <v>0</v>
      </c>
      <c r="AZ339" s="72">
        <v>0</v>
      </c>
      <c r="BA339" s="72">
        <v>3656432</v>
      </c>
      <c r="BB339" s="72">
        <v>0</v>
      </c>
      <c r="BC339" s="72">
        <v>0</v>
      </c>
      <c r="BD339" s="72">
        <v>0</v>
      </c>
      <c r="BE339" s="72">
        <v>3656432</v>
      </c>
      <c r="BF339" s="72">
        <v>0</v>
      </c>
      <c r="BG339" s="72">
        <v>0</v>
      </c>
      <c r="BH339" s="72">
        <v>0</v>
      </c>
      <c r="BI339" s="72">
        <v>0</v>
      </c>
      <c r="BJ339" s="72">
        <v>3656432</v>
      </c>
      <c r="BK339" s="72">
        <v>105</v>
      </c>
      <c r="BL339" s="72">
        <v>1720</v>
      </c>
      <c r="BM339" s="72">
        <v>45000</v>
      </c>
      <c r="BN339" s="72">
        <v>21055</v>
      </c>
      <c r="BO339" s="72">
        <v>0</v>
      </c>
      <c r="BP339" s="72">
        <v>0</v>
      </c>
      <c r="BQ339" s="72">
        <v>0</v>
      </c>
      <c r="BR339" s="72">
        <v>66055</v>
      </c>
      <c r="BS339" s="72">
        <v>16557280</v>
      </c>
    </row>
    <row r="340" spans="1:71" x14ac:dyDescent="0.2">
      <c r="A340" t="s">
        <v>313</v>
      </c>
      <c r="B340" t="s">
        <v>1027</v>
      </c>
      <c r="C340" t="s">
        <v>67</v>
      </c>
      <c r="D340" s="72">
        <v>9153598</v>
      </c>
      <c r="E340" s="72">
        <v>653904</v>
      </c>
      <c r="F340" s="72">
        <v>0</v>
      </c>
      <c r="G340" s="72">
        <v>5443526</v>
      </c>
      <c r="H340" s="72">
        <v>266499</v>
      </c>
      <c r="I340" s="72">
        <v>0</v>
      </c>
      <c r="J340" s="72">
        <v>1518678</v>
      </c>
      <c r="K340" s="72">
        <v>706346</v>
      </c>
      <c r="L340" s="72">
        <v>17742551</v>
      </c>
      <c r="M340" s="72">
        <v>0</v>
      </c>
      <c r="N340" s="72">
        <v>0</v>
      </c>
      <c r="O340" s="72">
        <v>0</v>
      </c>
      <c r="P340" s="72">
        <v>26620</v>
      </c>
      <c r="Q340" s="72">
        <v>51000</v>
      </c>
      <c r="R340" s="72">
        <v>77620</v>
      </c>
      <c r="S340" s="72">
        <v>17820171</v>
      </c>
      <c r="T340" s="72">
        <v>9745635</v>
      </c>
      <c r="U340" s="72">
        <v>3010000</v>
      </c>
      <c r="V340" s="72">
        <v>3829962</v>
      </c>
      <c r="W340" s="72">
        <v>593670</v>
      </c>
      <c r="X340" s="72">
        <v>382458</v>
      </c>
      <c r="Y340" s="72">
        <v>0</v>
      </c>
      <c r="Z340" s="72">
        <v>0</v>
      </c>
      <c r="AA340" s="72">
        <v>0</v>
      </c>
      <c r="AB340" s="72">
        <v>0</v>
      </c>
      <c r="AC340" s="72">
        <v>0</v>
      </c>
      <c r="AD340" s="72">
        <v>100000</v>
      </c>
      <c r="AE340" s="72">
        <v>0</v>
      </c>
      <c r="AF340" s="72">
        <v>69204</v>
      </c>
      <c r="AG340" s="72">
        <v>262367</v>
      </c>
      <c r="AH340" s="72">
        <v>17993296</v>
      </c>
      <c r="AI340" s="72">
        <v>5700</v>
      </c>
      <c r="AJ340" s="72">
        <v>26620</v>
      </c>
      <c r="AK340" s="72">
        <v>0</v>
      </c>
      <c r="AL340" s="72">
        <v>32320</v>
      </c>
      <c r="AM340" s="72">
        <v>18025616</v>
      </c>
      <c r="AN340" s="72">
        <v>-205445</v>
      </c>
      <c r="AO340" s="72">
        <v>3029343</v>
      </c>
      <c r="AP340" s="72">
        <v>2823898</v>
      </c>
      <c r="AQ340" s="72">
        <v>0</v>
      </c>
      <c r="AR340" s="72">
        <v>0</v>
      </c>
      <c r="AS340" s="72">
        <v>0</v>
      </c>
      <c r="AT340" s="72">
        <v>0</v>
      </c>
      <c r="AU340" s="72">
        <v>0</v>
      </c>
      <c r="AV340" s="72">
        <v>0</v>
      </c>
      <c r="AW340" s="72">
        <v>0</v>
      </c>
      <c r="AX340" s="72">
        <v>0</v>
      </c>
      <c r="AY340" s="72">
        <v>0</v>
      </c>
      <c r="AZ340" s="72">
        <v>0</v>
      </c>
      <c r="BA340" s="72">
        <v>2823898</v>
      </c>
      <c r="BB340" s="72">
        <v>0</v>
      </c>
      <c r="BC340" s="72">
        <v>0</v>
      </c>
      <c r="BD340" s="72">
        <v>0</v>
      </c>
      <c r="BE340" s="72">
        <v>2823898</v>
      </c>
      <c r="BF340" s="72">
        <v>0</v>
      </c>
      <c r="BG340" s="72">
        <v>0</v>
      </c>
      <c r="BH340" s="72">
        <v>0</v>
      </c>
      <c r="BI340" s="72">
        <v>0</v>
      </c>
      <c r="BJ340" s="72">
        <v>2823898</v>
      </c>
      <c r="BK340" s="72">
        <v>100</v>
      </c>
      <c r="BL340" s="72">
        <v>1461</v>
      </c>
      <c r="BM340" s="72">
        <v>0</v>
      </c>
      <c r="BN340" s="72">
        <v>0</v>
      </c>
      <c r="BO340" s="72">
        <v>0</v>
      </c>
      <c r="BP340" s="72">
        <v>0</v>
      </c>
      <c r="BQ340" s="72">
        <v>0</v>
      </c>
      <c r="BR340" s="72">
        <v>0</v>
      </c>
      <c r="BS340" s="72">
        <v>18025616</v>
      </c>
    </row>
    <row r="341" spans="1:71" x14ac:dyDescent="0.2">
      <c r="A341" t="s">
        <v>315</v>
      </c>
      <c r="B341" t="s">
        <v>1029</v>
      </c>
      <c r="C341" t="s">
        <v>67</v>
      </c>
      <c r="D341" s="72">
        <v>40938276</v>
      </c>
      <c r="E341" s="72">
        <v>0</v>
      </c>
      <c r="F341" s="72">
        <v>0</v>
      </c>
      <c r="G341" s="72">
        <v>17375220</v>
      </c>
      <c r="H341" s="72">
        <v>0</v>
      </c>
      <c r="I341" s="72">
        <v>0</v>
      </c>
      <c r="J341" s="72">
        <v>5717464</v>
      </c>
      <c r="K341" s="72">
        <v>8751406</v>
      </c>
      <c r="L341" s="72">
        <v>72782366</v>
      </c>
      <c r="M341" s="72">
        <v>0</v>
      </c>
      <c r="N341" s="72">
        <v>0</v>
      </c>
      <c r="O341" s="72">
        <v>0</v>
      </c>
      <c r="P341" s="72">
        <v>0</v>
      </c>
      <c r="Q341" s="72">
        <v>91500</v>
      </c>
      <c r="R341" s="72">
        <v>91500</v>
      </c>
      <c r="S341" s="72">
        <v>72873866</v>
      </c>
      <c r="T341" s="72">
        <v>43597996</v>
      </c>
      <c r="U341" s="72">
        <v>15499906</v>
      </c>
      <c r="V341" s="72">
        <v>7315641</v>
      </c>
      <c r="W341" s="72">
        <v>2896696</v>
      </c>
      <c r="X341" s="72">
        <v>1497161</v>
      </c>
      <c r="Y341" s="72">
        <v>0</v>
      </c>
      <c r="Z341" s="72">
        <v>0</v>
      </c>
      <c r="AA341" s="72">
        <v>0</v>
      </c>
      <c r="AB341" s="72">
        <v>0</v>
      </c>
      <c r="AC341" s="72">
        <v>0</v>
      </c>
      <c r="AD341" s="72">
        <v>0</v>
      </c>
      <c r="AE341" s="72">
        <v>0</v>
      </c>
      <c r="AF341" s="72">
        <v>0</v>
      </c>
      <c r="AG341" s="72">
        <v>1238425</v>
      </c>
      <c r="AH341" s="72">
        <v>72045825</v>
      </c>
      <c r="AI341" s="72">
        <v>650500</v>
      </c>
      <c r="AJ341" s="72">
        <v>0</v>
      </c>
      <c r="AK341" s="72">
        <v>2500</v>
      </c>
      <c r="AL341" s="72">
        <v>653000</v>
      </c>
      <c r="AM341" s="72">
        <v>72698825</v>
      </c>
      <c r="AN341" s="72">
        <v>175041</v>
      </c>
      <c r="AO341" s="72">
        <v>8625752</v>
      </c>
      <c r="AP341" s="72">
        <v>8800793</v>
      </c>
      <c r="AQ341" s="72">
        <v>0</v>
      </c>
      <c r="AR341" s="72">
        <v>0</v>
      </c>
      <c r="AS341" s="72">
        <v>0</v>
      </c>
      <c r="AT341" s="72">
        <v>717988</v>
      </c>
      <c r="AU341" s="72">
        <v>0</v>
      </c>
      <c r="AV341" s="72">
        <v>0</v>
      </c>
      <c r="AW341" s="72">
        <v>0</v>
      </c>
      <c r="AX341" s="72">
        <v>0</v>
      </c>
      <c r="AY341" s="72">
        <v>0</v>
      </c>
      <c r="AZ341" s="72">
        <v>717988</v>
      </c>
      <c r="BA341" s="72">
        <v>8082805</v>
      </c>
      <c r="BB341" s="72">
        <v>0</v>
      </c>
      <c r="BC341" s="72">
        <v>0</v>
      </c>
      <c r="BD341" s="72">
        <v>0</v>
      </c>
      <c r="BE341" s="72">
        <v>8082805</v>
      </c>
      <c r="BF341" s="72">
        <v>0</v>
      </c>
      <c r="BG341" s="72">
        <v>0</v>
      </c>
      <c r="BH341" s="72">
        <v>0</v>
      </c>
      <c r="BI341" s="72">
        <v>0</v>
      </c>
      <c r="BJ341" s="72">
        <v>8082805</v>
      </c>
      <c r="BK341" s="72">
        <v>451</v>
      </c>
      <c r="BL341" s="72">
        <v>7059</v>
      </c>
      <c r="BM341" s="72">
        <v>0</v>
      </c>
      <c r="BN341" s="72">
        <v>0</v>
      </c>
      <c r="BO341" s="72">
        <v>0</v>
      </c>
      <c r="BP341" s="72">
        <v>0</v>
      </c>
      <c r="BQ341" s="72">
        <v>0</v>
      </c>
      <c r="BR341" s="72">
        <v>0</v>
      </c>
      <c r="BS341" s="72">
        <v>72873866</v>
      </c>
    </row>
    <row r="342" spans="1:71" x14ac:dyDescent="0.2">
      <c r="A342" t="s">
        <v>541</v>
      </c>
      <c r="B342" t="s">
        <v>1076</v>
      </c>
      <c r="C342" t="s">
        <v>67</v>
      </c>
      <c r="D342" s="72">
        <v>42536681</v>
      </c>
      <c r="E342" s="72">
        <v>2298631</v>
      </c>
      <c r="F342" s="72">
        <v>0</v>
      </c>
      <c r="G342" s="72">
        <v>27743086</v>
      </c>
      <c r="H342" s="72">
        <v>60367</v>
      </c>
      <c r="I342" s="72">
        <v>0</v>
      </c>
      <c r="J342" s="72">
        <v>6817726</v>
      </c>
      <c r="K342" s="72">
        <v>6808732</v>
      </c>
      <c r="L342" s="72">
        <v>86265223</v>
      </c>
      <c r="M342" s="72">
        <v>0</v>
      </c>
      <c r="N342" s="72">
        <v>0</v>
      </c>
      <c r="O342" s="72">
        <v>0</v>
      </c>
      <c r="P342" s="72">
        <v>500000</v>
      </c>
      <c r="Q342" s="72">
        <v>10000</v>
      </c>
      <c r="R342" s="72">
        <v>510000</v>
      </c>
      <c r="S342" s="72">
        <v>86775223</v>
      </c>
      <c r="T342" s="72">
        <v>43298866</v>
      </c>
      <c r="U342" s="72">
        <v>18300827</v>
      </c>
      <c r="V342" s="72">
        <v>13607234</v>
      </c>
      <c r="W342" s="72">
        <v>2116382</v>
      </c>
      <c r="X342" s="72">
        <v>156105</v>
      </c>
      <c r="Y342" s="72">
        <v>0</v>
      </c>
      <c r="Z342" s="72">
        <v>0</v>
      </c>
      <c r="AA342" s="72">
        <v>0</v>
      </c>
      <c r="AB342" s="72">
        <v>0</v>
      </c>
      <c r="AC342" s="72">
        <v>0</v>
      </c>
      <c r="AD342" s="72">
        <v>0</v>
      </c>
      <c r="AE342" s="72">
        <v>0</v>
      </c>
      <c r="AF342" s="72">
        <v>0</v>
      </c>
      <c r="AG342" s="72">
        <v>1290380</v>
      </c>
      <c r="AH342" s="72">
        <v>78769794</v>
      </c>
      <c r="AI342" s="72">
        <v>150000</v>
      </c>
      <c r="AJ342" s="72">
        <v>500000</v>
      </c>
      <c r="AK342" s="72">
        <v>0</v>
      </c>
      <c r="AL342" s="72">
        <v>650000</v>
      </c>
      <c r="AM342" s="72">
        <v>79419794</v>
      </c>
      <c r="AO342" s="72">
        <v>21191920</v>
      </c>
      <c r="AP342" s="72">
        <v>28547349</v>
      </c>
      <c r="AQ342" s="72">
        <v>500000</v>
      </c>
      <c r="AR342" s="72">
        <v>0</v>
      </c>
      <c r="AS342" s="72">
        <v>0</v>
      </c>
      <c r="AT342" s="72">
        <v>0</v>
      </c>
      <c r="AU342" s="72">
        <v>0</v>
      </c>
      <c r="AV342" s="72">
        <v>0</v>
      </c>
      <c r="AW342" s="72">
        <v>0</v>
      </c>
      <c r="AX342" s="72">
        <v>0</v>
      </c>
      <c r="AY342" s="72">
        <v>0</v>
      </c>
      <c r="AZ342" s="72">
        <v>0</v>
      </c>
      <c r="BA342" s="72">
        <v>28047349</v>
      </c>
      <c r="BB342" s="72">
        <v>0</v>
      </c>
      <c r="BC342" s="72">
        <v>0</v>
      </c>
      <c r="BD342" s="72">
        <v>0</v>
      </c>
      <c r="BE342" s="72">
        <v>28047349</v>
      </c>
      <c r="BF342" s="72">
        <v>0</v>
      </c>
      <c r="BG342" s="72">
        <v>0</v>
      </c>
      <c r="BH342" s="72">
        <v>0</v>
      </c>
      <c r="BI342" s="72">
        <v>0</v>
      </c>
      <c r="BJ342" s="72">
        <v>28047349</v>
      </c>
      <c r="BM342" s="72">
        <v>0</v>
      </c>
      <c r="BN342" s="72">
        <v>0</v>
      </c>
      <c r="BO342" s="72">
        <v>0</v>
      </c>
      <c r="BP342" s="72">
        <v>0</v>
      </c>
      <c r="BQ342" s="72">
        <v>0</v>
      </c>
      <c r="BR342" s="72">
        <v>0</v>
      </c>
      <c r="BS342" s="72">
        <v>86775223</v>
      </c>
    </row>
    <row r="343" spans="1:71" x14ac:dyDescent="0.2">
      <c r="A343" t="s">
        <v>550</v>
      </c>
      <c r="B343" t="s">
        <v>1249</v>
      </c>
      <c r="C343" t="s">
        <v>67</v>
      </c>
      <c r="D343" s="72">
        <v>21535000</v>
      </c>
      <c r="E343" s="72">
        <v>0</v>
      </c>
      <c r="F343" s="72">
        <v>0</v>
      </c>
      <c r="G343" s="72">
        <v>24744326</v>
      </c>
      <c r="H343" s="72">
        <v>0</v>
      </c>
      <c r="I343" s="72">
        <v>0</v>
      </c>
      <c r="J343" s="72">
        <v>3500000</v>
      </c>
      <c r="K343" s="72">
        <v>11843787</v>
      </c>
      <c r="L343" s="72">
        <v>61623113</v>
      </c>
      <c r="M343" s="72">
        <v>0</v>
      </c>
      <c r="N343" s="72">
        <v>0</v>
      </c>
      <c r="O343" s="72">
        <v>0</v>
      </c>
      <c r="P343" s="72">
        <v>0</v>
      </c>
      <c r="Q343" s="72">
        <v>0</v>
      </c>
      <c r="R343" s="72">
        <v>0</v>
      </c>
      <c r="S343" s="72">
        <v>61623113</v>
      </c>
      <c r="T343" s="72">
        <v>41512793</v>
      </c>
      <c r="U343" s="72">
        <v>14868848</v>
      </c>
      <c r="V343" s="72">
        <v>6529216</v>
      </c>
      <c r="W343" s="72">
        <v>1536762</v>
      </c>
      <c r="X343" s="72">
        <v>0</v>
      </c>
      <c r="Y343" s="72">
        <v>0</v>
      </c>
      <c r="Z343" s="72">
        <v>0</v>
      </c>
      <c r="AA343" s="72">
        <v>0</v>
      </c>
      <c r="AB343" s="72">
        <v>0</v>
      </c>
      <c r="AC343" s="72">
        <v>0</v>
      </c>
      <c r="AD343" s="72">
        <v>0</v>
      </c>
      <c r="AE343" s="72">
        <v>0</v>
      </c>
      <c r="AF343" s="72">
        <v>0</v>
      </c>
      <c r="AG343" s="72">
        <v>768121</v>
      </c>
      <c r="AH343" s="72">
        <v>65215740</v>
      </c>
      <c r="AI343" s="72">
        <v>0</v>
      </c>
      <c r="AJ343" s="72">
        <v>0</v>
      </c>
      <c r="AK343" s="72">
        <v>0</v>
      </c>
      <c r="AL343" s="72">
        <v>0</v>
      </c>
      <c r="AM343" s="72">
        <v>65215740</v>
      </c>
      <c r="AN343" s="72">
        <v>-3592627</v>
      </c>
      <c r="AO343" s="72">
        <v>15496163</v>
      </c>
      <c r="AP343" s="72">
        <v>11903536</v>
      </c>
      <c r="AQ343" s="72">
        <v>0</v>
      </c>
      <c r="AR343" s="72">
        <v>0</v>
      </c>
      <c r="AS343" s="72">
        <v>0</v>
      </c>
      <c r="AT343" s="72">
        <v>0</v>
      </c>
      <c r="AU343" s="72">
        <v>0</v>
      </c>
      <c r="AV343" s="72">
        <v>0</v>
      </c>
      <c r="AW343" s="72">
        <v>0</v>
      </c>
      <c r="AX343" s="72">
        <v>0</v>
      </c>
      <c r="AY343" s="72">
        <v>0</v>
      </c>
      <c r="AZ343" s="72">
        <v>0</v>
      </c>
      <c r="BA343" s="72">
        <v>11903536</v>
      </c>
      <c r="BB343" s="72">
        <v>0</v>
      </c>
      <c r="BC343" s="72">
        <v>0</v>
      </c>
      <c r="BD343" s="72">
        <v>0</v>
      </c>
      <c r="BE343" s="72">
        <v>11903536</v>
      </c>
      <c r="BF343" s="72">
        <v>0</v>
      </c>
      <c r="BG343" s="72">
        <v>0</v>
      </c>
      <c r="BH343" s="72">
        <v>0</v>
      </c>
      <c r="BI343" s="72">
        <v>0</v>
      </c>
      <c r="BJ343" s="72">
        <v>11903536</v>
      </c>
      <c r="BK343" s="72">
        <v>466</v>
      </c>
      <c r="BL343" s="72">
        <v>7575</v>
      </c>
      <c r="BM343" s="72">
        <v>0</v>
      </c>
      <c r="BN343" s="72">
        <v>0</v>
      </c>
      <c r="BO343" s="72">
        <v>0</v>
      </c>
      <c r="BP343" s="72">
        <v>0</v>
      </c>
      <c r="BQ343" s="72">
        <v>0</v>
      </c>
      <c r="BR343" s="72">
        <v>0</v>
      </c>
      <c r="BS343" s="72">
        <v>65215740</v>
      </c>
    </row>
    <row r="344" spans="1:71" x14ac:dyDescent="0.2">
      <c r="A344" t="s">
        <v>647</v>
      </c>
      <c r="B344" t="s">
        <v>1339</v>
      </c>
      <c r="C344" t="s">
        <v>67</v>
      </c>
      <c r="D344" s="72">
        <v>9643144</v>
      </c>
      <c r="E344" s="72">
        <v>902366</v>
      </c>
      <c r="F344" s="72">
        <v>3422264</v>
      </c>
      <c r="G344" s="72">
        <v>13269575</v>
      </c>
      <c r="H344" s="72">
        <v>32501</v>
      </c>
      <c r="I344" s="72">
        <v>0</v>
      </c>
      <c r="J344" s="72">
        <v>1992823</v>
      </c>
      <c r="K344" s="72">
        <v>1146528</v>
      </c>
      <c r="L344" s="72">
        <v>30409201</v>
      </c>
      <c r="M344" s="72">
        <v>345000</v>
      </c>
      <c r="N344" s="72">
        <v>0</v>
      </c>
      <c r="O344" s="72">
        <v>0</v>
      </c>
      <c r="P344" s="72">
        <v>0</v>
      </c>
      <c r="Q344" s="72">
        <v>1606</v>
      </c>
      <c r="R344" s="72">
        <v>346606</v>
      </c>
      <c r="S344" s="72">
        <v>30755807</v>
      </c>
      <c r="T344" s="72">
        <v>16233151</v>
      </c>
      <c r="U344" s="72">
        <v>5585023</v>
      </c>
      <c r="V344" s="72">
        <v>5830494</v>
      </c>
      <c r="W344" s="72">
        <v>1070750</v>
      </c>
      <c r="X344" s="72">
        <v>365840</v>
      </c>
      <c r="Y344" s="72">
        <v>0</v>
      </c>
      <c r="Z344" s="72">
        <v>0</v>
      </c>
      <c r="AA344" s="72">
        <v>0</v>
      </c>
      <c r="AB344" s="72">
        <v>0</v>
      </c>
      <c r="AC344" s="72">
        <v>0</v>
      </c>
      <c r="AD344" s="72">
        <v>0</v>
      </c>
      <c r="AE344" s="72">
        <v>395000</v>
      </c>
      <c r="AF344" s="72">
        <v>8000</v>
      </c>
      <c r="AG344" s="72">
        <v>562005</v>
      </c>
      <c r="AH344" s="72">
        <v>30050263</v>
      </c>
      <c r="AI344" s="72">
        <v>201609</v>
      </c>
      <c r="AJ344" s="72">
        <v>0</v>
      </c>
      <c r="AK344" s="72">
        <v>0</v>
      </c>
      <c r="AL344" s="72">
        <v>201609</v>
      </c>
      <c r="AM344" s="72">
        <v>30251872</v>
      </c>
      <c r="AN344" s="72">
        <v>503935</v>
      </c>
      <c r="AO344" s="72">
        <v>3560040</v>
      </c>
      <c r="AP344" s="72">
        <v>4063975</v>
      </c>
      <c r="AQ344" s="72">
        <v>300000</v>
      </c>
      <c r="AR344" s="72">
        <v>0</v>
      </c>
      <c r="AS344" s="72">
        <v>0</v>
      </c>
      <c r="AT344" s="72">
        <v>0</v>
      </c>
      <c r="AU344" s="72">
        <v>0</v>
      </c>
      <c r="AV344" s="72">
        <v>0</v>
      </c>
      <c r="AW344" s="72">
        <v>0</v>
      </c>
      <c r="AX344" s="72">
        <v>0</v>
      </c>
      <c r="AY344" s="72">
        <v>0</v>
      </c>
      <c r="AZ344" s="72">
        <v>0</v>
      </c>
      <c r="BA344" s="72">
        <v>3763975</v>
      </c>
      <c r="BB344" s="72">
        <v>0</v>
      </c>
      <c r="BC344" s="72">
        <v>0</v>
      </c>
      <c r="BD344" s="72">
        <v>0</v>
      </c>
      <c r="BE344" s="72">
        <v>3763975</v>
      </c>
      <c r="BF344" s="72">
        <v>0</v>
      </c>
      <c r="BG344" s="72">
        <v>0</v>
      </c>
      <c r="BH344" s="72">
        <v>0</v>
      </c>
      <c r="BI344" s="72">
        <v>0</v>
      </c>
      <c r="BJ344" s="72">
        <v>3763975</v>
      </c>
      <c r="BM344" s="72">
        <v>0</v>
      </c>
      <c r="BN344" s="72">
        <v>0</v>
      </c>
      <c r="BO344" s="72">
        <v>0</v>
      </c>
      <c r="BP344" s="72">
        <v>0</v>
      </c>
      <c r="BQ344" s="72">
        <v>0</v>
      </c>
      <c r="BR344" s="72">
        <v>0</v>
      </c>
      <c r="BS344" s="72">
        <v>30755807</v>
      </c>
    </row>
    <row r="345" spans="1:71" x14ac:dyDescent="0.2">
      <c r="A345" t="s">
        <v>677</v>
      </c>
      <c r="B345" t="s">
        <v>1367</v>
      </c>
      <c r="C345" t="s">
        <v>67</v>
      </c>
      <c r="D345" s="72">
        <v>8193357</v>
      </c>
      <c r="E345" s="72">
        <v>3062717</v>
      </c>
      <c r="F345" s="72">
        <v>0</v>
      </c>
      <c r="G345" s="72">
        <v>3726328</v>
      </c>
      <c r="H345" s="72">
        <v>79</v>
      </c>
      <c r="I345" s="72">
        <v>0</v>
      </c>
      <c r="J345" s="72">
        <v>2602366</v>
      </c>
      <c r="K345" s="72">
        <v>2568380</v>
      </c>
      <c r="L345" s="72">
        <v>20153227</v>
      </c>
      <c r="M345" s="72">
        <v>0</v>
      </c>
      <c r="N345" s="72">
        <v>0</v>
      </c>
      <c r="O345" s="72">
        <v>0</v>
      </c>
      <c r="P345" s="72">
        <v>0</v>
      </c>
      <c r="Q345" s="72">
        <v>118250</v>
      </c>
      <c r="R345" s="72">
        <v>118250</v>
      </c>
      <c r="S345" s="72">
        <v>20271477</v>
      </c>
      <c r="T345" s="72">
        <v>11349576</v>
      </c>
      <c r="U345" s="72">
        <v>4126316</v>
      </c>
      <c r="V345" s="72">
        <v>3711343</v>
      </c>
      <c r="W345" s="72">
        <v>538894</v>
      </c>
      <c r="X345" s="72">
        <v>564534</v>
      </c>
      <c r="Y345" s="72">
        <v>0</v>
      </c>
      <c r="Z345" s="72">
        <v>0</v>
      </c>
      <c r="AA345" s="72">
        <v>0</v>
      </c>
      <c r="AB345" s="72">
        <v>0</v>
      </c>
      <c r="AC345" s="72">
        <v>0</v>
      </c>
      <c r="AD345" s="72">
        <v>0</v>
      </c>
      <c r="AE345" s="72">
        <v>115000</v>
      </c>
      <c r="AF345" s="72">
        <v>83232</v>
      </c>
      <c r="AG345" s="72">
        <v>368613</v>
      </c>
      <c r="AH345" s="72">
        <v>20857508</v>
      </c>
      <c r="AI345" s="72">
        <v>76510</v>
      </c>
      <c r="AJ345" s="72">
        <v>0</v>
      </c>
      <c r="AK345" s="72">
        <v>860333</v>
      </c>
      <c r="AL345" s="72">
        <v>936843</v>
      </c>
      <c r="AM345" s="72">
        <v>21794351</v>
      </c>
      <c r="AN345" s="72">
        <v>-1522874</v>
      </c>
      <c r="AO345" s="72">
        <v>9581827</v>
      </c>
      <c r="AP345" s="72">
        <v>8058953</v>
      </c>
      <c r="AQ345" s="72">
        <v>313077</v>
      </c>
      <c r="AR345" s="72">
        <v>0</v>
      </c>
      <c r="AS345" s="72">
        <v>0</v>
      </c>
      <c r="AT345" s="72">
        <v>0</v>
      </c>
      <c r="AU345" s="72">
        <v>0</v>
      </c>
      <c r="AV345" s="72">
        <v>0</v>
      </c>
      <c r="AW345" s="72">
        <v>0</v>
      </c>
      <c r="AX345" s="72">
        <v>0</v>
      </c>
      <c r="AY345" s="72">
        <v>0</v>
      </c>
      <c r="AZ345" s="72">
        <v>0</v>
      </c>
      <c r="BA345" s="72">
        <v>7745876</v>
      </c>
      <c r="BB345" s="72">
        <v>0</v>
      </c>
      <c r="BC345" s="72">
        <v>0</v>
      </c>
      <c r="BD345" s="72">
        <v>0</v>
      </c>
      <c r="BE345" s="72">
        <v>7745876</v>
      </c>
      <c r="BF345" s="72">
        <v>0</v>
      </c>
      <c r="BG345" s="72">
        <v>0</v>
      </c>
      <c r="BH345" s="72">
        <v>0</v>
      </c>
      <c r="BI345" s="72">
        <v>0</v>
      </c>
      <c r="BJ345" s="72">
        <v>7745876</v>
      </c>
      <c r="BS345" s="72">
        <v>21794351</v>
      </c>
    </row>
    <row r="346" spans="1:71" x14ac:dyDescent="0.2">
      <c r="A346" t="s">
        <v>128</v>
      </c>
      <c r="B346" t="s">
        <v>849</v>
      </c>
      <c r="C346" t="s">
        <v>29</v>
      </c>
      <c r="D346" s="72">
        <v>2040000</v>
      </c>
      <c r="E346" s="72">
        <v>0</v>
      </c>
      <c r="F346" s="72">
        <v>700000</v>
      </c>
      <c r="G346" s="72">
        <v>1750000</v>
      </c>
      <c r="H346" s="72">
        <v>16000</v>
      </c>
      <c r="I346" s="72">
        <v>0</v>
      </c>
      <c r="J346" s="72">
        <v>255000</v>
      </c>
      <c r="K346" s="72">
        <v>700000</v>
      </c>
      <c r="L346" s="72">
        <v>5461000</v>
      </c>
      <c r="M346" s="72">
        <v>0</v>
      </c>
      <c r="N346" s="72">
        <v>0</v>
      </c>
      <c r="O346" s="72">
        <v>0</v>
      </c>
      <c r="P346" s="72">
        <v>0</v>
      </c>
      <c r="Q346" s="72">
        <v>2000</v>
      </c>
      <c r="R346" s="72">
        <v>2000</v>
      </c>
      <c r="S346" s="72">
        <v>5463000</v>
      </c>
      <c r="T346" s="72">
        <v>3350000</v>
      </c>
      <c r="U346" s="72">
        <v>1340000</v>
      </c>
      <c r="V346" s="72">
        <v>1105200</v>
      </c>
      <c r="W346" s="72">
        <v>275896</v>
      </c>
      <c r="X346" s="72">
        <v>200000</v>
      </c>
      <c r="Y346" s="72">
        <v>0</v>
      </c>
      <c r="Z346" s="72">
        <v>0</v>
      </c>
      <c r="AA346" s="72">
        <v>0</v>
      </c>
      <c r="AB346" s="72">
        <v>0</v>
      </c>
      <c r="AC346" s="72">
        <v>0</v>
      </c>
      <c r="AD346" s="72">
        <v>0</v>
      </c>
      <c r="AE346" s="72">
        <v>0</v>
      </c>
      <c r="AF346" s="72">
        <v>0</v>
      </c>
      <c r="AG346" s="72">
        <v>140000</v>
      </c>
      <c r="AH346" s="72">
        <v>6411096</v>
      </c>
      <c r="AI346" s="72">
        <v>0</v>
      </c>
      <c r="AJ346" s="72">
        <v>0</v>
      </c>
      <c r="AK346" s="72">
        <v>2000</v>
      </c>
      <c r="AL346" s="72">
        <v>2000</v>
      </c>
      <c r="AM346" s="72">
        <v>6413096</v>
      </c>
      <c r="AN346" s="72">
        <v>-950096</v>
      </c>
      <c r="AO346" s="72">
        <v>4182147</v>
      </c>
      <c r="AP346" s="72">
        <v>3232051</v>
      </c>
      <c r="AQ346" s="72">
        <v>75000</v>
      </c>
      <c r="AR346" s="72">
        <v>0</v>
      </c>
      <c r="AS346" s="72">
        <v>0</v>
      </c>
      <c r="AT346" s="72">
        <v>0</v>
      </c>
      <c r="AU346" s="72">
        <v>0</v>
      </c>
      <c r="AV346" s="72">
        <v>0</v>
      </c>
      <c r="AW346" s="72">
        <v>0</v>
      </c>
      <c r="AX346" s="72">
        <v>0</v>
      </c>
      <c r="AY346" s="72">
        <v>0</v>
      </c>
      <c r="AZ346" s="72">
        <v>0</v>
      </c>
      <c r="BA346" s="72">
        <v>3157051</v>
      </c>
      <c r="BB346" s="72">
        <v>0</v>
      </c>
      <c r="BC346" s="72">
        <v>0</v>
      </c>
      <c r="BD346" s="72">
        <v>0</v>
      </c>
      <c r="BE346" s="72">
        <v>3157051</v>
      </c>
      <c r="BF346" s="72">
        <v>0</v>
      </c>
      <c r="BG346" s="72">
        <v>0</v>
      </c>
      <c r="BH346" s="72">
        <v>0</v>
      </c>
      <c r="BI346" s="72">
        <v>0</v>
      </c>
      <c r="BJ346" s="72">
        <v>3157051</v>
      </c>
      <c r="BK346" s="72">
        <v>35</v>
      </c>
      <c r="BL346" s="72">
        <v>550</v>
      </c>
      <c r="BM346" s="72">
        <v>0</v>
      </c>
      <c r="BN346" s="72">
        <v>0</v>
      </c>
      <c r="BO346" s="72">
        <v>0</v>
      </c>
      <c r="BP346" s="72">
        <v>0</v>
      </c>
      <c r="BQ346" s="72">
        <v>0</v>
      </c>
      <c r="BR346" s="72">
        <v>0</v>
      </c>
      <c r="BS346" s="72">
        <v>6413096</v>
      </c>
    </row>
    <row r="347" spans="1:71" x14ac:dyDescent="0.2">
      <c r="A347" t="s">
        <v>131</v>
      </c>
      <c r="B347" t="s">
        <v>852</v>
      </c>
      <c r="C347" t="s">
        <v>29</v>
      </c>
      <c r="D347" s="72">
        <v>1311855</v>
      </c>
      <c r="E347" s="72">
        <v>0</v>
      </c>
      <c r="F347" s="72">
        <v>1076656</v>
      </c>
      <c r="G347" s="72">
        <v>2871445</v>
      </c>
      <c r="H347" s="72">
        <v>46832</v>
      </c>
      <c r="I347" s="72">
        <v>0</v>
      </c>
      <c r="J347" s="72">
        <v>187242</v>
      </c>
      <c r="K347" s="72">
        <v>302530</v>
      </c>
      <c r="L347" s="72">
        <v>5796560</v>
      </c>
      <c r="M347" s="72">
        <v>0</v>
      </c>
      <c r="N347" s="72">
        <v>0</v>
      </c>
      <c r="O347" s="72">
        <v>0</v>
      </c>
      <c r="P347" s="72">
        <v>0</v>
      </c>
      <c r="Q347" s="72">
        <v>30000</v>
      </c>
      <c r="R347" s="72">
        <v>30000</v>
      </c>
      <c r="S347" s="72">
        <v>5826560</v>
      </c>
      <c r="T347" s="72">
        <v>3371650</v>
      </c>
      <c r="U347" s="72">
        <v>1279635</v>
      </c>
      <c r="V347" s="72">
        <v>1036021</v>
      </c>
      <c r="W347" s="72">
        <v>188911</v>
      </c>
      <c r="X347" s="72">
        <v>142311</v>
      </c>
      <c r="Y347" s="72">
        <v>0</v>
      </c>
      <c r="Z347" s="72">
        <v>0</v>
      </c>
      <c r="AA347" s="72">
        <v>0</v>
      </c>
      <c r="AB347" s="72">
        <v>0</v>
      </c>
      <c r="AC347" s="72">
        <v>0</v>
      </c>
      <c r="AD347" s="72">
        <v>35000</v>
      </c>
      <c r="AE347" s="72">
        <v>0</v>
      </c>
      <c r="AF347" s="72">
        <v>6680</v>
      </c>
      <c r="AG347" s="72">
        <v>79150</v>
      </c>
      <c r="AH347" s="72">
        <v>6139358</v>
      </c>
      <c r="AI347" s="72">
        <v>100000</v>
      </c>
      <c r="AJ347" s="72">
        <v>0</v>
      </c>
      <c r="AK347" s="72">
        <v>0</v>
      </c>
      <c r="AL347" s="72">
        <v>100000</v>
      </c>
      <c r="AM347" s="72">
        <v>6239358</v>
      </c>
      <c r="AN347" s="72">
        <v>-412798</v>
      </c>
      <c r="AO347" s="72">
        <v>1608035</v>
      </c>
      <c r="AP347" s="72">
        <v>1195237</v>
      </c>
      <c r="AQ347" s="72">
        <v>40000</v>
      </c>
      <c r="AR347" s="72">
        <v>0</v>
      </c>
      <c r="AS347" s="72">
        <v>0</v>
      </c>
      <c r="AT347" s="72">
        <v>0</v>
      </c>
      <c r="AU347" s="72">
        <v>0</v>
      </c>
      <c r="AV347" s="72">
        <v>0</v>
      </c>
      <c r="AW347" s="72">
        <v>0</v>
      </c>
      <c r="AX347" s="72">
        <v>0</v>
      </c>
      <c r="AY347" s="72">
        <v>0</v>
      </c>
      <c r="AZ347" s="72">
        <v>0</v>
      </c>
      <c r="BA347" s="72">
        <v>1155237</v>
      </c>
      <c r="BB347" s="72">
        <v>0</v>
      </c>
      <c r="BC347" s="72">
        <v>0</v>
      </c>
      <c r="BD347" s="72">
        <v>0</v>
      </c>
      <c r="BE347" s="72">
        <v>1155237</v>
      </c>
      <c r="BF347" s="72">
        <v>0</v>
      </c>
      <c r="BG347" s="72">
        <v>0</v>
      </c>
      <c r="BH347" s="72">
        <v>0</v>
      </c>
      <c r="BI347" s="72">
        <v>0</v>
      </c>
      <c r="BJ347" s="72">
        <v>1155237</v>
      </c>
      <c r="BK347" s="72">
        <v>0</v>
      </c>
      <c r="BL347" s="72">
        <v>0</v>
      </c>
      <c r="BM347" s="72">
        <v>0</v>
      </c>
      <c r="BN347" s="72">
        <v>0</v>
      </c>
      <c r="BO347" s="72">
        <v>0</v>
      </c>
      <c r="BP347" s="72">
        <v>0</v>
      </c>
      <c r="BQ347" s="72">
        <v>0</v>
      </c>
      <c r="BR347" s="72">
        <v>0</v>
      </c>
      <c r="BS347" s="72">
        <v>6239358</v>
      </c>
    </row>
    <row r="348" spans="1:71" x14ac:dyDescent="0.2">
      <c r="A348" t="s">
        <v>245</v>
      </c>
      <c r="B348" t="s">
        <v>963</v>
      </c>
      <c r="C348" t="s">
        <v>29</v>
      </c>
      <c r="D348" s="72">
        <v>1706390</v>
      </c>
      <c r="E348" s="72">
        <v>0</v>
      </c>
      <c r="F348" s="72">
        <v>1445000</v>
      </c>
      <c r="G348" s="72">
        <v>2700000</v>
      </c>
      <c r="H348" s="72">
        <v>60000</v>
      </c>
      <c r="I348" s="72">
        <v>0</v>
      </c>
      <c r="J348" s="72">
        <v>225000</v>
      </c>
      <c r="K348" s="72">
        <v>537850</v>
      </c>
      <c r="L348" s="72">
        <v>6674240</v>
      </c>
      <c r="M348" s="72">
        <v>0</v>
      </c>
      <c r="N348" s="72">
        <v>0</v>
      </c>
      <c r="O348" s="72">
        <v>0</v>
      </c>
      <c r="P348" s="72">
        <v>0</v>
      </c>
      <c r="Q348" s="72">
        <v>0</v>
      </c>
      <c r="R348" s="72">
        <v>0</v>
      </c>
      <c r="S348" s="72">
        <v>6674240</v>
      </c>
      <c r="T348" s="72">
        <v>3549806</v>
      </c>
      <c r="U348" s="72">
        <v>1183630</v>
      </c>
      <c r="V348" s="72">
        <v>1352561</v>
      </c>
      <c r="W348" s="72">
        <v>178150</v>
      </c>
      <c r="X348" s="72">
        <v>5500</v>
      </c>
      <c r="Y348" s="72">
        <v>0</v>
      </c>
      <c r="Z348" s="72">
        <v>0</v>
      </c>
      <c r="AA348" s="72">
        <v>20596</v>
      </c>
      <c r="AB348" s="72">
        <v>0</v>
      </c>
      <c r="AC348" s="72">
        <v>0</v>
      </c>
      <c r="AD348" s="72">
        <v>0</v>
      </c>
      <c r="AE348" s="72">
        <v>0</v>
      </c>
      <c r="AF348" s="72">
        <v>1613</v>
      </c>
      <c r="AG348" s="72">
        <v>399303</v>
      </c>
      <c r="AH348" s="72">
        <v>6691159</v>
      </c>
      <c r="AI348" s="72">
        <v>0</v>
      </c>
      <c r="AJ348" s="72">
        <v>0</v>
      </c>
      <c r="AK348" s="72">
        <v>0</v>
      </c>
      <c r="AL348" s="72">
        <v>0</v>
      </c>
      <c r="AM348" s="72">
        <v>6691159</v>
      </c>
      <c r="AN348" s="72">
        <v>-16919</v>
      </c>
      <c r="AO348" s="72">
        <v>794834</v>
      </c>
      <c r="AP348" s="72">
        <v>777915</v>
      </c>
      <c r="AQ348" s="72">
        <v>0</v>
      </c>
      <c r="AR348" s="72">
        <v>0</v>
      </c>
      <c r="AS348" s="72">
        <v>0</v>
      </c>
      <c r="AT348" s="72">
        <v>0</v>
      </c>
      <c r="AU348" s="72">
        <v>0</v>
      </c>
      <c r="AV348" s="72">
        <v>0</v>
      </c>
      <c r="AW348" s="72">
        <v>0</v>
      </c>
      <c r="AX348" s="72">
        <v>0</v>
      </c>
      <c r="AY348" s="72">
        <v>0</v>
      </c>
      <c r="AZ348" s="72">
        <v>0</v>
      </c>
      <c r="BA348" s="72">
        <v>777915</v>
      </c>
      <c r="BB348" s="72">
        <v>0</v>
      </c>
      <c r="BC348" s="72">
        <v>0</v>
      </c>
      <c r="BD348" s="72">
        <v>0</v>
      </c>
      <c r="BE348" s="72">
        <v>777915</v>
      </c>
      <c r="BF348" s="72">
        <v>0</v>
      </c>
      <c r="BG348" s="72">
        <v>0</v>
      </c>
      <c r="BH348" s="72">
        <v>0</v>
      </c>
      <c r="BI348" s="72">
        <v>0</v>
      </c>
      <c r="BJ348" s="72">
        <v>777915</v>
      </c>
      <c r="BK348" s="72">
        <v>0</v>
      </c>
      <c r="BL348" s="72">
        <v>0</v>
      </c>
      <c r="BM348" s="72">
        <v>0</v>
      </c>
      <c r="BN348" s="72">
        <v>0</v>
      </c>
      <c r="BO348" s="72">
        <v>0</v>
      </c>
      <c r="BP348" s="72">
        <v>0</v>
      </c>
      <c r="BQ348" s="72">
        <v>0</v>
      </c>
      <c r="BR348" s="72">
        <v>0</v>
      </c>
      <c r="BS348" s="72">
        <v>6691159</v>
      </c>
    </row>
    <row r="349" spans="1:71" x14ac:dyDescent="0.2">
      <c r="A349" t="s">
        <v>421</v>
      </c>
      <c r="B349" t="s">
        <v>1129</v>
      </c>
      <c r="C349" t="s">
        <v>29</v>
      </c>
      <c r="D349" s="72">
        <v>3871335</v>
      </c>
      <c r="E349" s="72">
        <v>309905</v>
      </c>
      <c r="F349" s="72">
        <v>1633152</v>
      </c>
      <c r="G349" s="72">
        <v>5085183</v>
      </c>
      <c r="H349" s="72">
        <v>43441</v>
      </c>
      <c r="I349" s="72">
        <v>0</v>
      </c>
      <c r="J349" s="72">
        <v>571390</v>
      </c>
      <c r="K349" s="72">
        <v>1615900</v>
      </c>
      <c r="L349" s="72">
        <v>13130306</v>
      </c>
      <c r="M349" s="72">
        <v>0</v>
      </c>
      <c r="N349" s="72">
        <v>0</v>
      </c>
      <c r="O349" s="72">
        <v>600</v>
      </c>
      <c r="P349" s="72">
        <v>0</v>
      </c>
      <c r="Q349" s="72">
        <v>13200</v>
      </c>
      <c r="R349" s="72">
        <v>13800</v>
      </c>
      <c r="S349" s="72">
        <v>13144106</v>
      </c>
      <c r="T349" s="72">
        <v>6780343</v>
      </c>
      <c r="U349" s="72">
        <v>2371486</v>
      </c>
      <c r="V349" s="72">
        <v>2227332</v>
      </c>
      <c r="W349" s="72">
        <v>469025</v>
      </c>
      <c r="X349" s="72">
        <v>119091</v>
      </c>
      <c r="Y349" s="72">
        <v>0</v>
      </c>
      <c r="Z349" s="72">
        <v>0</v>
      </c>
      <c r="AA349" s="72">
        <v>0</v>
      </c>
      <c r="AB349" s="72">
        <v>0</v>
      </c>
      <c r="AC349" s="72">
        <v>0</v>
      </c>
      <c r="AD349" s="72">
        <v>0</v>
      </c>
      <c r="AE349" s="72">
        <v>0</v>
      </c>
      <c r="AF349" s="72">
        <v>0</v>
      </c>
      <c r="AG349" s="72">
        <v>233513</v>
      </c>
      <c r="AH349" s="72">
        <v>12200790</v>
      </c>
      <c r="AI349" s="72">
        <v>510013</v>
      </c>
      <c r="AJ349" s="72">
        <v>0</v>
      </c>
      <c r="AK349" s="72">
        <v>0</v>
      </c>
      <c r="AL349" s="72">
        <v>510013</v>
      </c>
      <c r="AM349" s="72">
        <v>12710803</v>
      </c>
      <c r="AN349" s="72">
        <v>433303</v>
      </c>
      <c r="AO349" s="72">
        <v>6161895</v>
      </c>
      <c r="AP349" s="72">
        <v>6595198</v>
      </c>
      <c r="AQ349" s="72">
        <v>279720</v>
      </c>
      <c r="AR349" s="72">
        <v>0</v>
      </c>
      <c r="AS349" s="72">
        <v>0</v>
      </c>
      <c r="AT349" s="72">
        <v>0</v>
      </c>
      <c r="AU349" s="72">
        <v>0</v>
      </c>
      <c r="AV349" s="72">
        <v>0</v>
      </c>
      <c r="AW349" s="72">
        <v>0</v>
      </c>
      <c r="AX349" s="72">
        <v>0</v>
      </c>
      <c r="AY349" s="72">
        <v>0</v>
      </c>
      <c r="AZ349" s="72">
        <v>0</v>
      </c>
      <c r="BA349" s="72">
        <v>6315478</v>
      </c>
      <c r="BB349" s="72">
        <v>0</v>
      </c>
      <c r="BC349" s="72">
        <v>0</v>
      </c>
      <c r="BD349" s="72">
        <v>0</v>
      </c>
      <c r="BE349" s="72">
        <v>6315478</v>
      </c>
      <c r="BF349" s="72">
        <v>0</v>
      </c>
      <c r="BG349" s="72">
        <v>0</v>
      </c>
      <c r="BH349" s="72">
        <v>0</v>
      </c>
      <c r="BI349" s="72">
        <v>0</v>
      </c>
      <c r="BJ349" s="72">
        <v>6315478</v>
      </c>
      <c r="BK349" s="72">
        <v>0</v>
      </c>
      <c r="BL349" s="72">
        <v>0</v>
      </c>
      <c r="BM349" s="72">
        <v>0</v>
      </c>
      <c r="BN349" s="72">
        <v>0</v>
      </c>
      <c r="BO349" s="72">
        <v>0</v>
      </c>
      <c r="BP349" s="72">
        <v>0</v>
      </c>
      <c r="BQ349" s="72">
        <v>0</v>
      </c>
      <c r="BR349" s="72">
        <v>0</v>
      </c>
      <c r="BS349" s="72">
        <v>13144106</v>
      </c>
    </row>
    <row r="350" spans="1:71" x14ac:dyDescent="0.2">
      <c r="A350" t="s">
        <v>469</v>
      </c>
      <c r="B350" t="s">
        <v>1174</v>
      </c>
      <c r="C350" t="s">
        <v>29</v>
      </c>
      <c r="E350" s="72">
        <v>0</v>
      </c>
      <c r="F350" s="72">
        <v>1184603</v>
      </c>
      <c r="G350" s="72">
        <v>3812869</v>
      </c>
      <c r="H350" s="72">
        <v>57010</v>
      </c>
      <c r="I350" s="72">
        <v>0</v>
      </c>
      <c r="J350" s="72">
        <v>214594</v>
      </c>
      <c r="K350" s="72">
        <v>285042</v>
      </c>
      <c r="L350" s="72">
        <v>7069391</v>
      </c>
      <c r="M350" s="72">
        <v>0</v>
      </c>
      <c r="N350" s="72">
        <v>0</v>
      </c>
      <c r="O350" s="72">
        <v>0</v>
      </c>
      <c r="P350" s="72">
        <v>0</v>
      </c>
      <c r="R350" s="72">
        <v>13458</v>
      </c>
      <c r="S350" s="72">
        <v>7082849</v>
      </c>
      <c r="T350" s="72">
        <v>3731165</v>
      </c>
      <c r="U350" s="72">
        <v>1706570</v>
      </c>
      <c r="V350" s="72">
        <v>1306300</v>
      </c>
      <c r="W350" s="72">
        <v>246300</v>
      </c>
      <c r="X350" s="72">
        <v>0</v>
      </c>
      <c r="Y350" s="72">
        <v>0</v>
      </c>
      <c r="Z350" s="72">
        <v>0</v>
      </c>
      <c r="AA350" s="72">
        <v>0</v>
      </c>
      <c r="AB350" s="72">
        <v>0</v>
      </c>
      <c r="AC350" s="72">
        <v>0</v>
      </c>
      <c r="AD350" s="72">
        <v>0</v>
      </c>
      <c r="AE350" s="72">
        <v>0</v>
      </c>
      <c r="AF350" s="72">
        <v>0</v>
      </c>
      <c r="AG350" s="72">
        <v>405925</v>
      </c>
      <c r="AH350" s="72">
        <v>7396260</v>
      </c>
      <c r="AI350" s="72">
        <v>0</v>
      </c>
      <c r="AJ350" s="72">
        <v>20000</v>
      </c>
      <c r="AK350" s="72">
        <v>0</v>
      </c>
      <c r="AL350" s="72">
        <v>20000</v>
      </c>
      <c r="AM350" s="72">
        <v>7416260</v>
      </c>
      <c r="AN350" s="72">
        <v>-333411</v>
      </c>
      <c r="AO350" s="72">
        <v>2259196</v>
      </c>
      <c r="AP350" s="72">
        <v>1925785</v>
      </c>
      <c r="AQ350" s="72">
        <v>0</v>
      </c>
      <c r="AR350" s="72">
        <v>0</v>
      </c>
      <c r="AS350" s="72">
        <v>0</v>
      </c>
      <c r="AT350" s="72">
        <v>0</v>
      </c>
      <c r="AU350" s="72">
        <v>0</v>
      </c>
      <c r="AV350" s="72">
        <v>0</v>
      </c>
      <c r="AW350" s="72">
        <v>0</v>
      </c>
      <c r="AX350" s="72">
        <v>0</v>
      </c>
      <c r="AY350" s="72">
        <v>0</v>
      </c>
      <c r="AZ350" s="72">
        <v>0</v>
      </c>
      <c r="BA350" s="72">
        <v>1925785</v>
      </c>
      <c r="BB350" s="72">
        <v>0</v>
      </c>
      <c r="BC350" s="72">
        <v>0</v>
      </c>
      <c r="BD350" s="72">
        <v>0</v>
      </c>
      <c r="BE350" s="72">
        <v>1925785</v>
      </c>
      <c r="BF350" s="72">
        <v>0</v>
      </c>
      <c r="BG350" s="72">
        <v>0</v>
      </c>
      <c r="BH350" s="72">
        <v>0</v>
      </c>
      <c r="BI350" s="72">
        <v>0</v>
      </c>
      <c r="BJ350" s="72">
        <v>1925785</v>
      </c>
      <c r="BK350" s="72">
        <v>51</v>
      </c>
      <c r="BL350" s="72">
        <v>635</v>
      </c>
      <c r="BM350" s="72">
        <v>0</v>
      </c>
      <c r="BN350" s="72">
        <v>0</v>
      </c>
      <c r="BO350" s="72">
        <v>0</v>
      </c>
      <c r="BP350" s="72">
        <v>0</v>
      </c>
      <c r="BQ350" s="72">
        <v>0</v>
      </c>
      <c r="BR350" s="72">
        <v>0</v>
      </c>
      <c r="BS350" s="72">
        <v>7416260</v>
      </c>
    </row>
    <row r="351" spans="1:71" x14ac:dyDescent="0.2">
      <c r="A351" t="s">
        <v>709</v>
      </c>
      <c r="B351" t="s">
        <v>1399</v>
      </c>
      <c r="C351" t="s">
        <v>29</v>
      </c>
      <c r="D351" s="72">
        <v>5611886</v>
      </c>
      <c r="E351" s="72">
        <v>279214</v>
      </c>
      <c r="F351" s="72">
        <v>0</v>
      </c>
      <c r="G351" s="72">
        <v>675816</v>
      </c>
      <c r="H351" s="72">
        <v>813</v>
      </c>
      <c r="I351" s="72">
        <v>0</v>
      </c>
      <c r="J351" s="72">
        <v>2543099</v>
      </c>
      <c r="K351" s="72">
        <v>1158678</v>
      </c>
      <c r="L351" s="72">
        <v>10269506</v>
      </c>
      <c r="M351" s="72">
        <v>0</v>
      </c>
      <c r="N351" s="72">
        <v>0</v>
      </c>
      <c r="O351" s="72">
        <v>0</v>
      </c>
      <c r="P351" s="72">
        <v>0</v>
      </c>
      <c r="Q351" s="72">
        <v>22410</v>
      </c>
      <c r="R351" s="72">
        <v>22410</v>
      </c>
      <c r="S351" s="72">
        <v>10291916</v>
      </c>
      <c r="T351" s="72">
        <v>5486185</v>
      </c>
      <c r="U351" s="72">
        <v>2280578</v>
      </c>
      <c r="V351" s="72">
        <v>1991097</v>
      </c>
      <c r="W351" s="72">
        <v>427656</v>
      </c>
      <c r="X351" s="72">
        <v>111891</v>
      </c>
      <c r="Y351" s="72">
        <v>0</v>
      </c>
      <c r="Z351" s="72">
        <v>0</v>
      </c>
      <c r="AA351" s="72">
        <v>0</v>
      </c>
      <c r="AB351" s="72">
        <v>0</v>
      </c>
      <c r="AC351" s="72">
        <v>0</v>
      </c>
      <c r="AD351" s="72">
        <v>0</v>
      </c>
      <c r="AE351" s="72">
        <v>0</v>
      </c>
      <c r="AF351" s="72">
        <v>0</v>
      </c>
      <c r="AG351" s="72">
        <v>197057</v>
      </c>
      <c r="AH351" s="72">
        <v>10494464</v>
      </c>
      <c r="AI351" s="72">
        <v>0</v>
      </c>
      <c r="AJ351" s="72">
        <v>65000</v>
      </c>
      <c r="AK351" s="72">
        <v>0</v>
      </c>
      <c r="AL351" s="72">
        <v>65000</v>
      </c>
      <c r="AM351" s="72">
        <v>10559464</v>
      </c>
      <c r="AN351" s="72">
        <v>-267548</v>
      </c>
      <c r="AO351" s="72">
        <v>7230072</v>
      </c>
      <c r="AP351" s="72">
        <v>6962524</v>
      </c>
      <c r="AQ351" s="72">
        <v>0</v>
      </c>
      <c r="AR351" s="72">
        <v>0</v>
      </c>
      <c r="AS351" s="72">
        <v>0</v>
      </c>
      <c r="AT351" s="72">
        <v>0</v>
      </c>
      <c r="AU351" s="72">
        <v>0</v>
      </c>
      <c r="AW351" s="72">
        <v>0</v>
      </c>
      <c r="AX351" s="72">
        <v>0</v>
      </c>
      <c r="AY351" s="72">
        <v>0</v>
      </c>
      <c r="AZ351" s="72">
        <v>0</v>
      </c>
      <c r="BA351" s="72">
        <v>6962524</v>
      </c>
      <c r="BB351" s="72">
        <v>0</v>
      </c>
      <c r="BC351" s="72">
        <v>0</v>
      </c>
      <c r="BD351" s="72">
        <v>0</v>
      </c>
      <c r="BE351" s="72">
        <v>6962524</v>
      </c>
      <c r="BF351" s="72">
        <v>0</v>
      </c>
      <c r="BG351" s="72">
        <v>0</v>
      </c>
      <c r="BH351" s="72">
        <v>0</v>
      </c>
      <c r="BI351" s="72">
        <v>0</v>
      </c>
      <c r="BJ351" s="72">
        <v>6962524</v>
      </c>
      <c r="BK351" s="72">
        <v>0</v>
      </c>
      <c r="BL351" s="72">
        <v>0</v>
      </c>
      <c r="BM351" s="72">
        <v>0</v>
      </c>
      <c r="BN351" s="72">
        <v>0</v>
      </c>
      <c r="BO351" s="72">
        <v>0</v>
      </c>
      <c r="BP351" s="72">
        <v>0</v>
      </c>
      <c r="BQ351" s="72">
        <v>0</v>
      </c>
      <c r="BR351" s="72">
        <v>0</v>
      </c>
      <c r="BS351" s="72">
        <v>10559464</v>
      </c>
    </row>
    <row r="352" spans="1:71" x14ac:dyDescent="0.2">
      <c r="A352" t="s">
        <v>713</v>
      </c>
      <c r="B352" t="s">
        <v>1403</v>
      </c>
      <c r="C352" t="s">
        <v>29</v>
      </c>
      <c r="D352" s="72">
        <v>936094</v>
      </c>
      <c r="E352" s="72">
        <v>0</v>
      </c>
      <c r="F352" s="72">
        <v>463630</v>
      </c>
      <c r="G352" s="72">
        <v>1419162</v>
      </c>
      <c r="H352" s="72">
        <v>17089</v>
      </c>
      <c r="I352" s="72">
        <v>0</v>
      </c>
      <c r="J352" s="72">
        <v>139508</v>
      </c>
      <c r="K352" s="72">
        <v>352960</v>
      </c>
      <c r="L352" s="72">
        <v>3328443</v>
      </c>
      <c r="M352" s="72">
        <v>0</v>
      </c>
      <c r="N352" s="72">
        <v>0</v>
      </c>
      <c r="O352" s="72">
        <v>0</v>
      </c>
      <c r="P352" s="72">
        <v>0</v>
      </c>
      <c r="Q352" s="72">
        <v>13744</v>
      </c>
      <c r="R352" s="72">
        <v>13744</v>
      </c>
      <c r="S352" s="72">
        <v>3342187</v>
      </c>
      <c r="T352" s="72">
        <v>1436633</v>
      </c>
      <c r="U352" s="72">
        <v>594212</v>
      </c>
      <c r="V352" s="72">
        <v>911998</v>
      </c>
      <c r="W352" s="72">
        <v>165283</v>
      </c>
      <c r="X352" s="72">
        <v>37228</v>
      </c>
      <c r="Y352" s="72">
        <v>0</v>
      </c>
      <c r="Z352" s="72">
        <v>0</v>
      </c>
      <c r="AA352" s="72">
        <v>0</v>
      </c>
      <c r="AB352" s="72">
        <v>0</v>
      </c>
      <c r="AC352" s="72">
        <v>0</v>
      </c>
      <c r="AD352" s="72">
        <v>0</v>
      </c>
      <c r="AE352" s="72">
        <v>0</v>
      </c>
      <c r="AF352" s="72">
        <v>0</v>
      </c>
      <c r="AG352" s="72">
        <v>69239</v>
      </c>
      <c r="AH352" s="72">
        <v>3214593</v>
      </c>
      <c r="AI352" s="72">
        <v>20000</v>
      </c>
      <c r="AJ352" s="72">
        <v>0</v>
      </c>
      <c r="AK352" s="72">
        <v>0</v>
      </c>
      <c r="AL352" s="72">
        <v>20000</v>
      </c>
      <c r="AM352" s="72">
        <v>3234593</v>
      </c>
      <c r="AN352" s="72">
        <v>107594</v>
      </c>
      <c r="AO352" s="72">
        <v>3445776</v>
      </c>
      <c r="AP352" s="72">
        <v>3553370</v>
      </c>
      <c r="AQ352" s="72">
        <v>70000</v>
      </c>
      <c r="AR352" s="72">
        <v>80000</v>
      </c>
      <c r="AS352" s="72">
        <v>0</v>
      </c>
      <c r="AT352" s="72">
        <v>0</v>
      </c>
      <c r="AU352" s="72">
        <v>0</v>
      </c>
      <c r="AV352" s="72">
        <v>0</v>
      </c>
      <c r="AW352" s="72">
        <v>0</v>
      </c>
      <c r="AX352" s="72">
        <v>0</v>
      </c>
      <c r="AY352" s="72">
        <v>0</v>
      </c>
      <c r="AZ352" s="72">
        <v>80000</v>
      </c>
      <c r="BA352" s="72">
        <v>3403370</v>
      </c>
      <c r="BB352" s="72">
        <v>0</v>
      </c>
      <c r="BC352" s="72">
        <v>0</v>
      </c>
      <c r="BD352" s="72">
        <v>0</v>
      </c>
      <c r="BE352" s="72">
        <v>3403370</v>
      </c>
      <c r="BF352" s="72">
        <v>0</v>
      </c>
      <c r="BG352" s="72">
        <v>0</v>
      </c>
      <c r="BH352" s="72">
        <v>0</v>
      </c>
      <c r="BI352" s="72">
        <v>0</v>
      </c>
      <c r="BJ352" s="72">
        <v>3403370</v>
      </c>
      <c r="BK352" s="72">
        <v>26</v>
      </c>
      <c r="BL352" s="72">
        <v>234</v>
      </c>
      <c r="BM352" s="72">
        <v>0</v>
      </c>
      <c r="BN352" s="72">
        <v>0</v>
      </c>
      <c r="BO352" s="72">
        <v>0</v>
      </c>
      <c r="BP352" s="72">
        <v>0</v>
      </c>
      <c r="BQ352" s="72">
        <v>0</v>
      </c>
      <c r="BR352" s="72">
        <v>0</v>
      </c>
      <c r="BS352" s="72">
        <v>3553370</v>
      </c>
    </row>
    <row r="353" spans="1:71" x14ac:dyDescent="0.2">
      <c r="A353" t="s">
        <v>356</v>
      </c>
      <c r="B353" t="s">
        <v>1068</v>
      </c>
      <c r="C353" t="s">
        <v>71</v>
      </c>
      <c r="D353" s="72">
        <v>1170000</v>
      </c>
      <c r="E353" s="72">
        <v>0</v>
      </c>
      <c r="F353" s="72">
        <v>1005000</v>
      </c>
      <c r="G353" s="72">
        <v>2249000</v>
      </c>
      <c r="H353" s="72">
        <v>44208</v>
      </c>
      <c r="I353" s="72">
        <v>0</v>
      </c>
      <c r="J353" s="72">
        <v>180000</v>
      </c>
      <c r="K353" s="72">
        <v>409655</v>
      </c>
      <c r="L353" s="72">
        <v>5057863</v>
      </c>
      <c r="M353" s="72">
        <v>0</v>
      </c>
      <c r="N353" s="72">
        <v>0</v>
      </c>
      <c r="O353" s="72">
        <v>0</v>
      </c>
      <c r="P353" s="72">
        <v>0</v>
      </c>
      <c r="Q353" s="72">
        <v>500</v>
      </c>
      <c r="R353" s="72">
        <v>500</v>
      </c>
      <c r="S353" s="72">
        <v>5058363</v>
      </c>
      <c r="T353" s="72">
        <v>2584638</v>
      </c>
      <c r="U353" s="72">
        <v>1031057</v>
      </c>
      <c r="V353" s="72">
        <v>1028400</v>
      </c>
      <c r="W353" s="72">
        <v>121143</v>
      </c>
      <c r="X353" s="72">
        <v>35321</v>
      </c>
      <c r="Y353" s="72">
        <v>0</v>
      </c>
      <c r="Z353" s="72">
        <v>0</v>
      </c>
      <c r="AA353" s="72">
        <v>0</v>
      </c>
      <c r="AB353" s="72">
        <v>0</v>
      </c>
      <c r="AC353" s="72">
        <v>0</v>
      </c>
      <c r="AD353" s="72">
        <v>0</v>
      </c>
      <c r="AE353" s="72">
        <v>0</v>
      </c>
      <c r="AF353" s="72">
        <v>0</v>
      </c>
      <c r="AG353" s="72">
        <v>106500</v>
      </c>
      <c r="AH353" s="72">
        <v>4907059</v>
      </c>
      <c r="AI353" s="72">
        <v>30053</v>
      </c>
      <c r="AJ353" s="72">
        <v>0</v>
      </c>
      <c r="AK353" s="72">
        <v>0</v>
      </c>
      <c r="AL353" s="72">
        <v>30053</v>
      </c>
      <c r="AM353" s="72">
        <v>4937112</v>
      </c>
      <c r="AN353" s="72">
        <v>121251</v>
      </c>
      <c r="AO353" s="72">
        <v>3020223</v>
      </c>
      <c r="AP353" s="72">
        <v>3141474</v>
      </c>
      <c r="AQ353" s="72">
        <v>0</v>
      </c>
      <c r="AR353" s="72">
        <v>0</v>
      </c>
      <c r="AS353" s="72">
        <v>0</v>
      </c>
      <c r="AT353" s="72">
        <v>0</v>
      </c>
      <c r="AU353" s="72">
        <v>0</v>
      </c>
      <c r="AV353" s="72">
        <v>0</v>
      </c>
      <c r="AW353" s="72">
        <v>0</v>
      </c>
      <c r="AX353" s="72">
        <v>0</v>
      </c>
      <c r="AY353" s="72">
        <v>0</v>
      </c>
      <c r="AZ353" s="72">
        <v>0</v>
      </c>
      <c r="BA353" s="72">
        <v>3141474</v>
      </c>
      <c r="BB353" s="72">
        <v>0</v>
      </c>
      <c r="BC353" s="72">
        <v>0</v>
      </c>
      <c r="BD353" s="72">
        <v>0</v>
      </c>
      <c r="BE353" s="72">
        <v>3141474</v>
      </c>
      <c r="BF353" s="72">
        <v>0</v>
      </c>
      <c r="BG353" s="72">
        <v>0</v>
      </c>
      <c r="BH353" s="72">
        <v>0</v>
      </c>
      <c r="BI353" s="72">
        <v>0</v>
      </c>
      <c r="BJ353" s="72">
        <v>3141474</v>
      </c>
      <c r="BK353" s="72">
        <v>0</v>
      </c>
      <c r="BL353" s="72">
        <v>0</v>
      </c>
      <c r="BM353" s="72">
        <v>0</v>
      </c>
      <c r="BN353" s="72">
        <v>0</v>
      </c>
      <c r="BO353" s="72">
        <v>0</v>
      </c>
      <c r="BP353" s="72">
        <v>0</v>
      </c>
      <c r="BQ353" s="72">
        <v>0</v>
      </c>
      <c r="BR353" s="72">
        <v>0</v>
      </c>
      <c r="BS353" s="72">
        <v>5058363</v>
      </c>
    </row>
    <row r="354" spans="1:71" x14ac:dyDescent="0.2">
      <c r="A354" t="s">
        <v>603</v>
      </c>
      <c r="B354" t="s">
        <v>1300</v>
      </c>
      <c r="C354" t="s">
        <v>71</v>
      </c>
      <c r="D354" s="72">
        <v>1277186</v>
      </c>
      <c r="E354" s="72">
        <v>0</v>
      </c>
      <c r="F354" s="72">
        <v>1007057</v>
      </c>
      <c r="G354" s="72">
        <v>2837219</v>
      </c>
      <c r="H354" s="72">
        <v>36445</v>
      </c>
      <c r="I354" s="72">
        <v>0</v>
      </c>
      <c r="J354" s="72">
        <v>179700</v>
      </c>
      <c r="K354" s="72">
        <v>64200</v>
      </c>
      <c r="L354" s="72">
        <v>5401807</v>
      </c>
      <c r="M354" s="72">
        <v>0</v>
      </c>
      <c r="N354" s="72">
        <v>0</v>
      </c>
      <c r="O354" s="72">
        <v>0</v>
      </c>
      <c r="P354" s="72">
        <v>180292</v>
      </c>
      <c r="Q354" s="72">
        <v>14041</v>
      </c>
      <c r="R354" s="72">
        <v>194333</v>
      </c>
      <c r="S354" s="72">
        <v>5596140</v>
      </c>
      <c r="T354" s="72">
        <v>2546507</v>
      </c>
      <c r="U354" s="72">
        <v>1081020</v>
      </c>
      <c r="V354" s="72">
        <v>1346484</v>
      </c>
      <c r="W354" s="72">
        <v>162450</v>
      </c>
      <c r="X354" s="72">
        <v>178150</v>
      </c>
      <c r="Y354" s="72">
        <v>0</v>
      </c>
      <c r="Z354" s="72">
        <v>0</v>
      </c>
      <c r="AA354" s="72">
        <v>0</v>
      </c>
      <c r="AB354" s="72">
        <v>0</v>
      </c>
      <c r="AC354" s="72">
        <v>0</v>
      </c>
      <c r="AD354" s="72">
        <v>0</v>
      </c>
      <c r="AE354" s="72">
        <v>0</v>
      </c>
      <c r="AF354" s="72">
        <v>0</v>
      </c>
      <c r="AG354" s="72">
        <v>46000</v>
      </c>
      <c r="AH354" s="72">
        <v>5360611</v>
      </c>
      <c r="AI354" s="72">
        <v>40000</v>
      </c>
      <c r="AJ354" s="72">
        <v>50000</v>
      </c>
      <c r="AK354" s="72">
        <v>0</v>
      </c>
      <c r="AL354" s="72">
        <v>90000</v>
      </c>
      <c r="AM354" s="72">
        <v>5450611</v>
      </c>
      <c r="AN354" s="72">
        <v>145529</v>
      </c>
      <c r="AO354" s="72">
        <v>1499219</v>
      </c>
      <c r="AP354" s="72">
        <v>1644748</v>
      </c>
      <c r="AQ354" s="72">
        <v>0</v>
      </c>
      <c r="AR354" s="72">
        <v>0</v>
      </c>
      <c r="AS354" s="72">
        <v>0</v>
      </c>
      <c r="AT354" s="72">
        <v>0</v>
      </c>
      <c r="AU354" s="72">
        <v>0</v>
      </c>
      <c r="AV354" s="72">
        <v>0</v>
      </c>
      <c r="AW354" s="72">
        <v>0</v>
      </c>
      <c r="AX354" s="72">
        <v>0</v>
      </c>
      <c r="AY354" s="72">
        <v>0</v>
      </c>
      <c r="AZ354" s="72">
        <v>0</v>
      </c>
      <c r="BA354" s="72">
        <v>1644748</v>
      </c>
      <c r="BB354" s="72">
        <v>0</v>
      </c>
      <c r="BC354" s="72">
        <v>0</v>
      </c>
      <c r="BD354" s="72">
        <v>0</v>
      </c>
      <c r="BE354" s="72">
        <v>1644748</v>
      </c>
      <c r="BF354" s="72">
        <v>0</v>
      </c>
      <c r="BG354" s="72">
        <v>0</v>
      </c>
      <c r="BH354" s="72">
        <v>0</v>
      </c>
      <c r="BI354" s="72">
        <v>0</v>
      </c>
      <c r="BJ354" s="72">
        <v>1644748</v>
      </c>
      <c r="BK354" s="72">
        <v>35</v>
      </c>
      <c r="BL354" s="72">
        <v>461</v>
      </c>
      <c r="BM354" s="72">
        <v>0</v>
      </c>
      <c r="BN354" s="72">
        <v>0</v>
      </c>
      <c r="BO354" s="72">
        <v>0</v>
      </c>
      <c r="BP354" s="72">
        <v>0</v>
      </c>
      <c r="BQ354" s="72">
        <v>0</v>
      </c>
      <c r="BR354" s="72">
        <v>0</v>
      </c>
      <c r="BS354" s="72">
        <v>5596140</v>
      </c>
    </row>
    <row r="355" spans="1:71" x14ac:dyDescent="0.2">
      <c r="A355" t="s">
        <v>609</v>
      </c>
      <c r="B355" t="s">
        <v>1306</v>
      </c>
      <c r="C355" t="s">
        <v>29</v>
      </c>
      <c r="D355" s="72">
        <v>1933251</v>
      </c>
      <c r="E355" s="72">
        <v>117786</v>
      </c>
      <c r="F355" s="72">
        <v>1255506</v>
      </c>
      <c r="G355" s="72">
        <v>5545884</v>
      </c>
      <c r="H355" s="72">
        <v>75858</v>
      </c>
      <c r="I355" s="72">
        <v>0</v>
      </c>
      <c r="J355" s="72">
        <v>314882</v>
      </c>
      <c r="K355" s="72">
        <v>610744</v>
      </c>
      <c r="L355" s="72">
        <v>9853911</v>
      </c>
      <c r="M355" s="72">
        <v>0</v>
      </c>
      <c r="N355" s="72">
        <v>0</v>
      </c>
      <c r="O355" s="72">
        <v>28342</v>
      </c>
      <c r="P355" s="72">
        <v>0</v>
      </c>
      <c r="Q355" s="72">
        <v>0</v>
      </c>
      <c r="R355" s="72">
        <v>28342</v>
      </c>
      <c r="S355" s="72">
        <v>9882253</v>
      </c>
      <c r="T355" s="72">
        <v>4619252</v>
      </c>
      <c r="U355" s="72">
        <v>2047124</v>
      </c>
      <c r="V355" s="72">
        <v>1900000</v>
      </c>
      <c r="W355" s="72">
        <v>230032</v>
      </c>
      <c r="X355" s="72">
        <v>146103</v>
      </c>
      <c r="Y355" s="72">
        <v>0</v>
      </c>
      <c r="Z355" s="72">
        <v>0</v>
      </c>
      <c r="AA355" s="72">
        <v>0</v>
      </c>
      <c r="AB355" s="72">
        <v>0</v>
      </c>
      <c r="AC355" s="72">
        <v>0</v>
      </c>
      <c r="AD355" s="72">
        <v>0</v>
      </c>
      <c r="AE355" s="72">
        <v>26650</v>
      </c>
      <c r="AF355" s="72">
        <v>1706</v>
      </c>
      <c r="AG355" s="72">
        <v>565000</v>
      </c>
      <c r="AH355" s="72">
        <v>9535867</v>
      </c>
      <c r="AI355" s="72">
        <v>28354</v>
      </c>
      <c r="AJ355" s="72">
        <v>0</v>
      </c>
      <c r="AK355" s="72">
        <v>0</v>
      </c>
      <c r="AL355" s="72">
        <v>28354</v>
      </c>
      <c r="AM355" s="72">
        <v>9564221</v>
      </c>
      <c r="AN355" s="72">
        <v>318032</v>
      </c>
      <c r="AO355" s="72">
        <v>643669</v>
      </c>
      <c r="AP355" s="72">
        <v>961701</v>
      </c>
      <c r="AQ355" s="72">
        <v>0</v>
      </c>
      <c r="AR355" s="72">
        <v>0</v>
      </c>
      <c r="AS355" s="72">
        <v>0</v>
      </c>
      <c r="AT355" s="72">
        <v>0</v>
      </c>
      <c r="AU355" s="72">
        <v>0</v>
      </c>
      <c r="AV355" s="72">
        <v>0</v>
      </c>
      <c r="AW355" s="72">
        <v>0</v>
      </c>
      <c r="AX355" s="72">
        <v>0</v>
      </c>
      <c r="AY355" s="72">
        <v>0</v>
      </c>
      <c r="AZ355" s="72">
        <v>0</v>
      </c>
      <c r="BA355" s="72">
        <v>961701</v>
      </c>
      <c r="BB355" s="72">
        <v>70767</v>
      </c>
      <c r="BC355" s="72">
        <v>0</v>
      </c>
      <c r="BD355" s="72">
        <v>70767</v>
      </c>
      <c r="BE355" s="72">
        <v>1032468</v>
      </c>
      <c r="BF355" s="72">
        <v>0</v>
      </c>
      <c r="BG355" s="72">
        <v>0</v>
      </c>
      <c r="BH355" s="72">
        <v>0</v>
      </c>
      <c r="BI355" s="72">
        <v>0</v>
      </c>
      <c r="BJ355" s="72">
        <v>1032468</v>
      </c>
      <c r="BM355" s="72">
        <v>0</v>
      </c>
      <c r="BN355" s="72">
        <v>0</v>
      </c>
      <c r="BO355" s="72">
        <v>0</v>
      </c>
      <c r="BP355" s="72">
        <v>0</v>
      </c>
      <c r="BQ355" s="72">
        <v>0</v>
      </c>
      <c r="BR355" s="72">
        <v>0</v>
      </c>
      <c r="BS355" s="72">
        <v>9882253</v>
      </c>
    </row>
    <row r="356" spans="1:71" x14ac:dyDescent="0.2">
      <c r="A356" t="s">
        <v>704</v>
      </c>
      <c r="B356" t="s">
        <v>1394</v>
      </c>
      <c r="C356" t="s">
        <v>71</v>
      </c>
      <c r="D356" s="72">
        <v>1646526</v>
      </c>
      <c r="E356" s="72">
        <v>0</v>
      </c>
      <c r="F356" s="72">
        <v>380670</v>
      </c>
      <c r="G356" s="72">
        <v>4355525</v>
      </c>
      <c r="H356" s="72">
        <v>6150</v>
      </c>
      <c r="I356" s="72">
        <v>0</v>
      </c>
      <c r="J356" s="72">
        <v>276631</v>
      </c>
      <c r="K356" s="72">
        <v>193466</v>
      </c>
      <c r="L356" s="72">
        <v>6858968</v>
      </c>
      <c r="M356" s="72">
        <v>0</v>
      </c>
      <c r="N356" s="72">
        <v>0</v>
      </c>
      <c r="O356" s="72">
        <v>0</v>
      </c>
      <c r="P356" s="72">
        <v>0</v>
      </c>
      <c r="Q356" s="72">
        <v>2000</v>
      </c>
      <c r="R356" s="72">
        <v>2000</v>
      </c>
      <c r="S356" s="72">
        <v>6860968</v>
      </c>
      <c r="T356" s="72">
        <v>2667352</v>
      </c>
      <c r="U356" s="72">
        <v>1211524</v>
      </c>
      <c r="V356" s="72">
        <v>2069968</v>
      </c>
      <c r="W356" s="72">
        <v>163960</v>
      </c>
      <c r="X356" s="72">
        <v>50595</v>
      </c>
      <c r="Y356" s="72">
        <v>0</v>
      </c>
      <c r="Z356" s="72">
        <v>0</v>
      </c>
      <c r="AA356" s="72">
        <v>0</v>
      </c>
      <c r="AB356" s="72">
        <v>0</v>
      </c>
      <c r="AC356" s="72">
        <v>0</v>
      </c>
      <c r="AD356" s="72">
        <v>50000</v>
      </c>
      <c r="AE356" s="72">
        <v>0</v>
      </c>
      <c r="AF356" s="72">
        <v>35390</v>
      </c>
      <c r="AG356" s="72">
        <v>133640</v>
      </c>
      <c r="AH356" s="72">
        <v>6382429</v>
      </c>
      <c r="AI356" s="72">
        <v>0</v>
      </c>
      <c r="AJ356" s="72">
        <v>0</v>
      </c>
      <c r="AK356" s="72">
        <v>0</v>
      </c>
      <c r="AL356" s="72">
        <v>0</v>
      </c>
      <c r="AM356" s="72">
        <v>6382429</v>
      </c>
      <c r="AN356" s="72">
        <v>478539</v>
      </c>
      <c r="AO356" s="72">
        <v>1517729</v>
      </c>
      <c r="AP356" s="72">
        <v>1996268</v>
      </c>
      <c r="AQ356" s="72">
        <v>50000</v>
      </c>
      <c r="AR356" s="72">
        <v>0</v>
      </c>
      <c r="AS356" s="72">
        <v>0</v>
      </c>
      <c r="AT356" s="72">
        <v>0</v>
      </c>
      <c r="AU356" s="72">
        <v>0</v>
      </c>
      <c r="AV356" s="72">
        <v>0</v>
      </c>
      <c r="AW356" s="72">
        <v>0</v>
      </c>
      <c r="AX356" s="72">
        <v>0</v>
      </c>
      <c r="AY356" s="72">
        <v>0</v>
      </c>
      <c r="AZ356" s="72">
        <v>0</v>
      </c>
      <c r="BA356" s="72">
        <v>1946268</v>
      </c>
      <c r="BB356" s="72">
        <v>0</v>
      </c>
      <c r="BC356" s="72">
        <v>0</v>
      </c>
      <c r="BD356" s="72">
        <v>0</v>
      </c>
      <c r="BE356" s="72">
        <v>1946268</v>
      </c>
      <c r="BF356" s="72">
        <v>0</v>
      </c>
      <c r="BG356" s="72">
        <v>0</v>
      </c>
      <c r="BH356" s="72">
        <v>0</v>
      </c>
      <c r="BI356" s="72">
        <v>0</v>
      </c>
      <c r="BJ356" s="72">
        <v>1946268</v>
      </c>
      <c r="BS356" s="72">
        <v>6860968</v>
      </c>
    </row>
    <row r="357" spans="1:71" x14ac:dyDescent="0.2">
      <c r="A357" t="s">
        <v>242</v>
      </c>
      <c r="B357" t="s">
        <v>960</v>
      </c>
      <c r="C357" t="s">
        <v>95</v>
      </c>
      <c r="D357" s="72">
        <v>1632274</v>
      </c>
      <c r="E357" s="72">
        <v>249860</v>
      </c>
      <c r="F357" s="72">
        <v>0</v>
      </c>
      <c r="G357" s="72">
        <v>2214530</v>
      </c>
      <c r="H357" s="72">
        <v>1919</v>
      </c>
      <c r="I357" s="72">
        <v>0</v>
      </c>
      <c r="J357" s="72">
        <v>301862</v>
      </c>
      <c r="K357" s="72">
        <v>327375</v>
      </c>
      <c r="L357" s="72">
        <v>4727820</v>
      </c>
      <c r="M357" s="72">
        <v>0</v>
      </c>
      <c r="N357" s="72">
        <v>0</v>
      </c>
      <c r="O357" s="72">
        <v>0</v>
      </c>
      <c r="P357" s="72">
        <v>0</v>
      </c>
      <c r="Q357" s="72">
        <v>0</v>
      </c>
      <c r="R357" s="72">
        <v>0</v>
      </c>
      <c r="S357" s="72">
        <v>4727820</v>
      </c>
      <c r="T357" s="72">
        <v>2043510</v>
      </c>
      <c r="U357" s="72">
        <v>1056789</v>
      </c>
      <c r="V357" s="72">
        <v>1172637</v>
      </c>
      <c r="W357" s="72">
        <v>139996</v>
      </c>
      <c r="X357" s="72">
        <v>0</v>
      </c>
      <c r="Y357" s="72">
        <v>0</v>
      </c>
      <c r="Z357" s="72">
        <v>0</v>
      </c>
      <c r="AA357" s="72">
        <v>0</v>
      </c>
      <c r="AB357" s="72">
        <v>0</v>
      </c>
      <c r="AC357" s="72">
        <v>0</v>
      </c>
      <c r="AD357" s="72">
        <v>0</v>
      </c>
      <c r="AE357" s="72">
        <v>0</v>
      </c>
      <c r="AF357" s="72">
        <v>0</v>
      </c>
      <c r="AG357" s="72">
        <v>114996</v>
      </c>
      <c r="AH357" s="72">
        <v>4527928</v>
      </c>
      <c r="AI357" s="72">
        <v>10000</v>
      </c>
      <c r="AJ357" s="72">
        <v>0</v>
      </c>
      <c r="AK357" s="72">
        <v>0</v>
      </c>
      <c r="AL357" s="72">
        <v>10000</v>
      </c>
      <c r="AM357" s="72">
        <v>4537928</v>
      </c>
      <c r="AN357" s="72">
        <v>189892</v>
      </c>
      <c r="AO357" s="72">
        <v>533778</v>
      </c>
      <c r="AP357" s="72">
        <v>723670</v>
      </c>
      <c r="AQ357" s="72">
        <v>0</v>
      </c>
      <c r="AR357" s="72">
        <v>0</v>
      </c>
      <c r="AS357" s="72">
        <v>0</v>
      </c>
      <c r="AT357" s="72">
        <v>0</v>
      </c>
      <c r="AU357" s="72">
        <v>0</v>
      </c>
      <c r="AV357" s="72">
        <v>0</v>
      </c>
      <c r="AW357" s="72">
        <v>0</v>
      </c>
      <c r="AX357" s="72">
        <v>0</v>
      </c>
      <c r="AY357" s="72">
        <v>0</v>
      </c>
      <c r="AZ357" s="72">
        <v>0</v>
      </c>
      <c r="BA357" s="72">
        <v>723670</v>
      </c>
      <c r="BB357" s="72">
        <v>0</v>
      </c>
      <c r="BC357" s="72">
        <v>0</v>
      </c>
      <c r="BD357" s="72">
        <v>0</v>
      </c>
      <c r="BE357" s="72">
        <v>723670</v>
      </c>
      <c r="BF357" s="72">
        <v>0</v>
      </c>
      <c r="BG357" s="72">
        <v>0</v>
      </c>
      <c r="BH357" s="72">
        <v>0</v>
      </c>
      <c r="BI357" s="72">
        <v>0</v>
      </c>
      <c r="BJ357" s="72">
        <v>723670</v>
      </c>
      <c r="BM357" s="72">
        <v>0</v>
      </c>
      <c r="BN357" s="72">
        <v>0</v>
      </c>
      <c r="BO357" s="72">
        <v>0</v>
      </c>
      <c r="BP357" s="72">
        <v>0</v>
      </c>
      <c r="BQ357" s="72">
        <v>0</v>
      </c>
      <c r="BR357" s="72">
        <v>0</v>
      </c>
      <c r="BS357" s="72">
        <v>4727820</v>
      </c>
    </row>
    <row r="358" spans="1:71" x14ac:dyDescent="0.2">
      <c r="A358" t="s">
        <v>366</v>
      </c>
      <c r="B358" t="s">
        <v>1077</v>
      </c>
      <c r="C358" t="s">
        <v>39</v>
      </c>
      <c r="D358" s="72">
        <v>1009724</v>
      </c>
      <c r="E358" s="72">
        <v>57072</v>
      </c>
      <c r="F358" s="72">
        <v>697810</v>
      </c>
      <c r="G358" s="72">
        <v>2562562</v>
      </c>
      <c r="H358" s="72">
        <v>33153</v>
      </c>
      <c r="I358" s="72">
        <v>0</v>
      </c>
      <c r="J358" s="72">
        <v>160984</v>
      </c>
      <c r="K358" s="72">
        <v>539940</v>
      </c>
      <c r="L358" s="72">
        <v>5061245</v>
      </c>
      <c r="M358" s="72">
        <v>0</v>
      </c>
      <c r="N358" s="72">
        <v>0</v>
      </c>
      <c r="O358" s="72">
        <v>0</v>
      </c>
      <c r="P358" s="72">
        <v>0</v>
      </c>
      <c r="Q358" s="72">
        <v>0</v>
      </c>
      <c r="R358" s="72">
        <v>0</v>
      </c>
      <c r="S358" s="72">
        <v>5061245</v>
      </c>
      <c r="T358" s="72">
        <v>2680597</v>
      </c>
      <c r="U358" s="72">
        <v>945975</v>
      </c>
      <c r="V358" s="72">
        <v>1113726</v>
      </c>
      <c r="W358" s="72">
        <v>159450</v>
      </c>
      <c r="X358" s="72">
        <v>104957</v>
      </c>
      <c r="Y358" s="72">
        <v>0</v>
      </c>
      <c r="Z358" s="72">
        <v>0</v>
      </c>
      <c r="AA358" s="72">
        <v>0</v>
      </c>
      <c r="AB358" s="72">
        <v>0</v>
      </c>
      <c r="AC358" s="72">
        <v>0</v>
      </c>
      <c r="AD358" s="72">
        <v>15000</v>
      </c>
      <c r="AE358" s="72">
        <v>0</v>
      </c>
      <c r="AF358" s="72">
        <v>5063</v>
      </c>
      <c r="AG358" s="72">
        <v>81316</v>
      </c>
      <c r="AH358" s="72">
        <v>5106084</v>
      </c>
      <c r="AI358" s="72">
        <v>0</v>
      </c>
      <c r="AJ358" s="72">
        <v>0</v>
      </c>
      <c r="AK358" s="72">
        <v>0</v>
      </c>
      <c r="AL358" s="72">
        <v>0</v>
      </c>
      <c r="AM358" s="72">
        <v>5106084</v>
      </c>
      <c r="AN358" s="72">
        <v>-44839</v>
      </c>
      <c r="AO358" s="72">
        <v>2118521</v>
      </c>
      <c r="AP358" s="72">
        <v>2073682</v>
      </c>
      <c r="AQ358" s="72">
        <v>25000</v>
      </c>
      <c r="AR358" s="72">
        <v>41820</v>
      </c>
      <c r="AS358" s="72">
        <v>0</v>
      </c>
      <c r="AT358" s="72">
        <v>0</v>
      </c>
      <c r="AU358" s="72">
        <v>0</v>
      </c>
      <c r="AV358" s="72">
        <v>0</v>
      </c>
      <c r="AW358" s="72">
        <v>0</v>
      </c>
      <c r="AX358" s="72">
        <v>0</v>
      </c>
      <c r="AY358" s="72">
        <v>0</v>
      </c>
      <c r="AZ358" s="72">
        <v>41820</v>
      </c>
      <c r="BA358" s="72">
        <v>2006862</v>
      </c>
      <c r="BB358" s="72">
        <v>0</v>
      </c>
      <c r="BC358" s="72">
        <v>0</v>
      </c>
      <c r="BD358" s="72">
        <v>0</v>
      </c>
      <c r="BE358" s="72">
        <v>2006862</v>
      </c>
      <c r="BF358" s="72">
        <v>0</v>
      </c>
      <c r="BG358" s="72">
        <v>0</v>
      </c>
      <c r="BH358" s="72">
        <v>0</v>
      </c>
      <c r="BI358" s="72">
        <v>0</v>
      </c>
      <c r="BJ358" s="72">
        <v>2006862</v>
      </c>
      <c r="BM358" s="72">
        <v>0</v>
      </c>
      <c r="BN358" s="72">
        <v>0</v>
      </c>
      <c r="BO358" s="72">
        <v>0</v>
      </c>
      <c r="BP358" s="72">
        <v>0</v>
      </c>
      <c r="BQ358" s="72">
        <v>0</v>
      </c>
      <c r="BR358" s="72">
        <v>0</v>
      </c>
      <c r="BS358" s="72">
        <v>5106084</v>
      </c>
    </row>
    <row r="359" spans="1:71" x14ac:dyDescent="0.2">
      <c r="A359" t="s">
        <v>418</v>
      </c>
      <c r="B359" t="s">
        <v>1126</v>
      </c>
      <c r="C359" t="s">
        <v>39</v>
      </c>
      <c r="D359" s="72">
        <v>2061208</v>
      </c>
      <c r="E359" s="72">
        <v>230000</v>
      </c>
      <c r="F359" s="72">
        <v>2248517</v>
      </c>
      <c r="G359" s="72">
        <v>5474009</v>
      </c>
      <c r="H359" s="72">
        <v>86000</v>
      </c>
      <c r="I359" s="72">
        <v>0</v>
      </c>
      <c r="J359" s="72">
        <v>292000</v>
      </c>
      <c r="K359" s="72">
        <v>1571300</v>
      </c>
      <c r="L359" s="72">
        <v>11963034</v>
      </c>
      <c r="M359" s="72">
        <v>0</v>
      </c>
      <c r="N359" s="72">
        <v>0</v>
      </c>
      <c r="O359" s="72">
        <v>0</v>
      </c>
      <c r="P359" s="72">
        <v>50000</v>
      </c>
      <c r="Q359" s="72">
        <v>0</v>
      </c>
      <c r="R359" s="72">
        <v>50000</v>
      </c>
      <c r="S359" s="72">
        <v>12013034</v>
      </c>
      <c r="T359" s="72">
        <v>6698148</v>
      </c>
      <c r="U359" s="72">
        <v>2417565</v>
      </c>
      <c r="V359" s="72">
        <v>2611566</v>
      </c>
      <c r="W359" s="72">
        <v>484646</v>
      </c>
      <c r="X359" s="72">
        <v>235126</v>
      </c>
      <c r="Y359" s="72">
        <v>0</v>
      </c>
      <c r="Z359" s="72">
        <v>0</v>
      </c>
      <c r="AA359" s="72">
        <v>0</v>
      </c>
      <c r="AB359" s="72">
        <v>0</v>
      </c>
      <c r="AC359" s="72">
        <v>0</v>
      </c>
      <c r="AD359" s="72">
        <v>62418</v>
      </c>
      <c r="AE359" s="72">
        <v>0</v>
      </c>
      <c r="AF359" s="72">
        <v>0</v>
      </c>
      <c r="AG359" s="72">
        <v>191292</v>
      </c>
      <c r="AH359" s="72">
        <v>12700761</v>
      </c>
      <c r="AI359" s="72">
        <v>0</v>
      </c>
      <c r="AJ359" s="72">
        <v>50000</v>
      </c>
      <c r="AK359" s="72">
        <v>0</v>
      </c>
      <c r="AL359" s="72">
        <v>50000</v>
      </c>
      <c r="AM359" s="72">
        <v>12750761</v>
      </c>
      <c r="AN359" s="72">
        <v>-737727</v>
      </c>
      <c r="AO359" s="72">
        <v>5245427</v>
      </c>
      <c r="AP359" s="72">
        <v>4507700</v>
      </c>
      <c r="AQ359" s="72">
        <v>0</v>
      </c>
      <c r="AR359" s="72">
        <v>0</v>
      </c>
      <c r="AS359" s="72">
        <v>0</v>
      </c>
      <c r="AT359" s="72">
        <v>0</v>
      </c>
      <c r="AU359" s="72">
        <v>0</v>
      </c>
      <c r="AV359" s="72">
        <v>0</v>
      </c>
      <c r="AW359" s="72">
        <v>0</v>
      </c>
      <c r="AX359" s="72">
        <v>0</v>
      </c>
      <c r="AY359" s="72">
        <v>0</v>
      </c>
      <c r="AZ359" s="72">
        <v>0</v>
      </c>
      <c r="BA359" s="72">
        <v>4507700</v>
      </c>
      <c r="BB359" s="72">
        <v>0</v>
      </c>
      <c r="BC359" s="72">
        <v>0</v>
      </c>
      <c r="BD359" s="72">
        <v>0</v>
      </c>
      <c r="BE359" s="72">
        <v>4507700</v>
      </c>
      <c r="BF359" s="72">
        <v>0</v>
      </c>
      <c r="BG359" s="72">
        <v>0</v>
      </c>
      <c r="BH359" s="72">
        <v>0</v>
      </c>
      <c r="BI359" s="72">
        <v>0</v>
      </c>
      <c r="BJ359" s="72">
        <v>4507700</v>
      </c>
      <c r="BK359" s="72">
        <v>81</v>
      </c>
      <c r="BL359" s="72">
        <v>1123</v>
      </c>
      <c r="BM359" s="72">
        <v>0</v>
      </c>
      <c r="BN359" s="72">
        <v>0</v>
      </c>
      <c r="BO359" s="72">
        <v>0</v>
      </c>
      <c r="BP359" s="72">
        <v>0</v>
      </c>
      <c r="BQ359" s="72">
        <v>0</v>
      </c>
      <c r="BR359" s="72">
        <v>0</v>
      </c>
      <c r="BS359" s="72">
        <v>12750761</v>
      </c>
    </row>
    <row r="360" spans="1:71" x14ac:dyDescent="0.2">
      <c r="A360" t="s">
        <v>571</v>
      </c>
      <c r="B360" t="s">
        <v>1270</v>
      </c>
      <c r="C360" t="s">
        <v>39</v>
      </c>
      <c r="D360" s="72">
        <v>3002105</v>
      </c>
      <c r="E360" s="72">
        <v>119002</v>
      </c>
      <c r="F360" s="72">
        <v>1832840</v>
      </c>
      <c r="G360" s="72">
        <v>4492201</v>
      </c>
      <c r="H360" s="72">
        <v>15672</v>
      </c>
      <c r="I360" s="72">
        <v>0</v>
      </c>
      <c r="J360" s="72">
        <v>450143</v>
      </c>
      <c r="K360" s="72">
        <v>827322</v>
      </c>
      <c r="L360" s="72">
        <v>10739285</v>
      </c>
      <c r="M360" s="72">
        <v>0</v>
      </c>
      <c r="N360" s="72">
        <v>0</v>
      </c>
      <c r="O360" s="72">
        <v>63285</v>
      </c>
      <c r="P360" s="72">
        <v>0</v>
      </c>
      <c r="Q360" s="72">
        <v>60064</v>
      </c>
      <c r="R360" s="72">
        <v>123349</v>
      </c>
      <c r="S360" s="72">
        <v>10862634</v>
      </c>
      <c r="T360" s="72">
        <v>5134573</v>
      </c>
      <c r="U360" s="72">
        <v>1941730</v>
      </c>
      <c r="V360" s="72">
        <v>2148085</v>
      </c>
      <c r="W360" s="72">
        <v>394610</v>
      </c>
      <c r="X360" s="72">
        <v>170705</v>
      </c>
      <c r="Y360" s="72">
        <v>0</v>
      </c>
      <c r="Z360" s="72">
        <v>0</v>
      </c>
      <c r="AA360" s="72">
        <v>0</v>
      </c>
      <c r="AB360" s="72">
        <v>0</v>
      </c>
      <c r="AC360" s="72">
        <v>0</v>
      </c>
      <c r="AD360" s="72">
        <v>45333</v>
      </c>
      <c r="AE360" s="72">
        <v>0</v>
      </c>
      <c r="AF360" s="72">
        <v>17952</v>
      </c>
      <c r="AG360" s="72">
        <v>163997</v>
      </c>
      <c r="AH360" s="72">
        <v>10016985</v>
      </c>
      <c r="AI360" s="72">
        <v>63285</v>
      </c>
      <c r="AJ360" s="72">
        <v>0</v>
      </c>
      <c r="AK360" s="72">
        <v>0</v>
      </c>
      <c r="AL360" s="72">
        <v>63285</v>
      </c>
      <c r="AM360" s="72">
        <v>10080270</v>
      </c>
      <c r="AO360" s="72">
        <v>2664446</v>
      </c>
      <c r="AP360" s="72">
        <v>3446810</v>
      </c>
      <c r="AQ360" s="72">
        <v>50000</v>
      </c>
      <c r="AR360" s="72">
        <v>0</v>
      </c>
      <c r="AS360" s="72">
        <v>0</v>
      </c>
      <c r="AT360" s="72">
        <v>0</v>
      </c>
      <c r="AU360" s="72">
        <v>0</v>
      </c>
      <c r="AV360" s="72">
        <v>0</v>
      </c>
      <c r="AW360" s="72">
        <v>0</v>
      </c>
      <c r="AX360" s="72">
        <v>0</v>
      </c>
      <c r="AY360" s="72">
        <v>0</v>
      </c>
      <c r="AZ360" s="72">
        <v>0</v>
      </c>
      <c r="BA360" s="72">
        <v>3396810</v>
      </c>
      <c r="BB360" s="72">
        <v>0</v>
      </c>
      <c r="BC360" s="72">
        <v>0</v>
      </c>
      <c r="BD360" s="72">
        <v>0</v>
      </c>
      <c r="BE360" s="72">
        <v>3396810</v>
      </c>
      <c r="BF360" s="72">
        <v>0</v>
      </c>
      <c r="BG360" s="72">
        <v>0</v>
      </c>
      <c r="BH360" s="72">
        <v>0</v>
      </c>
      <c r="BI360" s="72">
        <v>0</v>
      </c>
      <c r="BJ360" s="72">
        <v>3396810</v>
      </c>
      <c r="BM360" s="72">
        <v>0</v>
      </c>
      <c r="BN360" s="72">
        <v>0</v>
      </c>
      <c r="BO360" s="72">
        <v>0</v>
      </c>
      <c r="BP360" s="72">
        <v>0</v>
      </c>
      <c r="BQ360" s="72">
        <v>0</v>
      </c>
      <c r="BR360" s="72">
        <v>0</v>
      </c>
      <c r="BS360" s="72">
        <v>10862634</v>
      </c>
    </row>
    <row r="361" spans="1:71" x14ac:dyDescent="0.2">
      <c r="A361" t="s">
        <v>180</v>
      </c>
      <c r="B361" t="s">
        <v>901</v>
      </c>
      <c r="C361" t="s">
        <v>40</v>
      </c>
      <c r="D361" s="72">
        <v>1635935</v>
      </c>
      <c r="E361" s="72">
        <v>0</v>
      </c>
      <c r="F361" s="72">
        <v>0</v>
      </c>
      <c r="G361" s="72">
        <v>4634638</v>
      </c>
      <c r="H361" s="72">
        <v>57069</v>
      </c>
      <c r="I361" s="72">
        <v>0</v>
      </c>
      <c r="J361" s="72">
        <v>231932</v>
      </c>
      <c r="K361" s="72">
        <v>709580</v>
      </c>
      <c r="L361" s="72">
        <v>7269154</v>
      </c>
      <c r="M361" s="72">
        <v>0</v>
      </c>
      <c r="N361" s="72">
        <v>0</v>
      </c>
      <c r="O361" s="72">
        <v>25200</v>
      </c>
      <c r="P361" s="72">
        <v>0</v>
      </c>
      <c r="Q361" s="72">
        <v>27833</v>
      </c>
      <c r="R361" s="72">
        <v>53033</v>
      </c>
      <c r="S361" s="72">
        <v>7322187</v>
      </c>
      <c r="T361" s="72">
        <v>3608788</v>
      </c>
      <c r="U361" s="72">
        <v>1572589</v>
      </c>
      <c r="V361" s="72">
        <v>2077137</v>
      </c>
      <c r="W361" s="72">
        <v>232144</v>
      </c>
      <c r="X361" s="72">
        <v>99623</v>
      </c>
      <c r="Y361" s="72">
        <v>0</v>
      </c>
      <c r="Z361" s="72">
        <v>0</v>
      </c>
      <c r="AA361" s="72">
        <v>0</v>
      </c>
      <c r="AB361" s="72">
        <v>0</v>
      </c>
      <c r="AC361" s="72">
        <v>0</v>
      </c>
      <c r="AD361" s="72">
        <v>25200</v>
      </c>
      <c r="AE361" s="72">
        <v>0</v>
      </c>
      <c r="AF361" s="72">
        <v>19656</v>
      </c>
      <c r="AG361" s="72">
        <v>88690</v>
      </c>
      <c r="AH361" s="72">
        <v>7723827</v>
      </c>
      <c r="AI361" s="72">
        <v>44856</v>
      </c>
      <c r="AJ361" s="72">
        <v>0</v>
      </c>
      <c r="AK361" s="72">
        <v>0</v>
      </c>
      <c r="AL361" s="72">
        <v>44856</v>
      </c>
      <c r="AM361" s="72">
        <v>7768683</v>
      </c>
      <c r="AN361" s="72">
        <v>-446496</v>
      </c>
      <c r="AO361" s="72">
        <v>1643155</v>
      </c>
      <c r="AP361" s="72">
        <v>1196659</v>
      </c>
      <c r="AQ361" s="72">
        <v>250000</v>
      </c>
      <c r="AR361" s="72">
        <v>0</v>
      </c>
      <c r="AS361" s="72">
        <v>0</v>
      </c>
      <c r="AT361" s="72">
        <v>60377</v>
      </c>
      <c r="AU361" s="72">
        <v>0</v>
      </c>
      <c r="AV361" s="72">
        <v>0</v>
      </c>
      <c r="AW361" s="72">
        <v>0</v>
      </c>
      <c r="AX361" s="72">
        <v>0</v>
      </c>
      <c r="AY361" s="72">
        <v>0</v>
      </c>
      <c r="AZ361" s="72">
        <v>60377</v>
      </c>
      <c r="BA361" s="72">
        <v>886282</v>
      </c>
      <c r="BB361" s="72">
        <v>0</v>
      </c>
      <c r="BC361" s="72">
        <v>0</v>
      </c>
      <c r="BD361" s="72">
        <v>0</v>
      </c>
      <c r="BE361" s="72">
        <v>886282</v>
      </c>
      <c r="BF361" s="72">
        <v>0</v>
      </c>
      <c r="BG361" s="72">
        <v>0</v>
      </c>
      <c r="BH361" s="72">
        <v>0</v>
      </c>
      <c r="BI361" s="72">
        <v>0</v>
      </c>
      <c r="BJ361" s="72">
        <v>886282</v>
      </c>
      <c r="BK361" s="72">
        <v>0</v>
      </c>
      <c r="BL361" s="72">
        <v>750</v>
      </c>
      <c r="BM361" s="72">
        <v>0</v>
      </c>
      <c r="BN361" s="72">
        <v>0</v>
      </c>
      <c r="BO361" s="72">
        <v>0</v>
      </c>
      <c r="BP361" s="72">
        <v>0</v>
      </c>
      <c r="BQ361" s="72">
        <v>0</v>
      </c>
      <c r="BR361" s="72">
        <v>0</v>
      </c>
      <c r="BS361" s="72">
        <v>7768683</v>
      </c>
    </row>
    <row r="362" spans="1:71" x14ac:dyDescent="0.2">
      <c r="A362" t="s">
        <v>300</v>
      </c>
      <c r="B362" t="s">
        <v>1014</v>
      </c>
      <c r="C362" t="s">
        <v>40</v>
      </c>
      <c r="D362" s="72">
        <v>1311548</v>
      </c>
      <c r="E362" s="72">
        <v>0</v>
      </c>
      <c r="F362" s="72">
        <v>0</v>
      </c>
      <c r="G362" s="72">
        <v>5364963</v>
      </c>
      <c r="H362" s="72">
        <v>75000</v>
      </c>
      <c r="I362" s="72">
        <v>0</v>
      </c>
      <c r="J362" s="72">
        <v>205000</v>
      </c>
      <c r="K362" s="72">
        <v>625000</v>
      </c>
      <c r="L362" s="72">
        <v>7581511</v>
      </c>
      <c r="M362" s="72">
        <v>0</v>
      </c>
      <c r="N362" s="72">
        <v>0</v>
      </c>
      <c r="O362" s="72">
        <v>155000</v>
      </c>
      <c r="P362" s="72">
        <v>0</v>
      </c>
      <c r="Q362" s="72">
        <v>1200</v>
      </c>
      <c r="R362" s="72">
        <v>156200</v>
      </c>
      <c r="S362" s="72">
        <v>7737711</v>
      </c>
      <c r="T362" s="72">
        <v>4027231</v>
      </c>
      <c r="U362" s="72">
        <v>1660920</v>
      </c>
      <c r="V362" s="72">
        <v>1498395</v>
      </c>
      <c r="W362" s="72">
        <v>221616</v>
      </c>
      <c r="X362" s="72">
        <v>37898</v>
      </c>
      <c r="Y362" s="72">
        <v>0</v>
      </c>
      <c r="Z362" s="72">
        <v>0</v>
      </c>
      <c r="AA362" s="72">
        <v>0</v>
      </c>
      <c r="AB362" s="72">
        <v>0</v>
      </c>
      <c r="AC362" s="72">
        <v>0</v>
      </c>
      <c r="AD362" s="72">
        <v>0</v>
      </c>
      <c r="AE362" s="72">
        <v>0</v>
      </c>
      <c r="AF362" s="72">
        <v>0</v>
      </c>
      <c r="AG362" s="72">
        <v>99623</v>
      </c>
      <c r="AH362" s="72">
        <v>7545683</v>
      </c>
      <c r="AI362" s="72">
        <v>155000</v>
      </c>
      <c r="AJ362" s="72">
        <v>0</v>
      </c>
      <c r="AK362" s="72">
        <v>0</v>
      </c>
      <c r="AL362" s="72">
        <v>155000</v>
      </c>
      <c r="AM362" s="72">
        <v>7700683</v>
      </c>
      <c r="AN362" s="72">
        <v>37028</v>
      </c>
      <c r="AO362" s="72">
        <v>2131681</v>
      </c>
      <c r="AP362" s="72">
        <v>2168709</v>
      </c>
      <c r="AQ362" s="72">
        <v>136090</v>
      </c>
      <c r="AR362" s="72">
        <v>0</v>
      </c>
      <c r="AS362" s="72">
        <v>0</v>
      </c>
      <c r="AT362" s="72">
        <v>436771</v>
      </c>
      <c r="AU362" s="72">
        <v>0</v>
      </c>
      <c r="AV362" s="72">
        <v>0</v>
      </c>
      <c r="AW362" s="72">
        <v>0</v>
      </c>
      <c r="AX362" s="72">
        <v>0</v>
      </c>
      <c r="AY362" s="72">
        <v>0</v>
      </c>
      <c r="AZ362" s="72">
        <v>436771</v>
      </c>
      <c r="BA362" s="72">
        <v>1595848</v>
      </c>
      <c r="BB362" s="72">
        <v>0</v>
      </c>
      <c r="BC362" s="72">
        <v>0</v>
      </c>
      <c r="BD362" s="72">
        <v>0</v>
      </c>
      <c r="BE362" s="72">
        <v>1595848</v>
      </c>
      <c r="BF362" s="72">
        <v>0</v>
      </c>
      <c r="BG362" s="72">
        <v>0</v>
      </c>
      <c r="BH362" s="72">
        <v>0</v>
      </c>
      <c r="BI362" s="72">
        <v>0</v>
      </c>
      <c r="BJ362" s="72">
        <v>1595848</v>
      </c>
      <c r="BK362" s="72">
        <v>0</v>
      </c>
      <c r="BL362" s="72">
        <v>0</v>
      </c>
      <c r="BM362" s="72">
        <v>0</v>
      </c>
      <c r="BN362" s="72">
        <v>0</v>
      </c>
      <c r="BO362" s="72">
        <v>0</v>
      </c>
      <c r="BP362" s="72">
        <v>0</v>
      </c>
      <c r="BQ362" s="72">
        <v>0</v>
      </c>
      <c r="BR362" s="72">
        <v>0</v>
      </c>
      <c r="BS362" s="72">
        <v>7737711</v>
      </c>
    </row>
    <row r="363" spans="1:71" x14ac:dyDescent="0.2">
      <c r="A363" t="s">
        <v>440</v>
      </c>
      <c r="B363" t="s">
        <v>1148</v>
      </c>
      <c r="C363" t="s">
        <v>40</v>
      </c>
      <c r="D363" s="72">
        <v>1727765</v>
      </c>
      <c r="E363" s="72">
        <v>85300</v>
      </c>
      <c r="F363" s="72">
        <v>0</v>
      </c>
      <c r="G363" s="72">
        <v>8264623</v>
      </c>
      <c r="H363" s="72">
        <v>61950</v>
      </c>
      <c r="I363" s="72">
        <v>0</v>
      </c>
      <c r="J363" s="72">
        <v>310000</v>
      </c>
      <c r="K363" s="72">
        <v>855000</v>
      </c>
      <c r="L363" s="72">
        <v>11304638</v>
      </c>
      <c r="M363" s="72">
        <v>0</v>
      </c>
      <c r="N363" s="72">
        <v>0</v>
      </c>
      <c r="O363" s="72">
        <v>0</v>
      </c>
      <c r="P363" s="72">
        <v>0</v>
      </c>
      <c r="Q363" s="72">
        <v>0</v>
      </c>
      <c r="R363" s="72">
        <v>0</v>
      </c>
      <c r="S363" s="72">
        <v>11304638</v>
      </c>
      <c r="T363" s="72">
        <v>5923426</v>
      </c>
      <c r="U363" s="72">
        <v>2250464</v>
      </c>
      <c r="V363" s="72">
        <v>2200000</v>
      </c>
      <c r="W363" s="72">
        <v>500000</v>
      </c>
      <c r="X363" s="72">
        <v>250000</v>
      </c>
      <c r="Y363" s="72">
        <v>0</v>
      </c>
      <c r="Z363" s="72">
        <v>0</v>
      </c>
      <c r="AA363" s="72">
        <v>0</v>
      </c>
      <c r="AB363" s="72">
        <v>0</v>
      </c>
      <c r="AC363" s="72">
        <v>0</v>
      </c>
      <c r="AD363" s="72">
        <v>0</v>
      </c>
      <c r="AE363" s="72">
        <v>0</v>
      </c>
      <c r="AF363" s="72">
        <v>0</v>
      </c>
      <c r="AG363" s="72">
        <v>284000</v>
      </c>
      <c r="AH363" s="72">
        <v>11407890</v>
      </c>
      <c r="AI363" s="72">
        <v>0</v>
      </c>
      <c r="AJ363" s="72">
        <v>0</v>
      </c>
      <c r="AK363" s="72">
        <v>0</v>
      </c>
      <c r="AL363" s="72">
        <v>0</v>
      </c>
      <c r="AM363" s="72">
        <v>11407890</v>
      </c>
      <c r="AN363" s="72">
        <v>-103252</v>
      </c>
      <c r="AO363" s="72">
        <v>6782720</v>
      </c>
      <c r="AP363" s="72">
        <v>6679468</v>
      </c>
      <c r="AQ363" s="72">
        <v>0</v>
      </c>
      <c r="AR363" s="72">
        <v>0</v>
      </c>
      <c r="AS363" s="72">
        <v>0</v>
      </c>
      <c r="AT363" s="72">
        <v>0</v>
      </c>
      <c r="AU363" s="72">
        <v>0</v>
      </c>
      <c r="AV363" s="72">
        <v>0</v>
      </c>
      <c r="AW363" s="72">
        <v>0</v>
      </c>
      <c r="AX363" s="72">
        <v>0</v>
      </c>
      <c r="AY363" s="72">
        <v>0</v>
      </c>
      <c r="AZ363" s="72">
        <v>0</v>
      </c>
      <c r="BA363" s="72">
        <v>6679468</v>
      </c>
      <c r="BB363" s="72">
        <v>0</v>
      </c>
      <c r="BC363" s="72">
        <v>0</v>
      </c>
      <c r="BD363" s="72">
        <v>0</v>
      </c>
      <c r="BE363" s="72">
        <v>6679468</v>
      </c>
      <c r="BF363" s="72">
        <v>0</v>
      </c>
      <c r="BG363" s="72">
        <v>0</v>
      </c>
      <c r="BH363" s="72">
        <v>0</v>
      </c>
      <c r="BI363" s="72">
        <v>0</v>
      </c>
      <c r="BJ363" s="72">
        <v>6679468</v>
      </c>
      <c r="BK363" s="72">
        <v>0</v>
      </c>
      <c r="BL363" s="72">
        <v>0</v>
      </c>
      <c r="BM363" s="72">
        <v>0</v>
      </c>
      <c r="BN363" s="72">
        <v>0</v>
      </c>
      <c r="BO363" s="72">
        <v>0</v>
      </c>
      <c r="BP363" s="72">
        <v>0</v>
      </c>
      <c r="BQ363" s="72">
        <v>0</v>
      </c>
      <c r="BR363" s="72">
        <v>0</v>
      </c>
      <c r="BS363" s="72">
        <v>11407890</v>
      </c>
    </row>
    <row r="364" spans="1:71" x14ac:dyDescent="0.2">
      <c r="A364" t="s">
        <v>274</v>
      </c>
      <c r="B364" t="s">
        <v>991</v>
      </c>
      <c r="C364" t="s">
        <v>89</v>
      </c>
      <c r="D364" s="72">
        <v>7988321</v>
      </c>
      <c r="E364" s="72">
        <v>0</v>
      </c>
      <c r="F364" s="72">
        <v>0</v>
      </c>
      <c r="G364" s="72">
        <v>4350697</v>
      </c>
      <c r="H364" s="72">
        <v>26082</v>
      </c>
      <c r="I364" s="72">
        <v>0</v>
      </c>
      <c r="J364" s="72">
        <v>1572600</v>
      </c>
      <c r="K364" s="72">
        <v>1014796</v>
      </c>
      <c r="L364" s="72">
        <v>14952495</v>
      </c>
      <c r="M364" s="72">
        <v>0</v>
      </c>
      <c r="N364" s="72">
        <v>0</v>
      </c>
      <c r="O364" s="72">
        <v>0</v>
      </c>
      <c r="P364" s="72">
        <v>0</v>
      </c>
      <c r="Q364" s="72">
        <v>25000</v>
      </c>
      <c r="R364" s="72">
        <v>25000</v>
      </c>
      <c r="S364" s="72">
        <v>14977495</v>
      </c>
      <c r="T364" s="72">
        <v>8454490</v>
      </c>
      <c r="U364" s="72">
        <v>3470795</v>
      </c>
      <c r="V364" s="72">
        <v>1895684</v>
      </c>
      <c r="W364" s="72">
        <v>582348</v>
      </c>
      <c r="X364" s="72">
        <v>97500</v>
      </c>
      <c r="Y364" s="72">
        <v>0</v>
      </c>
      <c r="Z364" s="72">
        <v>0</v>
      </c>
      <c r="AA364" s="72">
        <v>0</v>
      </c>
      <c r="AB364" s="72">
        <v>0</v>
      </c>
      <c r="AC364" s="72">
        <v>0</v>
      </c>
      <c r="AD364" s="72">
        <v>0</v>
      </c>
      <c r="AE364" s="72">
        <v>0</v>
      </c>
      <c r="AF364" s="72">
        <v>0</v>
      </c>
      <c r="AG364" s="72">
        <v>365527</v>
      </c>
      <c r="AH364" s="72">
        <v>14866344</v>
      </c>
      <c r="AI364" s="72">
        <v>125000</v>
      </c>
      <c r="AJ364" s="72">
        <v>0</v>
      </c>
      <c r="AK364" s="72">
        <v>0</v>
      </c>
      <c r="AL364" s="72">
        <v>125000</v>
      </c>
      <c r="AM364" s="72">
        <v>14991344</v>
      </c>
      <c r="AN364" s="72">
        <v>-13848</v>
      </c>
      <c r="AO364" s="72">
        <v>5055902</v>
      </c>
      <c r="AP364" s="72">
        <v>5042054</v>
      </c>
      <c r="AQ364" s="72">
        <v>125000</v>
      </c>
      <c r="AR364" s="72">
        <v>0</v>
      </c>
      <c r="AS364" s="72">
        <v>0</v>
      </c>
      <c r="AT364" s="72">
        <v>0</v>
      </c>
      <c r="AU364" s="72">
        <v>0</v>
      </c>
      <c r="AV364" s="72">
        <v>0</v>
      </c>
      <c r="AW364" s="72">
        <v>0</v>
      </c>
      <c r="AX364" s="72">
        <v>0</v>
      </c>
      <c r="AY364" s="72">
        <v>0</v>
      </c>
      <c r="AZ364" s="72">
        <v>0</v>
      </c>
      <c r="BA364" s="72">
        <v>4917054</v>
      </c>
      <c r="BB364" s="72">
        <v>0</v>
      </c>
      <c r="BC364" s="72">
        <v>0</v>
      </c>
      <c r="BD364" s="72">
        <v>0</v>
      </c>
      <c r="BE364" s="72">
        <v>4917054</v>
      </c>
      <c r="BF364" s="72">
        <v>0</v>
      </c>
      <c r="BG364" s="72">
        <v>0</v>
      </c>
      <c r="BH364" s="72">
        <v>0</v>
      </c>
      <c r="BI364" s="72">
        <v>0</v>
      </c>
      <c r="BJ364" s="72">
        <v>4917054</v>
      </c>
      <c r="BS364" s="72">
        <v>14991344</v>
      </c>
    </row>
    <row r="365" spans="1:71" x14ac:dyDescent="0.2">
      <c r="A365" t="s">
        <v>744</v>
      </c>
      <c r="B365" t="s">
        <v>1433</v>
      </c>
      <c r="C365" t="s">
        <v>89</v>
      </c>
      <c r="D365" s="72">
        <v>8450744</v>
      </c>
      <c r="E365" s="72">
        <v>0</v>
      </c>
      <c r="F365" s="72">
        <v>0</v>
      </c>
      <c r="G365" s="72">
        <v>10840300</v>
      </c>
      <c r="H365" s="72">
        <v>73536</v>
      </c>
      <c r="I365" s="72">
        <v>0</v>
      </c>
      <c r="J365" s="72">
        <v>1137319</v>
      </c>
      <c r="K365" s="72">
        <v>841427</v>
      </c>
      <c r="L365" s="72">
        <v>21343326</v>
      </c>
      <c r="M365" s="72">
        <v>0</v>
      </c>
      <c r="N365" s="72">
        <v>0</v>
      </c>
      <c r="O365" s="72">
        <v>0</v>
      </c>
      <c r="P365" s="72">
        <v>0</v>
      </c>
      <c r="Q365" s="72">
        <v>51713</v>
      </c>
      <c r="R365" s="72">
        <v>51713</v>
      </c>
      <c r="S365" s="72">
        <v>21395039</v>
      </c>
      <c r="T365" s="72">
        <v>13002003</v>
      </c>
      <c r="U365" s="72">
        <v>4721529</v>
      </c>
      <c r="V365" s="72">
        <v>3450000</v>
      </c>
      <c r="W365" s="72">
        <v>990000</v>
      </c>
      <c r="X365" s="72">
        <v>150000</v>
      </c>
      <c r="Y365" s="72">
        <v>0</v>
      </c>
      <c r="Z365" s="72">
        <v>0</v>
      </c>
      <c r="AA365" s="72">
        <v>0</v>
      </c>
      <c r="AB365" s="72">
        <v>0</v>
      </c>
      <c r="AC365" s="72">
        <v>0</v>
      </c>
      <c r="AD365" s="72">
        <v>0</v>
      </c>
      <c r="AE365" s="72">
        <v>0</v>
      </c>
      <c r="AF365" s="72">
        <v>0</v>
      </c>
      <c r="AG365" s="72">
        <v>312055</v>
      </c>
      <c r="AH365" s="72">
        <v>22625587</v>
      </c>
      <c r="AI365" s="72">
        <v>0</v>
      </c>
      <c r="AJ365" s="72">
        <v>0</v>
      </c>
      <c r="AK365" s="72">
        <v>0</v>
      </c>
      <c r="AL365" s="72">
        <v>0</v>
      </c>
      <c r="AM365" s="72">
        <v>22625587</v>
      </c>
      <c r="AN365" s="72">
        <v>-1230547</v>
      </c>
      <c r="AO365" s="72">
        <v>9064951</v>
      </c>
      <c r="AP365" s="72">
        <v>7834404</v>
      </c>
      <c r="AQ365" s="72">
        <v>300000</v>
      </c>
      <c r="AR365" s="72">
        <v>0</v>
      </c>
      <c r="AS365" s="72">
        <v>0</v>
      </c>
      <c r="AT365" s="72">
        <v>0</v>
      </c>
      <c r="AU365" s="72">
        <v>0</v>
      </c>
      <c r="AW365" s="72">
        <v>0</v>
      </c>
      <c r="AX365" s="72">
        <v>0</v>
      </c>
      <c r="AY365" s="72">
        <v>0</v>
      </c>
      <c r="AZ365" s="72">
        <v>0</v>
      </c>
      <c r="BA365" s="72">
        <v>7534404</v>
      </c>
      <c r="BB365" s="72">
        <v>0</v>
      </c>
      <c r="BC365" s="72">
        <v>0</v>
      </c>
      <c r="BD365" s="72">
        <v>0</v>
      </c>
      <c r="BE365" s="72">
        <v>7534404</v>
      </c>
      <c r="BF365" s="72">
        <v>0</v>
      </c>
      <c r="BG365" s="72">
        <v>0</v>
      </c>
      <c r="BH365" s="72">
        <v>0</v>
      </c>
      <c r="BI365" s="72">
        <v>0</v>
      </c>
      <c r="BJ365" s="72">
        <v>7534404</v>
      </c>
      <c r="BM365" s="72">
        <v>0</v>
      </c>
      <c r="BN365" s="72">
        <v>0</v>
      </c>
      <c r="BO365" s="72">
        <v>0</v>
      </c>
      <c r="BP365" s="72">
        <v>0</v>
      </c>
      <c r="BQ365" s="72">
        <v>0</v>
      </c>
      <c r="BR365" s="72">
        <v>0</v>
      </c>
      <c r="BS365" s="72">
        <v>22625587</v>
      </c>
    </row>
    <row r="366" spans="1:71" x14ac:dyDescent="0.2">
      <c r="A366" t="s">
        <v>494</v>
      </c>
      <c r="B366" t="s">
        <v>1198</v>
      </c>
      <c r="C366" t="s">
        <v>57</v>
      </c>
      <c r="D366" s="72">
        <v>2060797</v>
      </c>
      <c r="E366" s="72">
        <v>0</v>
      </c>
      <c r="F366" s="72">
        <v>1165000</v>
      </c>
      <c r="G366" s="72">
        <v>2145000</v>
      </c>
      <c r="H366" s="72">
        <v>61478</v>
      </c>
      <c r="I366" s="72">
        <v>0</v>
      </c>
      <c r="J366" s="72">
        <v>334540</v>
      </c>
      <c r="K366" s="72">
        <v>612441</v>
      </c>
      <c r="L366" s="72">
        <v>6379256</v>
      </c>
      <c r="M366" s="72">
        <v>0</v>
      </c>
      <c r="N366" s="72">
        <v>0</v>
      </c>
      <c r="O366" s="72">
        <v>0</v>
      </c>
      <c r="P366" s="72">
        <v>103915</v>
      </c>
      <c r="Q366" s="72">
        <v>0</v>
      </c>
      <c r="R366" s="72">
        <v>103915</v>
      </c>
      <c r="S366" s="72">
        <v>6483171</v>
      </c>
      <c r="T366" s="72">
        <v>3500500</v>
      </c>
      <c r="U366" s="72">
        <v>1156000</v>
      </c>
      <c r="V366" s="72">
        <v>1230539</v>
      </c>
      <c r="W366" s="72">
        <v>458751</v>
      </c>
      <c r="X366" s="72">
        <v>103566</v>
      </c>
      <c r="Y366" s="72">
        <v>0</v>
      </c>
      <c r="Z366" s="72">
        <v>0</v>
      </c>
      <c r="AA366" s="72">
        <v>0</v>
      </c>
      <c r="AB366" s="72">
        <v>0</v>
      </c>
      <c r="AC366" s="72">
        <v>0</v>
      </c>
      <c r="AD366" s="72">
        <v>57828</v>
      </c>
      <c r="AE366" s="72">
        <v>0</v>
      </c>
      <c r="AF366" s="72">
        <v>48992</v>
      </c>
      <c r="AG366" s="72">
        <v>87185</v>
      </c>
      <c r="AH366" s="72">
        <v>6643361</v>
      </c>
      <c r="AI366" s="72">
        <v>0</v>
      </c>
      <c r="AJ366" s="72">
        <v>60000</v>
      </c>
      <c r="AK366" s="72">
        <v>0</v>
      </c>
      <c r="AL366" s="72">
        <v>60000</v>
      </c>
      <c r="AM366" s="72">
        <v>6703361</v>
      </c>
      <c r="AN366" s="72">
        <v>-220190</v>
      </c>
      <c r="AO366" s="72">
        <v>573177</v>
      </c>
      <c r="AP366" s="72">
        <v>352987</v>
      </c>
      <c r="AQ366" s="72">
        <v>28000</v>
      </c>
      <c r="AR366" s="72">
        <v>0</v>
      </c>
      <c r="AS366" s="72">
        <v>0</v>
      </c>
      <c r="AT366" s="72">
        <v>0</v>
      </c>
      <c r="AU366" s="72">
        <v>0</v>
      </c>
      <c r="AV366" s="72">
        <v>0</v>
      </c>
      <c r="AW366" s="72">
        <v>0</v>
      </c>
      <c r="AX366" s="72">
        <v>0</v>
      </c>
      <c r="AY366" s="72">
        <v>0</v>
      </c>
      <c r="AZ366" s="72">
        <v>0</v>
      </c>
      <c r="BA366" s="72">
        <v>324987</v>
      </c>
      <c r="BB366" s="72">
        <v>0</v>
      </c>
      <c r="BC366" s="72">
        <v>0</v>
      </c>
      <c r="BD366" s="72">
        <v>0</v>
      </c>
      <c r="BE366" s="72">
        <v>324987</v>
      </c>
      <c r="BF366" s="72">
        <v>0</v>
      </c>
      <c r="BG366" s="72">
        <v>0</v>
      </c>
      <c r="BH366" s="72">
        <v>0</v>
      </c>
      <c r="BI366" s="72">
        <v>0</v>
      </c>
      <c r="BJ366" s="72">
        <v>324987</v>
      </c>
      <c r="BK366" s="72">
        <v>47</v>
      </c>
      <c r="BL366" s="72">
        <v>628</v>
      </c>
      <c r="BM366" s="72">
        <v>0</v>
      </c>
      <c r="BN366" s="72">
        <v>0</v>
      </c>
      <c r="BO366" s="72">
        <v>0</v>
      </c>
      <c r="BP366" s="72">
        <v>0</v>
      </c>
      <c r="BQ366" s="72">
        <v>0</v>
      </c>
      <c r="BR366" s="72">
        <v>0</v>
      </c>
      <c r="BS366" s="72">
        <v>6703361</v>
      </c>
    </row>
    <row r="367" spans="1:71" x14ac:dyDescent="0.2">
      <c r="A367" t="s">
        <v>509</v>
      </c>
      <c r="B367" t="s">
        <v>1213</v>
      </c>
      <c r="C367" t="s">
        <v>57</v>
      </c>
      <c r="D367" s="72">
        <v>1962601</v>
      </c>
      <c r="E367" s="72">
        <v>118749</v>
      </c>
      <c r="F367" s="72">
        <v>1105824</v>
      </c>
      <c r="G367" s="72">
        <v>5415001</v>
      </c>
      <c r="H367" s="72">
        <v>56528</v>
      </c>
      <c r="I367" s="72">
        <v>0</v>
      </c>
      <c r="J367" s="72">
        <v>312282</v>
      </c>
      <c r="K367" s="72">
        <v>461143</v>
      </c>
      <c r="L367" s="72">
        <v>9432128</v>
      </c>
      <c r="M367" s="72">
        <v>0</v>
      </c>
      <c r="N367" s="72">
        <v>0</v>
      </c>
      <c r="O367" s="72">
        <v>0</v>
      </c>
      <c r="P367" s="72">
        <v>0</v>
      </c>
      <c r="Q367" s="72">
        <v>10000</v>
      </c>
      <c r="R367" s="72">
        <v>10000</v>
      </c>
      <c r="S367" s="72">
        <v>9442128</v>
      </c>
      <c r="T367" s="72">
        <v>5042951</v>
      </c>
      <c r="U367" s="72">
        <v>2437279</v>
      </c>
      <c r="V367" s="72">
        <v>1673857</v>
      </c>
      <c r="W367" s="72">
        <v>294457</v>
      </c>
      <c r="X367" s="72">
        <v>114474</v>
      </c>
      <c r="Y367" s="72">
        <v>0</v>
      </c>
      <c r="Z367" s="72">
        <v>0</v>
      </c>
      <c r="AA367" s="72">
        <v>0</v>
      </c>
      <c r="AB367" s="72">
        <v>0</v>
      </c>
      <c r="AC367" s="72">
        <v>0</v>
      </c>
      <c r="AD367" s="72">
        <v>0</v>
      </c>
      <c r="AE367" s="72">
        <v>0</v>
      </c>
      <c r="AF367" s="72">
        <v>0</v>
      </c>
      <c r="AG367" s="72">
        <v>167012</v>
      </c>
      <c r="AH367" s="72">
        <v>9730030</v>
      </c>
      <c r="AI367" s="72">
        <v>0</v>
      </c>
      <c r="AJ367" s="72">
        <v>0</v>
      </c>
      <c r="AK367" s="72">
        <v>2000</v>
      </c>
      <c r="AL367" s="72">
        <v>2000</v>
      </c>
      <c r="AM367" s="72">
        <v>9732030</v>
      </c>
      <c r="AN367" s="72">
        <v>-289902</v>
      </c>
      <c r="AO367" s="72">
        <v>1398631</v>
      </c>
      <c r="AP367" s="72">
        <v>1108729</v>
      </c>
      <c r="AQ367" s="72">
        <v>50000</v>
      </c>
      <c r="AR367" s="72">
        <v>0</v>
      </c>
      <c r="AS367" s="72">
        <v>0</v>
      </c>
      <c r="AT367" s="72">
        <v>0</v>
      </c>
      <c r="AU367" s="72">
        <v>0</v>
      </c>
      <c r="AV367" s="72">
        <v>0</v>
      </c>
      <c r="AW367" s="72">
        <v>0</v>
      </c>
      <c r="AX367" s="72">
        <v>0</v>
      </c>
      <c r="AY367" s="72">
        <v>0</v>
      </c>
      <c r="AZ367" s="72">
        <v>0</v>
      </c>
      <c r="BA367" s="72">
        <v>1058729</v>
      </c>
      <c r="BB367" s="72">
        <v>0</v>
      </c>
      <c r="BC367" s="72">
        <v>0</v>
      </c>
      <c r="BD367" s="72">
        <v>0</v>
      </c>
      <c r="BE367" s="72">
        <v>1058729</v>
      </c>
      <c r="BF367" s="72">
        <v>0</v>
      </c>
      <c r="BG367" s="72">
        <v>0</v>
      </c>
      <c r="BH367" s="72">
        <v>0</v>
      </c>
      <c r="BI367" s="72">
        <v>0</v>
      </c>
      <c r="BJ367" s="72">
        <v>1058729</v>
      </c>
      <c r="BM367" s="72">
        <v>0</v>
      </c>
      <c r="BN367" s="72">
        <v>0</v>
      </c>
      <c r="BO367" s="72">
        <v>0</v>
      </c>
      <c r="BP367" s="72">
        <v>0</v>
      </c>
      <c r="BQ367" s="72">
        <v>0</v>
      </c>
      <c r="BR367" s="72">
        <v>0</v>
      </c>
      <c r="BS367" s="72">
        <v>9732030</v>
      </c>
    </row>
    <row r="368" spans="1:71" x14ac:dyDescent="0.2">
      <c r="A368" t="s">
        <v>633</v>
      </c>
      <c r="B368" t="s">
        <v>1329</v>
      </c>
      <c r="C368" t="s">
        <v>57</v>
      </c>
      <c r="D368" s="72">
        <v>1336143</v>
      </c>
      <c r="E368" s="72">
        <v>65569</v>
      </c>
      <c r="F368" s="72">
        <v>903340</v>
      </c>
      <c r="G368" s="72">
        <v>5051441</v>
      </c>
      <c r="H368" s="72">
        <v>39026</v>
      </c>
      <c r="I368" s="72">
        <v>0</v>
      </c>
      <c r="J368" s="72">
        <v>226231</v>
      </c>
      <c r="K368" s="72">
        <v>329204</v>
      </c>
      <c r="L368" s="72">
        <v>7950954</v>
      </c>
      <c r="M368" s="72">
        <v>0</v>
      </c>
      <c r="N368" s="72">
        <v>0</v>
      </c>
      <c r="O368" s="72">
        <v>0</v>
      </c>
      <c r="P368" s="72">
        <v>0</v>
      </c>
      <c r="Q368" s="72">
        <v>0</v>
      </c>
      <c r="R368" s="72">
        <v>0</v>
      </c>
      <c r="S368" s="72">
        <v>7950954</v>
      </c>
      <c r="T368" s="72">
        <v>4357624</v>
      </c>
      <c r="U368" s="72">
        <v>1619578</v>
      </c>
      <c r="V368" s="72">
        <v>1620089</v>
      </c>
      <c r="W368" s="72">
        <v>300000</v>
      </c>
      <c r="X368" s="72">
        <v>152000</v>
      </c>
      <c r="Y368" s="72">
        <v>0</v>
      </c>
      <c r="Z368" s="72">
        <v>0</v>
      </c>
      <c r="AA368" s="72">
        <v>0</v>
      </c>
      <c r="AB368" s="72">
        <v>0</v>
      </c>
      <c r="AC368" s="72">
        <v>0</v>
      </c>
      <c r="AD368" s="72">
        <v>0</v>
      </c>
      <c r="AE368" s="72">
        <v>0</v>
      </c>
      <c r="AF368" s="72">
        <v>0</v>
      </c>
      <c r="AG368" s="72">
        <v>120099</v>
      </c>
      <c r="AH368" s="72">
        <v>8169390</v>
      </c>
      <c r="AI368" s="72">
        <v>0</v>
      </c>
      <c r="AJ368" s="72">
        <v>0</v>
      </c>
      <c r="AK368" s="72">
        <v>0</v>
      </c>
      <c r="AL368" s="72">
        <v>0</v>
      </c>
      <c r="AM368" s="72">
        <v>8169390</v>
      </c>
      <c r="AN368" s="72">
        <v>-218436</v>
      </c>
      <c r="AO368" s="72">
        <v>2129420</v>
      </c>
      <c r="AP368" s="72">
        <v>1910984</v>
      </c>
      <c r="AQ368" s="72">
        <v>100000</v>
      </c>
      <c r="AR368" s="72">
        <v>0</v>
      </c>
      <c r="AS368" s="72">
        <v>179000</v>
      </c>
      <c r="AT368" s="72">
        <v>653744</v>
      </c>
      <c r="AU368" s="72">
        <v>0</v>
      </c>
      <c r="AV368" s="72">
        <v>0</v>
      </c>
      <c r="AW368" s="72">
        <v>0</v>
      </c>
      <c r="AX368" s="72">
        <v>0</v>
      </c>
      <c r="AY368" s="72">
        <v>0</v>
      </c>
      <c r="AZ368" s="72">
        <v>832744</v>
      </c>
      <c r="BA368" s="72">
        <v>978240</v>
      </c>
      <c r="BB368" s="72">
        <v>0</v>
      </c>
      <c r="BC368" s="72">
        <v>0</v>
      </c>
      <c r="BD368" s="72">
        <v>0</v>
      </c>
      <c r="BE368" s="72">
        <v>978240</v>
      </c>
      <c r="BF368" s="72">
        <v>0</v>
      </c>
      <c r="BG368" s="72">
        <v>0</v>
      </c>
      <c r="BH368" s="72">
        <v>0</v>
      </c>
      <c r="BI368" s="72">
        <v>0</v>
      </c>
      <c r="BJ368" s="72">
        <v>978240</v>
      </c>
      <c r="BM368" s="72">
        <v>0</v>
      </c>
      <c r="BN368" s="72">
        <v>0</v>
      </c>
      <c r="BO368" s="72">
        <v>0</v>
      </c>
      <c r="BP368" s="72">
        <v>0</v>
      </c>
      <c r="BQ368" s="72">
        <v>0</v>
      </c>
      <c r="BR368" s="72">
        <v>0</v>
      </c>
      <c r="BS368" s="72">
        <v>8169390</v>
      </c>
    </row>
    <row r="369" spans="1:71" x14ac:dyDescent="0.2">
      <c r="A369" t="s">
        <v>749</v>
      </c>
      <c r="B369" t="s">
        <v>1438</v>
      </c>
      <c r="C369" t="s">
        <v>57</v>
      </c>
      <c r="D369" s="72">
        <v>2250772</v>
      </c>
      <c r="E369" s="72">
        <v>115995</v>
      </c>
      <c r="F369" s="72">
        <v>1825337</v>
      </c>
      <c r="G369" s="72">
        <v>6177961</v>
      </c>
      <c r="H369" s="72">
        <v>54375</v>
      </c>
      <c r="J369" s="72">
        <v>345215</v>
      </c>
      <c r="K369" s="72">
        <v>875649</v>
      </c>
      <c r="L369" s="72">
        <v>11645304</v>
      </c>
      <c r="M369" s="72">
        <v>0</v>
      </c>
      <c r="N369" s="72">
        <v>0</v>
      </c>
      <c r="O369" s="72">
        <v>50000</v>
      </c>
      <c r="P369" s="72">
        <v>0</v>
      </c>
      <c r="Q369" s="72">
        <v>9500</v>
      </c>
      <c r="R369" s="72">
        <v>59500</v>
      </c>
      <c r="S369" s="72">
        <v>11704804</v>
      </c>
      <c r="T369" s="72">
        <v>5797739</v>
      </c>
      <c r="U369" s="72">
        <v>2490125</v>
      </c>
      <c r="V369" s="72">
        <v>2079734</v>
      </c>
      <c r="W369" s="72">
        <v>324583</v>
      </c>
      <c r="X369" s="72">
        <v>131044</v>
      </c>
      <c r="Y369" s="72">
        <v>0</v>
      </c>
      <c r="Z369" s="72">
        <v>0</v>
      </c>
      <c r="AA369" s="72">
        <v>0</v>
      </c>
      <c r="AB369" s="72">
        <v>0</v>
      </c>
      <c r="AC369" s="72">
        <v>0</v>
      </c>
      <c r="AD369" s="72">
        <v>0</v>
      </c>
      <c r="AE369" s="72">
        <v>0</v>
      </c>
      <c r="AF369" s="72">
        <v>0</v>
      </c>
      <c r="AG369" s="72">
        <v>487505</v>
      </c>
      <c r="AH369" s="72">
        <v>11310730</v>
      </c>
      <c r="AI369" s="72">
        <v>50000</v>
      </c>
      <c r="AJ369" s="72">
        <v>0</v>
      </c>
      <c r="AK369" s="72">
        <v>0</v>
      </c>
      <c r="AL369" s="72">
        <v>50000</v>
      </c>
      <c r="AM369" s="72">
        <v>11360730</v>
      </c>
      <c r="AN369" s="72">
        <v>344074</v>
      </c>
      <c r="AO369" s="72">
        <v>1065034</v>
      </c>
      <c r="AP369" s="72">
        <v>1409108</v>
      </c>
      <c r="AQ369" s="72">
        <v>0</v>
      </c>
      <c r="AR369" s="72">
        <v>0</v>
      </c>
      <c r="AS369" s="72">
        <v>225000</v>
      </c>
      <c r="AT369" s="72">
        <v>400000</v>
      </c>
      <c r="AU369" s="72">
        <v>0</v>
      </c>
      <c r="AV369" s="72">
        <v>0</v>
      </c>
      <c r="AW369" s="72">
        <v>0</v>
      </c>
      <c r="AX369" s="72">
        <v>0</v>
      </c>
      <c r="AY369" s="72">
        <v>0</v>
      </c>
      <c r="AZ369" s="72">
        <v>625000</v>
      </c>
      <c r="BA369" s="72">
        <v>784108</v>
      </c>
      <c r="BB369" s="72">
        <v>0</v>
      </c>
      <c r="BC369" s="72">
        <v>0</v>
      </c>
      <c r="BD369" s="72">
        <v>0</v>
      </c>
      <c r="BE369" s="72">
        <v>784108</v>
      </c>
      <c r="BF369" s="72">
        <v>0</v>
      </c>
      <c r="BG369" s="72">
        <v>0</v>
      </c>
      <c r="BH369" s="72">
        <v>0</v>
      </c>
      <c r="BI369" s="72">
        <v>0</v>
      </c>
      <c r="BJ369" s="72">
        <v>784108</v>
      </c>
      <c r="BK369" s="72">
        <v>0</v>
      </c>
      <c r="BL369" s="72">
        <v>1301</v>
      </c>
      <c r="BS369" s="72">
        <v>11704804</v>
      </c>
    </row>
    <row r="370" spans="1:71" x14ac:dyDescent="0.2">
      <c r="A370" t="s">
        <v>549</v>
      </c>
      <c r="B370" t="s">
        <v>1248</v>
      </c>
      <c r="C370" t="s">
        <v>49</v>
      </c>
      <c r="D370" s="72">
        <v>1439810</v>
      </c>
      <c r="E370" s="72">
        <v>545181</v>
      </c>
      <c r="F370" s="72">
        <v>0</v>
      </c>
      <c r="G370" s="72">
        <v>8478187</v>
      </c>
      <c r="H370" s="72">
        <v>17198</v>
      </c>
      <c r="I370" s="72">
        <v>0</v>
      </c>
      <c r="J370" s="72">
        <v>264968</v>
      </c>
      <c r="K370" s="72">
        <v>697056</v>
      </c>
      <c r="L370" s="72">
        <v>11442400</v>
      </c>
      <c r="M370" s="72">
        <v>0</v>
      </c>
      <c r="N370" s="72">
        <v>0</v>
      </c>
      <c r="O370" s="72">
        <v>0</v>
      </c>
      <c r="P370" s="72">
        <v>81825</v>
      </c>
      <c r="Q370" s="72">
        <v>25000</v>
      </c>
      <c r="R370" s="72">
        <v>106825</v>
      </c>
      <c r="S370" s="72">
        <v>11549225</v>
      </c>
      <c r="T370" s="72">
        <v>5422973</v>
      </c>
      <c r="U370" s="72">
        <v>2535008</v>
      </c>
      <c r="V370" s="72">
        <v>2269504</v>
      </c>
      <c r="W370" s="72">
        <v>608496</v>
      </c>
      <c r="X370" s="72">
        <v>145662</v>
      </c>
      <c r="Y370" s="72">
        <v>0</v>
      </c>
      <c r="Z370" s="72">
        <v>0</v>
      </c>
      <c r="AA370" s="72">
        <v>0</v>
      </c>
      <c r="AB370" s="72">
        <v>0</v>
      </c>
      <c r="AC370" s="72">
        <v>0</v>
      </c>
      <c r="AD370" s="72">
        <v>0</v>
      </c>
      <c r="AE370" s="72">
        <v>0</v>
      </c>
      <c r="AF370" s="72">
        <v>0</v>
      </c>
      <c r="AG370" s="72">
        <v>202413</v>
      </c>
      <c r="AH370" s="72">
        <v>11184056</v>
      </c>
      <c r="AI370" s="72">
        <v>50000</v>
      </c>
      <c r="AJ370" s="72">
        <v>10000</v>
      </c>
      <c r="AK370" s="72">
        <v>0</v>
      </c>
      <c r="AL370" s="72">
        <v>60000</v>
      </c>
      <c r="AM370" s="72">
        <v>11244056</v>
      </c>
      <c r="AN370" s="72">
        <v>305169</v>
      </c>
      <c r="AO370" s="72">
        <v>7462314</v>
      </c>
      <c r="AP370" s="72">
        <v>7767483</v>
      </c>
      <c r="AQ370" s="72">
        <v>125000</v>
      </c>
      <c r="AR370" s="72">
        <v>0</v>
      </c>
      <c r="AS370" s="72">
        <v>0</v>
      </c>
      <c r="AT370" s="72">
        <v>0</v>
      </c>
      <c r="AU370" s="72">
        <v>0</v>
      </c>
      <c r="AV370" s="72">
        <v>0</v>
      </c>
      <c r="AW370" s="72">
        <v>0</v>
      </c>
      <c r="AX370" s="72">
        <v>0</v>
      </c>
      <c r="AY370" s="72">
        <v>0</v>
      </c>
      <c r="AZ370" s="72">
        <v>0</v>
      </c>
      <c r="BA370" s="72">
        <v>7642483</v>
      </c>
      <c r="BB370" s="72">
        <v>0</v>
      </c>
      <c r="BC370" s="72">
        <v>0</v>
      </c>
      <c r="BD370" s="72">
        <v>0</v>
      </c>
      <c r="BE370" s="72">
        <v>7642483</v>
      </c>
      <c r="BF370" s="72">
        <v>0</v>
      </c>
      <c r="BG370" s="72">
        <v>0</v>
      </c>
      <c r="BH370" s="72">
        <v>0</v>
      </c>
      <c r="BI370" s="72">
        <v>0</v>
      </c>
      <c r="BJ370" s="72">
        <v>7642483</v>
      </c>
      <c r="BK370" s="72">
        <v>0</v>
      </c>
      <c r="BL370" s="72">
        <v>0</v>
      </c>
      <c r="BM370" s="72">
        <v>0</v>
      </c>
      <c r="BN370" s="72">
        <v>0</v>
      </c>
      <c r="BO370" s="72">
        <v>0</v>
      </c>
      <c r="BP370" s="72">
        <v>0</v>
      </c>
      <c r="BQ370" s="72">
        <v>0</v>
      </c>
      <c r="BR370" s="72">
        <v>0</v>
      </c>
      <c r="BS370" s="72">
        <v>11549225</v>
      </c>
    </row>
    <row r="371" spans="1:71" x14ac:dyDescent="0.2">
      <c r="A371" t="s">
        <v>191</v>
      </c>
      <c r="B371" t="s">
        <v>911</v>
      </c>
      <c r="C371" t="s">
        <v>25</v>
      </c>
      <c r="D371" s="72">
        <v>7227411</v>
      </c>
      <c r="E371" s="72">
        <v>0</v>
      </c>
      <c r="F371" s="72">
        <v>0</v>
      </c>
      <c r="G371" s="72">
        <v>9300450</v>
      </c>
      <c r="H371" s="72">
        <v>125000</v>
      </c>
      <c r="I371" s="72">
        <v>0</v>
      </c>
      <c r="J371" s="72">
        <v>600000</v>
      </c>
      <c r="K371" s="72">
        <v>668706</v>
      </c>
      <c r="L371" s="72">
        <v>17921567</v>
      </c>
      <c r="M371" s="72">
        <v>0</v>
      </c>
      <c r="N371" s="72">
        <v>0</v>
      </c>
      <c r="O371" s="72">
        <v>500000</v>
      </c>
      <c r="P371" s="72">
        <v>50530</v>
      </c>
      <c r="Q371" s="72">
        <v>0</v>
      </c>
      <c r="R371" s="72">
        <v>550530</v>
      </c>
      <c r="S371" s="72">
        <v>18472097</v>
      </c>
      <c r="T371" s="72">
        <v>9270640</v>
      </c>
      <c r="U371" s="72">
        <v>4335232</v>
      </c>
      <c r="V371" s="72">
        <v>2903077</v>
      </c>
      <c r="W371" s="72">
        <v>1011039</v>
      </c>
      <c r="X371" s="72">
        <v>214024</v>
      </c>
      <c r="Y371" s="72">
        <v>0</v>
      </c>
      <c r="Z371" s="72">
        <v>0</v>
      </c>
      <c r="AA371" s="72">
        <v>0</v>
      </c>
      <c r="AB371" s="72">
        <v>0</v>
      </c>
      <c r="AC371" s="72">
        <v>0</v>
      </c>
      <c r="AD371" s="72">
        <v>0</v>
      </c>
      <c r="AE371" s="72">
        <v>0</v>
      </c>
      <c r="AF371" s="72">
        <v>19880</v>
      </c>
      <c r="AG371" s="72">
        <v>412603</v>
      </c>
      <c r="AH371" s="72">
        <v>18166495</v>
      </c>
      <c r="AI371" s="72">
        <v>500000</v>
      </c>
      <c r="AJ371" s="72">
        <v>0</v>
      </c>
      <c r="AK371" s="72">
        <v>0</v>
      </c>
      <c r="AL371" s="72">
        <v>500000</v>
      </c>
      <c r="AM371" s="72">
        <v>18666495</v>
      </c>
      <c r="AN371" s="72">
        <v>-194399</v>
      </c>
      <c r="AO371" s="72">
        <v>1074952</v>
      </c>
      <c r="AP371" s="72">
        <v>880553</v>
      </c>
      <c r="AQ371" s="72">
        <v>0</v>
      </c>
      <c r="AR371" s="72">
        <v>0</v>
      </c>
      <c r="AS371" s="72">
        <v>0</v>
      </c>
      <c r="AT371" s="72">
        <v>0</v>
      </c>
      <c r="AU371" s="72">
        <v>0</v>
      </c>
      <c r="AV371" s="72">
        <v>0</v>
      </c>
      <c r="AW371" s="72">
        <v>0</v>
      </c>
      <c r="AX371" s="72">
        <v>0</v>
      </c>
      <c r="AY371" s="72">
        <v>0</v>
      </c>
      <c r="AZ371" s="72">
        <v>0</v>
      </c>
      <c r="BA371" s="72">
        <v>880553</v>
      </c>
      <c r="BB371" s="72">
        <v>0</v>
      </c>
      <c r="BC371" s="72">
        <v>0</v>
      </c>
      <c r="BD371" s="72">
        <v>0</v>
      </c>
      <c r="BE371" s="72">
        <v>880553</v>
      </c>
      <c r="BF371" s="72">
        <v>0</v>
      </c>
      <c r="BG371" s="72">
        <v>0</v>
      </c>
      <c r="BH371" s="72">
        <v>0</v>
      </c>
      <c r="BI371" s="72">
        <v>0</v>
      </c>
      <c r="BJ371" s="72">
        <v>880553</v>
      </c>
      <c r="BK371" s="72">
        <v>160</v>
      </c>
      <c r="BL371" s="72">
        <v>1750</v>
      </c>
      <c r="BM371" s="72">
        <v>0</v>
      </c>
      <c r="BN371" s="72">
        <v>0</v>
      </c>
      <c r="BO371" s="72">
        <v>0</v>
      </c>
      <c r="BP371" s="72">
        <v>0</v>
      </c>
      <c r="BQ371" s="72">
        <v>0</v>
      </c>
      <c r="BR371" s="72">
        <v>0</v>
      </c>
      <c r="BS371" s="72">
        <v>18666495</v>
      </c>
    </row>
    <row r="372" spans="1:71" x14ac:dyDescent="0.2">
      <c r="A372" t="s">
        <v>287</v>
      </c>
      <c r="B372" t="s">
        <v>1002</v>
      </c>
      <c r="C372" t="s">
        <v>25</v>
      </c>
      <c r="D372" s="72">
        <v>7741000</v>
      </c>
      <c r="E372" s="72">
        <v>0</v>
      </c>
      <c r="F372" s="72">
        <v>0</v>
      </c>
      <c r="G372" s="72">
        <v>7600000</v>
      </c>
      <c r="H372" s="72">
        <v>52625</v>
      </c>
      <c r="I372" s="72">
        <v>0</v>
      </c>
      <c r="J372" s="72">
        <v>1197000</v>
      </c>
      <c r="K372" s="72">
        <v>1200000</v>
      </c>
      <c r="L372" s="72">
        <v>17790625</v>
      </c>
      <c r="M372" s="72">
        <v>0</v>
      </c>
      <c r="N372" s="72">
        <v>0</v>
      </c>
      <c r="O372" s="72">
        <v>0</v>
      </c>
      <c r="P372" s="72">
        <v>30000</v>
      </c>
      <c r="Q372" s="72">
        <v>5000</v>
      </c>
      <c r="R372" s="72">
        <v>35000</v>
      </c>
      <c r="S372" s="72">
        <v>17825625</v>
      </c>
      <c r="T372" s="72">
        <v>7425000</v>
      </c>
      <c r="U372" s="72">
        <v>5150000</v>
      </c>
      <c r="V372" s="72">
        <v>3600000</v>
      </c>
      <c r="W372" s="72">
        <v>750000</v>
      </c>
      <c r="X372" s="72">
        <v>250000</v>
      </c>
      <c r="Y372" s="72">
        <v>0</v>
      </c>
      <c r="Z372" s="72">
        <v>0</v>
      </c>
      <c r="AA372" s="72">
        <v>0</v>
      </c>
      <c r="AB372" s="72">
        <v>0</v>
      </c>
      <c r="AC372" s="72">
        <v>0</v>
      </c>
      <c r="AD372" s="72">
        <v>0</v>
      </c>
      <c r="AE372" s="72">
        <v>0</v>
      </c>
      <c r="AF372" s="72">
        <v>0</v>
      </c>
      <c r="AG372" s="72">
        <v>597000</v>
      </c>
      <c r="AH372" s="72">
        <v>17772000</v>
      </c>
      <c r="AI372" s="72">
        <v>60000</v>
      </c>
      <c r="AJ372" s="72">
        <v>30000</v>
      </c>
      <c r="AK372" s="72">
        <v>0</v>
      </c>
      <c r="AL372" s="72">
        <v>90000</v>
      </c>
      <c r="AM372" s="72">
        <v>17862000</v>
      </c>
      <c r="AN372" s="72">
        <v>-36375</v>
      </c>
      <c r="AO372" s="72">
        <v>1511898</v>
      </c>
      <c r="AP372" s="72">
        <v>1475523</v>
      </c>
      <c r="AQ372" s="72">
        <v>0</v>
      </c>
      <c r="AR372" s="72">
        <v>0</v>
      </c>
      <c r="AS372" s="72">
        <v>0</v>
      </c>
      <c r="AT372" s="72">
        <v>0</v>
      </c>
      <c r="AU372" s="72">
        <v>0</v>
      </c>
      <c r="AV372" s="72">
        <v>0</v>
      </c>
      <c r="AW372" s="72">
        <v>0</v>
      </c>
      <c r="AX372" s="72">
        <v>0</v>
      </c>
      <c r="AY372" s="72">
        <v>0</v>
      </c>
      <c r="AZ372" s="72">
        <v>0</v>
      </c>
      <c r="BA372" s="72">
        <v>1475523</v>
      </c>
      <c r="BB372" s="72">
        <v>0</v>
      </c>
      <c r="BC372" s="72">
        <v>0</v>
      </c>
      <c r="BD372" s="72">
        <v>0</v>
      </c>
      <c r="BE372" s="72">
        <v>1475523</v>
      </c>
      <c r="BF372" s="72">
        <v>0</v>
      </c>
      <c r="BG372" s="72">
        <v>981659</v>
      </c>
      <c r="BH372" s="72">
        <v>981659</v>
      </c>
      <c r="BI372" s="72">
        <v>0</v>
      </c>
      <c r="BJ372" s="72">
        <v>2457182</v>
      </c>
      <c r="BK372" s="72">
        <v>125</v>
      </c>
      <c r="BL372" s="72">
        <v>1635</v>
      </c>
      <c r="BM372" s="72">
        <v>0</v>
      </c>
      <c r="BN372" s="72">
        <v>0</v>
      </c>
      <c r="BO372" s="72">
        <v>0</v>
      </c>
      <c r="BP372" s="72">
        <v>0</v>
      </c>
      <c r="BQ372" s="72">
        <v>0</v>
      </c>
      <c r="BR372" s="72">
        <v>0</v>
      </c>
      <c r="BS372" s="72">
        <v>17862000</v>
      </c>
    </row>
    <row r="373" spans="1:71" x14ac:dyDescent="0.2">
      <c r="A373" t="s">
        <v>375</v>
      </c>
      <c r="B373" t="s">
        <v>1086</v>
      </c>
      <c r="C373" t="s">
        <v>25</v>
      </c>
      <c r="D373" s="72">
        <v>6310064</v>
      </c>
      <c r="E373" s="72">
        <v>592925</v>
      </c>
      <c r="F373" s="72">
        <v>0</v>
      </c>
      <c r="G373" s="72">
        <v>8821503</v>
      </c>
      <c r="H373" s="72">
        <v>43070</v>
      </c>
      <c r="I373" s="72">
        <v>0</v>
      </c>
      <c r="J373" s="72">
        <v>1061843</v>
      </c>
      <c r="K373" s="72">
        <v>2043810</v>
      </c>
      <c r="L373" s="72">
        <v>18873215</v>
      </c>
      <c r="M373" s="72">
        <v>0</v>
      </c>
      <c r="N373" s="72">
        <v>0</v>
      </c>
      <c r="O373" s="72">
        <v>0</v>
      </c>
      <c r="P373" s="72">
        <v>0</v>
      </c>
      <c r="Q373" s="72">
        <v>171600</v>
      </c>
      <c r="R373" s="72">
        <v>171600</v>
      </c>
      <c r="S373" s="72">
        <v>19044815</v>
      </c>
      <c r="T373" s="72">
        <v>7997000</v>
      </c>
      <c r="U373" s="72">
        <v>4044265</v>
      </c>
      <c r="V373" s="72">
        <v>5700073</v>
      </c>
      <c r="W373" s="72">
        <v>563045</v>
      </c>
      <c r="X373" s="72">
        <v>60000</v>
      </c>
      <c r="Y373" s="72">
        <v>0</v>
      </c>
      <c r="Z373" s="72">
        <v>0</v>
      </c>
      <c r="AA373" s="72">
        <v>0</v>
      </c>
      <c r="AB373" s="72">
        <v>0</v>
      </c>
      <c r="AC373" s="72">
        <v>0</v>
      </c>
      <c r="AD373" s="72">
        <v>81943</v>
      </c>
      <c r="AE373" s="72">
        <v>0</v>
      </c>
      <c r="AF373" s="72">
        <v>14168</v>
      </c>
      <c r="AG373" s="72">
        <v>349150</v>
      </c>
      <c r="AH373" s="72">
        <v>18809644</v>
      </c>
      <c r="AI373" s="72">
        <v>0</v>
      </c>
      <c r="AJ373" s="72">
        <v>0</v>
      </c>
      <c r="AK373" s="72">
        <v>12370</v>
      </c>
      <c r="AL373" s="72">
        <v>12370</v>
      </c>
      <c r="AM373" s="72">
        <v>18822014</v>
      </c>
      <c r="AN373" s="72">
        <v>222801</v>
      </c>
      <c r="AO373" s="72">
        <v>342473</v>
      </c>
      <c r="AP373" s="72">
        <v>565274</v>
      </c>
      <c r="AQ373" s="72">
        <v>125000</v>
      </c>
      <c r="AR373" s="72">
        <v>0</v>
      </c>
      <c r="AS373" s="72">
        <v>6000</v>
      </c>
      <c r="AT373" s="72">
        <v>0</v>
      </c>
      <c r="AU373" s="72">
        <v>0</v>
      </c>
      <c r="AV373" s="72">
        <v>0</v>
      </c>
      <c r="AW373" s="72">
        <v>195000</v>
      </c>
      <c r="AX373" s="72">
        <v>0</v>
      </c>
      <c r="AY373" s="72">
        <v>0</v>
      </c>
      <c r="AZ373" s="72">
        <v>201000</v>
      </c>
      <c r="BA373" s="72">
        <v>239274</v>
      </c>
      <c r="BB373" s="72">
        <v>0</v>
      </c>
      <c r="BC373" s="72">
        <v>0</v>
      </c>
      <c r="BD373" s="72">
        <v>0</v>
      </c>
      <c r="BE373" s="72">
        <v>239274</v>
      </c>
      <c r="BF373" s="72">
        <v>0</v>
      </c>
      <c r="BG373" s="72">
        <v>0</v>
      </c>
      <c r="BH373" s="72">
        <v>0</v>
      </c>
      <c r="BI373" s="72">
        <v>0</v>
      </c>
      <c r="BJ373" s="72">
        <v>239274</v>
      </c>
      <c r="BK373" s="72">
        <v>180</v>
      </c>
      <c r="BL373" s="72">
        <v>2196</v>
      </c>
      <c r="BM373" s="72">
        <v>0</v>
      </c>
      <c r="BN373" s="72">
        <v>0</v>
      </c>
      <c r="BO373" s="72">
        <v>0</v>
      </c>
      <c r="BP373" s="72">
        <v>0</v>
      </c>
      <c r="BQ373" s="72">
        <v>0</v>
      </c>
      <c r="BR373" s="72">
        <v>0</v>
      </c>
      <c r="BS373" s="72">
        <v>19044815</v>
      </c>
    </row>
    <row r="374" spans="1:71" x14ac:dyDescent="0.2">
      <c r="A374" t="s">
        <v>211</v>
      </c>
      <c r="B374" t="s">
        <v>929</v>
      </c>
      <c r="C374" t="s">
        <v>106</v>
      </c>
      <c r="D374" s="72">
        <v>2490300</v>
      </c>
      <c r="E374" s="72">
        <v>0</v>
      </c>
      <c r="F374" s="72">
        <v>1123000</v>
      </c>
      <c r="G374" s="72">
        <v>5098500</v>
      </c>
      <c r="H374" s="72">
        <v>36000</v>
      </c>
      <c r="I374" s="72">
        <v>0</v>
      </c>
      <c r="J374" s="72">
        <v>340700</v>
      </c>
      <c r="K374" s="72">
        <v>309100</v>
      </c>
      <c r="L374" s="72">
        <v>9397600</v>
      </c>
      <c r="M374" s="72">
        <v>0</v>
      </c>
      <c r="N374" s="72">
        <v>0</v>
      </c>
      <c r="O374" s="72">
        <v>0</v>
      </c>
      <c r="P374" s="72">
        <v>0</v>
      </c>
      <c r="Q374" s="72">
        <v>200</v>
      </c>
      <c r="R374" s="72">
        <v>200</v>
      </c>
      <c r="S374" s="72">
        <v>9397800</v>
      </c>
      <c r="T374" s="72">
        <v>4914200</v>
      </c>
      <c r="U374" s="72">
        <v>2108300</v>
      </c>
      <c r="V374" s="72">
        <v>1339000</v>
      </c>
      <c r="W374" s="72">
        <v>350000</v>
      </c>
      <c r="X374" s="72">
        <v>153000</v>
      </c>
      <c r="Y374" s="72">
        <v>0</v>
      </c>
      <c r="Z374" s="72">
        <v>0</v>
      </c>
      <c r="AA374" s="72">
        <v>0</v>
      </c>
      <c r="AB374" s="72">
        <v>0</v>
      </c>
      <c r="AC374" s="72">
        <v>0</v>
      </c>
      <c r="AD374" s="72">
        <v>0</v>
      </c>
      <c r="AE374" s="72">
        <v>0</v>
      </c>
      <c r="AF374" s="72">
        <v>0</v>
      </c>
      <c r="AG374" s="72">
        <v>625000</v>
      </c>
      <c r="AH374" s="72">
        <v>9489500</v>
      </c>
      <c r="AI374" s="72">
        <v>0</v>
      </c>
      <c r="AJ374" s="72">
        <v>0</v>
      </c>
      <c r="AK374" s="72">
        <v>0</v>
      </c>
      <c r="AL374" s="72">
        <v>0</v>
      </c>
      <c r="AM374" s="72">
        <v>9489500</v>
      </c>
      <c r="AN374" s="72">
        <v>-91700</v>
      </c>
      <c r="AO374" s="72">
        <v>3787956</v>
      </c>
      <c r="AP374" s="72">
        <v>3696256</v>
      </c>
      <c r="AQ374" s="72">
        <v>300000</v>
      </c>
      <c r="AR374" s="72">
        <v>0</v>
      </c>
      <c r="AS374" s="72">
        <v>100000</v>
      </c>
      <c r="AT374" s="72">
        <v>0</v>
      </c>
      <c r="AU374" s="72">
        <v>0</v>
      </c>
      <c r="AV374" s="72">
        <v>0</v>
      </c>
      <c r="AW374" s="72">
        <v>0</v>
      </c>
      <c r="AX374" s="72">
        <v>0</v>
      </c>
      <c r="AY374" s="72">
        <v>0</v>
      </c>
      <c r="AZ374" s="72">
        <v>100000</v>
      </c>
      <c r="BA374" s="72">
        <v>3296256</v>
      </c>
      <c r="BB374" s="72">
        <v>0</v>
      </c>
      <c r="BC374" s="72">
        <v>0</v>
      </c>
      <c r="BD374" s="72">
        <v>0</v>
      </c>
      <c r="BE374" s="72">
        <v>3296256</v>
      </c>
      <c r="BF374" s="72">
        <v>0</v>
      </c>
      <c r="BG374" s="72">
        <v>0</v>
      </c>
      <c r="BH374" s="72">
        <v>0</v>
      </c>
      <c r="BI374" s="72">
        <v>0</v>
      </c>
      <c r="BJ374" s="72">
        <v>3296256</v>
      </c>
      <c r="BK374" s="72">
        <v>90</v>
      </c>
      <c r="BL374" s="72">
        <v>1060</v>
      </c>
      <c r="BM374" s="72">
        <v>0</v>
      </c>
      <c r="BN374" s="72">
        <v>0</v>
      </c>
      <c r="BO374" s="72">
        <v>0</v>
      </c>
      <c r="BP374" s="72">
        <v>0</v>
      </c>
      <c r="BQ374" s="72">
        <v>0</v>
      </c>
      <c r="BR374" s="72">
        <v>0</v>
      </c>
      <c r="BS374" s="72">
        <v>9489500</v>
      </c>
    </row>
    <row r="375" spans="1:71" x14ac:dyDescent="0.2">
      <c r="A375" t="s">
        <v>261</v>
      </c>
      <c r="B375" t="s">
        <v>978</v>
      </c>
      <c r="C375" t="s">
        <v>106</v>
      </c>
      <c r="D375" s="72">
        <v>1069424</v>
      </c>
      <c r="E375" s="72">
        <v>88300</v>
      </c>
      <c r="F375" s="72">
        <v>957400</v>
      </c>
      <c r="G375" s="72">
        <v>3115164</v>
      </c>
      <c r="H375" s="72">
        <v>23510</v>
      </c>
      <c r="I375" s="72">
        <v>0</v>
      </c>
      <c r="J375" s="72">
        <v>166476</v>
      </c>
      <c r="K375" s="72">
        <v>892356</v>
      </c>
      <c r="L375" s="72">
        <v>6312630</v>
      </c>
      <c r="M375" s="72">
        <v>0</v>
      </c>
      <c r="N375" s="72">
        <v>0</v>
      </c>
      <c r="O375" s="72">
        <v>0</v>
      </c>
      <c r="P375" s="72">
        <v>6511</v>
      </c>
      <c r="Q375" s="72">
        <v>0</v>
      </c>
      <c r="R375" s="72">
        <v>6511</v>
      </c>
      <c r="S375" s="72">
        <v>6319141</v>
      </c>
      <c r="T375" s="72">
        <v>3318096</v>
      </c>
      <c r="U375" s="72">
        <v>1182545</v>
      </c>
      <c r="V375" s="72">
        <v>1148426</v>
      </c>
      <c r="W375" s="72">
        <v>242597</v>
      </c>
      <c r="X375" s="72">
        <v>77000</v>
      </c>
      <c r="Y375" s="72">
        <v>0</v>
      </c>
      <c r="Z375" s="72">
        <v>0</v>
      </c>
      <c r="AA375" s="72">
        <v>0</v>
      </c>
      <c r="AB375" s="72">
        <v>0</v>
      </c>
      <c r="AC375" s="72">
        <v>0</v>
      </c>
      <c r="AD375" s="72">
        <v>0</v>
      </c>
      <c r="AE375" s="72">
        <v>0</v>
      </c>
      <c r="AF375" s="72">
        <v>0</v>
      </c>
      <c r="AG375" s="72">
        <v>147504</v>
      </c>
      <c r="AH375" s="72">
        <v>6116168</v>
      </c>
      <c r="AI375" s="72">
        <v>0</v>
      </c>
      <c r="AJ375" s="72">
        <v>0</v>
      </c>
      <c r="AK375" s="72">
        <v>0</v>
      </c>
      <c r="AL375" s="72">
        <v>0</v>
      </c>
      <c r="AM375" s="72">
        <v>6116168</v>
      </c>
      <c r="AN375" s="72">
        <v>202973</v>
      </c>
      <c r="AO375" s="72">
        <v>2752601</v>
      </c>
      <c r="AP375" s="72">
        <v>2955574</v>
      </c>
      <c r="AQ375" s="72">
        <v>0</v>
      </c>
      <c r="AR375" s="72">
        <v>0</v>
      </c>
      <c r="AS375" s="72">
        <v>0</v>
      </c>
      <c r="AT375" s="72">
        <v>0</v>
      </c>
      <c r="AU375" s="72">
        <v>0</v>
      </c>
      <c r="AV375" s="72">
        <v>0</v>
      </c>
      <c r="AW375" s="72">
        <v>0</v>
      </c>
      <c r="AX375" s="72">
        <v>0</v>
      </c>
      <c r="AY375" s="72">
        <v>0</v>
      </c>
      <c r="AZ375" s="72">
        <v>0</v>
      </c>
      <c r="BA375" s="72">
        <v>2955574</v>
      </c>
      <c r="BB375" s="72">
        <v>0</v>
      </c>
      <c r="BC375" s="72">
        <v>0</v>
      </c>
      <c r="BD375" s="72">
        <v>0</v>
      </c>
      <c r="BE375" s="72">
        <v>2955574</v>
      </c>
      <c r="BF375" s="72">
        <v>0</v>
      </c>
      <c r="BG375" s="72">
        <v>0</v>
      </c>
      <c r="BH375" s="72">
        <v>0</v>
      </c>
      <c r="BI375" s="72">
        <v>0</v>
      </c>
      <c r="BJ375" s="72">
        <v>2955574</v>
      </c>
      <c r="BK375" s="72">
        <v>41</v>
      </c>
      <c r="BL375" s="72">
        <v>632</v>
      </c>
      <c r="BM375" s="72">
        <v>0</v>
      </c>
      <c r="BN375" s="72">
        <v>0</v>
      </c>
      <c r="BO375" s="72">
        <v>0</v>
      </c>
      <c r="BP375" s="72">
        <v>0</v>
      </c>
      <c r="BQ375" s="72">
        <v>0</v>
      </c>
      <c r="BR375" s="72">
        <v>0</v>
      </c>
      <c r="BS375" s="72">
        <v>6319141</v>
      </c>
    </row>
    <row r="376" spans="1:71" x14ac:dyDescent="0.2">
      <c r="A376" t="s">
        <v>275</v>
      </c>
      <c r="B376" t="s">
        <v>920</v>
      </c>
      <c r="C376" t="s">
        <v>106</v>
      </c>
      <c r="D376" s="72">
        <v>4068375</v>
      </c>
      <c r="E376" s="72">
        <v>212540</v>
      </c>
      <c r="F376" s="72">
        <v>0</v>
      </c>
      <c r="G376" s="72">
        <v>3960664</v>
      </c>
      <c r="H376" s="72">
        <v>26788</v>
      </c>
      <c r="I376" s="72">
        <v>0</v>
      </c>
      <c r="J376" s="72">
        <v>659389</v>
      </c>
      <c r="K376" s="72">
        <v>756568</v>
      </c>
      <c r="L376" s="72">
        <v>9684325</v>
      </c>
      <c r="M376" s="72">
        <v>0</v>
      </c>
      <c r="N376" s="72">
        <v>0</v>
      </c>
      <c r="O376" s="72">
        <v>0</v>
      </c>
      <c r="P376" s="72">
        <v>15000</v>
      </c>
      <c r="Q376" s="72">
        <v>16500</v>
      </c>
      <c r="R376" s="72">
        <v>31500</v>
      </c>
      <c r="S376" s="72">
        <v>9715825</v>
      </c>
      <c r="T376" s="72">
        <v>4421888</v>
      </c>
      <c r="U376" s="72">
        <v>1929764</v>
      </c>
      <c r="V376" s="72">
        <v>3291124</v>
      </c>
      <c r="W376" s="72">
        <v>381361</v>
      </c>
      <c r="X376" s="72">
        <v>0</v>
      </c>
      <c r="Y376" s="72">
        <v>0</v>
      </c>
      <c r="Z376" s="72">
        <v>0</v>
      </c>
      <c r="AA376" s="72">
        <v>0</v>
      </c>
      <c r="AB376" s="72">
        <v>0</v>
      </c>
      <c r="AC376" s="72">
        <v>0</v>
      </c>
      <c r="AD376" s="72">
        <v>0</v>
      </c>
      <c r="AE376" s="72">
        <v>0</v>
      </c>
      <c r="AF376" s="72">
        <v>0</v>
      </c>
      <c r="AG376" s="72">
        <v>177443</v>
      </c>
      <c r="AH376" s="72">
        <v>10201579</v>
      </c>
      <c r="AI376" s="72">
        <v>0</v>
      </c>
      <c r="AJ376" s="72">
        <v>15000</v>
      </c>
      <c r="AK376" s="72">
        <v>0</v>
      </c>
      <c r="AL376" s="72">
        <v>15000</v>
      </c>
      <c r="AM376" s="72">
        <v>10216579</v>
      </c>
      <c r="AN376" s="72">
        <v>-500754</v>
      </c>
      <c r="AO376" s="72">
        <v>678184</v>
      </c>
      <c r="AP376" s="72">
        <v>177430</v>
      </c>
      <c r="AQ376" s="72">
        <v>95000</v>
      </c>
      <c r="AR376" s="72">
        <v>0</v>
      </c>
      <c r="AS376" s="72">
        <v>0</v>
      </c>
      <c r="AT376" s="72">
        <v>0</v>
      </c>
      <c r="AU376" s="72">
        <v>0</v>
      </c>
      <c r="AW376" s="72">
        <v>0</v>
      </c>
      <c r="AX376" s="72">
        <v>0</v>
      </c>
      <c r="AY376" s="72">
        <v>0</v>
      </c>
      <c r="AZ376" s="72">
        <v>0</v>
      </c>
      <c r="BA376" s="72">
        <v>82430</v>
      </c>
      <c r="BB376" s="72">
        <v>0</v>
      </c>
      <c r="BC376" s="72">
        <v>0</v>
      </c>
      <c r="BD376" s="72">
        <v>0</v>
      </c>
      <c r="BE376" s="72">
        <v>82430</v>
      </c>
      <c r="BF376" s="72">
        <v>0</v>
      </c>
      <c r="BG376" s="72">
        <v>0</v>
      </c>
      <c r="BH376" s="72">
        <v>0</v>
      </c>
      <c r="BI376" s="72">
        <v>0</v>
      </c>
      <c r="BJ376" s="72">
        <v>82430</v>
      </c>
      <c r="BK376" s="72">
        <v>69</v>
      </c>
      <c r="BL376" s="72">
        <v>1229</v>
      </c>
      <c r="BM376" s="72">
        <v>0</v>
      </c>
      <c r="BN376" s="72">
        <v>0</v>
      </c>
      <c r="BO376" s="72">
        <v>0</v>
      </c>
      <c r="BP376" s="72">
        <v>0</v>
      </c>
      <c r="BQ376" s="72">
        <v>0</v>
      </c>
      <c r="BR376" s="72">
        <v>0</v>
      </c>
      <c r="BS376" s="72">
        <v>10216579</v>
      </c>
    </row>
    <row r="377" spans="1:71" x14ac:dyDescent="0.2">
      <c r="A377" t="s">
        <v>324</v>
      </c>
      <c r="B377" t="s">
        <v>1038</v>
      </c>
      <c r="C377" t="s">
        <v>106</v>
      </c>
      <c r="D377" s="72">
        <v>2829212</v>
      </c>
      <c r="E377" s="72">
        <v>233338</v>
      </c>
      <c r="F377" s="72">
        <v>0</v>
      </c>
      <c r="G377" s="72">
        <v>4198745</v>
      </c>
      <c r="H377" s="72">
        <v>23964</v>
      </c>
      <c r="I377" s="72">
        <v>0</v>
      </c>
      <c r="J377" s="72">
        <v>709937</v>
      </c>
      <c r="K377" s="72">
        <v>1166168</v>
      </c>
      <c r="L377" s="72">
        <v>9161364</v>
      </c>
      <c r="M377" s="72">
        <v>0</v>
      </c>
      <c r="N377" s="72">
        <v>0</v>
      </c>
      <c r="O377" s="72">
        <v>0</v>
      </c>
      <c r="P377" s="72">
        <v>0</v>
      </c>
      <c r="Q377" s="72">
        <v>0</v>
      </c>
      <c r="R377" s="72">
        <v>0</v>
      </c>
      <c r="S377" s="72">
        <v>9161364</v>
      </c>
      <c r="T377" s="72">
        <v>4950237</v>
      </c>
      <c r="U377" s="72">
        <v>2173797</v>
      </c>
      <c r="V377" s="72">
        <v>1156498</v>
      </c>
      <c r="W377" s="72">
        <v>274707</v>
      </c>
      <c r="X377" s="72">
        <v>20327</v>
      </c>
      <c r="Y377" s="72">
        <v>0</v>
      </c>
      <c r="Z377" s="72">
        <v>0</v>
      </c>
      <c r="AA377" s="72">
        <v>0</v>
      </c>
      <c r="AB377" s="72">
        <v>0</v>
      </c>
      <c r="AC377" s="72">
        <v>0</v>
      </c>
      <c r="AD377" s="72">
        <v>37900</v>
      </c>
      <c r="AE377" s="72">
        <v>0</v>
      </c>
      <c r="AF377" s="72">
        <v>15332</v>
      </c>
      <c r="AG377" s="72">
        <v>431255</v>
      </c>
      <c r="AH377" s="72">
        <v>9060053</v>
      </c>
      <c r="AI377" s="72">
        <v>0</v>
      </c>
      <c r="AJ377" s="72">
        <v>0</v>
      </c>
      <c r="AK377" s="72">
        <v>0</v>
      </c>
      <c r="AL377" s="72">
        <v>0</v>
      </c>
      <c r="AM377" s="72">
        <v>9060053</v>
      </c>
      <c r="AN377" s="72">
        <v>101311</v>
      </c>
      <c r="AO377" s="72">
        <v>2624341</v>
      </c>
      <c r="AP377" s="72">
        <v>2725652</v>
      </c>
      <c r="AQ377" s="72">
        <v>0</v>
      </c>
      <c r="AR377" s="72">
        <v>0</v>
      </c>
      <c r="AS377" s="72">
        <v>0</v>
      </c>
      <c r="AT377" s="72">
        <v>0</v>
      </c>
      <c r="AU377" s="72">
        <v>0</v>
      </c>
      <c r="AV377" s="72">
        <v>0</v>
      </c>
      <c r="AW377" s="72">
        <v>0</v>
      </c>
      <c r="AX377" s="72">
        <v>0</v>
      </c>
      <c r="AY377" s="72">
        <v>0</v>
      </c>
      <c r="AZ377" s="72">
        <v>0</v>
      </c>
      <c r="BA377" s="72">
        <v>2725652</v>
      </c>
      <c r="BB377" s="72">
        <v>0</v>
      </c>
      <c r="BC377" s="72">
        <v>0</v>
      </c>
      <c r="BD377" s="72">
        <v>0</v>
      </c>
      <c r="BE377" s="72">
        <v>2725652</v>
      </c>
      <c r="BF377" s="72">
        <v>0</v>
      </c>
      <c r="BG377" s="72">
        <v>0</v>
      </c>
      <c r="BH377" s="72">
        <v>0</v>
      </c>
      <c r="BI377" s="72">
        <v>0</v>
      </c>
      <c r="BJ377" s="72">
        <v>2725652</v>
      </c>
      <c r="BM377" s="72">
        <v>0</v>
      </c>
      <c r="BN377" s="72">
        <v>0</v>
      </c>
      <c r="BO377" s="72">
        <v>0</v>
      </c>
      <c r="BP377" s="72">
        <v>0</v>
      </c>
      <c r="BQ377" s="72">
        <v>0</v>
      </c>
      <c r="BR377" s="72">
        <v>0</v>
      </c>
      <c r="BS377" s="72">
        <v>9161364</v>
      </c>
    </row>
    <row r="378" spans="1:71" x14ac:dyDescent="0.2">
      <c r="A378" t="s">
        <v>401</v>
      </c>
      <c r="B378" t="s">
        <v>1112</v>
      </c>
      <c r="C378" t="s">
        <v>65</v>
      </c>
      <c r="F378" s="72">
        <v>0</v>
      </c>
      <c r="G378" s="72">
        <v>950000</v>
      </c>
      <c r="H378" s="72">
        <v>22000</v>
      </c>
      <c r="I378" s="72">
        <v>0</v>
      </c>
      <c r="J378" s="72">
        <v>1522379</v>
      </c>
      <c r="K378" s="72">
        <v>400701</v>
      </c>
      <c r="L378" s="72">
        <v>14059191</v>
      </c>
      <c r="M378" s="72">
        <v>0</v>
      </c>
      <c r="N378" s="72">
        <v>0</v>
      </c>
      <c r="O378" s="72">
        <v>0</v>
      </c>
      <c r="P378" s="72">
        <v>0</v>
      </c>
      <c r="Q378" s="72">
        <v>0</v>
      </c>
      <c r="R378" s="72">
        <v>0</v>
      </c>
      <c r="S378" s="72">
        <v>14059191</v>
      </c>
      <c r="T378" s="72">
        <v>8116700</v>
      </c>
      <c r="U378" s="72">
        <v>2914367</v>
      </c>
      <c r="V378" s="72">
        <v>1619285</v>
      </c>
      <c r="W378" s="72">
        <v>475702</v>
      </c>
      <c r="X378" s="72">
        <v>249193</v>
      </c>
      <c r="Y378" s="72">
        <v>0</v>
      </c>
      <c r="Z378" s="72">
        <v>0</v>
      </c>
      <c r="AA378" s="72">
        <v>0</v>
      </c>
      <c r="AB378" s="72">
        <v>0</v>
      </c>
      <c r="AC378" s="72">
        <v>0</v>
      </c>
      <c r="AD378" s="72">
        <v>0</v>
      </c>
      <c r="AE378" s="72">
        <v>0</v>
      </c>
      <c r="AF378" s="72">
        <v>0</v>
      </c>
      <c r="AG378" s="72">
        <v>369581</v>
      </c>
      <c r="AH378" s="72">
        <v>13744828</v>
      </c>
      <c r="AI378" s="72">
        <v>35000</v>
      </c>
      <c r="AJ378" s="72">
        <v>0</v>
      </c>
      <c r="AK378" s="72">
        <v>0</v>
      </c>
      <c r="AL378" s="72">
        <v>35000</v>
      </c>
      <c r="AM378" s="72">
        <v>13779828</v>
      </c>
      <c r="AN378" s="72">
        <v>279363</v>
      </c>
      <c r="AO378" s="72">
        <v>5726206</v>
      </c>
      <c r="AP378" s="72">
        <v>6005569</v>
      </c>
      <c r="AQ378" s="72">
        <v>0</v>
      </c>
      <c r="AR378" s="72">
        <v>0</v>
      </c>
      <c r="AS378" s="72">
        <v>800000</v>
      </c>
      <c r="AT378" s="72">
        <v>420815</v>
      </c>
      <c r="AU378" s="72">
        <v>0</v>
      </c>
      <c r="AV378" s="72">
        <v>0</v>
      </c>
      <c r="AW378" s="72">
        <v>0</v>
      </c>
      <c r="AX378" s="72">
        <v>0</v>
      </c>
      <c r="AY378" s="72">
        <v>0</v>
      </c>
      <c r="AZ378" s="72">
        <v>1220815</v>
      </c>
      <c r="BA378" s="72">
        <v>4784754</v>
      </c>
      <c r="BB378" s="72">
        <v>0</v>
      </c>
      <c r="BC378" s="72">
        <v>0</v>
      </c>
      <c r="BD378" s="72">
        <v>0</v>
      </c>
      <c r="BE378" s="72">
        <v>4784754</v>
      </c>
      <c r="BF378" s="72">
        <v>0</v>
      </c>
      <c r="BG378" s="72">
        <v>0</v>
      </c>
      <c r="BH378" s="72">
        <v>0</v>
      </c>
      <c r="BI378" s="72">
        <v>0</v>
      </c>
      <c r="BJ378" s="72">
        <v>4784754</v>
      </c>
      <c r="BS378" s="72">
        <v>14059191</v>
      </c>
    </row>
    <row r="379" spans="1:71" x14ac:dyDescent="0.2">
      <c r="A379" t="s">
        <v>445</v>
      </c>
      <c r="B379" t="s">
        <v>1151</v>
      </c>
      <c r="C379" t="s">
        <v>65</v>
      </c>
      <c r="D379" s="72">
        <v>8200000</v>
      </c>
      <c r="E379" s="72">
        <v>0</v>
      </c>
      <c r="F379" s="72">
        <v>0</v>
      </c>
      <c r="G379" s="72">
        <v>13100000</v>
      </c>
      <c r="H379" s="72">
        <v>55000</v>
      </c>
      <c r="I379" s="72">
        <v>0</v>
      </c>
      <c r="J379" s="72">
        <v>1142850</v>
      </c>
      <c r="K379" s="72">
        <v>1922100</v>
      </c>
      <c r="L379" s="72">
        <v>24419950</v>
      </c>
      <c r="M379" s="72">
        <v>0</v>
      </c>
      <c r="N379" s="72">
        <v>0</v>
      </c>
      <c r="O379" s="72">
        <v>0</v>
      </c>
      <c r="P379" s="72">
        <v>19414</v>
      </c>
      <c r="Q379" s="72">
        <v>0</v>
      </c>
      <c r="R379" s="72">
        <v>19414</v>
      </c>
      <c r="S379" s="72">
        <v>24439364</v>
      </c>
      <c r="T379" s="72">
        <v>14572913</v>
      </c>
      <c r="U379" s="72">
        <v>5284150</v>
      </c>
      <c r="V379" s="72">
        <v>3418469</v>
      </c>
      <c r="W379" s="72">
        <v>675529</v>
      </c>
      <c r="X379" s="72">
        <v>15000</v>
      </c>
      <c r="Y379" s="72">
        <v>0</v>
      </c>
      <c r="Z379" s="72">
        <v>0</v>
      </c>
      <c r="AA379" s="72">
        <v>0</v>
      </c>
      <c r="AB379" s="72">
        <v>0</v>
      </c>
      <c r="AC379" s="72">
        <v>0</v>
      </c>
      <c r="AD379" s="72">
        <v>70000</v>
      </c>
      <c r="AE379" s="72">
        <v>0</v>
      </c>
      <c r="AF379" s="72">
        <v>6188</v>
      </c>
      <c r="AG379" s="72">
        <v>146612</v>
      </c>
      <c r="AH379" s="72">
        <v>24188861</v>
      </c>
      <c r="AI379" s="72">
        <v>100000</v>
      </c>
      <c r="AJ379" s="72">
        <v>150000</v>
      </c>
      <c r="AK379" s="72">
        <v>0</v>
      </c>
      <c r="AL379" s="72">
        <v>250000</v>
      </c>
      <c r="AM379" s="72">
        <v>24438861</v>
      </c>
      <c r="AN379" s="72">
        <v>503</v>
      </c>
      <c r="AO379" s="72">
        <v>446325</v>
      </c>
      <c r="AP379" s="72">
        <v>446828</v>
      </c>
      <c r="AQ379" s="72">
        <v>377443</v>
      </c>
      <c r="AR379" s="72">
        <v>0</v>
      </c>
      <c r="AS379" s="72">
        <v>0</v>
      </c>
      <c r="AT379" s="72">
        <v>0</v>
      </c>
      <c r="AU379" s="72">
        <v>0</v>
      </c>
      <c r="AW379" s="72">
        <v>0</v>
      </c>
      <c r="AX379" s="72">
        <v>0</v>
      </c>
      <c r="AY379" s="72">
        <v>0</v>
      </c>
      <c r="AZ379" s="72">
        <v>0</v>
      </c>
      <c r="BA379" s="72">
        <v>69385</v>
      </c>
      <c r="BB379" s="72">
        <v>0</v>
      </c>
      <c r="BC379" s="72">
        <v>0</v>
      </c>
      <c r="BD379" s="72">
        <v>0</v>
      </c>
      <c r="BE379" s="72">
        <v>69385</v>
      </c>
      <c r="BF379" s="72">
        <v>0</v>
      </c>
      <c r="BH379" s="72">
        <v>0</v>
      </c>
      <c r="BI379" s="72">
        <v>0</v>
      </c>
      <c r="BJ379" s="72">
        <v>69385</v>
      </c>
      <c r="BK379" s="72">
        <v>220</v>
      </c>
      <c r="BL379" s="72">
        <v>3071</v>
      </c>
      <c r="BM379" s="72">
        <v>0</v>
      </c>
      <c r="BN379" s="72">
        <v>0</v>
      </c>
      <c r="BO379" s="72">
        <v>0</v>
      </c>
      <c r="BP379" s="72">
        <v>0</v>
      </c>
      <c r="BQ379" s="72">
        <v>0</v>
      </c>
      <c r="BR379" s="72">
        <v>0</v>
      </c>
      <c r="BS379" s="72">
        <v>24439364</v>
      </c>
    </row>
    <row r="380" spans="1:71" x14ac:dyDescent="0.2">
      <c r="A380" t="s">
        <v>610</v>
      </c>
      <c r="B380" t="s">
        <v>1307</v>
      </c>
      <c r="C380" t="s">
        <v>65</v>
      </c>
      <c r="D380" s="72">
        <v>21361858</v>
      </c>
      <c r="E380" s="72">
        <v>1162048</v>
      </c>
      <c r="F380" s="72">
        <v>0</v>
      </c>
      <c r="G380" s="72">
        <v>7199163</v>
      </c>
      <c r="H380" s="72">
        <v>83869</v>
      </c>
      <c r="I380" s="72">
        <v>0</v>
      </c>
      <c r="J380" s="72">
        <v>4934290</v>
      </c>
      <c r="K380" s="72">
        <v>4147407</v>
      </c>
      <c r="L380" s="72">
        <v>38888635</v>
      </c>
      <c r="M380" s="72">
        <v>0</v>
      </c>
      <c r="N380" s="72">
        <v>0</v>
      </c>
      <c r="O380" s="72">
        <v>0</v>
      </c>
      <c r="P380" s="72">
        <v>0</v>
      </c>
      <c r="Q380" s="72">
        <v>12500</v>
      </c>
      <c r="R380" s="72">
        <v>12500</v>
      </c>
      <c r="S380" s="72">
        <v>38901135</v>
      </c>
      <c r="T380" s="72">
        <v>20583143</v>
      </c>
      <c r="U380" s="72">
        <v>7659313</v>
      </c>
      <c r="V380" s="72">
        <v>7959172</v>
      </c>
      <c r="W380" s="72">
        <v>1306820</v>
      </c>
      <c r="X380" s="72">
        <v>0</v>
      </c>
      <c r="Y380" s="72">
        <v>0</v>
      </c>
      <c r="Z380" s="72">
        <v>0</v>
      </c>
      <c r="AA380" s="72">
        <v>0</v>
      </c>
      <c r="AB380" s="72">
        <v>0</v>
      </c>
      <c r="AC380" s="72">
        <v>0</v>
      </c>
      <c r="AD380" s="72">
        <v>0</v>
      </c>
      <c r="AE380" s="72">
        <v>0</v>
      </c>
      <c r="AF380" s="72">
        <v>0</v>
      </c>
      <c r="AG380" s="72">
        <v>545462</v>
      </c>
      <c r="AH380" s="72">
        <v>38053910</v>
      </c>
      <c r="AI380" s="72">
        <v>0</v>
      </c>
      <c r="AJ380" s="72">
        <v>0</v>
      </c>
      <c r="AK380" s="72">
        <v>0</v>
      </c>
      <c r="AL380" s="72">
        <v>0</v>
      </c>
      <c r="AM380" s="72">
        <v>38053910</v>
      </c>
      <c r="AN380" s="72">
        <v>847225</v>
      </c>
      <c r="AO380" s="72">
        <v>2861301</v>
      </c>
      <c r="AP380" s="72">
        <v>3708526</v>
      </c>
      <c r="AQ380" s="72">
        <v>0</v>
      </c>
      <c r="AR380" s="72">
        <v>0</v>
      </c>
      <c r="AS380" s="72">
        <v>0</v>
      </c>
      <c r="AT380" s="72">
        <v>0</v>
      </c>
      <c r="AU380" s="72">
        <v>0</v>
      </c>
      <c r="AV380" s="72">
        <v>0</v>
      </c>
      <c r="AW380" s="72">
        <v>0</v>
      </c>
      <c r="AX380" s="72">
        <v>0</v>
      </c>
      <c r="AY380" s="72">
        <v>0</v>
      </c>
      <c r="AZ380" s="72">
        <v>0</v>
      </c>
      <c r="BA380" s="72">
        <v>3708526</v>
      </c>
      <c r="BB380" s="72">
        <v>0</v>
      </c>
      <c r="BC380" s="72">
        <v>0</v>
      </c>
      <c r="BD380" s="72">
        <v>0</v>
      </c>
      <c r="BE380" s="72">
        <v>3708526</v>
      </c>
      <c r="BF380" s="72">
        <v>0</v>
      </c>
      <c r="BG380" s="72">
        <v>0</v>
      </c>
      <c r="BH380" s="72">
        <v>0</v>
      </c>
      <c r="BI380" s="72">
        <v>0</v>
      </c>
      <c r="BJ380" s="72">
        <v>3708526</v>
      </c>
      <c r="BM380" s="72">
        <v>0</v>
      </c>
      <c r="BN380" s="72">
        <v>0</v>
      </c>
      <c r="BO380" s="72">
        <v>0</v>
      </c>
      <c r="BP380" s="72">
        <v>0</v>
      </c>
      <c r="BQ380" s="72">
        <v>0</v>
      </c>
      <c r="BR380" s="72">
        <v>0</v>
      </c>
      <c r="BS380" s="72">
        <v>38901135</v>
      </c>
    </row>
    <row r="381" spans="1:71" x14ac:dyDescent="0.2">
      <c r="A381" t="s">
        <v>576</v>
      </c>
      <c r="B381" t="s">
        <v>1274</v>
      </c>
      <c r="C381" t="s">
        <v>65</v>
      </c>
      <c r="D381" s="72">
        <v>13260000</v>
      </c>
      <c r="E381" s="72">
        <v>0</v>
      </c>
      <c r="F381" s="72">
        <v>0</v>
      </c>
      <c r="G381" s="72">
        <v>747260</v>
      </c>
      <c r="H381" s="72">
        <v>0</v>
      </c>
      <c r="I381" s="72">
        <v>0</v>
      </c>
      <c r="J381" s="72">
        <v>9683950</v>
      </c>
      <c r="K381" s="72">
        <v>340000</v>
      </c>
      <c r="L381" s="72">
        <v>24031210</v>
      </c>
      <c r="M381" s="72">
        <v>0</v>
      </c>
      <c r="N381" s="72">
        <v>0</v>
      </c>
      <c r="O381" s="72">
        <v>0</v>
      </c>
      <c r="P381" s="72">
        <v>0</v>
      </c>
      <c r="Q381" s="72">
        <v>0</v>
      </c>
      <c r="R381" s="72">
        <v>0</v>
      </c>
      <c r="S381" s="72">
        <v>24031210</v>
      </c>
      <c r="T381" s="72">
        <v>13546367</v>
      </c>
      <c r="U381" s="72">
        <v>4362743</v>
      </c>
      <c r="V381" s="72">
        <v>3099000</v>
      </c>
      <c r="W381" s="72">
        <v>1100448</v>
      </c>
      <c r="X381" s="72">
        <v>141000</v>
      </c>
      <c r="Y381" s="72">
        <v>0</v>
      </c>
      <c r="Z381" s="72">
        <v>0</v>
      </c>
      <c r="AA381" s="72">
        <v>0</v>
      </c>
      <c r="AB381" s="72">
        <v>0</v>
      </c>
      <c r="AC381" s="72">
        <v>0</v>
      </c>
      <c r="AD381" s="72">
        <v>0</v>
      </c>
      <c r="AE381" s="72">
        <v>0</v>
      </c>
      <c r="AF381" s="72">
        <v>0</v>
      </c>
      <c r="AG381" s="72">
        <v>300000</v>
      </c>
      <c r="AH381" s="72">
        <v>22549558</v>
      </c>
      <c r="AI381" s="72">
        <v>1400000</v>
      </c>
      <c r="AJ381" s="72">
        <v>0</v>
      </c>
      <c r="AK381" s="72">
        <v>0</v>
      </c>
      <c r="AL381" s="72">
        <v>1400000</v>
      </c>
      <c r="AM381" s="72">
        <v>23949558</v>
      </c>
      <c r="AN381" s="72">
        <v>81652</v>
      </c>
      <c r="AO381" s="72">
        <v>20804826</v>
      </c>
      <c r="AP381" s="72">
        <v>20886478</v>
      </c>
      <c r="AQ381" s="72">
        <v>375000</v>
      </c>
      <c r="AR381" s="72">
        <v>0</v>
      </c>
      <c r="AS381" s="72">
        <v>0</v>
      </c>
      <c r="AT381" s="72">
        <v>0</v>
      </c>
      <c r="AU381" s="72">
        <v>0</v>
      </c>
      <c r="AV381" s="72">
        <v>0</v>
      </c>
      <c r="AW381" s="72">
        <v>0</v>
      </c>
      <c r="AX381" s="72">
        <v>0</v>
      </c>
      <c r="AY381" s="72">
        <v>0</v>
      </c>
      <c r="AZ381" s="72">
        <v>0</v>
      </c>
      <c r="BA381" s="72">
        <v>20511478</v>
      </c>
      <c r="BB381" s="72">
        <v>0</v>
      </c>
      <c r="BC381" s="72">
        <v>0</v>
      </c>
      <c r="BD381" s="72">
        <v>0</v>
      </c>
      <c r="BE381" s="72">
        <v>20511478</v>
      </c>
      <c r="BF381" s="72">
        <v>0</v>
      </c>
      <c r="BG381" s="72">
        <v>0</v>
      </c>
      <c r="BH381" s="72">
        <v>0</v>
      </c>
      <c r="BI381" s="72">
        <v>0</v>
      </c>
      <c r="BJ381" s="72">
        <v>20511478</v>
      </c>
      <c r="BM381" s="72">
        <v>0</v>
      </c>
      <c r="BN381" s="72">
        <v>0</v>
      </c>
      <c r="BO381" s="72">
        <v>0</v>
      </c>
      <c r="BP381" s="72">
        <v>0</v>
      </c>
      <c r="BQ381" s="72">
        <v>0</v>
      </c>
      <c r="BR381" s="72">
        <v>0</v>
      </c>
      <c r="BS381" s="72">
        <v>24031210</v>
      </c>
    </row>
    <row r="382" spans="1:71" x14ac:dyDescent="0.2">
      <c r="A382" t="s">
        <v>262</v>
      </c>
      <c r="B382" t="s">
        <v>979</v>
      </c>
      <c r="C382" t="s">
        <v>88</v>
      </c>
      <c r="D382" s="72">
        <v>1180000</v>
      </c>
      <c r="E382" s="72">
        <v>125000</v>
      </c>
      <c r="F382" s="72">
        <v>0</v>
      </c>
      <c r="G382" s="72">
        <v>8620480</v>
      </c>
      <c r="H382" s="72">
        <v>67300</v>
      </c>
      <c r="I382" s="72">
        <v>0</v>
      </c>
      <c r="J382" s="72">
        <v>251000</v>
      </c>
      <c r="K382" s="72">
        <v>1229544</v>
      </c>
      <c r="L382" s="72">
        <v>11473324</v>
      </c>
      <c r="M382" s="72">
        <v>0</v>
      </c>
      <c r="N382" s="72">
        <v>0</v>
      </c>
      <c r="O382" s="72">
        <v>255000</v>
      </c>
      <c r="P382" s="72">
        <v>0</v>
      </c>
      <c r="Q382" s="72">
        <v>0</v>
      </c>
      <c r="R382" s="72">
        <v>255000</v>
      </c>
      <c r="S382" s="72">
        <v>11728324</v>
      </c>
      <c r="T382" s="72">
        <v>6294220</v>
      </c>
      <c r="U382" s="72">
        <v>2090912</v>
      </c>
      <c r="V382" s="72">
        <v>1761459</v>
      </c>
      <c r="W382" s="72">
        <v>1210256</v>
      </c>
      <c r="X382" s="72">
        <v>50000</v>
      </c>
      <c r="Y382" s="72">
        <v>0</v>
      </c>
      <c r="Z382" s="72">
        <v>0</v>
      </c>
      <c r="AA382" s="72">
        <v>0</v>
      </c>
      <c r="AB382" s="72">
        <v>0</v>
      </c>
      <c r="AC382" s="72">
        <v>0</v>
      </c>
      <c r="AD382" s="72">
        <v>0</v>
      </c>
      <c r="AE382" s="72">
        <v>0</v>
      </c>
      <c r="AF382" s="72">
        <v>0</v>
      </c>
      <c r="AG382" s="72">
        <v>301835</v>
      </c>
      <c r="AH382" s="72">
        <v>11708682</v>
      </c>
      <c r="AI382" s="72">
        <v>637530</v>
      </c>
      <c r="AJ382" s="72">
        <v>0</v>
      </c>
      <c r="AK382" s="72">
        <v>0</v>
      </c>
      <c r="AL382" s="72">
        <v>637530</v>
      </c>
      <c r="AM382" s="72">
        <v>12346212</v>
      </c>
      <c r="AN382" s="72">
        <v>-617888</v>
      </c>
      <c r="AO382" s="72">
        <v>4191020</v>
      </c>
      <c r="AP382" s="72">
        <v>3573132</v>
      </c>
      <c r="AQ382" s="72">
        <v>0</v>
      </c>
      <c r="AR382" s="72">
        <v>0</v>
      </c>
      <c r="AS382" s="72">
        <v>0</v>
      </c>
      <c r="AT382" s="72">
        <v>0</v>
      </c>
      <c r="AU382" s="72">
        <v>0</v>
      </c>
      <c r="AV382" s="72">
        <v>0</v>
      </c>
      <c r="AW382" s="72">
        <v>0</v>
      </c>
      <c r="AX382" s="72">
        <v>0</v>
      </c>
      <c r="AY382" s="72">
        <v>0</v>
      </c>
      <c r="AZ382" s="72">
        <v>0</v>
      </c>
      <c r="BA382" s="72">
        <v>3573132</v>
      </c>
      <c r="BB382" s="72">
        <v>0</v>
      </c>
      <c r="BC382" s="72">
        <v>0</v>
      </c>
      <c r="BD382" s="72">
        <v>0</v>
      </c>
      <c r="BE382" s="72">
        <v>3573132</v>
      </c>
      <c r="BF382" s="72">
        <v>0</v>
      </c>
      <c r="BG382" s="72">
        <v>0</v>
      </c>
      <c r="BH382" s="72">
        <v>0</v>
      </c>
      <c r="BI382" s="72">
        <v>0</v>
      </c>
      <c r="BJ382" s="72">
        <v>3573132</v>
      </c>
      <c r="BK382" s="72">
        <v>109</v>
      </c>
      <c r="BL382" s="72">
        <v>1096</v>
      </c>
      <c r="BM382" s="72">
        <v>0</v>
      </c>
      <c r="BN382" s="72">
        <v>0</v>
      </c>
      <c r="BO382" s="72">
        <v>0</v>
      </c>
      <c r="BP382" s="72">
        <v>0</v>
      </c>
      <c r="BQ382" s="72">
        <v>0</v>
      </c>
      <c r="BR382" s="72">
        <v>0</v>
      </c>
      <c r="BS382" s="72">
        <v>12346212</v>
      </c>
    </row>
    <row r="383" spans="1:71" x14ac:dyDescent="0.2">
      <c r="A383" t="s">
        <v>302</v>
      </c>
      <c r="B383" t="s">
        <v>1016</v>
      </c>
      <c r="C383" t="s">
        <v>88</v>
      </c>
      <c r="D383" s="72">
        <v>3367883</v>
      </c>
      <c r="E383" s="72">
        <v>0</v>
      </c>
      <c r="F383" s="72">
        <v>0</v>
      </c>
      <c r="G383" s="72">
        <v>8344693</v>
      </c>
      <c r="H383" s="72">
        <v>38000</v>
      </c>
      <c r="I383" s="72">
        <v>0</v>
      </c>
      <c r="J383" s="72">
        <v>588314</v>
      </c>
      <c r="K383" s="72">
        <v>850000</v>
      </c>
      <c r="L383" s="72">
        <v>13188890</v>
      </c>
      <c r="M383" s="72">
        <v>0</v>
      </c>
      <c r="N383" s="72">
        <v>0</v>
      </c>
      <c r="O383" s="72">
        <v>1</v>
      </c>
      <c r="P383" s="72">
        <v>0</v>
      </c>
      <c r="Q383" s="72">
        <v>70000</v>
      </c>
      <c r="R383" s="72">
        <v>70001</v>
      </c>
      <c r="S383" s="72">
        <v>13258891</v>
      </c>
      <c r="T383" s="72">
        <v>7642000</v>
      </c>
      <c r="U383" s="72">
        <v>2875000</v>
      </c>
      <c r="V383" s="72">
        <v>2050000</v>
      </c>
      <c r="W383" s="72">
        <v>650000</v>
      </c>
      <c r="X383" s="72">
        <v>125000</v>
      </c>
      <c r="Y383" s="72">
        <v>0</v>
      </c>
      <c r="Z383" s="72">
        <v>0</v>
      </c>
      <c r="AA383" s="72">
        <v>0</v>
      </c>
      <c r="AB383" s="72">
        <v>0</v>
      </c>
      <c r="AC383" s="72">
        <v>0</v>
      </c>
      <c r="AD383" s="72">
        <v>0</v>
      </c>
      <c r="AE383" s="72">
        <v>189000</v>
      </c>
      <c r="AF383" s="72">
        <v>18900</v>
      </c>
      <c r="AG383" s="72">
        <v>275000</v>
      </c>
      <c r="AH383" s="72">
        <v>13824900</v>
      </c>
      <c r="AI383" s="72">
        <v>300000</v>
      </c>
      <c r="AJ383" s="72">
        <v>0</v>
      </c>
      <c r="AK383" s="72">
        <v>0</v>
      </c>
      <c r="AL383" s="72">
        <v>300000</v>
      </c>
      <c r="AM383" s="72">
        <v>14124900</v>
      </c>
      <c r="AN383" s="72">
        <v>-866009</v>
      </c>
      <c r="AO383" s="72">
        <v>4179996</v>
      </c>
      <c r="AP383" s="72">
        <v>3313987</v>
      </c>
      <c r="AQ383" s="72">
        <v>120000</v>
      </c>
      <c r="AR383" s="72">
        <v>0</v>
      </c>
      <c r="AS383" s="72">
        <v>0</v>
      </c>
      <c r="AT383" s="72">
        <v>102319</v>
      </c>
      <c r="AU383" s="72">
        <v>0</v>
      </c>
      <c r="AV383" s="72">
        <v>0</v>
      </c>
      <c r="AW383" s="72">
        <v>0</v>
      </c>
      <c r="AX383" s="72">
        <v>0</v>
      </c>
      <c r="AY383" s="72">
        <v>0</v>
      </c>
      <c r="AZ383" s="72">
        <v>102319</v>
      </c>
      <c r="BA383" s="72">
        <v>3091668</v>
      </c>
      <c r="BB383" s="72">
        <v>0</v>
      </c>
      <c r="BC383" s="72">
        <v>0</v>
      </c>
      <c r="BD383" s="72">
        <v>0</v>
      </c>
      <c r="BE383" s="72">
        <v>3091668</v>
      </c>
      <c r="BF383" s="72">
        <v>0</v>
      </c>
      <c r="BG383" s="72">
        <v>0</v>
      </c>
      <c r="BH383" s="72">
        <v>0</v>
      </c>
      <c r="BI383" s="72">
        <v>0</v>
      </c>
      <c r="BJ383" s="72">
        <v>3091668</v>
      </c>
      <c r="BK383" s="72">
        <v>0</v>
      </c>
      <c r="BL383" s="72">
        <v>0</v>
      </c>
      <c r="BM383" s="72">
        <v>0</v>
      </c>
      <c r="BN383" s="72">
        <v>0</v>
      </c>
      <c r="BO383" s="72">
        <v>0</v>
      </c>
      <c r="BP383" s="72">
        <v>0</v>
      </c>
      <c r="BQ383" s="72">
        <v>0</v>
      </c>
      <c r="BR383" s="72">
        <v>0</v>
      </c>
      <c r="BS383" s="72">
        <v>14124900</v>
      </c>
    </row>
    <row r="384" spans="1:71" x14ac:dyDescent="0.2">
      <c r="A384" t="s">
        <v>612</v>
      </c>
      <c r="B384" t="s">
        <v>1308</v>
      </c>
      <c r="C384" t="s">
        <v>88</v>
      </c>
      <c r="D384" s="72">
        <v>1498488</v>
      </c>
      <c r="E384" s="72">
        <v>765831</v>
      </c>
      <c r="F384" s="72">
        <v>0</v>
      </c>
      <c r="G384" s="72">
        <v>13134755</v>
      </c>
      <c r="H384" s="72">
        <v>69854</v>
      </c>
      <c r="I384" s="72">
        <v>0</v>
      </c>
      <c r="J384" s="72">
        <v>322052</v>
      </c>
      <c r="K384" s="72">
        <v>1873743</v>
      </c>
      <c r="L384" s="72">
        <v>17664723</v>
      </c>
      <c r="M384" s="72">
        <v>0</v>
      </c>
      <c r="N384" s="72">
        <v>0</v>
      </c>
      <c r="O384" s="72">
        <v>0</v>
      </c>
      <c r="P384" s="72">
        <v>0</v>
      </c>
      <c r="Q384" s="72">
        <v>0</v>
      </c>
      <c r="R384" s="72">
        <v>0</v>
      </c>
      <c r="S384" s="72">
        <v>17664723</v>
      </c>
      <c r="T384" s="72">
        <v>8824129</v>
      </c>
      <c r="U384" s="72">
        <v>3414748</v>
      </c>
      <c r="V384" s="72">
        <v>2689194</v>
      </c>
      <c r="W384" s="72">
        <v>687870</v>
      </c>
      <c r="X384" s="72">
        <v>0</v>
      </c>
      <c r="Y384" s="72">
        <v>0</v>
      </c>
      <c r="Z384" s="72">
        <v>0</v>
      </c>
      <c r="AA384" s="72">
        <v>0</v>
      </c>
      <c r="AB384" s="72">
        <v>0</v>
      </c>
      <c r="AC384" s="72">
        <v>0</v>
      </c>
      <c r="AD384" s="72">
        <v>304000</v>
      </c>
      <c r="AE384" s="72">
        <v>0</v>
      </c>
      <c r="AF384" s="72">
        <v>35000</v>
      </c>
      <c r="AG384" s="72">
        <v>398759</v>
      </c>
      <c r="AH384" s="72">
        <v>16353700</v>
      </c>
      <c r="AI384" s="72">
        <v>823500</v>
      </c>
      <c r="AJ384" s="72">
        <v>0</v>
      </c>
      <c r="AK384" s="72">
        <v>0</v>
      </c>
      <c r="AL384" s="72">
        <v>823500</v>
      </c>
      <c r="AM384" s="72">
        <v>17177200</v>
      </c>
      <c r="AN384" s="72">
        <v>487523</v>
      </c>
      <c r="AO384" s="72">
        <v>3610301</v>
      </c>
      <c r="AP384" s="72">
        <v>4097824</v>
      </c>
      <c r="AQ384" s="72">
        <v>500000</v>
      </c>
      <c r="AR384" s="72">
        <v>0</v>
      </c>
      <c r="AS384" s="72">
        <v>0</v>
      </c>
      <c r="AT384" s="72">
        <v>0</v>
      </c>
      <c r="AU384" s="72">
        <v>0</v>
      </c>
      <c r="AV384" s="72">
        <v>0</v>
      </c>
      <c r="AW384" s="72">
        <v>0</v>
      </c>
      <c r="AX384" s="72">
        <v>0</v>
      </c>
      <c r="AY384" s="72">
        <v>0</v>
      </c>
      <c r="AZ384" s="72">
        <v>0</v>
      </c>
      <c r="BA384" s="72">
        <v>3597824</v>
      </c>
      <c r="BB384" s="72">
        <v>0</v>
      </c>
      <c r="BC384" s="72">
        <v>0</v>
      </c>
      <c r="BD384" s="72">
        <v>0</v>
      </c>
      <c r="BE384" s="72">
        <v>3597824</v>
      </c>
      <c r="BF384" s="72">
        <v>0</v>
      </c>
      <c r="BG384" s="72">
        <v>0</v>
      </c>
      <c r="BH384" s="72">
        <v>0</v>
      </c>
      <c r="BI384" s="72">
        <v>0</v>
      </c>
      <c r="BJ384" s="72">
        <v>3597824</v>
      </c>
      <c r="BK384" s="72">
        <v>0</v>
      </c>
      <c r="BL384" s="72">
        <v>0</v>
      </c>
      <c r="BM384" s="72">
        <v>0</v>
      </c>
      <c r="BN384" s="72">
        <v>0</v>
      </c>
      <c r="BO384" s="72">
        <v>0</v>
      </c>
      <c r="BP384" s="72">
        <v>0</v>
      </c>
      <c r="BQ384" s="72">
        <v>0</v>
      </c>
      <c r="BR384" s="72">
        <v>0</v>
      </c>
      <c r="BS384" s="72">
        <v>17664723</v>
      </c>
    </row>
    <row r="385" spans="1:71" x14ac:dyDescent="0.2">
      <c r="A385" t="s">
        <v>635</v>
      </c>
      <c r="B385" t="s">
        <v>1331</v>
      </c>
      <c r="C385" t="s">
        <v>88</v>
      </c>
      <c r="D385" s="72">
        <v>3188742</v>
      </c>
      <c r="E385" s="72">
        <v>0</v>
      </c>
      <c r="F385" s="72">
        <v>0</v>
      </c>
      <c r="G385" s="72">
        <v>12065000</v>
      </c>
      <c r="H385" s="72">
        <v>79800</v>
      </c>
      <c r="I385" s="72">
        <v>0</v>
      </c>
      <c r="J385" s="72">
        <v>526947</v>
      </c>
      <c r="K385" s="72">
        <v>353327</v>
      </c>
      <c r="L385" s="72">
        <v>16213816</v>
      </c>
      <c r="M385" s="72">
        <v>0</v>
      </c>
      <c r="N385" s="72">
        <v>0</v>
      </c>
      <c r="O385" s="72">
        <v>0</v>
      </c>
      <c r="P385" s="72">
        <v>2350</v>
      </c>
      <c r="Q385" s="72">
        <v>0</v>
      </c>
      <c r="R385" s="72">
        <v>2350</v>
      </c>
      <c r="S385" s="72">
        <v>16216166</v>
      </c>
      <c r="T385" s="72">
        <v>7915965</v>
      </c>
      <c r="U385" s="72">
        <v>2853062</v>
      </c>
      <c r="V385" s="72">
        <v>3196772</v>
      </c>
      <c r="W385" s="72">
        <v>961903</v>
      </c>
      <c r="X385" s="72">
        <v>246121</v>
      </c>
      <c r="Y385" s="72">
        <v>0</v>
      </c>
      <c r="Z385" s="72">
        <v>0</v>
      </c>
      <c r="AA385" s="72">
        <v>0</v>
      </c>
      <c r="AB385" s="72">
        <v>0</v>
      </c>
      <c r="AC385" s="72">
        <v>0</v>
      </c>
      <c r="AD385" s="72">
        <v>0</v>
      </c>
      <c r="AE385" s="72">
        <v>0</v>
      </c>
      <c r="AF385" s="72">
        <v>0</v>
      </c>
      <c r="AG385" s="72">
        <v>689427</v>
      </c>
      <c r="AH385" s="72">
        <v>15863250</v>
      </c>
      <c r="AI385" s="72">
        <v>189500</v>
      </c>
      <c r="AJ385" s="72">
        <v>2832</v>
      </c>
      <c r="AK385" s="72">
        <v>0</v>
      </c>
      <c r="AL385" s="72">
        <v>192332</v>
      </c>
      <c r="AM385" s="72">
        <v>16055582</v>
      </c>
      <c r="AN385" s="72">
        <v>160584</v>
      </c>
      <c r="AO385" s="72">
        <v>7410128</v>
      </c>
      <c r="AP385" s="72">
        <v>7570712</v>
      </c>
      <c r="AQ385" s="72">
        <v>0</v>
      </c>
      <c r="AR385" s="72">
        <v>0</v>
      </c>
      <c r="AS385" s="72">
        <v>0</v>
      </c>
      <c r="AT385" s="72">
        <v>67581</v>
      </c>
      <c r="AU385" s="72">
        <v>0</v>
      </c>
      <c r="AV385" s="72">
        <v>0</v>
      </c>
      <c r="AW385" s="72">
        <v>355500</v>
      </c>
      <c r="AX385" s="72">
        <v>0</v>
      </c>
      <c r="AY385" s="72">
        <v>0</v>
      </c>
      <c r="AZ385" s="72">
        <v>423081</v>
      </c>
      <c r="BA385" s="72">
        <v>7147631</v>
      </c>
      <c r="BB385" s="72">
        <v>0</v>
      </c>
      <c r="BC385" s="72">
        <v>0</v>
      </c>
      <c r="BD385" s="72">
        <v>0</v>
      </c>
      <c r="BE385" s="72">
        <v>7147631</v>
      </c>
      <c r="BF385" s="72">
        <v>0</v>
      </c>
      <c r="BG385" s="72">
        <v>0</v>
      </c>
      <c r="BH385" s="72">
        <v>0</v>
      </c>
      <c r="BI385" s="72">
        <v>0</v>
      </c>
      <c r="BJ385" s="72">
        <v>7147631</v>
      </c>
      <c r="BK385" s="72">
        <v>175</v>
      </c>
      <c r="BL385" s="72">
        <v>1730</v>
      </c>
      <c r="BM385" s="72">
        <v>0</v>
      </c>
      <c r="BN385" s="72">
        <v>0</v>
      </c>
      <c r="BO385" s="72">
        <v>0</v>
      </c>
      <c r="BP385" s="72">
        <v>0</v>
      </c>
      <c r="BQ385" s="72">
        <v>0</v>
      </c>
      <c r="BR385" s="72">
        <v>0</v>
      </c>
      <c r="BS385" s="72">
        <v>16216166</v>
      </c>
    </row>
    <row r="386" spans="1:71" x14ac:dyDescent="0.2">
      <c r="A386" t="s">
        <v>672</v>
      </c>
      <c r="B386" t="s">
        <v>1362</v>
      </c>
      <c r="C386" t="s">
        <v>88</v>
      </c>
      <c r="D386" s="72">
        <v>1045000</v>
      </c>
      <c r="E386" s="72">
        <v>0</v>
      </c>
      <c r="F386" s="72">
        <v>0</v>
      </c>
      <c r="G386" s="72">
        <v>5724000</v>
      </c>
      <c r="H386" s="72">
        <v>47000</v>
      </c>
      <c r="I386" s="72">
        <v>0</v>
      </c>
      <c r="J386" s="72">
        <v>172000</v>
      </c>
      <c r="K386" s="72">
        <v>902000</v>
      </c>
      <c r="L386" s="72">
        <v>7890000</v>
      </c>
      <c r="M386" s="72">
        <v>0</v>
      </c>
      <c r="N386" s="72">
        <v>0</v>
      </c>
      <c r="O386" s="72">
        <v>0</v>
      </c>
      <c r="P386" s="72">
        <v>0</v>
      </c>
      <c r="Q386" s="72">
        <v>0</v>
      </c>
      <c r="R386" s="72">
        <v>0</v>
      </c>
      <c r="S386" s="72">
        <v>7890000</v>
      </c>
      <c r="T386" s="72">
        <v>4180000</v>
      </c>
      <c r="U386" s="72">
        <v>1850000</v>
      </c>
      <c r="V386" s="72">
        <v>1060000</v>
      </c>
      <c r="W386" s="72">
        <v>605000</v>
      </c>
      <c r="X386" s="72">
        <v>5000</v>
      </c>
      <c r="Y386" s="72">
        <v>0</v>
      </c>
      <c r="Z386" s="72">
        <v>0</v>
      </c>
      <c r="AA386" s="72">
        <v>0</v>
      </c>
      <c r="AB386" s="72">
        <v>0</v>
      </c>
      <c r="AC386" s="72">
        <v>0</v>
      </c>
      <c r="AD386" s="72">
        <v>0</v>
      </c>
      <c r="AE386" s="72">
        <v>0</v>
      </c>
      <c r="AF386" s="72">
        <v>0</v>
      </c>
      <c r="AG386" s="72">
        <v>191000</v>
      </c>
      <c r="AH386" s="72">
        <v>7891000</v>
      </c>
      <c r="AI386" s="72">
        <v>10000</v>
      </c>
      <c r="AJ386" s="72">
        <v>0</v>
      </c>
      <c r="AK386" s="72">
        <v>0</v>
      </c>
      <c r="AL386" s="72">
        <v>10000</v>
      </c>
      <c r="AM386" s="72">
        <v>7901000</v>
      </c>
      <c r="AN386" s="72">
        <v>-11000</v>
      </c>
      <c r="AO386" s="72">
        <v>3403321</v>
      </c>
      <c r="AP386" s="72">
        <v>3392321</v>
      </c>
      <c r="AQ386" s="72">
        <v>0</v>
      </c>
      <c r="AR386" s="72">
        <v>0</v>
      </c>
      <c r="AS386" s="72">
        <v>0</v>
      </c>
      <c r="AT386" s="72">
        <v>0</v>
      </c>
      <c r="AU386" s="72">
        <v>0</v>
      </c>
      <c r="AV386" s="72">
        <v>0</v>
      </c>
      <c r="AW386" s="72">
        <v>0</v>
      </c>
      <c r="AX386" s="72">
        <v>0</v>
      </c>
      <c r="AY386" s="72">
        <v>0</v>
      </c>
      <c r="AZ386" s="72">
        <v>0</v>
      </c>
      <c r="BA386" s="72">
        <v>3392321</v>
      </c>
      <c r="BB386" s="72">
        <v>0</v>
      </c>
      <c r="BC386" s="72">
        <v>0</v>
      </c>
      <c r="BD386" s="72">
        <v>0</v>
      </c>
      <c r="BE386" s="72">
        <v>3392321</v>
      </c>
      <c r="BF386" s="72">
        <v>0</v>
      </c>
      <c r="BG386" s="72">
        <v>0</v>
      </c>
      <c r="BH386" s="72">
        <v>0</v>
      </c>
      <c r="BI386" s="72">
        <v>0</v>
      </c>
      <c r="BJ386" s="72">
        <v>3392321</v>
      </c>
      <c r="BK386" s="72">
        <v>0</v>
      </c>
      <c r="BL386" s="72">
        <v>0</v>
      </c>
      <c r="BM386" s="72">
        <v>0</v>
      </c>
      <c r="BN386" s="72">
        <v>0</v>
      </c>
      <c r="BO386" s="72">
        <v>0</v>
      </c>
      <c r="BP386" s="72">
        <v>0</v>
      </c>
      <c r="BQ386" s="72">
        <v>0</v>
      </c>
      <c r="BR386" s="72">
        <v>0</v>
      </c>
      <c r="BS386" s="72">
        <v>7901000</v>
      </c>
    </row>
    <row r="387" spans="1:71" x14ac:dyDescent="0.2">
      <c r="A387" t="s">
        <v>390</v>
      </c>
      <c r="B387" t="s">
        <v>1101</v>
      </c>
      <c r="C387" t="s">
        <v>24</v>
      </c>
      <c r="D387" s="72">
        <v>6149470</v>
      </c>
      <c r="E387" s="72">
        <v>393772</v>
      </c>
      <c r="F387" s="72">
        <v>2340355</v>
      </c>
      <c r="G387" s="72">
        <v>4595175</v>
      </c>
      <c r="H387" s="72">
        <v>23788</v>
      </c>
      <c r="I387" s="72">
        <v>0</v>
      </c>
      <c r="J387" s="72">
        <v>842843</v>
      </c>
      <c r="K387" s="72">
        <v>579948</v>
      </c>
      <c r="L387" s="72">
        <v>14925351</v>
      </c>
      <c r="M387" s="72">
        <v>0</v>
      </c>
      <c r="N387" s="72">
        <v>0</v>
      </c>
      <c r="O387" s="72">
        <v>111364</v>
      </c>
      <c r="P387" s="72">
        <v>0</v>
      </c>
      <c r="Q387" s="72">
        <v>0</v>
      </c>
      <c r="R387" s="72">
        <v>111364</v>
      </c>
      <c r="S387" s="72">
        <v>15036715</v>
      </c>
      <c r="T387" s="72">
        <v>6585068</v>
      </c>
      <c r="U387" s="72">
        <v>2920944</v>
      </c>
      <c r="V387" s="72">
        <v>3604647</v>
      </c>
      <c r="W387" s="72">
        <v>382502</v>
      </c>
      <c r="X387" s="72">
        <v>84422</v>
      </c>
      <c r="Y387" s="72">
        <v>0</v>
      </c>
      <c r="Z387" s="72">
        <v>0</v>
      </c>
      <c r="AA387" s="72">
        <v>0</v>
      </c>
      <c r="AB387" s="72">
        <v>0</v>
      </c>
      <c r="AC387" s="72">
        <v>0</v>
      </c>
      <c r="AD387" s="72">
        <v>76131</v>
      </c>
      <c r="AE387" s="72">
        <v>0</v>
      </c>
      <c r="AF387" s="72">
        <v>5055</v>
      </c>
      <c r="AG387" s="72">
        <v>216743</v>
      </c>
      <c r="AH387" s="72">
        <v>13875512</v>
      </c>
      <c r="AI387" s="72">
        <v>111364</v>
      </c>
      <c r="AJ387" s="72">
        <v>0</v>
      </c>
      <c r="AK387" s="72">
        <v>31094</v>
      </c>
      <c r="AL387" s="72">
        <v>142458</v>
      </c>
      <c r="AM387" s="72">
        <v>14017970</v>
      </c>
      <c r="AN387" s="72">
        <v>1018745</v>
      </c>
      <c r="AO387" s="72">
        <v>13265513</v>
      </c>
      <c r="AP387" s="72">
        <v>14284258</v>
      </c>
      <c r="AQ387" s="72">
        <v>125000</v>
      </c>
      <c r="AR387" s="72">
        <v>0</v>
      </c>
      <c r="AS387" s="72">
        <v>0</v>
      </c>
      <c r="AT387" s="72">
        <v>757660</v>
      </c>
      <c r="AU387" s="72">
        <v>0</v>
      </c>
      <c r="AV387" s="72">
        <v>0</v>
      </c>
      <c r="AW387" s="72">
        <v>0</v>
      </c>
      <c r="AX387" s="72">
        <v>0</v>
      </c>
      <c r="AY387" s="72">
        <v>0</v>
      </c>
      <c r="AZ387" s="72">
        <v>757660</v>
      </c>
      <c r="BA387" s="72">
        <v>13401598</v>
      </c>
      <c r="BB387" s="72">
        <v>0</v>
      </c>
      <c r="BC387" s="72">
        <v>0</v>
      </c>
      <c r="BD387" s="72">
        <v>0</v>
      </c>
      <c r="BE387" s="72">
        <v>13401598</v>
      </c>
      <c r="BF387" s="72">
        <v>0</v>
      </c>
      <c r="BG387" s="72">
        <v>0</v>
      </c>
      <c r="BH387" s="72">
        <v>0</v>
      </c>
      <c r="BI387" s="72">
        <v>0</v>
      </c>
      <c r="BJ387" s="72">
        <v>13401598</v>
      </c>
      <c r="BM387" s="72">
        <v>0</v>
      </c>
      <c r="BN387" s="72">
        <v>0</v>
      </c>
      <c r="BO387" s="72">
        <v>0</v>
      </c>
      <c r="BP387" s="72">
        <v>0</v>
      </c>
      <c r="BQ387" s="72">
        <v>0</v>
      </c>
      <c r="BR387" s="72">
        <v>0</v>
      </c>
      <c r="BS387" s="72">
        <v>15036715</v>
      </c>
    </row>
    <row r="388" spans="1:71" x14ac:dyDescent="0.2">
      <c r="A388" t="s">
        <v>408</v>
      </c>
      <c r="B388" t="s">
        <v>1117</v>
      </c>
      <c r="C388" t="s">
        <v>24</v>
      </c>
      <c r="D388" s="72">
        <v>11474314</v>
      </c>
      <c r="E388" s="72">
        <v>897428</v>
      </c>
      <c r="F388" s="72">
        <v>0</v>
      </c>
      <c r="G388" s="72">
        <v>4790684</v>
      </c>
      <c r="H388" s="72">
        <v>30247</v>
      </c>
      <c r="I388" s="72">
        <v>0</v>
      </c>
      <c r="J388" s="72">
        <v>3574067</v>
      </c>
      <c r="K388" s="72">
        <v>1133960</v>
      </c>
      <c r="L388" s="72">
        <v>21900700</v>
      </c>
      <c r="M388" s="72">
        <v>0</v>
      </c>
      <c r="N388" s="72">
        <v>0</v>
      </c>
      <c r="O388" s="72">
        <v>14531</v>
      </c>
      <c r="P388" s="72">
        <v>0</v>
      </c>
      <c r="Q388" s="72">
        <v>59620</v>
      </c>
      <c r="R388" s="72">
        <v>74151</v>
      </c>
      <c r="S388" s="72">
        <v>21974851</v>
      </c>
      <c r="T388" s="72">
        <v>11385027</v>
      </c>
      <c r="U388" s="72">
        <v>4063140</v>
      </c>
      <c r="V388" s="72">
        <v>2810325</v>
      </c>
      <c r="W388" s="72">
        <v>578632</v>
      </c>
      <c r="X388" s="72">
        <v>460000</v>
      </c>
      <c r="Y388" s="72">
        <v>0</v>
      </c>
      <c r="Z388" s="72">
        <v>0</v>
      </c>
      <c r="AA388" s="72">
        <v>0</v>
      </c>
      <c r="AB388" s="72">
        <v>0</v>
      </c>
      <c r="AC388" s="72">
        <v>0</v>
      </c>
      <c r="AD388" s="72">
        <v>179520</v>
      </c>
      <c r="AE388" s="72">
        <v>0</v>
      </c>
      <c r="AF388" s="72">
        <v>46635</v>
      </c>
      <c r="AG388" s="72">
        <v>606074</v>
      </c>
      <c r="AH388" s="72">
        <v>20129353</v>
      </c>
      <c r="AI388" s="72">
        <v>14531</v>
      </c>
      <c r="AJ388" s="72">
        <v>0</v>
      </c>
      <c r="AK388" s="72">
        <v>0</v>
      </c>
      <c r="AL388" s="72">
        <v>14531</v>
      </c>
      <c r="AM388" s="72">
        <v>20143884</v>
      </c>
      <c r="AN388" s="72">
        <v>1830967</v>
      </c>
      <c r="AO388" s="72">
        <v>8807617</v>
      </c>
      <c r="AP388" s="72">
        <v>10638584</v>
      </c>
      <c r="AQ388" s="72">
        <v>150000</v>
      </c>
      <c r="AR388" s="72">
        <v>0</v>
      </c>
      <c r="AS388" s="72">
        <v>204164</v>
      </c>
      <c r="AT388" s="72">
        <v>0</v>
      </c>
      <c r="AU388" s="72">
        <v>0</v>
      </c>
      <c r="AV388" s="72">
        <v>0</v>
      </c>
      <c r="AW388" s="72">
        <v>110000</v>
      </c>
      <c r="AX388" s="72">
        <v>0</v>
      </c>
      <c r="AY388" s="72">
        <v>0</v>
      </c>
      <c r="AZ388" s="72">
        <v>314164</v>
      </c>
      <c r="BA388" s="72">
        <v>10174420</v>
      </c>
      <c r="BB388" s="72">
        <v>0</v>
      </c>
      <c r="BC388" s="72">
        <v>0</v>
      </c>
      <c r="BD388" s="72">
        <v>0</v>
      </c>
      <c r="BE388" s="72">
        <v>10174420</v>
      </c>
      <c r="BF388" s="72">
        <v>0</v>
      </c>
      <c r="BG388" s="72">
        <v>0</v>
      </c>
      <c r="BH388" s="72">
        <v>0</v>
      </c>
      <c r="BI388" s="72">
        <v>0</v>
      </c>
      <c r="BJ388" s="72">
        <v>10174420</v>
      </c>
      <c r="BM388" s="72">
        <v>0</v>
      </c>
      <c r="BN388" s="72">
        <v>0</v>
      </c>
      <c r="BO388" s="72">
        <v>0</v>
      </c>
      <c r="BP388" s="72">
        <v>0</v>
      </c>
      <c r="BQ388" s="72">
        <v>0</v>
      </c>
      <c r="BR388" s="72">
        <v>0</v>
      </c>
      <c r="BS388" s="72">
        <v>21974851</v>
      </c>
    </row>
    <row r="389" spans="1:71" x14ac:dyDescent="0.2">
      <c r="A389" t="s">
        <v>422</v>
      </c>
      <c r="B389" t="s">
        <v>1130</v>
      </c>
      <c r="C389" t="s">
        <v>24</v>
      </c>
      <c r="D389" s="72">
        <v>16652876</v>
      </c>
      <c r="E389" s="72">
        <v>430149</v>
      </c>
      <c r="F389" s="72">
        <v>0</v>
      </c>
      <c r="G389" s="72">
        <v>8934271</v>
      </c>
      <c r="H389" s="72">
        <v>88135</v>
      </c>
      <c r="J389" s="72">
        <v>2221493</v>
      </c>
      <c r="K389" s="72">
        <v>3712259</v>
      </c>
      <c r="L389" s="72">
        <v>32039184</v>
      </c>
      <c r="M389" s="72">
        <v>0</v>
      </c>
      <c r="N389" s="72">
        <v>0</v>
      </c>
      <c r="O389" s="72">
        <v>105100</v>
      </c>
      <c r="P389" s="72">
        <v>337411</v>
      </c>
      <c r="Q389" s="72">
        <v>184631</v>
      </c>
      <c r="R389" s="72">
        <v>627142</v>
      </c>
      <c r="S389" s="72">
        <v>32666326</v>
      </c>
      <c r="T389" s="72">
        <v>15920221</v>
      </c>
      <c r="U389" s="72">
        <v>6877302</v>
      </c>
      <c r="V389" s="72">
        <v>6480422</v>
      </c>
      <c r="W389" s="72">
        <v>1348214</v>
      </c>
      <c r="X389" s="72">
        <v>100000</v>
      </c>
      <c r="Y389" s="72">
        <v>0</v>
      </c>
      <c r="Z389" s="72">
        <v>0</v>
      </c>
      <c r="AA389" s="72">
        <v>1050000</v>
      </c>
      <c r="AB389" s="72">
        <v>0</v>
      </c>
      <c r="AC389" s="72">
        <v>0</v>
      </c>
      <c r="AD389" s="72">
        <v>0</v>
      </c>
      <c r="AE389" s="72">
        <v>95000</v>
      </c>
      <c r="AF389" s="72">
        <v>66143</v>
      </c>
      <c r="AG389" s="72">
        <v>363439</v>
      </c>
      <c r="AH389" s="72">
        <v>32300742</v>
      </c>
      <c r="AI389" s="72">
        <v>1228000</v>
      </c>
      <c r="AJ389" s="72">
        <v>337411</v>
      </c>
      <c r="AK389" s="72">
        <v>200000</v>
      </c>
      <c r="AL389" s="72">
        <v>1765411</v>
      </c>
      <c r="AM389" s="72">
        <v>34066153</v>
      </c>
      <c r="AN389" s="72">
        <v>-1399827</v>
      </c>
      <c r="AO389" s="72">
        <v>4377183</v>
      </c>
      <c r="AP389" s="72">
        <v>2977356</v>
      </c>
      <c r="AQ389" s="72">
        <v>0</v>
      </c>
      <c r="AR389" s="72">
        <v>0</v>
      </c>
      <c r="AS389" s="72">
        <v>0</v>
      </c>
      <c r="AT389" s="72">
        <v>0</v>
      </c>
      <c r="AU389" s="72">
        <v>0</v>
      </c>
      <c r="AW389" s="72">
        <v>0</v>
      </c>
      <c r="AX389" s="72">
        <v>0</v>
      </c>
      <c r="AY389" s="72">
        <v>0</v>
      </c>
      <c r="AZ389" s="72">
        <v>0</v>
      </c>
      <c r="BA389" s="72">
        <v>2977356</v>
      </c>
      <c r="BB389" s="72">
        <v>0</v>
      </c>
      <c r="BC389" s="72">
        <v>0</v>
      </c>
      <c r="BD389" s="72">
        <v>0</v>
      </c>
      <c r="BE389" s="72">
        <v>2977356</v>
      </c>
      <c r="BF389" s="72">
        <v>0</v>
      </c>
      <c r="BG389" s="72">
        <v>0</v>
      </c>
      <c r="BH389" s="72">
        <v>0</v>
      </c>
      <c r="BI389" s="72">
        <v>0</v>
      </c>
      <c r="BJ389" s="72">
        <v>2977356</v>
      </c>
      <c r="BK389" s="72">
        <v>297</v>
      </c>
      <c r="BL389" s="72">
        <v>3361</v>
      </c>
      <c r="BS389" s="72">
        <v>34066153</v>
      </c>
    </row>
    <row r="390" spans="1:71" x14ac:dyDescent="0.2">
      <c r="A390" t="s">
        <v>423</v>
      </c>
      <c r="B390" t="s">
        <v>1131</v>
      </c>
      <c r="C390" t="s">
        <v>24</v>
      </c>
      <c r="D390" s="72">
        <v>3890000</v>
      </c>
      <c r="E390" s="72">
        <v>0</v>
      </c>
      <c r="F390" s="72">
        <v>2176209</v>
      </c>
      <c r="G390" s="72">
        <v>9037000</v>
      </c>
      <c r="H390" s="72">
        <v>105000</v>
      </c>
      <c r="I390" s="72">
        <v>0</v>
      </c>
      <c r="J390" s="72">
        <v>657618</v>
      </c>
      <c r="K390" s="72">
        <v>1222960</v>
      </c>
      <c r="L390" s="72">
        <v>17088787</v>
      </c>
      <c r="M390" s="72">
        <v>0</v>
      </c>
      <c r="N390" s="72">
        <v>0</v>
      </c>
      <c r="O390" s="72">
        <v>0</v>
      </c>
      <c r="P390" s="72">
        <v>0</v>
      </c>
      <c r="Q390" s="72">
        <v>65000</v>
      </c>
      <c r="R390" s="72">
        <v>65000</v>
      </c>
      <c r="S390" s="72">
        <v>17153787</v>
      </c>
      <c r="T390" s="72">
        <v>9630000</v>
      </c>
      <c r="U390" s="72">
        <v>3305350</v>
      </c>
      <c r="V390" s="72">
        <v>1998000</v>
      </c>
      <c r="W390" s="72">
        <v>858800</v>
      </c>
      <c r="X390" s="72">
        <v>324293</v>
      </c>
      <c r="Y390" s="72">
        <v>0</v>
      </c>
      <c r="Z390" s="72">
        <v>0</v>
      </c>
      <c r="AA390" s="72">
        <v>0</v>
      </c>
      <c r="AB390" s="72">
        <v>0</v>
      </c>
      <c r="AC390" s="72">
        <v>0</v>
      </c>
      <c r="AD390" s="72">
        <v>0</v>
      </c>
      <c r="AE390" s="72">
        <v>170000</v>
      </c>
      <c r="AF390" s="72">
        <v>22655</v>
      </c>
      <c r="AG390" s="72">
        <v>325000</v>
      </c>
      <c r="AH390" s="72">
        <v>16634098</v>
      </c>
      <c r="AI390" s="72">
        <v>388529</v>
      </c>
      <c r="AJ390" s="72">
        <v>0</v>
      </c>
      <c r="AK390" s="72">
        <v>0</v>
      </c>
      <c r="AL390" s="72">
        <v>388529</v>
      </c>
      <c r="AM390" s="72">
        <v>17022627</v>
      </c>
      <c r="AN390" s="72">
        <v>131160</v>
      </c>
      <c r="AO390" s="72">
        <v>5807292</v>
      </c>
      <c r="AP390" s="72">
        <v>5938452</v>
      </c>
      <c r="AQ390" s="72">
        <v>100000</v>
      </c>
      <c r="AR390" s="72">
        <v>0</v>
      </c>
      <c r="AS390" s="72">
        <v>0</v>
      </c>
      <c r="AT390" s="72">
        <v>0</v>
      </c>
      <c r="AU390" s="72">
        <v>0</v>
      </c>
      <c r="AV390" s="72">
        <v>0</v>
      </c>
      <c r="AW390" s="72">
        <v>0</v>
      </c>
      <c r="AX390" s="72">
        <v>0</v>
      </c>
      <c r="AY390" s="72">
        <v>0</v>
      </c>
      <c r="AZ390" s="72">
        <v>0</v>
      </c>
      <c r="BA390" s="72">
        <v>5838452</v>
      </c>
      <c r="BB390" s="72">
        <v>0</v>
      </c>
      <c r="BC390" s="72">
        <v>0</v>
      </c>
      <c r="BD390" s="72">
        <v>0</v>
      </c>
      <c r="BE390" s="72">
        <v>5838452</v>
      </c>
      <c r="BF390" s="72">
        <v>0</v>
      </c>
      <c r="BG390" s="72">
        <v>0</v>
      </c>
      <c r="BH390" s="72">
        <v>0</v>
      </c>
      <c r="BI390" s="72">
        <v>0</v>
      </c>
      <c r="BJ390" s="72">
        <v>5838452</v>
      </c>
      <c r="BK390" s="72">
        <v>0</v>
      </c>
      <c r="BL390" s="72">
        <v>0</v>
      </c>
      <c r="BM390" s="72">
        <v>0</v>
      </c>
      <c r="BN390" s="72">
        <v>0</v>
      </c>
      <c r="BO390" s="72">
        <v>0</v>
      </c>
      <c r="BP390" s="72">
        <v>0</v>
      </c>
      <c r="BQ390" s="72">
        <v>0</v>
      </c>
      <c r="BR390" s="72">
        <v>0</v>
      </c>
      <c r="BS390" s="72">
        <v>17153787</v>
      </c>
    </row>
    <row r="391" spans="1:71" x14ac:dyDescent="0.2">
      <c r="A391" t="s">
        <v>527</v>
      </c>
      <c r="B391" t="s">
        <v>1019</v>
      </c>
      <c r="C391" t="s">
        <v>24</v>
      </c>
      <c r="D391" s="72">
        <v>4113839</v>
      </c>
      <c r="E391" s="72">
        <v>0</v>
      </c>
      <c r="F391" s="72">
        <v>957073</v>
      </c>
      <c r="G391" s="72">
        <v>8076946</v>
      </c>
      <c r="H391" s="72">
        <v>31678</v>
      </c>
      <c r="I391" s="72">
        <v>0</v>
      </c>
      <c r="J391" s="72">
        <v>593700</v>
      </c>
      <c r="K391" s="72">
        <v>966733</v>
      </c>
      <c r="L391" s="72">
        <v>14739969</v>
      </c>
      <c r="M391" s="72">
        <v>0</v>
      </c>
      <c r="N391" s="72">
        <v>0</v>
      </c>
      <c r="O391" s="72">
        <v>219540</v>
      </c>
      <c r="P391" s="72">
        <v>0</v>
      </c>
      <c r="Q391" s="72">
        <v>146068</v>
      </c>
      <c r="R391" s="72">
        <v>365608</v>
      </c>
      <c r="S391" s="72">
        <v>15105577</v>
      </c>
      <c r="T391" s="72">
        <v>7622126</v>
      </c>
      <c r="U391" s="72">
        <v>2610293</v>
      </c>
      <c r="V391" s="72">
        <v>3159762</v>
      </c>
      <c r="W391" s="72">
        <v>741356</v>
      </c>
      <c r="X391" s="72">
        <v>263300</v>
      </c>
      <c r="Y391" s="72">
        <v>0</v>
      </c>
      <c r="Z391" s="72">
        <v>0</v>
      </c>
      <c r="AA391" s="72">
        <v>0</v>
      </c>
      <c r="AB391" s="72">
        <v>0</v>
      </c>
      <c r="AC391" s="72">
        <v>0</v>
      </c>
      <c r="AD391" s="72">
        <v>0</v>
      </c>
      <c r="AE391" s="72">
        <v>0</v>
      </c>
      <c r="AF391" s="72">
        <v>69120</v>
      </c>
      <c r="AG391" s="72">
        <v>235250</v>
      </c>
      <c r="AH391" s="72">
        <v>14701207</v>
      </c>
      <c r="AI391" s="72">
        <v>380916</v>
      </c>
      <c r="AJ391" s="72">
        <v>0</v>
      </c>
      <c r="AK391" s="72">
        <v>55000</v>
      </c>
      <c r="AL391" s="72">
        <v>435916</v>
      </c>
      <c r="AM391" s="72">
        <v>15137123</v>
      </c>
      <c r="AN391" s="72">
        <v>-31546</v>
      </c>
      <c r="AO391" s="72">
        <v>1675414</v>
      </c>
      <c r="AP391" s="72">
        <v>1643868</v>
      </c>
      <c r="AQ391" s="72">
        <v>0</v>
      </c>
      <c r="AR391" s="72">
        <v>0</v>
      </c>
      <c r="AS391" s="72">
        <v>0</v>
      </c>
      <c r="AT391" s="72">
        <v>50000</v>
      </c>
      <c r="AU391" s="72">
        <v>0</v>
      </c>
      <c r="AV391" s="72">
        <v>0</v>
      </c>
      <c r="AW391" s="72">
        <v>256005</v>
      </c>
      <c r="AX391" s="72">
        <v>0</v>
      </c>
      <c r="AY391" s="72">
        <v>27758</v>
      </c>
      <c r="AZ391" s="72">
        <v>333763</v>
      </c>
      <c r="BA391" s="72">
        <v>1310105</v>
      </c>
      <c r="BB391" s="72">
        <v>872927</v>
      </c>
      <c r="BC391" s="72">
        <v>0</v>
      </c>
      <c r="BD391" s="72">
        <v>872927</v>
      </c>
      <c r="BE391" s="72">
        <v>2183032</v>
      </c>
      <c r="BF391" s="72">
        <v>0</v>
      </c>
      <c r="BG391" s="72">
        <v>0</v>
      </c>
      <c r="BH391" s="72">
        <v>0</v>
      </c>
      <c r="BI391" s="72">
        <v>0</v>
      </c>
      <c r="BJ391" s="72">
        <v>2183032</v>
      </c>
      <c r="BK391" s="72">
        <v>140</v>
      </c>
      <c r="BL391" s="72">
        <v>1720</v>
      </c>
      <c r="BM391" s="72">
        <v>0</v>
      </c>
      <c r="BN391" s="72">
        <v>0</v>
      </c>
      <c r="BO391" s="72">
        <v>0</v>
      </c>
      <c r="BP391" s="72">
        <v>0</v>
      </c>
      <c r="BQ391" s="72">
        <v>0</v>
      </c>
      <c r="BR391" s="72">
        <v>0</v>
      </c>
      <c r="BS391" s="72">
        <v>15137123</v>
      </c>
    </row>
    <row r="392" spans="1:71" x14ac:dyDescent="0.2">
      <c r="A392" t="s">
        <v>537</v>
      </c>
      <c r="B392" t="s">
        <v>1240</v>
      </c>
      <c r="C392" t="s">
        <v>24</v>
      </c>
      <c r="D392" s="72">
        <v>6184407</v>
      </c>
      <c r="E392" s="72">
        <v>0</v>
      </c>
      <c r="F392" s="72">
        <v>111100</v>
      </c>
      <c r="G392" s="72">
        <v>4331191</v>
      </c>
      <c r="H392" s="72">
        <v>29951</v>
      </c>
      <c r="I392" s="72">
        <v>0</v>
      </c>
      <c r="J392" s="72">
        <v>870073</v>
      </c>
      <c r="K392" s="72">
        <v>783931</v>
      </c>
      <c r="L392" s="72">
        <v>12310653</v>
      </c>
      <c r="M392" s="72">
        <v>0</v>
      </c>
      <c r="N392" s="72">
        <v>0</v>
      </c>
      <c r="O392" s="72">
        <v>0</v>
      </c>
      <c r="P392" s="72">
        <v>10000</v>
      </c>
      <c r="Q392" s="72">
        <v>34558</v>
      </c>
      <c r="R392" s="72">
        <v>44558</v>
      </c>
      <c r="S392" s="72">
        <v>12355211</v>
      </c>
      <c r="T392" s="72">
        <v>5181759</v>
      </c>
      <c r="U392" s="72">
        <v>1584107</v>
      </c>
      <c r="V392" s="72">
        <v>3377062</v>
      </c>
      <c r="W392" s="72">
        <v>500289</v>
      </c>
      <c r="X392" s="72">
        <v>500000</v>
      </c>
      <c r="Y392" s="72">
        <v>0</v>
      </c>
      <c r="Z392" s="72">
        <v>0</v>
      </c>
      <c r="AA392" s="72">
        <v>0</v>
      </c>
      <c r="AB392" s="72">
        <v>0</v>
      </c>
      <c r="AC392" s="72">
        <v>0</v>
      </c>
      <c r="AD392" s="72">
        <v>70000</v>
      </c>
      <c r="AE392" s="72">
        <v>0</v>
      </c>
      <c r="AF392" s="72">
        <v>25563</v>
      </c>
      <c r="AG392" s="72">
        <v>651277</v>
      </c>
      <c r="AH392" s="72">
        <v>11890056</v>
      </c>
      <c r="AI392" s="72">
        <v>0</v>
      </c>
      <c r="AJ392" s="72">
        <v>10000</v>
      </c>
      <c r="AK392" s="72">
        <v>0</v>
      </c>
      <c r="AL392" s="72">
        <v>10000</v>
      </c>
      <c r="AM392" s="72">
        <v>11900056</v>
      </c>
      <c r="AN392" s="72">
        <v>455155</v>
      </c>
      <c r="AO392" s="72">
        <v>8315660</v>
      </c>
      <c r="AP392" s="72">
        <v>8770815</v>
      </c>
      <c r="AQ392" s="72">
        <v>65000</v>
      </c>
      <c r="AR392" s="72">
        <v>0</v>
      </c>
      <c r="AS392" s="72">
        <v>0</v>
      </c>
      <c r="AT392" s="72">
        <v>1981676</v>
      </c>
      <c r="AU392" s="72">
        <v>0</v>
      </c>
      <c r="AV392" s="72">
        <v>0</v>
      </c>
      <c r="AW392" s="72">
        <v>0</v>
      </c>
      <c r="AX392" s="72">
        <v>0</v>
      </c>
      <c r="AY392" s="72">
        <v>0</v>
      </c>
      <c r="AZ392" s="72">
        <v>1981676</v>
      </c>
      <c r="BA392" s="72">
        <v>6724139</v>
      </c>
      <c r="BB392" s="72">
        <v>0</v>
      </c>
      <c r="BC392" s="72">
        <v>0</v>
      </c>
      <c r="BD392" s="72">
        <v>0</v>
      </c>
      <c r="BE392" s="72">
        <v>6724139</v>
      </c>
      <c r="BF392" s="72">
        <v>0</v>
      </c>
      <c r="BG392" s="72">
        <v>0</v>
      </c>
      <c r="BH392" s="72">
        <v>0</v>
      </c>
      <c r="BI392" s="72">
        <v>0</v>
      </c>
      <c r="BJ392" s="72">
        <v>6724139</v>
      </c>
      <c r="BS392" s="72">
        <v>12355211</v>
      </c>
    </row>
    <row r="393" spans="1:71" x14ac:dyDescent="0.2">
      <c r="A393" t="s">
        <v>646</v>
      </c>
      <c r="B393" t="s">
        <v>1338</v>
      </c>
      <c r="C393" t="s">
        <v>24</v>
      </c>
      <c r="D393" s="72">
        <v>13500689</v>
      </c>
      <c r="E393" s="72">
        <v>559620</v>
      </c>
      <c r="F393" s="72">
        <v>4732296</v>
      </c>
      <c r="G393" s="72">
        <v>11937998</v>
      </c>
      <c r="H393" s="72">
        <v>2777</v>
      </c>
      <c r="I393" s="72">
        <v>0</v>
      </c>
      <c r="J393" s="72">
        <v>2045295</v>
      </c>
      <c r="K393" s="72">
        <v>1016526</v>
      </c>
      <c r="L393" s="72">
        <v>33795201</v>
      </c>
      <c r="M393" s="72">
        <v>0</v>
      </c>
      <c r="N393" s="72">
        <v>0</v>
      </c>
      <c r="O393" s="72">
        <v>425000</v>
      </c>
      <c r="P393" s="72">
        <v>0</v>
      </c>
      <c r="Q393" s="72">
        <v>143789</v>
      </c>
      <c r="R393" s="72">
        <v>568789</v>
      </c>
      <c r="S393" s="72">
        <v>34363990</v>
      </c>
      <c r="T393" s="72">
        <v>18177321</v>
      </c>
      <c r="U393" s="72">
        <v>8240169</v>
      </c>
      <c r="V393" s="72">
        <v>4516317</v>
      </c>
      <c r="W393" s="72">
        <v>1057164</v>
      </c>
      <c r="X393" s="72">
        <v>22828</v>
      </c>
      <c r="Y393" s="72">
        <v>0</v>
      </c>
      <c r="Z393" s="72">
        <v>0</v>
      </c>
      <c r="AA393" s="72">
        <v>0</v>
      </c>
      <c r="AB393" s="72">
        <v>0</v>
      </c>
      <c r="AC393" s="72">
        <v>0</v>
      </c>
      <c r="AD393" s="72">
        <v>115000</v>
      </c>
      <c r="AE393" s="72">
        <v>0</v>
      </c>
      <c r="AF393" s="72">
        <v>27844</v>
      </c>
      <c r="AG393" s="72">
        <v>454351</v>
      </c>
      <c r="AH393" s="72">
        <v>32610994</v>
      </c>
      <c r="AI393" s="72">
        <v>425000</v>
      </c>
      <c r="AJ393" s="72">
        <v>0</v>
      </c>
      <c r="AK393" s="72">
        <v>1000</v>
      </c>
      <c r="AL393" s="72">
        <v>426000</v>
      </c>
      <c r="AM393" s="72">
        <v>33036994</v>
      </c>
      <c r="AN393" s="72">
        <v>1326996</v>
      </c>
      <c r="AO393" s="72">
        <v>3434842</v>
      </c>
      <c r="AP393" s="72">
        <v>4761838</v>
      </c>
      <c r="AQ393" s="72">
        <v>0</v>
      </c>
      <c r="AR393" s="72">
        <v>0</v>
      </c>
      <c r="AS393" s="72">
        <v>0</v>
      </c>
      <c r="AT393" s="72">
        <v>0</v>
      </c>
      <c r="AU393" s="72">
        <v>0</v>
      </c>
      <c r="AV393" s="72">
        <v>0</v>
      </c>
      <c r="AW393" s="72">
        <v>0</v>
      </c>
      <c r="AX393" s="72">
        <v>0</v>
      </c>
      <c r="AY393" s="72">
        <v>0</v>
      </c>
      <c r="AZ393" s="72">
        <v>0</v>
      </c>
      <c r="BA393" s="72">
        <v>4761838</v>
      </c>
      <c r="BB393" s="72">
        <v>0</v>
      </c>
      <c r="BC393" s="72">
        <v>0</v>
      </c>
      <c r="BD393" s="72">
        <v>0</v>
      </c>
      <c r="BE393" s="72">
        <v>4761838</v>
      </c>
      <c r="BF393" s="72">
        <v>0</v>
      </c>
      <c r="BG393" s="72">
        <v>0</v>
      </c>
      <c r="BH393" s="72">
        <v>0</v>
      </c>
      <c r="BI393" s="72">
        <v>0</v>
      </c>
      <c r="BJ393" s="72">
        <v>4761838</v>
      </c>
      <c r="BM393" s="72">
        <v>0</v>
      </c>
      <c r="BN393" s="72">
        <v>0</v>
      </c>
      <c r="BO393" s="72">
        <v>0</v>
      </c>
      <c r="BP393" s="72">
        <v>0</v>
      </c>
      <c r="BQ393" s="72">
        <v>0</v>
      </c>
      <c r="BR393" s="72">
        <v>0</v>
      </c>
      <c r="BS393" s="72">
        <v>34363990</v>
      </c>
    </row>
    <row r="394" spans="1:71" x14ac:dyDescent="0.2">
      <c r="A394" t="s">
        <v>158</v>
      </c>
      <c r="B394" t="s">
        <v>879</v>
      </c>
      <c r="C394" t="s">
        <v>86</v>
      </c>
      <c r="D394" s="72">
        <v>6427481</v>
      </c>
      <c r="E394" s="72">
        <v>345206</v>
      </c>
      <c r="F394" s="72">
        <v>0</v>
      </c>
      <c r="G394" s="72">
        <v>5517057</v>
      </c>
      <c r="H394" s="72">
        <v>91651</v>
      </c>
      <c r="I394" s="72">
        <v>0</v>
      </c>
      <c r="J394" s="72">
        <v>2757489</v>
      </c>
      <c r="K394" s="72">
        <v>1555649</v>
      </c>
      <c r="L394" s="72">
        <v>16694533</v>
      </c>
      <c r="M394" s="72">
        <v>0</v>
      </c>
      <c r="N394" s="72">
        <v>0</v>
      </c>
      <c r="O394" s="72">
        <v>0</v>
      </c>
      <c r="P394" s="72">
        <v>0</v>
      </c>
      <c r="Q394" s="72">
        <v>88445</v>
      </c>
      <c r="R394" s="72">
        <v>88445</v>
      </c>
      <c r="S394" s="72">
        <v>16782978</v>
      </c>
      <c r="T394" s="72">
        <v>9542357</v>
      </c>
      <c r="U394" s="72">
        <v>3402848</v>
      </c>
      <c r="V394" s="72">
        <v>2927021</v>
      </c>
      <c r="W394" s="72">
        <v>800000</v>
      </c>
      <c r="X394" s="72">
        <v>190768</v>
      </c>
      <c r="Y394" s="72">
        <v>0</v>
      </c>
      <c r="Z394" s="72">
        <v>0</v>
      </c>
      <c r="AA394" s="72">
        <v>0</v>
      </c>
      <c r="AB394" s="72">
        <v>0</v>
      </c>
      <c r="AC394" s="72">
        <v>0</v>
      </c>
      <c r="AD394" s="72">
        <v>0</v>
      </c>
      <c r="AE394" s="72">
        <v>0</v>
      </c>
      <c r="AF394" s="72">
        <v>0</v>
      </c>
      <c r="AG394" s="72">
        <v>250561</v>
      </c>
      <c r="AH394" s="72">
        <v>17113555</v>
      </c>
      <c r="AI394" s="72">
        <v>101000</v>
      </c>
      <c r="AJ394" s="72">
        <v>0</v>
      </c>
      <c r="AK394" s="72">
        <v>0</v>
      </c>
      <c r="AL394" s="72">
        <v>101000</v>
      </c>
      <c r="AM394" s="72">
        <v>17214555</v>
      </c>
      <c r="AN394" s="72">
        <v>-431577</v>
      </c>
      <c r="AO394" s="72">
        <v>4575932</v>
      </c>
      <c r="AP394" s="72">
        <v>4144355</v>
      </c>
      <c r="AQ394" s="72">
        <v>75000</v>
      </c>
      <c r="AR394" s="72">
        <v>0</v>
      </c>
      <c r="AS394" s="72">
        <v>0</v>
      </c>
      <c r="AT394" s="72">
        <v>0</v>
      </c>
      <c r="AU394" s="72">
        <v>0</v>
      </c>
      <c r="AV394" s="72">
        <v>0</v>
      </c>
      <c r="AW394" s="72">
        <v>0</v>
      </c>
      <c r="AX394" s="72">
        <v>0</v>
      </c>
      <c r="AY394" s="72">
        <v>0</v>
      </c>
      <c r="AZ394" s="72">
        <v>0</v>
      </c>
      <c r="BA394" s="72">
        <v>4069355</v>
      </c>
      <c r="BB394" s="72">
        <v>0</v>
      </c>
      <c r="BC394" s="72">
        <v>0</v>
      </c>
      <c r="BD394" s="72">
        <v>0</v>
      </c>
      <c r="BE394" s="72">
        <v>4069355</v>
      </c>
      <c r="BF394" s="72">
        <v>0</v>
      </c>
      <c r="BG394" s="72">
        <v>0</v>
      </c>
      <c r="BH394" s="72">
        <v>0</v>
      </c>
      <c r="BI394" s="72">
        <v>0</v>
      </c>
      <c r="BJ394" s="72">
        <v>4069355</v>
      </c>
      <c r="BM394" s="72">
        <v>0</v>
      </c>
      <c r="BN394" s="72">
        <v>0</v>
      </c>
      <c r="BO394" s="72">
        <v>0</v>
      </c>
      <c r="BP394" s="72">
        <v>0</v>
      </c>
      <c r="BQ394" s="72">
        <v>0</v>
      </c>
      <c r="BR394" s="72">
        <v>0</v>
      </c>
      <c r="BS394" s="72">
        <v>17214555</v>
      </c>
    </row>
    <row r="395" spans="1:71" x14ac:dyDescent="0.2">
      <c r="A395" t="s">
        <v>377</v>
      </c>
      <c r="B395" t="s">
        <v>1088</v>
      </c>
      <c r="C395" t="s">
        <v>86</v>
      </c>
      <c r="D395" s="72">
        <v>7286001</v>
      </c>
      <c r="E395" s="72">
        <v>466523</v>
      </c>
      <c r="F395" s="72">
        <v>0</v>
      </c>
      <c r="G395" s="72">
        <v>4550500</v>
      </c>
      <c r="H395" s="72">
        <v>29000</v>
      </c>
      <c r="J395" s="72">
        <v>1420258</v>
      </c>
      <c r="K395" s="72">
        <v>1071589</v>
      </c>
      <c r="L395" s="72">
        <v>14823871</v>
      </c>
      <c r="M395" s="72">
        <v>0</v>
      </c>
      <c r="N395" s="72">
        <v>0</v>
      </c>
      <c r="O395" s="72">
        <v>0</v>
      </c>
      <c r="P395" s="72">
        <v>50275</v>
      </c>
      <c r="Q395" s="72">
        <v>48500</v>
      </c>
      <c r="R395" s="72">
        <v>98775</v>
      </c>
      <c r="S395" s="72">
        <v>14922646</v>
      </c>
      <c r="T395" s="72">
        <v>8325028</v>
      </c>
      <c r="U395" s="72">
        <v>3562603</v>
      </c>
      <c r="V395" s="72">
        <v>2762047</v>
      </c>
      <c r="W395" s="72">
        <v>516558</v>
      </c>
      <c r="X395" s="72">
        <v>362195</v>
      </c>
      <c r="Y395" s="72">
        <v>0</v>
      </c>
      <c r="Z395" s="72">
        <v>0</v>
      </c>
      <c r="AA395" s="72">
        <v>0</v>
      </c>
      <c r="AB395" s="72">
        <v>0</v>
      </c>
      <c r="AC395" s="72">
        <v>0</v>
      </c>
      <c r="AD395" s="72">
        <v>0</v>
      </c>
      <c r="AE395" s="72">
        <v>0</v>
      </c>
      <c r="AF395" s="72">
        <v>0</v>
      </c>
      <c r="AG395" s="72">
        <v>300164</v>
      </c>
      <c r="AH395" s="72">
        <v>15828594</v>
      </c>
      <c r="AI395" s="72">
        <v>100000</v>
      </c>
      <c r="AJ395" s="72">
        <v>35000</v>
      </c>
      <c r="AK395" s="72">
        <v>0</v>
      </c>
      <c r="AL395" s="72">
        <v>135000</v>
      </c>
      <c r="AM395" s="72">
        <v>15963594</v>
      </c>
      <c r="AN395" s="72">
        <v>-1040948</v>
      </c>
      <c r="AO395" s="72">
        <v>4515089</v>
      </c>
      <c r="AP395" s="72">
        <v>3474141</v>
      </c>
      <c r="AQ395" s="72">
        <v>100000</v>
      </c>
      <c r="AR395" s="72">
        <v>0</v>
      </c>
      <c r="AS395" s="72">
        <v>0</v>
      </c>
      <c r="AT395" s="72">
        <v>0</v>
      </c>
      <c r="AU395" s="72">
        <v>0</v>
      </c>
      <c r="AW395" s="72">
        <v>0</v>
      </c>
      <c r="AX395" s="72">
        <v>0</v>
      </c>
      <c r="AY395" s="72">
        <v>0</v>
      </c>
      <c r="AZ395" s="72">
        <v>0</v>
      </c>
      <c r="BA395" s="72">
        <v>3374141</v>
      </c>
      <c r="BB395" s="72">
        <v>0</v>
      </c>
      <c r="BC395" s="72">
        <v>1148475</v>
      </c>
      <c r="BD395" s="72">
        <v>1148475</v>
      </c>
      <c r="BE395" s="72">
        <v>4522615</v>
      </c>
      <c r="BF395" s="72">
        <v>0</v>
      </c>
      <c r="BG395" s="72">
        <v>408595</v>
      </c>
      <c r="BH395" s="72">
        <v>408595</v>
      </c>
      <c r="BI395" s="72">
        <v>0</v>
      </c>
      <c r="BJ395" s="72">
        <v>4931210</v>
      </c>
      <c r="BK395" s="72">
        <v>120</v>
      </c>
      <c r="BL395" s="72">
        <v>1750</v>
      </c>
      <c r="BS395" s="72">
        <v>15963594</v>
      </c>
    </row>
    <row r="396" spans="1:71" x14ac:dyDescent="0.2">
      <c r="A396" t="s">
        <v>611</v>
      </c>
      <c r="B396" t="s">
        <v>1307</v>
      </c>
      <c r="C396" t="s">
        <v>86</v>
      </c>
      <c r="D396" s="72">
        <v>1207264</v>
      </c>
      <c r="E396" s="72">
        <v>0</v>
      </c>
      <c r="F396" s="72">
        <v>1329155</v>
      </c>
      <c r="G396" s="72">
        <v>3917393</v>
      </c>
      <c r="H396" s="72">
        <v>23426</v>
      </c>
      <c r="I396" s="72">
        <v>0</v>
      </c>
      <c r="J396" s="72">
        <v>174242</v>
      </c>
      <c r="K396" s="72">
        <v>444435</v>
      </c>
      <c r="L396" s="72">
        <v>7095915</v>
      </c>
      <c r="M396" s="72">
        <v>0</v>
      </c>
      <c r="N396" s="72">
        <v>0</v>
      </c>
      <c r="O396" s="72">
        <v>0</v>
      </c>
      <c r="P396" s="72">
        <v>32726</v>
      </c>
      <c r="Q396" s="72">
        <v>0</v>
      </c>
      <c r="R396" s="72">
        <v>32726</v>
      </c>
      <c r="S396" s="72">
        <v>7128641</v>
      </c>
      <c r="T396" s="72">
        <v>3364811</v>
      </c>
      <c r="U396" s="72">
        <v>1656054</v>
      </c>
      <c r="V396" s="72">
        <v>1536100</v>
      </c>
      <c r="W396" s="72">
        <v>138800</v>
      </c>
      <c r="X396" s="72">
        <v>46000</v>
      </c>
      <c r="Y396" s="72">
        <v>0</v>
      </c>
      <c r="Z396" s="72">
        <v>0</v>
      </c>
      <c r="AA396" s="72">
        <v>0</v>
      </c>
      <c r="AB396" s="72">
        <v>0</v>
      </c>
      <c r="AC396" s="72">
        <v>0</v>
      </c>
      <c r="AD396" s="72">
        <v>0</v>
      </c>
      <c r="AE396" s="72">
        <v>0</v>
      </c>
      <c r="AF396" s="72">
        <v>0</v>
      </c>
      <c r="AG396" s="72">
        <v>229400</v>
      </c>
      <c r="AH396" s="72">
        <v>6971165</v>
      </c>
      <c r="AI396" s="72">
        <v>95000</v>
      </c>
      <c r="AJ396" s="72">
        <v>0</v>
      </c>
      <c r="AK396" s="72">
        <v>0</v>
      </c>
      <c r="AL396" s="72">
        <v>95000</v>
      </c>
      <c r="AM396" s="72">
        <v>7066165</v>
      </c>
      <c r="AN396" s="72">
        <v>62476</v>
      </c>
      <c r="AO396" s="72">
        <v>938702</v>
      </c>
      <c r="AP396" s="72">
        <v>1001178</v>
      </c>
      <c r="AQ396" s="72">
        <v>28882</v>
      </c>
      <c r="AR396" s="72">
        <v>0</v>
      </c>
      <c r="AS396" s="72">
        <v>0</v>
      </c>
      <c r="AT396" s="72">
        <v>0</v>
      </c>
      <c r="AU396" s="72">
        <v>0</v>
      </c>
      <c r="AV396" s="72">
        <v>0</v>
      </c>
      <c r="AW396" s="72">
        <v>0</v>
      </c>
      <c r="AX396" s="72">
        <v>0</v>
      </c>
      <c r="AY396" s="72">
        <v>0</v>
      </c>
      <c r="AZ396" s="72">
        <v>0</v>
      </c>
      <c r="BA396" s="72">
        <v>972296</v>
      </c>
      <c r="BB396" s="72">
        <v>0</v>
      </c>
      <c r="BC396" s="72">
        <v>0</v>
      </c>
      <c r="BD396" s="72">
        <v>0</v>
      </c>
      <c r="BE396" s="72">
        <v>972296</v>
      </c>
      <c r="BF396" s="72">
        <v>0</v>
      </c>
      <c r="BG396" s="72">
        <v>0</v>
      </c>
      <c r="BH396" s="72">
        <v>0</v>
      </c>
      <c r="BI396" s="72">
        <v>0</v>
      </c>
      <c r="BJ396" s="72">
        <v>972296</v>
      </c>
      <c r="BK396" s="72">
        <v>0</v>
      </c>
      <c r="BL396" s="72">
        <v>0</v>
      </c>
      <c r="BM396" s="72">
        <v>0</v>
      </c>
      <c r="BN396" s="72">
        <v>0</v>
      </c>
      <c r="BO396" s="72">
        <v>0</v>
      </c>
      <c r="BP396" s="72">
        <v>0</v>
      </c>
      <c r="BQ396" s="72">
        <v>0</v>
      </c>
      <c r="BR396" s="72">
        <v>0</v>
      </c>
      <c r="BS396" s="72">
        <v>7128641</v>
      </c>
    </row>
    <row r="397" spans="1:71" x14ac:dyDescent="0.2">
      <c r="A397" t="s">
        <v>141</v>
      </c>
      <c r="B397" t="s">
        <v>862</v>
      </c>
      <c r="C397" t="s">
        <v>61</v>
      </c>
      <c r="D397" s="72">
        <v>22275567</v>
      </c>
      <c r="E397" s="72">
        <v>580212</v>
      </c>
      <c r="F397" s="72">
        <v>0</v>
      </c>
      <c r="G397" s="72">
        <v>3574988</v>
      </c>
      <c r="H397" s="72">
        <v>75000</v>
      </c>
      <c r="I397" s="72">
        <v>0</v>
      </c>
      <c r="J397" s="72">
        <v>2902551</v>
      </c>
      <c r="K397" s="72">
        <v>2397809</v>
      </c>
      <c r="L397" s="72">
        <v>31806127</v>
      </c>
      <c r="M397" s="72">
        <v>0</v>
      </c>
      <c r="N397" s="72">
        <v>0</v>
      </c>
      <c r="O397" s="72">
        <v>0</v>
      </c>
      <c r="P397" s="72">
        <v>0</v>
      </c>
      <c r="Q397" s="72">
        <v>10000</v>
      </c>
      <c r="R397" s="72">
        <v>10000</v>
      </c>
      <c r="S397" s="72">
        <v>31816127</v>
      </c>
      <c r="T397" s="72">
        <v>18233875</v>
      </c>
      <c r="U397" s="72">
        <v>7112402</v>
      </c>
      <c r="V397" s="72">
        <v>4825118</v>
      </c>
      <c r="W397" s="72">
        <v>1647578</v>
      </c>
      <c r="X397" s="72">
        <v>160000</v>
      </c>
      <c r="Y397" s="72">
        <v>0</v>
      </c>
      <c r="Z397" s="72">
        <v>0</v>
      </c>
      <c r="AA397" s="72">
        <v>0</v>
      </c>
      <c r="AB397" s="72">
        <v>0</v>
      </c>
      <c r="AC397" s="72">
        <v>0</v>
      </c>
      <c r="AD397" s="72">
        <v>0</v>
      </c>
      <c r="AE397" s="72">
        <v>0</v>
      </c>
      <c r="AF397" s="72">
        <v>0</v>
      </c>
      <c r="AG397" s="72">
        <v>632673</v>
      </c>
      <c r="AH397" s="72">
        <v>32611646</v>
      </c>
      <c r="AI397" s="72">
        <v>0</v>
      </c>
      <c r="AJ397" s="72">
        <v>75000</v>
      </c>
      <c r="AK397" s="72">
        <v>0</v>
      </c>
      <c r="AL397" s="72">
        <v>75000</v>
      </c>
      <c r="AM397" s="72">
        <v>32686646</v>
      </c>
      <c r="AN397" s="72">
        <v>-870519</v>
      </c>
      <c r="AO397" s="72">
        <v>13137581</v>
      </c>
      <c r="AP397" s="72">
        <v>12267062</v>
      </c>
      <c r="AQ397" s="72">
        <v>600000</v>
      </c>
      <c r="AR397" s="72">
        <v>0</v>
      </c>
      <c r="AS397" s="72">
        <v>0</v>
      </c>
      <c r="AT397" s="72">
        <v>0</v>
      </c>
      <c r="AU397" s="72">
        <v>0</v>
      </c>
      <c r="AV397" s="72">
        <v>0</v>
      </c>
      <c r="AW397" s="72">
        <v>0</v>
      </c>
      <c r="AX397" s="72">
        <v>0</v>
      </c>
      <c r="AY397" s="72">
        <v>0</v>
      </c>
      <c r="AZ397" s="72">
        <v>0</v>
      </c>
      <c r="BA397" s="72">
        <v>11667062</v>
      </c>
      <c r="BB397" s="72">
        <v>0</v>
      </c>
      <c r="BC397" s="72">
        <v>0</v>
      </c>
      <c r="BD397" s="72">
        <v>0</v>
      </c>
      <c r="BE397" s="72">
        <v>11667062</v>
      </c>
      <c r="BF397" s="72">
        <v>0</v>
      </c>
      <c r="BG397" s="72">
        <v>0</v>
      </c>
      <c r="BH397" s="72">
        <v>0</v>
      </c>
      <c r="BI397" s="72">
        <v>0</v>
      </c>
      <c r="BJ397" s="72">
        <v>11667062</v>
      </c>
      <c r="BM397" s="72">
        <v>0</v>
      </c>
      <c r="BN397" s="72">
        <v>0</v>
      </c>
      <c r="BO397" s="72">
        <v>0</v>
      </c>
      <c r="BP397" s="72">
        <v>0</v>
      </c>
      <c r="BQ397" s="72">
        <v>0</v>
      </c>
      <c r="BR397" s="72">
        <v>0</v>
      </c>
      <c r="BS397" s="72">
        <v>32686646</v>
      </c>
    </row>
    <row r="398" spans="1:71" x14ac:dyDescent="0.2">
      <c r="A398" t="s">
        <v>140</v>
      </c>
      <c r="B398" t="s">
        <v>861</v>
      </c>
      <c r="C398" t="s">
        <v>61</v>
      </c>
      <c r="D398" s="72">
        <v>24236947</v>
      </c>
      <c r="E398" s="72">
        <v>2910872</v>
      </c>
      <c r="F398" s="72">
        <v>0</v>
      </c>
      <c r="G398" s="72">
        <v>2500500</v>
      </c>
      <c r="H398" s="72">
        <v>7738</v>
      </c>
      <c r="I398" s="72">
        <v>0</v>
      </c>
      <c r="J398" s="72">
        <v>5708289</v>
      </c>
      <c r="K398" s="72">
        <v>1003972</v>
      </c>
      <c r="L398" s="72">
        <v>36368318</v>
      </c>
      <c r="M398" s="72">
        <v>0</v>
      </c>
      <c r="N398" s="72">
        <v>0</v>
      </c>
      <c r="O398" s="72">
        <v>0</v>
      </c>
      <c r="P398" s="72">
        <v>360657</v>
      </c>
      <c r="Q398" s="72">
        <v>99435</v>
      </c>
      <c r="R398" s="72">
        <v>460092</v>
      </c>
      <c r="S398" s="72">
        <v>36828410</v>
      </c>
      <c r="T398" s="72">
        <v>22659252</v>
      </c>
      <c r="U398" s="72">
        <v>8578873</v>
      </c>
      <c r="V398" s="72">
        <v>3822691</v>
      </c>
      <c r="W398" s="72">
        <v>1538310</v>
      </c>
      <c r="X398" s="72">
        <v>250801</v>
      </c>
      <c r="Y398" s="72">
        <v>0</v>
      </c>
      <c r="Z398" s="72">
        <v>0</v>
      </c>
      <c r="AA398" s="72">
        <v>0</v>
      </c>
      <c r="AB398" s="72">
        <v>0</v>
      </c>
      <c r="AC398" s="72">
        <v>0</v>
      </c>
      <c r="AD398" s="72">
        <v>0</v>
      </c>
      <c r="AE398" s="72">
        <v>0</v>
      </c>
      <c r="AF398" s="72">
        <v>0</v>
      </c>
      <c r="AG398" s="72">
        <v>1161528</v>
      </c>
      <c r="AH398" s="72">
        <v>38011455</v>
      </c>
      <c r="AI398" s="72">
        <v>0</v>
      </c>
      <c r="AJ398" s="72">
        <v>0</v>
      </c>
      <c r="AK398" s="72">
        <v>0</v>
      </c>
      <c r="AL398" s="72">
        <v>0</v>
      </c>
      <c r="AM398" s="72">
        <v>38011455</v>
      </c>
      <c r="AN398" s="72">
        <v>-1183045</v>
      </c>
      <c r="AO398" s="72">
        <v>5343035</v>
      </c>
      <c r="AP398" s="72">
        <v>4159990</v>
      </c>
      <c r="AQ398" s="72">
        <v>500000</v>
      </c>
      <c r="AR398" s="72">
        <v>0</v>
      </c>
      <c r="AS398" s="72">
        <v>0</v>
      </c>
      <c r="AT398" s="72">
        <v>0</v>
      </c>
      <c r="AU398" s="72">
        <v>0</v>
      </c>
      <c r="AV398" s="72">
        <v>0</v>
      </c>
      <c r="AW398" s="72">
        <v>0</v>
      </c>
      <c r="AX398" s="72">
        <v>0</v>
      </c>
      <c r="AY398" s="72">
        <v>0</v>
      </c>
      <c r="AZ398" s="72">
        <v>0</v>
      </c>
      <c r="BA398" s="72">
        <v>3659990</v>
      </c>
      <c r="BB398" s="72">
        <v>0</v>
      </c>
      <c r="BC398" s="72">
        <v>0</v>
      </c>
      <c r="BD398" s="72">
        <v>0</v>
      </c>
      <c r="BE398" s="72">
        <v>3659990</v>
      </c>
      <c r="BF398" s="72">
        <v>0</v>
      </c>
      <c r="BG398" s="72">
        <v>0</v>
      </c>
      <c r="BH398" s="72">
        <v>0</v>
      </c>
      <c r="BI398" s="72">
        <v>0</v>
      </c>
      <c r="BJ398" s="72">
        <v>3659990</v>
      </c>
      <c r="BM398" s="72">
        <v>0</v>
      </c>
      <c r="BN398" s="72">
        <v>0</v>
      </c>
      <c r="BO398" s="72">
        <v>0</v>
      </c>
      <c r="BP398" s="72">
        <v>0</v>
      </c>
      <c r="BQ398" s="72">
        <v>0</v>
      </c>
      <c r="BR398" s="72">
        <v>0</v>
      </c>
      <c r="BS398" s="72">
        <v>38011455</v>
      </c>
    </row>
    <row r="399" spans="1:71" x14ac:dyDescent="0.2">
      <c r="A399" t="s">
        <v>226</v>
      </c>
      <c r="B399" t="s">
        <v>944</v>
      </c>
      <c r="C399" t="s">
        <v>61</v>
      </c>
      <c r="D399" s="72">
        <v>2679983</v>
      </c>
      <c r="E399" s="72">
        <v>0</v>
      </c>
      <c r="F399" s="72">
        <v>0</v>
      </c>
      <c r="G399" s="72">
        <v>7372660</v>
      </c>
      <c r="H399" s="72">
        <v>59095</v>
      </c>
      <c r="I399" s="72">
        <v>0</v>
      </c>
      <c r="J399" s="72">
        <v>394041</v>
      </c>
      <c r="K399" s="72">
        <v>3800000</v>
      </c>
      <c r="L399" s="72">
        <v>14305779</v>
      </c>
      <c r="M399" s="72">
        <v>0</v>
      </c>
      <c r="N399" s="72">
        <v>0</v>
      </c>
      <c r="O399" s="72">
        <v>225000</v>
      </c>
      <c r="P399" s="72">
        <v>75000</v>
      </c>
      <c r="Q399" s="72">
        <v>0</v>
      </c>
      <c r="R399" s="72">
        <v>300000</v>
      </c>
      <c r="S399" s="72">
        <v>14605779</v>
      </c>
      <c r="T399" s="72">
        <v>8174641</v>
      </c>
      <c r="U399" s="72">
        <v>2882928</v>
      </c>
      <c r="V399" s="72">
        <v>2541375</v>
      </c>
      <c r="W399" s="72">
        <v>293460</v>
      </c>
      <c r="X399" s="72">
        <v>25000</v>
      </c>
      <c r="Y399" s="72">
        <v>0</v>
      </c>
      <c r="Z399" s="72">
        <v>0</v>
      </c>
      <c r="AA399" s="72">
        <v>225000</v>
      </c>
      <c r="AB399" s="72">
        <v>0</v>
      </c>
      <c r="AC399" s="72">
        <v>0</v>
      </c>
      <c r="AD399" s="72">
        <v>0</v>
      </c>
      <c r="AE399" s="72">
        <v>0</v>
      </c>
      <c r="AF399" s="72">
        <v>1800</v>
      </c>
      <c r="AG399" s="72">
        <v>145452</v>
      </c>
      <c r="AH399" s="72">
        <v>14289656</v>
      </c>
      <c r="AI399" s="72">
        <v>225000</v>
      </c>
      <c r="AJ399" s="72">
        <v>75000</v>
      </c>
      <c r="AK399" s="72">
        <v>0</v>
      </c>
      <c r="AL399" s="72">
        <v>300000</v>
      </c>
      <c r="AM399" s="72">
        <v>14589656</v>
      </c>
      <c r="AN399" s="72">
        <v>16123</v>
      </c>
      <c r="AO399" s="72">
        <v>192844</v>
      </c>
      <c r="AP399" s="72">
        <v>208967</v>
      </c>
      <c r="AQ399" s="72">
        <v>50000</v>
      </c>
      <c r="AR399" s="72">
        <v>0</v>
      </c>
      <c r="AS399" s="72">
        <v>0</v>
      </c>
      <c r="AT399" s="72">
        <v>0</v>
      </c>
      <c r="AU399" s="72">
        <v>0</v>
      </c>
      <c r="AW399" s="72">
        <v>0</v>
      </c>
      <c r="AX399" s="72">
        <v>0</v>
      </c>
      <c r="AY399" s="72">
        <v>0</v>
      </c>
      <c r="AZ399" s="72">
        <v>0</v>
      </c>
      <c r="BA399" s="72">
        <v>158967</v>
      </c>
      <c r="BB399" s="72">
        <v>0</v>
      </c>
      <c r="BC399" s="72">
        <v>0</v>
      </c>
      <c r="BD399" s="72">
        <v>0</v>
      </c>
      <c r="BE399" s="72">
        <v>158967</v>
      </c>
      <c r="BF399" s="72">
        <v>0</v>
      </c>
      <c r="BG399" s="72">
        <v>0</v>
      </c>
      <c r="BH399" s="72">
        <v>0</v>
      </c>
      <c r="BI399" s="72">
        <v>0</v>
      </c>
      <c r="BJ399" s="72">
        <v>158967</v>
      </c>
      <c r="BS399" s="72">
        <v>14605779</v>
      </c>
    </row>
    <row r="400" spans="1:71" x14ac:dyDescent="0.2">
      <c r="A400" t="s">
        <v>236</v>
      </c>
      <c r="B400" t="s">
        <v>954</v>
      </c>
      <c r="C400" t="s">
        <v>61</v>
      </c>
      <c r="D400" s="72">
        <v>5672310</v>
      </c>
      <c r="E400" s="72">
        <v>0</v>
      </c>
      <c r="F400" s="72">
        <v>0</v>
      </c>
      <c r="G400" s="72">
        <v>2229000</v>
      </c>
      <c r="H400" s="72">
        <v>11463</v>
      </c>
      <c r="I400" s="72">
        <v>0</v>
      </c>
      <c r="J400" s="72">
        <v>858267</v>
      </c>
      <c r="K400" s="72">
        <v>656700</v>
      </c>
      <c r="L400" s="72">
        <v>9427740</v>
      </c>
      <c r="M400" s="72">
        <v>0</v>
      </c>
      <c r="N400" s="72">
        <v>0</v>
      </c>
      <c r="O400" s="72">
        <v>0</v>
      </c>
      <c r="P400" s="72">
        <v>0</v>
      </c>
      <c r="Q400" s="72">
        <v>64800</v>
      </c>
      <c r="R400" s="72">
        <v>64800</v>
      </c>
      <c r="S400" s="72">
        <v>9492540</v>
      </c>
      <c r="T400" s="72">
        <v>5789250</v>
      </c>
      <c r="U400" s="72">
        <v>1987532</v>
      </c>
      <c r="V400" s="72">
        <v>1103627</v>
      </c>
      <c r="W400" s="72">
        <v>344572</v>
      </c>
      <c r="X400" s="72">
        <v>19400</v>
      </c>
      <c r="Y400" s="72">
        <v>0</v>
      </c>
      <c r="Z400" s="72">
        <v>0</v>
      </c>
      <c r="AA400" s="72">
        <v>0</v>
      </c>
      <c r="AB400" s="72">
        <v>0</v>
      </c>
      <c r="AC400" s="72">
        <v>0</v>
      </c>
      <c r="AD400" s="72">
        <v>0</v>
      </c>
      <c r="AE400" s="72">
        <v>0</v>
      </c>
      <c r="AF400" s="72">
        <v>5600</v>
      </c>
      <c r="AG400" s="72">
        <v>165000</v>
      </c>
      <c r="AH400" s="72">
        <v>9414981</v>
      </c>
      <c r="AI400" s="72">
        <v>0</v>
      </c>
      <c r="AJ400" s="72">
        <v>85000</v>
      </c>
      <c r="AK400" s="72">
        <v>0</v>
      </c>
      <c r="AL400" s="72">
        <v>85000</v>
      </c>
      <c r="AM400" s="72">
        <v>9499981</v>
      </c>
      <c r="AN400" s="72">
        <v>-7441</v>
      </c>
      <c r="AO400" s="72">
        <v>392821</v>
      </c>
      <c r="AP400" s="72">
        <v>385380</v>
      </c>
      <c r="AQ400" s="72">
        <v>20000</v>
      </c>
      <c r="AR400" s="72">
        <v>0</v>
      </c>
      <c r="AS400" s="72">
        <v>0</v>
      </c>
      <c r="AT400" s="72">
        <v>0</v>
      </c>
      <c r="AU400" s="72">
        <v>0</v>
      </c>
      <c r="AV400" s="72">
        <v>0</v>
      </c>
      <c r="AW400" s="72">
        <v>0</v>
      </c>
      <c r="AX400" s="72">
        <v>0</v>
      </c>
      <c r="AY400" s="72">
        <v>0</v>
      </c>
      <c r="AZ400" s="72">
        <v>0</v>
      </c>
      <c r="BA400" s="72">
        <v>365380</v>
      </c>
      <c r="BB400" s="72">
        <v>0</v>
      </c>
      <c r="BC400" s="72">
        <v>0</v>
      </c>
      <c r="BD400" s="72">
        <v>0</v>
      </c>
      <c r="BE400" s="72">
        <v>365380</v>
      </c>
      <c r="BF400" s="72">
        <v>0</v>
      </c>
      <c r="BG400" s="72">
        <v>0</v>
      </c>
      <c r="BH400" s="72">
        <v>0</v>
      </c>
      <c r="BI400" s="72">
        <v>0</v>
      </c>
      <c r="BJ400" s="72">
        <v>365380</v>
      </c>
      <c r="BK400" s="72">
        <v>0</v>
      </c>
      <c r="BL400" s="72">
        <v>0</v>
      </c>
      <c r="BM400" s="72">
        <v>0</v>
      </c>
      <c r="BN400" s="72">
        <v>0</v>
      </c>
      <c r="BO400" s="72">
        <v>0</v>
      </c>
      <c r="BP400" s="72">
        <v>0</v>
      </c>
      <c r="BQ400" s="72">
        <v>0</v>
      </c>
      <c r="BR400" s="72">
        <v>0</v>
      </c>
      <c r="BS400" s="72">
        <v>9499981</v>
      </c>
    </row>
    <row r="401" spans="1:71" x14ac:dyDescent="0.2">
      <c r="A401" t="s">
        <v>314</v>
      </c>
      <c r="B401" t="s">
        <v>1028</v>
      </c>
      <c r="C401" t="s">
        <v>61</v>
      </c>
      <c r="D401" s="72">
        <v>7858439</v>
      </c>
      <c r="E401" s="72">
        <v>0</v>
      </c>
      <c r="F401" s="72">
        <v>0</v>
      </c>
      <c r="G401" s="72">
        <v>6951231</v>
      </c>
      <c r="H401" s="72">
        <v>44102</v>
      </c>
      <c r="J401" s="72">
        <v>1179550</v>
      </c>
      <c r="K401" s="72">
        <v>1803290</v>
      </c>
      <c r="L401" s="72">
        <v>17836612</v>
      </c>
      <c r="M401" s="72">
        <v>0</v>
      </c>
      <c r="N401" s="72">
        <v>0</v>
      </c>
      <c r="O401" s="72">
        <v>0</v>
      </c>
      <c r="P401" s="72">
        <v>0</v>
      </c>
      <c r="Q401" s="72">
        <v>0</v>
      </c>
      <c r="R401" s="72">
        <v>0</v>
      </c>
      <c r="S401" s="72">
        <v>17836612</v>
      </c>
      <c r="T401" s="72">
        <v>9418447</v>
      </c>
      <c r="U401" s="72">
        <v>3462003</v>
      </c>
      <c r="V401" s="72">
        <v>2876999</v>
      </c>
      <c r="W401" s="72">
        <v>760195</v>
      </c>
      <c r="X401" s="72">
        <v>419870</v>
      </c>
      <c r="Y401" s="72">
        <v>0</v>
      </c>
      <c r="Z401" s="72">
        <v>0</v>
      </c>
      <c r="AA401" s="72">
        <v>0</v>
      </c>
      <c r="AB401" s="72">
        <v>0</v>
      </c>
      <c r="AC401" s="72">
        <v>0</v>
      </c>
      <c r="AD401" s="72">
        <v>65000</v>
      </c>
      <c r="AE401" s="72">
        <v>0</v>
      </c>
      <c r="AF401" s="72">
        <v>5588</v>
      </c>
      <c r="AG401" s="72">
        <v>263572</v>
      </c>
      <c r="AH401" s="72">
        <v>17271674</v>
      </c>
      <c r="AI401" s="72">
        <v>34000</v>
      </c>
      <c r="AJ401" s="72">
        <v>0</v>
      </c>
      <c r="AK401" s="72">
        <v>0</v>
      </c>
      <c r="AL401" s="72">
        <v>34000</v>
      </c>
      <c r="AM401" s="72">
        <v>17305674</v>
      </c>
      <c r="AN401" s="72">
        <v>530938</v>
      </c>
      <c r="AO401" s="72">
        <v>3066784</v>
      </c>
      <c r="AP401" s="72">
        <v>3597722</v>
      </c>
      <c r="AQ401" s="72">
        <v>0</v>
      </c>
      <c r="AR401" s="72">
        <v>0</v>
      </c>
      <c r="AS401" s="72">
        <v>0</v>
      </c>
      <c r="AT401" s="72">
        <v>0</v>
      </c>
      <c r="AU401" s="72">
        <v>0</v>
      </c>
      <c r="AW401" s="72">
        <v>0</v>
      </c>
      <c r="AX401" s="72">
        <v>0</v>
      </c>
      <c r="AY401" s="72">
        <v>0</v>
      </c>
      <c r="AZ401" s="72">
        <v>0</v>
      </c>
      <c r="BA401" s="72">
        <v>3597722</v>
      </c>
      <c r="BB401" s="72">
        <v>0</v>
      </c>
      <c r="BC401" s="72">
        <v>0</v>
      </c>
      <c r="BD401" s="72">
        <v>0</v>
      </c>
      <c r="BE401" s="72">
        <v>3597722</v>
      </c>
      <c r="BF401" s="72">
        <v>0</v>
      </c>
      <c r="BG401" s="72">
        <v>0</v>
      </c>
      <c r="BH401" s="72">
        <v>0</v>
      </c>
      <c r="BI401" s="72">
        <v>0</v>
      </c>
      <c r="BJ401" s="72">
        <v>3597722</v>
      </c>
      <c r="BS401" s="72">
        <v>17836612</v>
      </c>
    </row>
    <row r="402" spans="1:71" x14ac:dyDescent="0.2">
      <c r="A402" t="s">
        <v>399</v>
      </c>
      <c r="B402" t="s">
        <v>1110</v>
      </c>
      <c r="C402" t="s">
        <v>61</v>
      </c>
      <c r="D402" s="72">
        <v>4564102</v>
      </c>
      <c r="E402" s="72">
        <v>507910</v>
      </c>
      <c r="F402" s="72">
        <v>0</v>
      </c>
      <c r="G402" s="72">
        <v>6266890</v>
      </c>
      <c r="H402" s="72">
        <v>45605</v>
      </c>
      <c r="I402" s="72">
        <v>0</v>
      </c>
      <c r="J402" s="72">
        <v>711751</v>
      </c>
      <c r="K402" s="72">
        <v>1783602</v>
      </c>
      <c r="L402" s="72">
        <v>13879860</v>
      </c>
      <c r="M402" s="72">
        <v>0</v>
      </c>
      <c r="N402" s="72">
        <v>0</v>
      </c>
      <c r="O402" s="72">
        <v>0</v>
      </c>
      <c r="P402" s="72">
        <v>0</v>
      </c>
      <c r="Q402" s="72">
        <v>56000</v>
      </c>
      <c r="R402" s="72">
        <v>56000</v>
      </c>
      <c r="S402" s="72">
        <v>13935860</v>
      </c>
      <c r="T402" s="72">
        <v>8681327</v>
      </c>
      <c r="U402" s="72">
        <v>3289693</v>
      </c>
      <c r="V402" s="72">
        <v>2193148</v>
      </c>
      <c r="W402" s="72">
        <v>639423</v>
      </c>
      <c r="X402" s="72">
        <v>64350</v>
      </c>
      <c r="Y402" s="72">
        <v>0</v>
      </c>
      <c r="Z402" s="72">
        <v>0</v>
      </c>
      <c r="AA402" s="72">
        <v>0</v>
      </c>
      <c r="AB402" s="72">
        <v>0</v>
      </c>
      <c r="AC402" s="72">
        <v>0</v>
      </c>
      <c r="AD402" s="72">
        <v>0</v>
      </c>
      <c r="AE402" s="72">
        <v>0</v>
      </c>
      <c r="AF402" s="72">
        <v>0</v>
      </c>
      <c r="AG402" s="72">
        <v>227808</v>
      </c>
      <c r="AH402" s="72">
        <v>15095749</v>
      </c>
      <c r="AI402" s="72">
        <v>250000</v>
      </c>
      <c r="AJ402" s="72">
        <v>0</v>
      </c>
      <c r="AK402" s="72">
        <v>0</v>
      </c>
      <c r="AL402" s="72">
        <v>250000</v>
      </c>
      <c r="AM402" s="72">
        <v>15345749</v>
      </c>
      <c r="AN402" s="72">
        <v>-1409889</v>
      </c>
      <c r="AO402" s="72">
        <v>3910429</v>
      </c>
      <c r="AP402" s="72">
        <v>2500540</v>
      </c>
      <c r="AQ402" s="72">
        <v>300000</v>
      </c>
      <c r="AR402" s="72">
        <v>0</v>
      </c>
      <c r="AS402" s="72">
        <v>0</v>
      </c>
      <c r="AT402" s="72">
        <v>550000</v>
      </c>
      <c r="AU402" s="72">
        <v>0</v>
      </c>
      <c r="AV402" s="72">
        <v>0</v>
      </c>
      <c r="AW402" s="72">
        <v>0</v>
      </c>
      <c r="AX402" s="72">
        <v>0</v>
      </c>
      <c r="AY402" s="72">
        <v>0</v>
      </c>
      <c r="AZ402" s="72">
        <v>550000</v>
      </c>
      <c r="BA402" s="72">
        <v>1650540</v>
      </c>
      <c r="BB402" s="72">
        <v>0</v>
      </c>
      <c r="BC402" s="72">
        <v>0</v>
      </c>
      <c r="BD402" s="72">
        <v>0</v>
      </c>
      <c r="BE402" s="72">
        <v>1650540</v>
      </c>
      <c r="BF402" s="72">
        <v>0</v>
      </c>
      <c r="BG402" s="72">
        <v>0</v>
      </c>
      <c r="BH402" s="72">
        <v>0</v>
      </c>
      <c r="BI402" s="72">
        <v>0</v>
      </c>
      <c r="BJ402" s="72">
        <v>1650540</v>
      </c>
      <c r="BM402" s="72">
        <v>0</v>
      </c>
      <c r="BN402" s="72">
        <v>0</v>
      </c>
      <c r="BO402" s="72">
        <v>0</v>
      </c>
      <c r="BP402" s="72">
        <v>0</v>
      </c>
      <c r="BQ402" s="72">
        <v>0</v>
      </c>
      <c r="BR402" s="72">
        <v>0</v>
      </c>
      <c r="BS402" s="72">
        <v>15345749</v>
      </c>
    </row>
    <row r="403" spans="1:71" x14ac:dyDescent="0.2">
      <c r="A403" t="s">
        <v>482</v>
      </c>
      <c r="B403" t="s">
        <v>1186</v>
      </c>
      <c r="C403" t="s">
        <v>61</v>
      </c>
      <c r="D403" s="72">
        <v>11442026</v>
      </c>
      <c r="E403" s="72">
        <v>840340</v>
      </c>
      <c r="F403" s="72">
        <v>0</v>
      </c>
      <c r="G403" s="72">
        <v>10778919</v>
      </c>
      <c r="H403" s="72">
        <v>40204</v>
      </c>
      <c r="I403" s="72">
        <v>0</v>
      </c>
      <c r="J403" s="72">
        <v>1890869</v>
      </c>
      <c r="K403" s="72">
        <v>2578321</v>
      </c>
      <c r="L403" s="72">
        <v>27570679</v>
      </c>
      <c r="M403" s="72">
        <v>0</v>
      </c>
      <c r="N403" s="72">
        <v>0</v>
      </c>
      <c r="O403" s="72">
        <v>0</v>
      </c>
      <c r="P403" s="72">
        <v>324000</v>
      </c>
      <c r="Q403" s="72">
        <v>120000</v>
      </c>
      <c r="R403" s="72">
        <v>444000</v>
      </c>
      <c r="S403" s="72">
        <v>28014679</v>
      </c>
      <c r="T403" s="72">
        <v>15518607</v>
      </c>
      <c r="U403" s="72">
        <v>5810596</v>
      </c>
      <c r="V403" s="72">
        <v>5096322</v>
      </c>
      <c r="W403" s="72">
        <v>862055</v>
      </c>
      <c r="X403" s="72">
        <v>669800</v>
      </c>
      <c r="Y403" s="72">
        <v>0</v>
      </c>
      <c r="Z403" s="72">
        <v>0</v>
      </c>
      <c r="AA403" s="72">
        <v>0</v>
      </c>
      <c r="AB403" s="72">
        <v>0</v>
      </c>
      <c r="AC403" s="72">
        <v>0</v>
      </c>
      <c r="AD403" s="72">
        <v>0</v>
      </c>
      <c r="AE403" s="72">
        <v>0</v>
      </c>
      <c r="AF403" s="72">
        <v>0</v>
      </c>
      <c r="AG403" s="72">
        <v>403000</v>
      </c>
      <c r="AH403" s="72">
        <v>28360380</v>
      </c>
      <c r="AI403" s="72">
        <v>245000</v>
      </c>
      <c r="AJ403" s="72">
        <v>102125</v>
      </c>
      <c r="AK403" s="72">
        <v>0</v>
      </c>
      <c r="AL403" s="72">
        <v>347125</v>
      </c>
      <c r="AM403" s="72">
        <v>28707505</v>
      </c>
      <c r="AN403" s="72">
        <v>-692826</v>
      </c>
      <c r="AO403" s="72">
        <v>2607032</v>
      </c>
      <c r="AP403" s="72">
        <v>1914206</v>
      </c>
      <c r="AQ403" s="72">
        <v>775000</v>
      </c>
      <c r="AR403" s="72">
        <v>0</v>
      </c>
      <c r="AS403" s="72">
        <v>0</v>
      </c>
      <c r="AT403" s="72">
        <v>0</v>
      </c>
      <c r="AU403" s="72">
        <v>0</v>
      </c>
      <c r="AV403" s="72">
        <v>0</v>
      </c>
      <c r="AW403" s="72">
        <v>0</v>
      </c>
      <c r="AX403" s="72">
        <v>0</v>
      </c>
      <c r="AY403" s="72">
        <v>0</v>
      </c>
      <c r="AZ403" s="72">
        <v>0</v>
      </c>
      <c r="BA403" s="72">
        <v>1139206</v>
      </c>
      <c r="BB403" s="72">
        <v>0</v>
      </c>
      <c r="BC403" s="72">
        <v>0</v>
      </c>
      <c r="BD403" s="72">
        <v>0</v>
      </c>
      <c r="BE403" s="72">
        <v>1139206</v>
      </c>
      <c r="BF403" s="72">
        <v>0</v>
      </c>
      <c r="BG403" s="72">
        <v>0</v>
      </c>
      <c r="BH403" s="72">
        <v>0</v>
      </c>
      <c r="BI403" s="72">
        <v>0</v>
      </c>
      <c r="BJ403" s="72">
        <v>1139206</v>
      </c>
      <c r="BM403" s="72">
        <v>0</v>
      </c>
      <c r="BN403" s="72">
        <v>0</v>
      </c>
      <c r="BO403" s="72">
        <v>0</v>
      </c>
      <c r="BP403" s="72">
        <v>0</v>
      </c>
      <c r="BQ403" s="72">
        <v>0</v>
      </c>
      <c r="BR403" s="72">
        <v>0</v>
      </c>
      <c r="BS403" s="72">
        <v>28707505</v>
      </c>
    </row>
    <row r="404" spans="1:71" x14ac:dyDescent="0.2">
      <c r="A404" t="s">
        <v>125</v>
      </c>
      <c r="B404" t="s">
        <v>846</v>
      </c>
      <c r="C404" t="s">
        <v>104</v>
      </c>
      <c r="D404" s="72">
        <v>19975500</v>
      </c>
      <c r="E404" s="72">
        <v>1040000</v>
      </c>
      <c r="F404" s="72">
        <v>0</v>
      </c>
      <c r="G404" s="72">
        <v>6560380</v>
      </c>
      <c r="H404" s="72">
        <v>0</v>
      </c>
      <c r="J404" s="72">
        <v>4480262</v>
      </c>
      <c r="K404" s="72">
        <v>600000</v>
      </c>
      <c r="L404" s="72">
        <v>32656142</v>
      </c>
      <c r="M404" s="72">
        <v>0</v>
      </c>
      <c r="N404" s="72">
        <v>0</v>
      </c>
      <c r="O404" s="72">
        <v>0</v>
      </c>
      <c r="P404" s="72">
        <v>187965</v>
      </c>
      <c r="Q404" s="72">
        <v>0</v>
      </c>
      <c r="R404" s="72">
        <v>187965</v>
      </c>
      <c r="S404" s="72">
        <v>32844107</v>
      </c>
      <c r="T404" s="72">
        <v>20937536</v>
      </c>
      <c r="U404" s="72">
        <v>8113525</v>
      </c>
      <c r="V404" s="72">
        <v>4870754</v>
      </c>
      <c r="W404" s="72">
        <v>1047608</v>
      </c>
      <c r="X404" s="72">
        <v>0</v>
      </c>
      <c r="Y404" s="72">
        <v>0</v>
      </c>
      <c r="Z404" s="72">
        <v>0</v>
      </c>
      <c r="AA404" s="72">
        <v>0</v>
      </c>
      <c r="AB404" s="72">
        <v>0</v>
      </c>
      <c r="AC404" s="72">
        <v>0</v>
      </c>
      <c r="AD404" s="72">
        <v>0</v>
      </c>
      <c r="AE404" s="72">
        <v>0</v>
      </c>
      <c r="AF404" s="72">
        <v>0</v>
      </c>
      <c r="AG404" s="72">
        <v>573000</v>
      </c>
      <c r="AH404" s="72">
        <v>35542423</v>
      </c>
      <c r="AI404" s="72">
        <v>0</v>
      </c>
      <c r="AJ404" s="72">
        <v>150000</v>
      </c>
      <c r="AK404" s="72">
        <v>0</v>
      </c>
      <c r="AL404" s="72">
        <v>150000</v>
      </c>
      <c r="AM404" s="72">
        <v>35692423</v>
      </c>
      <c r="AN404" s="72">
        <v>-2848316</v>
      </c>
      <c r="AO404" s="72">
        <v>5506688</v>
      </c>
      <c r="AP404" s="72">
        <v>2658372</v>
      </c>
      <c r="AQ404" s="72">
        <v>0</v>
      </c>
      <c r="AR404" s="72">
        <v>0</v>
      </c>
      <c r="AS404" s="72">
        <v>0</v>
      </c>
      <c r="AT404" s="72">
        <v>0</v>
      </c>
      <c r="AU404" s="72">
        <v>0</v>
      </c>
      <c r="AW404" s="72">
        <v>0</v>
      </c>
      <c r="AX404" s="72">
        <v>0</v>
      </c>
      <c r="AY404" s="72">
        <v>0</v>
      </c>
      <c r="AZ404" s="72">
        <v>0</v>
      </c>
      <c r="BA404" s="72">
        <v>2658372</v>
      </c>
      <c r="BB404" s="72">
        <v>0</v>
      </c>
      <c r="BC404" s="72">
        <v>0</v>
      </c>
      <c r="BD404" s="72">
        <v>0</v>
      </c>
      <c r="BE404" s="72">
        <v>2658372</v>
      </c>
      <c r="BF404" s="72">
        <v>0</v>
      </c>
      <c r="BG404" s="72">
        <v>0</v>
      </c>
      <c r="BH404" s="72">
        <v>0</v>
      </c>
      <c r="BI404" s="72">
        <v>0</v>
      </c>
      <c r="BJ404" s="72">
        <v>2658372</v>
      </c>
      <c r="BK404" s="72">
        <v>0</v>
      </c>
      <c r="BL404" s="72">
        <v>0</v>
      </c>
      <c r="BS404" s="72">
        <v>35692423</v>
      </c>
    </row>
    <row r="405" spans="1:71" x14ac:dyDescent="0.2">
      <c r="A405" t="s">
        <v>563</v>
      </c>
      <c r="B405" t="s">
        <v>1262</v>
      </c>
      <c r="C405" t="s">
        <v>104</v>
      </c>
      <c r="D405" s="72">
        <v>9351742</v>
      </c>
      <c r="E405" s="72">
        <v>156208</v>
      </c>
      <c r="G405" s="72">
        <v>1686575</v>
      </c>
      <c r="H405" s="72">
        <v>2000</v>
      </c>
      <c r="J405" s="72">
        <v>1510000</v>
      </c>
      <c r="K405" s="72">
        <v>141079</v>
      </c>
      <c r="L405" s="72">
        <v>12847604</v>
      </c>
      <c r="Q405" s="72">
        <v>104423</v>
      </c>
      <c r="R405" s="72">
        <v>104423</v>
      </c>
      <c r="S405" s="72">
        <v>12952027</v>
      </c>
      <c r="T405" s="72">
        <v>7551295</v>
      </c>
      <c r="U405" s="72">
        <v>2659745</v>
      </c>
      <c r="V405" s="72">
        <v>2027615</v>
      </c>
      <c r="W405" s="72">
        <v>490436</v>
      </c>
      <c r="X405" s="72">
        <v>23722</v>
      </c>
      <c r="AG405" s="72">
        <v>246664</v>
      </c>
      <c r="AH405" s="72">
        <v>12999477</v>
      </c>
      <c r="AI405" s="72">
        <v>196000</v>
      </c>
      <c r="AL405" s="72">
        <v>196000</v>
      </c>
      <c r="AM405" s="72">
        <v>13195477</v>
      </c>
      <c r="AN405" s="72">
        <v>-243450</v>
      </c>
      <c r="AO405" s="72">
        <v>4963537</v>
      </c>
      <c r="AP405" s="72">
        <v>4720087</v>
      </c>
      <c r="AQ405" s="72">
        <v>40000</v>
      </c>
      <c r="AV405" s="72">
        <v>0</v>
      </c>
      <c r="BA405" s="72">
        <v>4680087</v>
      </c>
      <c r="BE405" s="72">
        <v>4680087</v>
      </c>
      <c r="BG405" s="72">
        <v>514392</v>
      </c>
      <c r="BH405" s="72">
        <v>514392</v>
      </c>
      <c r="BJ405" s="72">
        <v>5194479</v>
      </c>
      <c r="BM405" s="72">
        <v>0</v>
      </c>
      <c r="BN405" s="72">
        <v>0</v>
      </c>
      <c r="BO405" s="72">
        <v>0</v>
      </c>
      <c r="BP405" s="72">
        <v>0</v>
      </c>
      <c r="BQ405" s="72">
        <v>0</v>
      </c>
      <c r="BR405" s="72">
        <v>0</v>
      </c>
      <c r="BS405" s="72">
        <v>13195477</v>
      </c>
    </row>
    <row r="406" spans="1:71" x14ac:dyDescent="0.2">
      <c r="A406" t="s">
        <v>654</v>
      </c>
      <c r="B406" t="s">
        <v>1344</v>
      </c>
      <c r="C406" t="s">
        <v>104</v>
      </c>
      <c r="D406" s="72">
        <v>21699326</v>
      </c>
      <c r="E406" s="72">
        <v>382252</v>
      </c>
      <c r="F406" s="72">
        <v>0</v>
      </c>
      <c r="G406" s="72">
        <v>6514290</v>
      </c>
      <c r="H406" s="72">
        <v>7000</v>
      </c>
      <c r="I406" s="72">
        <v>0</v>
      </c>
      <c r="J406" s="72">
        <v>3759026</v>
      </c>
      <c r="K406" s="72">
        <v>1075000</v>
      </c>
      <c r="L406" s="72">
        <v>33436894</v>
      </c>
      <c r="M406" s="72">
        <v>0</v>
      </c>
      <c r="N406" s="72">
        <v>0</v>
      </c>
      <c r="O406" s="72">
        <v>1000000</v>
      </c>
      <c r="P406" s="72">
        <v>0</v>
      </c>
      <c r="Q406" s="72">
        <v>76875</v>
      </c>
      <c r="R406" s="72">
        <v>1076875</v>
      </c>
      <c r="S406" s="72">
        <v>34513769</v>
      </c>
      <c r="T406" s="72">
        <v>20500000</v>
      </c>
      <c r="U406" s="72">
        <v>7387000</v>
      </c>
      <c r="V406" s="72">
        <v>4800000</v>
      </c>
      <c r="W406" s="72">
        <v>950000</v>
      </c>
      <c r="X406" s="72">
        <v>3000</v>
      </c>
      <c r="Y406" s="72">
        <v>0</v>
      </c>
      <c r="Z406" s="72">
        <v>0</v>
      </c>
      <c r="AA406" s="72">
        <v>0</v>
      </c>
      <c r="AB406" s="72">
        <v>0</v>
      </c>
      <c r="AC406" s="72">
        <v>0</v>
      </c>
      <c r="AD406" s="72">
        <v>0</v>
      </c>
      <c r="AE406" s="72">
        <v>0</v>
      </c>
      <c r="AF406" s="72">
        <v>0</v>
      </c>
      <c r="AG406" s="72">
        <v>2200000</v>
      </c>
      <c r="AH406" s="72">
        <v>35840000</v>
      </c>
      <c r="AI406" s="72">
        <v>1076875</v>
      </c>
      <c r="AJ406" s="72">
        <v>0</v>
      </c>
      <c r="AK406" s="72">
        <v>0</v>
      </c>
      <c r="AL406" s="72">
        <v>1076875</v>
      </c>
      <c r="AM406" s="72">
        <v>36916875</v>
      </c>
      <c r="AN406" s="72">
        <v>-2403106</v>
      </c>
      <c r="AO406" s="72">
        <v>4638705</v>
      </c>
      <c r="AP406" s="72">
        <v>2235599</v>
      </c>
      <c r="AQ406" s="72">
        <v>236000</v>
      </c>
      <c r="AR406" s="72">
        <v>0</v>
      </c>
      <c r="AS406" s="72">
        <v>0</v>
      </c>
      <c r="AT406" s="72">
        <v>0</v>
      </c>
      <c r="AU406" s="72">
        <v>0</v>
      </c>
      <c r="AV406" s="72">
        <v>0</v>
      </c>
      <c r="AW406" s="72">
        <v>0</v>
      </c>
      <c r="AX406" s="72">
        <v>0</v>
      </c>
      <c r="AY406" s="72">
        <v>0</v>
      </c>
      <c r="AZ406" s="72">
        <v>0</v>
      </c>
      <c r="BA406" s="72">
        <v>1999599</v>
      </c>
      <c r="BB406" s="72">
        <v>0</v>
      </c>
      <c r="BC406" s="72">
        <v>0</v>
      </c>
      <c r="BD406" s="72">
        <v>0</v>
      </c>
      <c r="BE406" s="72">
        <v>1999599</v>
      </c>
      <c r="BF406" s="72">
        <v>0</v>
      </c>
      <c r="BG406" s="72">
        <v>925000</v>
      </c>
      <c r="BH406" s="72">
        <v>925000</v>
      </c>
      <c r="BI406" s="72">
        <v>0</v>
      </c>
      <c r="BJ406" s="72">
        <v>2924599</v>
      </c>
      <c r="BK406" s="72">
        <v>266</v>
      </c>
      <c r="BL406" s="72">
        <v>3782</v>
      </c>
      <c r="BM406" s="72">
        <v>0</v>
      </c>
      <c r="BN406" s="72">
        <v>0</v>
      </c>
      <c r="BO406" s="72">
        <v>0</v>
      </c>
      <c r="BP406" s="72">
        <v>0</v>
      </c>
      <c r="BQ406" s="72">
        <v>0</v>
      </c>
      <c r="BR406" s="72">
        <v>0</v>
      </c>
      <c r="BS406" s="72">
        <v>36916875</v>
      </c>
    </row>
    <row r="407" spans="1:71" x14ac:dyDescent="0.2">
      <c r="A407" t="s">
        <v>727</v>
      </c>
      <c r="B407" t="s">
        <v>1417</v>
      </c>
      <c r="C407" t="s">
        <v>104</v>
      </c>
      <c r="D407" s="72">
        <v>31900000</v>
      </c>
      <c r="E407" s="72">
        <v>0</v>
      </c>
      <c r="F407" s="72">
        <v>0</v>
      </c>
      <c r="G407" s="72">
        <v>22647933</v>
      </c>
      <c r="H407" s="72">
        <v>530000</v>
      </c>
      <c r="I407" s="72">
        <v>0</v>
      </c>
      <c r="J407" s="72">
        <v>10314455</v>
      </c>
      <c r="K407" s="72">
        <v>1285726</v>
      </c>
      <c r="L407" s="72">
        <v>66678114</v>
      </c>
      <c r="M407" s="72">
        <v>0</v>
      </c>
      <c r="N407" s="72">
        <v>0</v>
      </c>
      <c r="O407" s="72">
        <v>0</v>
      </c>
      <c r="P407" s="72">
        <v>400000</v>
      </c>
      <c r="Q407" s="72">
        <v>4046000</v>
      </c>
      <c r="R407" s="72">
        <v>4446000</v>
      </c>
      <c r="S407" s="72">
        <v>71124114</v>
      </c>
      <c r="T407" s="72">
        <v>43149590</v>
      </c>
      <c r="U407" s="72">
        <v>15819245</v>
      </c>
      <c r="V407" s="72">
        <v>8632960</v>
      </c>
      <c r="W407" s="72">
        <v>2877525</v>
      </c>
      <c r="X407" s="72">
        <v>611000</v>
      </c>
      <c r="Y407" s="72">
        <v>0</v>
      </c>
      <c r="Z407" s="72">
        <v>0</v>
      </c>
      <c r="AA407" s="72">
        <v>0</v>
      </c>
      <c r="AB407" s="72">
        <v>0</v>
      </c>
      <c r="AC407" s="72">
        <v>0</v>
      </c>
      <c r="AD407" s="72">
        <v>0</v>
      </c>
      <c r="AE407" s="72">
        <v>0</v>
      </c>
      <c r="AF407" s="72">
        <v>0</v>
      </c>
      <c r="AG407" s="72">
        <v>4073370</v>
      </c>
      <c r="AH407" s="72">
        <v>75163690</v>
      </c>
      <c r="AI407" s="72">
        <v>50000</v>
      </c>
      <c r="AJ407" s="72">
        <v>400000</v>
      </c>
      <c r="AK407" s="72">
        <v>0</v>
      </c>
      <c r="AL407" s="72">
        <v>450000</v>
      </c>
      <c r="AM407" s="72">
        <v>75613690</v>
      </c>
      <c r="AN407" s="72">
        <v>-4489576</v>
      </c>
      <c r="AO407" s="72">
        <v>32352825</v>
      </c>
      <c r="AP407" s="72">
        <v>27863249</v>
      </c>
      <c r="AQ407" s="72">
        <v>950000</v>
      </c>
      <c r="AR407" s="72">
        <v>0</v>
      </c>
      <c r="AS407" s="72">
        <v>0</v>
      </c>
      <c r="AT407" s="72">
        <v>3450000</v>
      </c>
      <c r="AU407" s="72">
        <v>0</v>
      </c>
      <c r="AV407" s="72">
        <v>0</v>
      </c>
      <c r="AW407" s="72">
        <v>0</v>
      </c>
      <c r="AX407" s="72">
        <v>0</v>
      </c>
      <c r="AY407" s="72">
        <v>0</v>
      </c>
      <c r="AZ407" s="72">
        <v>3450000</v>
      </c>
      <c r="BA407" s="72">
        <v>23463249</v>
      </c>
      <c r="BB407" s="72">
        <v>0</v>
      </c>
      <c r="BC407" s="72">
        <v>0</v>
      </c>
      <c r="BD407" s="72">
        <v>0</v>
      </c>
      <c r="BE407" s="72">
        <v>23463249</v>
      </c>
      <c r="BF407" s="72">
        <v>0</v>
      </c>
      <c r="BG407" s="72">
        <v>0</v>
      </c>
      <c r="BH407" s="72">
        <v>0</v>
      </c>
      <c r="BI407" s="72">
        <v>0</v>
      </c>
      <c r="BJ407" s="72">
        <v>23463249</v>
      </c>
      <c r="BK407" s="72">
        <v>515</v>
      </c>
      <c r="BL407" s="72">
        <v>6321</v>
      </c>
      <c r="BM407" s="72">
        <v>0</v>
      </c>
      <c r="BN407" s="72">
        <v>0</v>
      </c>
      <c r="BO407" s="72">
        <v>0</v>
      </c>
      <c r="BP407" s="72">
        <v>0</v>
      </c>
      <c r="BQ407" s="72">
        <v>0</v>
      </c>
      <c r="BR407" s="72">
        <v>0</v>
      </c>
      <c r="BS407" s="72">
        <v>75613690</v>
      </c>
    </row>
    <row r="408" spans="1:71" x14ac:dyDescent="0.2">
      <c r="A408" t="s">
        <v>387</v>
      </c>
      <c r="B408" t="s">
        <v>1098</v>
      </c>
      <c r="C408" t="s">
        <v>99</v>
      </c>
      <c r="D408" s="72">
        <v>4110665</v>
      </c>
      <c r="E408" s="72">
        <v>169914</v>
      </c>
      <c r="F408" s="72">
        <v>863939</v>
      </c>
      <c r="G408" s="72">
        <v>3954437</v>
      </c>
      <c r="H408" s="72">
        <v>2161</v>
      </c>
      <c r="I408" s="72">
        <v>0</v>
      </c>
      <c r="J408" s="72">
        <v>703264</v>
      </c>
      <c r="K408" s="72">
        <v>1545927</v>
      </c>
      <c r="L408" s="72">
        <v>11350307</v>
      </c>
      <c r="M408" s="72">
        <v>0</v>
      </c>
      <c r="N408" s="72">
        <v>0</v>
      </c>
      <c r="O408" s="72">
        <v>0</v>
      </c>
      <c r="P408" s="72">
        <v>1954</v>
      </c>
      <c r="Q408" s="72">
        <v>32810</v>
      </c>
      <c r="R408" s="72">
        <v>34764</v>
      </c>
      <c r="S408" s="72">
        <v>11385071</v>
      </c>
      <c r="T408" s="72">
        <v>7031433</v>
      </c>
      <c r="U408" s="72">
        <v>2646850</v>
      </c>
      <c r="V408" s="72">
        <v>1711059</v>
      </c>
      <c r="W408" s="72">
        <v>333021</v>
      </c>
      <c r="X408" s="72">
        <v>127820</v>
      </c>
      <c r="Y408" s="72">
        <v>0</v>
      </c>
      <c r="Z408" s="72">
        <v>0</v>
      </c>
      <c r="AA408" s="72">
        <v>0</v>
      </c>
      <c r="AB408" s="72">
        <v>0</v>
      </c>
      <c r="AC408" s="72">
        <v>0</v>
      </c>
      <c r="AD408" s="72">
        <v>0</v>
      </c>
      <c r="AE408" s="72">
        <v>0</v>
      </c>
      <c r="AF408" s="72">
        <v>0</v>
      </c>
      <c r="AG408" s="72">
        <v>170449</v>
      </c>
      <c r="AH408" s="72">
        <v>12020632</v>
      </c>
      <c r="AI408" s="72">
        <v>162896</v>
      </c>
      <c r="AJ408" s="72">
        <v>0</v>
      </c>
      <c r="AK408" s="72">
        <v>0</v>
      </c>
      <c r="AL408" s="72">
        <v>162896</v>
      </c>
      <c r="AM408" s="72">
        <v>12183528</v>
      </c>
      <c r="AN408" s="72">
        <v>-798457</v>
      </c>
      <c r="AO408" s="72">
        <v>4323908</v>
      </c>
      <c r="AP408" s="72">
        <v>3525451</v>
      </c>
      <c r="AQ408" s="72">
        <v>175000</v>
      </c>
      <c r="AR408" s="72">
        <v>0</v>
      </c>
      <c r="AS408" s="72">
        <v>0</v>
      </c>
      <c r="AT408" s="72">
        <v>0</v>
      </c>
      <c r="AU408" s="72">
        <v>0</v>
      </c>
      <c r="AV408" s="72">
        <v>0</v>
      </c>
      <c r="AW408" s="72">
        <v>0</v>
      </c>
      <c r="AX408" s="72">
        <v>0</v>
      </c>
      <c r="AY408" s="72">
        <v>0</v>
      </c>
      <c r="AZ408" s="72">
        <v>0</v>
      </c>
      <c r="BA408" s="72">
        <v>3350451</v>
      </c>
      <c r="BB408" s="72">
        <v>0</v>
      </c>
      <c r="BC408" s="72">
        <v>0</v>
      </c>
      <c r="BD408" s="72">
        <v>0</v>
      </c>
      <c r="BE408" s="72">
        <v>3350451</v>
      </c>
      <c r="BF408" s="72">
        <v>0</v>
      </c>
      <c r="BG408" s="72">
        <v>0</v>
      </c>
      <c r="BH408" s="72">
        <v>0</v>
      </c>
      <c r="BI408" s="72">
        <v>0</v>
      </c>
      <c r="BJ408" s="72">
        <v>3350451</v>
      </c>
      <c r="BM408" s="72">
        <v>0</v>
      </c>
      <c r="BN408" s="72">
        <v>0</v>
      </c>
      <c r="BO408" s="72">
        <v>0</v>
      </c>
      <c r="BP408" s="72">
        <v>0</v>
      </c>
      <c r="BQ408" s="72">
        <v>0</v>
      </c>
      <c r="BR408" s="72">
        <v>0</v>
      </c>
      <c r="BS408" s="72">
        <v>12183528</v>
      </c>
    </row>
    <row r="409" spans="1:71" x14ac:dyDescent="0.2">
      <c r="A409" t="s">
        <v>391</v>
      </c>
      <c r="B409" t="s">
        <v>1102</v>
      </c>
      <c r="C409" t="s">
        <v>99</v>
      </c>
      <c r="D409" s="72">
        <v>5347238</v>
      </c>
      <c r="E409" s="72">
        <v>229127</v>
      </c>
      <c r="F409" s="72">
        <v>2159495</v>
      </c>
      <c r="G409" s="72">
        <v>7058000</v>
      </c>
      <c r="H409" s="72">
        <v>0</v>
      </c>
      <c r="I409" s="72">
        <v>0</v>
      </c>
      <c r="J409" s="72">
        <v>701875</v>
      </c>
      <c r="K409" s="72">
        <v>1111486</v>
      </c>
      <c r="L409" s="72">
        <v>16607221</v>
      </c>
      <c r="M409" s="72">
        <v>0</v>
      </c>
      <c r="N409" s="72">
        <v>0</v>
      </c>
      <c r="O409" s="72">
        <v>390000</v>
      </c>
      <c r="P409" s="72">
        <v>0</v>
      </c>
      <c r="Q409" s="72">
        <v>58254</v>
      </c>
      <c r="R409" s="72">
        <v>448254</v>
      </c>
      <c r="S409" s="72">
        <v>17055475</v>
      </c>
      <c r="T409" s="72">
        <v>9701670</v>
      </c>
      <c r="U409" s="72">
        <v>3852900</v>
      </c>
      <c r="V409" s="72">
        <v>2001872</v>
      </c>
      <c r="W409" s="72">
        <v>569064</v>
      </c>
      <c r="X409" s="72">
        <v>50000</v>
      </c>
      <c r="Y409" s="72">
        <v>0</v>
      </c>
      <c r="Z409" s="72">
        <v>0</v>
      </c>
      <c r="AA409" s="72">
        <v>85000</v>
      </c>
      <c r="AB409" s="72">
        <v>0</v>
      </c>
      <c r="AC409" s="72">
        <v>0</v>
      </c>
      <c r="AD409" s="72">
        <v>0</v>
      </c>
      <c r="AE409" s="72">
        <v>0</v>
      </c>
      <c r="AF409" s="72">
        <v>0</v>
      </c>
      <c r="AG409" s="72">
        <v>507000</v>
      </c>
      <c r="AH409" s="72">
        <v>16767506</v>
      </c>
      <c r="AI409" s="72">
        <v>0</v>
      </c>
      <c r="AJ409" s="72">
        <v>0</v>
      </c>
      <c r="AK409" s="72">
        <v>0</v>
      </c>
      <c r="AL409" s="72">
        <v>0</v>
      </c>
      <c r="AM409" s="72">
        <v>16767506</v>
      </c>
      <c r="AN409" s="72">
        <v>287969</v>
      </c>
      <c r="AO409" s="72">
        <v>114461</v>
      </c>
      <c r="AP409" s="72">
        <v>402430</v>
      </c>
      <c r="AQ409" s="72">
        <v>50000</v>
      </c>
      <c r="AR409" s="72">
        <v>0</v>
      </c>
      <c r="AS409" s="72">
        <v>0</v>
      </c>
      <c r="AT409" s="72">
        <v>0</v>
      </c>
      <c r="AU409" s="72">
        <v>0</v>
      </c>
      <c r="AV409" s="72">
        <v>0</v>
      </c>
      <c r="AW409" s="72">
        <v>0</v>
      </c>
      <c r="AX409" s="72">
        <v>0</v>
      </c>
      <c r="AY409" s="72">
        <v>0</v>
      </c>
      <c r="AZ409" s="72">
        <v>0</v>
      </c>
      <c r="BA409" s="72">
        <v>352430</v>
      </c>
      <c r="BB409" s="72">
        <v>0</v>
      </c>
      <c r="BC409" s="72">
        <v>0</v>
      </c>
      <c r="BD409" s="72">
        <v>0</v>
      </c>
      <c r="BE409" s="72">
        <v>352430</v>
      </c>
      <c r="BF409" s="72">
        <v>0</v>
      </c>
      <c r="BG409" s="72">
        <v>0</v>
      </c>
      <c r="BH409" s="72">
        <v>0</v>
      </c>
      <c r="BI409" s="72">
        <v>0</v>
      </c>
      <c r="BJ409" s="72">
        <v>352430</v>
      </c>
      <c r="BK409" s="72">
        <v>173</v>
      </c>
      <c r="BL409" s="72">
        <v>2080</v>
      </c>
      <c r="BM409" s="72">
        <v>0</v>
      </c>
      <c r="BN409" s="72">
        <v>0</v>
      </c>
      <c r="BO409" s="72">
        <v>0</v>
      </c>
      <c r="BP409" s="72">
        <v>0</v>
      </c>
      <c r="BQ409" s="72">
        <v>0</v>
      </c>
      <c r="BR409" s="72">
        <v>0</v>
      </c>
      <c r="BS409" s="72">
        <v>17055475</v>
      </c>
    </row>
    <row r="410" spans="1:71" x14ac:dyDescent="0.2">
      <c r="A410" t="s">
        <v>446</v>
      </c>
      <c r="B410" t="s">
        <v>1152</v>
      </c>
      <c r="C410" t="s">
        <v>99</v>
      </c>
      <c r="D410" s="72">
        <v>5635516</v>
      </c>
      <c r="E410" s="72">
        <v>871028</v>
      </c>
      <c r="F410" s="72">
        <v>0</v>
      </c>
      <c r="G410" s="72">
        <v>4532351</v>
      </c>
      <c r="H410" s="72">
        <v>73015</v>
      </c>
      <c r="I410" s="72">
        <v>0</v>
      </c>
      <c r="J410" s="72">
        <v>791123</v>
      </c>
      <c r="K410" s="72">
        <v>1108353</v>
      </c>
      <c r="L410" s="72">
        <v>13011386</v>
      </c>
      <c r="M410" s="72">
        <v>0</v>
      </c>
      <c r="N410" s="72">
        <v>0</v>
      </c>
      <c r="O410" s="72">
        <v>0</v>
      </c>
      <c r="P410" s="72">
        <v>0</v>
      </c>
      <c r="Q410" s="72">
        <v>0</v>
      </c>
      <c r="R410" s="72">
        <v>0</v>
      </c>
      <c r="S410" s="72">
        <v>13011386</v>
      </c>
      <c r="T410" s="72">
        <v>7559509</v>
      </c>
      <c r="U410" s="72">
        <v>3130261</v>
      </c>
      <c r="V410" s="72">
        <v>1836285</v>
      </c>
      <c r="W410" s="72">
        <v>521513</v>
      </c>
      <c r="X410" s="72">
        <v>231346</v>
      </c>
      <c r="Y410" s="72">
        <v>0</v>
      </c>
      <c r="Z410" s="72">
        <v>0</v>
      </c>
      <c r="AA410" s="72">
        <v>0</v>
      </c>
      <c r="AB410" s="72">
        <v>0</v>
      </c>
      <c r="AC410" s="72">
        <v>0</v>
      </c>
      <c r="AD410" s="72">
        <v>25000</v>
      </c>
      <c r="AE410" s="72">
        <v>0</v>
      </c>
      <c r="AF410" s="72">
        <v>4611</v>
      </c>
      <c r="AG410" s="72">
        <v>312393</v>
      </c>
      <c r="AH410" s="72">
        <v>13620918</v>
      </c>
      <c r="AI410" s="72">
        <v>0</v>
      </c>
      <c r="AJ410" s="72">
        <v>0</v>
      </c>
      <c r="AK410" s="72">
        <v>0</v>
      </c>
      <c r="AL410" s="72">
        <v>0</v>
      </c>
      <c r="AM410" s="72">
        <v>13620918</v>
      </c>
      <c r="AN410" s="72">
        <v>-609532</v>
      </c>
      <c r="AO410" s="72">
        <v>7223999</v>
      </c>
      <c r="AP410" s="72">
        <v>6614467</v>
      </c>
      <c r="AQ410" s="72">
        <v>110000</v>
      </c>
      <c r="AR410" s="72">
        <v>0</v>
      </c>
      <c r="AS410" s="72">
        <v>0</v>
      </c>
      <c r="AT410" s="72">
        <v>540000</v>
      </c>
      <c r="AU410" s="72">
        <v>0</v>
      </c>
      <c r="AV410" s="72">
        <v>0</v>
      </c>
      <c r="AW410" s="72">
        <v>0</v>
      </c>
      <c r="AX410" s="72">
        <v>0</v>
      </c>
      <c r="AY410" s="72">
        <v>0</v>
      </c>
      <c r="AZ410" s="72">
        <v>540000</v>
      </c>
      <c r="BA410" s="72">
        <v>5964467</v>
      </c>
      <c r="BB410" s="72">
        <v>0</v>
      </c>
      <c r="BC410" s="72">
        <v>0</v>
      </c>
      <c r="BD410" s="72">
        <v>0</v>
      </c>
      <c r="BE410" s="72">
        <v>5964467</v>
      </c>
      <c r="BF410" s="72">
        <v>0</v>
      </c>
      <c r="BG410" s="72">
        <v>0</v>
      </c>
      <c r="BH410" s="72">
        <v>0</v>
      </c>
      <c r="BI410" s="72">
        <v>0</v>
      </c>
      <c r="BJ410" s="72">
        <v>5964467</v>
      </c>
      <c r="BM410" s="72">
        <v>0</v>
      </c>
      <c r="BN410" s="72">
        <v>0</v>
      </c>
      <c r="BO410" s="72">
        <v>0</v>
      </c>
      <c r="BP410" s="72">
        <v>0</v>
      </c>
      <c r="BQ410" s="72">
        <v>0</v>
      </c>
      <c r="BR410" s="72">
        <v>0</v>
      </c>
      <c r="BS410" s="72">
        <v>13620918</v>
      </c>
    </row>
    <row r="411" spans="1:71" x14ac:dyDescent="0.2">
      <c r="A411" t="s">
        <v>139</v>
      </c>
      <c r="B411" t="s">
        <v>860</v>
      </c>
      <c r="C411" t="s">
        <v>44</v>
      </c>
      <c r="D411" s="72">
        <v>14900000</v>
      </c>
      <c r="E411" s="72">
        <v>653000</v>
      </c>
      <c r="F411" s="72">
        <v>0</v>
      </c>
      <c r="G411" s="72">
        <v>18900000</v>
      </c>
      <c r="H411" s="72">
        <v>69000</v>
      </c>
      <c r="I411" s="72">
        <v>0</v>
      </c>
      <c r="J411" s="72">
        <v>2425000</v>
      </c>
      <c r="K411" s="72">
        <v>3683725</v>
      </c>
      <c r="L411" s="72">
        <v>40630725</v>
      </c>
      <c r="M411" s="72">
        <v>0</v>
      </c>
      <c r="N411" s="72">
        <v>0</v>
      </c>
      <c r="O411" s="72">
        <v>50000</v>
      </c>
      <c r="P411" s="72">
        <v>0</v>
      </c>
      <c r="Q411" s="72">
        <v>21000</v>
      </c>
      <c r="R411" s="72">
        <v>71000</v>
      </c>
      <c r="S411" s="72">
        <v>40701725</v>
      </c>
      <c r="T411" s="72">
        <v>23218650</v>
      </c>
      <c r="U411" s="72">
        <v>9562299</v>
      </c>
      <c r="V411" s="72">
        <v>8651689</v>
      </c>
      <c r="W411" s="72">
        <v>1128158</v>
      </c>
      <c r="X411" s="72">
        <v>1510498</v>
      </c>
      <c r="Y411" s="72">
        <v>0</v>
      </c>
      <c r="Z411" s="72">
        <v>0</v>
      </c>
      <c r="AA411" s="72">
        <v>0</v>
      </c>
      <c r="AB411" s="72">
        <v>0</v>
      </c>
      <c r="AC411" s="72">
        <v>0</v>
      </c>
      <c r="AD411" s="72">
        <v>24659</v>
      </c>
      <c r="AE411" s="72">
        <v>0</v>
      </c>
      <c r="AF411" s="72">
        <v>10984</v>
      </c>
      <c r="AG411" s="72">
        <v>475300</v>
      </c>
      <c r="AH411" s="72">
        <v>44582237</v>
      </c>
      <c r="AI411" s="72">
        <v>500000</v>
      </c>
      <c r="AJ411" s="72">
        <v>0</v>
      </c>
      <c r="AK411" s="72">
        <v>0</v>
      </c>
      <c r="AL411" s="72">
        <v>500000</v>
      </c>
      <c r="AM411" s="72">
        <v>45082237</v>
      </c>
      <c r="AN411" s="72">
        <v>-4380512</v>
      </c>
      <c r="AO411" s="72">
        <v>6317339</v>
      </c>
      <c r="AP411" s="72">
        <v>1936827</v>
      </c>
      <c r="AQ411" s="72">
        <v>300000</v>
      </c>
      <c r="AR411" s="72">
        <v>0</v>
      </c>
      <c r="AS411" s="72">
        <v>0</v>
      </c>
      <c r="AT411" s="72">
        <v>0</v>
      </c>
      <c r="AU411" s="72">
        <v>0</v>
      </c>
      <c r="AV411" s="72">
        <v>0</v>
      </c>
      <c r="AW411" s="72">
        <v>0</v>
      </c>
      <c r="AX411" s="72">
        <v>0</v>
      </c>
      <c r="AY411" s="72">
        <v>0</v>
      </c>
      <c r="AZ411" s="72">
        <v>0</v>
      </c>
      <c r="BA411" s="72">
        <v>1636827</v>
      </c>
      <c r="BB411" s="72">
        <v>0</v>
      </c>
      <c r="BC411" s="72">
        <v>0</v>
      </c>
      <c r="BD411" s="72">
        <v>0</v>
      </c>
      <c r="BE411" s="72">
        <v>1636827</v>
      </c>
      <c r="BF411" s="72">
        <v>0</v>
      </c>
      <c r="BG411" s="72">
        <v>0</v>
      </c>
      <c r="BH411" s="72">
        <v>0</v>
      </c>
      <c r="BI411" s="72">
        <v>0</v>
      </c>
      <c r="BJ411" s="72">
        <v>1636827</v>
      </c>
      <c r="BK411" s="72">
        <v>0</v>
      </c>
      <c r="BL411" s="72">
        <v>0</v>
      </c>
      <c r="BM411" s="72">
        <v>0</v>
      </c>
      <c r="BN411" s="72">
        <v>0</v>
      </c>
      <c r="BO411" s="72">
        <v>0</v>
      </c>
      <c r="BP411" s="72">
        <v>0</v>
      </c>
      <c r="BQ411" s="72">
        <v>0</v>
      </c>
      <c r="BR411" s="72">
        <v>0</v>
      </c>
      <c r="BS411" s="72">
        <v>45082237</v>
      </c>
    </row>
    <row r="412" spans="1:71" x14ac:dyDescent="0.2">
      <c r="A412" t="s">
        <v>174</v>
      </c>
      <c r="B412" t="s">
        <v>895</v>
      </c>
      <c r="C412" t="s">
        <v>44</v>
      </c>
      <c r="D412" s="72">
        <v>28114259</v>
      </c>
      <c r="E412" s="72">
        <v>0</v>
      </c>
      <c r="F412" s="72">
        <v>0</v>
      </c>
      <c r="G412" s="72">
        <v>7230000</v>
      </c>
      <c r="H412" s="72">
        <v>0</v>
      </c>
      <c r="I412" s="72">
        <v>0</v>
      </c>
      <c r="J412" s="72">
        <v>3366460</v>
      </c>
      <c r="K412" s="72">
        <v>738608</v>
      </c>
      <c r="L412" s="72">
        <v>39449327</v>
      </c>
      <c r="M412" s="72">
        <v>0</v>
      </c>
      <c r="N412" s="72">
        <v>0</v>
      </c>
      <c r="O412" s="72">
        <v>0</v>
      </c>
      <c r="P412" s="72">
        <v>31041</v>
      </c>
      <c r="Q412" s="72">
        <v>2522535</v>
      </c>
      <c r="R412" s="72">
        <v>2553576</v>
      </c>
      <c r="S412" s="72">
        <v>42002903</v>
      </c>
      <c r="T412" s="72">
        <v>23573696</v>
      </c>
      <c r="U412" s="72">
        <v>9623178</v>
      </c>
      <c r="V412" s="72">
        <v>5470000</v>
      </c>
      <c r="W412" s="72">
        <v>1143823</v>
      </c>
      <c r="X412" s="72">
        <v>625000</v>
      </c>
      <c r="Y412" s="72">
        <v>0</v>
      </c>
      <c r="Z412" s="72">
        <v>111236</v>
      </c>
      <c r="AA412" s="72">
        <v>0</v>
      </c>
      <c r="AB412" s="72">
        <v>0</v>
      </c>
      <c r="AC412" s="72">
        <v>0</v>
      </c>
      <c r="AD412" s="72">
        <v>392629</v>
      </c>
      <c r="AE412" s="72">
        <v>0</v>
      </c>
      <c r="AF412" s="72">
        <v>0</v>
      </c>
      <c r="AG412" s="72">
        <v>668127</v>
      </c>
      <c r="AH412" s="72">
        <v>41607689</v>
      </c>
      <c r="AI412" s="72">
        <v>115904</v>
      </c>
      <c r="AJ412" s="72">
        <v>0</v>
      </c>
      <c r="AK412" s="72">
        <v>0</v>
      </c>
      <c r="AL412" s="72">
        <v>115904</v>
      </c>
      <c r="AM412" s="72">
        <v>41723593</v>
      </c>
      <c r="AN412" s="72">
        <v>279310</v>
      </c>
      <c r="AO412" s="72">
        <v>7767782</v>
      </c>
      <c r="AP412" s="72">
        <v>8047092</v>
      </c>
      <c r="AQ412" s="72">
        <v>0</v>
      </c>
      <c r="AR412" s="72">
        <v>0</v>
      </c>
      <c r="AS412" s="72">
        <v>0</v>
      </c>
      <c r="AT412" s="72">
        <v>233898</v>
      </c>
      <c r="AU412" s="72">
        <v>0</v>
      </c>
      <c r="AV412" s="72">
        <v>0</v>
      </c>
      <c r="AW412" s="72">
        <v>0</v>
      </c>
      <c r="AX412" s="72">
        <v>0</v>
      </c>
      <c r="AY412" s="72">
        <v>0</v>
      </c>
      <c r="AZ412" s="72">
        <v>233898</v>
      </c>
      <c r="BA412" s="72">
        <v>7813194</v>
      </c>
      <c r="BB412" s="72">
        <v>0</v>
      </c>
      <c r="BC412" s="72">
        <v>0</v>
      </c>
      <c r="BD412" s="72">
        <v>0</v>
      </c>
      <c r="BE412" s="72">
        <v>7813194</v>
      </c>
      <c r="BF412" s="72">
        <v>0</v>
      </c>
      <c r="BG412" s="72">
        <v>0</v>
      </c>
      <c r="BH412" s="72">
        <v>0</v>
      </c>
      <c r="BI412" s="72">
        <v>0</v>
      </c>
      <c r="BJ412" s="72">
        <v>7813194</v>
      </c>
      <c r="BK412" s="72">
        <v>0</v>
      </c>
      <c r="BL412" s="72">
        <v>0</v>
      </c>
      <c r="BM412" s="72">
        <v>0</v>
      </c>
      <c r="BN412" s="72">
        <v>0</v>
      </c>
      <c r="BO412" s="72">
        <v>0</v>
      </c>
      <c r="BP412" s="72">
        <v>0</v>
      </c>
      <c r="BQ412" s="72">
        <v>0</v>
      </c>
      <c r="BR412" s="72">
        <v>0</v>
      </c>
      <c r="BS412" s="72">
        <v>42002903</v>
      </c>
    </row>
    <row r="413" spans="1:71" x14ac:dyDescent="0.2">
      <c r="A413" t="s">
        <v>200</v>
      </c>
      <c r="B413" t="s">
        <v>919</v>
      </c>
      <c r="C413" t="s">
        <v>44</v>
      </c>
      <c r="D413" s="72">
        <v>14785000</v>
      </c>
      <c r="E413" s="72">
        <v>0</v>
      </c>
      <c r="F413" s="72">
        <v>0</v>
      </c>
      <c r="G413" s="72">
        <v>6096000</v>
      </c>
      <c r="H413" s="72">
        <v>15700</v>
      </c>
      <c r="I413" s="72">
        <v>0</v>
      </c>
      <c r="J413" s="72">
        <v>2162000</v>
      </c>
      <c r="K413" s="72">
        <v>488000</v>
      </c>
      <c r="L413" s="72">
        <v>23546700</v>
      </c>
      <c r="M413" s="72">
        <v>0</v>
      </c>
      <c r="N413" s="72">
        <v>0</v>
      </c>
      <c r="O413" s="72">
        <v>0</v>
      </c>
      <c r="P413" s="72">
        <v>0</v>
      </c>
      <c r="Q413" s="72">
        <v>0</v>
      </c>
      <c r="R413" s="72">
        <v>0</v>
      </c>
      <c r="S413" s="72">
        <v>23546700</v>
      </c>
      <c r="T413" s="72">
        <v>14226780</v>
      </c>
      <c r="U413" s="72">
        <v>5125370</v>
      </c>
      <c r="V413" s="72">
        <v>3115350</v>
      </c>
      <c r="W413" s="72">
        <v>771000</v>
      </c>
      <c r="X413" s="72">
        <v>50000</v>
      </c>
      <c r="Y413" s="72">
        <v>0</v>
      </c>
      <c r="Z413" s="72">
        <v>0</v>
      </c>
      <c r="AA413" s="72">
        <v>0</v>
      </c>
      <c r="AB413" s="72">
        <v>0</v>
      </c>
      <c r="AC413" s="72">
        <v>0</v>
      </c>
      <c r="AD413" s="72">
        <v>26300</v>
      </c>
      <c r="AE413" s="72">
        <v>0</v>
      </c>
      <c r="AF413" s="72">
        <v>1200</v>
      </c>
      <c r="AG413" s="72">
        <v>484000</v>
      </c>
      <c r="AH413" s="72">
        <v>23800000</v>
      </c>
      <c r="AI413" s="72">
        <v>0</v>
      </c>
      <c r="AJ413" s="72">
        <v>0</v>
      </c>
      <c r="AK413" s="72">
        <v>0</v>
      </c>
      <c r="AL413" s="72">
        <v>0</v>
      </c>
      <c r="AM413" s="72">
        <v>23800000</v>
      </c>
      <c r="AN413" s="72">
        <v>-253300</v>
      </c>
      <c r="AO413" s="72">
        <v>5156107</v>
      </c>
      <c r="AP413" s="72">
        <v>4902807</v>
      </c>
      <c r="AQ413" s="72">
        <v>0</v>
      </c>
      <c r="AR413" s="72">
        <v>0</v>
      </c>
      <c r="AS413" s="72">
        <v>0</v>
      </c>
      <c r="AT413" s="72">
        <v>0</v>
      </c>
      <c r="AU413" s="72">
        <v>0</v>
      </c>
      <c r="AV413" s="72">
        <v>0</v>
      </c>
      <c r="AW413" s="72">
        <v>0</v>
      </c>
      <c r="AX413" s="72">
        <v>0</v>
      </c>
      <c r="AY413" s="72">
        <v>0</v>
      </c>
      <c r="AZ413" s="72">
        <v>0</v>
      </c>
      <c r="BA413" s="72">
        <v>4902807</v>
      </c>
      <c r="BB413" s="72">
        <v>0</v>
      </c>
      <c r="BC413" s="72">
        <v>0</v>
      </c>
      <c r="BD413" s="72">
        <v>0</v>
      </c>
      <c r="BE413" s="72">
        <v>4902807</v>
      </c>
      <c r="BF413" s="72">
        <v>0</v>
      </c>
      <c r="BG413" s="72">
        <v>0</v>
      </c>
      <c r="BH413" s="72">
        <v>0</v>
      </c>
      <c r="BI413" s="72">
        <v>0</v>
      </c>
      <c r="BJ413" s="72">
        <v>4902807</v>
      </c>
      <c r="BK413" s="72">
        <v>128</v>
      </c>
      <c r="BL413" s="72">
        <v>2650</v>
      </c>
      <c r="BM413" s="72">
        <v>0</v>
      </c>
      <c r="BN413" s="72">
        <v>0</v>
      </c>
      <c r="BO413" s="72">
        <v>0</v>
      </c>
      <c r="BP413" s="72">
        <v>0</v>
      </c>
      <c r="BQ413" s="72">
        <v>0</v>
      </c>
      <c r="BR413" s="72">
        <v>0</v>
      </c>
      <c r="BS413" s="72">
        <v>23800000</v>
      </c>
    </row>
    <row r="414" spans="1:71" x14ac:dyDescent="0.2">
      <c r="A414" t="s">
        <v>383</v>
      </c>
      <c r="B414" t="s">
        <v>1094</v>
      </c>
      <c r="C414" t="s">
        <v>44</v>
      </c>
      <c r="D414" s="72">
        <v>4637656</v>
      </c>
      <c r="E414" s="72">
        <v>0</v>
      </c>
      <c r="F414" s="72">
        <v>0</v>
      </c>
      <c r="G414" s="72">
        <v>2260127</v>
      </c>
      <c r="H414" s="72">
        <v>2412</v>
      </c>
      <c r="I414" s="72">
        <v>0</v>
      </c>
      <c r="J414" s="72">
        <v>864032</v>
      </c>
      <c r="K414" s="72">
        <v>715777</v>
      </c>
      <c r="L414" s="72">
        <v>8480004</v>
      </c>
      <c r="M414" s="72">
        <v>0</v>
      </c>
      <c r="N414" s="72">
        <v>0</v>
      </c>
      <c r="O414" s="72">
        <v>0</v>
      </c>
      <c r="P414" s="72">
        <v>0</v>
      </c>
      <c r="Q414" s="72">
        <v>23528</v>
      </c>
      <c r="R414" s="72">
        <v>23528</v>
      </c>
      <c r="S414" s="72">
        <v>8503532</v>
      </c>
      <c r="T414" s="72">
        <v>4292209</v>
      </c>
      <c r="U414" s="72">
        <v>1813477</v>
      </c>
      <c r="V414" s="72">
        <v>2126614</v>
      </c>
      <c r="W414" s="72">
        <v>309964</v>
      </c>
      <c r="X414" s="72">
        <v>84625</v>
      </c>
      <c r="Y414" s="72">
        <v>0</v>
      </c>
      <c r="Z414" s="72">
        <v>0</v>
      </c>
      <c r="AA414" s="72">
        <v>0</v>
      </c>
      <c r="AB414" s="72">
        <v>0</v>
      </c>
      <c r="AC414" s="72">
        <v>0</v>
      </c>
      <c r="AD414" s="72">
        <v>0</v>
      </c>
      <c r="AE414" s="72">
        <v>0</v>
      </c>
      <c r="AF414" s="72">
        <v>0</v>
      </c>
      <c r="AG414" s="72">
        <v>166746</v>
      </c>
      <c r="AH414" s="72">
        <v>8793635</v>
      </c>
      <c r="AI414" s="72">
        <v>56000</v>
      </c>
      <c r="AJ414" s="72">
        <v>0</v>
      </c>
      <c r="AK414" s="72">
        <v>0</v>
      </c>
      <c r="AL414" s="72">
        <v>56000</v>
      </c>
      <c r="AM414" s="72">
        <v>8849635</v>
      </c>
      <c r="AN414" s="72">
        <v>-346103</v>
      </c>
      <c r="AO414" s="72">
        <v>2297955</v>
      </c>
      <c r="AP414" s="72">
        <v>1951852</v>
      </c>
      <c r="AQ414" s="72">
        <v>1200</v>
      </c>
      <c r="AR414" s="72">
        <v>0</v>
      </c>
      <c r="AS414" s="72">
        <v>0</v>
      </c>
      <c r="AT414" s="72">
        <v>0</v>
      </c>
      <c r="AU414" s="72">
        <v>0</v>
      </c>
      <c r="AV414" s="72">
        <v>0</v>
      </c>
      <c r="AW414" s="72">
        <v>0</v>
      </c>
      <c r="AX414" s="72">
        <v>0</v>
      </c>
      <c r="AY414" s="72">
        <v>0</v>
      </c>
      <c r="AZ414" s="72">
        <v>0</v>
      </c>
      <c r="BA414" s="72">
        <v>1950652</v>
      </c>
      <c r="BB414" s="72">
        <v>0</v>
      </c>
      <c r="BC414" s="72">
        <v>0</v>
      </c>
      <c r="BD414" s="72">
        <v>0</v>
      </c>
      <c r="BE414" s="72">
        <v>1950652</v>
      </c>
      <c r="BF414" s="72">
        <v>0</v>
      </c>
      <c r="BG414" s="72">
        <v>0</v>
      </c>
      <c r="BH414" s="72">
        <v>0</v>
      </c>
      <c r="BI414" s="72">
        <v>0</v>
      </c>
      <c r="BJ414" s="72">
        <v>1950652</v>
      </c>
      <c r="BK414" s="72">
        <v>65</v>
      </c>
      <c r="BL414" s="72">
        <v>767</v>
      </c>
      <c r="BM414" s="72">
        <v>0</v>
      </c>
      <c r="BN414" s="72">
        <v>0</v>
      </c>
      <c r="BO414" s="72">
        <v>0</v>
      </c>
      <c r="BP414" s="72">
        <v>0</v>
      </c>
      <c r="BQ414" s="72">
        <v>0</v>
      </c>
      <c r="BR414" s="72">
        <v>0</v>
      </c>
      <c r="BS414" s="72">
        <v>8849635</v>
      </c>
    </row>
    <row r="415" spans="1:71" x14ac:dyDescent="0.2">
      <c r="A415" t="s">
        <v>438</v>
      </c>
      <c r="B415" t="s">
        <v>1146</v>
      </c>
      <c r="C415" t="s">
        <v>44</v>
      </c>
      <c r="D415" s="72">
        <v>860000</v>
      </c>
      <c r="E415" s="72">
        <v>0</v>
      </c>
      <c r="F415" s="72">
        <v>0</v>
      </c>
      <c r="G415" s="72">
        <v>2130000</v>
      </c>
      <c r="H415" s="72">
        <v>15000</v>
      </c>
      <c r="I415" s="72">
        <v>0</v>
      </c>
      <c r="J415" s="72">
        <v>110000</v>
      </c>
      <c r="K415" s="72">
        <v>1600000</v>
      </c>
      <c r="L415" s="72">
        <v>4715000</v>
      </c>
      <c r="M415" s="72">
        <v>0</v>
      </c>
      <c r="N415" s="72">
        <v>0</v>
      </c>
      <c r="O415" s="72">
        <v>0</v>
      </c>
      <c r="P415" s="72">
        <v>0</v>
      </c>
      <c r="Q415" s="72">
        <v>0</v>
      </c>
      <c r="R415" s="72">
        <v>0</v>
      </c>
      <c r="S415" s="72">
        <v>4715000</v>
      </c>
      <c r="T415" s="72">
        <v>2925000</v>
      </c>
      <c r="U415" s="72">
        <v>650000</v>
      </c>
      <c r="V415" s="72">
        <v>385000</v>
      </c>
      <c r="W415" s="72">
        <v>130000</v>
      </c>
      <c r="X415" s="72">
        <v>25000</v>
      </c>
      <c r="Y415" s="72">
        <v>0</v>
      </c>
      <c r="Z415" s="72">
        <v>0</v>
      </c>
      <c r="AA415" s="72">
        <v>0</v>
      </c>
      <c r="AB415" s="72">
        <v>0</v>
      </c>
      <c r="AC415" s="72">
        <v>0</v>
      </c>
      <c r="AD415" s="72">
        <v>0</v>
      </c>
      <c r="AE415" s="72">
        <v>0</v>
      </c>
      <c r="AF415" s="72">
        <v>0</v>
      </c>
      <c r="AG415" s="72">
        <v>275000</v>
      </c>
      <c r="AH415" s="72">
        <v>4390000</v>
      </c>
      <c r="AI415" s="72">
        <v>500000</v>
      </c>
      <c r="AJ415" s="72">
        <v>0</v>
      </c>
      <c r="AK415" s="72">
        <v>0</v>
      </c>
      <c r="AL415" s="72">
        <v>500000</v>
      </c>
      <c r="AM415" s="72">
        <v>4890000</v>
      </c>
      <c r="AN415" s="72">
        <v>-175000</v>
      </c>
      <c r="AO415" s="72">
        <v>1474011</v>
      </c>
      <c r="AP415" s="72">
        <v>1299011</v>
      </c>
      <c r="AQ415" s="72">
        <v>50000</v>
      </c>
      <c r="AR415" s="72">
        <v>0</v>
      </c>
      <c r="AS415" s="72">
        <v>0</v>
      </c>
      <c r="AT415" s="72">
        <v>0</v>
      </c>
      <c r="AU415" s="72">
        <v>0</v>
      </c>
      <c r="AV415" s="72">
        <v>0</v>
      </c>
      <c r="AW415" s="72">
        <v>0</v>
      </c>
      <c r="AX415" s="72">
        <v>0</v>
      </c>
      <c r="AY415" s="72">
        <v>0</v>
      </c>
      <c r="AZ415" s="72">
        <v>0</v>
      </c>
      <c r="BA415" s="72">
        <v>1249011</v>
      </c>
      <c r="BB415" s="72">
        <v>0</v>
      </c>
      <c r="BC415" s="72">
        <v>0</v>
      </c>
      <c r="BD415" s="72">
        <v>0</v>
      </c>
      <c r="BE415" s="72">
        <v>1249011</v>
      </c>
      <c r="BK415" s="72">
        <v>0</v>
      </c>
      <c r="BL415" s="72">
        <v>0</v>
      </c>
      <c r="BM415" s="72">
        <v>0</v>
      </c>
      <c r="BN415" s="72">
        <v>0</v>
      </c>
      <c r="BO415" s="72">
        <v>0</v>
      </c>
      <c r="BP415" s="72">
        <v>0</v>
      </c>
      <c r="BQ415" s="72">
        <v>0</v>
      </c>
      <c r="BR415" s="72">
        <v>0</v>
      </c>
      <c r="BS415" s="72">
        <v>4890000</v>
      </c>
    </row>
    <row r="416" spans="1:71" x14ac:dyDescent="0.2">
      <c r="A416" t="s">
        <v>589</v>
      </c>
      <c r="B416" t="s">
        <v>1286</v>
      </c>
      <c r="C416" t="s">
        <v>44</v>
      </c>
      <c r="D416" s="72">
        <v>12680910</v>
      </c>
      <c r="E416" s="72">
        <v>0</v>
      </c>
      <c r="F416" s="72">
        <v>0</v>
      </c>
      <c r="G416" s="72">
        <v>5392572</v>
      </c>
      <c r="H416" s="72">
        <v>8946</v>
      </c>
      <c r="I416" s="72">
        <v>0</v>
      </c>
      <c r="J416" s="72">
        <v>1942916</v>
      </c>
      <c r="K416" s="72">
        <v>203111</v>
      </c>
      <c r="L416" s="72">
        <v>20228455</v>
      </c>
      <c r="M416" s="72">
        <v>0</v>
      </c>
      <c r="N416" s="72">
        <v>0</v>
      </c>
      <c r="O416" s="72">
        <v>0</v>
      </c>
      <c r="P416" s="72">
        <v>0</v>
      </c>
      <c r="Q416" s="72">
        <v>49025</v>
      </c>
      <c r="R416" s="72">
        <v>49025</v>
      </c>
      <c r="S416" s="72">
        <v>20277480</v>
      </c>
      <c r="T416" s="72">
        <v>11061279</v>
      </c>
      <c r="U416" s="72">
        <v>4163255</v>
      </c>
      <c r="V416" s="72">
        <v>1857720</v>
      </c>
      <c r="W416" s="72">
        <v>1009671</v>
      </c>
      <c r="X416" s="72">
        <v>359354</v>
      </c>
      <c r="Y416" s="72">
        <v>0</v>
      </c>
      <c r="Z416" s="72">
        <v>181831</v>
      </c>
      <c r="AA416" s="72">
        <v>0</v>
      </c>
      <c r="AB416" s="72">
        <v>0</v>
      </c>
      <c r="AC416" s="72">
        <v>0</v>
      </c>
      <c r="AD416" s="72">
        <v>179550</v>
      </c>
      <c r="AE416" s="72">
        <v>0</v>
      </c>
      <c r="AF416" s="72">
        <v>158842</v>
      </c>
      <c r="AG416" s="72">
        <v>1359313</v>
      </c>
      <c r="AH416" s="72">
        <v>20330815</v>
      </c>
      <c r="AI416" s="72">
        <v>66000</v>
      </c>
      <c r="AJ416" s="72">
        <v>0</v>
      </c>
      <c r="AK416" s="72">
        <v>0</v>
      </c>
      <c r="AL416" s="72">
        <v>66000</v>
      </c>
      <c r="AM416" s="72">
        <v>20396815</v>
      </c>
      <c r="AN416" s="72">
        <v>-119335</v>
      </c>
      <c r="AO416" s="72">
        <v>3033599</v>
      </c>
      <c r="AP416" s="72">
        <v>2914264</v>
      </c>
      <c r="AQ416" s="72">
        <v>58840</v>
      </c>
      <c r="AR416" s="72">
        <v>0</v>
      </c>
      <c r="AS416" s="72">
        <v>0</v>
      </c>
      <c r="AT416" s="72">
        <v>0</v>
      </c>
      <c r="AU416" s="72">
        <v>0</v>
      </c>
      <c r="AV416" s="72">
        <v>0</v>
      </c>
      <c r="AW416" s="72">
        <v>0</v>
      </c>
      <c r="AX416" s="72">
        <v>0</v>
      </c>
      <c r="AY416" s="72">
        <v>0</v>
      </c>
      <c r="AZ416" s="72">
        <v>0</v>
      </c>
      <c r="BA416" s="72">
        <v>2855424</v>
      </c>
      <c r="BB416" s="72">
        <v>0</v>
      </c>
      <c r="BC416" s="72">
        <v>0</v>
      </c>
      <c r="BD416" s="72">
        <v>0</v>
      </c>
      <c r="BE416" s="72">
        <v>2855424</v>
      </c>
      <c r="BF416" s="72">
        <v>0</v>
      </c>
      <c r="BG416" s="72">
        <v>0</v>
      </c>
      <c r="BH416" s="72">
        <v>0</v>
      </c>
      <c r="BI416" s="72">
        <v>0</v>
      </c>
      <c r="BJ416" s="72">
        <v>2855424</v>
      </c>
      <c r="BK416" s="72">
        <v>131</v>
      </c>
      <c r="BL416" s="72">
        <v>1985</v>
      </c>
      <c r="BM416" s="72">
        <v>0</v>
      </c>
      <c r="BN416" s="72">
        <v>0</v>
      </c>
      <c r="BO416" s="72">
        <v>0</v>
      </c>
      <c r="BP416" s="72">
        <v>0</v>
      </c>
      <c r="BQ416" s="72">
        <v>0</v>
      </c>
      <c r="BR416" s="72">
        <v>0</v>
      </c>
      <c r="BS416" s="72">
        <v>20396815</v>
      </c>
    </row>
    <row r="417" spans="1:71" x14ac:dyDescent="0.2">
      <c r="A417" t="s">
        <v>624</v>
      </c>
      <c r="B417" t="s">
        <v>1320</v>
      </c>
      <c r="C417" t="s">
        <v>44</v>
      </c>
      <c r="D417" s="72">
        <v>1016808</v>
      </c>
      <c r="E417" s="72">
        <v>100</v>
      </c>
      <c r="F417" s="72">
        <v>460166</v>
      </c>
      <c r="G417" s="72">
        <v>3950036</v>
      </c>
      <c r="H417" s="72">
        <v>0</v>
      </c>
      <c r="I417" s="72">
        <v>0</v>
      </c>
      <c r="J417" s="72">
        <v>279466</v>
      </c>
      <c r="K417" s="72">
        <v>400000</v>
      </c>
      <c r="L417" s="72">
        <v>6106576</v>
      </c>
      <c r="M417" s="72">
        <v>0</v>
      </c>
      <c r="N417" s="72">
        <v>0</v>
      </c>
      <c r="O417" s="72">
        <v>0</v>
      </c>
      <c r="P417" s="72">
        <v>0</v>
      </c>
      <c r="Q417" s="72">
        <v>0</v>
      </c>
      <c r="R417" s="72">
        <v>0</v>
      </c>
      <c r="S417" s="72">
        <v>6106576</v>
      </c>
      <c r="T417" s="72">
        <v>2984650</v>
      </c>
      <c r="U417" s="72">
        <v>1308487</v>
      </c>
      <c r="V417" s="72">
        <v>1680000</v>
      </c>
      <c r="W417" s="72">
        <v>168300</v>
      </c>
      <c r="X417" s="72">
        <v>0</v>
      </c>
      <c r="Y417" s="72">
        <v>0</v>
      </c>
      <c r="Z417" s="72">
        <v>0</v>
      </c>
      <c r="AA417" s="72">
        <v>0</v>
      </c>
      <c r="AB417" s="72">
        <v>0</v>
      </c>
      <c r="AC417" s="72">
        <v>0</v>
      </c>
      <c r="AD417" s="72">
        <v>0</v>
      </c>
      <c r="AE417" s="72">
        <v>0</v>
      </c>
      <c r="AF417" s="72">
        <v>0</v>
      </c>
      <c r="AG417" s="72">
        <v>80000</v>
      </c>
      <c r="AH417" s="72">
        <v>6221437</v>
      </c>
      <c r="AI417" s="72">
        <v>15000</v>
      </c>
      <c r="AJ417" s="72">
        <v>0</v>
      </c>
      <c r="AK417" s="72">
        <v>0</v>
      </c>
      <c r="AL417" s="72">
        <v>15000</v>
      </c>
      <c r="AM417" s="72">
        <v>6236437</v>
      </c>
      <c r="AN417" s="72">
        <v>-129861</v>
      </c>
      <c r="AO417" s="72">
        <v>152506</v>
      </c>
      <c r="AP417" s="72">
        <v>22645</v>
      </c>
      <c r="AQ417" s="72">
        <v>0</v>
      </c>
      <c r="AR417" s="72">
        <v>0</v>
      </c>
      <c r="AS417" s="72">
        <v>108736</v>
      </c>
      <c r="AT417" s="72">
        <v>0</v>
      </c>
      <c r="AU417" s="72">
        <v>0</v>
      </c>
      <c r="AV417" s="72">
        <v>0</v>
      </c>
      <c r="AW417" s="72">
        <v>0</v>
      </c>
      <c r="AX417" s="72">
        <v>0</v>
      </c>
      <c r="AY417" s="72">
        <v>0</v>
      </c>
      <c r="AZ417" s="72">
        <v>108736</v>
      </c>
      <c r="BA417" s="72">
        <v>-86091</v>
      </c>
      <c r="BB417" s="72">
        <v>0</v>
      </c>
      <c r="BC417" s="72">
        <v>0</v>
      </c>
      <c r="BD417" s="72">
        <v>0</v>
      </c>
      <c r="BE417" s="72">
        <v>-86091</v>
      </c>
      <c r="BF417" s="72">
        <v>0</v>
      </c>
      <c r="BG417" s="72">
        <v>0</v>
      </c>
      <c r="BH417" s="72">
        <v>0</v>
      </c>
      <c r="BI417" s="72">
        <v>0</v>
      </c>
      <c r="BJ417" s="72">
        <v>-86091</v>
      </c>
      <c r="BK417" s="72">
        <v>0</v>
      </c>
      <c r="BL417" s="72">
        <v>0</v>
      </c>
      <c r="BM417" s="72">
        <v>0</v>
      </c>
      <c r="BN417" s="72">
        <v>0</v>
      </c>
      <c r="BO417" s="72">
        <v>0</v>
      </c>
      <c r="BP417" s="72">
        <v>0</v>
      </c>
      <c r="BQ417" s="72">
        <v>0</v>
      </c>
      <c r="BR417" s="72">
        <v>0</v>
      </c>
      <c r="BS417" s="72">
        <v>6236437</v>
      </c>
    </row>
    <row r="418" spans="1:71" x14ac:dyDescent="0.2">
      <c r="A418" t="s">
        <v>636</v>
      </c>
      <c r="B418" t="s">
        <v>1332</v>
      </c>
      <c r="C418" t="s">
        <v>44</v>
      </c>
      <c r="D418" s="72">
        <v>4835835</v>
      </c>
      <c r="E418" s="72">
        <v>0</v>
      </c>
      <c r="F418" s="72">
        <v>0</v>
      </c>
      <c r="G418" s="72">
        <v>4704268</v>
      </c>
      <c r="H418" s="72">
        <v>450537</v>
      </c>
      <c r="I418" s="72">
        <v>0</v>
      </c>
      <c r="J418" s="72">
        <v>702000</v>
      </c>
      <c r="L418" s="72">
        <v>10752640</v>
      </c>
      <c r="M418" s="72">
        <v>0</v>
      </c>
      <c r="N418" s="72">
        <v>0</v>
      </c>
      <c r="O418" s="72">
        <v>0</v>
      </c>
      <c r="P418" s="72">
        <v>48</v>
      </c>
      <c r="Q418" s="72">
        <v>0</v>
      </c>
      <c r="R418" s="72">
        <v>48</v>
      </c>
      <c r="S418" s="72">
        <v>10752688</v>
      </c>
      <c r="T418" s="72">
        <v>6475000</v>
      </c>
      <c r="U418" s="72">
        <v>2473235</v>
      </c>
      <c r="V418" s="72">
        <v>1184085</v>
      </c>
      <c r="W418" s="72">
        <v>394000</v>
      </c>
      <c r="X418" s="72">
        <v>165141</v>
      </c>
      <c r="Y418" s="72">
        <v>0</v>
      </c>
      <c r="Z418" s="72">
        <v>0</v>
      </c>
      <c r="AA418" s="72">
        <v>0</v>
      </c>
      <c r="AB418" s="72">
        <v>0</v>
      </c>
      <c r="AC418" s="72">
        <v>0</v>
      </c>
      <c r="AD418" s="72">
        <v>0</v>
      </c>
      <c r="AE418" s="72">
        <v>0</v>
      </c>
      <c r="AF418" s="72">
        <v>0</v>
      </c>
      <c r="AG418" s="72">
        <v>727218</v>
      </c>
      <c r="AH418" s="72">
        <v>11418679</v>
      </c>
      <c r="AI418" s="72">
        <v>25000</v>
      </c>
      <c r="AJ418" s="72">
        <v>0</v>
      </c>
      <c r="AK418" s="72">
        <v>0</v>
      </c>
      <c r="AL418" s="72">
        <v>25000</v>
      </c>
      <c r="AM418" s="72">
        <v>11443679</v>
      </c>
      <c r="AN418" s="72">
        <v>-690991</v>
      </c>
      <c r="AO418" s="72">
        <v>903029</v>
      </c>
      <c r="AP418" s="72">
        <v>212038</v>
      </c>
      <c r="AQ418" s="72">
        <v>100000</v>
      </c>
      <c r="AR418" s="72">
        <v>0</v>
      </c>
      <c r="AS418" s="72">
        <v>0</v>
      </c>
      <c r="AT418" s="72">
        <v>0</v>
      </c>
      <c r="AU418" s="72">
        <v>0</v>
      </c>
      <c r="AV418" s="72">
        <v>0</v>
      </c>
      <c r="AW418" s="72">
        <v>0</v>
      </c>
      <c r="AX418" s="72">
        <v>0</v>
      </c>
      <c r="AY418" s="72">
        <v>0</v>
      </c>
      <c r="AZ418" s="72">
        <v>0</v>
      </c>
      <c r="BA418" s="72">
        <v>112038</v>
      </c>
      <c r="BB418" s="72">
        <v>0</v>
      </c>
      <c r="BC418" s="72">
        <v>0</v>
      </c>
      <c r="BD418" s="72">
        <v>0</v>
      </c>
      <c r="BE418" s="72">
        <v>112038</v>
      </c>
      <c r="BF418" s="72">
        <v>0</v>
      </c>
      <c r="BG418" s="72">
        <v>428750</v>
      </c>
      <c r="BH418" s="72">
        <v>428750</v>
      </c>
      <c r="BI418" s="72">
        <v>0</v>
      </c>
      <c r="BJ418" s="72">
        <v>540788</v>
      </c>
      <c r="BM418" s="72">
        <v>0</v>
      </c>
      <c r="BN418" s="72">
        <v>0</v>
      </c>
      <c r="BO418" s="72">
        <v>0</v>
      </c>
      <c r="BP418" s="72">
        <v>0</v>
      </c>
      <c r="BQ418" s="72">
        <v>0</v>
      </c>
      <c r="BR418" s="72">
        <v>0</v>
      </c>
      <c r="BS418" s="72">
        <v>11443679</v>
      </c>
    </row>
    <row r="419" spans="1:71" x14ac:dyDescent="0.2">
      <c r="A419" t="s">
        <v>652</v>
      </c>
      <c r="B419" t="s">
        <v>1344</v>
      </c>
      <c r="C419" t="s">
        <v>44</v>
      </c>
      <c r="D419" s="72">
        <v>2955830</v>
      </c>
      <c r="E419" s="72">
        <v>0</v>
      </c>
      <c r="F419" s="72">
        <v>2012517</v>
      </c>
      <c r="G419" s="72">
        <v>4605734</v>
      </c>
      <c r="H419" s="72">
        <v>22042</v>
      </c>
      <c r="I419" s="72">
        <v>0</v>
      </c>
      <c r="J419" s="72">
        <v>441294</v>
      </c>
      <c r="K419" s="72">
        <v>64000</v>
      </c>
      <c r="L419" s="72">
        <v>10101417</v>
      </c>
      <c r="M419" s="72">
        <v>0</v>
      </c>
      <c r="N419" s="72">
        <v>0</v>
      </c>
      <c r="O419" s="72">
        <v>0</v>
      </c>
      <c r="P419" s="72">
        <v>20119</v>
      </c>
      <c r="Q419" s="72">
        <v>29000</v>
      </c>
      <c r="R419" s="72">
        <v>49119</v>
      </c>
      <c r="S419" s="72">
        <v>10150536</v>
      </c>
      <c r="T419" s="72">
        <v>5492492</v>
      </c>
      <c r="U419" s="72">
        <v>2046696</v>
      </c>
      <c r="V419" s="72">
        <v>1771494</v>
      </c>
      <c r="W419" s="72">
        <v>454270</v>
      </c>
      <c r="X419" s="72">
        <v>25000</v>
      </c>
      <c r="Y419" s="72">
        <v>0</v>
      </c>
      <c r="Z419" s="72">
        <v>0</v>
      </c>
      <c r="AA419" s="72">
        <v>0</v>
      </c>
      <c r="AB419" s="72">
        <v>0</v>
      </c>
      <c r="AC419" s="72">
        <v>0</v>
      </c>
      <c r="AD419" s="72">
        <v>0</v>
      </c>
      <c r="AE419" s="72">
        <v>0</v>
      </c>
      <c r="AF419" s="72">
        <v>0</v>
      </c>
      <c r="AG419" s="72">
        <v>160854</v>
      </c>
      <c r="AH419" s="72">
        <v>9950806</v>
      </c>
      <c r="AI419" s="72">
        <v>25000</v>
      </c>
      <c r="AJ419" s="72">
        <v>0</v>
      </c>
      <c r="AK419" s="72">
        <v>0</v>
      </c>
      <c r="AL419" s="72">
        <v>25000</v>
      </c>
      <c r="AM419" s="72">
        <v>9975806</v>
      </c>
      <c r="AN419" s="72">
        <v>174730</v>
      </c>
      <c r="AO419" s="72">
        <v>1737811</v>
      </c>
      <c r="AP419" s="72">
        <v>1912541</v>
      </c>
      <c r="AQ419" s="72">
        <v>25000</v>
      </c>
      <c r="AR419" s="72">
        <v>0</v>
      </c>
      <c r="AS419" s="72">
        <v>0</v>
      </c>
      <c r="AT419" s="72">
        <v>0</v>
      </c>
      <c r="AU419" s="72">
        <v>0</v>
      </c>
      <c r="AV419" s="72">
        <v>0</v>
      </c>
      <c r="AW419" s="72">
        <v>0</v>
      </c>
      <c r="AX419" s="72">
        <v>0</v>
      </c>
      <c r="AY419" s="72">
        <v>0</v>
      </c>
      <c r="AZ419" s="72">
        <v>0</v>
      </c>
      <c r="BA419" s="72">
        <v>1887541</v>
      </c>
      <c r="BB419" s="72">
        <v>0</v>
      </c>
      <c r="BC419" s="72">
        <v>0</v>
      </c>
      <c r="BD419" s="72">
        <v>0</v>
      </c>
      <c r="BE419" s="72">
        <v>1887541</v>
      </c>
      <c r="BF419" s="72">
        <v>0</v>
      </c>
      <c r="BG419" s="72">
        <v>0</v>
      </c>
      <c r="BH419" s="72">
        <v>0</v>
      </c>
      <c r="BI419" s="72">
        <v>0</v>
      </c>
      <c r="BJ419" s="72">
        <v>1887541</v>
      </c>
      <c r="BK419" s="72">
        <v>80</v>
      </c>
      <c r="BL419" s="72">
        <v>1044</v>
      </c>
      <c r="BM419" s="72">
        <v>0</v>
      </c>
      <c r="BN419" s="72">
        <v>0</v>
      </c>
      <c r="BO419" s="72">
        <v>0</v>
      </c>
      <c r="BS419" s="72">
        <v>10150536</v>
      </c>
    </row>
    <row r="420" spans="1:71" x14ac:dyDescent="0.2">
      <c r="A420" t="s">
        <v>740</v>
      </c>
      <c r="B420" t="s">
        <v>1429</v>
      </c>
      <c r="C420" t="s">
        <v>44</v>
      </c>
      <c r="D420" s="72">
        <v>3761826</v>
      </c>
      <c r="E420" s="72">
        <v>415352</v>
      </c>
      <c r="F420" s="72">
        <v>0</v>
      </c>
      <c r="G420" s="72">
        <v>11124753</v>
      </c>
      <c r="H420" s="72">
        <v>122853</v>
      </c>
      <c r="I420" s="72">
        <v>0</v>
      </c>
      <c r="J420" s="72">
        <v>631171</v>
      </c>
      <c r="K420" s="72">
        <v>2178213</v>
      </c>
      <c r="L420" s="72">
        <v>18234168</v>
      </c>
      <c r="M420" s="72">
        <v>0</v>
      </c>
      <c r="N420" s="72">
        <v>0</v>
      </c>
      <c r="O420" s="72">
        <v>134882</v>
      </c>
      <c r="P420" s="72">
        <v>177620</v>
      </c>
      <c r="Q420" s="72">
        <v>88095</v>
      </c>
      <c r="R420" s="72">
        <v>400597</v>
      </c>
      <c r="S420" s="72">
        <v>18634765</v>
      </c>
      <c r="T420" s="72">
        <v>10303627</v>
      </c>
      <c r="U420" s="72">
        <v>4060768</v>
      </c>
      <c r="V420" s="72">
        <v>3076510</v>
      </c>
      <c r="W420" s="72">
        <v>707306</v>
      </c>
      <c r="X420" s="72">
        <v>354945</v>
      </c>
      <c r="Y420" s="72">
        <v>0</v>
      </c>
      <c r="Z420" s="72">
        <v>0</v>
      </c>
      <c r="AA420" s="72">
        <v>0</v>
      </c>
      <c r="AB420" s="72">
        <v>0</v>
      </c>
      <c r="AC420" s="72">
        <v>0</v>
      </c>
      <c r="AD420" s="72">
        <v>129670</v>
      </c>
      <c r="AE420" s="72">
        <v>0</v>
      </c>
      <c r="AF420" s="72">
        <v>4142</v>
      </c>
      <c r="AG420" s="72">
        <v>-287437</v>
      </c>
      <c r="AH420" s="72">
        <v>18349531</v>
      </c>
      <c r="AI420" s="72">
        <v>171121</v>
      </c>
      <c r="AJ420" s="72">
        <v>117266</v>
      </c>
      <c r="AK420" s="72">
        <v>0</v>
      </c>
      <c r="AL420" s="72">
        <v>288387</v>
      </c>
      <c r="AM420" s="72">
        <v>18637918</v>
      </c>
      <c r="AN420" s="72">
        <v>-3153</v>
      </c>
      <c r="AO420" s="72">
        <v>3043340</v>
      </c>
      <c r="AP420" s="72">
        <v>3040187</v>
      </c>
      <c r="AQ420" s="72">
        <v>250693</v>
      </c>
      <c r="AR420" s="72">
        <v>0</v>
      </c>
      <c r="AS420" s="72">
        <v>0</v>
      </c>
      <c r="AT420" s="72">
        <v>0</v>
      </c>
      <c r="AU420" s="72">
        <v>0</v>
      </c>
      <c r="AV420" s="72">
        <v>0</v>
      </c>
      <c r="AW420" s="72">
        <v>0</v>
      </c>
      <c r="AX420" s="72">
        <v>0</v>
      </c>
      <c r="AY420" s="72">
        <v>0</v>
      </c>
      <c r="AZ420" s="72">
        <v>0</v>
      </c>
      <c r="BA420" s="72">
        <v>2789494</v>
      </c>
      <c r="BB420" s="72">
        <v>0</v>
      </c>
      <c r="BC420" s="72">
        <v>0</v>
      </c>
      <c r="BD420" s="72">
        <v>0</v>
      </c>
      <c r="BE420" s="72">
        <v>2789494</v>
      </c>
      <c r="BF420" s="72">
        <v>117259</v>
      </c>
      <c r="BG420" s="72">
        <v>0</v>
      </c>
      <c r="BH420" s="72">
        <v>117259</v>
      </c>
      <c r="BI420" s="72">
        <v>0</v>
      </c>
      <c r="BJ420" s="72">
        <v>2906753</v>
      </c>
      <c r="BK420" s="72">
        <v>0</v>
      </c>
      <c r="BL420" s="72">
        <v>0</v>
      </c>
      <c r="BM420" s="72">
        <v>0</v>
      </c>
      <c r="BN420" s="72">
        <v>0</v>
      </c>
      <c r="BO420" s="72">
        <v>0</v>
      </c>
      <c r="BP420" s="72">
        <v>0</v>
      </c>
      <c r="BQ420" s="72">
        <v>0</v>
      </c>
      <c r="BR420" s="72">
        <v>0</v>
      </c>
      <c r="BS420" s="72">
        <v>18637918</v>
      </c>
    </row>
    <row r="421" spans="1:71" x14ac:dyDescent="0.2">
      <c r="A421" t="s">
        <v>750</v>
      </c>
      <c r="B421" t="s">
        <v>1438</v>
      </c>
      <c r="C421" t="s">
        <v>44</v>
      </c>
      <c r="D421" s="72">
        <v>2649955</v>
      </c>
      <c r="E421" s="72">
        <v>0</v>
      </c>
      <c r="F421" s="72">
        <v>0</v>
      </c>
      <c r="G421" s="72">
        <v>2322317</v>
      </c>
      <c r="H421" s="72">
        <v>10000</v>
      </c>
      <c r="I421" s="72">
        <v>0</v>
      </c>
      <c r="J421" s="72">
        <v>412539</v>
      </c>
      <c r="K421" s="72">
        <v>956732</v>
      </c>
      <c r="L421" s="72">
        <v>6351543</v>
      </c>
      <c r="M421" s="72">
        <v>0</v>
      </c>
      <c r="N421" s="72">
        <v>0</v>
      </c>
      <c r="O421" s="72">
        <v>75000</v>
      </c>
      <c r="P421" s="72">
        <v>0</v>
      </c>
      <c r="Q421" s="72">
        <v>80500</v>
      </c>
      <c r="R421" s="72">
        <v>155500</v>
      </c>
      <c r="S421" s="72">
        <v>6507043</v>
      </c>
      <c r="T421" s="72">
        <v>3861060</v>
      </c>
      <c r="U421" s="72">
        <v>1228820</v>
      </c>
      <c r="V421" s="72">
        <v>1047690</v>
      </c>
      <c r="W421" s="72">
        <v>226000</v>
      </c>
      <c r="X421" s="72">
        <v>2800</v>
      </c>
      <c r="Y421" s="72">
        <v>0</v>
      </c>
      <c r="Z421" s="72">
        <v>0</v>
      </c>
      <c r="AA421" s="72">
        <v>0</v>
      </c>
      <c r="AB421" s="72">
        <v>0</v>
      </c>
      <c r="AC421" s="72">
        <v>0</v>
      </c>
      <c r="AD421" s="72">
        <v>0</v>
      </c>
      <c r="AE421" s="72">
        <v>0</v>
      </c>
      <c r="AF421" s="72">
        <v>0</v>
      </c>
      <c r="AG421" s="72">
        <v>110987</v>
      </c>
      <c r="AH421" s="72">
        <v>6477357</v>
      </c>
      <c r="AI421" s="72">
        <v>125000</v>
      </c>
      <c r="AJ421" s="72">
        <v>0</v>
      </c>
      <c r="AK421" s="72">
        <v>0</v>
      </c>
      <c r="AL421" s="72">
        <v>125000</v>
      </c>
      <c r="AM421" s="72">
        <v>6602357</v>
      </c>
      <c r="AN421" s="72">
        <v>-95314</v>
      </c>
      <c r="AO421" s="72">
        <v>1484387</v>
      </c>
      <c r="AP421" s="72">
        <v>1389073</v>
      </c>
      <c r="AQ421" s="72">
        <v>10000</v>
      </c>
      <c r="AR421" s="72">
        <v>0</v>
      </c>
      <c r="AS421" s="72">
        <v>0</v>
      </c>
      <c r="AT421" s="72">
        <v>67313</v>
      </c>
      <c r="AU421" s="72">
        <v>0</v>
      </c>
      <c r="AV421" s="72">
        <v>0</v>
      </c>
      <c r="AW421" s="72">
        <v>0</v>
      </c>
      <c r="AX421" s="72">
        <v>0</v>
      </c>
      <c r="AY421" s="72">
        <v>0</v>
      </c>
      <c r="AZ421" s="72">
        <v>67313</v>
      </c>
      <c r="BA421" s="72">
        <v>1311760</v>
      </c>
      <c r="BB421" s="72">
        <v>0</v>
      </c>
      <c r="BC421" s="72">
        <v>0</v>
      </c>
      <c r="BD421" s="72">
        <v>0</v>
      </c>
      <c r="BE421" s="72">
        <v>1311760</v>
      </c>
      <c r="BF421" s="72">
        <v>0</v>
      </c>
      <c r="BG421" s="72">
        <v>0</v>
      </c>
      <c r="BH421" s="72">
        <v>0</v>
      </c>
      <c r="BI421" s="72">
        <v>0</v>
      </c>
      <c r="BJ421" s="72">
        <v>1311760</v>
      </c>
      <c r="BK421" s="72">
        <v>26</v>
      </c>
      <c r="BL421" s="72">
        <v>534</v>
      </c>
      <c r="BM421" s="72">
        <v>0</v>
      </c>
      <c r="BN421" s="72">
        <v>0</v>
      </c>
      <c r="BO421" s="72">
        <v>0</v>
      </c>
      <c r="BP421" s="72">
        <v>0</v>
      </c>
      <c r="BQ421" s="72">
        <v>0</v>
      </c>
      <c r="BR421" s="72">
        <v>0</v>
      </c>
      <c r="BS421" s="72">
        <v>6602357</v>
      </c>
    </row>
    <row r="422" spans="1:71" x14ac:dyDescent="0.2">
      <c r="A422" t="s">
        <v>291</v>
      </c>
      <c r="B422" t="s">
        <v>1005</v>
      </c>
      <c r="C422" t="s">
        <v>33</v>
      </c>
      <c r="D422" s="72">
        <v>3369318</v>
      </c>
      <c r="E422" s="72">
        <v>0</v>
      </c>
      <c r="F422" s="72">
        <v>975000</v>
      </c>
      <c r="G422" s="72">
        <v>6143574</v>
      </c>
      <c r="H422" s="72">
        <v>34306</v>
      </c>
      <c r="I422" s="72">
        <v>0</v>
      </c>
      <c r="J422" s="72">
        <v>464670</v>
      </c>
      <c r="K422" s="72">
        <v>1200760</v>
      </c>
      <c r="L422" s="72">
        <v>12187628</v>
      </c>
      <c r="M422" s="72">
        <v>0</v>
      </c>
      <c r="N422" s="72">
        <v>0</v>
      </c>
      <c r="O422" s="72">
        <v>0</v>
      </c>
      <c r="P422" s="72">
        <v>5000</v>
      </c>
      <c r="Q422" s="72">
        <v>97833</v>
      </c>
      <c r="R422" s="72">
        <v>102833</v>
      </c>
      <c r="S422" s="72">
        <v>12290461</v>
      </c>
      <c r="T422" s="72">
        <v>6127994</v>
      </c>
      <c r="U422" s="72">
        <v>2477520</v>
      </c>
      <c r="V422" s="72">
        <v>2758958</v>
      </c>
      <c r="W422" s="72">
        <v>490042</v>
      </c>
      <c r="X422" s="72">
        <v>207672</v>
      </c>
      <c r="Y422" s="72">
        <v>0</v>
      </c>
      <c r="Z422" s="72">
        <v>0</v>
      </c>
      <c r="AA422" s="72">
        <v>0</v>
      </c>
      <c r="AB422" s="72">
        <v>0</v>
      </c>
      <c r="AC422" s="72">
        <v>0</v>
      </c>
      <c r="AD422" s="72">
        <v>0</v>
      </c>
      <c r="AE422" s="72">
        <v>0</v>
      </c>
      <c r="AF422" s="72">
        <v>0</v>
      </c>
      <c r="AG422" s="72">
        <v>173214</v>
      </c>
      <c r="AH422" s="72">
        <v>12235401</v>
      </c>
      <c r="AI422" s="72">
        <v>0</v>
      </c>
      <c r="AJ422" s="72">
        <v>2500</v>
      </c>
      <c r="AK422" s="72">
        <v>0</v>
      </c>
      <c r="AL422" s="72">
        <v>2500</v>
      </c>
      <c r="AM422" s="72">
        <v>12237901</v>
      </c>
      <c r="AN422" s="72">
        <v>52560</v>
      </c>
      <c r="AO422" s="72">
        <v>5054780</v>
      </c>
      <c r="AP422" s="72">
        <v>5107340</v>
      </c>
      <c r="AQ422" s="72">
        <v>120000</v>
      </c>
      <c r="AR422" s="72">
        <v>0</v>
      </c>
      <c r="AS422" s="72">
        <v>0</v>
      </c>
      <c r="AT422" s="72">
        <v>0</v>
      </c>
      <c r="AV422" s="72">
        <v>0</v>
      </c>
      <c r="AW422" s="72">
        <v>0</v>
      </c>
      <c r="AX422" s="72">
        <v>0</v>
      </c>
      <c r="AY422" s="72">
        <v>0</v>
      </c>
      <c r="AZ422" s="72">
        <v>0</v>
      </c>
      <c r="BA422" s="72">
        <v>4987340</v>
      </c>
      <c r="BB422" s="72">
        <v>0</v>
      </c>
      <c r="BC422" s="72">
        <v>0</v>
      </c>
      <c r="BD422" s="72">
        <v>0</v>
      </c>
      <c r="BE422" s="72">
        <v>4987340</v>
      </c>
      <c r="BF422" s="72">
        <v>0</v>
      </c>
      <c r="BG422" s="72">
        <v>0</v>
      </c>
      <c r="BH422" s="72">
        <v>0</v>
      </c>
      <c r="BI422" s="72">
        <v>0</v>
      </c>
      <c r="BJ422" s="72">
        <v>4987340</v>
      </c>
      <c r="BK422" s="72">
        <v>82</v>
      </c>
      <c r="BL422" s="72">
        <v>1110</v>
      </c>
      <c r="BM422" s="72">
        <v>0</v>
      </c>
      <c r="BN422" s="72">
        <v>0</v>
      </c>
      <c r="BO422" s="72">
        <v>0</v>
      </c>
      <c r="BP422" s="72">
        <v>0</v>
      </c>
      <c r="BQ422" s="72">
        <v>0</v>
      </c>
      <c r="BR422" s="72">
        <v>0</v>
      </c>
      <c r="BS422" s="72">
        <v>12290461</v>
      </c>
    </row>
    <row r="423" spans="1:71" x14ac:dyDescent="0.2">
      <c r="A423" t="s">
        <v>587</v>
      </c>
      <c r="B423" t="s">
        <v>1284</v>
      </c>
      <c r="C423" t="s">
        <v>33</v>
      </c>
      <c r="D423" s="72">
        <v>3970539</v>
      </c>
      <c r="E423" s="72">
        <v>0</v>
      </c>
      <c r="F423" s="72">
        <v>0</v>
      </c>
      <c r="G423" s="72">
        <v>3887844</v>
      </c>
      <c r="H423" s="72">
        <v>6113</v>
      </c>
      <c r="I423" s="72">
        <v>0</v>
      </c>
      <c r="J423" s="72">
        <v>600282</v>
      </c>
      <c r="K423" s="72">
        <v>2124494</v>
      </c>
      <c r="L423" s="72">
        <v>10589272</v>
      </c>
      <c r="M423" s="72">
        <v>0</v>
      </c>
      <c r="N423" s="72">
        <v>0</v>
      </c>
      <c r="O423" s="72">
        <v>0</v>
      </c>
      <c r="P423" s="72">
        <v>186614</v>
      </c>
      <c r="Q423" s="72">
        <v>0</v>
      </c>
      <c r="R423" s="72">
        <v>186614</v>
      </c>
      <c r="S423" s="72">
        <v>10775886</v>
      </c>
      <c r="T423" s="72">
        <v>5462721</v>
      </c>
      <c r="U423" s="72">
        <v>2089278</v>
      </c>
      <c r="V423" s="72">
        <v>2575000</v>
      </c>
      <c r="W423" s="72">
        <v>275000</v>
      </c>
      <c r="X423" s="72">
        <v>10000</v>
      </c>
      <c r="Y423" s="72">
        <v>0</v>
      </c>
      <c r="Z423" s="72">
        <v>0</v>
      </c>
      <c r="AA423" s="72">
        <v>0</v>
      </c>
      <c r="AB423" s="72">
        <v>0</v>
      </c>
      <c r="AC423" s="72">
        <v>0</v>
      </c>
      <c r="AD423" s="72">
        <v>49178</v>
      </c>
      <c r="AE423" s="72">
        <v>0</v>
      </c>
      <c r="AF423" s="72">
        <v>4895</v>
      </c>
      <c r="AG423" s="72">
        <v>159514</v>
      </c>
      <c r="AH423" s="72">
        <v>10625586</v>
      </c>
      <c r="AI423" s="72">
        <v>35000</v>
      </c>
      <c r="AJ423" s="72">
        <v>150000</v>
      </c>
      <c r="AK423" s="72">
        <v>0</v>
      </c>
      <c r="AL423" s="72">
        <v>185000</v>
      </c>
      <c r="AM423" s="72">
        <v>10810586</v>
      </c>
      <c r="AN423" s="72">
        <v>-34700</v>
      </c>
      <c r="AO423" s="72">
        <v>1789687</v>
      </c>
      <c r="AP423" s="72">
        <v>1754987</v>
      </c>
      <c r="AQ423" s="72">
        <v>150000</v>
      </c>
      <c r="AR423" s="72">
        <v>0</v>
      </c>
      <c r="AS423" s="72">
        <v>0</v>
      </c>
      <c r="AT423" s="72">
        <v>0</v>
      </c>
      <c r="AU423" s="72">
        <v>0</v>
      </c>
      <c r="AV423" s="72">
        <v>0</v>
      </c>
      <c r="AW423" s="72">
        <v>0</v>
      </c>
      <c r="AX423" s="72">
        <v>0</v>
      </c>
      <c r="AY423" s="72">
        <v>0</v>
      </c>
      <c r="AZ423" s="72">
        <v>0</v>
      </c>
      <c r="BA423" s="72">
        <v>1604987</v>
      </c>
      <c r="BB423" s="72">
        <v>0</v>
      </c>
      <c r="BC423" s="72">
        <v>450000</v>
      </c>
      <c r="BD423" s="72">
        <v>450000</v>
      </c>
      <c r="BE423" s="72">
        <v>2054987</v>
      </c>
      <c r="BF423" s="72">
        <v>0</v>
      </c>
      <c r="BG423" s="72">
        <v>0</v>
      </c>
      <c r="BH423" s="72">
        <v>0</v>
      </c>
      <c r="BI423" s="72">
        <v>0</v>
      </c>
      <c r="BJ423" s="72">
        <v>2054987</v>
      </c>
      <c r="BK423" s="72">
        <v>0</v>
      </c>
      <c r="BL423" s="72">
        <v>1218</v>
      </c>
      <c r="BM423" s="72">
        <v>0</v>
      </c>
      <c r="BN423" s="72">
        <v>0</v>
      </c>
      <c r="BO423" s="72">
        <v>0</v>
      </c>
      <c r="BP423" s="72">
        <v>0</v>
      </c>
      <c r="BQ423" s="72">
        <v>0</v>
      </c>
      <c r="BR423" s="72">
        <v>0</v>
      </c>
      <c r="BS423" s="72">
        <v>10810586</v>
      </c>
    </row>
    <row r="424" spans="1:71" x14ac:dyDescent="0.2">
      <c r="A424" t="s">
        <v>602</v>
      </c>
      <c r="B424" t="s">
        <v>1299</v>
      </c>
      <c r="C424" t="s">
        <v>33</v>
      </c>
      <c r="D424" s="72">
        <v>2223334</v>
      </c>
      <c r="E424" s="72">
        <v>614803</v>
      </c>
      <c r="F424" s="72">
        <v>0</v>
      </c>
      <c r="G424" s="72">
        <v>2939333</v>
      </c>
      <c r="H424" s="72">
        <v>31217</v>
      </c>
      <c r="I424" s="72">
        <v>0</v>
      </c>
      <c r="J424" s="72">
        <v>361600</v>
      </c>
      <c r="K424" s="72">
        <v>1314359</v>
      </c>
      <c r="L424" s="72">
        <v>7484646</v>
      </c>
      <c r="M424" s="72">
        <v>0</v>
      </c>
      <c r="N424" s="72">
        <v>0</v>
      </c>
      <c r="O424" s="72">
        <v>0</v>
      </c>
      <c r="P424" s="72">
        <v>25852</v>
      </c>
      <c r="Q424" s="72">
        <v>0</v>
      </c>
      <c r="R424" s="72">
        <v>25852</v>
      </c>
      <c r="S424" s="72">
        <v>7510498</v>
      </c>
      <c r="T424" s="72">
        <v>3837413</v>
      </c>
      <c r="U424" s="72">
        <v>1597240</v>
      </c>
      <c r="V424" s="72">
        <v>1865733</v>
      </c>
      <c r="W424" s="72">
        <v>293694</v>
      </c>
      <c r="X424" s="72">
        <v>127805</v>
      </c>
      <c r="Y424" s="72">
        <v>0</v>
      </c>
      <c r="Z424" s="72">
        <v>0</v>
      </c>
      <c r="AA424" s="72">
        <v>16259</v>
      </c>
      <c r="AB424" s="72">
        <v>0</v>
      </c>
      <c r="AC424" s="72">
        <v>0</v>
      </c>
      <c r="AD424" s="72">
        <v>0</v>
      </c>
      <c r="AE424" s="72">
        <v>15317</v>
      </c>
      <c r="AF424" s="72">
        <v>1312</v>
      </c>
      <c r="AG424" s="72">
        <v>139955</v>
      </c>
      <c r="AH424" s="72">
        <v>7894728</v>
      </c>
      <c r="AI424" s="72">
        <v>34499</v>
      </c>
      <c r="AJ424" s="72">
        <v>0</v>
      </c>
      <c r="AK424" s="72">
        <v>0</v>
      </c>
      <c r="AL424" s="72">
        <v>34499</v>
      </c>
      <c r="AM424" s="72">
        <v>7929227</v>
      </c>
      <c r="AN424" s="72">
        <v>-418729</v>
      </c>
      <c r="AO424" s="72">
        <v>2853561</v>
      </c>
      <c r="AP424" s="72">
        <v>2434832</v>
      </c>
      <c r="AQ424" s="72">
        <v>0</v>
      </c>
      <c r="AR424" s="72">
        <v>0</v>
      </c>
      <c r="AS424" s="72">
        <v>0</v>
      </c>
      <c r="AT424" s="72">
        <v>0</v>
      </c>
      <c r="AU424" s="72">
        <v>0</v>
      </c>
      <c r="AV424" s="72">
        <v>0</v>
      </c>
      <c r="AW424" s="72">
        <v>0</v>
      </c>
      <c r="AX424" s="72">
        <v>0</v>
      </c>
      <c r="AY424" s="72">
        <v>0</v>
      </c>
      <c r="AZ424" s="72">
        <v>0</v>
      </c>
      <c r="BA424" s="72">
        <v>2434832</v>
      </c>
      <c r="BB424" s="72">
        <v>0</v>
      </c>
      <c r="BC424" s="72">
        <v>0</v>
      </c>
      <c r="BD424" s="72">
        <v>0</v>
      </c>
      <c r="BE424" s="72">
        <v>2434832</v>
      </c>
      <c r="BF424" s="72">
        <v>0</v>
      </c>
      <c r="BG424" s="72">
        <v>0</v>
      </c>
      <c r="BH424" s="72">
        <v>0</v>
      </c>
      <c r="BI424" s="72">
        <v>0</v>
      </c>
      <c r="BJ424" s="72">
        <v>2434832</v>
      </c>
      <c r="BK424" s="72">
        <v>0</v>
      </c>
      <c r="BL424" s="72">
        <v>0</v>
      </c>
      <c r="BM424" s="72">
        <v>0</v>
      </c>
      <c r="BN424" s="72">
        <v>0</v>
      </c>
      <c r="BO424" s="72">
        <v>0</v>
      </c>
      <c r="BP424" s="72">
        <v>0</v>
      </c>
      <c r="BQ424" s="72">
        <v>0</v>
      </c>
      <c r="BR424" s="72">
        <v>0</v>
      </c>
      <c r="BS424" s="72">
        <v>7929227</v>
      </c>
    </row>
    <row r="425" spans="1:71" x14ac:dyDescent="0.2">
      <c r="A425" t="s">
        <v>607</v>
      </c>
      <c r="B425" t="s">
        <v>1304</v>
      </c>
      <c r="C425" t="s">
        <v>33</v>
      </c>
      <c r="D425" s="72">
        <v>5339835</v>
      </c>
      <c r="E425" s="72">
        <v>302190</v>
      </c>
      <c r="F425" s="72">
        <v>0</v>
      </c>
      <c r="G425" s="72">
        <v>5513514</v>
      </c>
      <c r="H425" s="72">
        <v>102660</v>
      </c>
      <c r="I425" s="72">
        <v>0</v>
      </c>
      <c r="J425" s="72">
        <v>986436</v>
      </c>
      <c r="K425" s="72">
        <v>3462254</v>
      </c>
      <c r="L425" s="72">
        <v>15706889</v>
      </c>
      <c r="M425" s="72">
        <v>0</v>
      </c>
      <c r="N425" s="72">
        <v>0</v>
      </c>
      <c r="O425" s="72">
        <v>0</v>
      </c>
      <c r="P425" s="72">
        <v>0</v>
      </c>
      <c r="Q425" s="72">
        <v>0</v>
      </c>
      <c r="R425" s="72">
        <v>0</v>
      </c>
      <c r="S425" s="72">
        <v>15706889</v>
      </c>
      <c r="T425" s="72">
        <v>8018582</v>
      </c>
      <c r="U425" s="72">
        <v>3172586</v>
      </c>
      <c r="V425" s="72">
        <v>3786415</v>
      </c>
      <c r="W425" s="72">
        <v>643599</v>
      </c>
      <c r="X425" s="72">
        <v>112000</v>
      </c>
      <c r="Y425" s="72">
        <v>0</v>
      </c>
      <c r="Z425" s="72">
        <v>0</v>
      </c>
      <c r="AA425" s="72">
        <v>0</v>
      </c>
      <c r="AB425" s="72">
        <v>0</v>
      </c>
      <c r="AC425" s="72">
        <v>0</v>
      </c>
      <c r="AD425" s="72">
        <v>0</v>
      </c>
      <c r="AE425" s="72">
        <v>0</v>
      </c>
      <c r="AF425" s="72">
        <v>0</v>
      </c>
      <c r="AG425" s="72">
        <v>275061</v>
      </c>
      <c r="AH425" s="72">
        <v>16008243</v>
      </c>
      <c r="AI425" s="72">
        <v>45000</v>
      </c>
      <c r="AJ425" s="72">
        <v>0</v>
      </c>
      <c r="AK425" s="72">
        <v>117000</v>
      </c>
      <c r="AL425" s="72">
        <v>162000</v>
      </c>
      <c r="AM425" s="72">
        <v>16170243</v>
      </c>
      <c r="AN425" s="72">
        <v>-463354</v>
      </c>
      <c r="AO425" s="72">
        <v>2356765</v>
      </c>
      <c r="AP425" s="72">
        <v>1893411</v>
      </c>
      <c r="AQ425" s="72">
        <v>100000</v>
      </c>
      <c r="AR425" s="72">
        <v>0</v>
      </c>
      <c r="AS425" s="72">
        <v>0</v>
      </c>
      <c r="AT425" s="72">
        <v>0</v>
      </c>
      <c r="AU425" s="72">
        <v>0</v>
      </c>
      <c r="AV425" s="72">
        <v>0</v>
      </c>
      <c r="AW425" s="72">
        <v>0</v>
      </c>
      <c r="AX425" s="72">
        <v>0</v>
      </c>
      <c r="AY425" s="72">
        <v>0</v>
      </c>
      <c r="AZ425" s="72">
        <v>0</v>
      </c>
      <c r="BA425" s="72">
        <v>1793411</v>
      </c>
      <c r="BB425" s="72">
        <v>0</v>
      </c>
      <c r="BC425" s="72">
        <v>0</v>
      </c>
      <c r="BD425" s="72">
        <v>0</v>
      </c>
      <c r="BE425" s="72">
        <v>1793411</v>
      </c>
      <c r="BF425" s="72">
        <v>0</v>
      </c>
      <c r="BG425" s="72">
        <v>0</v>
      </c>
      <c r="BH425" s="72">
        <v>0</v>
      </c>
      <c r="BI425" s="72">
        <v>0</v>
      </c>
      <c r="BJ425" s="72">
        <v>1793411</v>
      </c>
      <c r="BM425" s="72">
        <v>0</v>
      </c>
      <c r="BN425" s="72">
        <v>0</v>
      </c>
      <c r="BO425" s="72">
        <v>0</v>
      </c>
      <c r="BP425" s="72">
        <v>0</v>
      </c>
      <c r="BQ425" s="72">
        <v>0</v>
      </c>
      <c r="BR425" s="72">
        <v>0</v>
      </c>
      <c r="BS425" s="72">
        <v>16170243</v>
      </c>
    </row>
    <row r="426" spans="1:71" x14ac:dyDescent="0.2">
      <c r="A426" t="s">
        <v>168</v>
      </c>
      <c r="B426" t="s">
        <v>886</v>
      </c>
      <c r="C426" t="s">
        <v>81</v>
      </c>
      <c r="D426" s="72">
        <v>3493769</v>
      </c>
      <c r="E426" s="72">
        <v>577366</v>
      </c>
      <c r="F426" s="72">
        <v>0</v>
      </c>
      <c r="G426" s="72">
        <v>6979161</v>
      </c>
      <c r="H426" s="72">
        <v>15354</v>
      </c>
      <c r="I426" s="72">
        <v>0</v>
      </c>
      <c r="J426" s="72">
        <v>616372</v>
      </c>
      <c r="K426" s="72">
        <v>451451</v>
      </c>
      <c r="L426" s="72">
        <v>12133473</v>
      </c>
      <c r="M426" s="72">
        <v>0</v>
      </c>
      <c r="N426" s="72">
        <v>0</v>
      </c>
      <c r="O426" s="72">
        <v>0</v>
      </c>
      <c r="P426" s="72">
        <v>20000</v>
      </c>
      <c r="Q426" s="72">
        <v>13005</v>
      </c>
      <c r="R426" s="72">
        <v>33005</v>
      </c>
      <c r="S426" s="72">
        <v>12166478</v>
      </c>
      <c r="T426" s="72">
        <v>5971185</v>
      </c>
      <c r="U426" s="72">
        <v>2322495</v>
      </c>
      <c r="V426" s="72">
        <v>2910618</v>
      </c>
      <c r="W426" s="72">
        <v>453965</v>
      </c>
      <c r="X426" s="72">
        <v>0</v>
      </c>
      <c r="Y426" s="72">
        <v>0</v>
      </c>
      <c r="Z426" s="72">
        <v>0</v>
      </c>
      <c r="AA426" s="72">
        <v>0</v>
      </c>
      <c r="AB426" s="72">
        <v>0</v>
      </c>
      <c r="AC426" s="72">
        <v>0</v>
      </c>
      <c r="AD426" s="72">
        <v>0</v>
      </c>
      <c r="AE426" s="72">
        <v>0</v>
      </c>
      <c r="AF426" s="72">
        <v>0</v>
      </c>
      <c r="AG426" s="72">
        <v>203995</v>
      </c>
      <c r="AH426" s="72">
        <v>11862258</v>
      </c>
      <c r="AI426" s="72">
        <v>235000</v>
      </c>
      <c r="AJ426" s="72">
        <v>20000</v>
      </c>
      <c r="AK426" s="72">
        <v>0</v>
      </c>
      <c r="AL426" s="72">
        <v>255000</v>
      </c>
      <c r="AM426" s="72">
        <v>12117258</v>
      </c>
      <c r="AN426" s="72">
        <v>49220</v>
      </c>
      <c r="AO426" s="72">
        <v>300537</v>
      </c>
      <c r="AP426" s="72">
        <v>349757</v>
      </c>
      <c r="AQ426" s="72">
        <v>185300</v>
      </c>
      <c r="AR426" s="72">
        <v>0</v>
      </c>
      <c r="AS426" s="72">
        <v>0</v>
      </c>
      <c r="AT426" s="72">
        <v>0</v>
      </c>
      <c r="AU426" s="72">
        <v>0</v>
      </c>
      <c r="AV426" s="72">
        <v>0</v>
      </c>
      <c r="AW426" s="72">
        <v>0</v>
      </c>
      <c r="AX426" s="72">
        <v>0</v>
      </c>
      <c r="AY426" s="72">
        <v>0</v>
      </c>
      <c r="AZ426" s="72">
        <v>0</v>
      </c>
      <c r="BA426" s="72">
        <v>164457</v>
      </c>
      <c r="BB426" s="72">
        <v>0</v>
      </c>
      <c r="BC426" s="72">
        <v>0</v>
      </c>
      <c r="BD426" s="72">
        <v>0</v>
      </c>
      <c r="BE426" s="72">
        <v>164457</v>
      </c>
      <c r="BF426" s="72">
        <v>0</v>
      </c>
      <c r="BG426" s="72">
        <v>0</v>
      </c>
      <c r="BH426" s="72">
        <v>0</v>
      </c>
      <c r="BI426" s="72">
        <v>0</v>
      </c>
      <c r="BJ426" s="72">
        <v>164457</v>
      </c>
      <c r="BM426" s="72">
        <v>0</v>
      </c>
      <c r="BN426" s="72">
        <v>0</v>
      </c>
      <c r="BO426" s="72">
        <v>0</v>
      </c>
      <c r="BP426" s="72">
        <v>0</v>
      </c>
      <c r="BQ426" s="72">
        <v>0</v>
      </c>
      <c r="BR426" s="72">
        <v>0</v>
      </c>
      <c r="BS426" s="72">
        <v>12166478</v>
      </c>
    </row>
    <row r="427" spans="1:71" x14ac:dyDescent="0.2">
      <c r="A427" t="s">
        <v>192</v>
      </c>
      <c r="B427" t="s">
        <v>911</v>
      </c>
      <c r="C427" t="s">
        <v>81</v>
      </c>
      <c r="D427" s="72">
        <v>10784389</v>
      </c>
      <c r="E427" s="72">
        <v>941249</v>
      </c>
      <c r="F427" s="72">
        <v>0</v>
      </c>
      <c r="G427" s="72">
        <v>4165917</v>
      </c>
      <c r="H427" s="72">
        <v>0</v>
      </c>
      <c r="I427" s="72">
        <v>0</v>
      </c>
      <c r="J427" s="72">
        <v>3717979</v>
      </c>
      <c r="K427" s="72">
        <v>711181</v>
      </c>
      <c r="L427" s="72">
        <v>20320715</v>
      </c>
      <c r="M427" s="72">
        <v>0</v>
      </c>
      <c r="N427" s="72">
        <v>0</v>
      </c>
      <c r="O427" s="72">
        <v>0</v>
      </c>
      <c r="P427" s="72">
        <v>12216</v>
      </c>
      <c r="Q427" s="72">
        <v>43026</v>
      </c>
      <c r="R427" s="72">
        <v>55242</v>
      </c>
      <c r="S427" s="72">
        <v>20375957</v>
      </c>
      <c r="T427" s="72">
        <v>0</v>
      </c>
      <c r="U427" s="72">
        <v>10712773</v>
      </c>
      <c r="V427" s="72">
        <v>5222350</v>
      </c>
      <c r="W427" s="72">
        <v>2276702</v>
      </c>
      <c r="X427" s="72">
        <v>399763</v>
      </c>
      <c r="Y427" s="72">
        <v>5332</v>
      </c>
      <c r="Z427" s="72">
        <v>0</v>
      </c>
      <c r="AA427" s="72">
        <v>0</v>
      </c>
      <c r="AB427" s="72">
        <v>0</v>
      </c>
      <c r="AC427" s="72">
        <v>0</v>
      </c>
      <c r="AD427" s="72">
        <v>0</v>
      </c>
      <c r="AE427" s="72">
        <v>0</v>
      </c>
      <c r="AF427" s="72">
        <v>0</v>
      </c>
      <c r="AG427" s="72">
        <v>391712</v>
      </c>
      <c r="AH427" s="72">
        <v>19008633</v>
      </c>
      <c r="AI427" s="72">
        <v>128826</v>
      </c>
      <c r="AJ427" s="72">
        <v>0</v>
      </c>
      <c r="AK427" s="72">
        <v>0</v>
      </c>
      <c r="AL427" s="72">
        <v>128826</v>
      </c>
      <c r="AM427" s="72">
        <v>19137459</v>
      </c>
      <c r="AN427" s="72">
        <v>1238498</v>
      </c>
      <c r="AO427" s="72">
        <v>1756492</v>
      </c>
      <c r="AP427" s="72">
        <v>2994990</v>
      </c>
      <c r="AQ427" s="72">
        <v>740318</v>
      </c>
      <c r="AR427" s="72">
        <v>0</v>
      </c>
      <c r="AS427" s="72">
        <v>0</v>
      </c>
      <c r="AT427" s="72">
        <v>0</v>
      </c>
      <c r="AU427" s="72">
        <v>0</v>
      </c>
      <c r="AV427" s="72">
        <v>0</v>
      </c>
      <c r="AW427" s="72">
        <v>0</v>
      </c>
      <c r="AX427" s="72">
        <v>0</v>
      </c>
      <c r="AY427" s="72">
        <v>0</v>
      </c>
      <c r="AZ427" s="72">
        <v>0</v>
      </c>
      <c r="BA427" s="72">
        <v>2254672</v>
      </c>
      <c r="BB427" s="72">
        <v>0</v>
      </c>
      <c r="BC427" s="72">
        <v>0</v>
      </c>
      <c r="BD427" s="72">
        <v>0</v>
      </c>
      <c r="BE427" s="72">
        <v>2254672</v>
      </c>
      <c r="BF427" s="72">
        <v>0</v>
      </c>
      <c r="BG427" s="72">
        <v>0</v>
      </c>
      <c r="BH427" s="72">
        <v>0</v>
      </c>
      <c r="BI427" s="72">
        <v>0</v>
      </c>
      <c r="BJ427" s="72">
        <v>2254672</v>
      </c>
      <c r="BK427" s="72">
        <v>0</v>
      </c>
      <c r="BL427" s="72">
        <v>0</v>
      </c>
      <c r="BM427" s="72">
        <v>0</v>
      </c>
      <c r="BN427" s="72">
        <v>0</v>
      </c>
      <c r="BO427" s="72">
        <v>0</v>
      </c>
      <c r="BP427" s="72">
        <v>0</v>
      </c>
      <c r="BQ427" s="72">
        <v>0</v>
      </c>
      <c r="BR427" s="72">
        <v>0</v>
      </c>
      <c r="BS427" s="72">
        <v>20375957</v>
      </c>
    </row>
    <row r="428" spans="1:71" x14ac:dyDescent="0.2">
      <c r="A428" t="s">
        <v>231</v>
      </c>
      <c r="B428" t="s">
        <v>1231</v>
      </c>
      <c r="C428" t="s">
        <v>81</v>
      </c>
      <c r="D428" s="72">
        <v>11087220</v>
      </c>
      <c r="E428" s="72">
        <v>502156</v>
      </c>
      <c r="F428" s="72">
        <v>2020989</v>
      </c>
      <c r="G428" s="72">
        <v>9061499</v>
      </c>
      <c r="H428" s="72">
        <v>39165</v>
      </c>
      <c r="J428" s="72">
        <v>1640909</v>
      </c>
      <c r="K428" s="72">
        <v>800199</v>
      </c>
      <c r="L428" s="72">
        <v>25152136</v>
      </c>
      <c r="M428" s="72">
        <v>0</v>
      </c>
      <c r="N428" s="72">
        <v>0</v>
      </c>
      <c r="O428" s="72">
        <v>0</v>
      </c>
      <c r="P428" s="72">
        <v>0</v>
      </c>
      <c r="Q428" s="72">
        <v>158806</v>
      </c>
      <c r="R428" s="72">
        <v>158806</v>
      </c>
      <c r="S428" s="72">
        <v>25310942</v>
      </c>
      <c r="T428" s="72">
        <v>13069532</v>
      </c>
      <c r="U428" s="72">
        <v>6593138</v>
      </c>
      <c r="V428" s="72">
        <v>4474799</v>
      </c>
      <c r="W428" s="72">
        <v>930112</v>
      </c>
      <c r="X428" s="72">
        <v>20200</v>
      </c>
      <c r="Y428" s="72">
        <v>0</v>
      </c>
      <c r="Z428" s="72">
        <v>0</v>
      </c>
      <c r="AA428" s="72">
        <v>0</v>
      </c>
      <c r="AB428" s="72">
        <v>339000</v>
      </c>
      <c r="AC428" s="72">
        <v>0</v>
      </c>
      <c r="AD428" s="72">
        <v>0</v>
      </c>
      <c r="AE428" s="72">
        <v>0</v>
      </c>
      <c r="AF428" s="72">
        <v>0</v>
      </c>
      <c r="AG428" s="72">
        <v>492897</v>
      </c>
      <c r="AH428" s="72">
        <v>25919678</v>
      </c>
      <c r="AI428" s="72">
        <v>90000</v>
      </c>
      <c r="AJ428" s="72">
        <v>25000</v>
      </c>
      <c r="AK428" s="72">
        <v>0</v>
      </c>
      <c r="AL428" s="72">
        <v>115000</v>
      </c>
      <c r="AM428" s="72">
        <v>26034678</v>
      </c>
      <c r="AN428" s="72">
        <v>-723736</v>
      </c>
      <c r="AO428" s="72">
        <v>2218847</v>
      </c>
      <c r="AP428" s="72">
        <v>1495111</v>
      </c>
      <c r="AQ428" s="72">
        <v>200000</v>
      </c>
      <c r="AR428" s="72">
        <v>0</v>
      </c>
      <c r="AS428" s="72">
        <v>0</v>
      </c>
      <c r="AT428" s="72">
        <v>0</v>
      </c>
      <c r="AU428" s="72">
        <v>0</v>
      </c>
      <c r="AW428" s="72">
        <v>0</v>
      </c>
      <c r="AX428" s="72">
        <v>0</v>
      </c>
      <c r="AY428" s="72">
        <v>0</v>
      </c>
      <c r="AZ428" s="72">
        <v>0</v>
      </c>
      <c r="BA428" s="72">
        <v>1295111</v>
      </c>
      <c r="BB428" s="72">
        <v>0</v>
      </c>
      <c r="BC428" s="72">
        <v>0</v>
      </c>
      <c r="BD428" s="72">
        <v>0</v>
      </c>
      <c r="BE428" s="72">
        <v>1295111</v>
      </c>
      <c r="BF428" s="72">
        <v>0</v>
      </c>
      <c r="BG428" s="72">
        <v>1862000</v>
      </c>
      <c r="BH428" s="72">
        <v>1862000</v>
      </c>
      <c r="BI428" s="72">
        <v>0</v>
      </c>
      <c r="BJ428" s="72">
        <v>3157111</v>
      </c>
      <c r="BS428" s="72">
        <v>26034678</v>
      </c>
    </row>
    <row r="429" spans="1:71" x14ac:dyDescent="0.2">
      <c r="A429" t="s">
        <v>361</v>
      </c>
      <c r="B429" t="s">
        <v>1073</v>
      </c>
      <c r="C429" t="s">
        <v>81</v>
      </c>
      <c r="D429" s="72">
        <v>19366441</v>
      </c>
      <c r="E429" s="72">
        <v>823614</v>
      </c>
      <c r="F429" s="72">
        <v>0</v>
      </c>
      <c r="G429" s="72">
        <v>4589039</v>
      </c>
      <c r="H429" s="72">
        <v>32289</v>
      </c>
      <c r="I429" s="72">
        <v>0</v>
      </c>
      <c r="J429" s="72">
        <v>3125049</v>
      </c>
      <c r="K429" s="72">
        <v>965200</v>
      </c>
      <c r="L429" s="72">
        <v>28901632</v>
      </c>
      <c r="M429" s="72">
        <v>0</v>
      </c>
      <c r="N429" s="72">
        <v>0</v>
      </c>
      <c r="O429" s="72">
        <v>0</v>
      </c>
      <c r="P429" s="72">
        <v>5115</v>
      </c>
      <c r="Q429" s="72">
        <v>91000</v>
      </c>
      <c r="R429" s="72">
        <v>96115</v>
      </c>
      <c r="S429" s="72">
        <v>28997747</v>
      </c>
      <c r="T429" s="72">
        <v>16207243</v>
      </c>
      <c r="U429" s="72">
        <v>5351770</v>
      </c>
      <c r="V429" s="72">
        <v>3438899</v>
      </c>
      <c r="W429" s="72">
        <v>1013248</v>
      </c>
      <c r="X429" s="72">
        <v>122720</v>
      </c>
      <c r="Y429" s="72">
        <v>0</v>
      </c>
      <c r="Z429" s="72">
        <v>0</v>
      </c>
      <c r="AA429" s="72">
        <v>0</v>
      </c>
      <c r="AB429" s="72">
        <v>0</v>
      </c>
      <c r="AC429" s="72">
        <v>0</v>
      </c>
      <c r="AD429" s="72">
        <v>0</v>
      </c>
      <c r="AE429" s="72">
        <v>0</v>
      </c>
      <c r="AF429" s="72">
        <v>0</v>
      </c>
      <c r="AG429" s="72">
        <v>483789</v>
      </c>
      <c r="AH429" s="72">
        <v>26617669</v>
      </c>
      <c r="AI429" s="72">
        <v>10000</v>
      </c>
      <c r="AJ429" s="72">
        <v>5000</v>
      </c>
      <c r="AK429" s="72">
        <v>0</v>
      </c>
      <c r="AL429" s="72">
        <v>15000</v>
      </c>
      <c r="AM429" s="72">
        <v>26632669</v>
      </c>
      <c r="AN429" s="72">
        <v>2365078</v>
      </c>
      <c r="AO429" s="72">
        <v>9855201</v>
      </c>
      <c r="AP429" s="72">
        <v>12220279</v>
      </c>
      <c r="AQ429" s="72">
        <v>150000</v>
      </c>
      <c r="AR429" s="72">
        <v>0</v>
      </c>
      <c r="AS429" s="72">
        <v>0</v>
      </c>
      <c r="AT429" s="72">
        <v>0</v>
      </c>
      <c r="AU429" s="72">
        <v>0</v>
      </c>
      <c r="AV429" s="72">
        <v>0</v>
      </c>
      <c r="AW429" s="72">
        <v>0</v>
      </c>
      <c r="AX429" s="72">
        <v>0</v>
      </c>
      <c r="AY429" s="72">
        <v>0</v>
      </c>
      <c r="AZ429" s="72">
        <v>0</v>
      </c>
      <c r="BA429" s="72">
        <v>12070279</v>
      </c>
      <c r="BB429" s="72">
        <v>0</v>
      </c>
      <c r="BC429" s="72">
        <v>0</v>
      </c>
      <c r="BD429" s="72">
        <v>0</v>
      </c>
      <c r="BE429" s="72">
        <v>12070279</v>
      </c>
      <c r="BF429" s="72">
        <v>0</v>
      </c>
      <c r="BG429" s="72">
        <v>0</v>
      </c>
      <c r="BH429" s="72">
        <v>0</v>
      </c>
      <c r="BI429" s="72">
        <v>0</v>
      </c>
      <c r="BJ429" s="72">
        <v>12070279</v>
      </c>
      <c r="BK429" s="72">
        <v>0</v>
      </c>
      <c r="BL429" s="72">
        <v>0</v>
      </c>
      <c r="BM429" s="72">
        <v>0</v>
      </c>
      <c r="BN429" s="72">
        <v>0</v>
      </c>
      <c r="BO429" s="72">
        <v>0</v>
      </c>
      <c r="BP429" s="72">
        <v>0</v>
      </c>
      <c r="BQ429" s="72">
        <v>0</v>
      </c>
      <c r="BR429" s="72">
        <v>0</v>
      </c>
      <c r="BS429" s="72">
        <v>28997747</v>
      </c>
    </row>
    <row r="430" spans="1:71" x14ac:dyDescent="0.2">
      <c r="A430" t="s">
        <v>280</v>
      </c>
      <c r="B430" t="s">
        <v>996</v>
      </c>
      <c r="C430" t="s">
        <v>59</v>
      </c>
      <c r="D430" s="72">
        <v>1063087</v>
      </c>
      <c r="E430" s="72">
        <v>143198</v>
      </c>
      <c r="F430" s="72">
        <v>0</v>
      </c>
      <c r="G430" s="72">
        <v>5313959</v>
      </c>
      <c r="H430" s="72">
        <v>9000</v>
      </c>
      <c r="I430" s="72">
        <v>0</v>
      </c>
      <c r="J430" s="72">
        <v>225154</v>
      </c>
      <c r="K430" s="72">
        <v>789546</v>
      </c>
      <c r="L430" s="72">
        <v>7543944</v>
      </c>
      <c r="M430" s="72">
        <v>0</v>
      </c>
      <c r="N430" s="72">
        <v>0</v>
      </c>
      <c r="O430" s="72">
        <v>0</v>
      </c>
      <c r="P430" s="72">
        <v>22497</v>
      </c>
      <c r="Q430" s="72">
        <v>28500</v>
      </c>
      <c r="R430" s="72">
        <v>50997</v>
      </c>
      <c r="S430" s="72">
        <v>7594941</v>
      </c>
      <c r="T430" s="72">
        <v>3956618</v>
      </c>
      <c r="U430" s="72">
        <v>1985565</v>
      </c>
      <c r="V430" s="72">
        <v>1126750</v>
      </c>
      <c r="W430" s="72">
        <v>281916</v>
      </c>
      <c r="X430" s="72">
        <v>178740</v>
      </c>
      <c r="Y430" s="72">
        <v>0</v>
      </c>
      <c r="Z430" s="72">
        <v>0</v>
      </c>
      <c r="AA430" s="72">
        <v>0</v>
      </c>
      <c r="AB430" s="72">
        <v>0</v>
      </c>
      <c r="AC430" s="72">
        <v>0</v>
      </c>
      <c r="AD430" s="72">
        <v>0</v>
      </c>
      <c r="AE430" s="72">
        <v>0</v>
      </c>
      <c r="AF430" s="72">
        <v>0</v>
      </c>
      <c r="AG430" s="72">
        <v>119781</v>
      </c>
      <c r="AH430" s="72">
        <v>7649370</v>
      </c>
      <c r="AI430" s="72">
        <v>0</v>
      </c>
      <c r="AJ430" s="72">
        <v>5000</v>
      </c>
      <c r="AK430" s="72">
        <v>0</v>
      </c>
      <c r="AL430" s="72">
        <v>5000</v>
      </c>
      <c r="AM430" s="72">
        <v>7654370</v>
      </c>
      <c r="AN430" s="72">
        <v>-59429</v>
      </c>
      <c r="AO430" s="72">
        <v>987970</v>
      </c>
      <c r="AP430" s="72">
        <v>928541</v>
      </c>
      <c r="AQ430" s="72">
        <v>50000</v>
      </c>
      <c r="AR430" s="72">
        <v>0</v>
      </c>
      <c r="AS430" s="72">
        <v>0</v>
      </c>
      <c r="AT430" s="72">
        <v>52866</v>
      </c>
      <c r="AU430" s="72">
        <v>0</v>
      </c>
      <c r="AV430" s="72">
        <v>0</v>
      </c>
      <c r="AW430" s="72">
        <v>0</v>
      </c>
      <c r="AX430" s="72">
        <v>0</v>
      </c>
      <c r="AY430" s="72">
        <v>0</v>
      </c>
      <c r="AZ430" s="72">
        <v>52866</v>
      </c>
      <c r="BA430" s="72">
        <v>825675</v>
      </c>
      <c r="BB430" s="72">
        <v>0</v>
      </c>
      <c r="BC430" s="72">
        <v>0</v>
      </c>
      <c r="BD430" s="72">
        <v>0</v>
      </c>
      <c r="BE430" s="72">
        <v>825675</v>
      </c>
      <c r="BF430" s="72">
        <v>0</v>
      </c>
      <c r="BG430" s="72">
        <v>0</v>
      </c>
      <c r="BH430" s="72">
        <v>0</v>
      </c>
      <c r="BI430" s="72">
        <v>0</v>
      </c>
      <c r="BJ430" s="72">
        <v>825675</v>
      </c>
      <c r="BM430" s="72">
        <v>0</v>
      </c>
      <c r="BN430" s="72">
        <v>0</v>
      </c>
      <c r="BO430" s="72">
        <v>0</v>
      </c>
      <c r="BP430" s="72">
        <v>0</v>
      </c>
      <c r="BQ430" s="72">
        <v>0</v>
      </c>
      <c r="BR430" s="72">
        <v>0</v>
      </c>
      <c r="BS430" s="72">
        <v>7654370</v>
      </c>
    </row>
    <row r="431" spans="1:71" x14ac:dyDescent="0.2">
      <c r="A431" t="s">
        <v>474</v>
      </c>
      <c r="B431" t="s">
        <v>1178</v>
      </c>
      <c r="C431" t="s">
        <v>59</v>
      </c>
      <c r="D431" s="72">
        <v>2206151</v>
      </c>
      <c r="E431" s="72">
        <v>349723</v>
      </c>
      <c r="F431" s="72">
        <v>0</v>
      </c>
      <c r="G431" s="72">
        <v>14302644</v>
      </c>
      <c r="H431" s="72">
        <v>242840</v>
      </c>
      <c r="I431" s="72">
        <v>0</v>
      </c>
      <c r="J431" s="72">
        <v>450572</v>
      </c>
      <c r="K431" s="72">
        <v>846249</v>
      </c>
      <c r="L431" s="72">
        <v>18398179</v>
      </c>
      <c r="M431" s="72">
        <v>0</v>
      </c>
      <c r="N431" s="72">
        <v>0</v>
      </c>
      <c r="O431" s="72">
        <v>0</v>
      </c>
      <c r="P431" s="72">
        <v>0</v>
      </c>
      <c r="Q431" s="72">
        <v>145669</v>
      </c>
      <c r="R431" s="72">
        <v>145669</v>
      </c>
      <c r="S431" s="72">
        <v>18543848</v>
      </c>
      <c r="T431" s="72">
        <v>9000504</v>
      </c>
      <c r="U431" s="72">
        <v>5089368</v>
      </c>
      <c r="V431" s="72">
        <v>2459197</v>
      </c>
      <c r="W431" s="72">
        <v>875502</v>
      </c>
      <c r="X431" s="72">
        <v>158812</v>
      </c>
      <c r="Y431" s="72">
        <v>0</v>
      </c>
      <c r="Z431" s="72">
        <v>0</v>
      </c>
      <c r="AA431" s="72">
        <v>0</v>
      </c>
      <c r="AB431" s="72">
        <v>0</v>
      </c>
      <c r="AC431" s="72">
        <v>0</v>
      </c>
      <c r="AD431" s="72">
        <v>132522</v>
      </c>
      <c r="AE431" s="72">
        <v>0</v>
      </c>
      <c r="AF431" s="72">
        <v>17820</v>
      </c>
      <c r="AG431" s="72">
        <v>573418</v>
      </c>
      <c r="AH431" s="72">
        <v>18307143</v>
      </c>
      <c r="AI431" s="72">
        <v>5000</v>
      </c>
      <c r="AJ431" s="72">
        <v>0</v>
      </c>
      <c r="AK431" s="72">
        <v>10532</v>
      </c>
      <c r="AL431" s="72">
        <v>15532</v>
      </c>
      <c r="AM431" s="72">
        <v>18322675</v>
      </c>
      <c r="AN431" s="72">
        <v>221173</v>
      </c>
      <c r="AO431" s="72">
        <v>515553</v>
      </c>
      <c r="AP431" s="72">
        <v>736726</v>
      </c>
      <c r="AQ431" s="72">
        <v>75000</v>
      </c>
      <c r="AR431" s="72">
        <v>0</v>
      </c>
      <c r="AS431" s="72">
        <v>0</v>
      </c>
      <c r="AT431" s="72">
        <v>0</v>
      </c>
      <c r="AU431" s="72">
        <v>0</v>
      </c>
      <c r="AV431" s="72">
        <v>0</v>
      </c>
      <c r="AW431" s="72">
        <v>0</v>
      </c>
      <c r="AX431" s="72">
        <v>0</v>
      </c>
      <c r="AY431" s="72">
        <v>0</v>
      </c>
      <c r="AZ431" s="72">
        <v>0</v>
      </c>
      <c r="BA431" s="72">
        <v>661726</v>
      </c>
      <c r="BB431" s="72">
        <v>0</v>
      </c>
      <c r="BC431" s="72">
        <v>0</v>
      </c>
      <c r="BD431" s="72">
        <v>0</v>
      </c>
      <c r="BE431" s="72">
        <v>661726</v>
      </c>
      <c r="BF431" s="72">
        <v>0</v>
      </c>
      <c r="BG431" s="72">
        <v>0</v>
      </c>
      <c r="BH431" s="72">
        <v>0</v>
      </c>
      <c r="BI431" s="72">
        <v>0</v>
      </c>
      <c r="BJ431" s="72">
        <v>661726</v>
      </c>
      <c r="BM431" s="72">
        <v>0</v>
      </c>
      <c r="BN431" s="72">
        <v>0</v>
      </c>
      <c r="BO431" s="72">
        <v>0</v>
      </c>
      <c r="BP431" s="72">
        <v>0</v>
      </c>
      <c r="BQ431" s="72">
        <v>0</v>
      </c>
      <c r="BR431" s="72">
        <v>0</v>
      </c>
      <c r="BS431" s="72">
        <v>18543848</v>
      </c>
    </row>
    <row r="432" spans="1:71" x14ac:dyDescent="0.2">
      <c r="A432" t="s">
        <v>643</v>
      </c>
      <c r="B432" t="s">
        <v>1127</v>
      </c>
      <c r="C432" t="s">
        <v>59</v>
      </c>
      <c r="D432" s="72">
        <v>1342611</v>
      </c>
      <c r="E432" s="72">
        <v>353316</v>
      </c>
      <c r="F432" s="72">
        <v>0</v>
      </c>
      <c r="G432" s="72">
        <v>4347093</v>
      </c>
      <c r="H432" s="72">
        <v>41963</v>
      </c>
      <c r="I432" s="72">
        <v>0</v>
      </c>
      <c r="J432" s="72">
        <v>216876</v>
      </c>
      <c r="K432" s="72">
        <v>506344</v>
      </c>
      <c r="L432" s="72">
        <v>6808203</v>
      </c>
      <c r="M432" s="72">
        <v>0</v>
      </c>
      <c r="N432" s="72">
        <v>0</v>
      </c>
      <c r="O432" s="72">
        <v>0</v>
      </c>
      <c r="P432" s="72">
        <v>5771</v>
      </c>
      <c r="Q432" s="72">
        <v>0</v>
      </c>
      <c r="R432" s="72">
        <v>5771</v>
      </c>
      <c r="S432" s="72">
        <v>6813974</v>
      </c>
      <c r="T432" s="72">
        <v>3233387</v>
      </c>
      <c r="U432" s="72">
        <v>1866748</v>
      </c>
      <c r="V432" s="72">
        <v>1396354</v>
      </c>
      <c r="W432" s="72">
        <v>352852</v>
      </c>
      <c r="X432" s="72">
        <v>18278</v>
      </c>
      <c r="Y432" s="72">
        <v>0</v>
      </c>
      <c r="Z432" s="72">
        <v>0</v>
      </c>
      <c r="AA432" s="72">
        <v>62952</v>
      </c>
      <c r="AB432" s="72">
        <v>0</v>
      </c>
      <c r="AC432" s="72">
        <v>0</v>
      </c>
      <c r="AD432" s="72">
        <v>0</v>
      </c>
      <c r="AE432" s="72">
        <v>0</v>
      </c>
      <c r="AF432" s="72">
        <v>0</v>
      </c>
      <c r="AG432" s="72">
        <v>112133</v>
      </c>
      <c r="AH432" s="72">
        <v>7042704</v>
      </c>
      <c r="AI432" s="72">
        <v>80000</v>
      </c>
      <c r="AJ432" s="72">
        <v>0</v>
      </c>
      <c r="AK432" s="72">
        <v>0</v>
      </c>
      <c r="AL432" s="72">
        <v>80000</v>
      </c>
      <c r="AM432" s="72">
        <v>7122704</v>
      </c>
      <c r="AN432" s="72">
        <v>-308730</v>
      </c>
      <c r="AO432" s="72">
        <v>1397022</v>
      </c>
      <c r="AP432" s="72">
        <v>1088292</v>
      </c>
      <c r="AQ432" s="72">
        <v>5000</v>
      </c>
      <c r="AR432" s="72">
        <v>0</v>
      </c>
      <c r="AS432" s="72">
        <v>0</v>
      </c>
      <c r="AT432" s="72">
        <v>0</v>
      </c>
      <c r="AU432" s="72">
        <v>0</v>
      </c>
      <c r="AV432" s="72">
        <v>0</v>
      </c>
      <c r="AW432" s="72">
        <v>0</v>
      </c>
      <c r="AX432" s="72">
        <v>0</v>
      </c>
      <c r="AY432" s="72">
        <v>0</v>
      </c>
      <c r="AZ432" s="72">
        <v>0</v>
      </c>
      <c r="BA432" s="72">
        <v>1083292</v>
      </c>
      <c r="BB432" s="72">
        <v>0</v>
      </c>
      <c r="BC432" s="72">
        <v>37044</v>
      </c>
      <c r="BD432" s="72">
        <v>37044</v>
      </c>
      <c r="BE432" s="72">
        <v>1120336</v>
      </c>
      <c r="BF432" s="72">
        <v>0</v>
      </c>
      <c r="BG432" s="72">
        <v>0</v>
      </c>
      <c r="BH432" s="72">
        <v>0</v>
      </c>
      <c r="BI432" s="72">
        <v>0</v>
      </c>
      <c r="BJ432" s="72">
        <v>1120336</v>
      </c>
      <c r="BM432" s="72">
        <v>0</v>
      </c>
      <c r="BN432" s="72">
        <v>0</v>
      </c>
      <c r="BO432" s="72">
        <v>0</v>
      </c>
      <c r="BP432" s="72">
        <v>0</v>
      </c>
      <c r="BQ432" s="72">
        <v>0</v>
      </c>
      <c r="BR432" s="72">
        <v>0</v>
      </c>
      <c r="BS432" s="72">
        <v>7122704</v>
      </c>
    </row>
    <row r="433" spans="1:71" x14ac:dyDescent="0.2">
      <c r="A433" t="s">
        <v>459</v>
      </c>
      <c r="B433" t="s">
        <v>1164</v>
      </c>
      <c r="C433" t="s">
        <v>22</v>
      </c>
      <c r="D433" s="72">
        <v>2520511</v>
      </c>
      <c r="E433" s="72">
        <v>61000</v>
      </c>
      <c r="F433" s="72">
        <v>0</v>
      </c>
      <c r="G433" s="72">
        <v>4099500</v>
      </c>
      <c r="H433" s="72">
        <v>60000</v>
      </c>
      <c r="I433" s="72">
        <v>0</v>
      </c>
      <c r="J433" s="72">
        <v>352720</v>
      </c>
      <c r="K433" s="72">
        <v>312420</v>
      </c>
      <c r="L433" s="72">
        <v>7406151</v>
      </c>
      <c r="M433" s="72">
        <v>0</v>
      </c>
      <c r="N433" s="72">
        <v>0</v>
      </c>
      <c r="O433" s="72">
        <v>0</v>
      </c>
      <c r="P433" s="72">
        <v>45000</v>
      </c>
      <c r="Q433" s="72">
        <v>15000</v>
      </c>
      <c r="R433" s="72">
        <v>60000</v>
      </c>
      <c r="S433" s="72">
        <v>7466151</v>
      </c>
      <c r="T433" s="72">
        <v>4211385</v>
      </c>
      <c r="U433" s="72">
        <v>1860740</v>
      </c>
      <c r="V433" s="72">
        <v>898995</v>
      </c>
      <c r="W433" s="72">
        <v>306370</v>
      </c>
      <c r="X433" s="72">
        <v>180000</v>
      </c>
      <c r="Y433" s="72">
        <v>0</v>
      </c>
      <c r="Z433" s="72">
        <v>0</v>
      </c>
      <c r="AA433" s="72">
        <v>0</v>
      </c>
      <c r="AB433" s="72">
        <v>0</v>
      </c>
      <c r="AC433" s="72">
        <v>0</v>
      </c>
      <c r="AD433" s="72">
        <v>0</v>
      </c>
      <c r="AE433" s="72">
        <v>0</v>
      </c>
      <c r="AF433" s="72">
        <v>0</v>
      </c>
      <c r="AG433" s="72">
        <v>87150</v>
      </c>
      <c r="AH433" s="72">
        <v>7544640</v>
      </c>
      <c r="AI433" s="72">
        <v>60000</v>
      </c>
      <c r="AJ433" s="72">
        <v>45000</v>
      </c>
      <c r="AK433" s="72">
        <v>0</v>
      </c>
      <c r="AL433" s="72">
        <v>105000</v>
      </c>
      <c r="AM433" s="72">
        <v>7649640</v>
      </c>
      <c r="AN433" s="72">
        <v>-183489</v>
      </c>
      <c r="AO433" s="72">
        <v>1254363</v>
      </c>
      <c r="AP433" s="72">
        <v>1070874</v>
      </c>
      <c r="AQ433" s="72">
        <v>25000</v>
      </c>
      <c r="AR433" s="72">
        <v>0</v>
      </c>
      <c r="AS433" s="72">
        <v>0</v>
      </c>
      <c r="AT433" s="72">
        <v>0</v>
      </c>
      <c r="AU433" s="72">
        <v>0</v>
      </c>
      <c r="AV433" s="72">
        <v>0</v>
      </c>
      <c r="AW433" s="72">
        <v>0</v>
      </c>
      <c r="AX433" s="72">
        <v>0</v>
      </c>
      <c r="AY433" s="72">
        <v>0</v>
      </c>
      <c r="AZ433" s="72">
        <v>0</v>
      </c>
      <c r="BA433" s="72">
        <v>1045874</v>
      </c>
      <c r="BB433" s="72">
        <v>0</v>
      </c>
      <c r="BC433" s="72">
        <v>0</v>
      </c>
      <c r="BD433" s="72">
        <v>0</v>
      </c>
      <c r="BE433" s="72">
        <v>1045874</v>
      </c>
      <c r="BF433" s="72">
        <v>0</v>
      </c>
      <c r="BG433" s="72">
        <v>0</v>
      </c>
      <c r="BH433" s="72">
        <v>0</v>
      </c>
      <c r="BI433" s="72">
        <v>0</v>
      </c>
      <c r="BJ433" s="72">
        <v>1045874</v>
      </c>
      <c r="BK433" s="72">
        <v>0</v>
      </c>
      <c r="BL433" s="72">
        <v>0</v>
      </c>
      <c r="BM433" s="72">
        <v>0</v>
      </c>
      <c r="BN433" s="72">
        <v>0</v>
      </c>
      <c r="BO433" s="72">
        <v>0</v>
      </c>
      <c r="BP433" s="72">
        <v>0</v>
      </c>
      <c r="BQ433" s="72">
        <v>0</v>
      </c>
      <c r="BR433" s="72">
        <v>0</v>
      </c>
      <c r="BS433" s="72">
        <v>7649640</v>
      </c>
    </row>
    <row r="434" spans="1:71" x14ac:dyDescent="0.2">
      <c r="A434" t="s">
        <v>569</v>
      </c>
      <c r="B434" t="s">
        <v>1268</v>
      </c>
      <c r="C434" t="s">
        <v>22</v>
      </c>
      <c r="D434" s="72">
        <v>2479834</v>
      </c>
      <c r="E434" s="72">
        <v>119100</v>
      </c>
      <c r="F434" s="72">
        <v>1201790</v>
      </c>
      <c r="G434" s="72">
        <v>5423292</v>
      </c>
      <c r="H434" s="72">
        <v>67053</v>
      </c>
      <c r="I434" s="72">
        <v>0</v>
      </c>
      <c r="J434" s="72">
        <v>384374</v>
      </c>
      <c r="K434" s="72">
        <v>787300</v>
      </c>
      <c r="L434" s="72">
        <v>10462743</v>
      </c>
      <c r="M434" s="72">
        <v>0</v>
      </c>
      <c r="N434" s="72">
        <v>0</v>
      </c>
      <c r="O434" s="72">
        <v>0</v>
      </c>
      <c r="P434" s="72">
        <v>0</v>
      </c>
      <c r="Q434" s="72">
        <v>4200</v>
      </c>
      <c r="R434" s="72">
        <v>4200</v>
      </c>
      <c r="S434" s="72">
        <v>10466943</v>
      </c>
      <c r="T434" s="72">
        <v>5552490</v>
      </c>
      <c r="U434" s="72">
        <v>2296228</v>
      </c>
      <c r="V434" s="72">
        <v>1009952</v>
      </c>
      <c r="W434" s="72">
        <v>618896</v>
      </c>
      <c r="X434" s="72">
        <v>85475</v>
      </c>
      <c r="Y434" s="72">
        <v>0</v>
      </c>
      <c r="Z434" s="72">
        <v>0</v>
      </c>
      <c r="AA434" s="72">
        <v>0</v>
      </c>
      <c r="AB434" s="72">
        <v>0</v>
      </c>
      <c r="AC434" s="72">
        <v>0</v>
      </c>
      <c r="AD434" s="72">
        <v>0</v>
      </c>
      <c r="AE434" s="72">
        <v>0</v>
      </c>
      <c r="AF434" s="72">
        <v>0</v>
      </c>
      <c r="AG434" s="72">
        <v>895242</v>
      </c>
      <c r="AH434" s="72">
        <v>10458283</v>
      </c>
      <c r="AI434" s="72">
        <v>0</v>
      </c>
      <c r="AJ434" s="72">
        <v>0</v>
      </c>
      <c r="AK434" s="72">
        <v>278</v>
      </c>
      <c r="AL434" s="72">
        <v>278</v>
      </c>
      <c r="AM434" s="72">
        <v>10458561</v>
      </c>
      <c r="AN434" s="72">
        <v>8382</v>
      </c>
      <c r="AO434" s="72">
        <v>3333459</v>
      </c>
      <c r="AP434" s="72">
        <v>3341841</v>
      </c>
      <c r="AQ434" s="72">
        <v>0</v>
      </c>
      <c r="AR434" s="72">
        <v>0</v>
      </c>
      <c r="AS434" s="72">
        <v>0</v>
      </c>
      <c r="AT434" s="72">
        <v>0</v>
      </c>
      <c r="AU434" s="72">
        <v>0</v>
      </c>
      <c r="AV434" s="72">
        <v>0</v>
      </c>
      <c r="AW434" s="72">
        <v>0</v>
      </c>
      <c r="AX434" s="72">
        <v>0</v>
      </c>
      <c r="AY434" s="72">
        <v>0</v>
      </c>
      <c r="AZ434" s="72">
        <v>0</v>
      </c>
      <c r="BA434" s="72">
        <v>3341841</v>
      </c>
      <c r="BB434" s="72">
        <v>0</v>
      </c>
      <c r="BC434" s="72">
        <v>0</v>
      </c>
      <c r="BD434" s="72">
        <v>0</v>
      </c>
      <c r="BE434" s="72">
        <v>3341841</v>
      </c>
      <c r="BF434" s="72">
        <v>0</v>
      </c>
      <c r="BG434" s="72">
        <v>0</v>
      </c>
      <c r="BH434" s="72">
        <v>0</v>
      </c>
      <c r="BI434" s="72">
        <v>0</v>
      </c>
      <c r="BJ434" s="72">
        <v>3341841</v>
      </c>
      <c r="BK434" s="72">
        <v>88</v>
      </c>
      <c r="BL434" s="72">
        <v>935</v>
      </c>
      <c r="BM434" s="72">
        <v>0</v>
      </c>
      <c r="BN434" s="72">
        <v>0</v>
      </c>
      <c r="BO434" s="72">
        <v>0</v>
      </c>
      <c r="BP434" s="72">
        <v>0</v>
      </c>
      <c r="BQ434" s="72">
        <v>0</v>
      </c>
      <c r="BR434" s="72">
        <v>0</v>
      </c>
      <c r="BS434" s="72">
        <v>10466943</v>
      </c>
    </row>
    <row r="435" spans="1:71" x14ac:dyDescent="0.2">
      <c r="A435" t="s">
        <v>658</v>
      </c>
      <c r="B435" t="s">
        <v>1348</v>
      </c>
      <c r="C435" t="s">
        <v>22</v>
      </c>
      <c r="D435" s="72">
        <v>2585000</v>
      </c>
      <c r="E435" s="72">
        <v>79000</v>
      </c>
      <c r="F435" s="72">
        <v>0</v>
      </c>
      <c r="G435" s="72">
        <v>5113000</v>
      </c>
      <c r="H435" s="72">
        <v>163000</v>
      </c>
      <c r="I435" s="72">
        <v>0</v>
      </c>
      <c r="J435" s="72">
        <v>375000</v>
      </c>
      <c r="K435" s="72">
        <v>266200</v>
      </c>
      <c r="L435" s="72">
        <v>8581200</v>
      </c>
      <c r="M435" s="72">
        <v>0</v>
      </c>
      <c r="N435" s="72">
        <v>0</v>
      </c>
      <c r="O435" s="72">
        <v>0</v>
      </c>
      <c r="P435" s="72">
        <v>0</v>
      </c>
      <c r="Q435" s="72">
        <v>1500</v>
      </c>
      <c r="R435" s="72">
        <v>1500</v>
      </c>
      <c r="S435" s="72">
        <v>8582700</v>
      </c>
      <c r="T435" s="72">
        <v>5040600</v>
      </c>
      <c r="U435" s="72">
        <v>2317500</v>
      </c>
      <c r="V435" s="72">
        <v>398700</v>
      </c>
      <c r="W435" s="72">
        <v>300700</v>
      </c>
      <c r="X435" s="72">
        <v>19000</v>
      </c>
      <c r="Y435" s="72">
        <v>0</v>
      </c>
      <c r="Z435" s="72">
        <v>0</v>
      </c>
      <c r="AA435" s="72">
        <v>0</v>
      </c>
      <c r="AB435" s="72">
        <v>0</v>
      </c>
      <c r="AC435" s="72">
        <v>0</v>
      </c>
      <c r="AD435" s="72">
        <v>0</v>
      </c>
      <c r="AE435" s="72">
        <v>0</v>
      </c>
      <c r="AF435" s="72">
        <v>0</v>
      </c>
      <c r="AG435" s="72">
        <v>426700</v>
      </c>
      <c r="AH435" s="72">
        <v>8503200</v>
      </c>
      <c r="AI435" s="72">
        <v>0</v>
      </c>
      <c r="AJ435" s="72">
        <v>0</v>
      </c>
      <c r="AK435" s="72">
        <v>0</v>
      </c>
      <c r="AL435" s="72">
        <v>0</v>
      </c>
      <c r="AM435" s="72">
        <v>8503200</v>
      </c>
      <c r="AN435" s="72">
        <v>79500</v>
      </c>
      <c r="AO435" s="72">
        <v>3528488</v>
      </c>
      <c r="AP435" s="72">
        <v>3607988</v>
      </c>
      <c r="AQ435" s="72">
        <v>0</v>
      </c>
      <c r="AR435" s="72">
        <v>0</v>
      </c>
      <c r="AS435" s="72">
        <v>0</v>
      </c>
      <c r="AT435" s="72">
        <v>0</v>
      </c>
      <c r="AU435" s="72">
        <v>0</v>
      </c>
      <c r="AV435" s="72">
        <v>0</v>
      </c>
      <c r="AW435" s="72">
        <v>0</v>
      </c>
      <c r="AX435" s="72">
        <v>0</v>
      </c>
      <c r="AY435" s="72">
        <v>0</v>
      </c>
      <c r="AZ435" s="72">
        <v>0</v>
      </c>
      <c r="BA435" s="72">
        <v>3607988</v>
      </c>
      <c r="BB435" s="72">
        <v>0</v>
      </c>
      <c r="BC435" s="72">
        <v>0</v>
      </c>
      <c r="BD435" s="72">
        <v>0</v>
      </c>
      <c r="BE435" s="72">
        <v>3607988</v>
      </c>
      <c r="BF435" s="72">
        <v>0</v>
      </c>
      <c r="BG435" s="72">
        <v>0</v>
      </c>
      <c r="BH435" s="72">
        <v>0</v>
      </c>
      <c r="BI435" s="72">
        <v>0</v>
      </c>
      <c r="BJ435" s="72">
        <v>3607988</v>
      </c>
      <c r="BK435" s="72">
        <v>85</v>
      </c>
      <c r="BL435" s="72">
        <v>910</v>
      </c>
      <c r="BM435" s="72">
        <v>0</v>
      </c>
      <c r="BN435" s="72">
        <v>0</v>
      </c>
      <c r="BO435" s="72">
        <v>0</v>
      </c>
      <c r="BP435" s="72">
        <v>0</v>
      </c>
      <c r="BQ435" s="72">
        <v>0</v>
      </c>
      <c r="BR435" s="72">
        <v>0</v>
      </c>
      <c r="BS435" s="72">
        <v>8582700</v>
      </c>
    </row>
    <row r="436" spans="1:71" x14ac:dyDescent="0.2">
      <c r="A436" t="s">
        <v>318</v>
      </c>
      <c r="B436" t="s">
        <v>1032</v>
      </c>
      <c r="C436" t="s">
        <v>22</v>
      </c>
      <c r="D436" s="72">
        <v>1616725</v>
      </c>
      <c r="E436" s="72">
        <v>0</v>
      </c>
      <c r="F436" s="72">
        <v>1862336</v>
      </c>
      <c r="G436" s="72">
        <v>4751427</v>
      </c>
      <c r="H436" s="72">
        <v>116636</v>
      </c>
      <c r="I436" s="72">
        <v>0</v>
      </c>
      <c r="J436" s="72">
        <v>226570</v>
      </c>
      <c r="K436" s="72">
        <v>352905</v>
      </c>
      <c r="L436" s="72">
        <v>8926599</v>
      </c>
      <c r="M436" s="72">
        <v>0</v>
      </c>
      <c r="N436" s="72">
        <v>0</v>
      </c>
      <c r="O436" s="72">
        <v>0</v>
      </c>
      <c r="P436" s="72">
        <v>20000</v>
      </c>
      <c r="Q436" s="72">
        <v>7640</v>
      </c>
      <c r="R436" s="72">
        <v>27640</v>
      </c>
      <c r="S436" s="72">
        <v>8954239</v>
      </c>
      <c r="T436" s="72">
        <v>4786844</v>
      </c>
      <c r="U436" s="72">
        <v>2170574</v>
      </c>
      <c r="V436" s="72">
        <v>776456</v>
      </c>
      <c r="W436" s="72">
        <v>298879</v>
      </c>
      <c r="X436" s="72">
        <v>80000</v>
      </c>
      <c r="Y436" s="72">
        <v>0</v>
      </c>
      <c r="Z436" s="72">
        <v>0</v>
      </c>
      <c r="AA436" s="72">
        <v>0</v>
      </c>
      <c r="AB436" s="72">
        <v>0</v>
      </c>
      <c r="AC436" s="72">
        <v>0</v>
      </c>
      <c r="AD436" s="72">
        <v>47371</v>
      </c>
      <c r="AE436" s="72">
        <v>0</v>
      </c>
      <c r="AF436" s="72">
        <v>4773</v>
      </c>
      <c r="AG436" s="72">
        <v>620292</v>
      </c>
      <c r="AH436" s="72">
        <v>8785189</v>
      </c>
      <c r="AI436" s="72">
        <v>370000</v>
      </c>
      <c r="AJ436" s="72">
        <v>0</v>
      </c>
      <c r="AK436" s="72">
        <v>0</v>
      </c>
      <c r="AL436" s="72">
        <v>370000</v>
      </c>
      <c r="AM436" s="72">
        <v>9155189</v>
      </c>
      <c r="AN436" s="72">
        <v>-200950</v>
      </c>
      <c r="AO436" s="72">
        <v>2707645</v>
      </c>
      <c r="AP436" s="72">
        <v>2506695</v>
      </c>
      <c r="AQ436" s="72">
        <v>200000</v>
      </c>
      <c r="AR436" s="72">
        <v>0</v>
      </c>
      <c r="AS436" s="72">
        <v>0</v>
      </c>
      <c r="AT436" s="72">
        <v>0</v>
      </c>
      <c r="AU436" s="72">
        <v>0</v>
      </c>
      <c r="AV436" s="72">
        <v>0</v>
      </c>
      <c r="AW436" s="72">
        <v>0</v>
      </c>
      <c r="AX436" s="72">
        <v>0</v>
      </c>
      <c r="AY436" s="72">
        <v>0</v>
      </c>
      <c r="AZ436" s="72">
        <v>0</v>
      </c>
      <c r="BA436" s="72">
        <v>2306695</v>
      </c>
      <c r="BB436" s="72">
        <v>0</v>
      </c>
      <c r="BC436" s="72">
        <v>0</v>
      </c>
      <c r="BD436" s="72">
        <v>0</v>
      </c>
      <c r="BE436" s="72">
        <v>2306695</v>
      </c>
      <c r="BF436" s="72">
        <v>0</v>
      </c>
      <c r="BG436" s="72">
        <v>0</v>
      </c>
      <c r="BH436" s="72">
        <v>0</v>
      </c>
      <c r="BI436" s="72">
        <v>0</v>
      </c>
      <c r="BJ436" s="72">
        <v>2306695</v>
      </c>
      <c r="BK436" s="72">
        <v>74</v>
      </c>
      <c r="BL436" s="72">
        <v>867</v>
      </c>
      <c r="BM436" s="72">
        <v>0</v>
      </c>
      <c r="BN436" s="72">
        <v>0</v>
      </c>
      <c r="BO436" s="72">
        <v>0</v>
      </c>
      <c r="BP436" s="72">
        <v>0</v>
      </c>
      <c r="BQ436" s="72">
        <v>0</v>
      </c>
      <c r="BR436" s="72">
        <v>0</v>
      </c>
      <c r="BS436" s="72">
        <v>9155189</v>
      </c>
    </row>
    <row r="437" spans="1:71" x14ac:dyDescent="0.2">
      <c r="A437" t="s">
        <v>163</v>
      </c>
      <c r="B437" t="s">
        <v>884</v>
      </c>
      <c r="C437" t="s">
        <v>68</v>
      </c>
      <c r="D437" s="72">
        <v>3487451</v>
      </c>
      <c r="E437" s="72">
        <v>158776</v>
      </c>
      <c r="F437" s="72">
        <v>857566</v>
      </c>
      <c r="G437" s="72">
        <v>2558614</v>
      </c>
      <c r="H437" s="72">
        <v>4730</v>
      </c>
      <c r="I437" s="72">
        <v>0</v>
      </c>
      <c r="J437" s="72">
        <v>531089</v>
      </c>
      <c r="K437" s="72">
        <v>861299</v>
      </c>
      <c r="L437" s="72">
        <v>8459525</v>
      </c>
      <c r="M437" s="72">
        <v>0</v>
      </c>
      <c r="N437" s="72">
        <v>0</v>
      </c>
      <c r="O437" s="72">
        <v>0</v>
      </c>
      <c r="P437" s="72">
        <v>0</v>
      </c>
      <c r="Q437" s="72">
        <v>77906</v>
      </c>
      <c r="R437" s="72">
        <v>77906</v>
      </c>
      <c r="S437" s="72">
        <v>8537431</v>
      </c>
      <c r="T437" s="72">
        <v>3646659</v>
      </c>
      <c r="U437" s="72">
        <v>1423505</v>
      </c>
      <c r="V437" s="72">
        <v>2334510</v>
      </c>
      <c r="W437" s="72">
        <v>225000</v>
      </c>
      <c r="X437" s="72">
        <v>2000</v>
      </c>
      <c r="Y437" s="72">
        <v>0</v>
      </c>
      <c r="Z437" s="72">
        <v>0</v>
      </c>
      <c r="AA437" s="72">
        <v>0</v>
      </c>
      <c r="AB437" s="72">
        <v>0</v>
      </c>
      <c r="AC437" s="72">
        <v>0</v>
      </c>
      <c r="AD437" s="72">
        <v>122407</v>
      </c>
      <c r="AE437" s="72">
        <v>0</v>
      </c>
      <c r="AF437" s="72">
        <v>19398</v>
      </c>
      <c r="AG437" s="72">
        <v>120327</v>
      </c>
      <c r="AH437" s="72">
        <v>7893806</v>
      </c>
      <c r="AI437" s="72">
        <v>0</v>
      </c>
      <c r="AJ437" s="72">
        <v>0</v>
      </c>
      <c r="AK437" s="72">
        <v>0</v>
      </c>
      <c r="AL437" s="72">
        <v>0</v>
      </c>
      <c r="AM437" s="72">
        <v>7893806</v>
      </c>
      <c r="AN437" s="72">
        <v>643625</v>
      </c>
      <c r="AO437" s="72">
        <v>1277903</v>
      </c>
      <c r="AP437" s="72">
        <v>1921528</v>
      </c>
      <c r="AQ437" s="72">
        <v>0</v>
      </c>
      <c r="AR437" s="72">
        <v>0</v>
      </c>
      <c r="AS437" s="72">
        <v>0</v>
      </c>
      <c r="AT437" s="72">
        <v>0</v>
      </c>
      <c r="AU437" s="72">
        <v>0</v>
      </c>
      <c r="AV437" s="72">
        <v>0</v>
      </c>
      <c r="AW437" s="72">
        <v>0</v>
      </c>
      <c r="AX437" s="72">
        <v>0</v>
      </c>
      <c r="AY437" s="72">
        <v>0</v>
      </c>
      <c r="AZ437" s="72">
        <v>0</v>
      </c>
      <c r="BA437" s="72">
        <v>1921528</v>
      </c>
      <c r="BB437" s="72">
        <v>0</v>
      </c>
      <c r="BC437" s="72">
        <v>0</v>
      </c>
      <c r="BD437" s="72">
        <v>0</v>
      </c>
      <c r="BE437" s="72">
        <v>1921528</v>
      </c>
      <c r="BF437" s="72">
        <v>0</v>
      </c>
      <c r="BG437" s="72">
        <v>0</v>
      </c>
      <c r="BH437" s="72">
        <v>0</v>
      </c>
      <c r="BI437" s="72">
        <v>0</v>
      </c>
      <c r="BJ437" s="72">
        <v>1921528</v>
      </c>
      <c r="BK437" s="72">
        <v>0</v>
      </c>
      <c r="BL437" s="72">
        <v>0</v>
      </c>
      <c r="BM437" s="72">
        <v>0</v>
      </c>
      <c r="BN437" s="72">
        <v>0</v>
      </c>
      <c r="BO437" s="72">
        <v>0</v>
      </c>
      <c r="BP437" s="72">
        <v>0</v>
      </c>
      <c r="BQ437" s="72">
        <v>0</v>
      </c>
      <c r="BR437" s="72">
        <v>0</v>
      </c>
      <c r="BS437" s="72">
        <v>8537431</v>
      </c>
    </row>
    <row r="438" spans="1:71" x14ac:dyDescent="0.2">
      <c r="A438" t="s">
        <v>476</v>
      </c>
      <c r="B438" t="s">
        <v>1180</v>
      </c>
      <c r="C438" t="s">
        <v>68</v>
      </c>
      <c r="D438" s="72">
        <v>3336487</v>
      </c>
      <c r="E438" s="72">
        <v>0</v>
      </c>
      <c r="F438" s="72">
        <v>2912426</v>
      </c>
      <c r="G438" s="72">
        <v>4560460</v>
      </c>
      <c r="H438" s="72">
        <v>51384</v>
      </c>
      <c r="I438" s="72">
        <v>0</v>
      </c>
      <c r="J438" s="72">
        <v>517309</v>
      </c>
      <c r="K438" s="72">
        <v>660000</v>
      </c>
      <c r="L438" s="72">
        <v>12038066</v>
      </c>
      <c r="M438" s="72">
        <v>0</v>
      </c>
      <c r="N438" s="72">
        <v>0</v>
      </c>
      <c r="O438" s="72">
        <v>0</v>
      </c>
      <c r="P438" s="72">
        <v>0</v>
      </c>
      <c r="Q438" s="72">
        <v>41482</v>
      </c>
      <c r="R438" s="72">
        <v>41482</v>
      </c>
      <c r="S438" s="72">
        <v>12079548</v>
      </c>
      <c r="T438" s="72">
        <v>6185000</v>
      </c>
      <c r="U438" s="72">
        <v>2479025</v>
      </c>
      <c r="V438" s="72">
        <v>2350000</v>
      </c>
      <c r="W438" s="72">
        <v>350000</v>
      </c>
      <c r="X438" s="72">
        <v>358355</v>
      </c>
      <c r="Y438" s="72">
        <v>0</v>
      </c>
      <c r="Z438" s="72">
        <v>0</v>
      </c>
      <c r="AA438" s="72">
        <v>0</v>
      </c>
      <c r="AB438" s="72">
        <v>0</v>
      </c>
      <c r="AC438" s="72">
        <v>0</v>
      </c>
      <c r="AD438" s="72">
        <v>0</v>
      </c>
      <c r="AE438" s="72">
        <v>0</v>
      </c>
      <c r="AF438" s="72">
        <v>0</v>
      </c>
      <c r="AG438" s="72">
        <v>156122</v>
      </c>
      <c r="AH438" s="72">
        <v>11878502</v>
      </c>
      <c r="AI438" s="72">
        <v>0</v>
      </c>
      <c r="AJ438" s="72">
        <v>0</v>
      </c>
      <c r="AK438" s="72">
        <v>0</v>
      </c>
      <c r="AL438" s="72">
        <v>0</v>
      </c>
      <c r="AM438" s="72">
        <v>11878502</v>
      </c>
      <c r="AN438" s="72">
        <v>201046</v>
      </c>
      <c r="AO438" s="72">
        <v>1561620</v>
      </c>
      <c r="AP438" s="72">
        <v>1762666</v>
      </c>
      <c r="AQ438" s="72">
        <v>0</v>
      </c>
      <c r="AR438" s="72">
        <v>0</v>
      </c>
      <c r="AS438" s="72">
        <v>0</v>
      </c>
      <c r="AT438" s="72">
        <v>0</v>
      </c>
      <c r="AU438" s="72">
        <v>0</v>
      </c>
      <c r="AV438" s="72">
        <v>0</v>
      </c>
      <c r="AW438" s="72">
        <v>0</v>
      </c>
      <c r="AX438" s="72">
        <v>0</v>
      </c>
      <c r="AY438" s="72">
        <v>0</v>
      </c>
      <c r="AZ438" s="72">
        <v>0</v>
      </c>
      <c r="BA438" s="72">
        <v>1762666</v>
      </c>
      <c r="BB438" s="72">
        <v>0</v>
      </c>
      <c r="BC438" s="72">
        <v>0</v>
      </c>
      <c r="BD438" s="72">
        <v>0</v>
      </c>
      <c r="BE438" s="72">
        <v>1762666</v>
      </c>
      <c r="BF438" s="72">
        <v>0</v>
      </c>
      <c r="BG438" s="72">
        <v>0</v>
      </c>
      <c r="BH438" s="72">
        <v>0</v>
      </c>
      <c r="BI438" s="72">
        <v>0</v>
      </c>
      <c r="BJ438" s="72">
        <v>1762666</v>
      </c>
      <c r="BK438" s="72">
        <v>95</v>
      </c>
      <c r="BL438" s="72">
        <v>1147</v>
      </c>
      <c r="BM438" s="72">
        <v>0</v>
      </c>
      <c r="BN438" s="72">
        <v>0</v>
      </c>
      <c r="BO438" s="72">
        <v>0</v>
      </c>
      <c r="BP438" s="72">
        <v>0</v>
      </c>
      <c r="BQ438" s="72">
        <v>0</v>
      </c>
      <c r="BR438" s="72">
        <v>0</v>
      </c>
      <c r="BS438" s="72">
        <v>12079548</v>
      </c>
    </row>
    <row r="439" spans="1:71" x14ac:dyDescent="0.2">
      <c r="A439" t="s">
        <v>518</v>
      </c>
      <c r="B439" t="s">
        <v>1222</v>
      </c>
      <c r="C439" t="s">
        <v>68</v>
      </c>
      <c r="D439" s="72">
        <v>1135792</v>
      </c>
      <c r="E439" s="72">
        <v>52109</v>
      </c>
      <c r="F439" s="72">
        <v>1266120</v>
      </c>
      <c r="G439" s="72">
        <v>2075311</v>
      </c>
      <c r="H439" s="72">
        <v>7663</v>
      </c>
      <c r="I439" s="72">
        <v>0</v>
      </c>
      <c r="J439" s="72">
        <v>198854</v>
      </c>
      <c r="K439" s="72">
        <v>677609</v>
      </c>
      <c r="L439" s="72">
        <v>5413458</v>
      </c>
      <c r="O439" s="72">
        <v>0</v>
      </c>
      <c r="P439" s="72">
        <v>0</v>
      </c>
      <c r="Q439" s="72">
        <v>0</v>
      </c>
      <c r="R439" s="72">
        <v>0</v>
      </c>
      <c r="S439" s="72">
        <v>5413458</v>
      </c>
      <c r="T439" s="72">
        <v>2847712</v>
      </c>
      <c r="U439" s="72">
        <v>1055662</v>
      </c>
      <c r="V439" s="72">
        <v>862404</v>
      </c>
      <c r="W439" s="72">
        <v>222162</v>
      </c>
      <c r="X439" s="72">
        <v>136377</v>
      </c>
      <c r="AG439" s="72">
        <v>335032</v>
      </c>
      <c r="AH439" s="72">
        <v>5459349</v>
      </c>
      <c r="AI439" s="72">
        <v>0</v>
      </c>
      <c r="AJ439" s="72">
        <v>0</v>
      </c>
      <c r="AK439" s="72">
        <v>0</v>
      </c>
      <c r="AL439" s="72">
        <v>0</v>
      </c>
      <c r="AM439" s="72">
        <v>5459349</v>
      </c>
      <c r="AN439" s="72">
        <v>-45891</v>
      </c>
      <c r="AO439" s="72">
        <v>1847760</v>
      </c>
      <c r="AP439" s="72">
        <v>1801869</v>
      </c>
      <c r="AQ439" s="72">
        <v>100000</v>
      </c>
      <c r="BA439" s="72">
        <v>1701869</v>
      </c>
      <c r="BE439" s="72">
        <v>1701869</v>
      </c>
      <c r="BJ439" s="72">
        <v>1701869</v>
      </c>
      <c r="BS439" s="72">
        <v>5459349</v>
      </c>
    </row>
    <row r="440" spans="1:71" x14ac:dyDescent="0.2">
      <c r="A440" t="s">
        <v>669</v>
      </c>
      <c r="B440" t="s">
        <v>1136</v>
      </c>
      <c r="C440" t="s">
        <v>107</v>
      </c>
      <c r="D440" s="72">
        <v>5155248</v>
      </c>
      <c r="E440" s="72">
        <v>4477660</v>
      </c>
      <c r="F440" s="72">
        <v>0</v>
      </c>
      <c r="G440" s="72">
        <v>13259392</v>
      </c>
      <c r="H440" s="72">
        <v>384332</v>
      </c>
      <c r="I440" s="72">
        <v>0</v>
      </c>
      <c r="J440" s="72">
        <v>1351884</v>
      </c>
      <c r="K440" s="72">
        <v>1721752</v>
      </c>
      <c r="L440" s="72">
        <v>26350268</v>
      </c>
      <c r="M440" s="72">
        <v>0</v>
      </c>
      <c r="N440" s="72">
        <v>0</v>
      </c>
      <c r="O440" s="72">
        <v>0</v>
      </c>
      <c r="P440" s="72">
        <v>251397</v>
      </c>
      <c r="Q440" s="72">
        <v>0</v>
      </c>
      <c r="R440" s="72">
        <v>251397</v>
      </c>
      <c r="S440" s="72">
        <v>26601665</v>
      </c>
      <c r="T440" s="72">
        <v>10858226</v>
      </c>
      <c r="U440" s="72">
        <v>7816364</v>
      </c>
      <c r="V440" s="72">
        <v>4051382</v>
      </c>
      <c r="W440" s="72">
        <v>1374510</v>
      </c>
      <c r="X440" s="72">
        <v>559119</v>
      </c>
      <c r="Y440" s="72">
        <v>0</v>
      </c>
      <c r="Z440" s="72">
        <v>0</v>
      </c>
      <c r="AA440" s="72">
        <v>0</v>
      </c>
      <c r="AB440" s="72">
        <v>0</v>
      </c>
      <c r="AC440" s="72">
        <v>0</v>
      </c>
      <c r="AD440" s="72">
        <v>0</v>
      </c>
      <c r="AE440" s="72">
        <v>0</v>
      </c>
      <c r="AF440" s="72">
        <v>0</v>
      </c>
      <c r="AG440" s="72">
        <v>662830</v>
      </c>
      <c r="AH440" s="72">
        <v>25322432</v>
      </c>
      <c r="AI440" s="72">
        <v>350000</v>
      </c>
      <c r="AJ440" s="72">
        <v>250000</v>
      </c>
      <c r="AK440" s="72">
        <v>0</v>
      </c>
      <c r="AL440" s="72">
        <v>600000</v>
      </c>
      <c r="AM440" s="72">
        <v>25922432</v>
      </c>
      <c r="AN440" s="72">
        <v>679234</v>
      </c>
      <c r="AO440" s="72">
        <v>598495</v>
      </c>
      <c r="AP440" s="72">
        <v>1277729</v>
      </c>
      <c r="AQ440" s="72">
        <v>110000</v>
      </c>
      <c r="AR440" s="72">
        <v>0</v>
      </c>
      <c r="AS440" s="72">
        <v>0</v>
      </c>
      <c r="AT440" s="72">
        <v>0</v>
      </c>
      <c r="AU440" s="72">
        <v>0</v>
      </c>
      <c r="AW440" s="72">
        <v>0</v>
      </c>
      <c r="AX440" s="72">
        <v>0</v>
      </c>
      <c r="AY440" s="72">
        <v>0</v>
      </c>
      <c r="AZ440" s="72">
        <v>0</v>
      </c>
      <c r="BA440" s="72">
        <v>1167729</v>
      </c>
      <c r="BB440" s="72">
        <v>0</v>
      </c>
      <c r="BC440" s="72">
        <v>0</v>
      </c>
      <c r="BD440" s="72">
        <v>0</v>
      </c>
      <c r="BE440" s="72">
        <v>1167729</v>
      </c>
      <c r="BF440" s="72">
        <v>0</v>
      </c>
      <c r="BG440" s="72">
        <v>0</v>
      </c>
      <c r="BH440" s="72">
        <v>0</v>
      </c>
      <c r="BI440" s="72">
        <v>0</v>
      </c>
      <c r="BJ440" s="72">
        <v>1167729</v>
      </c>
      <c r="BS440" s="72">
        <v>26601665</v>
      </c>
    </row>
    <row r="441" spans="1:71" x14ac:dyDescent="0.2">
      <c r="A441" t="s">
        <v>184</v>
      </c>
      <c r="B441" t="s">
        <v>905</v>
      </c>
      <c r="C441" t="s">
        <v>38</v>
      </c>
      <c r="D441" s="72">
        <v>5110000</v>
      </c>
      <c r="E441" s="72">
        <v>0</v>
      </c>
      <c r="F441" s="72">
        <v>0</v>
      </c>
      <c r="G441" s="72">
        <v>5183000</v>
      </c>
      <c r="H441" s="72">
        <v>21000</v>
      </c>
      <c r="I441" s="72">
        <v>0</v>
      </c>
      <c r="J441" s="72">
        <v>1053000</v>
      </c>
      <c r="K441" s="72">
        <v>627000</v>
      </c>
      <c r="L441" s="72">
        <v>11994000</v>
      </c>
      <c r="M441" s="72">
        <v>0</v>
      </c>
      <c r="N441" s="72">
        <v>0</v>
      </c>
      <c r="O441" s="72">
        <v>0</v>
      </c>
      <c r="P441" s="72">
        <v>0</v>
      </c>
      <c r="Q441" s="72">
        <v>7000</v>
      </c>
      <c r="R441" s="72">
        <v>7000</v>
      </c>
      <c r="S441" s="72">
        <v>12001000</v>
      </c>
      <c r="T441" s="72">
        <v>7366200</v>
      </c>
      <c r="U441" s="72">
        <v>2951646</v>
      </c>
      <c r="V441" s="72">
        <v>1206597</v>
      </c>
      <c r="W441" s="72">
        <v>458301</v>
      </c>
      <c r="X441" s="72">
        <v>81972</v>
      </c>
      <c r="Y441" s="72">
        <v>0</v>
      </c>
      <c r="Z441" s="72">
        <v>0</v>
      </c>
      <c r="AA441" s="72">
        <v>0</v>
      </c>
      <c r="AB441" s="72">
        <v>0</v>
      </c>
      <c r="AC441" s="72">
        <v>0</v>
      </c>
      <c r="AD441" s="72">
        <v>0</v>
      </c>
      <c r="AE441" s="72">
        <v>0</v>
      </c>
      <c r="AF441" s="72">
        <v>0</v>
      </c>
      <c r="AG441" s="72">
        <v>375711</v>
      </c>
      <c r="AH441" s="72">
        <v>12440427</v>
      </c>
      <c r="AI441" s="72">
        <v>175000</v>
      </c>
      <c r="AJ441" s="72">
        <v>0</v>
      </c>
      <c r="AK441" s="72">
        <v>0</v>
      </c>
      <c r="AL441" s="72">
        <v>175000</v>
      </c>
      <c r="AM441" s="72">
        <v>12615427</v>
      </c>
      <c r="AN441" s="72">
        <v>-614427</v>
      </c>
      <c r="AO441" s="72">
        <v>3563205</v>
      </c>
      <c r="AP441" s="72">
        <v>2948778</v>
      </c>
      <c r="AQ441" s="72">
        <v>190000</v>
      </c>
      <c r="AR441" s="72">
        <v>0</v>
      </c>
      <c r="AS441" s="72">
        <v>0</v>
      </c>
      <c r="AT441" s="72">
        <v>0</v>
      </c>
      <c r="AU441" s="72">
        <v>0</v>
      </c>
      <c r="AV441" s="72">
        <v>0</v>
      </c>
      <c r="AW441" s="72">
        <v>0</v>
      </c>
      <c r="AX441" s="72">
        <v>0</v>
      </c>
      <c r="AY441" s="72">
        <v>0</v>
      </c>
      <c r="AZ441" s="72">
        <v>0</v>
      </c>
      <c r="BA441" s="72">
        <v>2758778</v>
      </c>
      <c r="BB441" s="72">
        <v>0</v>
      </c>
      <c r="BC441" s="72">
        <v>0</v>
      </c>
      <c r="BD441" s="72">
        <v>0</v>
      </c>
      <c r="BE441" s="72">
        <v>2758778</v>
      </c>
      <c r="BF441" s="72">
        <v>0</v>
      </c>
      <c r="BG441" s="72">
        <v>432000</v>
      </c>
      <c r="BH441" s="72">
        <v>432000</v>
      </c>
      <c r="BI441" s="72">
        <v>0</v>
      </c>
      <c r="BJ441" s="72">
        <v>3190778</v>
      </c>
      <c r="BK441" s="72">
        <v>120</v>
      </c>
      <c r="BL441" s="72">
        <v>1387</v>
      </c>
      <c r="BM441" s="72">
        <v>0</v>
      </c>
      <c r="BN441" s="72">
        <v>0</v>
      </c>
      <c r="BO441" s="72">
        <v>0</v>
      </c>
      <c r="BP441" s="72">
        <v>0</v>
      </c>
      <c r="BQ441" s="72">
        <v>0</v>
      </c>
      <c r="BR441" s="72">
        <v>0</v>
      </c>
      <c r="BS441" s="72">
        <v>12615427</v>
      </c>
    </row>
    <row r="442" spans="1:71" x14ac:dyDescent="0.2">
      <c r="A442" t="s">
        <v>388</v>
      </c>
      <c r="B442" t="s">
        <v>1099</v>
      </c>
      <c r="C442" t="s">
        <v>38</v>
      </c>
      <c r="D442" s="72">
        <v>2305669</v>
      </c>
      <c r="E442" s="72">
        <v>275000</v>
      </c>
      <c r="F442" s="72">
        <v>0</v>
      </c>
      <c r="G442" s="72">
        <v>3581468</v>
      </c>
      <c r="H442" s="72">
        <v>12014</v>
      </c>
      <c r="I442" s="72">
        <v>0</v>
      </c>
      <c r="J442" s="72">
        <v>600000</v>
      </c>
      <c r="K442" s="72">
        <v>400000</v>
      </c>
      <c r="L442" s="72">
        <v>7174151</v>
      </c>
      <c r="M442" s="72">
        <v>0</v>
      </c>
      <c r="N442" s="72">
        <v>0</v>
      </c>
      <c r="O442" s="72">
        <v>0</v>
      </c>
      <c r="P442" s="72">
        <v>25000</v>
      </c>
      <c r="Q442" s="72">
        <v>100000</v>
      </c>
      <c r="R442" s="72">
        <v>125000</v>
      </c>
      <c r="S442" s="72">
        <v>7299151</v>
      </c>
      <c r="T442" s="72">
        <v>2700000</v>
      </c>
      <c r="U442" s="72">
        <v>1000000</v>
      </c>
      <c r="V442" s="72">
        <v>3000000</v>
      </c>
      <c r="W442" s="72">
        <v>250000</v>
      </c>
      <c r="X442" s="72">
        <v>300000</v>
      </c>
      <c r="Y442" s="72">
        <v>0</v>
      </c>
      <c r="Z442" s="72">
        <v>0</v>
      </c>
      <c r="AA442" s="72">
        <v>0</v>
      </c>
      <c r="AB442" s="72">
        <v>0</v>
      </c>
      <c r="AC442" s="72">
        <v>0</v>
      </c>
      <c r="AD442" s="72">
        <v>0</v>
      </c>
      <c r="AE442" s="72">
        <v>0</v>
      </c>
      <c r="AF442" s="72">
        <v>0</v>
      </c>
      <c r="AG442" s="72">
        <v>0</v>
      </c>
      <c r="AH442" s="72">
        <v>7250000</v>
      </c>
      <c r="AI442" s="72">
        <v>0</v>
      </c>
      <c r="AJ442" s="72">
        <v>50000</v>
      </c>
      <c r="AK442" s="72">
        <v>0</v>
      </c>
      <c r="AL442" s="72">
        <v>50000</v>
      </c>
      <c r="AM442" s="72">
        <v>7300000</v>
      </c>
      <c r="AN442" s="72">
        <v>-849</v>
      </c>
      <c r="AO442" s="72">
        <v>3750643</v>
      </c>
      <c r="AP442" s="72">
        <v>3749794</v>
      </c>
      <c r="AQ442" s="72">
        <v>100000</v>
      </c>
      <c r="AR442" s="72">
        <v>0</v>
      </c>
      <c r="AS442" s="72">
        <v>0</v>
      </c>
      <c r="AT442" s="72">
        <v>0</v>
      </c>
      <c r="AU442" s="72">
        <v>0</v>
      </c>
      <c r="AV442" s="72">
        <v>0</v>
      </c>
      <c r="AW442" s="72">
        <v>0</v>
      </c>
      <c r="AX442" s="72">
        <v>0</v>
      </c>
      <c r="AY442" s="72">
        <v>0</v>
      </c>
      <c r="AZ442" s="72">
        <v>0</v>
      </c>
      <c r="BA442" s="72">
        <v>3649794</v>
      </c>
      <c r="BB442" s="72">
        <v>0</v>
      </c>
      <c r="BC442" s="72">
        <v>163289</v>
      </c>
      <c r="BD442" s="72">
        <v>163289</v>
      </c>
      <c r="BE442" s="72">
        <v>3813083</v>
      </c>
      <c r="BF442" s="72">
        <v>0</v>
      </c>
      <c r="BG442" s="72">
        <v>0</v>
      </c>
      <c r="BH442" s="72">
        <v>0</v>
      </c>
      <c r="BI442" s="72">
        <v>0</v>
      </c>
      <c r="BJ442" s="72">
        <v>3813083</v>
      </c>
      <c r="BK442" s="72">
        <v>28</v>
      </c>
      <c r="BL442" s="72">
        <v>363</v>
      </c>
      <c r="BM442" s="72">
        <v>0</v>
      </c>
      <c r="BN442" s="72">
        <v>0</v>
      </c>
      <c r="BO442" s="72">
        <v>0</v>
      </c>
      <c r="BP442" s="72">
        <v>0</v>
      </c>
      <c r="BQ442" s="72">
        <v>0</v>
      </c>
      <c r="BR442" s="72">
        <v>0</v>
      </c>
      <c r="BS442" s="72">
        <v>7300000</v>
      </c>
    </row>
    <row r="443" spans="1:71" x14ac:dyDescent="0.2">
      <c r="A443" t="s">
        <v>691</v>
      </c>
      <c r="B443" t="s">
        <v>1381</v>
      </c>
      <c r="C443" t="s">
        <v>38</v>
      </c>
      <c r="D443" s="72">
        <v>7315118</v>
      </c>
      <c r="E443" s="72">
        <v>480109</v>
      </c>
      <c r="F443" s="72">
        <v>0</v>
      </c>
      <c r="G443" s="72">
        <v>22621378</v>
      </c>
      <c r="H443" s="72">
        <v>86963</v>
      </c>
      <c r="I443" s="72">
        <v>0</v>
      </c>
      <c r="J443" s="72">
        <v>1276754</v>
      </c>
      <c r="K443" s="72">
        <v>580574</v>
      </c>
      <c r="L443" s="72">
        <v>32360896</v>
      </c>
      <c r="M443" s="72">
        <v>0</v>
      </c>
      <c r="N443" s="72">
        <v>0</v>
      </c>
      <c r="O443" s="72">
        <v>0</v>
      </c>
      <c r="P443" s="72">
        <v>95227</v>
      </c>
      <c r="Q443" s="72">
        <v>235000</v>
      </c>
      <c r="R443" s="72">
        <v>330227</v>
      </c>
      <c r="S443" s="72">
        <v>32691123</v>
      </c>
      <c r="T443" s="72">
        <v>12809744</v>
      </c>
      <c r="U443" s="72">
        <v>4624266</v>
      </c>
      <c r="V443" s="72">
        <v>9220695</v>
      </c>
      <c r="W443" s="72">
        <v>1059657</v>
      </c>
      <c r="X443" s="72">
        <v>240619</v>
      </c>
      <c r="Y443" s="72">
        <v>0</v>
      </c>
      <c r="Z443" s="72">
        <v>0</v>
      </c>
      <c r="AA443" s="72">
        <v>0</v>
      </c>
      <c r="AB443" s="72">
        <v>0</v>
      </c>
      <c r="AC443" s="72">
        <v>0</v>
      </c>
      <c r="AD443" s="72">
        <v>0</v>
      </c>
      <c r="AE443" s="72">
        <v>0</v>
      </c>
      <c r="AF443" s="72">
        <v>0</v>
      </c>
      <c r="AG443" s="72">
        <v>1932010</v>
      </c>
      <c r="AH443" s="72">
        <v>29886992</v>
      </c>
      <c r="AI443" s="72">
        <v>390000</v>
      </c>
      <c r="AJ443" s="72">
        <v>100000</v>
      </c>
      <c r="AK443" s="72">
        <v>0</v>
      </c>
      <c r="AL443" s="72">
        <v>490000</v>
      </c>
      <c r="AM443" s="72">
        <v>30376992</v>
      </c>
      <c r="AN443" s="72">
        <v>2314132</v>
      </c>
      <c r="AO443" s="72">
        <v>19322649</v>
      </c>
      <c r="AP443" s="72">
        <v>21636781</v>
      </c>
      <c r="AQ443" s="72">
        <v>100000</v>
      </c>
      <c r="AR443" s="72">
        <v>0</v>
      </c>
      <c r="AS443" s="72">
        <v>0</v>
      </c>
      <c r="AT443" s="72">
        <v>0</v>
      </c>
      <c r="AU443" s="72">
        <v>0</v>
      </c>
      <c r="AV443" s="72">
        <v>0</v>
      </c>
      <c r="AW443" s="72">
        <v>0</v>
      </c>
      <c r="AX443" s="72">
        <v>0</v>
      </c>
      <c r="AY443" s="72">
        <v>0</v>
      </c>
      <c r="AZ443" s="72">
        <v>0</v>
      </c>
      <c r="BA443" s="72">
        <v>21536781</v>
      </c>
      <c r="BB443" s="72">
        <v>0</v>
      </c>
      <c r="BC443" s="72">
        <v>0</v>
      </c>
      <c r="BD443" s="72">
        <v>0</v>
      </c>
      <c r="BE443" s="72">
        <v>21536781</v>
      </c>
      <c r="BF443" s="72">
        <v>0</v>
      </c>
      <c r="BG443" s="72">
        <v>0</v>
      </c>
      <c r="BH443" s="72">
        <v>0</v>
      </c>
      <c r="BI443" s="72">
        <v>0</v>
      </c>
      <c r="BJ443" s="72">
        <v>21536781</v>
      </c>
      <c r="BK443" s="72">
        <v>0</v>
      </c>
      <c r="BL443" s="72">
        <v>0</v>
      </c>
      <c r="BM443" s="72">
        <v>0</v>
      </c>
      <c r="BN443" s="72">
        <v>0</v>
      </c>
      <c r="BO443" s="72">
        <v>0</v>
      </c>
      <c r="BP443" s="72">
        <v>0</v>
      </c>
      <c r="BQ443" s="72">
        <v>0</v>
      </c>
      <c r="BR443" s="72">
        <v>0</v>
      </c>
      <c r="BS443" s="72">
        <v>32691123</v>
      </c>
    </row>
    <row r="444" spans="1:71" x14ac:dyDescent="0.2">
      <c r="A444" t="s">
        <v>441</v>
      </c>
      <c r="B444" t="s">
        <v>1149</v>
      </c>
      <c r="C444" t="s">
        <v>38</v>
      </c>
      <c r="D444" s="72">
        <v>8341213</v>
      </c>
      <c r="E444" s="72">
        <v>625591</v>
      </c>
      <c r="F444" s="72">
        <v>0</v>
      </c>
      <c r="G444" s="72">
        <v>22284004</v>
      </c>
      <c r="H444" s="72">
        <v>491339</v>
      </c>
      <c r="I444" s="72">
        <v>0</v>
      </c>
      <c r="J444" s="72">
        <v>1459712</v>
      </c>
      <c r="K444" s="72">
        <v>4070504</v>
      </c>
      <c r="L444" s="72">
        <v>37272363</v>
      </c>
      <c r="M444" s="72">
        <v>0</v>
      </c>
      <c r="N444" s="72">
        <v>0</v>
      </c>
      <c r="O444" s="72">
        <v>0</v>
      </c>
      <c r="P444" s="72">
        <v>0</v>
      </c>
      <c r="Q444" s="72">
        <v>105100</v>
      </c>
      <c r="R444" s="72">
        <v>105100</v>
      </c>
      <c r="S444" s="72">
        <v>37377463</v>
      </c>
      <c r="T444" s="72">
        <v>20966182</v>
      </c>
      <c r="U444" s="72">
        <v>8215699</v>
      </c>
      <c r="V444" s="72">
        <v>4838627</v>
      </c>
      <c r="W444" s="72">
        <v>1178802</v>
      </c>
      <c r="X444" s="72">
        <v>595008</v>
      </c>
      <c r="Y444" s="72">
        <v>0</v>
      </c>
      <c r="Z444" s="72">
        <v>0</v>
      </c>
      <c r="AA444" s="72">
        <v>0</v>
      </c>
      <c r="AB444" s="72">
        <v>0</v>
      </c>
      <c r="AC444" s="72">
        <v>0</v>
      </c>
      <c r="AD444" s="72">
        <v>0</v>
      </c>
      <c r="AE444" s="72">
        <v>0</v>
      </c>
      <c r="AF444" s="72">
        <v>0</v>
      </c>
      <c r="AG444" s="72">
        <v>365763</v>
      </c>
      <c r="AH444" s="72">
        <v>36160081</v>
      </c>
      <c r="AI444" s="72">
        <v>250000</v>
      </c>
      <c r="AJ444" s="72">
        <v>0</v>
      </c>
      <c r="AK444" s="72">
        <v>158</v>
      </c>
      <c r="AL444" s="72">
        <v>250158</v>
      </c>
      <c r="AM444" s="72">
        <v>36410239</v>
      </c>
      <c r="AN444" s="72">
        <v>967224</v>
      </c>
      <c r="AO444" s="72">
        <v>11033138</v>
      </c>
      <c r="AP444" s="72">
        <v>12000362</v>
      </c>
      <c r="AQ444" s="72">
        <v>273374</v>
      </c>
      <c r="AR444" s="72">
        <v>0</v>
      </c>
      <c r="AS444" s="72">
        <v>0</v>
      </c>
      <c r="AT444" s="72">
        <v>0</v>
      </c>
      <c r="AU444" s="72">
        <v>0</v>
      </c>
      <c r="AV444" s="72">
        <v>0</v>
      </c>
      <c r="AW444" s="72">
        <v>0</v>
      </c>
      <c r="AX444" s="72">
        <v>0</v>
      </c>
      <c r="AY444" s="72">
        <v>0</v>
      </c>
      <c r="AZ444" s="72">
        <v>0</v>
      </c>
      <c r="BA444" s="72">
        <v>11726988</v>
      </c>
      <c r="BB444" s="72">
        <v>0</v>
      </c>
      <c r="BC444" s="72">
        <v>0</v>
      </c>
      <c r="BD444" s="72">
        <v>0</v>
      </c>
      <c r="BE444" s="72">
        <v>11726988</v>
      </c>
      <c r="BF444" s="72">
        <v>0</v>
      </c>
      <c r="BG444" s="72">
        <v>0</v>
      </c>
      <c r="BH444" s="72">
        <v>0</v>
      </c>
      <c r="BI444" s="72">
        <v>0</v>
      </c>
      <c r="BJ444" s="72">
        <v>11726988</v>
      </c>
      <c r="BK444" s="72">
        <v>0</v>
      </c>
      <c r="BL444" s="72">
        <v>0</v>
      </c>
      <c r="BM444" s="72">
        <v>0</v>
      </c>
      <c r="BN444" s="72">
        <v>0</v>
      </c>
      <c r="BO444" s="72">
        <v>0</v>
      </c>
      <c r="BP444" s="72">
        <v>0</v>
      </c>
      <c r="BQ444" s="72">
        <v>0</v>
      </c>
      <c r="BR444" s="72">
        <v>0</v>
      </c>
      <c r="BS444" s="72">
        <v>37377463</v>
      </c>
    </row>
    <row r="445" spans="1:71" x14ac:dyDescent="0.2">
      <c r="A445" t="s">
        <v>507</v>
      </c>
      <c r="B445" t="s">
        <v>1211</v>
      </c>
      <c r="C445" t="s">
        <v>38</v>
      </c>
      <c r="D445" s="72">
        <v>2022377</v>
      </c>
      <c r="E445" s="72">
        <v>142002</v>
      </c>
      <c r="G445" s="72">
        <v>5793194</v>
      </c>
      <c r="H445" s="72">
        <v>3041</v>
      </c>
      <c r="I445" s="72">
        <v>0</v>
      </c>
      <c r="J445" s="72">
        <v>379688</v>
      </c>
      <c r="K445" s="72">
        <v>975166</v>
      </c>
      <c r="L445" s="72">
        <v>10704906</v>
      </c>
      <c r="M445" s="72">
        <v>0</v>
      </c>
      <c r="N445" s="72">
        <v>0</v>
      </c>
      <c r="O445" s="72">
        <v>0</v>
      </c>
      <c r="P445" s="72">
        <v>280973</v>
      </c>
      <c r="Q445" s="72">
        <v>45009</v>
      </c>
      <c r="R445" s="72">
        <v>325982</v>
      </c>
      <c r="S445" s="72">
        <v>11030888</v>
      </c>
      <c r="T445" s="72">
        <v>4328264</v>
      </c>
      <c r="U445" s="72">
        <v>1626004</v>
      </c>
      <c r="V445" s="72">
        <v>1304649</v>
      </c>
      <c r="W445" s="72">
        <v>486758</v>
      </c>
      <c r="X445" s="72">
        <v>121667</v>
      </c>
      <c r="Y445" s="72">
        <v>0</v>
      </c>
      <c r="Z445" s="72">
        <v>0</v>
      </c>
      <c r="AA445" s="72">
        <v>0</v>
      </c>
      <c r="AB445" s="72">
        <v>0</v>
      </c>
      <c r="AC445" s="72">
        <v>0</v>
      </c>
      <c r="AD445" s="72">
        <v>0</v>
      </c>
      <c r="AE445" s="72">
        <v>0</v>
      </c>
      <c r="AF445" s="72">
        <v>0</v>
      </c>
      <c r="AG445" s="72">
        <v>665687</v>
      </c>
      <c r="AH445" s="72">
        <v>8533029</v>
      </c>
      <c r="AI445" s="72">
        <v>2432226</v>
      </c>
      <c r="AJ445" s="72">
        <v>25000</v>
      </c>
      <c r="AK445" s="72">
        <v>0</v>
      </c>
      <c r="AL445" s="72">
        <v>2457226</v>
      </c>
      <c r="AM445" s="72">
        <v>10990255</v>
      </c>
      <c r="AN445" s="72">
        <v>40633</v>
      </c>
      <c r="AO445" s="72">
        <v>6003431</v>
      </c>
      <c r="AP445" s="72">
        <v>6044064</v>
      </c>
      <c r="AQ445" s="72">
        <v>200000</v>
      </c>
      <c r="AR445" s="72">
        <v>0</v>
      </c>
      <c r="AS445" s="72">
        <v>0</v>
      </c>
      <c r="AT445" s="72">
        <v>0</v>
      </c>
      <c r="AU445" s="72">
        <v>0</v>
      </c>
      <c r="AV445" s="72">
        <v>0</v>
      </c>
      <c r="AW445" s="72">
        <v>0</v>
      </c>
      <c r="AX445" s="72">
        <v>0</v>
      </c>
      <c r="AY445" s="72">
        <v>0</v>
      </c>
      <c r="AZ445" s="72">
        <v>0</v>
      </c>
      <c r="BA445" s="72">
        <v>5844064</v>
      </c>
      <c r="BB445" s="72">
        <v>0</v>
      </c>
      <c r="BC445" s="72">
        <v>0</v>
      </c>
      <c r="BD445" s="72">
        <v>0</v>
      </c>
      <c r="BE445" s="72">
        <v>5844064</v>
      </c>
      <c r="BF445" s="72">
        <v>0</v>
      </c>
      <c r="BG445" s="72">
        <v>0</v>
      </c>
      <c r="BH445" s="72">
        <v>0</v>
      </c>
      <c r="BI445" s="72">
        <v>0</v>
      </c>
      <c r="BJ445" s="72">
        <v>5844064</v>
      </c>
      <c r="BK445" s="72">
        <v>80</v>
      </c>
      <c r="BL445" s="72">
        <v>1194</v>
      </c>
      <c r="BM445" s="72">
        <v>0</v>
      </c>
      <c r="BN445" s="72">
        <v>0</v>
      </c>
      <c r="BO445" s="72">
        <v>0</v>
      </c>
      <c r="BP445" s="72">
        <v>0</v>
      </c>
      <c r="BQ445" s="72">
        <v>0</v>
      </c>
      <c r="BR445" s="72">
        <v>0</v>
      </c>
      <c r="BS445" s="72">
        <v>11030888</v>
      </c>
    </row>
    <row r="446" spans="1:71" x14ac:dyDescent="0.2">
      <c r="A446" t="s">
        <v>535</v>
      </c>
      <c r="B446" t="s">
        <v>1238</v>
      </c>
      <c r="C446" t="s">
        <v>38</v>
      </c>
      <c r="D446" s="72">
        <v>23658000</v>
      </c>
      <c r="E446" s="72">
        <v>820000</v>
      </c>
      <c r="F446" s="72">
        <v>0</v>
      </c>
      <c r="G446" s="72">
        <v>19376000</v>
      </c>
      <c r="H446" s="72">
        <v>340000</v>
      </c>
      <c r="I446" s="72">
        <v>0</v>
      </c>
      <c r="J446" s="72">
        <v>4058000</v>
      </c>
      <c r="K446" s="72">
        <v>1280000</v>
      </c>
      <c r="L446" s="72">
        <v>49532000</v>
      </c>
      <c r="M446" s="72">
        <v>0</v>
      </c>
      <c r="N446" s="72">
        <v>0</v>
      </c>
      <c r="O446" s="72">
        <v>0</v>
      </c>
      <c r="P446" s="72">
        <v>20000</v>
      </c>
      <c r="Q446" s="72">
        <v>10000</v>
      </c>
      <c r="R446" s="72">
        <v>30000</v>
      </c>
      <c r="S446" s="72">
        <v>49562000</v>
      </c>
      <c r="T446" s="72">
        <v>28986000</v>
      </c>
      <c r="U446" s="72">
        <v>12875000</v>
      </c>
      <c r="V446" s="72">
        <v>3546000</v>
      </c>
      <c r="W446" s="72">
        <v>2073000</v>
      </c>
      <c r="X446" s="72">
        <v>1568000</v>
      </c>
      <c r="Y446" s="72">
        <v>0</v>
      </c>
      <c r="Z446" s="72">
        <v>0</v>
      </c>
      <c r="AA446" s="72">
        <v>0</v>
      </c>
      <c r="AB446" s="72">
        <v>0</v>
      </c>
      <c r="AC446" s="72">
        <v>0</v>
      </c>
      <c r="AD446" s="72">
        <v>0</v>
      </c>
      <c r="AE446" s="72">
        <v>0</v>
      </c>
      <c r="AF446" s="72">
        <v>0</v>
      </c>
      <c r="AG446" s="72">
        <v>2346000</v>
      </c>
      <c r="AH446" s="72">
        <v>51394000</v>
      </c>
      <c r="AI446" s="72">
        <v>10000</v>
      </c>
      <c r="AJ446" s="72">
        <v>20000</v>
      </c>
      <c r="AK446" s="72">
        <v>0</v>
      </c>
      <c r="AL446" s="72">
        <v>30000</v>
      </c>
      <c r="AM446" s="72">
        <v>51424000</v>
      </c>
      <c r="AN446" s="72">
        <v>-1862000</v>
      </c>
      <c r="AO446" s="72">
        <v>9263188</v>
      </c>
      <c r="AP446" s="72">
        <v>7401188</v>
      </c>
      <c r="AQ446" s="72">
        <v>2285386</v>
      </c>
      <c r="AR446" s="72">
        <v>0</v>
      </c>
      <c r="AS446" s="72">
        <v>0</v>
      </c>
      <c r="AT446" s="72">
        <v>0</v>
      </c>
      <c r="AU446" s="72">
        <v>0</v>
      </c>
      <c r="AV446" s="72">
        <v>0</v>
      </c>
      <c r="AW446" s="72">
        <v>0</v>
      </c>
      <c r="AX446" s="72">
        <v>0</v>
      </c>
      <c r="AY446" s="72">
        <v>0</v>
      </c>
      <c r="AZ446" s="72">
        <v>0</v>
      </c>
      <c r="BA446" s="72">
        <v>5115802</v>
      </c>
      <c r="BB446" s="72">
        <v>0</v>
      </c>
      <c r="BC446" s="72">
        <v>0</v>
      </c>
      <c r="BD446" s="72">
        <v>0</v>
      </c>
      <c r="BE446" s="72">
        <v>5115802</v>
      </c>
      <c r="BF446" s="72">
        <v>0</v>
      </c>
      <c r="BG446" s="72">
        <v>0</v>
      </c>
      <c r="BH446" s="72">
        <v>0</v>
      </c>
      <c r="BI446" s="72">
        <v>0</v>
      </c>
      <c r="BJ446" s="72">
        <v>5115802</v>
      </c>
      <c r="BK446" s="72">
        <v>0</v>
      </c>
      <c r="BL446" s="72">
        <v>0</v>
      </c>
      <c r="BM446" s="72">
        <v>0</v>
      </c>
      <c r="BN446" s="72">
        <v>0</v>
      </c>
      <c r="BO446" s="72">
        <v>0</v>
      </c>
      <c r="BP446" s="72">
        <v>0</v>
      </c>
      <c r="BQ446" s="72">
        <v>0</v>
      </c>
      <c r="BR446" s="72">
        <v>0</v>
      </c>
      <c r="BS446" s="72">
        <v>51424000</v>
      </c>
    </row>
    <row r="447" spans="1:71" x14ac:dyDescent="0.2">
      <c r="A447" t="s">
        <v>538</v>
      </c>
      <c r="B447" t="s">
        <v>1240</v>
      </c>
      <c r="C447" t="s">
        <v>38</v>
      </c>
      <c r="D447" s="72">
        <v>6726430</v>
      </c>
      <c r="E447" s="72">
        <v>296472</v>
      </c>
      <c r="F447" s="72">
        <v>0</v>
      </c>
      <c r="G447" s="72">
        <v>8446657</v>
      </c>
      <c r="H447" s="72">
        <v>70573</v>
      </c>
      <c r="I447" s="72">
        <v>0</v>
      </c>
      <c r="J447" s="72">
        <v>2858745</v>
      </c>
      <c r="K447" s="72">
        <v>1612515</v>
      </c>
      <c r="L447" s="72">
        <v>20011392</v>
      </c>
      <c r="M447" s="72">
        <v>0</v>
      </c>
      <c r="N447" s="72">
        <v>0</v>
      </c>
      <c r="O447" s="72">
        <v>0</v>
      </c>
      <c r="P447" s="72">
        <v>0</v>
      </c>
      <c r="Q447" s="72">
        <v>148629</v>
      </c>
      <c r="R447" s="72">
        <v>148629</v>
      </c>
      <c r="S447" s="72">
        <v>20160021</v>
      </c>
      <c r="T447" s="72">
        <v>9591209</v>
      </c>
      <c r="U447" s="72">
        <v>3742272</v>
      </c>
      <c r="V447" s="72">
        <v>4753291</v>
      </c>
      <c r="W447" s="72">
        <v>601796</v>
      </c>
      <c r="X447" s="72">
        <v>500000</v>
      </c>
      <c r="Y447" s="72">
        <v>0</v>
      </c>
      <c r="Z447" s="72">
        <v>0</v>
      </c>
      <c r="AA447" s="72">
        <v>0</v>
      </c>
      <c r="AB447" s="72">
        <v>0</v>
      </c>
      <c r="AC447" s="72">
        <v>0</v>
      </c>
      <c r="AD447" s="72">
        <v>0</v>
      </c>
      <c r="AE447" s="72">
        <v>229555</v>
      </c>
      <c r="AF447" s="72">
        <v>30600</v>
      </c>
      <c r="AG447" s="72">
        <v>245396</v>
      </c>
      <c r="AH447" s="72">
        <v>19694119</v>
      </c>
      <c r="AI447" s="72">
        <v>0</v>
      </c>
      <c r="AJ447" s="72">
        <v>0</v>
      </c>
      <c r="AK447" s="72">
        <v>0</v>
      </c>
      <c r="AM447" s="72">
        <v>19694119</v>
      </c>
      <c r="AN447" s="72">
        <v>465902</v>
      </c>
      <c r="AO447" s="72">
        <v>6341136</v>
      </c>
      <c r="AP447" s="72">
        <v>6807038</v>
      </c>
      <c r="AQ447" s="72">
        <v>500000</v>
      </c>
      <c r="AR447" s="72">
        <v>0</v>
      </c>
      <c r="AS447" s="72">
        <v>0</v>
      </c>
      <c r="AT447" s="72">
        <v>298000</v>
      </c>
      <c r="AU447" s="72">
        <v>0</v>
      </c>
      <c r="AV447" s="72">
        <v>0</v>
      </c>
      <c r="AW447" s="72">
        <v>0</v>
      </c>
      <c r="AX447" s="72">
        <v>0</v>
      </c>
      <c r="AY447" s="72">
        <v>0</v>
      </c>
      <c r="AZ447" s="72">
        <v>298000</v>
      </c>
      <c r="BA447" s="72">
        <v>6009038</v>
      </c>
      <c r="BB447" s="72">
        <v>0</v>
      </c>
      <c r="BC447" s="72">
        <v>0</v>
      </c>
      <c r="BD447" s="72">
        <v>0</v>
      </c>
      <c r="BE447" s="72">
        <v>6009038</v>
      </c>
      <c r="BF447" s="72">
        <v>0</v>
      </c>
      <c r="BG447" s="72">
        <v>0</v>
      </c>
      <c r="BH447" s="72">
        <v>0</v>
      </c>
      <c r="BI447" s="72">
        <v>0</v>
      </c>
      <c r="BJ447" s="72">
        <v>6009038</v>
      </c>
      <c r="BK447" s="72">
        <v>0</v>
      </c>
      <c r="BL447" s="72">
        <v>0</v>
      </c>
      <c r="BM447" s="72">
        <v>0</v>
      </c>
      <c r="BN447" s="72">
        <v>0</v>
      </c>
      <c r="BO447" s="72">
        <v>0</v>
      </c>
      <c r="BP447" s="72">
        <v>0</v>
      </c>
      <c r="BQ447" s="72">
        <v>0</v>
      </c>
      <c r="BR447" s="72">
        <v>0</v>
      </c>
      <c r="BS447" s="72">
        <v>20160021</v>
      </c>
    </row>
    <row r="448" spans="1:71" x14ac:dyDescent="0.2">
      <c r="A448" t="s">
        <v>708</v>
      </c>
      <c r="B448" t="s">
        <v>1398</v>
      </c>
      <c r="C448" t="s">
        <v>38</v>
      </c>
      <c r="D448" s="72">
        <v>4516653</v>
      </c>
      <c r="E448" s="72">
        <v>0</v>
      </c>
      <c r="F448" s="72">
        <v>3002925</v>
      </c>
      <c r="G448" s="72">
        <v>8392589</v>
      </c>
      <c r="H448" s="72">
        <v>0</v>
      </c>
      <c r="I448" s="72">
        <v>0</v>
      </c>
      <c r="J448" s="72">
        <v>545540</v>
      </c>
      <c r="K448" s="72">
        <v>974350</v>
      </c>
      <c r="L448" s="72">
        <v>17432057</v>
      </c>
      <c r="M448" s="72">
        <v>0</v>
      </c>
      <c r="N448" s="72">
        <v>0</v>
      </c>
      <c r="O448" s="72">
        <v>0</v>
      </c>
      <c r="P448" s="72">
        <v>0</v>
      </c>
      <c r="Q448" s="72">
        <v>0</v>
      </c>
      <c r="R448" s="72">
        <v>0</v>
      </c>
      <c r="S448" s="72">
        <v>17432057</v>
      </c>
      <c r="T448" s="72">
        <v>9541280</v>
      </c>
      <c r="U448" s="72">
        <v>3504145</v>
      </c>
      <c r="V448" s="72">
        <v>2871000</v>
      </c>
      <c r="W448" s="72">
        <v>485500</v>
      </c>
      <c r="X448" s="72">
        <v>355</v>
      </c>
      <c r="Y448" s="72">
        <v>0</v>
      </c>
      <c r="Z448" s="72">
        <v>0</v>
      </c>
      <c r="AA448" s="72">
        <v>0</v>
      </c>
      <c r="AB448" s="72">
        <v>0</v>
      </c>
      <c r="AC448" s="72">
        <v>0</v>
      </c>
      <c r="AD448" s="72">
        <v>0</v>
      </c>
      <c r="AE448" s="72">
        <v>0</v>
      </c>
      <c r="AF448" s="72">
        <v>0</v>
      </c>
      <c r="AG448" s="72">
        <v>506569</v>
      </c>
      <c r="AH448" s="72">
        <v>16908849</v>
      </c>
      <c r="AI448" s="72">
        <v>0</v>
      </c>
      <c r="AJ448" s="72">
        <v>0</v>
      </c>
      <c r="AK448" s="72">
        <v>0</v>
      </c>
      <c r="AL448" s="72">
        <v>0</v>
      </c>
      <c r="AM448" s="72">
        <v>16908849</v>
      </c>
      <c r="AO448" s="72">
        <v>463801</v>
      </c>
      <c r="AP448" s="72">
        <v>987009</v>
      </c>
      <c r="AQ448" s="72">
        <v>0</v>
      </c>
      <c r="AR448" s="72">
        <v>0</v>
      </c>
      <c r="AS448" s="72">
        <v>0</v>
      </c>
      <c r="AT448" s="72">
        <v>0</v>
      </c>
      <c r="AU448" s="72">
        <v>0</v>
      </c>
      <c r="AV448" s="72">
        <v>0</v>
      </c>
      <c r="AW448" s="72">
        <v>0</v>
      </c>
      <c r="AX448" s="72">
        <v>0</v>
      </c>
      <c r="AY448" s="72">
        <v>0</v>
      </c>
      <c r="AZ448" s="72">
        <v>0</v>
      </c>
      <c r="BA448" s="72">
        <v>987009</v>
      </c>
      <c r="BB448" s="72">
        <v>0</v>
      </c>
      <c r="BC448" s="72">
        <v>0</v>
      </c>
      <c r="BD448" s="72">
        <v>0</v>
      </c>
      <c r="BE448" s="72">
        <v>987009</v>
      </c>
      <c r="BF448" s="72">
        <v>0</v>
      </c>
      <c r="BG448" s="72">
        <v>0</v>
      </c>
      <c r="BH448" s="72">
        <v>0</v>
      </c>
      <c r="BI448" s="72">
        <v>0</v>
      </c>
      <c r="BJ448" s="72">
        <v>987009</v>
      </c>
      <c r="BM448" s="72">
        <v>0</v>
      </c>
      <c r="BN448" s="72">
        <v>0</v>
      </c>
      <c r="BO448" s="72">
        <v>0</v>
      </c>
      <c r="BP448" s="72">
        <v>0</v>
      </c>
      <c r="BQ448" s="72">
        <v>0</v>
      </c>
      <c r="BR448" s="72">
        <v>0</v>
      </c>
      <c r="BS448" s="72">
        <v>17432057</v>
      </c>
    </row>
    <row r="449" spans="1:71" x14ac:dyDescent="0.2">
      <c r="A449" t="s">
        <v>370</v>
      </c>
      <c r="B449" t="s">
        <v>1081</v>
      </c>
      <c r="C449" t="s">
        <v>38</v>
      </c>
      <c r="D449" s="72">
        <v>25263467</v>
      </c>
      <c r="E449" s="72">
        <v>6183</v>
      </c>
      <c r="F449" s="72">
        <v>0</v>
      </c>
      <c r="G449" s="72">
        <v>26039928</v>
      </c>
      <c r="H449" s="72">
        <v>105036</v>
      </c>
      <c r="I449" s="72">
        <v>0</v>
      </c>
      <c r="J449" s="72">
        <v>4031168</v>
      </c>
      <c r="K449" s="72">
        <v>1882003</v>
      </c>
      <c r="L449" s="72">
        <v>57327785</v>
      </c>
      <c r="M449" s="72">
        <v>0</v>
      </c>
      <c r="N449" s="72">
        <v>0</v>
      </c>
      <c r="O449" s="72">
        <v>0</v>
      </c>
      <c r="P449" s="72">
        <v>1296800</v>
      </c>
      <c r="Q449" s="72">
        <v>0</v>
      </c>
      <c r="R449" s="72">
        <v>1296800</v>
      </c>
      <c r="S449" s="72">
        <v>58624585</v>
      </c>
      <c r="T449" s="72">
        <v>31438787</v>
      </c>
      <c r="U449" s="72">
        <v>13787614</v>
      </c>
      <c r="V449" s="72">
        <v>11116580</v>
      </c>
      <c r="W449" s="72">
        <v>1020172</v>
      </c>
      <c r="X449" s="72">
        <v>11668</v>
      </c>
      <c r="Y449" s="72">
        <v>0</v>
      </c>
      <c r="Z449" s="72">
        <v>0</v>
      </c>
      <c r="AA449" s="72">
        <v>0</v>
      </c>
      <c r="AB449" s="72">
        <v>0</v>
      </c>
      <c r="AC449" s="72">
        <v>0</v>
      </c>
      <c r="AD449" s="72">
        <v>0</v>
      </c>
      <c r="AE449" s="72">
        <v>0</v>
      </c>
      <c r="AF449" s="72">
        <v>1391</v>
      </c>
      <c r="AG449" s="72">
        <v>543222</v>
      </c>
      <c r="AH449" s="72">
        <v>57919434</v>
      </c>
      <c r="AI449" s="72">
        <v>0</v>
      </c>
      <c r="AJ449" s="72">
        <v>500000</v>
      </c>
      <c r="AK449" s="72">
        <v>0</v>
      </c>
      <c r="AL449" s="72">
        <v>500000</v>
      </c>
      <c r="AM449" s="72">
        <v>58419434</v>
      </c>
      <c r="AN449" s="72">
        <v>205151</v>
      </c>
      <c r="AO449" s="72">
        <v>5841944</v>
      </c>
      <c r="AP449" s="72">
        <v>6047095</v>
      </c>
      <c r="AQ449" s="72">
        <v>0</v>
      </c>
      <c r="AR449" s="72">
        <v>0</v>
      </c>
      <c r="AS449" s="72">
        <v>0</v>
      </c>
      <c r="AT449" s="72">
        <v>0</v>
      </c>
      <c r="AU449" s="72">
        <v>0</v>
      </c>
      <c r="AV449" s="72">
        <v>0</v>
      </c>
      <c r="AW449" s="72">
        <v>0</v>
      </c>
      <c r="AX449" s="72">
        <v>0</v>
      </c>
      <c r="AY449" s="72">
        <v>0</v>
      </c>
      <c r="AZ449" s="72">
        <v>0</v>
      </c>
      <c r="BA449" s="72">
        <v>6047095</v>
      </c>
      <c r="BB449" s="72">
        <v>0</v>
      </c>
      <c r="BC449" s="72">
        <v>0</v>
      </c>
      <c r="BD449" s="72">
        <v>0</v>
      </c>
      <c r="BE449" s="72">
        <v>6047095</v>
      </c>
      <c r="BF449" s="72">
        <v>0</v>
      </c>
      <c r="BG449" s="72">
        <v>0</v>
      </c>
      <c r="BH449" s="72">
        <v>0</v>
      </c>
      <c r="BI449" s="72">
        <v>0</v>
      </c>
      <c r="BJ449" s="72">
        <v>6047095</v>
      </c>
      <c r="BK449" s="72">
        <v>0</v>
      </c>
      <c r="BL449" s="72">
        <v>0</v>
      </c>
      <c r="BP449" s="72">
        <v>0</v>
      </c>
      <c r="BS449" s="72">
        <v>58624585</v>
      </c>
    </row>
    <row r="450" spans="1:71" x14ac:dyDescent="0.2">
      <c r="A450" t="s">
        <v>496</v>
      </c>
      <c r="B450" t="s">
        <v>1200</v>
      </c>
      <c r="C450" t="s">
        <v>102</v>
      </c>
      <c r="D450" s="72">
        <v>3552695</v>
      </c>
      <c r="E450" s="72">
        <v>637802</v>
      </c>
      <c r="F450" s="72">
        <v>0</v>
      </c>
      <c r="G450" s="72">
        <v>13720602</v>
      </c>
      <c r="H450" s="72">
        <v>426240</v>
      </c>
      <c r="I450" s="72">
        <v>0</v>
      </c>
      <c r="J450" s="72">
        <v>658998</v>
      </c>
      <c r="K450" s="72">
        <v>505950</v>
      </c>
      <c r="L450" s="72">
        <v>19502287</v>
      </c>
      <c r="M450" s="72">
        <v>0</v>
      </c>
      <c r="N450" s="72">
        <v>0</v>
      </c>
      <c r="O450" s="72">
        <v>0</v>
      </c>
      <c r="P450" s="72">
        <v>0</v>
      </c>
      <c r="Q450" s="72">
        <v>56376</v>
      </c>
      <c r="R450" s="72">
        <v>56376</v>
      </c>
      <c r="S450" s="72">
        <v>19558663</v>
      </c>
      <c r="T450" s="72">
        <v>9439662</v>
      </c>
      <c r="U450" s="72">
        <v>4321250</v>
      </c>
      <c r="V450" s="72">
        <v>3550808</v>
      </c>
      <c r="W450" s="72">
        <v>1392865</v>
      </c>
      <c r="X450" s="72">
        <v>315000</v>
      </c>
      <c r="Y450" s="72">
        <v>0</v>
      </c>
      <c r="Z450" s="72">
        <v>0</v>
      </c>
      <c r="AA450" s="72">
        <v>0</v>
      </c>
      <c r="AB450" s="72">
        <v>0</v>
      </c>
      <c r="AC450" s="72">
        <v>0</v>
      </c>
      <c r="AD450" s="72">
        <v>0</v>
      </c>
      <c r="AE450" s="72">
        <v>123495</v>
      </c>
      <c r="AF450" s="72">
        <v>2629</v>
      </c>
      <c r="AG450" s="72">
        <v>473576</v>
      </c>
      <c r="AH450" s="72">
        <v>19619285</v>
      </c>
      <c r="AI450" s="72">
        <v>0</v>
      </c>
      <c r="AJ450" s="72">
        <v>0</v>
      </c>
      <c r="AK450" s="72">
        <v>0</v>
      </c>
      <c r="AL450" s="72">
        <v>0</v>
      </c>
      <c r="AM450" s="72">
        <v>19619285</v>
      </c>
      <c r="AN450" s="72">
        <v>-60622</v>
      </c>
      <c r="AO450" s="72">
        <v>8505361</v>
      </c>
      <c r="AP450" s="72">
        <v>8444739</v>
      </c>
      <c r="AQ450" s="72">
        <v>300000</v>
      </c>
      <c r="AR450" s="72">
        <v>52668</v>
      </c>
      <c r="AS450" s="72">
        <v>0</v>
      </c>
      <c r="AT450" s="72">
        <v>76683</v>
      </c>
      <c r="AU450" s="72">
        <v>0</v>
      </c>
      <c r="AV450" s="72">
        <v>0</v>
      </c>
      <c r="AW450" s="72">
        <v>61400</v>
      </c>
      <c r="AX450" s="72">
        <v>8000</v>
      </c>
      <c r="AY450" s="72">
        <v>0</v>
      </c>
      <c r="AZ450" s="72">
        <v>198751</v>
      </c>
      <c r="BA450" s="72">
        <v>7945988</v>
      </c>
      <c r="BB450" s="72">
        <v>0</v>
      </c>
      <c r="BC450" s="72">
        <v>0</v>
      </c>
      <c r="BD450" s="72">
        <v>0</v>
      </c>
      <c r="BE450" s="72">
        <v>7945988</v>
      </c>
      <c r="BF450" s="72">
        <v>0</v>
      </c>
      <c r="BG450" s="72">
        <v>0</v>
      </c>
      <c r="BH450" s="72">
        <v>0</v>
      </c>
      <c r="BI450" s="72">
        <v>0</v>
      </c>
      <c r="BJ450" s="72">
        <v>7945988</v>
      </c>
      <c r="BM450" s="72">
        <v>0</v>
      </c>
      <c r="BN450" s="72">
        <v>0</v>
      </c>
      <c r="BO450" s="72">
        <v>0</v>
      </c>
      <c r="BP450" s="72">
        <v>0</v>
      </c>
      <c r="BQ450" s="72">
        <v>0</v>
      </c>
      <c r="BR450" s="72">
        <v>0</v>
      </c>
      <c r="BS450" s="72">
        <v>19619285</v>
      </c>
    </row>
    <row r="451" spans="1:71" x14ac:dyDescent="0.2">
      <c r="A451" t="s">
        <v>204</v>
      </c>
      <c r="B451" t="s">
        <v>923</v>
      </c>
      <c r="C451" t="s">
        <v>28</v>
      </c>
      <c r="D451" s="72">
        <v>2088686</v>
      </c>
      <c r="E451" s="72">
        <v>64471</v>
      </c>
      <c r="F451" s="72">
        <v>0</v>
      </c>
      <c r="G451" s="72">
        <v>6617392</v>
      </c>
      <c r="H451" s="72">
        <v>85862</v>
      </c>
      <c r="I451" s="72">
        <v>0</v>
      </c>
      <c r="J451" s="72">
        <v>346571</v>
      </c>
      <c r="K451" s="72">
        <v>995016</v>
      </c>
      <c r="L451" s="72">
        <v>10197998</v>
      </c>
      <c r="M451" s="72">
        <v>0</v>
      </c>
      <c r="N451" s="72">
        <v>0</v>
      </c>
      <c r="O451" s="72">
        <v>0</v>
      </c>
      <c r="P451" s="72">
        <v>50000</v>
      </c>
      <c r="Q451" s="72">
        <v>0</v>
      </c>
      <c r="R451" s="72">
        <v>50000</v>
      </c>
      <c r="S451" s="72">
        <v>10247998</v>
      </c>
      <c r="T451" s="72">
        <v>5041457</v>
      </c>
      <c r="U451" s="72">
        <v>2275336</v>
      </c>
      <c r="V451" s="72">
        <v>2289175</v>
      </c>
      <c r="W451" s="72">
        <v>285000</v>
      </c>
      <c r="X451" s="72">
        <v>20000</v>
      </c>
      <c r="Y451" s="72">
        <v>0</v>
      </c>
      <c r="Z451" s="72">
        <v>0</v>
      </c>
      <c r="AA451" s="72">
        <v>0</v>
      </c>
      <c r="AB451" s="72">
        <v>0</v>
      </c>
      <c r="AC451" s="72">
        <v>0</v>
      </c>
      <c r="AD451" s="72">
        <v>0</v>
      </c>
      <c r="AE451" s="72">
        <v>0</v>
      </c>
      <c r="AF451" s="72">
        <v>0</v>
      </c>
      <c r="AG451" s="72">
        <v>295000</v>
      </c>
      <c r="AH451" s="72">
        <v>10205968</v>
      </c>
      <c r="AI451" s="72">
        <v>21950</v>
      </c>
      <c r="AJ451" s="72">
        <v>25000</v>
      </c>
      <c r="AK451" s="72">
        <v>0</v>
      </c>
      <c r="AL451" s="72">
        <v>46950</v>
      </c>
      <c r="AM451" s="72">
        <v>10252918</v>
      </c>
      <c r="AN451" s="72">
        <v>-4920</v>
      </c>
      <c r="AO451" s="72">
        <v>40433</v>
      </c>
      <c r="AP451" s="72">
        <v>35513</v>
      </c>
      <c r="AQ451" s="72">
        <v>0</v>
      </c>
      <c r="AR451" s="72">
        <v>0</v>
      </c>
      <c r="AS451" s="72">
        <v>0</v>
      </c>
      <c r="AT451" s="72">
        <v>0</v>
      </c>
      <c r="AU451" s="72">
        <v>0</v>
      </c>
      <c r="AW451" s="72">
        <v>0</v>
      </c>
      <c r="AX451" s="72">
        <v>0</v>
      </c>
      <c r="AY451" s="72">
        <v>0</v>
      </c>
      <c r="AZ451" s="72">
        <v>0</v>
      </c>
      <c r="BA451" s="72">
        <v>35513</v>
      </c>
      <c r="BB451" s="72">
        <v>0</v>
      </c>
      <c r="BC451" s="72">
        <v>0</v>
      </c>
      <c r="BD451" s="72">
        <v>0</v>
      </c>
      <c r="BE451" s="72">
        <v>35513</v>
      </c>
      <c r="BF451" s="72">
        <v>0</v>
      </c>
      <c r="BG451" s="72">
        <v>0</v>
      </c>
      <c r="BH451" s="72">
        <v>0</v>
      </c>
      <c r="BI451" s="72">
        <v>0</v>
      </c>
      <c r="BJ451" s="72">
        <v>35513</v>
      </c>
      <c r="BS451" s="72">
        <v>10252918</v>
      </c>
    </row>
    <row r="452" spans="1:71" x14ac:dyDescent="0.2">
      <c r="A452" t="s">
        <v>362</v>
      </c>
      <c r="B452" t="s">
        <v>1073</v>
      </c>
      <c r="C452" t="s">
        <v>28</v>
      </c>
      <c r="D452" s="72">
        <v>3440718</v>
      </c>
      <c r="E452" s="72">
        <v>86936</v>
      </c>
      <c r="F452" s="72">
        <v>1043515</v>
      </c>
      <c r="G452" s="72">
        <v>9528000</v>
      </c>
      <c r="H452" s="72">
        <v>65000</v>
      </c>
      <c r="J452" s="72">
        <v>510921</v>
      </c>
      <c r="K452" s="72">
        <v>430719</v>
      </c>
      <c r="L452" s="72">
        <v>15105809</v>
      </c>
      <c r="M452" s="72">
        <v>0</v>
      </c>
      <c r="N452" s="72">
        <v>0</v>
      </c>
      <c r="O452" s="72">
        <v>50000</v>
      </c>
      <c r="P452" s="72">
        <v>0</v>
      </c>
      <c r="Q452" s="72">
        <v>200000</v>
      </c>
      <c r="R452" s="72">
        <v>250000</v>
      </c>
      <c r="S452" s="72">
        <v>15355809</v>
      </c>
      <c r="T452" s="72">
        <v>8703017</v>
      </c>
      <c r="U452" s="72">
        <v>2931867</v>
      </c>
      <c r="V452" s="72">
        <v>1748140</v>
      </c>
      <c r="W452" s="72">
        <v>684873</v>
      </c>
      <c r="X452" s="72">
        <v>188477</v>
      </c>
      <c r="Y452" s="72">
        <v>0</v>
      </c>
      <c r="Z452" s="72">
        <v>0</v>
      </c>
      <c r="AA452" s="72">
        <v>0</v>
      </c>
      <c r="AB452" s="72">
        <v>0</v>
      </c>
      <c r="AC452" s="72">
        <v>0</v>
      </c>
      <c r="AD452" s="72">
        <v>0</v>
      </c>
      <c r="AE452" s="72">
        <v>0</v>
      </c>
      <c r="AF452" s="72">
        <v>0</v>
      </c>
      <c r="AG452" s="72">
        <v>682286</v>
      </c>
      <c r="AH452" s="72">
        <v>14938660</v>
      </c>
      <c r="AI452" s="72">
        <v>50000</v>
      </c>
      <c r="AJ452" s="72">
        <v>0</v>
      </c>
      <c r="AK452" s="72">
        <v>0</v>
      </c>
      <c r="AL452" s="72">
        <v>50000</v>
      </c>
      <c r="AM452" s="72">
        <v>14988660</v>
      </c>
      <c r="AN452" s="72">
        <v>367149</v>
      </c>
      <c r="AO452" s="72">
        <v>4125443</v>
      </c>
      <c r="AP452" s="72">
        <v>4492592</v>
      </c>
      <c r="AQ452" s="72">
        <v>50000</v>
      </c>
      <c r="AR452" s="72">
        <v>0</v>
      </c>
      <c r="AS452" s="72">
        <v>0</v>
      </c>
      <c r="AT452" s="72">
        <v>250000</v>
      </c>
      <c r="AU452" s="72">
        <v>0</v>
      </c>
      <c r="AW452" s="72">
        <v>0</v>
      </c>
      <c r="AX452" s="72">
        <v>0</v>
      </c>
      <c r="AY452" s="72">
        <v>0</v>
      </c>
      <c r="AZ452" s="72">
        <v>250000</v>
      </c>
      <c r="BA452" s="72">
        <v>4192592</v>
      </c>
      <c r="BB452" s="72">
        <v>0</v>
      </c>
      <c r="BC452" s="72">
        <v>0</v>
      </c>
      <c r="BD452" s="72">
        <v>0</v>
      </c>
      <c r="BE452" s="72">
        <v>4192592</v>
      </c>
      <c r="BF452" s="72">
        <v>0</v>
      </c>
      <c r="BG452" s="72">
        <v>0</v>
      </c>
      <c r="BH452" s="72">
        <v>0</v>
      </c>
      <c r="BI452" s="72">
        <v>0</v>
      </c>
      <c r="BJ452" s="72">
        <v>4192592</v>
      </c>
      <c r="BK452" s="72">
        <v>150</v>
      </c>
      <c r="BL452" s="72">
        <v>1750</v>
      </c>
      <c r="BS452" s="72">
        <v>15355809</v>
      </c>
    </row>
    <row r="453" spans="1:71" x14ac:dyDescent="0.2">
      <c r="A453" t="s">
        <v>536</v>
      </c>
      <c r="B453" t="s">
        <v>1239</v>
      </c>
      <c r="C453" t="s">
        <v>28</v>
      </c>
      <c r="D453" s="72">
        <v>3115889</v>
      </c>
      <c r="E453" s="72">
        <v>0</v>
      </c>
      <c r="F453" s="72">
        <v>1469998</v>
      </c>
      <c r="G453" s="72">
        <v>4940376</v>
      </c>
      <c r="H453" s="72">
        <v>68000</v>
      </c>
      <c r="I453" s="72">
        <v>0</v>
      </c>
      <c r="J453" s="72">
        <v>534000</v>
      </c>
      <c r="K453" s="72">
        <v>855077</v>
      </c>
      <c r="L453" s="72">
        <v>10983340</v>
      </c>
      <c r="M453" s="72">
        <v>0</v>
      </c>
      <c r="N453" s="72">
        <v>0</v>
      </c>
      <c r="O453" s="72">
        <v>0</v>
      </c>
      <c r="P453" s="72">
        <v>0</v>
      </c>
      <c r="Q453" s="72">
        <v>0</v>
      </c>
      <c r="R453" s="72">
        <v>0</v>
      </c>
      <c r="S453" s="72">
        <v>10983340</v>
      </c>
      <c r="T453" s="72">
        <v>5353634</v>
      </c>
      <c r="U453" s="72">
        <v>2600082</v>
      </c>
      <c r="V453" s="72">
        <v>2026625</v>
      </c>
      <c r="W453" s="72">
        <v>456264</v>
      </c>
      <c r="X453" s="72">
        <v>56100</v>
      </c>
      <c r="Y453" s="72">
        <v>0</v>
      </c>
      <c r="Z453" s="72">
        <v>0</v>
      </c>
      <c r="AA453" s="72">
        <v>0</v>
      </c>
      <c r="AB453" s="72">
        <v>0</v>
      </c>
      <c r="AC453" s="72">
        <v>0</v>
      </c>
      <c r="AD453" s="72">
        <v>0</v>
      </c>
      <c r="AE453" s="72">
        <v>0</v>
      </c>
      <c r="AF453" s="72">
        <v>0</v>
      </c>
      <c r="AG453" s="72">
        <v>485100</v>
      </c>
      <c r="AH453" s="72">
        <v>10977805</v>
      </c>
      <c r="AI453" s="72">
        <v>0</v>
      </c>
      <c r="AJ453" s="72">
        <v>0</v>
      </c>
      <c r="AK453" s="72">
        <v>0</v>
      </c>
      <c r="AL453" s="72">
        <v>0</v>
      </c>
      <c r="AM453" s="72">
        <v>10977805</v>
      </c>
      <c r="AN453" s="72">
        <v>5535</v>
      </c>
      <c r="AO453" s="72">
        <v>242561</v>
      </c>
      <c r="AP453" s="72">
        <v>248096</v>
      </c>
      <c r="AQ453" s="72">
        <v>25000</v>
      </c>
      <c r="AR453" s="72">
        <v>0</v>
      </c>
      <c r="AS453" s="72">
        <v>0</v>
      </c>
      <c r="AT453" s="72">
        <v>0</v>
      </c>
      <c r="AU453" s="72">
        <v>0</v>
      </c>
      <c r="AW453" s="72">
        <v>0</v>
      </c>
      <c r="AX453" s="72">
        <v>0</v>
      </c>
      <c r="AY453" s="72">
        <v>0</v>
      </c>
      <c r="AZ453" s="72">
        <v>0</v>
      </c>
      <c r="BA453" s="72">
        <v>223096</v>
      </c>
      <c r="BB453" s="72">
        <v>0</v>
      </c>
      <c r="BC453" s="72">
        <v>0</v>
      </c>
      <c r="BD453" s="72">
        <v>0</v>
      </c>
      <c r="BE453" s="72">
        <v>223096</v>
      </c>
      <c r="BF453" s="72">
        <v>0</v>
      </c>
      <c r="BG453" s="72">
        <v>0</v>
      </c>
      <c r="BH453" s="72">
        <v>0</v>
      </c>
      <c r="BI453" s="72">
        <v>0</v>
      </c>
      <c r="BJ453" s="72">
        <v>223096</v>
      </c>
      <c r="BK453" s="72">
        <v>80</v>
      </c>
      <c r="BL453" s="72">
        <v>1070</v>
      </c>
      <c r="BS453" s="72">
        <v>10983340</v>
      </c>
    </row>
    <row r="454" spans="1:71" x14ac:dyDescent="0.2">
      <c r="A454" t="s">
        <v>277</v>
      </c>
      <c r="B454" t="s">
        <v>994</v>
      </c>
      <c r="C454" t="s">
        <v>66</v>
      </c>
      <c r="D454" s="72">
        <v>6943870</v>
      </c>
      <c r="E454" s="72">
        <v>0</v>
      </c>
      <c r="F454" s="72">
        <v>0</v>
      </c>
      <c r="G454" s="72">
        <v>8965000</v>
      </c>
      <c r="H454" s="72">
        <v>138000</v>
      </c>
      <c r="I454" s="72">
        <v>0</v>
      </c>
      <c r="J454" s="72">
        <v>625000</v>
      </c>
      <c r="K454" s="72">
        <v>1674600</v>
      </c>
      <c r="L454" s="72">
        <v>18346470</v>
      </c>
      <c r="M454" s="72">
        <v>0</v>
      </c>
      <c r="N454" s="72">
        <v>0</v>
      </c>
      <c r="O454" s="72">
        <v>0</v>
      </c>
      <c r="P454" s="72">
        <v>0</v>
      </c>
      <c r="Q454" s="72">
        <v>0</v>
      </c>
      <c r="R454" s="72">
        <v>0</v>
      </c>
      <c r="S454" s="72">
        <v>18346470</v>
      </c>
      <c r="T454" s="72">
        <v>10367364</v>
      </c>
      <c r="U454" s="72">
        <v>3776909</v>
      </c>
      <c r="V454" s="72">
        <v>2880217</v>
      </c>
      <c r="W454" s="72">
        <v>787286</v>
      </c>
      <c r="X454" s="72">
        <v>35500</v>
      </c>
      <c r="Y454" s="72">
        <v>0</v>
      </c>
      <c r="Z454" s="72">
        <v>0</v>
      </c>
      <c r="AA454" s="72">
        <v>0</v>
      </c>
      <c r="AB454" s="72">
        <v>0</v>
      </c>
      <c r="AC454" s="72">
        <v>0</v>
      </c>
      <c r="AD454" s="72">
        <v>0</v>
      </c>
      <c r="AE454" s="72">
        <v>0</v>
      </c>
      <c r="AF454" s="72">
        <v>0</v>
      </c>
      <c r="AG454" s="72">
        <v>332754</v>
      </c>
      <c r="AH454" s="72">
        <v>18180030</v>
      </c>
      <c r="AI454" s="72">
        <v>0</v>
      </c>
      <c r="AJ454" s="72">
        <v>0</v>
      </c>
      <c r="AK454" s="72">
        <v>0</v>
      </c>
      <c r="AL454" s="72">
        <v>0</v>
      </c>
      <c r="AM454" s="72">
        <v>18180030</v>
      </c>
      <c r="AN454" s="72">
        <v>166440</v>
      </c>
      <c r="AO454" s="72">
        <v>5243251</v>
      </c>
      <c r="AP454" s="72">
        <v>5409691</v>
      </c>
      <c r="AQ454" s="72">
        <v>250000</v>
      </c>
      <c r="AR454" s="72">
        <v>0</v>
      </c>
      <c r="AS454" s="72">
        <v>0</v>
      </c>
      <c r="AT454" s="72">
        <v>0</v>
      </c>
      <c r="AU454" s="72">
        <v>0</v>
      </c>
      <c r="AV454" s="72">
        <v>0</v>
      </c>
      <c r="AW454" s="72">
        <v>0</v>
      </c>
      <c r="AX454" s="72">
        <v>0</v>
      </c>
      <c r="AY454" s="72">
        <v>0</v>
      </c>
      <c r="AZ454" s="72">
        <v>0</v>
      </c>
      <c r="BA454" s="72">
        <v>5159691</v>
      </c>
      <c r="BB454" s="72">
        <v>0</v>
      </c>
      <c r="BC454" s="72">
        <v>0</v>
      </c>
      <c r="BD454" s="72">
        <v>0</v>
      </c>
      <c r="BE454" s="72">
        <v>5159691</v>
      </c>
      <c r="BF454" s="72">
        <v>0</v>
      </c>
      <c r="BG454" s="72">
        <v>0</v>
      </c>
      <c r="BH454" s="72">
        <v>0</v>
      </c>
      <c r="BI454" s="72">
        <v>0</v>
      </c>
      <c r="BJ454" s="72">
        <v>5159691</v>
      </c>
      <c r="BS454" s="72">
        <v>18346470</v>
      </c>
    </row>
    <row r="455" spans="1:71" x14ac:dyDescent="0.2">
      <c r="A455" t="s">
        <v>322</v>
      </c>
      <c r="B455" t="s">
        <v>1036</v>
      </c>
      <c r="C455" t="s">
        <v>66</v>
      </c>
      <c r="D455" s="72">
        <v>3144260</v>
      </c>
      <c r="E455" s="72">
        <v>3375986</v>
      </c>
      <c r="F455" s="72">
        <v>0</v>
      </c>
      <c r="G455" s="72">
        <v>12337802</v>
      </c>
      <c r="H455" s="72">
        <v>54609</v>
      </c>
      <c r="I455" s="72">
        <v>0</v>
      </c>
      <c r="J455" s="72">
        <v>529056</v>
      </c>
      <c r="K455" s="72">
        <v>1504267</v>
      </c>
      <c r="L455" s="72">
        <v>20945980</v>
      </c>
      <c r="M455" s="72">
        <v>0</v>
      </c>
      <c r="N455" s="72">
        <v>0</v>
      </c>
      <c r="O455" s="72">
        <v>0</v>
      </c>
      <c r="P455" s="72">
        <v>0</v>
      </c>
      <c r="Q455" s="72">
        <v>0</v>
      </c>
      <c r="R455" s="72">
        <v>0</v>
      </c>
      <c r="S455" s="72">
        <v>20945980</v>
      </c>
      <c r="T455" s="72">
        <v>11230821</v>
      </c>
      <c r="U455" s="72">
        <v>4052920</v>
      </c>
      <c r="V455" s="72">
        <v>3809788</v>
      </c>
      <c r="W455" s="72">
        <v>790270</v>
      </c>
      <c r="X455" s="72">
        <v>161434</v>
      </c>
      <c r="Y455" s="72">
        <v>0</v>
      </c>
      <c r="Z455" s="72">
        <v>0</v>
      </c>
      <c r="AA455" s="72">
        <v>0</v>
      </c>
      <c r="AB455" s="72">
        <v>0</v>
      </c>
      <c r="AC455" s="72">
        <v>0</v>
      </c>
      <c r="AD455" s="72">
        <v>0</v>
      </c>
      <c r="AE455" s="72">
        <v>0</v>
      </c>
      <c r="AF455" s="72">
        <v>9600</v>
      </c>
      <c r="AG455" s="72">
        <v>192790</v>
      </c>
      <c r="AH455" s="72">
        <v>20247623</v>
      </c>
      <c r="AI455" s="72">
        <v>250000</v>
      </c>
      <c r="AJ455" s="72">
        <v>100000</v>
      </c>
      <c r="AK455" s="72">
        <v>0</v>
      </c>
      <c r="AL455" s="72">
        <v>350000</v>
      </c>
      <c r="AM455" s="72">
        <v>20597623</v>
      </c>
      <c r="AN455" s="72">
        <v>348357</v>
      </c>
      <c r="AO455" s="72">
        <v>5211111</v>
      </c>
      <c r="AP455" s="72">
        <v>5559468</v>
      </c>
      <c r="AQ455" s="72">
        <v>40000</v>
      </c>
      <c r="AR455" s="72">
        <v>0</v>
      </c>
      <c r="AS455" s="72">
        <v>0</v>
      </c>
      <c r="AT455" s="72">
        <v>0</v>
      </c>
      <c r="AU455" s="72">
        <v>0</v>
      </c>
      <c r="AV455" s="72">
        <v>0</v>
      </c>
      <c r="AW455" s="72">
        <v>0</v>
      </c>
      <c r="AX455" s="72">
        <v>0</v>
      </c>
      <c r="AY455" s="72">
        <v>0</v>
      </c>
      <c r="AZ455" s="72">
        <v>0</v>
      </c>
      <c r="BA455" s="72">
        <v>5519468</v>
      </c>
      <c r="BB455" s="72">
        <v>0</v>
      </c>
      <c r="BC455" s="72">
        <v>0</v>
      </c>
      <c r="BD455" s="72">
        <v>0</v>
      </c>
      <c r="BE455" s="72">
        <v>5519468</v>
      </c>
      <c r="BF455" s="72">
        <v>0</v>
      </c>
      <c r="BG455" s="72">
        <v>0</v>
      </c>
      <c r="BH455" s="72">
        <v>0</v>
      </c>
      <c r="BI455" s="72">
        <v>0</v>
      </c>
      <c r="BJ455" s="72">
        <v>5519468</v>
      </c>
      <c r="BM455" s="72">
        <v>0</v>
      </c>
      <c r="BN455" s="72">
        <v>0</v>
      </c>
      <c r="BO455" s="72">
        <v>0</v>
      </c>
      <c r="BP455" s="72">
        <v>0</v>
      </c>
      <c r="BQ455" s="72">
        <v>0</v>
      </c>
      <c r="BR455" s="72">
        <v>0</v>
      </c>
      <c r="BS455" s="72">
        <v>20945980</v>
      </c>
    </row>
    <row r="456" spans="1:71" x14ac:dyDescent="0.2">
      <c r="A456" t="s">
        <v>468</v>
      </c>
      <c r="B456" t="s">
        <v>1173</v>
      </c>
      <c r="C456" t="s">
        <v>66</v>
      </c>
      <c r="D456" s="72">
        <v>2882616</v>
      </c>
      <c r="E456" s="72">
        <v>287980</v>
      </c>
      <c r="F456" s="72">
        <v>0</v>
      </c>
      <c r="G456" s="72">
        <v>11721616</v>
      </c>
      <c r="H456" s="72">
        <v>65411</v>
      </c>
      <c r="I456" s="72">
        <v>0</v>
      </c>
      <c r="J456" s="72">
        <v>464304</v>
      </c>
      <c r="K456" s="72">
        <v>3560705</v>
      </c>
      <c r="L456" s="72">
        <v>18982632</v>
      </c>
      <c r="M456" s="72">
        <v>0</v>
      </c>
      <c r="N456" s="72">
        <v>0</v>
      </c>
      <c r="O456" s="72">
        <v>155000</v>
      </c>
      <c r="P456" s="72">
        <v>0</v>
      </c>
      <c r="Q456" s="72">
        <v>115450</v>
      </c>
      <c r="R456" s="72">
        <v>270450</v>
      </c>
      <c r="S456" s="72">
        <v>19253082</v>
      </c>
      <c r="T456" s="72">
        <v>10559741</v>
      </c>
      <c r="U456" s="72">
        <v>4351337</v>
      </c>
      <c r="V456" s="72">
        <v>3031524</v>
      </c>
      <c r="W456" s="72">
        <v>523163</v>
      </c>
      <c r="X456" s="72">
        <v>201420</v>
      </c>
      <c r="Y456" s="72">
        <v>0</v>
      </c>
      <c r="Z456" s="72">
        <v>0</v>
      </c>
      <c r="AA456" s="72">
        <v>0</v>
      </c>
      <c r="AB456" s="72">
        <v>0</v>
      </c>
      <c r="AC456" s="72">
        <v>0</v>
      </c>
      <c r="AD456" s="72">
        <v>0</v>
      </c>
      <c r="AE456" s="72">
        <v>0</v>
      </c>
      <c r="AF456" s="72">
        <v>0</v>
      </c>
      <c r="AG456" s="72">
        <v>210718</v>
      </c>
      <c r="AH456" s="72">
        <v>18877903</v>
      </c>
      <c r="AI456" s="72">
        <v>155000</v>
      </c>
      <c r="AJ456" s="72">
        <v>0</v>
      </c>
      <c r="AK456" s="72">
        <v>7800</v>
      </c>
      <c r="AL456" s="72">
        <v>162800</v>
      </c>
      <c r="AM456" s="72">
        <v>19040703</v>
      </c>
      <c r="AN456" s="72">
        <v>212379</v>
      </c>
      <c r="AO456" s="72">
        <v>1440716</v>
      </c>
      <c r="AP456" s="72">
        <v>1653095</v>
      </c>
      <c r="AQ456" s="72">
        <v>0</v>
      </c>
      <c r="AR456" s="72">
        <v>0</v>
      </c>
      <c r="AS456" s="72">
        <v>0</v>
      </c>
      <c r="AT456" s="72">
        <v>0</v>
      </c>
      <c r="AU456" s="72">
        <v>0</v>
      </c>
      <c r="AV456" s="72">
        <v>0</v>
      </c>
      <c r="AW456" s="72">
        <v>0</v>
      </c>
      <c r="AX456" s="72">
        <v>0</v>
      </c>
      <c r="AY456" s="72">
        <v>0</v>
      </c>
      <c r="AZ456" s="72">
        <v>0</v>
      </c>
      <c r="BA456" s="72">
        <v>1653095</v>
      </c>
      <c r="BB456" s="72">
        <v>0</v>
      </c>
      <c r="BC456" s="72">
        <v>0</v>
      </c>
      <c r="BD456" s="72">
        <v>0</v>
      </c>
      <c r="BE456" s="72">
        <v>1653095</v>
      </c>
      <c r="BF456" s="72">
        <v>0</v>
      </c>
      <c r="BG456" s="72">
        <v>0</v>
      </c>
      <c r="BH456" s="72">
        <v>0</v>
      </c>
      <c r="BI456" s="72">
        <v>0</v>
      </c>
      <c r="BJ456" s="72">
        <v>1653095</v>
      </c>
      <c r="BM456" s="72">
        <v>0</v>
      </c>
      <c r="BN456" s="72">
        <v>0</v>
      </c>
      <c r="BO456" s="72">
        <v>0</v>
      </c>
      <c r="BP456" s="72">
        <v>0</v>
      </c>
      <c r="BQ456" s="72">
        <v>0</v>
      </c>
      <c r="BR456" s="72">
        <v>0</v>
      </c>
      <c r="BS456" s="72">
        <v>19253082</v>
      </c>
    </row>
    <row r="457" spans="1:71" x14ac:dyDescent="0.2">
      <c r="A457" t="s">
        <v>688</v>
      </c>
      <c r="B457" t="s">
        <v>1378</v>
      </c>
      <c r="C457" t="s">
        <v>66</v>
      </c>
      <c r="D457" s="72">
        <v>6615328</v>
      </c>
      <c r="E457" s="72">
        <v>1000</v>
      </c>
      <c r="F457" s="72">
        <v>0</v>
      </c>
      <c r="G457" s="72">
        <v>16825823</v>
      </c>
      <c r="H457" s="72">
        <v>32238</v>
      </c>
      <c r="I457" s="72">
        <v>0</v>
      </c>
      <c r="J457" s="72">
        <v>823833</v>
      </c>
      <c r="K457" s="72">
        <v>244601</v>
      </c>
      <c r="L457" s="72">
        <v>24542823</v>
      </c>
      <c r="M457" s="72">
        <v>0</v>
      </c>
      <c r="N457" s="72">
        <v>0</v>
      </c>
      <c r="O457" s="72">
        <v>0</v>
      </c>
      <c r="P457" s="72">
        <v>0</v>
      </c>
      <c r="Q457" s="72">
        <v>0</v>
      </c>
      <c r="R457" s="72">
        <v>0</v>
      </c>
      <c r="S457" s="72">
        <v>24542823</v>
      </c>
      <c r="T457" s="72">
        <v>13336251</v>
      </c>
      <c r="U457" s="72">
        <v>5183414</v>
      </c>
      <c r="V457" s="72">
        <v>2694044</v>
      </c>
      <c r="W457" s="72">
        <v>955000</v>
      </c>
      <c r="X457" s="72">
        <v>545000</v>
      </c>
      <c r="Y457" s="72">
        <v>0</v>
      </c>
      <c r="Z457" s="72">
        <v>0</v>
      </c>
      <c r="AA457" s="72">
        <v>0</v>
      </c>
      <c r="AB457" s="72">
        <v>0</v>
      </c>
      <c r="AC457" s="72">
        <v>0</v>
      </c>
      <c r="AD457" s="72">
        <v>0</v>
      </c>
      <c r="AE457" s="72">
        <v>0</v>
      </c>
      <c r="AF457" s="72">
        <v>0</v>
      </c>
      <c r="AG457" s="72">
        <v>1817400</v>
      </c>
      <c r="AH457" s="72">
        <v>24531109</v>
      </c>
      <c r="AI457" s="72">
        <v>0</v>
      </c>
      <c r="AJ457" s="72">
        <v>0</v>
      </c>
      <c r="AK457" s="72">
        <v>0</v>
      </c>
      <c r="AL457" s="72">
        <v>0</v>
      </c>
      <c r="AM457" s="72">
        <v>24531109</v>
      </c>
      <c r="AN457" s="72">
        <v>11715</v>
      </c>
      <c r="AO457" s="72">
        <v>2945215</v>
      </c>
      <c r="AP457" s="72">
        <v>2956930</v>
      </c>
      <c r="AQ457" s="72">
        <v>250000</v>
      </c>
      <c r="AR457" s="72">
        <v>0</v>
      </c>
      <c r="AS457" s="72">
        <v>0</v>
      </c>
      <c r="AT457" s="72">
        <v>0</v>
      </c>
      <c r="AU457" s="72">
        <v>0</v>
      </c>
      <c r="AV457" s="72">
        <v>0</v>
      </c>
      <c r="AW457" s="72">
        <v>0</v>
      </c>
      <c r="AX457" s="72">
        <v>0</v>
      </c>
      <c r="AY457" s="72">
        <v>0</v>
      </c>
      <c r="AZ457" s="72">
        <v>0</v>
      </c>
      <c r="BA457" s="72">
        <v>2706930</v>
      </c>
      <c r="BB457" s="72">
        <v>0</v>
      </c>
      <c r="BC457" s="72">
        <v>0</v>
      </c>
      <c r="BD457" s="72">
        <v>0</v>
      </c>
      <c r="BE457" s="72">
        <v>2706930</v>
      </c>
      <c r="BF457" s="72">
        <v>0</v>
      </c>
      <c r="BG457" s="72">
        <v>0</v>
      </c>
      <c r="BH457" s="72">
        <v>0</v>
      </c>
      <c r="BI457" s="72">
        <v>0</v>
      </c>
      <c r="BJ457" s="72">
        <v>2706930</v>
      </c>
      <c r="BK457" s="72">
        <v>231</v>
      </c>
      <c r="BL457" s="72">
        <v>2903</v>
      </c>
      <c r="BM457" s="72">
        <v>0</v>
      </c>
      <c r="BN457" s="72">
        <v>0</v>
      </c>
      <c r="BO457" s="72">
        <v>0</v>
      </c>
      <c r="BP457" s="72">
        <v>0</v>
      </c>
      <c r="BQ457" s="72">
        <v>0</v>
      </c>
      <c r="BR457" s="72">
        <v>0</v>
      </c>
      <c r="BS457" s="72">
        <v>24542823</v>
      </c>
    </row>
    <row r="458" spans="1:71" x14ac:dyDescent="0.2">
      <c r="A458" t="s">
        <v>746</v>
      </c>
      <c r="B458" t="s">
        <v>1435</v>
      </c>
      <c r="C458" t="s">
        <v>66</v>
      </c>
      <c r="D458" s="72">
        <v>6514344</v>
      </c>
      <c r="E458" s="72">
        <v>0</v>
      </c>
      <c r="F458" s="72">
        <v>0</v>
      </c>
      <c r="G458" s="72">
        <v>5318177</v>
      </c>
      <c r="H458" s="72">
        <v>37000</v>
      </c>
      <c r="I458" s="72">
        <v>0</v>
      </c>
      <c r="J458" s="72">
        <v>1069242</v>
      </c>
      <c r="K458" s="72">
        <v>1634621</v>
      </c>
      <c r="L458" s="72">
        <v>14573384</v>
      </c>
      <c r="M458" s="72">
        <v>0</v>
      </c>
      <c r="N458" s="72">
        <v>0</v>
      </c>
      <c r="O458" s="72">
        <v>0</v>
      </c>
      <c r="P458" s="72">
        <v>0</v>
      </c>
      <c r="Q458" s="72">
        <v>0</v>
      </c>
      <c r="R458" s="72">
        <v>0</v>
      </c>
      <c r="S458" s="72">
        <v>14573384</v>
      </c>
      <c r="T458" s="72">
        <v>6701118</v>
      </c>
      <c r="U458" s="72">
        <v>2477785</v>
      </c>
      <c r="V458" s="72">
        <v>4229232</v>
      </c>
      <c r="W458" s="72">
        <v>411161</v>
      </c>
      <c r="X458" s="72">
        <v>179000</v>
      </c>
      <c r="Y458" s="72">
        <v>0</v>
      </c>
      <c r="Z458" s="72">
        <v>0</v>
      </c>
      <c r="AA458" s="72">
        <v>0</v>
      </c>
      <c r="AB458" s="72">
        <v>0</v>
      </c>
      <c r="AC458" s="72">
        <v>0</v>
      </c>
      <c r="AD458" s="72">
        <v>0</v>
      </c>
      <c r="AE458" s="72">
        <v>51000</v>
      </c>
      <c r="AF458" s="72">
        <v>69747</v>
      </c>
      <c r="AG458" s="72">
        <v>228203</v>
      </c>
      <c r="AH458" s="72">
        <v>14347246</v>
      </c>
      <c r="AI458" s="72">
        <v>35000</v>
      </c>
      <c r="AJ458" s="72">
        <v>600000</v>
      </c>
      <c r="AK458" s="72">
        <v>0</v>
      </c>
      <c r="AL458" s="72">
        <v>635000</v>
      </c>
      <c r="AM458" s="72">
        <v>14982246</v>
      </c>
      <c r="AN458" s="72">
        <v>-408862</v>
      </c>
      <c r="AO458" s="72">
        <v>1501473</v>
      </c>
      <c r="AP458" s="72">
        <v>1092611</v>
      </c>
      <c r="AQ458" s="72">
        <v>350000</v>
      </c>
      <c r="AR458" s="72">
        <v>0</v>
      </c>
      <c r="AS458" s="72">
        <v>0</v>
      </c>
      <c r="AT458" s="72">
        <v>0</v>
      </c>
      <c r="AU458" s="72">
        <v>0</v>
      </c>
      <c r="AV458" s="72">
        <v>0</v>
      </c>
      <c r="AW458" s="72">
        <v>0</v>
      </c>
      <c r="AX458" s="72">
        <v>0</v>
      </c>
      <c r="AY458" s="72">
        <v>0</v>
      </c>
      <c r="AZ458" s="72">
        <v>0</v>
      </c>
      <c r="BA458" s="72">
        <v>742611</v>
      </c>
      <c r="BB458" s="72">
        <v>0</v>
      </c>
      <c r="BC458" s="72">
        <v>0</v>
      </c>
      <c r="BD458" s="72">
        <v>0</v>
      </c>
      <c r="BE458" s="72">
        <v>742611</v>
      </c>
      <c r="BF458" s="72">
        <v>0</v>
      </c>
      <c r="BG458" s="72">
        <v>0</v>
      </c>
      <c r="BH458" s="72">
        <v>0</v>
      </c>
      <c r="BI458" s="72">
        <v>0</v>
      </c>
      <c r="BJ458" s="72">
        <v>742611</v>
      </c>
      <c r="BS458" s="72">
        <v>14982246</v>
      </c>
    </row>
    <row r="459" spans="1:71" x14ac:dyDescent="0.2">
      <c r="A459" t="s">
        <v>520</v>
      </c>
      <c r="B459" t="s">
        <v>1224</v>
      </c>
      <c r="C459" t="s">
        <v>60</v>
      </c>
      <c r="D459" s="72">
        <v>1803452</v>
      </c>
      <c r="E459" s="72">
        <v>1654012</v>
      </c>
      <c r="F459" s="72">
        <v>0</v>
      </c>
      <c r="G459" s="72">
        <v>5248057</v>
      </c>
      <c r="H459" s="72">
        <v>66770</v>
      </c>
      <c r="I459" s="72">
        <v>0</v>
      </c>
      <c r="J459" s="72">
        <v>289348</v>
      </c>
      <c r="K459" s="72">
        <v>935279</v>
      </c>
      <c r="L459" s="72">
        <v>9996918</v>
      </c>
      <c r="M459" s="72">
        <v>0</v>
      </c>
      <c r="N459" s="72">
        <v>0</v>
      </c>
      <c r="O459" s="72">
        <v>147</v>
      </c>
      <c r="P459" s="72">
        <v>0</v>
      </c>
      <c r="Q459" s="72">
        <v>23494</v>
      </c>
      <c r="R459" s="72">
        <v>23641</v>
      </c>
      <c r="S459" s="72">
        <v>10020559</v>
      </c>
      <c r="T459" s="72">
        <v>4935897</v>
      </c>
      <c r="U459" s="72">
        <v>2592321</v>
      </c>
      <c r="V459" s="72">
        <v>1287768</v>
      </c>
      <c r="W459" s="72">
        <v>452451</v>
      </c>
      <c r="X459" s="72">
        <v>137817</v>
      </c>
      <c r="Y459" s="72">
        <v>0</v>
      </c>
      <c r="Z459" s="72">
        <v>0</v>
      </c>
      <c r="AA459" s="72">
        <v>0</v>
      </c>
      <c r="AB459" s="72">
        <v>0</v>
      </c>
      <c r="AC459" s="72">
        <v>0</v>
      </c>
      <c r="AD459" s="72">
        <v>45000</v>
      </c>
      <c r="AE459" s="72">
        <v>0</v>
      </c>
      <c r="AF459" s="72">
        <v>14160</v>
      </c>
      <c r="AG459" s="72">
        <v>530436</v>
      </c>
      <c r="AH459" s="72">
        <v>9995850</v>
      </c>
      <c r="AI459" s="72">
        <v>10000</v>
      </c>
      <c r="AJ459" s="72">
        <v>0</v>
      </c>
      <c r="AK459" s="72">
        <v>0</v>
      </c>
      <c r="AL459" s="72">
        <v>10000</v>
      </c>
      <c r="AM459" s="72">
        <v>10005850</v>
      </c>
      <c r="AN459" s="72">
        <v>14709</v>
      </c>
      <c r="AO459" s="72">
        <v>3319407</v>
      </c>
      <c r="AP459" s="72">
        <v>3334116</v>
      </c>
      <c r="AQ459" s="72">
        <v>150000</v>
      </c>
      <c r="AR459" s="72">
        <v>0</v>
      </c>
      <c r="AS459" s="72">
        <v>0</v>
      </c>
      <c r="AT459" s="72">
        <v>0</v>
      </c>
      <c r="AU459" s="72">
        <v>0</v>
      </c>
      <c r="AV459" s="72">
        <v>0</v>
      </c>
      <c r="AW459" s="72">
        <v>0</v>
      </c>
      <c r="AX459" s="72">
        <v>0</v>
      </c>
      <c r="AY459" s="72">
        <v>0</v>
      </c>
      <c r="AZ459" s="72">
        <v>0</v>
      </c>
      <c r="BA459" s="72">
        <v>3184116</v>
      </c>
      <c r="BB459" s="72">
        <v>0</v>
      </c>
      <c r="BC459" s="72">
        <v>0</v>
      </c>
      <c r="BD459" s="72">
        <v>0</v>
      </c>
      <c r="BE459" s="72">
        <v>3184116</v>
      </c>
      <c r="BF459" s="72">
        <v>0</v>
      </c>
      <c r="BG459" s="72">
        <v>0</v>
      </c>
      <c r="BH459" s="72">
        <v>0</v>
      </c>
      <c r="BI459" s="72">
        <v>0</v>
      </c>
      <c r="BJ459" s="72">
        <v>3184116</v>
      </c>
      <c r="BM459" s="72">
        <v>0</v>
      </c>
      <c r="BN459" s="72">
        <v>0</v>
      </c>
      <c r="BO459" s="72">
        <v>0</v>
      </c>
      <c r="BP459" s="72">
        <v>0</v>
      </c>
      <c r="BQ459" s="72">
        <v>0</v>
      </c>
      <c r="BR459" s="72">
        <v>0</v>
      </c>
      <c r="BS459" s="72">
        <v>10020559</v>
      </c>
    </row>
    <row r="460" spans="1:71" x14ac:dyDescent="0.2">
      <c r="A460" t="s">
        <v>159</v>
      </c>
      <c r="B460" t="s">
        <v>880</v>
      </c>
      <c r="C460" t="s">
        <v>100</v>
      </c>
      <c r="D460" s="72">
        <v>8035000</v>
      </c>
      <c r="E460" s="72">
        <v>0</v>
      </c>
      <c r="G460" s="72">
        <v>3518000</v>
      </c>
      <c r="H460" s="72">
        <v>5000</v>
      </c>
      <c r="I460" s="72">
        <v>0</v>
      </c>
      <c r="J460" s="72">
        <v>4979500</v>
      </c>
      <c r="K460" s="72">
        <v>764660</v>
      </c>
      <c r="L460" s="72">
        <v>17302160</v>
      </c>
      <c r="M460" s="72">
        <v>0</v>
      </c>
      <c r="N460" s="72">
        <v>0</v>
      </c>
      <c r="O460" s="72">
        <v>0</v>
      </c>
      <c r="P460" s="72">
        <v>0</v>
      </c>
      <c r="Q460" s="72">
        <v>45000</v>
      </c>
      <c r="R460" s="72">
        <v>45000</v>
      </c>
      <c r="S460" s="72">
        <v>17347160</v>
      </c>
      <c r="T460" s="72">
        <v>9527200</v>
      </c>
      <c r="U460" s="72">
        <v>3920000</v>
      </c>
      <c r="V460" s="72">
        <v>2480500</v>
      </c>
      <c r="W460" s="72">
        <v>665000</v>
      </c>
      <c r="X460" s="72">
        <v>40000</v>
      </c>
      <c r="AG460" s="72">
        <v>207500</v>
      </c>
      <c r="AH460" s="72">
        <v>16840200</v>
      </c>
      <c r="AI460" s="72">
        <v>150000</v>
      </c>
      <c r="AJ460" s="72">
        <v>0</v>
      </c>
      <c r="AK460" s="72">
        <v>0</v>
      </c>
      <c r="AL460" s="72">
        <v>150000</v>
      </c>
      <c r="AM460" s="72">
        <v>16990200</v>
      </c>
      <c r="AN460" s="72">
        <v>356960</v>
      </c>
      <c r="AO460" s="72">
        <v>2373121</v>
      </c>
      <c r="AP460" s="72">
        <v>2730081</v>
      </c>
      <c r="AQ460" s="72">
        <v>100000</v>
      </c>
      <c r="BA460" s="72">
        <v>2630081</v>
      </c>
      <c r="BB460" s="72">
        <v>0</v>
      </c>
      <c r="BC460" s="72">
        <v>0</v>
      </c>
      <c r="BD460" s="72">
        <v>0</v>
      </c>
      <c r="BE460" s="72">
        <v>2630081</v>
      </c>
      <c r="BF460" s="72">
        <v>0</v>
      </c>
      <c r="BG460" s="72">
        <v>0</v>
      </c>
      <c r="BH460" s="72">
        <v>0</v>
      </c>
      <c r="BI460" s="72">
        <v>0</v>
      </c>
      <c r="BJ460" s="72">
        <v>2630081</v>
      </c>
      <c r="BS460" s="72">
        <v>17347160</v>
      </c>
    </row>
    <row r="461" spans="1:71" x14ac:dyDescent="0.2">
      <c r="A461" t="s">
        <v>260</v>
      </c>
      <c r="B461" t="s">
        <v>977</v>
      </c>
      <c r="C461" t="s">
        <v>100</v>
      </c>
      <c r="D461" s="72">
        <v>7195558</v>
      </c>
      <c r="E461" s="72">
        <v>322300</v>
      </c>
      <c r="F461" s="72">
        <v>0</v>
      </c>
      <c r="G461" s="72">
        <v>636794</v>
      </c>
      <c r="H461" s="72">
        <v>0</v>
      </c>
      <c r="I461" s="72">
        <v>0</v>
      </c>
      <c r="J461" s="72">
        <v>878795</v>
      </c>
      <c r="K461" s="72">
        <v>547210</v>
      </c>
      <c r="L461" s="72">
        <v>9580657</v>
      </c>
      <c r="M461" s="72">
        <v>0</v>
      </c>
      <c r="N461" s="72">
        <v>0</v>
      </c>
      <c r="O461" s="72">
        <v>0</v>
      </c>
      <c r="P461" s="72">
        <v>0</v>
      </c>
      <c r="Q461" s="72">
        <v>1500</v>
      </c>
      <c r="R461" s="72">
        <v>1500</v>
      </c>
      <c r="S461" s="72">
        <v>9582157</v>
      </c>
      <c r="T461" s="72">
        <v>5513373</v>
      </c>
      <c r="U461" s="72">
        <v>2000564</v>
      </c>
      <c r="V461" s="72">
        <v>1237126</v>
      </c>
      <c r="W461" s="72">
        <v>345230</v>
      </c>
      <c r="X461" s="72">
        <v>175000</v>
      </c>
      <c r="Y461" s="72">
        <v>0</v>
      </c>
      <c r="Z461" s="72">
        <v>0</v>
      </c>
      <c r="AA461" s="72">
        <v>0</v>
      </c>
      <c r="AB461" s="72">
        <v>0</v>
      </c>
      <c r="AC461" s="72">
        <v>0</v>
      </c>
      <c r="AD461" s="72">
        <v>60000</v>
      </c>
      <c r="AE461" s="72">
        <v>0</v>
      </c>
      <c r="AF461" s="72">
        <v>13545</v>
      </c>
      <c r="AG461" s="72">
        <v>205428</v>
      </c>
      <c r="AH461" s="72">
        <v>9550266</v>
      </c>
      <c r="AI461" s="72">
        <v>70000</v>
      </c>
      <c r="AJ461" s="72">
        <v>0</v>
      </c>
      <c r="AK461" s="72">
        <v>0</v>
      </c>
      <c r="AL461" s="72">
        <v>70000</v>
      </c>
      <c r="AM461" s="72">
        <v>9620266</v>
      </c>
      <c r="AN461" s="72">
        <v>-38109</v>
      </c>
      <c r="AO461" s="72">
        <v>2710670</v>
      </c>
      <c r="AP461" s="72">
        <v>2672561</v>
      </c>
      <c r="AQ461" s="72">
        <v>300000</v>
      </c>
      <c r="AR461" s="72">
        <v>0</v>
      </c>
      <c r="AS461" s="72">
        <v>0</v>
      </c>
      <c r="AT461" s="72">
        <v>0</v>
      </c>
      <c r="AU461" s="72">
        <v>0</v>
      </c>
      <c r="AV461" s="72">
        <v>0</v>
      </c>
      <c r="AW461" s="72">
        <v>0</v>
      </c>
      <c r="AX461" s="72">
        <v>0</v>
      </c>
      <c r="AY461" s="72">
        <v>0</v>
      </c>
      <c r="AZ461" s="72">
        <v>0</v>
      </c>
      <c r="BA461" s="72">
        <v>2372561</v>
      </c>
      <c r="BB461" s="72">
        <v>0</v>
      </c>
      <c r="BC461" s="72">
        <v>0</v>
      </c>
      <c r="BD461" s="72">
        <v>0</v>
      </c>
      <c r="BE461" s="72">
        <v>2372561</v>
      </c>
      <c r="BF461" s="72">
        <v>0</v>
      </c>
      <c r="BG461" s="72">
        <v>0</v>
      </c>
      <c r="BH461" s="72">
        <v>0</v>
      </c>
      <c r="BI461" s="72">
        <v>0</v>
      </c>
      <c r="BJ461" s="72">
        <v>2372561</v>
      </c>
      <c r="BM461" s="72">
        <v>0</v>
      </c>
      <c r="BN461" s="72">
        <v>0</v>
      </c>
      <c r="BO461" s="72">
        <v>0</v>
      </c>
      <c r="BP461" s="72">
        <v>0</v>
      </c>
      <c r="BQ461" s="72">
        <v>0</v>
      </c>
      <c r="BR461" s="72">
        <v>0</v>
      </c>
      <c r="BS461" s="72">
        <v>9620266</v>
      </c>
    </row>
    <row r="462" spans="1:71" x14ac:dyDescent="0.2">
      <c r="A462" t="s">
        <v>335</v>
      </c>
      <c r="B462" t="s">
        <v>1049</v>
      </c>
      <c r="C462" t="s">
        <v>100</v>
      </c>
      <c r="D462" s="72">
        <v>3603265</v>
      </c>
      <c r="E462" s="72">
        <v>0</v>
      </c>
      <c r="F462" s="72">
        <v>0</v>
      </c>
      <c r="G462" s="72">
        <v>5328703</v>
      </c>
      <c r="H462" s="72">
        <v>0</v>
      </c>
      <c r="I462" s="72">
        <v>0</v>
      </c>
      <c r="J462" s="72">
        <v>729909</v>
      </c>
      <c r="K462" s="72">
        <v>664320</v>
      </c>
      <c r="L462" s="72">
        <v>10326197</v>
      </c>
      <c r="M462" s="72">
        <v>0</v>
      </c>
      <c r="N462" s="72">
        <v>0</v>
      </c>
      <c r="O462" s="72">
        <v>0</v>
      </c>
      <c r="P462" s="72">
        <v>298</v>
      </c>
      <c r="Q462" s="72">
        <v>0</v>
      </c>
      <c r="R462" s="72">
        <v>298</v>
      </c>
      <c r="S462" s="72">
        <v>10326495</v>
      </c>
      <c r="T462" s="72">
        <v>6103838</v>
      </c>
      <c r="U462" s="72">
        <v>2466692</v>
      </c>
      <c r="V462" s="72">
        <v>1512546</v>
      </c>
      <c r="W462" s="72">
        <v>417838</v>
      </c>
      <c r="X462" s="72">
        <v>13175</v>
      </c>
      <c r="Y462" s="72">
        <v>0</v>
      </c>
      <c r="Z462" s="72">
        <v>0</v>
      </c>
      <c r="AA462" s="72">
        <v>0</v>
      </c>
      <c r="AB462" s="72">
        <v>0</v>
      </c>
      <c r="AC462" s="72">
        <v>0</v>
      </c>
      <c r="AD462" s="72">
        <v>0</v>
      </c>
      <c r="AE462" s="72">
        <v>0</v>
      </c>
      <c r="AF462" s="72">
        <v>0</v>
      </c>
      <c r="AG462" s="72">
        <v>191196</v>
      </c>
      <c r="AH462" s="72">
        <v>10705285</v>
      </c>
      <c r="AI462" s="72">
        <v>40000</v>
      </c>
      <c r="AJ462" s="72">
        <v>0</v>
      </c>
      <c r="AK462" s="72">
        <v>0</v>
      </c>
      <c r="AL462" s="72">
        <v>40000</v>
      </c>
      <c r="AM462" s="72">
        <v>10745285</v>
      </c>
      <c r="AN462" s="72">
        <v>-418790</v>
      </c>
      <c r="AO462" s="72">
        <v>1739015</v>
      </c>
      <c r="AP462" s="72">
        <v>1320225</v>
      </c>
      <c r="AQ462" s="72">
        <v>35000</v>
      </c>
      <c r="AR462" s="72">
        <v>0</v>
      </c>
      <c r="AS462" s="72">
        <v>0</v>
      </c>
      <c r="AT462" s="72">
        <v>0</v>
      </c>
      <c r="AU462" s="72">
        <v>0</v>
      </c>
      <c r="AV462" s="72">
        <v>0</v>
      </c>
      <c r="AW462" s="72">
        <v>0</v>
      </c>
      <c r="AX462" s="72">
        <v>0</v>
      </c>
      <c r="AY462" s="72">
        <v>0</v>
      </c>
      <c r="AZ462" s="72">
        <v>0</v>
      </c>
      <c r="BA462" s="72">
        <v>1285225</v>
      </c>
      <c r="BB462" s="72">
        <v>0</v>
      </c>
      <c r="BC462" s="72">
        <v>0</v>
      </c>
      <c r="BD462" s="72">
        <v>0</v>
      </c>
      <c r="BE462" s="72">
        <v>1285225</v>
      </c>
      <c r="BF462" s="72">
        <v>0</v>
      </c>
      <c r="BG462" s="72">
        <v>0</v>
      </c>
      <c r="BH462" s="72">
        <v>0</v>
      </c>
      <c r="BI462" s="72">
        <v>0</v>
      </c>
      <c r="BJ462" s="72">
        <v>1285225</v>
      </c>
      <c r="BK462" s="72">
        <v>107</v>
      </c>
      <c r="BL462" s="72">
        <v>1362</v>
      </c>
      <c r="BM462" s="72">
        <v>0</v>
      </c>
      <c r="BN462" s="72">
        <v>0</v>
      </c>
      <c r="BO462" s="72">
        <v>0</v>
      </c>
      <c r="BP462" s="72">
        <v>0</v>
      </c>
      <c r="BQ462" s="72">
        <v>0</v>
      </c>
      <c r="BR462" s="72">
        <v>0</v>
      </c>
      <c r="BS462" s="72">
        <v>10745285</v>
      </c>
    </row>
    <row r="463" spans="1:71" x14ac:dyDescent="0.2">
      <c r="A463" t="s">
        <v>523</v>
      </c>
      <c r="B463" t="s">
        <v>1227</v>
      </c>
      <c r="C463" t="s">
        <v>100</v>
      </c>
      <c r="D463" s="72">
        <v>11920</v>
      </c>
      <c r="E463" s="72">
        <v>2301</v>
      </c>
      <c r="F463" s="72">
        <v>0</v>
      </c>
      <c r="G463" s="72">
        <v>19672</v>
      </c>
      <c r="H463" s="72">
        <v>0</v>
      </c>
      <c r="I463" s="72">
        <v>0</v>
      </c>
      <c r="J463" s="72">
        <v>0</v>
      </c>
      <c r="K463" s="72">
        <v>1350</v>
      </c>
      <c r="L463" s="72">
        <v>35243</v>
      </c>
      <c r="M463" s="72">
        <v>0</v>
      </c>
      <c r="N463" s="72">
        <v>0</v>
      </c>
      <c r="O463" s="72">
        <v>0</v>
      </c>
      <c r="P463" s="72">
        <v>0</v>
      </c>
      <c r="Q463" s="72">
        <v>0</v>
      </c>
      <c r="R463" s="72">
        <v>0</v>
      </c>
      <c r="S463" s="72">
        <v>35243</v>
      </c>
      <c r="T463" s="72">
        <v>9000</v>
      </c>
      <c r="U463" s="72">
        <v>1760</v>
      </c>
      <c r="V463" s="72">
        <v>6000</v>
      </c>
      <c r="W463" s="72">
        <v>1000</v>
      </c>
      <c r="X463" s="72">
        <v>8200</v>
      </c>
      <c r="Y463" s="72">
        <v>0</v>
      </c>
      <c r="Z463" s="72">
        <v>0</v>
      </c>
      <c r="AA463" s="72">
        <v>0</v>
      </c>
      <c r="AB463" s="72">
        <v>0</v>
      </c>
      <c r="AC463" s="72">
        <v>0</v>
      </c>
      <c r="AD463" s="72">
        <v>0</v>
      </c>
      <c r="AE463" s="72">
        <v>0</v>
      </c>
      <c r="AF463" s="72">
        <v>0</v>
      </c>
      <c r="AG463" s="72">
        <v>3000</v>
      </c>
      <c r="AH463" s="72">
        <v>28960</v>
      </c>
      <c r="AI463" s="72">
        <v>0</v>
      </c>
      <c r="AJ463" s="72">
        <v>0</v>
      </c>
      <c r="AK463" s="72">
        <v>0</v>
      </c>
      <c r="AL463" s="72">
        <v>0</v>
      </c>
      <c r="AM463" s="72">
        <v>28960</v>
      </c>
      <c r="AN463" s="72">
        <v>6283</v>
      </c>
      <c r="AO463" s="72">
        <v>85332</v>
      </c>
      <c r="AP463" s="72">
        <v>91615</v>
      </c>
      <c r="AQ463" s="72">
        <v>0</v>
      </c>
      <c r="AR463" s="72">
        <v>0</v>
      </c>
      <c r="AS463" s="72">
        <v>0</v>
      </c>
      <c r="AT463" s="72">
        <v>0</v>
      </c>
      <c r="AU463" s="72">
        <v>0</v>
      </c>
      <c r="AV463" s="72">
        <v>0</v>
      </c>
      <c r="AW463" s="72">
        <v>0</v>
      </c>
      <c r="AX463" s="72">
        <v>0</v>
      </c>
      <c r="AY463" s="72">
        <v>0</v>
      </c>
      <c r="AZ463" s="72">
        <v>0</v>
      </c>
      <c r="BA463" s="72">
        <v>91615</v>
      </c>
      <c r="BB463" s="72">
        <v>0</v>
      </c>
      <c r="BC463" s="72">
        <v>0</v>
      </c>
      <c r="BD463" s="72">
        <v>0</v>
      </c>
      <c r="BE463" s="72">
        <v>91615</v>
      </c>
      <c r="BF463" s="72">
        <v>0</v>
      </c>
      <c r="BG463" s="72">
        <v>0</v>
      </c>
      <c r="BH463" s="72">
        <v>0</v>
      </c>
      <c r="BI463" s="72">
        <v>0</v>
      </c>
      <c r="BJ463" s="72">
        <v>91615</v>
      </c>
      <c r="BK463" s="72">
        <v>0</v>
      </c>
      <c r="BL463" s="72">
        <v>0</v>
      </c>
      <c r="BM463" s="72">
        <v>0</v>
      </c>
      <c r="BN463" s="72">
        <v>0</v>
      </c>
      <c r="BO463" s="72">
        <v>0</v>
      </c>
      <c r="BP463" s="72">
        <v>0</v>
      </c>
      <c r="BQ463" s="72">
        <v>0</v>
      </c>
      <c r="BR463" s="72">
        <v>0</v>
      </c>
      <c r="BS463" s="72">
        <v>91615</v>
      </c>
    </row>
    <row r="464" spans="1:71" x14ac:dyDescent="0.2">
      <c r="A464" t="s">
        <v>596</v>
      </c>
      <c r="B464" t="s">
        <v>1293</v>
      </c>
      <c r="C464" t="s">
        <v>100</v>
      </c>
      <c r="D464" s="72">
        <v>2182540</v>
      </c>
      <c r="E464" s="72">
        <v>0</v>
      </c>
      <c r="G464" s="72">
        <v>19800</v>
      </c>
      <c r="J464" s="72">
        <v>190750</v>
      </c>
      <c r="K464" s="72">
        <v>137860</v>
      </c>
      <c r="L464" s="72">
        <v>2530950</v>
      </c>
      <c r="O464" s="72">
        <v>0</v>
      </c>
      <c r="Q464" s="72">
        <v>1000</v>
      </c>
      <c r="R464" s="72">
        <v>1000</v>
      </c>
      <c r="S464" s="72">
        <v>2531950</v>
      </c>
      <c r="T464" s="72">
        <v>1383400</v>
      </c>
      <c r="U464" s="72">
        <v>505000</v>
      </c>
      <c r="V464" s="72">
        <v>279500</v>
      </c>
      <c r="W464" s="72">
        <v>174100</v>
      </c>
      <c r="X464" s="72">
        <v>42000</v>
      </c>
      <c r="AG464" s="72">
        <v>110435</v>
      </c>
      <c r="AH464" s="72">
        <v>2494435</v>
      </c>
      <c r="AI464" s="72">
        <v>31000</v>
      </c>
      <c r="AK464" s="72">
        <v>0</v>
      </c>
      <c r="AL464" s="72">
        <v>31000</v>
      </c>
      <c r="AM464" s="72">
        <v>2525435</v>
      </c>
      <c r="AN464" s="72">
        <v>6515</v>
      </c>
      <c r="AO464" s="72">
        <v>2262006</v>
      </c>
      <c r="AP464" s="72">
        <v>2268521</v>
      </c>
      <c r="AQ464" s="72">
        <v>25000</v>
      </c>
      <c r="AR464" s="72">
        <v>11000</v>
      </c>
      <c r="AS464" s="72">
        <v>11000</v>
      </c>
      <c r="AT464" s="72">
        <v>0</v>
      </c>
      <c r="AZ464" s="72">
        <v>22000</v>
      </c>
      <c r="BA464" s="72">
        <v>2221521</v>
      </c>
      <c r="BE464" s="72">
        <v>2221521</v>
      </c>
      <c r="BJ464" s="72">
        <v>2221521</v>
      </c>
      <c r="BK464" s="72">
        <v>6</v>
      </c>
      <c r="BL464" s="72">
        <v>62</v>
      </c>
      <c r="BS464" s="72">
        <v>2531950</v>
      </c>
    </row>
    <row r="465" spans="1:71" x14ac:dyDescent="0.2">
      <c r="A465" t="s">
        <v>126</v>
      </c>
      <c r="B465" t="s">
        <v>847</v>
      </c>
      <c r="C465" t="s">
        <v>110</v>
      </c>
      <c r="D465" s="72">
        <v>1165000</v>
      </c>
      <c r="E465" s="72">
        <v>8000</v>
      </c>
      <c r="F465" s="72">
        <v>1000000</v>
      </c>
      <c r="G465" s="72">
        <v>3551563</v>
      </c>
      <c r="H465" s="72">
        <v>600</v>
      </c>
      <c r="I465" s="72">
        <v>0</v>
      </c>
      <c r="J465" s="72">
        <v>180000</v>
      </c>
      <c r="K465" s="72">
        <v>361600</v>
      </c>
      <c r="L465" s="72">
        <v>6266763</v>
      </c>
      <c r="M465" s="72">
        <v>0</v>
      </c>
      <c r="N465" s="72">
        <v>0</v>
      </c>
      <c r="O465" s="72">
        <v>0</v>
      </c>
      <c r="P465" s="72">
        <v>0</v>
      </c>
      <c r="Q465" s="72">
        <v>25100</v>
      </c>
      <c r="R465" s="72">
        <v>25100</v>
      </c>
      <c r="S465" s="72">
        <v>6291863</v>
      </c>
      <c r="T465" s="72">
        <v>3224300</v>
      </c>
      <c r="U465" s="72">
        <v>1248850</v>
      </c>
      <c r="V465" s="72">
        <v>1225500</v>
      </c>
      <c r="W465" s="72">
        <v>232922</v>
      </c>
      <c r="X465" s="72">
        <v>126207</v>
      </c>
      <c r="Y465" s="72">
        <v>0</v>
      </c>
      <c r="Z465" s="72">
        <v>0</v>
      </c>
      <c r="AA465" s="72">
        <v>0</v>
      </c>
      <c r="AB465" s="72">
        <v>0</v>
      </c>
      <c r="AC465" s="72">
        <v>0</v>
      </c>
      <c r="AD465" s="72">
        <v>0</v>
      </c>
      <c r="AE465" s="72">
        <v>0</v>
      </c>
      <c r="AF465" s="72">
        <v>0</v>
      </c>
      <c r="AG465" s="72">
        <v>109645</v>
      </c>
      <c r="AH465" s="72">
        <v>6167424</v>
      </c>
      <c r="AI465" s="72">
        <v>0</v>
      </c>
      <c r="AJ465" s="72">
        <v>0</v>
      </c>
      <c r="AK465" s="72">
        <v>0</v>
      </c>
      <c r="AL465" s="72">
        <v>0</v>
      </c>
      <c r="AM465" s="72">
        <v>6167424</v>
      </c>
      <c r="AN465" s="72">
        <v>124439</v>
      </c>
      <c r="AO465" s="72">
        <v>2889430</v>
      </c>
      <c r="AP465" s="72">
        <v>3013869</v>
      </c>
      <c r="AQ465" s="72">
        <v>40000</v>
      </c>
      <c r="AR465" s="72">
        <v>0</v>
      </c>
      <c r="AS465" s="72">
        <v>0</v>
      </c>
      <c r="AT465" s="72">
        <v>0</v>
      </c>
      <c r="AU465" s="72">
        <v>0</v>
      </c>
      <c r="AV465" s="72">
        <v>0</v>
      </c>
      <c r="AW465" s="72">
        <v>0</v>
      </c>
      <c r="AX465" s="72">
        <v>0</v>
      </c>
      <c r="AY465" s="72">
        <v>0</v>
      </c>
      <c r="AZ465" s="72">
        <v>0</v>
      </c>
      <c r="BA465" s="72">
        <v>2973869</v>
      </c>
      <c r="BB465" s="72">
        <v>0</v>
      </c>
      <c r="BC465" s="72">
        <v>0</v>
      </c>
      <c r="BD465" s="72">
        <v>0</v>
      </c>
      <c r="BE465" s="72">
        <v>2973869</v>
      </c>
      <c r="BF465" s="72">
        <v>0</v>
      </c>
      <c r="BG465" s="72">
        <v>0</v>
      </c>
      <c r="BH465" s="72">
        <v>0</v>
      </c>
      <c r="BI465" s="72">
        <v>0</v>
      </c>
      <c r="BJ465" s="72">
        <v>2973869</v>
      </c>
      <c r="BK465" s="72">
        <v>0</v>
      </c>
      <c r="BL465" s="72">
        <v>0</v>
      </c>
      <c r="BM465" s="72">
        <v>0</v>
      </c>
      <c r="BN465" s="72">
        <v>0</v>
      </c>
      <c r="BO465" s="72">
        <v>0</v>
      </c>
      <c r="BP465" s="72">
        <v>0</v>
      </c>
      <c r="BQ465" s="72">
        <v>0</v>
      </c>
      <c r="BR465" s="72">
        <v>0</v>
      </c>
      <c r="BS465" s="72">
        <v>6291863</v>
      </c>
    </row>
    <row r="466" spans="1:71" x14ac:dyDescent="0.2">
      <c r="A466" t="s">
        <v>734</v>
      </c>
      <c r="B466" t="s">
        <v>1423</v>
      </c>
      <c r="C466" t="s">
        <v>110</v>
      </c>
      <c r="D466" s="72">
        <v>1775000</v>
      </c>
      <c r="E466" s="72">
        <v>700000</v>
      </c>
      <c r="F466" s="72">
        <v>1425000</v>
      </c>
      <c r="G466" s="72">
        <v>4425000</v>
      </c>
      <c r="H466" s="72">
        <v>30000</v>
      </c>
      <c r="I466" s="72">
        <v>0</v>
      </c>
      <c r="J466" s="72">
        <v>300000</v>
      </c>
      <c r="K466" s="72">
        <v>650000</v>
      </c>
      <c r="L466" s="72">
        <v>9305000</v>
      </c>
      <c r="M466" s="72">
        <v>0</v>
      </c>
      <c r="N466" s="72">
        <v>0</v>
      </c>
      <c r="O466" s="72">
        <v>25000</v>
      </c>
      <c r="P466" s="72">
        <v>50000</v>
      </c>
      <c r="Q466" s="72">
        <v>15000</v>
      </c>
      <c r="R466" s="72">
        <v>90000</v>
      </c>
      <c r="S466" s="72">
        <v>9395000</v>
      </c>
      <c r="T466" s="72">
        <v>4500000</v>
      </c>
      <c r="U466" s="72">
        <v>1540000</v>
      </c>
      <c r="V466" s="72">
        <v>2100000</v>
      </c>
      <c r="W466" s="72">
        <v>425000</v>
      </c>
      <c r="X466" s="72">
        <v>25000</v>
      </c>
      <c r="Y466" s="72">
        <v>0</v>
      </c>
      <c r="Z466" s="72">
        <v>0</v>
      </c>
      <c r="AA466" s="72">
        <v>0</v>
      </c>
      <c r="AB466" s="72">
        <v>0</v>
      </c>
      <c r="AC466" s="72">
        <v>0</v>
      </c>
      <c r="AD466" s="72">
        <v>0</v>
      </c>
      <c r="AE466" s="72">
        <v>0</v>
      </c>
      <c r="AF466" s="72">
        <v>0</v>
      </c>
      <c r="AG466" s="72">
        <v>425000</v>
      </c>
      <c r="AH466" s="72">
        <v>9015000</v>
      </c>
      <c r="AI466" s="72">
        <v>450000</v>
      </c>
      <c r="AJ466" s="72">
        <v>50000</v>
      </c>
      <c r="AK466" s="72">
        <v>0</v>
      </c>
      <c r="AL466" s="72">
        <v>500000</v>
      </c>
      <c r="AM466" s="72">
        <v>9515000</v>
      </c>
      <c r="AN466" s="72">
        <v>-120000</v>
      </c>
      <c r="AO466" s="72">
        <v>6006690</v>
      </c>
      <c r="AP466" s="72">
        <v>5886690</v>
      </c>
      <c r="AQ466" s="72">
        <v>65000</v>
      </c>
      <c r="AR466" s="72">
        <v>0</v>
      </c>
      <c r="AS466" s="72">
        <v>0</v>
      </c>
      <c r="AT466" s="72">
        <v>0</v>
      </c>
      <c r="AU466" s="72">
        <v>0</v>
      </c>
      <c r="AV466" s="72">
        <v>0</v>
      </c>
      <c r="AW466" s="72">
        <v>0</v>
      </c>
      <c r="AX466" s="72">
        <v>0</v>
      </c>
      <c r="AY466" s="72">
        <v>0</v>
      </c>
      <c r="AZ466" s="72">
        <v>0</v>
      </c>
      <c r="BA466" s="72">
        <v>5821690</v>
      </c>
      <c r="BB466" s="72">
        <v>0</v>
      </c>
      <c r="BC466" s="72">
        <v>0</v>
      </c>
      <c r="BD466" s="72">
        <v>0</v>
      </c>
      <c r="BE466" s="72">
        <v>5821690</v>
      </c>
      <c r="BF466" s="72">
        <v>0</v>
      </c>
      <c r="BG466" s="72">
        <v>0</v>
      </c>
      <c r="BH466" s="72">
        <v>0</v>
      </c>
      <c r="BI466" s="72">
        <v>0</v>
      </c>
      <c r="BJ466" s="72">
        <v>5821690</v>
      </c>
      <c r="BK466" s="72">
        <v>79</v>
      </c>
      <c r="BL466" s="72">
        <v>900</v>
      </c>
      <c r="BM466" s="72">
        <v>0</v>
      </c>
      <c r="BN466" s="72">
        <v>0</v>
      </c>
      <c r="BO466" s="72">
        <v>0</v>
      </c>
      <c r="BP466" s="72">
        <v>0</v>
      </c>
      <c r="BQ466" s="72">
        <v>0</v>
      </c>
      <c r="BR466" s="72">
        <v>0</v>
      </c>
      <c r="BS466" s="72">
        <v>9515000</v>
      </c>
    </row>
    <row r="467" spans="1:71" x14ac:dyDescent="0.2">
      <c r="A467" t="s">
        <v>534</v>
      </c>
      <c r="B467" t="s">
        <v>1237</v>
      </c>
      <c r="C467" t="s">
        <v>82</v>
      </c>
      <c r="D467" s="72">
        <v>5084918</v>
      </c>
      <c r="E467" s="72">
        <v>1451899</v>
      </c>
      <c r="F467" s="72">
        <v>0</v>
      </c>
      <c r="G467" s="72">
        <v>11552090</v>
      </c>
      <c r="H467" s="72">
        <v>269920</v>
      </c>
      <c r="I467" s="72">
        <v>0</v>
      </c>
      <c r="J467" s="72">
        <v>799793</v>
      </c>
      <c r="K467" s="72">
        <v>886099</v>
      </c>
      <c r="L467" s="72">
        <v>20044719</v>
      </c>
      <c r="M467" s="72">
        <v>0</v>
      </c>
      <c r="N467" s="72">
        <v>0</v>
      </c>
      <c r="O467" s="72">
        <v>0</v>
      </c>
      <c r="P467" s="72">
        <v>0</v>
      </c>
      <c r="Q467" s="72">
        <v>0</v>
      </c>
      <c r="R467" s="72">
        <v>0</v>
      </c>
      <c r="S467" s="72">
        <v>20044719</v>
      </c>
      <c r="T467" s="72">
        <v>10542024</v>
      </c>
      <c r="U467" s="72">
        <v>4749911</v>
      </c>
      <c r="V467" s="72">
        <v>3466028</v>
      </c>
      <c r="W467" s="72">
        <v>534995</v>
      </c>
      <c r="X467" s="72">
        <v>0</v>
      </c>
      <c r="Y467" s="72">
        <v>0</v>
      </c>
      <c r="Z467" s="72">
        <v>0</v>
      </c>
      <c r="AA467" s="72">
        <v>0</v>
      </c>
      <c r="AB467" s="72">
        <v>0</v>
      </c>
      <c r="AC467" s="72">
        <v>0</v>
      </c>
      <c r="AD467" s="72">
        <v>0</v>
      </c>
      <c r="AE467" s="72">
        <v>0</v>
      </c>
      <c r="AF467" s="72">
        <v>0</v>
      </c>
      <c r="AG467" s="72">
        <v>170782</v>
      </c>
      <c r="AH467" s="72">
        <v>19463740</v>
      </c>
      <c r="AI467" s="72">
        <v>0</v>
      </c>
      <c r="AJ467" s="72">
        <v>0</v>
      </c>
      <c r="AK467" s="72">
        <v>0</v>
      </c>
      <c r="AL467" s="72">
        <v>0</v>
      </c>
      <c r="AM467" s="72">
        <v>19463740</v>
      </c>
      <c r="AN467" s="72">
        <v>580979</v>
      </c>
      <c r="AO467" s="72">
        <v>63950</v>
      </c>
      <c r="AP467" s="72">
        <v>644929</v>
      </c>
      <c r="AQ467" s="72">
        <v>0</v>
      </c>
      <c r="AR467" s="72">
        <v>0</v>
      </c>
      <c r="AS467" s="72">
        <v>0</v>
      </c>
      <c r="AT467" s="72">
        <v>0</v>
      </c>
      <c r="AU467" s="72">
        <v>0</v>
      </c>
      <c r="AV467" s="72">
        <v>0</v>
      </c>
      <c r="AW467" s="72">
        <v>0</v>
      </c>
      <c r="AX467" s="72">
        <v>0</v>
      </c>
      <c r="AY467" s="72">
        <v>0</v>
      </c>
      <c r="AZ467" s="72">
        <v>0</v>
      </c>
      <c r="BA467" s="72">
        <v>644929</v>
      </c>
      <c r="BB467" s="72">
        <v>0</v>
      </c>
      <c r="BC467" s="72">
        <v>0</v>
      </c>
      <c r="BD467" s="72">
        <v>0</v>
      </c>
      <c r="BE467" s="72">
        <v>644929</v>
      </c>
      <c r="BF467" s="72">
        <v>0</v>
      </c>
      <c r="BG467" s="72">
        <v>0</v>
      </c>
      <c r="BH467" s="72">
        <v>0</v>
      </c>
      <c r="BI467" s="72">
        <v>0</v>
      </c>
      <c r="BJ467" s="72">
        <v>644929</v>
      </c>
      <c r="BM467" s="72">
        <v>0</v>
      </c>
      <c r="BN467" s="72">
        <v>0</v>
      </c>
      <c r="BO467" s="72">
        <v>0</v>
      </c>
      <c r="BP467" s="72">
        <v>0</v>
      </c>
      <c r="BQ467" s="72">
        <v>0</v>
      </c>
      <c r="BR467" s="72">
        <v>0</v>
      </c>
      <c r="BS467" s="72">
        <v>20044719</v>
      </c>
    </row>
    <row r="468" spans="1:71" x14ac:dyDescent="0.2">
      <c r="A468" t="s">
        <v>644</v>
      </c>
      <c r="B468" t="s">
        <v>1127</v>
      </c>
      <c r="C468" t="s">
        <v>82</v>
      </c>
      <c r="D468" s="72">
        <v>775788</v>
      </c>
      <c r="E468" s="72">
        <v>102160</v>
      </c>
      <c r="F468" s="72">
        <v>0</v>
      </c>
      <c r="G468" s="72">
        <v>6495787</v>
      </c>
      <c r="H468" s="72">
        <v>73625</v>
      </c>
      <c r="I468" s="72">
        <v>0</v>
      </c>
      <c r="J468" s="72">
        <v>190398</v>
      </c>
      <c r="K468" s="72">
        <v>299222</v>
      </c>
      <c r="L468" s="72">
        <v>7936980</v>
      </c>
      <c r="M468" s="72">
        <v>0</v>
      </c>
      <c r="N468" s="72">
        <v>0</v>
      </c>
      <c r="O468" s="72">
        <v>0</v>
      </c>
      <c r="P468" s="72">
        <v>10658</v>
      </c>
      <c r="Q468" s="72">
        <v>0</v>
      </c>
      <c r="R468" s="72">
        <v>10658</v>
      </c>
      <c r="S468" s="72">
        <v>7947638</v>
      </c>
      <c r="T468" s="72">
        <v>3589135</v>
      </c>
      <c r="U468" s="72">
        <v>1999649</v>
      </c>
      <c r="V468" s="72">
        <v>1187945</v>
      </c>
      <c r="W468" s="72">
        <v>225960</v>
      </c>
      <c r="X468" s="72">
        <v>105153</v>
      </c>
      <c r="Y468" s="72">
        <v>0</v>
      </c>
      <c r="Z468" s="72">
        <v>0</v>
      </c>
      <c r="AA468" s="72">
        <v>0</v>
      </c>
      <c r="AB468" s="72">
        <v>0</v>
      </c>
      <c r="AC468" s="72">
        <v>0</v>
      </c>
      <c r="AD468" s="72">
        <v>54982</v>
      </c>
      <c r="AE468" s="72">
        <v>0</v>
      </c>
      <c r="AF468" s="72">
        <v>44019</v>
      </c>
      <c r="AG468" s="72">
        <v>494562</v>
      </c>
      <c r="AH468" s="72">
        <v>7701405</v>
      </c>
      <c r="AI468" s="72">
        <v>45000</v>
      </c>
      <c r="AJ468" s="72">
        <v>0</v>
      </c>
      <c r="AK468" s="72">
        <v>0</v>
      </c>
      <c r="AL468" s="72">
        <v>45000</v>
      </c>
      <c r="AM468" s="72">
        <v>7746405</v>
      </c>
      <c r="AN468" s="72">
        <v>201233</v>
      </c>
      <c r="AO468" s="72">
        <v>478102</v>
      </c>
      <c r="AP468" s="72">
        <v>679335</v>
      </c>
      <c r="AQ468" s="72">
        <v>75000</v>
      </c>
      <c r="AR468" s="72">
        <v>0</v>
      </c>
      <c r="AS468" s="72">
        <v>0</v>
      </c>
      <c r="AT468" s="72">
        <v>0</v>
      </c>
      <c r="AU468" s="72">
        <v>0</v>
      </c>
      <c r="AV468" s="72">
        <v>0</v>
      </c>
      <c r="AW468" s="72">
        <v>0</v>
      </c>
      <c r="AX468" s="72">
        <v>0</v>
      </c>
      <c r="AY468" s="72">
        <v>0</v>
      </c>
      <c r="AZ468" s="72">
        <v>0</v>
      </c>
      <c r="BA468" s="72">
        <v>604335</v>
      </c>
      <c r="BB468" s="72">
        <v>0</v>
      </c>
      <c r="BC468" s="72">
        <v>0</v>
      </c>
      <c r="BD468" s="72">
        <v>0</v>
      </c>
      <c r="BE468" s="72">
        <v>604335</v>
      </c>
      <c r="BF468" s="72">
        <v>0</v>
      </c>
      <c r="BG468" s="72">
        <v>0</v>
      </c>
      <c r="BH468" s="72">
        <v>0</v>
      </c>
      <c r="BI468" s="72">
        <v>0</v>
      </c>
      <c r="BJ468" s="72">
        <v>604335</v>
      </c>
      <c r="BM468" s="72">
        <v>0</v>
      </c>
      <c r="BN468" s="72">
        <v>0</v>
      </c>
      <c r="BO468" s="72">
        <v>0</v>
      </c>
      <c r="BP468" s="72">
        <v>0</v>
      </c>
      <c r="BQ468" s="72">
        <v>0</v>
      </c>
      <c r="BR468" s="72">
        <v>0</v>
      </c>
      <c r="BS468" s="72">
        <v>7947638</v>
      </c>
    </row>
    <row r="469" spans="1:71" x14ac:dyDescent="0.2">
      <c r="A469" t="s">
        <v>429</v>
      </c>
      <c r="B469" t="s">
        <v>1137</v>
      </c>
      <c r="C469" t="s">
        <v>75</v>
      </c>
      <c r="D469" s="72">
        <v>5827388</v>
      </c>
      <c r="E469" s="72">
        <v>683813</v>
      </c>
      <c r="F469" s="72">
        <v>2221517</v>
      </c>
      <c r="G469" s="72">
        <v>7494010</v>
      </c>
      <c r="H469" s="72">
        <v>6114</v>
      </c>
      <c r="I469" s="72">
        <v>0</v>
      </c>
      <c r="J469" s="72">
        <v>1529448</v>
      </c>
      <c r="K469" s="72">
        <v>872000</v>
      </c>
      <c r="L469" s="72">
        <v>18634290</v>
      </c>
      <c r="M469" s="72">
        <v>0</v>
      </c>
      <c r="N469" s="72">
        <v>0</v>
      </c>
      <c r="O469" s="72">
        <v>0</v>
      </c>
      <c r="P469" s="72">
        <v>0</v>
      </c>
      <c r="Q469" s="72">
        <v>49650</v>
      </c>
      <c r="R469" s="72">
        <v>49650</v>
      </c>
      <c r="S469" s="72">
        <v>18683940</v>
      </c>
      <c r="T469" s="72">
        <v>9836367</v>
      </c>
      <c r="U469" s="72">
        <v>4334420</v>
      </c>
      <c r="V469" s="72">
        <v>3010414</v>
      </c>
      <c r="W469" s="72">
        <v>684500</v>
      </c>
      <c r="X469" s="72">
        <v>89000</v>
      </c>
      <c r="Y469" s="72">
        <v>0</v>
      </c>
      <c r="Z469" s="72">
        <v>0</v>
      </c>
      <c r="AA469" s="72">
        <v>0</v>
      </c>
      <c r="AB469" s="72">
        <v>0</v>
      </c>
      <c r="AC469" s="72">
        <v>0</v>
      </c>
      <c r="AD469" s="72">
        <v>0</v>
      </c>
      <c r="AE469" s="72">
        <v>0</v>
      </c>
      <c r="AF469" s="72">
        <v>0</v>
      </c>
      <c r="AG469" s="72">
        <v>492500</v>
      </c>
      <c r="AH469" s="72">
        <v>18447201</v>
      </c>
      <c r="AI469" s="72">
        <v>0</v>
      </c>
      <c r="AJ469" s="72">
        <v>0</v>
      </c>
      <c r="AK469" s="72">
        <v>0</v>
      </c>
      <c r="AL469" s="72">
        <v>0</v>
      </c>
      <c r="AM469" s="72">
        <v>18447201</v>
      </c>
      <c r="AN469" s="72">
        <v>236739</v>
      </c>
      <c r="AO469" s="72">
        <v>5781099</v>
      </c>
      <c r="AP469" s="72">
        <v>6017838</v>
      </c>
      <c r="AQ469" s="72">
        <v>30000</v>
      </c>
      <c r="AR469" s="72">
        <v>0</v>
      </c>
      <c r="AS469" s="72">
        <v>0</v>
      </c>
      <c r="AT469" s="72">
        <v>170623</v>
      </c>
      <c r="AU469" s="72">
        <v>0</v>
      </c>
      <c r="AV469" s="72">
        <v>0</v>
      </c>
      <c r="AW469" s="72">
        <v>0</v>
      </c>
      <c r="AX469" s="72">
        <v>0</v>
      </c>
      <c r="AY469" s="72">
        <v>0</v>
      </c>
      <c r="AZ469" s="72">
        <v>170623</v>
      </c>
      <c r="BA469" s="72">
        <v>5817215</v>
      </c>
      <c r="BB469" s="72">
        <v>0</v>
      </c>
      <c r="BC469" s="72">
        <v>0</v>
      </c>
      <c r="BD469" s="72">
        <v>0</v>
      </c>
      <c r="BE469" s="72">
        <v>5817215</v>
      </c>
      <c r="BF469" s="72">
        <v>0</v>
      </c>
      <c r="BG469" s="72">
        <v>0</v>
      </c>
      <c r="BH469" s="72">
        <v>0</v>
      </c>
      <c r="BI469" s="72">
        <v>0</v>
      </c>
      <c r="BJ469" s="72">
        <v>5817215</v>
      </c>
      <c r="BK469" s="72">
        <v>0</v>
      </c>
      <c r="BL469" s="72">
        <v>0</v>
      </c>
      <c r="BM469" s="72">
        <v>0</v>
      </c>
      <c r="BN469" s="72">
        <v>0</v>
      </c>
      <c r="BO469" s="72">
        <v>0</v>
      </c>
      <c r="BP469" s="72">
        <v>0</v>
      </c>
      <c r="BQ469" s="72">
        <v>0</v>
      </c>
      <c r="BR469" s="72">
        <v>0</v>
      </c>
      <c r="BS469" s="72">
        <v>18683940</v>
      </c>
    </row>
    <row r="470" spans="1:71" x14ac:dyDescent="0.2">
      <c r="A470" t="s">
        <v>675</v>
      </c>
      <c r="B470" t="s">
        <v>1365</v>
      </c>
      <c r="C470" t="s">
        <v>75</v>
      </c>
      <c r="D470" s="72">
        <v>7164281</v>
      </c>
      <c r="E470" s="72">
        <v>1152555</v>
      </c>
      <c r="F470" s="72">
        <v>4995224</v>
      </c>
      <c r="G470" s="72">
        <v>16235764</v>
      </c>
      <c r="H470" s="72">
        <v>255103</v>
      </c>
      <c r="I470" s="72">
        <v>0</v>
      </c>
      <c r="J470" s="72">
        <v>988991</v>
      </c>
      <c r="K470" s="72">
        <v>1205636</v>
      </c>
      <c r="L470" s="72">
        <v>31997554</v>
      </c>
      <c r="M470" s="72">
        <v>0</v>
      </c>
      <c r="N470" s="72">
        <v>0</v>
      </c>
      <c r="O470" s="72">
        <v>0</v>
      </c>
      <c r="P470" s="72">
        <v>0</v>
      </c>
      <c r="Q470" s="72">
        <v>95426</v>
      </c>
      <c r="R470" s="72">
        <v>95426</v>
      </c>
      <c r="S470" s="72">
        <v>32092980</v>
      </c>
      <c r="T470" s="72">
        <v>18433506</v>
      </c>
      <c r="U470" s="72">
        <v>6778705</v>
      </c>
      <c r="V470" s="72">
        <v>3536306</v>
      </c>
      <c r="W470" s="72">
        <v>984310</v>
      </c>
      <c r="X470" s="72">
        <v>0</v>
      </c>
      <c r="Y470" s="72">
        <v>0</v>
      </c>
      <c r="Z470" s="72">
        <v>0</v>
      </c>
      <c r="AA470" s="72">
        <v>0</v>
      </c>
      <c r="AB470" s="72">
        <v>0</v>
      </c>
      <c r="AC470" s="72">
        <v>0</v>
      </c>
      <c r="AD470" s="72">
        <v>0</v>
      </c>
      <c r="AE470" s="72">
        <v>0</v>
      </c>
      <c r="AF470" s="72">
        <v>0</v>
      </c>
      <c r="AG470" s="72">
        <v>1420571</v>
      </c>
      <c r="AH470" s="72">
        <v>31153398</v>
      </c>
      <c r="AI470" s="72">
        <v>0</v>
      </c>
      <c r="AJ470" s="72">
        <v>0</v>
      </c>
      <c r="AK470" s="72">
        <v>15000</v>
      </c>
      <c r="AL470" s="72">
        <v>15000</v>
      </c>
      <c r="AM470" s="72">
        <v>31168398</v>
      </c>
      <c r="AN470" s="72">
        <v>924582</v>
      </c>
      <c r="AO470" s="72">
        <v>3639810</v>
      </c>
      <c r="AP470" s="72">
        <v>4564392</v>
      </c>
      <c r="AQ470" s="72">
        <v>400000</v>
      </c>
      <c r="AR470" s="72">
        <v>0</v>
      </c>
      <c r="AS470" s="72">
        <v>0</v>
      </c>
      <c r="AT470" s="72">
        <v>0</v>
      </c>
      <c r="AU470" s="72">
        <v>0</v>
      </c>
      <c r="AV470" s="72">
        <v>0</v>
      </c>
      <c r="AW470" s="72">
        <v>0</v>
      </c>
      <c r="AX470" s="72">
        <v>0</v>
      </c>
      <c r="AY470" s="72">
        <v>0</v>
      </c>
      <c r="AZ470" s="72">
        <v>0</v>
      </c>
      <c r="BA470" s="72">
        <v>4164392</v>
      </c>
      <c r="BB470" s="72">
        <v>0</v>
      </c>
      <c r="BC470" s="72">
        <v>0</v>
      </c>
      <c r="BD470" s="72">
        <v>0</v>
      </c>
      <c r="BE470" s="72">
        <v>4164392</v>
      </c>
      <c r="BF470" s="72">
        <v>0</v>
      </c>
      <c r="BG470" s="72">
        <v>0</v>
      </c>
      <c r="BH470" s="72">
        <v>0</v>
      </c>
      <c r="BI470" s="72">
        <v>0</v>
      </c>
      <c r="BJ470" s="72">
        <v>4164392</v>
      </c>
      <c r="BM470" s="72">
        <v>0</v>
      </c>
      <c r="BN470" s="72">
        <v>0</v>
      </c>
      <c r="BO470" s="72">
        <v>0</v>
      </c>
      <c r="BP470" s="72">
        <v>0</v>
      </c>
      <c r="BQ470" s="72">
        <v>0</v>
      </c>
      <c r="BR470" s="72">
        <v>0</v>
      </c>
      <c r="BS470" s="72">
        <v>32092980</v>
      </c>
    </row>
    <row r="471" spans="1:71" x14ac:dyDescent="0.2">
      <c r="A471" t="s">
        <v>752</v>
      </c>
      <c r="B471" t="s">
        <v>1440</v>
      </c>
      <c r="C471" t="s">
        <v>75</v>
      </c>
      <c r="D471" s="72">
        <v>3412761</v>
      </c>
      <c r="E471" s="72">
        <v>2651590</v>
      </c>
      <c r="F471" s="72">
        <v>0</v>
      </c>
      <c r="G471" s="72">
        <v>0</v>
      </c>
      <c r="H471" s="72">
        <v>7415159</v>
      </c>
      <c r="I471" s="72">
        <v>0</v>
      </c>
      <c r="J471" s="72">
        <v>493661</v>
      </c>
      <c r="K471" s="72">
        <v>984734</v>
      </c>
      <c r="L471" s="72">
        <v>14957905</v>
      </c>
      <c r="M471" s="72">
        <v>0</v>
      </c>
      <c r="N471" s="72">
        <v>0</v>
      </c>
      <c r="O471" s="72">
        <v>0</v>
      </c>
      <c r="P471" s="72">
        <v>0</v>
      </c>
      <c r="Q471" s="72">
        <v>0</v>
      </c>
      <c r="R471" s="72">
        <v>0</v>
      </c>
      <c r="S471" s="72">
        <v>14957905</v>
      </c>
      <c r="T471" s="72">
        <v>7411870</v>
      </c>
      <c r="U471" s="72">
        <v>3150405</v>
      </c>
      <c r="V471" s="72">
        <v>1987659</v>
      </c>
      <c r="W471" s="72">
        <v>630157</v>
      </c>
      <c r="X471" s="72">
        <v>42612</v>
      </c>
      <c r="Y471" s="72">
        <v>0</v>
      </c>
      <c r="Z471" s="72">
        <v>0</v>
      </c>
      <c r="AA471" s="72">
        <v>0</v>
      </c>
      <c r="AB471" s="72">
        <v>0</v>
      </c>
      <c r="AC471" s="72">
        <v>0</v>
      </c>
      <c r="AD471" s="72">
        <v>0</v>
      </c>
      <c r="AE471" s="72">
        <v>0</v>
      </c>
      <c r="AF471" s="72">
        <v>0</v>
      </c>
      <c r="AG471" s="72">
        <v>821983</v>
      </c>
      <c r="AH471" s="72">
        <v>14044687</v>
      </c>
      <c r="AI471" s="72">
        <v>58717</v>
      </c>
      <c r="AJ471" s="72">
        <v>0</v>
      </c>
      <c r="AK471" s="72">
        <v>0</v>
      </c>
      <c r="AL471" s="72">
        <v>58717</v>
      </c>
      <c r="AM471" s="72">
        <v>14103404</v>
      </c>
      <c r="AN471" s="72">
        <v>854501</v>
      </c>
      <c r="AO471" s="72">
        <v>7515463</v>
      </c>
      <c r="AP471" s="72">
        <v>8369964</v>
      </c>
      <c r="AQ471" s="72">
        <v>94624</v>
      </c>
      <c r="AR471" s="72">
        <v>0</v>
      </c>
      <c r="AS471" s="72">
        <v>0</v>
      </c>
      <c r="AT471" s="72">
        <v>0</v>
      </c>
      <c r="AU471" s="72">
        <v>0</v>
      </c>
      <c r="AV471" s="72">
        <v>0</v>
      </c>
      <c r="AW471" s="72">
        <v>0</v>
      </c>
      <c r="AX471" s="72">
        <v>0</v>
      </c>
      <c r="AY471" s="72">
        <v>0</v>
      </c>
      <c r="AZ471" s="72">
        <v>0</v>
      </c>
      <c r="BA471" s="72">
        <v>8275340</v>
      </c>
      <c r="BB471" s="72">
        <v>0</v>
      </c>
      <c r="BC471" s="72">
        <v>0</v>
      </c>
      <c r="BD471" s="72">
        <v>0</v>
      </c>
      <c r="BE471" s="72">
        <v>8275340</v>
      </c>
      <c r="BF471" s="72">
        <v>0</v>
      </c>
      <c r="BG471" s="72">
        <v>0</v>
      </c>
      <c r="BH471" s="72">
        <v>0</v>
      </c>
      <c r="BI471" s="72">
        <v>0</v>
      </c>
      <c r="BJ471" s="72">
        <v>8275340</v>
      </c>
      <c r="BK471" s="72">
        <v>240</v>
      </c>
      <c r="BL471" s="72">
        <v>1365</v>
      </c>
      <c r="BM471" s="72">
        <v>0</v>
      </c>
      <c r="BN471" s="72">
        <v>0</v>
      </c>
      <c r="BO471" s="72">
        <v>0</v>
      </c>
      <c r="BP471" s="72">
        <v>0</v>
      </c>
      <c r="BQ471" s="72">
        <v>0</v>
      </c>
      <c r="BR471" s="72">
        <v>0</v>
      </c>
      <c r="BS471" s="72">
        <v>14957905</v>
      </c>
    </row>
    <row r="472" spans="1:71" x14ac:dyDescent="0.2">
      <c r="A472" t="s">
        <v>281</v>
      </c>
      <c r="B472" t="s">
        <v>996</v>
      </c>
      <c r="C472" t="s">
        <v>52</v>
      </c>
      <c r="D472" s="72">
        <v>835300</v>
      </c>
      <c r="E472" s="72">
        <v>108556</v>
      </c>
      <c r="F472" s="72">
        <v>0</v>
      </c>
      <c r="G472" s="72">
        <v>6362482</v>
      </c>
      <c r="H472" s="72">
        <v>5423</v>
      </c>
      <c r="I472" s="72">
        <v>0</v>
      </c>
      <c r="J472" s="72">
        <v>179727</v>
      </c>
      <c r="K472" s="72">
        <v>809118</v>
      </c>
      <c r="L472" s="72">
        <v>8300606</v>
      </c>
      <c r="M472" s="72">
        <v>0</v>
      </c>
      <c r="N472" s="72">
        <v>0</v>
      </c>
      <c r="O472" s="72">
        <v>5</v>
      </c>
      <c r="P472" s="72">
        <v>0</v>
      </c>
      <c r="Q472" s="72">
        <v>0</v>
      </c>
      <c r="R472" s="72">
        <v>5</v>
      </c>
      <c r="S472" s="72">
        <v>8300611</v>
      </c>
      <c r="T472" s="72">
        <v>3788843</v>
      </c>
      <c r="U472" s="72">
        <v>1749403</v>
      </c>
      <c r="V472" s="72">
        <v>2139454</v>
      </c>
      <c r="W472" s="72">
        <v>220500</v>
      </c>
      <c r="X472" s="72">
        <v>142726</v>
      </c>
      <c r="Y472" s="72">
        <v>0</v>
      </c>
      <c r="Z472" s="72">
        <v>0</v>
      </c>
      <c r="AA472" s="72">
        <v>0</v>
      </c>
      <c r="AB472" s="72">
        <v>0</v>
      </c>
      <c r="AC472" s="72">
        <v>0</v>
      </c>
      <c r="AD472" s="72">
        <v>23242</v>
      </c>
      <c r="AE472" s="72">
        <v>0</v>
      </c>
      <c r="AF472" s="72">
        <v>10873</v>
      </c>
      <c r="AG472" s="72">
        <v>71537</v>
      </c>
      <c r="AH472" s="72">
        <v>8146578</v>
      </c>
      <c r="AI472" s="72">
        <v>0</v>
      </c>
      <c r="AJ472" s="72">
        <v>0</v>
      </c>
      <c r="AK472" s="72">
        <v>150000</v>
      </c>
      <c r="AL472" s="72">
        <v>150000</v>
      </c>
      <c r="AM472" s="72">
        <v>8296578</v>
      </c>
      <c r="AN472" s="72">
        <v>4033</v>
      </c>
      <c r="AO472" s="72">
        <v>1820096</v>
      </c>
      <c r="AP472" s="72">
        <v>1824129</v>
      </c>
      <c r="AQ472" s="72">
        <v>30000</v>
      </c>
      <c r="AR472" s="72">
        <v>0</v>
      </c>
      <c r="AS472" s="72">
        <v>125000</v>
      </c>
      <c r="AT472" s="72">
        <v>0</v>
      </c>
      <c r="AU472" s="72">
        <v>0</v>
      </c>
      <c r="AV472" s="72">
        <v>0</v>
      </c>
      <c r="AW472" s="72">
        <v>0</v>
      </c>
      <c r="AX472" s="72">
        <v>0</v>
      </c>
      <c r="AY472" s="72">
        <v>0</v>
      </c>
      <c r="AZ472" s="72">
        <v>125000</v>
      </c>
      <c r="BA472" s="72">
        <v>1669129</v>
      </c>
      <c r="BB472" s="72">
        <v>0</v>
      </c>
      <c r="BC472" s="72">
        <v>0</v>
      </c>
      <c r="BD472" s="72">
        <v>0</v>
      </c>
      <c r="BE472" s="72">
        <v>1669129</v>
      </c>
      <c r="BF472" s="72">
        <v>0</v>
      </c>
      <c r="BG472" s="72">
        <v>0</v>
      </c>
      <c r="BH472" s="72">
        <v>0</v>
      </c>
      <c r="BI472" s="72">
        <v>0</v>
      </c>
      <c r="BJ472" s="72">
        <v>1669129</v>
      </c>
      <c r="BM472" s="72">
        <v>0</v>
      </c>
      <c r="BN472" s="72">
        <v>0</v>
      </c>
      <c r="BO472" s="72">
        <v>0</v>
      </c>
      <c r="BP472" s="72">
        <v>0</v>
      </c>
      <c r="BQ472" s="72">
        <v>0</v>
      </c>
      <c r="BR472" s="72">
        <v>0</v>
      </c>
      <c r="BS472" s="72">
        <v>8300611</v>
      </c>
    </row>
    <row r="473" spans="1:71" x14ac:dyDescent="0.2">
      <c r="A473" t="s">
        <v>623</v>
      </c>
      <c r="B473" t="s">
        <v>1319</v>
      </c>
      <c r="C473" t="s">
        <v>52</v>
      </c>
      <c r="D473" s="72">
        <v>1651323</v>
      </c>
      <c r="E473" s="72">
        <v>461306</v>
      </c>
      <c r="F473" s="72">
        <v>0</v>
      </c>
      <c r="G473" s="72">
        <v>10832418</v>
      </c>
      <c r="H473" s="72">
        <v>2670</v>
      </c>
      <c r="I473" s="72">
        <v>0</v>
      </c>
      <c r="J473" s="72">
        <v>731787</v>
      </c>
      <c r="K473" s="72">
        <v>772912</v>
      </c>
      <c r="L473" s="72">
        <v>14452416</v>
      </c>
      <c r="M473" s="72">
        <v>0</v>
      </c>
      <c r="N473" s="72">
        <v>0</v>
      </c>
      <c r="O473" s="72">
        <v>0</v>
      </c>
      <c r="P473" s="72">
        <v>0</v>
      </c>
      <c r="Q473" s="72">
        <v>50000</v>
      </c>
      <c r="R473" s="72">
        <v>50000</v>
      </c>
      <c r="S473" s="72">
        <v>14502416</v>
      </c>
      <c r="T473" s="72">
        <v>6774859</v>
      </c>
      <c r="U473" s="72">
        <v>3103582</v>
      </c>
      <c r="V473" s="72">
        <v>2622945</v>
      </c>
      <c r="W473" s="72">
        <v>596905</v>
      </c>
      <c r="X473" s="72">
        <v>164735</v>
      </c>
      <c r="Y473" s="72">
        <v>0</v>
      </c>
      <c r="Z473" s="72">
        <v>0</v>
      </c>
      <c r="AA473" s="72">
        <v>60717</v>
      </c>
      <c r="AB473" s="72">
        <v>0</v>
      </c>
      <c r="AC473" s="72">
        <v>0</v>
      </c>
      <c r="AD473" s="72">
        <v>0</v>
      </c>
      <c r="AE473" s="72">
        <v>0</v>
      </c>
      <c r="AF473" s="72">
        <v>18375</v>
      </c>
      <c r="AG473" s="72">
        <v>157669</v>
      </c>
      <c r="AH473" s="72">
        <v>13499787</v>
      </c>
      <c r="AI473" s="72">
        <v>200000</v>
      </c>
      <c r="AJ473" s="72">
        <v>0</v>
      </c>
      <c r="AK473" s="72">
        <v>0</v>
      </c>
      <c r="AL473" s="72">
        <v>200000</v>
      </c>
      <c r="AM473" s="72">
        <v>13699787</v>
      </c>
      <c r="AN473" s="72">
        <v>802629</v>
      </c>
      <c r="AO473" s="72">
        <v>6604495</v>
      </c>
      <c r="AP473" s="72">
        <v>7407124</v>
      </c>
      <c r="AQ473" s="72">
        <v>200000</v>
      </c>
      <c r="AR473" s="72">
        <v>0</v>
      </c>
      <c r="AS473" s="72">
        <v>0</v>
      </c>
      <c r="AT473" s="72">
        <v>0</v>
      </c>
      <c r="AU473" s="72">
        <v>0</v>
      </c>
      <c r="AV473" s="72">
        <v>0</v>
      </c>
      <c r="AW473" s="72">
        <v>0</v>
      </c>
      <c r="AX473" s="72">
        <v>0</v>
      </c>
      <c r="AY473" s="72">
        <v>0</v>
      </c>
      <c r="AZ473" s="72">
        <v>0</v>
      </c>
      <c r="BA473" s="72">
        <v>7207124</v>
      </c>
      <c r="BB473" s="72">
        <v>0</v>
      </c>
      <c r="BC473" s="72">
        <v>0</v>
      </c>
      <c r="BD473" s="72">
        <v>0</v>
      </c>
      <c r="BE473" s="72">
        <v>7207124</v>
      </c>
      <c r="BF473" s="72">
        <v>0</v>
      </c>
      <c r="BG473" s="72">
        <v>0</v>
      </c>
      <c r="BH473" s="72">
        <v>0</v>
      </c>
      <c r="BI473" s="72">
        <v>0</v>
      </c>
      <c r="BJ473" s="72">
        <v>7207124</v>
      </c>
      <c r="BM473" s="72">
        <v>0</v>
      </c>
      <c r="BN473" s="72">
        <v>0</v>
      </c>
      <c r="BO473" s="72">
        <v>0</v>
      </c>
      <c r="BP473" s="72">
        <v>0</v>
      </c>
      <c r="BQ473" s="72">
        <v>0</v>
      </c>
      <c r="BR473" s="72">
        <v>0</v>
      </c>
      <c r="BS473" s="72">
        <v>14502416</v>
      </c>
    </row>
    <row r="474" spans="1:71" x14ac:dyDescent="0.2">
      <c r="A474" t="s">
        <v>731</v>
      </c>
      <c r="B474" t="s">
        <v>1421</v>
      </c>
      <c r="C474" t="s">
        <v>52</v>
      </c>
      <c r="D474" s="72">
        <v>2787647</v>
      </c>
      <c r="E474" s="72">
        <v>346816</v>
      </c>
      <c r="F474" s="72">
        <v>0</v>
      </c>
      <c r="G474" s="72">
        <v>11108668</v>
      </c>
      <c r="H474" s="72">
        <v>34513</v>
      </c>
      <c r="I474" s="72">
        <v>0</v>
      </c>
      <c r="J474" s="72">
        <v>552000</v>
      </c>
      <c r="K474" s="72">
        <v>785245</v>
      </c>
      <c r="L474" s="72">
        <v>15614889</v>
      </c>
      <c r="M474" s="72">
        <v>0</v>
      </c>
      <c r="N474" s="72">
        <v>0</v>
      </c>
      <c r="O474" s="72">
        <v>0</v>
      </c>
      <c r="P474" s="72">
        <v>43467</v>
      </c>
      <c r="Q474" s="72">
        <v>97751</v>
      </c>
      <c r="R474" s="72">
        <v>141218</v>
      </c>
      <c r="S474" s="72">
        <v>15756107</v>
      </c>
      <c r="T474" s="72">
        <v>7924105</v>
      </c>
      <c r="U474" s="72">
        <v>3198846</v>
      </c>
      <c r="V474" s="72">
        <v>2869712</v>
      </c>
      <c r="W474" s="72">
        <v>513769</v>
      </c>
      <c r="X474" s="72">
        <v>336451</v>
      </c>
      <c r="Y474" s="72">
        <v>0</v>
      </c>
      <c r="Z474" s="72">
        <v>0</v>
      </c>
      <c r="AA474" s="72">
        <v>0</v>
      </c>
      <c r="AB474" s="72">
        <v>270926</v>
      </c>
      <c r="AC474" s="72">
        <v>0</v>
      </c>
      <c r="AD474" s="72">
        <v>0</v>
      </c>
      <c r="AE474" s="72">
        <v>73932</v>
      </c>
      <c r="AF474" s="72">
        <v>57090</v>
      </c>
      <c r="AG474" s="72">
        <v>200614</v>
      </c>
      <c r="AH474" s="72">
        <v>15445445</v>
      </c>
      <c r="AI474" s="72">
        <v>100000</v>
      </c>
      <c r="AJ474" s="72">
        <v>0</v>
      </c>
      <c r="AK474" s="72">
        <v>100059</v>
      </c>
      <c r="AL474" s="72">
        <v>200059</v>
      </c>
      <c r="AM474" s="72">
        <v>15645504</v>
      </c>
      <c r="AN474" s="72">
        <v>110603</v>
      </c>
      <c r="AO474" s="72">
        <v>3015327</v>
      </c>
      <c r="AP474" s="72">
        <v>3125930</v>
      </c>
      <c r="AQ474" s="72">
        <v>200000</v>
      </c>
      <c r="AR474" s="72">
        <v>0</v>
      </c>
      <c r="AS474" s="72">
        <v>0</v>
      </c>
      <c r="AT474" s="72">
        <v>0</v>
      </c>
      <c r="AU474" s="72">
        <v>0</v>
      </c>
      <c r="AV474" s="72">
        <v>0</v>
      </c>
      <c r="AW474" s="72">
        <v>0</v>
      </c>
      <c r="AX474" s="72">
        <v>0</v>
      </c>
      <c r="AY474" s="72">
        <v>0</v>
      </c>
      <c r="AZ474" s="72">
        <v>0</v>
      </c>
      <c r="BA474" s="72">
        <v>2925930</v>
      </c>
      <c r="BB474" s="72">
        <v>0</v>
      </c>
      <c r="BC474" s="72">
        <v>0</v>
      </c>
      <c r="BD474" s="72">
        <v>0</v>
      </c>
      <c r="BE474" s="72">
        <v>2925930</v>
      </c>
      <c r="BF474" s="72">
        <v>0</v>
      </c>
      <c r="BG474" s="72">
        <v>0</v>
      </c>
      <c r="BH474" s="72">
        <v>0</v>
      </c>
      <c r="BI474" s="72">
        <v>0</v>
      </c>
      <c r="BJ474" s="72">
        <v>2925930</v>
      </c>
      <c r="BK474" s="72">
        <v>153</v>
      </c>
      <c r="BL474" s="72">
        <v>1742</v>
      </c>
      <c r="BM474" s="72">
        <v>0</v>
      </c>
      <c r="BN474" s="72">
        <v>0</v>
      </c>
      <c r="BO474" s="72">
        <v>0</v>
      </c>
      <c r="BP474" s="72">
        <v>0</v>
      </c>
      <c r="BQ474" s="72">
        <v>0</v>
      </c>
      <c r="BR474" s="72">
        <v>0</v>
      </c>
      <c r="BS474" s="72">
        <v>15756107</v>
      </c>
    </row>
    <row r="475" spans="1:71" x14ac:dyDescent="0.2">
      <c r="A475" t="s">
        <v>748</v>
      </c>
      <c r="B475" t="s">
        <v>1437</v>
      </c>
      <c r="C475" t="s">
        <v>52</v>
      </c>
      <c r="D475" s="72">
        <v>798500</v>
      </c>
      <c r="E475" s="72">
        <v>0</v>
      </c>
      <c r="F475" s="72">
        <v>0</v>
      </c>
      <c r="G475" s="72">
        <v>6330996</v>
      </c>
      <c r="H475" s="72">
        <v>42820</v>
      </c>
      <c r="I475" s="72">
        <v>0</v>
      </c>
      <c r="J475" s="72">
        <v>143590</v>
      </c>
      <c r="K475" s="72">
        <v>345750</v>
      </c>
      <c r="L475" s="72">
        <v>7661656</v>
      </c>
      <c r="M475" s="72">
        <v>0</v>
      </c>
      <c r="N475" s="72">
        <v>0</v>
      </c>
      <c r="O475" s="72">
        <v>8500</v>
      </c>
      <c r="P475" s="72">
        <v>41821</v>
      </c>
      <c r="Q475" s="72">
        <v>43742</v>
      </c>
      <c r="R475" s="72">
        <v>94063</v>
      </c>
      <c r="S475" s="72">
        <v>7755719</v>
      </c>
      <c r="T475" s="72">
        <v>3994397</v>
      </c>
      <c r="U475" s="72">
        <v>1824657</v>
      </c>
      <c r="V475" s="72">
        <v>1315476</v>
      </c>
      <c r="W475" s="72">
        <v>274189</v>
      </c>
      <c r="X475" s="72">
        <v>199631</v>
      </c>
      <c r="Y475" s="72">
        <v>0</v>
      </c>
      <c r="Z475" s="72">
        <v>28913</v>
      </c>
      <c r="AA475" s="72">
        <v>0</v>
      </c>
      <c r="AB475" s="72">
        <v>0</v>
      </c>
      <c r="AC475" s="72">
        <v>0</v>
      </c>
      <c r="AD475" s="72">
        <v>0</v>
      </c>
      <c r="AE475" s="72">
        <v>0</v>
      </c>
      <c r="AF475" s="72">
        <v>8700</v>
      </c>
      <c r="AG475" s="72">
        <v>500568</v>
      </c>
      <c r="AH475" s="72">
        <v>8146531</v>
      </c>
      <c r="AI475" s="72">
        <v>2500</v>
      </c>
      <c r="AJ475" s="72">
        <v>21500</v>
      </c>
      <c r="AK475" s="72">
        <v>0</v>
      </c>
      <c r="AL475" s="72">
        <v>24000</v>
      </c>
      <c r="AM475" s="72">
        <v>8170531</v>
      </c>
      <c r="AN475" s="72">
        <v>-414812</v>
      </c>
      <c r="AO475" s="72">
        <v>2254305</v>
      </c>
      <c r="AP475" s="72">
        <v>1839493</v>
      </c>
      <c r="AQ475" s="72">
        <v>55000</v>
      </c>
      <c r="AR475" s="72">
        <v>0</v>
      </c>
      <c r="AS475" s="72">
        <v>0</v>
      </c>
      <c r="AT475" s="72">
        <v>0</v>
      </c>
      <c r="AU475" s="72">
        <v>0</v>
      </c>
      <c r="AV475" s="72">
        <v>0</v>
      </c>
      <c r="AW475" s="72">
        <v>0</v>
      </c>
      <c r="AX475" s="72">
        <v>0</v>
      </c>
      <c r="AY475" s="72">
        <v>0</v>
      </c>
      <c r="AZ475" s="72">
        <v>0</v>
      </c>
      <c r="BA475" s="72">
        <v>1784493</v>
      </c>
      <c r="BB475" s="72">
        <v>0</v>
      </c>
      <c r="BC475" s="72">
        <v>0</v>
      </c>
      <c r="BD475" s="72">
        <v>0</v>
      </c>
      <c r="BE475" s="72">
        <v>1784493</v>
      </c>
      <c r="BF475" s="72">
        <v>0</v>
      </c>
      <c r="BG475" s="72">
        <v>0</v>
      </c>
      <c r="BH475" s="72">
        <v>0</v>
      </c>
      <c r="BI475" s="72">
        <v>0</v>
      </c>
      <c r="BJ475" s="72">
        <v>1784493</v>
      </c>
      <c r="BK475" s="72">
        <v>65</v>
      </c>
      <c r="BL475" s="72">
        <v>660</v>
      </c>
      <c r="BM475" s="72">
        <v>0</v>
      </c>
      <c r="BN475" s="72">
        <v>0</v>
      </c>
      <c r="BO475" s="72">
        <v>0</v>
      </c>
      <c r="BP475" s="72">
        <v>0</v>
      </c>
      <c r="BQ475" s="72">
        <v>0</v>
      </c>
      <c r="BR475" s="72">
        <v>0</v>
      </c>
      <c r="BS475" s="72">
        <v>8170531</v>
      </c>
    </row>
    <row r="476" spans="1:71" x14ac:dyDescent="0.2">
      <c r="A476" t="s">
        <v>138</v>
      </c>
      <c r="B476" t="s">
        <v>859</v>
      </c>
      <c r="C476" t="s">
        <v>26</v>
      </c>
      <c r="D476" s="72">
        <v>22557724</v>
      </c>
      <c r="E476" s="72">
        <v>718387</v>
      </c>
      <c r="F476" s="72">
        <v>0</v>
      </c>
      <c r="G476" s="72">
        <v>3829890</v>
      </c>
      <c r="H476" s="72">
        <v>71388</v>
      </c>
      <c r="I476" s="72">
        <v>0</v>
      </c>
      <c r="J476" s="72">
        <v>4291787</v>
      </c>
      <c r="K476" s="72">
        <v>605500</v>
      </c>
      <c r="L476" s="72">
        <v>32074676</v>
      </c>
      <c r="M476" s="72">
        <v>0</v>
      </c>
      <c r="N476" s="72">
        <v>0</v>
      </c>
      <c r="O476" s="72">
        <v>0</v>
      </c>
      <c r="P476" s="72">
        <v>140090</v>
      </c>
      <c r="Q476" s="72">
        <v>66015</v>
      </c>
      <c r="R476" s="72">
        <v>206105</v>
      </c>
      <c r="S476" s="72">
        <v>32280781</v>
      </c>
      <c r="T476" s="72">
        <v>19490420</v>
      </c>
      <c r="U476" s="72">
        <v>6788492</v>
      </c>
      <c r="V476" s="72">
        <v>2369647</v>
      </c>
      <c r="W476" s="72">
        <v>987800</v>
      </c>
      <c r="X476" s="72">
        <v>335235</v>
      </c>
      <c r="Y476" s="72">
        <v>0</v>
      </c>
      <c r="Z476" s="72">
        <v>0</v>
      </c>
      <c r="AA476" s="72">
        <v>0</v>
      </c>
      <c r="AC476" s="72">
        <v>0</v>
      </c>
      <c r="AD476" s="72">
        <v>0</v>
      </c>
      <c r="AE476" s="72">
        <v>0</v>
      </c>
      <c r="AF476" s="72">
        <v>418979</v>
      </c>
      <c r="AG476" s="72">
        <v>526679</v>
      </c>
      <c r="AH476" s="72">
        <v>30917252</v>
      </c>
      <c r="AI476" s="72">
        <v>0</v>
      </c>
      <c r="AJ476" s="72">
        <v>30000</v>
      </c>
      <c r="AK476" s="72">
        <v>25000</v>
      </c>
      <c r="AL476" s="72">
        <v>55000</v>
      </c>
      <c r="AM476" s="72">
        <v>30972252</v>
      </c>
      <c r="AN476" s="72">
        <v>1308529</v>
      </c>
      <c r="AO476" s="72">
        <v>3764559</v>
      </c>
      <c r="AP476" s="72">
        <v>5073088</v>
      </c>
      <c r="AQ476" s="72">
        <v>383391</v>
      </c>
      <c r="AR476" s="72">
        <v>0</v>
      </c>
      <c r="AS476" s="72">
        <v>0</v>
      </c>
      <c r="AT476" s="72">
        <v>0</v>
      </c>
      <c r="AU476" s="72">
        <v>0</v>
      </c>
      <c r="AV476" s="72">
        <v>0</v>
      </c>
      <c r="AW476" s="72">
        <v>0</v>
      </c>
      <c r="AX476" s="72">
        <v>0</v>
      </c>
      <c r="AZ476" s="72">
        <v>0</v>
      </c>
      <c r="BA476" s="72">
        <v>4689697</v>
      </c>
      <c r="BB476" s="72">
        <v>0</v>
      </c>
      <c r="BC476" s="72">
        <v>0</v>
      </c>
      <c r="BD476" s="72">
        <v>0</v>
      </c>
      <c r="BE476" s="72">
        <v>4689697</v>
      </c>
      <c r="BF476" s="72">
        <v>0</v>
      </c>
      <c r="BG476" s="72">
        <v>0</v>
      </c>
      <c r="BH476" s="72">
        <v>0</v>
      </c>
      <c r="BI476" s="72">
        <v>0</v>
      </c>
      <c r="BJ476" s="72">
        <v>4689697</v>
      </c>
      <c r="BM476" s="72">
        <v>0</v>
      </c>
      <c r="BN476" s="72">
        <v>0</v>
      </c>
      <c r="BO476" s="72">
        <v>0</v>
      </c>
      <c r="BP476" s="72">
        <v>0</v>
      </c>
      <c r="BQ476" s="72">
        <v>0</v>
      </c>
      <c r="BR476" s="72">
        <v>0</v>
      </c>
      <c r="BS476" s="72">
        <v>32280781</v>
      </c>
    </row>
    <row r="477" spans="1:71" x14ac:dyDescent="0.2">
      <c r="A477" t="s">
        <v>254</v>
      </c>
      <c r="B477" t="s">
        <v>970</v>
      </c>
      <c r="C477" t="s">
        <v>26</v>
      </c>
      <c r="D477" s="72">
        <v>6410000</v>
      </c>
      <c r="E477" s="72">
        <v>450000</v>
      </c>
      <c r="F477" s="72">
        <v>0</v>
      </c>
      <c r="G477" s="72">
        <v>10551825</v>
      </c>
      <c r="H477" s="72">
        <v>57433</v>
      </c>
      <c r="I477" s="72">
        <v>0</v>
      </c>
      <c r="J477" s="72">
        <v>920000</v>
      </c>
      <c r="K477" s="72">
        <v>1391444</v>
      </c>
      <c r="L477" s="72">
        <v>19780702</v>
      </c>
      <c r="M477" s="72">
        <v>0</v>
      </c>
      <c r="N477" s="72">
        <v>0</v>
      </c>
      <c r="O477" s="72">
        <v>0</v>
      </c>
      <c r="P477" s="72">
        <v>35993</v>
      </c>
      <c r="Q477" s="72">
        <v>0</v>
      </c>
      <c r="R477" s="72">
        <v>35993</v>
      </c>
      <c r="S477" s="72">
        <v>19816695</v>
      </c>
      <c r="T477" s="72">
        <v>11237892</v>
      </c>
      <c r="U477" s="72">
        <v>4933262</v>
      </c>
      <c r="V477" s="72">
        <v>2531698</v>
      </c>
      <c r="W477" s="72">
        <v>706375</v>
      </c>
      <c r="X477" s="72">
        <v>56550</v>
      </c>
      <c r="Y477" s="72">
        <v>0</v>
      </c>
      <c r="Z477" s="72">
        <v>0</v>
      </c>
      <c r="AA477" s="72">
        <v>201900</v>
      </c>
      <c r="AB477" s="72">
        <v>0</v>
      </c>
      <c r="AC477" s="72">
        <v>0</v>
      </c>
      <c r="AD477" s="72">
        <v>0</v>
      </c>
      <c r="AE477" s="72">
        <v>0</v>
      </c>
      <c r="AF477" s="72">
        <v>52112</v>
      </c>
      <c r="AG477" s="72">
        <v>280300</v>
      </c>
      <c r="AH477" s="72">
        <v>20000090</v>
      </c>
      <c r="AI477" s="72">
        <v>0</v>
      </c>
      <c r="AJ477" s="72">
        <v>40000</v>
      </c>
      <c r="AK477" s="72">
        <v>0</v>
      </c>
      <c r="AL477" s="72">
        <v>40000</v>
      </c>
      <c r="AM477" s="72">
        <v>20040090</v>
      </c>
      <c r="AN477" s="72">
        <v>-223395</v>
      </c>
      <c r="AO477" s="72">
        <v>2249616</v>
      </c>
      <c r="AP477" s="72">
        <v>2026222</v>
      </c>
      <c r="AQ477" s="72">
        <v>0</v>
      </c>
      <c r="AR477" s="72">
        <v>0</v>
      </c>
      <c r="AS477" s="72">
        <v>0</v>
      </c>
      <c r="AT477" s="72">
        <v>0</v>
      </c>
      <c r="AU477" s="72">
        <v>0</v>
      </c>
      <c r="AV477" s="72">
        <v>0</v>
      </c>
      <c r="AW477" s="72">
        <v>0</v>
      </c>
      <c r="AX477" s="72">
        <v>0</v>
      </c>
      <c r="AY477" s="72">
        <v>0</v>
      </c>
      <c r="AZ477" s="72">
        <v>0</v>
      </c>
      <c r="BA477" s="72">
        <v>2026222</v>
      </c>
      <c r="BB477" s="72">
        <v>0</v>
      </c>
      <c r="BC477" s="72">
        <v>0</v>
      </c>
      <c r="BD477" s="72">
        <v>0</v>
      </c>
      <c r="BE477" s="72">
        <v>2026222</v>
      </c>
      <c r="BF477" s="72">
        <v>0</v>
      </c>
      <c r="BG477" s="72">
        <v>0</v>
      </c>
      <c r="BH477" s="72">
        <v>0</v>
      </c>
      <c r="BI477" s="72">
        <v>0</v>
      </c>
      <c r="BJ477" s="72">
        <v>2026222</v>
      </c>
      <c r="BK477" s="72">
        <v>122</v>
      </c>
      <c r="BL477" s="72">
        <v>1810</v>
      </c>
      <c r="BM477" s="72">
        <v>0</v>
      </c>
      <c r="BN477" s="72">
        <v>0</v>
      </c>
      <c r="BO477" s="72">
        <v>0</v>
      </c>
      <c r="BP477" s="72">
        <v>0</v>
      </c>
      <c r="BQ477" s="72">
        <v>0</v>
      </c>
      <c r="BR477" s="72">
        <v>0</v>
      </c>
      <c r="BS477" s="72">
        <v>20040090</v>
      </c>
    </row>
    <row r="478" spans="1:71" x14ac:dyDescent="0.2">
      <c r="A478" t="s">
        <v>311</v>
      </c>
      <c r="B478" t="s">
        <v>1025</v>
      </c>
      <c r="C478" t="s">
        <v>26</v>
      </c>
      <c r="D478" s="72">
        <v>8364822</v>
      </c>
      <c r="E478" s="72">
        <v>0</v>
      </c>
      <c r="G478" s="72">
        <v>6244279</v>
      </c>
      <c r="H478" s="72">
        <v>54617</v>
      </c>
      <c r="I478" s="72">
        <v>0</v>
      </c>
      <c r="J478" s="72">
        <v>1771578</v>
      </c>
      <c r="K478" s="72">
        <v>1967537</v>
      </c>
      <c r="L478" s="72">
        <v>18402833</v>
      </c>
      <c r="O478" s="72">
        <v>0</v>
      </c>
      <c r="P478" s="72">
        <v>0</v>
      </c>
      <c r="Q478" s="72">
        <v>3252</v>
      </c>
      <c r="R478" s="72">
        <v>3252</v>
      </c>
      <c r="S478" s="72">
        <v>18406085</v>
      </c>
      <c r="T478" s="72">
        <v>9137774</v>
      </c>
      <c r="U478" s="72">
        <v>3808680</v>
      </c>
      <c r="V478" s="72">
        <v>3954254</v>
      </c>
      <c r="W478" s="72">
        <v>550000</v>
      </c>
      <c r="X478" s="72">
        <v>200000</v>
      </c>
      <c r="AD478" s="72">
        <v>75000</v>
      </c>
      <c r="AF478" s="72">
        <v>95</v>
      </c>
      <c r="AG478" s="72">
        <v>742973</v>
      </c>
      <c r="AH478" s="72">
        <v>18468776</v>
      </c>
      <c r="AI478" s="72">
        <v>0</v>
      </c>
      <c r="AJ478" s="72">
        <v>45000</v>
      </c>
      <c r="AK478" s="72">
        <v>0</v>
      </c>
      <c r="AL478" s="72">
        <v>45000</v>
      </c>
      <c r="AM478" s="72">
        <v>18513776</v>
      </c>
      <c r="AN478" s="72">
        <v>-107691</v>
      </c>
      <c r="AO478" s="72">
        <v>1381750</v>
      </c>
      <c r="AP478" s="72">
        <v>1274059</v>
      </c>
      <c r="AQ478" s="72">
        <v>461905</v>
      </c>
      <c r="AR478" s="72">
        <v>0</v>
      </c>
      <c r="AS478" s="72">
        <v>0</v>
      </c>
      <c r="AT478" s="72">
        <v>0</v>
      </c>
      <c r="AU478" s="72">
        <v>0</v>
      </c>
      <c r="AV478" s="72">
        <v>0</v>
      </c>
      <c r="AW478" s="72">
        <v>0</v>
      </c>
      <c r="AX478" s="72">
        <v>0</v>
      </c>
      <c r="AY478" s="72">
        <v>0</v>
      </c>
      <c r="AZ478" s="72">
        <v>0</v>
      </c>
      <c r="BA478" s="72">
        <v>812154</v>
      </c>
      <c r="BB478" s="72">
        <v>0</v>
      </c>
      <c r="BC478" s="72">
        <v>0</v>
      </c>
      <c r="BD478" s="72">
        <v>0</v>
      </c>
      <c r="BE478" s="72">
        <v>812154</v>
      </c>
      <c r="BF478" s="72">
        <v>0</v>
      </c>
      <c r="BG478" s="72">
        <v>714798</v>
      </c>
      <c r="BH478" s="72">
        <v>714798</v>
      </c>
      <c r="BI478" s="72">
        <v>0</v>
      </c>
      <c r="BJ478" s="72">
        <v>1526952</v>
      </c>
      <c r="BK478" s="72">
        <v>189</v>
      </c>
      <c r="BL478" s="72">
        <v>1882</v>
      </c>
      <c r="BM478" s="72">
        <v>0</v>
      </c>
      <c r="BN478" s="72">
        <v>0</v>
      </c>
      <c r="BO478" s="72">
        <v>0</v>
      </c>
      <c r="BP478" s="72">
        <v>0</v>
      </c>
      <c r="BQ478" s="72">
        <v>0</v>
      </c>
      <c r="BR478" s="72">
        <v>0</v>
      </c>
      <c r="BS478" s="72">
        <v>18513776</v>
      </c>
    </row>
    <row r="479" spans="1:71" x14ac:dyDescent="0.2">
      <c r="A479" t="s">
        <v>384</v>
      </c>
      <c r="B479" t="s">
        <v>1095</v>
      </c>
      <c r="C479" t="s">
        <v>26</v>
      </c>
      <c r="D479" s="72">
        <v>3682134</v>
      </c>
      <c r="E479" s="72">
        <v>328444</v>
      </c>
      <c r="F479" s="72">
        <v>0</v>
      </c>
      <c r="G479" s="72">
        <v>5878480</v>
      </c>
      <c r="H479" s="72">
        <v>16089</v>
      </c>
      <c r="I479" s="72">
        <v>0</v>
      </c>
      <c r="J479" s="72">
        <v>718629</v>
      </c>
      <c r="K479" s="72">
        <v>1422000</v>
      </c>
      <c r="L479" s="72">
        <v>12045776</v>
      </c>
      <c r="M479" s="72">
        <v>0</v>
      </c>
      <c r="N479" s="72">
        <v>0</v>
      </c>
      <c r="O479" s="72">
        <v>923000</v>
      </c>
      <c r="P479" s="72">
        <v>18230</v>
      </c>
      <c r="Q479" s="72">
        <v>26367</v>
      </c>
      <c r="R479" s="72">
        <v>967597</v>
      </c>
      <c r="S479" s="72">
        <v>13013373</v>
      </c>
      <c r="T479" s="72">
        <v>7203122</v>
      </c>
      <c r="U479" s="72">
        <v>2792064</v>
      </c>
      <c r="V479" s="72">
        <v>1904821</v>
      </c>
      <c r="W479" s="72">
        <v>444533</v>
      </c>
      <c r="X479" s="72">
        <v>100000</v>
      </c>
      <c r="Z479" s="72">
        <v>0</v>
      </c>
      <c r="AA479" s="72">
        <v>0</v>
      </c>
      <c r="AB479" s="72">
        <v>0</v>
      </c>
      <c r="AC479" s="72">
        <v>0</v>
      </c>
      <c r="AD479" s="72">
        <v>0</v>
      </c>
      <c r="AE479" s="72">
        <v>0</v>
      </c>
      <c r="AF479" s="72">
        <v>0</v>
      </c>
      <c r="AG479" s="72">
        <v>232725</v>
      </c>
      <c r="AH479" s="72">
        <v>12677265</v>
      </c>
      <c r="AI479" s="72">
        <v>915000</v>
      </c>
      <c r="AJ479" s="72">
        <v>0</v>
      </c>
      <c r="AK479" s="72">
        <v>2500</v>
      </c>
      <c r="AL479" s="72">
        <v>917500</v>
      </c>
      <c r="AM479" s="72">
        <v>13594765</v>
      </c>
      <c r="AN479" s="72">
        <v>-581392</v>
      </c>
      <c r="AO479" s="72">
        <v>2276369</v>
      </c>
      <c r="AP479" s="72">
        <v>1694977</v>
      </c>
      <c r="AQ479" s="72">
        <v>250000</v>
      </c>
      <c r="AR479" s="72">
        <v>0</v>
      </c>
      <c r="AS479" s="72">
        <v>0</v>
      </c>
      <c r="AT479" s="72">
        <v>50665</v>
      </c>
      <c r="AU479" s="72">
        <v>0</v>
      </c>
      <c r="AV479" s="72">
        <v>0</v>
      </c>
      <c r="AW479" s="72">
        <v>0</v>
      </c>
      <c r="AX479" s="72">
        <v>0</v>
      </c>
      <c r="AY479" s="72">
        <v>40000</v>
      </c>
      <c r="AZ479" s="72">
        <v>90665</v>
      </c>
      <c r="BA479" s="72">
        <v>1354312</v>
      </c>
      <c r="BB479" s="72">
        <v>0</v>
      </c>
      <c r="BC479" s="72">
        <v>0</v>
      </c>
      <c r="BD479" s="72">
        <v>0</v>
      </c>
      <c r="BE479" s="72">
        <v>1354312</v>
      </c>
      <c r="BF479" s="72">
        <v>0</v>
      </c>
      <c r="BG479" s="72">
        <v>0</v>
      </c>
      <c r="BH479" s="72">
        <v>0</v>
      </c>
      <c r="BI479" s="72">
        <v>0</v>
      </c>
      <c r="BJ479" s="72">
        <v>1354312</v>
      </c>
      <c r="BM479" s="72">
        <v>0</v>
      </c>
      <c r="BN479" s="72">
        <v>0</v>
      </c>
      <c r="BO479" s="72">
        <v>0</v>
      </c>
      <c r="BP479" s="72">
        <v>0</v>
      </c>
      <c r="BQ479" s="72">
        <v>0</v>
      </c>
      <c r="BR479" s="72">
        <v>0</v>
      </c>
      <c r="BS479" s="72">
        <v>13594765</v>
      </c>
    </row>
    <row r="480" spans="1:71" x14ac:dyDescent="0.2">
      <c r="A480" t="s">
        <v>615</v>
      </c>
      <c r="B480" t="s">
        <v>1311</v>
      </c>
      <c r="C480" t="s">
        <v>26</v>
      </c>
      <c r="D480" s="72">
        <v>4760899</v>
      </c>
      <c r="E480" s="72">
        <v>638152</v>
      </c>
      <c r="F480" s="72">
        <v>0</v>
      </c>
      <c r="G480" s="72">
        <v>4552234</v>
      </c>
      <c r="H480" s="72">
        <v>33323</v>
      </c>
      <c r="I480" s="72">
        <v>0</v>
      </c>
      <c r="J480" s="72">
        <v>769824</v>
      </c>
      <c r="K480" s="72">
        <v>428200</v>
      </c>
      <c r="L480" s="72">
        <v>11182632</v>
      </c>
      <c r="M480" s="72">
        <v>0</v>
      </c>
      <c r="N480" s="72">
        <v>0</v>
      </c>
      <c r="O480" s="72">
        <v>0</v>
      </c>
      <c r="P480" s="72">
        <v>0</v>
      </c>
      <c r="Q480" s="72">
        <v>0</v>
      </c>
      <c r="R480" s="72">
        <v>0</v>
      </c>
      <c r="S480" s="72">
        <v>11182632</v>
      </c>
      <c r="T480" s="72">
        <v>6022296</v>
      </c>
      <c r="U480" s="72">
        <v>2486660</v>
      </c>
      <c r="V480" s="72">
        <v>2097342</v>
      </c>
      <c r="W480" s="72">
        <v>441694</v>
      </c>
      <c r="X480" s="72">
        <v>53329</v>
      </c>
      <c r="Y480" s="72">
        <v>0</v>
      </c>
      <c r="Z480" s="72">
        <v>0</v>
      </c>
      <c r="AA480" s="72">
        <v>0</v>
      </c>
      <c r="AB480" s="72">
        <v>0</v>
      </c>
      <c r="AC480" s="72">
        <v>0</v>
      </c>
      <c r="AD480" s="72">
        <v>54894</v>
      </c>
      <c r="AE480" s="72">
        <v>0</v>
      </c>
      <c r="AF480" s="72">
        <v>0</v>
      </c>
      <c r="AG480" s="72">
        <v>197765</v>
      </c>
      <c r="AH480" s="72">
        <v>11353980</v>
      </c>
      <c r="AI480" s="72">
        <v>0</v>
      </c>
      <c r="AJ480" s="72">
        <v>0</v>
      </c>
      <c r="AK480" s="72">
        <v>0</v>
      </c>
      <c r="AL480" s="72">
        <v>0</v>
      </c>
      <c r="AM480" s="72">
        <v>11353980</v>
      </c>
      <c r="AN480" s="72">
        <v>-171348</v>
      </c>
      <c r="AO480" s="72">
        <v>1532452</v>
      </c>
      <c r="AP480" s="72">
        <v>1361104</v>
      </c>
      <c r="AQ480" s="72">
        <v>57500</v>
      </c>
      <c r="AR480" s="72">
        <v>35000</v>
      </c>
      <c r="AS480" s="72">
        <v>0</v>
      </c>
      <c r="AT480" s="72">
        <v>0</v>
      </c>
      <c r="AU480" s="72">
        <v>0</v>
      </c>
      <c r="AV480" s="72">
        <v>0</v>
      </c>
      <c r="AW480" s="72">
        <v>0</v>
      </c>
      <c r="AX480" s="72">
        <v>0</v>
      </c>
      <c r="AY480" s="72">
        <v>0</v>
      </c>
      <c r="AZ480" s="72">
        <v>35000</v>
      </c>
      <c r="BA480" s="72">
        <v>1268604</v>
      </c>
      <c r="BB480" s="72">
        <v>0</v>
      </c>
      <c r="BC480" s="72">
        <v>0</v>
      </c>
      <c r="BD480" s="72">
        <v>0</v>
      </c>
      <c r="BE480" s="72">
        <v>1268604</v>
      </c>
      <c r="BF480" s="72">
        <v>0</v>
      </c>
      <c r="BG480" s="72">
        <v>0</v>
      </c>
      <c r="BH480" s="72">
        <v>0</v>
      </c>
      <c r="BI480" s="72">
        <v>0</v>
      </c>
      <c r="BJ480" s="72">
        <v>1268604</v>
      </c>
      <c r="BM480" s="72">
        <v>0</v>
      </c>
      <c r="BN480" s="72">
        <v>0</v>
      </c>
      <c r="BO480" s="72">
        <v>0</v>
      </c>
      <c r="BP480" s="72">
        <v>0</v>
      </c>
      <c r="BQ480" s="72">
        <v>0</v>
      </c>
      <c r="BR480" s="72">
        <v>0</v>
      </c>
      <c r="BS480" s="72">
        <v>11353980</v>
      </c>
    </row>
    <row r="481" spans="1:71" x14ac:dyDescent="0.2">
      <c r="A481" t="s">
        <v>637</v>
      </c>
      <c r="B481" t="s">
        <v>1333</v>
      </c>
      <c r="C481" t="s">
        <v>26</v>
      </c>
      <c r="D481" s="72">
        <v>5652120</v>
      </c>
      <c r="E481" s="72">
        <v>0</v>
      </c>
      <c r="F481" s="72">
        <v>0</v>
      </c>
      <c r="G481" s="72">
        <v>10218411</v>
      </c>
      <c r="H481" s="72">
        <v>78089</v>
      </c>
      <c r="I481" s="72">
        <v>0</v>
      </c>
      <c r="J481" s="72">
        <v>877359</v>
      </c>
      <c r="K481" s="72">
        <v>578895</v>
      </c>
      <c r="L481" s="72">
        <v>17404874</v>
      </c>
      <c r="M481" s="72">
        <v>0</v>
      </c>
      <c r="N481" s="72">
        <v>0</v>
      </c>
      <c r="O481" s="72">
        <v>0</v>
      </c>
      <c r="P481" s="72">
        <v>0</v>
      </c>
      <c r="Q481" s="72">
        <v>0</v>
      </c>
      <c r="R481" s="72">
        <v>0</v>
      </c>
      <c r="S481" s="72">
        <v>17404874</v>
      </c>
      <c r="T481" s="72">
        <v>8616015</v>
      </c>
      <c r="U481" s="72">
        <v>4155951</v>
      </c>
      <c r="V481" s="72">
        <v>4014502</v>
      </c>
      <c r="W481" s="72">
        <v>712995</v>
      </c>
      <c r="X481" s="72">
        <v>508282</v>
      </c>
      <c r="Y481" s="72">
        <v>0</v>
      </c>
      <c r="Z481" s="72">
        <v>0</v>
      </c>
      <c r="AA481" s="72">
        <v>0</v>
      </c>
      <c r="AB481" s="72">
        <v>0</v>
      </c>
      <c r="AC481" s="72">
        <v>0</v>
      </c>
      <c r="AD481" s="72">
        <v>0</v>
      </c>
      <c r="AE481" s="72">
        <v>0</v>
      </c>
      <c r="AF481" s="72">
        <v>0</v>
      </c>
      <c r="AG481" s="72">
        <v>275000</v>
      </c>
      <c r="AH481" s="72">
        <v>18282745</v>
      </c>
      <c r="AI481" s="72">
        <v>0</v>
      </c>
      <c r="AJ481" s="72">
        <v>0</v>
      </c>
      <c r="AK481" s="72">
        <v>0</v>
      </c>
      <c r="AL481" s="72">
        <v>0</v>
      </c>
      <c r="AM481" s="72">
        <v>18282745</v>
      </c>
      <c r="AN481" s="72">
        <v>-877871</v>
      </c>
      <c r="AO481" s="72">
        <v>12049921</v>
      </c>
      <c r="AP481" s="72">
        <v>11172050</v>
      </c>
      <c r="AQ481" s="72">
        <v>100000</v>
      </c>
      <c r="AR481" s="72">
        <v>0</v>
      </c>
      <c r="AS481" s="72">
        <v>0</v>
      </c>
      <c r="AT481" s="72">
        <v>296500</v>
      </c>
      <c r="AU481" s="72">
        <v>0</v>
      </c>
      <c r="AV481" s="72">
        <v>0</v>
      </c>
      <c r="AW481" s="72">
        <v>0</v>
      </c>
      <c r="AX481" s="72">
        <v>0</v>
      </c>
      <c r="AY481" s="72">
        <v>0</v>
      </c>
      <c r="AZ481" s="72">
        <v>296500</v>
      </c>
      <c r="BA481" s="72">
        <v>10775550</v>
      </c>
      <c r="BB481" s="72">
        <v>0</v>
      </c>
      <c r="BC481" s="72">
        <v>0</v>
      </c>
      <c r="BD481" s="72">
        <v>0</v>
      </c>
      <c r="BE481" s="72">
        <v>10775550</v>
      </c>
      <c r="BF481" s="72">
        <v>0</v>
      </c>
      <c r="BG481" s="72">
        <v>0</v>
      </c>
      <c r="BH481" s="72">
        <v>0</v>
      </c>
      <c r="BI481" s="72">
        <v>0</v>
      </c>
      <c r="BJ481" s="72">
        <v>10775550</v>
      </c>
      <c r="BK481" s="72">
        <v>110</v>
      </c>
      <c r="BL481" s="72">
        <v>1589</v>
      </c>
      <c r="BM481" s="72">
        <v>0</v>
      </c>
      <c r="BN481" s="72">
        <v>0</v>
      </c>
      <c r="BO481" s="72">
        <v>0</v>
      </c>
      <c r="BP481" s="72">
        <v>0</v>
      </c>
      <c r="BQ481" s="72">
        <v>0</v>
      </c>
      <c r="BR481" s="72">
        <v>0</v>
      </c>
      <c r="BS481" s="72">
        <v>18282745</v>
      </c>
    </row>
    <row r="482" spans="1:71" x14ac:dyDescent="0.2">
      <c r="A482" t="s">
        <v>664</v>
      </c>
      <c r="B482" t="s">
        <v>1354</v>
      </c>
      <c r="C482" t="s">
        <v>26</v>
      </c>
      <c r="D482" s="72">
        <v>13077636</v>
      </c>
      <c r="E482" s="72">
        <v>0</v>
      </c>
      <c r="F482" s="72">
        <v>0</v>
      </c>
      <c r="G482" s="72">
        <v>3994441</v>
      </c>
      <c r="H482" s="72">
        <v>7112</v>
      </c>
      <c r="I482" s="72">
        <v>0</v>
      </c>
      <c r="J482" s="72">
        <v>3347486</v>
      </c>
      <c r="K482" s="72">
        <v>933737</v>
      </c>
      <c r="L482" s="72">
        <v>21360412</v>
      </c>
      <c r="M482" s="72">
        <v>0</v>
      </c>
      <c r="N482" s="72">
        <v>0</v>
      </c>
      <c r="O482" s="72">
        <v>0</v>
      </c>
      <c r="P482" s="72">
        <v>36734</v>
      </c>
      <c r="Q482" s="72">
        <v>75000</v>
      </c>
      <c r="R482" s="72">
        <v>111734</v>
      </c>
      <c r="S482" s="72">
        <v>21472146</v>
      </c>
      <c r="T482" s="72">
        <v>12916353</v>
      </c>
      <c r="U482" s="72">
        <v>4539090</v>
      </c>
      <c r="V482" s="72">
        <v>2606089</v>
      </c>
      <c r="W482" s="72">
        <v>677183</v>
      </c>
      <c r="X482" s="72">
        <v>19208</v>
      </c>
      <c r="Y482" s="72">
        <v>0</v>
      </c>
      <c r="Z482" s="72">
        <v>0</v>
      </c>
      <c r="AA482" s="72">
        <v>0</v>
      </c>
      <c r="AB482" s="72">
        <v>0</v>
      </c>
      <c r="AC482" s="72">
        <v>0</v>
      </c>
      <c r="AD482" s="72">
        <v>0</v>
      </c>
      <c r="AE482" s="72">
        <v>0</v>
      </c>
      <c r="AF482" s="72">
        <v>0</v>
      </c>
      <c r="AG482" s="72">
        <v>458350</v>
      </c>
      <c r="AH482" s="72">
        <v>21216273</v>
      </c>
      <c r="AI482" s="72">
        <v>25000</v>
      </c>
      <c r="AJ482" s="72">
        <v>35000</v>
      </c>
      <c r="AK482" s="72">
        <v>0</v>
      </c>
      <c r="AL482" s="72">
        <v>60000</v>
      </c>
      <c r="AM482" s="72">
        <v>21276273</v>
      </c>
      <c r="AN482" s="72">
        <v>195873</v>
      </c>
      <c r="AO482" s="72">
        <v>3852711</v>
      </c>
      <c r="AP482" s="72">
        <v>4048584</v>
      </c>
      <c r="AQ482" s="72">
        <v>140000</v>
      </c>
      <c r="AR482" s="72">
        <v>0</v>
      </c>
      <c r="AS482" s="72">
        <v>0</v>
      </c>
      <c r="AT482" s="72">
        <v>0</v>
      </c>
      <c r="AU482" s="72">
        <v>0</v>
      </c>
      <c r="AV482" s="72">
        <v>0</v>
      </c>
      <c r="AW482" s="72">
        <v>0</v>
      </c>
      <c r="AX482" s="72">
        <v>0</v>
      </c>
      <c r="AY482" s="72">
        <v>0</v>
      </c>
      <c r="AZ482" s="72">
        <v>0</v>
      </c>
      <c r="BA482" s="72">
        <v>3908584</v>
      </c>
      <c r="BB482" s="72">
        <v>0</v>
      </c>
      <c r="BC482" s="72">
        <v>0</v>
      </c>
      <c r="BD482" s="72">
        <v>0</v>
      </c>
      <c r="BE482" s="72">
        <v>3908584</v>
      </c>
      <c r="BF482" s="72">
        <v>0</v>
      </c>
      <c r="BG482" s="72">
        <v>0</v>
      </c>
      <c r="BH482" s="72">
        <v>0</v>
      </c>
      <c r="BI482" s="72">
        <v>0</v>
      </c>
      <c r="BJ482" s="72">
        <v>3908584</v>
      </c>
      <c r="BK482" s="72">
        <v>188</v>
      </c>
      <c r="BL482" s="72">
        <v>1978</v>
      </c>
      <c r="BM482" s="72">
        <v>0</v>
      </c>
      <c r="BN482" s="72">
        <v>0</v>
      </c>
      <c r="BO482" s="72">
        <v>0</v>
      </c>
      <c r="BP482" s="72">
        <v>0</v>
      </c>
      <c r="BQ482" s="72">
        <v>0</v>
      </c>
      <c r="BR482" s="72">
        <v>0</v>
      </c>
      <c r="BS482" s="72">
        <v>21472146</v>
      </c>
    </row>
    <row r="483" spans="1:71" x14ac:dyDescent="0.2">
      <c r="A483" t="s">
        <v>729</v>
      </c>
      <c r="B483" t="s">
        <v>1419</v>
      </c>
      <c r="C483" t="s">
        <v>26</v>
      </c>
      <c r="D483" s="72">
        <v>3656572</v>
      </c>
      <c r="E483" s="72">
        <v>0</v>
      </c>
      <c r="G483" s="72">
        <v>5868621</v>
      </c>
      <c r="H483" s="72">
        <v>11923</v>
      </c>
      <c r="I483" s="72">
        <v>0</v>
      </c>
      <c r="J483" s="72">
        <v>277588</v>
      </c>
      <c r="K483" s="72">
        <v>486815</v>
      </c>
      <c r="L483" s="72">
        <v>10301519</v>
      </c>
      <c r="P483" s="72">
        <v>0</v>
      </c>
      <c r="Q483" s="72">
        <v>3252</v>
      </c>
      <c r="R483" s="72">
        <v>3252</v>
      </c>
      <c r="S483" s="72">
        <v>10304771</v>
      </c>
      <c r="T483" s="72">
        <v>5554400</v>
      </c>
      <c r="U483" s="72">
        <v>2099379</v>
      </c>
      <c r="V483" s="72">
        <v>2023200</v>
      </c>
      <c r="W483" s="72">
        <v>405634</v>
      </c>
      <c r="X483" s="72">
        <v>50000</v>
      </c>
      <c r="AD483" s="72">
        <v>72000</v>
      </c>
      <c r="AG483" s="72">
        <v>152582</v>
      </c>
      <c r="AH483" s="72">
        <v>10401715</v>
      </c>
      <c r="AI483" s="72">
        <v>0</v>
      </c>
      <c r="AJ483" s="72">
        <v>45000</v>
      </c>
      <c r="AK483" s="72">
        <v>0</v>
      </c>
      <c r="AL483" s="72">
        <v>45000</v>
      </c>
      <c r="AM483" s="72">
        <v>10446715</v>
      </c>
      <c r="AN483" s="72">
        <v>-141944</v>
      </c>
      <c r="AO483" s="72">
        <v>1497947</v>
      </c>
      <c r="AP483" s="72">
        <v>1356003</v>
      </c>
      <c r="AQ483" s="72">
        <v>282153</v>
      </c>
      <c r="AR483" s="72">
        <v>0</v>
      </c>
      <c r="AS483" s="72">
        <v>0</v>
      </c>
      <c r="AT483" s="72">
        <v>0</v>
      </c>
      <c r="AU483" s="72">
        <v>0</v>
      </c>
      <c r="AV483" s="72">
        <v>0</v>
      </c>
      <c r="AW483" s="72">
        <v>0</v>
      </c>
      <c r="AX483" s="72">
        <v>0</v>
      </c>
      <c r="AY483" s="72">
        <v>0</v>
      </c>
      <c r="AZ483" s="72">
        <v>0</v>
      </c>
      <c r="BA483" s="72">
        <v>1073850</v>
      </c>
      <c r="BB483" s="72">
        <v>0</v>
      </c>
      <c r="BC483" s="72">
        <v>0</v>
      </c>
      <c r="BD483" s="72">
        <v>0</v>
      </c>
      <c r="BE483" s="72">
        <v>1073850</v>
      </c>
      <c r="BF483" s="72">
        <v>0</v>
      </c>
      <c r="BG483" s="72">
        <v>0</v>
      </c>
      <c r="BH483" s="72">
        <v>0</v>
      </c>
      <c r="BI483" s="72">
        <v>0</v>
      </c>
      <c r="BJ483" s="72">
        <v>1073850</v>
      </c>
      <c r="BK483" s="72">
        <v>70</v>
      </c>
      <c r="BL483" s="72">
        <v>1170</v>
      </c>
      <c r="BM483" s="72">
        <v>0</v>
      </c>
      <c r="BN483" s="72">
        <v>0</v>
      </c>
      <c r="BO483" s="72">
        <v>0</v>
      </c>
      <c r="BR483" s="72">
        <v>0</v>
      </c>
      <c r="BS483" s="72">
        <v>10446715</v>
      </c>
    </row>
    <row r="484" spans="1:71" x14ac:dyDescent="0.2">
      <c r="A484" t="s">
        <v>501</v>
      </c>
      <c r="B484" t="s">
        <v>1205</v>
      </c>
      <c r="C484" t="s">
        <v>80</v>
      </c>
      <c r="D484" s="72">
        <v>2357001</v>
      </c>
      <c r="E484" s="72">
        <v>0</v>
      </c>
      <c r="F484" s="72">
        <v>2046400</v>
      </c>
      <c r="G484" s="72">
        <v>5254934</v>
      </c>
      <c r="H484" s="72">
        <v>32154</v>
      </c>
      <c r="I484" s="72">
        <v>0</v>
      </c>
      <c r="J484" s="72">
        <v>349485</v>
      </c>
      <c r="K484" s="72">
        <v>570289</v>
      </c>
      <c r="L484" s="72">
        <v>10610263</v>
      </c>
      <c r="M484" s="72">
        <v>0</v>
      </c>
      <c r="N484" s="72">
        <v>0</v>
      </c>
      <c r="O484" s="72">
        <v>0</v>
      </c>
      <c r="P484" s="72">
        <v>5000</v>
      </c>
      <c r="Q484" s="72">
        <v>0</v>
      </c>
      <c r="R484" s="72">
        <v>5000</v>
      </c>
      <c r="S484" s="72">
        <v>10615263</v>
      </c>
      <c r="T484" s="72">
        <v>4831232</v>
      </c>
      <c r="U484" s="72">
        <v>1890861</v>
      </c>
      <c r="V484" s="72">
        <v>2085363</v>
      </c>
      <c r="W484" s="72">
        <v>428197</v>
      </c>
      <c r="X484" s="72">
        <v>241500</v>
      </c>
      <c r="Y484" s="72">
        <v>0</v>
      </c>
      <c r="Z484" s="72">
        <v>0</v>
      </c>
      <c r="AA484" s="72">
        <v>0</v>
      </c>
      <c r="AB484" s="72">
        <v>0</v>
      </c>
      <c r="AC484" s="72">
        <v>0</v>
      </c>
      <c r="AD484" s="72">
        <v>56000</v>
      </c>
      <c r="AE484" s="72">
        <v>0</v>
      </c>
      <c r="AF484" s="72">
        <v>13210</v>
      </c>
      <c r="AG484" s="72">
        <v>327353</v>
      </c>
      <c r="AH484" s="72">
        <v>9873716</v>
      </c>
      <c r="AI484" s="72">
        <v>0</v>
      </c>
      <c r="AJ484" s="72">
        <v>5000</v>
      </c>
      <c r="AK484" s="72">
        <v>0</v>
      </c>
      <c r="AL484" s="72">
        <v>5000</v>
      </c>
      <c r="AM484" s="72">
        <v>9878716</v>
      </c>
      <c r="AN484" s="72">
        <v>736547</v>
      </c>
      <c r="AO484" s="72">
        <v>2352854</v>
      </c>
      <c r="AP484" s="72">
        <v>3089401</v>
      </c>
      <c r="AQ484" s="72">
        <v>300000</v>
      </c>
      <c r="AR484" s="72">
        <v>0</v>
      </c>
      <c r="AS484" s="72">
        <v>295000</v>
      </c>
      <c r="AT484" s="72">
        <v>0</v>
      </c>
      <c r="AU484" s="72">
        <v>0</v>
      </c>
      <c r="AV484" s="72">
        <v>0</v>
      </c>
      <c r="AW484" s="72">
        <v>0</v>
      </c>
      <c r="AX484" s="72">
        <v>0</v>
      </c>
      <c r="AY484" s="72">
        <v>0</v>
      </c>
      <c r="AZ484" s="72">
        <v>295000</v>
      </c>
      <c r="BA484" s="72">
        <v>2494401</v>
      </c>
      <c r="BB484" s="72">
        <v>0</v>
      </c>
      <c r="BC484" s="72">
        <v>0</v>
      </c>
      <c r="BD484" s="72">
        <v>0</v>
      </c>
      <c r="BE484" s="72">
        <v>2494401</v>
      </c>
      <c r="BF484" s="72">
        <v>0</v>
      </c>
      <c r="BG484" s="72">
        <v>0</v>
      </c>
      <c r="BH484" s="72">
        <v>0</v>
      </c>
      <c r="BI484" s="72">
        <v>0</v>
      </c>
      <c r="BJ484" s="72">
        <v>2494401</v>
      </c>
      <c r="BK484" s="72">
        <v>77</v>
      </c>
      <c r="BL484" s="72">
        <v>1008</v>
      </c>
      <c r="BM484" s="72">
        <v>0</v>
      </c>
      <c r="BN484" s="72">
        <v>0</v>
      </c>
      <c r="BO484" s="72">
        <v>0</v>
      </c>
      <c r="BP484" s="72">
        <v>0</v>
      </c>
      <c r="BQ484" s="72">
        <v>0</v>
      </c>
      <c r="BR484" s="72">
        <v>0</v>
      </c>
      <c r="BS484" s="72">
        <v>10615263</v>
      </c>
    </row>
    <row r="485" spans="1:71" x14ac:dyDescent="0.2">
      <c r="A485" t="s">
        <v>594</v>
      </c>
      <c r="B485" t="s">
        <v>1291</v>
      </c>
      <c r="C485" t="s">
        <v>80</v>
      </c>
      <c r="D485" s="72">
        <v>2627158</v>
      </c>
      <c r="E485" s="72">
        <v>102640</v>
      </c>
      <c r="F485" s="72">
        <v>2693783</v>
      </c>
      <c r="G485" s="72">
        <v>7153839</v>
      </c>
      <c r="H485" s="72">
        <v>78845</v>
      </c>
      <c r="J485" s="72">
        <v>467077</v>
      </c>
      <c r="K485" s="72">
        <v>509779</v>
      </c>
      <c r="L485" s="72">
        <v>13633121</v>
      </c>
      <c r="P485" s="72">
        <v>80000</v>
      </c>
      <c r="Q485" s="72">
        <v>10000</v>
      </c>
      <c r="R485" s="72">
        <v>90000</v>
      </c>
      <c r="S485" s="72">
        <v>13723121</v>
      </c>
      <c r="T485" s="72">
        <v>6747133</v>
      </c>
      <c r="U485" s="72">
        <v>2744335</v>
      </c>
      <c r="V485" s="72">
        <v>1835317</v>
      </c>
      <c r="W485" s="72">
        <v>734746</v>
      </c>
      <c r="X485" s="72">
        <v>736142</v>
      </c>
      <c r="AG485" s="72">
        <v>269227</v>
      </c>
      <c r="AH485" s="72">
        <v>13066900</v>
      </c>
      <c r="AI485" s="72">
        <v>100000</v>
      </c>
      <c r="AJ485" s="72">
        <v>80000</v>
      </c>
      <c r="AL485" s="72">
        <v>180000</v>
      </c>
      <c r="AM485" s="72">
        <v>13246900</v>
      </c>
      <c r="AO485" s="72">
        <v>8410733</v>
      </c>
      <c r="AP485" s="72">
        <v>8886954</v>
      </c>
      <c r="AQ485" s="72">
        <v>100000</v>
      </c>
      <c r="AS485" s="72">
        <v>75000</v>
      </c>
      <c r="AT485" s="72">
        <v>174616</v>
      </c>
      <c r="AV485" s="72">
        <v>0</v>
      </c>
      <c r="AZ485" s="72">
        <v>249616</v>
      </c>
      <c r="BA485" s="72">
        <v>8537338</v>
      </c>
      <c r="BE485" s="72">
        <v>8537338</v>
      </c>
      <c r="BJ485" s="72">
        <v>8537338</v>
      </c>
      <c r="BK485" s="72">
        <v>103</v>
      </c>
      <c r="BL485" s="72">
        <v>1270</v>
      </c>
      <c r="BM485" s="72">
        <v>0</v>
      </c>
      <c r="BN485" s="72">
        <v>0</v>
      </c>
      <c r="BO485" s="72">
        <v>0</v>
      </c>
      <c r="BP485" s="72">
        <v>0</v>
      </c>
      <c r="BQ485" s="72">
        <v>0</v>
      </c>
      <c r="BR485" s="72">
        <v>0</v>
      </c>
      <c r="BS485" s="72">
        <v>13723121</v>
      </c>
    </row>
    <row r="486" spans="1:71" x14ac:dyDescent="0.2">
      <c r="A486" t="s">
        <v>696</v>
      </c>
      <c r="B486" t="s">
        <v>1386</v>
      </c>
      <c r="C486" t="s">
        <v>80</v>
      </c>
      <c r="D486" s="72">
        <v>2263363</v>
      </c>
      <c r="E486" s="72">
        <v>0</v>
      </c>
      <c r="F486" s="72">
        <v>771073</v>
      </c>
      <c r="G486" s="72">
        <v>3943810</v>
      </c>
      <c r="H486" s="72">
        <v>14151</v>
      </c>
      <c r="I486" s="72">
        <v>0</v>
      </c>
      <c r="J486" s="72">
        <v>344287</v>
      </c>
      <c r="K486" s="72">
        <v>400000</v>
      </c>
      <c r="L486" s="72">
        <v>7736684</v>
      </c>
      <c r="M486" s="72">
        <v>0</v>
      </c>
      <c r="N486" s="72">
        <v>0</v>
      </c>
      <c r="O486" s="72">
        <v>10000</v>
      </c>
      <c r="P486" s="72">
        <v>0</v>
      </c>
      <c r="Q486" s="72">
        <v>5000</v>
      </c>
      <c r="R486" s="72">
        <v>15000</v>
      </c>
      <c r="S486" s="72">
        <v>7751684</v>
      </c>
      <c r="T486" s="72">
        <v>4157473</v>
      </c>
      <c r="U486" s="72">
        <v>2009026</v>
      </c>
      <c r="V486" s="72">
        <v>1329629</v>
      </c>
      <c r="W486" s="72">
        <v>247077</v>
      </c>
      <c r="X486" s="72">
        <v>36007</v>
      </c>
      <c r="Y486" s="72">
        <v>0</v>
      </c>
      <c r="Z486" s="72">
        <v>0</v>
      </c>
      <c r="AA486" s="72">
        <v>0</v>
      </c>
      <c r="AB486" s="72">
        <v>0</v>
      </c>
      <c r="AC486" s="72">
        <v>0</v>
      </c>
      <c r="AD486" s="72">
        <v>0</v>
      </c>
      <c r="AE486" s="72">
        <v>0</v>
      </c>
      <c r="AF486" s="72">
        <v>0</v>
      </c>
      <c r="AG486" s="72">
        <v>172700</v>
      </c>
      <c r="AH486" s="72">
        <v>7951912</v>
      </c>
      <c r="AI486" s="72">
        <v>0</v>
      </c>
      <c r="AJ486" s="72">
        <v>0</v>
      </c>
      <c r="AK486" s="72">
        <v>0</v>
      </c>
      <c r="AL486" s="72">
        <v>0</v>
      </c>
      <c r="AM486" s="72">
        <v>7951912</v>
      </c>
      <c r="AN486" s="72">
        <v>-200228</v>
      </c>
      <c r="AO486" s="72">
        <v>710270</v>
      </c>
      <c r="AP486" s="72">
        <v>510042</v>
      </c>
      <c r="AQ486" s="72">
        <v>40000</v>
      </c>
      <c r="AR486" s="72">
        <v>0</v>
      </c>
      <c r="AS486" s="72">
        <v>0</v>
      </c>
      <c r="AT486" s="72">
        <v>0</v>
      </c>
      <c r="AU486" s="72">
        <v>0</v>
      </c>
      <c r="AV486" s="72">
        <v>0</v>
      </c>
      <c r="AW486" s="72">
        <v>0</v>
      </c>
      <c r="AX486" s="72">
        <v>0</v>
      </c>
      <c r="AY486" s="72">
        <v>0</v>
      </c>
      <c r="AZ486" s="72">
        <v>0</v>
      </c>
      <c r="BA486" s="72">
        <v>470042</v>
      </c>
      <c r="BB486" s="72">
        <v>0</v>
      </c>
      <c r="BC486" s="72">
        <v>0</v>
      </c>
      <c r="BD486" s="72">
        <v>0</v>
      </c>
      <c r="BE486" s="72">
        <v>470042</v>
      </c>
      <c r="BF486" s="72">
        <v>0</v>
      </c>
      <c r="BG486" s="72">
        <v>0</v>
      </c>
      <c r="BH486" s="72">
        <v>0</v>
      </c>
      <c r="BI486" s="72">
        <v>0</v>
      </c>
      <c r="BJ486" s="72">
        <v>470042</v>
      </c>
      <c r="BK486" s="72">
        <v>0</v>
      </c>
      <c r="BL486" s="72">
        <v>0</v>
      </c>
      <c r="BM486" s="72">
        <v>0</v>
      </c>
      <c r="BN486" s="72">
        <v>0</v>
      </c>
      <c r="BO486" s="72">
        <v>0</v>
      </c>
      <c r="BP486" s="72">
        <v>0</v>
      </c>
      <c r="BQ486" s="72">
        <v>0</v>
      </c>
      <c r="BR486" s="72">
        <v>0</v>
      </c>
      <c r="BS486" s="72">
        <v>7951912</v>
      </c>
    </row>
    <row r="487" spans="1:71" x14ac:dyDescent="0.2">
      <c r="A487" t="s">
        <v>240</v>
      </c>
      <c r="B487" t="s">
        <v>958</v>
      </c>
      <c r="C487" t="s">
        <v>58</v>
      </c>
      <c r="D487" s="72">
        <v>1754000</v>
      </c>
      <c r="E487" s="72">
        <v>105000</v>
      </c>
      <c r="F487" s="72">
        <v>1172000</v>
      </c>
      <c r="G487" s="72">
        <v>4566000</v>
      </c>
      <c r="H487" s="72">
        <v>20000</v>
      </c>
      <c r="I487" s="72">
        <v>0</v>
      </c>
      <c r="J487" s="72">
        <v>293000</v>
      </c>
      <c r="K487" s="72">
        <v>405000</v>
      </c>
      <c r="L487" s="72">
        <v>8315000</v>
      </c>
      <c r="M487" s="72">
        <v>0</v>
      </c>
      <c r="N487" s="72">
        <v>0</v>
      </c>
      <c r="O487" s="72">
        <v>0</v>
      </c>
      <c r="P487" s="72">
        <v>0</v>
      </c>
      <c r="Q487" s="72">
        <v>25000</v>
      </c>
      <c r="R487" s="72">
        <v>25000</v>
      </c>
      <c r="S487" s="72">
        <v>8340000</v>
      </c>
      <c r="T487" s="72">
        <v>4617000</v>
      </c>
      <c r="U487" s="72">
        <v>1563000</v>
      </c>
      <c r="V487" s="72">
        <v>1187000</v>
      </c>
      <c r="W487" s="72">
        <v>287000</v>
      </c>
      <c r="X487" s="72">
        <v>200000</v>
      </c>
      <c r="Y487" s="72">
        <v>0</v>
      </c>
      <c r="Z487" s="72">
        <v>0</v>
      </c>
      <c r="AA487" s="72">
        <v>0</v>
      </c>
      <c r="AB487" s="72">
        <v>0</v>
      </c>
      <c r="AC487" s="72">
        <v>0</v>
      </c>
      <c r="AD487" s="72">
        <v>0</v>
      </c>
      <c r="AE487" s="72">
        <v>0</v>
      </c>
      <c r="AF487" s="72">
        <v>0</v>
      </c>
      <c r="AG487" s="72">
        <v>97000</v>
      </c>
      <c r="AH487" s="72">
        <v>7951000</v>
      </c>
      <c r="AI487" s="72">
        <v>293000</v>
      </c>
      <c r="AJ487" s="72">
        <v>0</v>
      </c>
      <c r="AK487" s="72">
        <v>0</v>
      </c>
      <c r="AL487" s="72">
        <v>293000</v>
      </c>
      <c r="AM487" s="72">
        <v>8244000</v>
      </c>
      <c r="AN487" s="72">
        <v>96000</v>
      </c>
      <c r="AO487" s="72">
        <v>4497378</v>
      </c>
      <c r="AP487" s="72">
        <v>4593378</v>
      </c>
      <c r="AQ487" s="72">
        <v>0</v>
      </c>
      <c r="AR487" s="72">
        <v>0</v>
      </c>
      <c r="AS487" s="72">
        <v>0</v>
      </c>
      <c r="AT487" s="72">
        <v>0</v>
      </c>
      <c r="AU487" s="72">
        <v>0</v>
      </c>
      <c r="AV487" s="72">
        <v>0</v>
      </c>
      <c r="AW487" s="72">
        <v>0</v>
      </c>
      <c r="AX487" s="72">
        <v>0</v>
      </c>
      <c r="AY487" s="72">
        <v>0</v>
      </c>
      <c r="AZ487" s="72">
        <v>0</v>
      </c>
      <c r="BA487" s="72">
        <v>4593378</v>
      </c>
      <c r="BB487" s="72">
        <v>0</v>
      </c>
      <c r="BC487" s="72">
        <v>0</v>
      </c>
      <c r="BD487" s="72">
        <v>0</v>
      </c>
      <c r="BE487" s="72">
        <v>4593378</v>
      </c>
      <c r="BF487" s="72">
        <v>0</v>
      </c>
      <c r="BG487" s="72">
        <v>0</v>
      </c>
      <c r="BH487" s="72">
        <v>0</v>
      </c>
      <c r="BI487" s="72">
        <v>0</v>
      </c>
      <c r="BJ487" s="72">
        <v>4593378</v>
      </c>
      <c r="BK487" s="72">
        <v>0</v>
      </c>
      <c r="BL487" s="72">
        <v>0</v>
      </c>
      <c r="BM487" s="72">
        <v>0</v>
      </c>
      <c r="BN487" s="72">
        <v>0</v>
      </c>
      <c r="BO487" s="72">
        <v>0</v>
      </c>
      <c r="BP487" s="72">
        <v>0</v>
      </c>
      <c r="BQ487" s="72">
        <v>0</v>
      </c>
      <c r="BR487" s="72">
        <v>0</v>
      </c>
      <c r="BS487" s="72">
        <v>8340000</v>
      </c>
    </row>
    <row r="488" spans="1:71" x14ac:dyDescent="0.2">
      <c r="A488" t="s">
        <v>243</v>
      </c>
      <c r="B488" t="s">
        <v>961</v>
      </c>
      <c r="C488" t="s">
        <v>58</v>
      </c>
      <c r="D488" s="72">
        <v>1035832</v>
      </c>
      <c r="E488" s="72">
        <v>0</v>
      </c>
      <c r="F488" s="72">
        <v>653166</v>
      </c>
      <c r="G488" s="72">
        <v>3318368</v>
      </c>
      <c r="H488" s="72">
        <v>35210</v>
      </c>
      <c r="I488" s="72">
        <v>0</v>
      </c>
      <c r="J488" s="72">
        <v>164099</v>
      </c>
      <c r="K488" s="72">
        <v>316019</v>
      </c>
      <c r="L488" s="72">
        <v>5522694</v>
      </c>
      <c r="M488" s="72">
        <v>0</v>
      </c>
      <c r="N488" s="72">
        <v>0</v>
      </c>
      <c r="O488" s="72">
        <v>81482</v>
      </c>
      <c r="P488" s="72">
        <v>15000</v>
      </c>
      <c r="Q488" s="72">
        <v>0</v>
      </c>
      <c r="R488" s="72">
        <v>96482</v>
      </c>
      <c r="S488" s="72">
        <v>5619176</v>
      </c>
      <c r="T488" s="72">
        <v>2843253</v>
      </c>
      <c r="U488" s="72">
        <v>1080436</v>
      </c>
      <c r="V488" s="72">
        <v>1534053</v>
      </c>
      <c r="W488" s="72">
        <v>197750</v>
      </c>
      <c r="X488" s="72">
        <v>519900</v>
      </c>
      <c r="Y488" s="72">
        <v>0</v>
      </c>
      <c r="Z488" s="72">
        <v>0</v>
      </c>
      <c r="AA488" s="72">
        <v>0</v>
      </c>
      <c r="AB488" s="72">
        <v>0</v>
      </c>
      <c r="AC488" s="72">
        <v>0</v>
      </c>
      <c r="AD488" s="72">
        <v>0</v>
      </c>
      <c r="AE488" s="72">
        <v>23943</v>
      </c>
      <c r="AF488" s="72">
        <v>2853</v>
      </c>
      <c r="AG488" s="72">
        <v>115437</v>
      </c>
      <c r="AH488" s="72">
        <v>6317625</v>
      </c>
      <c r="AI488" s="72">
        <v>111482</v>
      </c>
      <c r="AJ488" s="72">
        <v>7000</v>
      </c>
      <c r="AK488" s="72">
        <v>0</v>
      </c>
      <c r="AL488" s="72">
        <v>118482</v>
      </c>
      <c r="AM488" s="72">
        <v>6436107</v>
      </c>
      <c r="AN488" s="72">
        <v>-816931</v>
      </c>
      <c r="AO488" s="72">
        <v>3848931</v>
      </c>
      <c r="AP488" s="72">
        <v>3032000</v>
      </c>
      <c r="AQ488" s="72">
        <v>20000</v>
      </c>
      <c r="AR488" s="72">
        <v>0</v>
      </c>
      <c r="AS488" s="72">
        <v>0</v>
      </c>
      <c r="AT488" s="72">
        <v>0</v>
      </c>
      <c r="AU488" s="72">
        <v>0</v>
      </c>
      <c r="AV488" s="72">
        <v>0</v>
      </c>
      <c r="AW488" s="72">
        <v>0</v>
      </c>
      <c r="AX488" s="72">
        <v>0</v>
      </c>
      <c r="AY488" s="72">
        <v>0</v>
      </c>
      <c r="AZ488" s="72">
        <v>0</v>
      </c>
      <c r="BA488" s="72">
        <v>3012000</v>
      </c>
      <c r="BB488" s="72">
        <v>0</v>
      </c>
      <c r="BC488" s="72">
        <v>0</v>
      </c>
      <c r="BD488" s="72">
        <v>0</v>
      </c>
      <c r="BE488" s="72">
        <v>3012000</v>
      </c>
      <c r="BF488" s="72">
        <v>0</v>
      </c>
      <c r="BG488" s="72">
        <v>0</v>
      </c>
      <c r="BH488" s="72">
        <v>0</v>
      </c>
      <c r="BI488" s="72">
        <v>0</v>
      </c>
      <c r="BJ488" s="72">
        <v>3012000</v>
      </c>
      <c r="BK488" s="72">
        <v>0</v>
      </c>
      <c r="BL488" s="72">
        <v>0</v>
      </c>
      <c r="BM488" s="72">
        <v>0</v>
      </c>
      <c r="BN488" s="72">
        <v>0</v>
      </c>
      <c r="BO488" s="72">
        <v>0</v>
      </c>
      <c r="BP488" s="72">
        <v>0</v>
      </c>
      <c r="BQ488" s="72">
        <v>0</v>
      </c>
      <c r="BR488" s="72">
        <v>0</v>
      </c>
      <c r="BS488" s="72">
        <v>6436107</v>
      </c>
    </row>
    <row r="489" spans="1:71" x14ac:dyDescent="0.2">
      <c r="A489" t="s">
        <v>389</v>
      </c>
      <c r="B489" t="s">
        <v>1100</v>
      </c>
      <c r="C489" t="s">
        <v>58</v>
      </c>
      <c r="D489" s="72">
        <v>735225</v>
      </c>
      <c r="E489" s="72">
        <v>62349</v>
      </c>
      <c r="F489" s="72">
        <v>398437</v>
      </c>
      <c r="G489" s="72">
        <v>1732201</v>
      </c>
      <c r="H489" s="72">
        <v>2388</v>
      </c>
      <c r="I489" s="72">
        <v>0</v>
      </c>
      <c r="J489" s="72">
        <v>112872</v>
      </c>
      <c r="K489" s="72">
        <v>447027</v>
      </c>
      <c r="L489" s="72">
        <v>3490499</v>
      </c>
      <c r="M489" s="72">
        <v>0</v>
      </c>
      <c r="N489" s="72">
        <v>0</v>
      </c>
      <c r="O489" s="72">
        <v>0</v>
      </c>
      <c r="P489" s="72">
        <v>328</v>
      </c>
      <c r="Q489" s="72">
        <v>5049</v>
      </c>
      <c r="R489" s="72">
        <v>5377</v>
      </c>
      <c r="S489" s="72">
        <v>3495876</v>
      </c>
      <c r="T489" s="72">
        <v>1938879</v>
      </c>
      <c r="U489" s="72">
        <v>760910</v>
      </c>
      <c r="V489" s="72">
        <v>661161</v>
      </c>
      <c r="W489" s="72">
        <v>102167</v>
      </c>
      <c r="X489" s="72">
        <v>7234</v>
      </c>
      <c r="Y489" s="72">
        <v>0</v>
      </c>
      <c r="Z489" s="72">
        <v>0</v>
      </c>
      <c r="AA489" s="72">
        <v>0</v>
      </c>
      <c r="AB489" s="72">
        <v>0</v>
      </c>
      <c r="AC489" s="72">
        <v>0</v>
      </c>
      <c r="AD489" s="72">
        <v>0</v>
      </c>
      <c r="AE489" s="72">
        <v>0</v>
      </c>
      <c r="AF489" s="72">
        <v>0</v>
      </c>
      <c r="AG489" s="72">
        <v>75815</v>
      </c>
      <c r="AH489" s="72">
        <v>3546166</v>
      </c>
      <c r="AI489" s="72">
        <v>0</v>
      </c>
      <c r="AJ489" s="72">
        <v>65</v>
      </c>
      <c r="AK489" s="72">
        <v>0</v>
      </c>
      <c r="AL489" s="72">
        <v>65</v>
      </c>
      <c r="AM489" s="72">
        <v>3546231</v>
      </c>
      <c r="AN489" s="72">
        <v>-50355</v>
      </c>
      <c r="AO489" s="72">
        <v>559680</v>
      </c>
      <c r="AP489" s="72">
        <v>509325</v>
      </c>
      <c r="AQ489" s="72">
        <v>2000</v>
      </c>
      <c r="AR489" s="72">
        <v>0</v>
      </c>
      <c r="AS489" s="72">
        <v>0</v>
      </c>
      <c r="AT489" s="72">
        <v>0</v>
      </c>
      <c r="AU489" s="72">
        <v>0</v>
      </c>
      <c r="AV489" s="72">
        <v>0</v>
      </c>
      <c r="AW489" s="72">
        <v>0</v>
      </c>
      <c r="AX489" s="72">
        <v>0</v>
      </c>
      <c r="AY489" s="72">
        <v>153</v>
      </c>
      <c r="AZ489" s="72">
        <v>153</v>
      </c>
      <c r="BA489" s="72">
        <v>507172</v>
      </c>
      <c r="BB489" s="72">
        <v>0</v>
      </c>
      <c r="BC489" s="72">
        <v>0</v>
      </c>
      <c r="BD489" s="72">
        <v>0</v>
      </c>
      <c r="BE489" s="72">
        <v>507172</v>
      </c>
      <c r="BF489" s="72">
        <v>0</v>
      </c>
      <c r="BG489" s="72">
        <v>0</v>
      </c>
      <c r="BH489" s="72">
        <v>0</v>
      </c>
      <c r="BI489" s="72">
        <v>0</v>
      </c>
      <c r="BJ489" s="72">
        <v>507172</v>
      </c>
      <c r="BK489" s="72">
        <v>27</v>
      </c>
      <c r="BL489" s="72">
        <v>357</v>
      </c>
      <c r="BM489" s="72">
        <v>0</v>
      </c>
      <c r="BN489" s="72">
        <v>0</v>
      </c>
      <c r="BO489" s="72">
        <v>0</v>
      </c>
      <c r="BP489" s="72">
        <v>0</v>
      </c>
      <c r="BQ489" s="72">
        <v>0</v>
      </c>
      <c r="BR489" s="72">
        <v>0</v>
      </c>
      <c r="BS489" s="72">
        <v>3546231</v>
      </c>
    </row>
    <row r="490" spans="1:71" x14ac:dyDescent="0.2">
      <c r="A490" t="s">
        <v>393</v>
      </c>
      <c r="B490" t="s">
        <v>1104</v>
      </c>
      <c r="C490" t="s">
        <v>58</v>
      </c>
      <c r="D490" s="72">
        <v>1337971</v>
      </c>
      <c r="E490" s="72">
        <v>45894</v>
      </c>
      <c r="F490" s="72">
        <v>1456926</v>
      </c>
      <c r="G490" s="72">
        <v>2458969</v>
      </c>
      <c r="H490" s="72">
        <v>36372</v>
      </c>
      <c r="I490" s="72">
        <v>0</v>
      </c>
      <c r="J490" s="72">
        <v>186385</v>
      </c>
      <c r="K490" s="72">
        <v>404125</v>
      </c>
      <c r="L490" s="72">
        <v>5926642</v>
      </c>
      <c r="M490" s="72">
        <v>0</v>
      </c>
      <c r="N490" s="72">
        <v>0</v>
      </c>
      <c r="O490" s="72">
        <v>77800</v>
      </c>
      <c r="P490" s="72">
        <v>6335</v>
      </c>
      <c r="Q490" s="72">
        <v>0</v>
      </c>
      <c r="R490" s="72">
        <v>84135</v>
      </c>
      <c r="S490" s="72">
        <v>6010777</v>
      </c>
      <c r="T490" s="72">
        <v>3126587</v>
      </c>
      <c r="U490" s="72">
        <v>1204315</v>
      </c>
      <c r="V490" s="72">
        <v>583344</v>
      </c>
      <c r="W490" s="72">
        <v>168794</v>
      </c>
      <c r="X490" s="72">
        <v>92007</v>
      </c>
      <c r="Y490" s="72">
        <v>0</v>
      </c>
      <c r="Z490" s="72">
        <v>171207</v>
      </c>
      <c r="AA490" s="72">
        <v>0</v>
      </c>
      <c r="AB490" s="72">
        <v>0</v>
      </c>
      <c r="AC490" s="72">
        <v>0</v>
      </c>
      <c r="AD490" s="72">
        <v>0</v>
      </c>
      <c r="AE490" s="72">
        <v>0</v>
      </c>
      <c r="AF490" s="72">
        <v>0</v>
      </c>
      <c r="AG490" s="72">
        <v>109073</v>
      </c>
      <c r="AH490" s="72">
        <v>5455328</v>
      </c>
      <c r="AI490" s="72">
        <v>254894</v>
      </c>
      <c r="AJ490" s="72">
        <v>0</v>
      </c>
      <c r="AK490" s="72">
        <v>0</v>
      </c>
      <c r="AL490" s="72">
        <v>254894</v>
      </c>
      <c r="AM490" s="72">
        <v>5710222</v>
      </c>
      <c r="AN490" s="72">
        <v>300555</v>
      </c>
      <c r="AO490" s="72">
        <v>2160881</v>
      </c>
      <c r="AP490" s="72">
        <v>2461436</v>
      </c>
      <c r="AQ490" s="72">
        <v>0</v>
      </c>
      <c r="AR490" s="72">
        <v>0</v>
      </c>
      <c r="AS490" s="72">
        <v>0</v>
      </c>
      <c r="AT490" s="72">
        <v>0</v>
      </c>
      <c r="AU490" s="72">
        <v>0</v>
      </c>
      <c r="AV490" s="72">
        <v>0</v>
      </c>
      <c r="AW490" s="72">
        <v>0</v>
      </c>
      <c r="AX490" s="72">
        <v>0</v>
      </c>
      <c r="AY490" s="72">
        <v>0</v>
      </c>
      <c r="AZ490" s="72">
        <v>0</v>
      </c>
      <c r="BA490" s="72">
        <v>2461436</v>
      </c>
      <c r="BB490" s="72">
        <v>0</v>
      </c>
      <c r="BC490" s="72">
        <v>0</v>
      </c>
      <c r="BD490" s="72">
        <v>0</v>
      </c>
      <c r="BE490" s="72">
        <v>2461436</v>
      </c>
      <c r="BF490" s="72">
        <v>0</v>
      </c>
      <c r="BG490" s="72">
        <v>0</v>
      </c>
      <c r="BH490" s="72">
        <v>0</v>
      </c>
      <c r="BI490" s="72">
        <v>0</v>
      </c>
      <c r="BJ490" s="72">
        <v>2461436</v>
      </c>
      <c r="BS490" s="72">
        <v>6010777</v>
      </c>
    </row>
    <row r="491" spans="1:71" x14ac:dyDescent="0.2">
      <c r="A491" t="s">
        <v>416</v>
      </c>
      <c r="B491" t="s">
        <v>1124</v>
      </c>
      <c r="C491" t="s">
        <v>58</v>
      </c>
      <c r="D491" s="72">
        <v>1703427</v>
      </c>
      <c r="E491" s="72">
        <v>0</v>
      </c>
      <c r="F491" s="72">
        <v>335637</v>
      </c>
      <c r="G491" s="72">
        <v>3399352</v>
      </c>
      <c r="H491" s="72">
        <v>0</v>
      </c>
      <c r="I491" s="72">
        <v>0</v>
      </c>
      <c r="J491" s="72">
        <v>432511</v>
      </c>
      <c r="K491" s="72">
        <v>379460</v>
      </c>
      <c r="L491" s="72">
        <v>6250387</v>
      </c>
      <c r="M491" s="72">
        <v>0</v>
      </c>
      <c r="N491" s="72">
        <v>0</v>
      </c>
      <c r="O491" s="72">
        <v>214356</v>
      </c>
      <c r="P491" s="72">
        <v>681000</v>
      </c>
      <c r="Q491" s="72">
        <v>0</v>
      </c>
      <c r="R491" s="72">
        <v>895356</v>
      </c>
      <c r="S491" s="72">
        <v>7145743</v>
      </c>
      <c r="T491" s="72">
        <v>3363123</v>
      </c>
      <c r="U491" s="72">
        <v>1329772</v>
      </c>
      <c r="V491" s="72">
        <v>1066891</v>
      </c>
      <c r="W491" s="72">
        <v>271646</v>
      </c>
      <c r="X491" s="72">
        <v>33500</v>
      </c>
      <c r="Y491" s="72">
        <v>0</v>
      </c>
      <c r="Z491" s="72">
        <v>0</v>
      </c>
      <c r="AA491" s="72">
        <v>0</v>
      </c>
      <c r="AB491" s="72">
        <v>0</v>
      </c>
      <c r="AC491" s="72">
        <v>0</v>
      </c>
      <c r="AD491" s="72">
        <v>0</v>
      </c>
      <c r="AE491" s="72">
        <v>0</v>
      </c>
      <c r="AF491" s="72">
        <v>0</v>
      </c>
      <c r="AG491" s="72">
        <v>115433</v>
      </c>
      <c r="AH491" s="72">
        <v>6180365</v>
      </c>
      <c r="AI491" s="72">
        <v>227865</v>
      </c>
      <c r="AJ491" s="72">
        <v>235000</v>
      </c>
      <c r="AK491" s="72">
        <v>0</v>
      </c>
      <c r="AL491" s="72">
        <v>462865</v>
      </c>
      <c r="AM491" s="72">
        <v>6643230</v>
      </c>
      <c r="AN491" s="72">
        <v>502513</v>
      </c>
      <c r="AO491" s="72">
        <v>2993931</v>
      </c>
      <c r="AP491" s="72">
        <v>3496444</v>
      </c>
      <c r="AQ491" s="72">
        <v>0</v>
      </c>
      <c r="AR491" s="72">
        <v>87000</v>
      </c>
      <c r="AS491" s="72">
        <v>50000</v>
      </c>
      <c r="AT491" s="72">
        <v>312077</v>
      </c>
      <c r="AU491" s="72">
        <v>0</v>
      </c>
      <c r="AV491" s="72">
        <v>0</v>
      </c>
      <c r="AW491" s="72">
        <v>4832</v>
      </c>
      <c r="AX491" s="72">
        <v>0</v>
      </c>
      <c r="AY491" s="72">
        <v>0</v>
      </c>
      <c r="AZ491" s="72">
        <v>453909</v>
      </c>
      <c r="BA491" s="72">
        <v>3042535</v>
      </c>
      <c r="BB491" s="72">
        <v>0</v>
      </c>
      <c r="BC491" s="72">
        <v>0</v>
      </c>
      <c r="BD491" s="72">
        <v>0</v>
      </c>
      <c r="BE491" s="72">
        <v>3042535</v>
      </c>
      <c r="BF491" s="72">
        <v>0</v>
      </c>
      <c r="BG491" s="72">
        <v>0</v>
      </c>
      <c r="BH491" s="72">
        <v>0</v>
      </c>
      <c r="BI491" s="72">
        <v>0</v>
      </c>
      <c r="BJ491" s="72">
        <v>3042535</v>
      </c>
      <c r="BK491" s="72">
        <v>53</v>
      </c>
      <c r="BL491" s="72">
        <v>583</v>
      </c>
      <c r="BM491" s="72">
        <v>0</v>
      </c>
      <c r="BN491" s="72">
        <v>0</v>
      </c>
      <c r="BO491" s="72">
        <v>0</v>
      </c>
      <c r="BP491" s="72">
        <v>0</v>
      </c>
      <c r="BQ491" s="72">
        <v>0</v>
      </c>
      <c r="BR491" s="72">
        <v>0</v>
      </c>
      <c r="BS491" s="72">
        <v>7145743</v>
      </c>
    </row>
    <row r="492" spans="1:71" x14ac:dyDescent="0.2">
      <c r="A492" t="s">
        <v>485</v>
      </c>
      <c r="B492" t="s">
        <v>1189</v>
      </c>
      <c r="C492" t="s">
        <v>58</v>
      </c>
      <c r="D492" s="72">
        <v>879006</v>
      </c>
      <c r="E492" s="72">
        <v>0</v>
      </c>
      <c r="F492" s="72">
        <v>596941</v>
      </c>
      <c r="G492" s="72">
        <v>2056226</v>
      </c>
      <c r="H492" s="72">
        <v>92786</v>
      </c>
      <c r="I492" s="72">
        <v>0</v>
      </c>
      <c r="J492" s="72">
        <v>120303</v>
      </c>
      <c r="K492" s="72">
        <v>548778</v>
      </c>
      <c r="L492" s="72">
        <v>4294040</v>
      </c>
      <c r="M492" s="72">
        <v>0</v>
      </c>
      <c r="N492" s="72">
        <v>0</v>
      </c>
      <c r="O492" s="72">
        <v>96613</v>
      </c>
      <c r="P492" s="72">
        <v>0</v>
      </c>
      <c r="Q492" s="72">
        <v>0</v>
      </c>
      <c r="R492" s="72">
        <v>96613</v>
      </c>
      <c r="S492" s="72">
        <v>4390653</v>
      </c>
      <c r="T492" s="72">
        <v>2391715</v>
      </c>
      <c r="U492" s="72">
        <v>861688</v>
      </c>
      <c r="V492" s="72">
        <v>598598</v>
      </c>
      <c r="W492" s="72">
        <v>175000</v>
      </c>
      <c r="X492" s="72">
        <v>100000</v>
      </c>
      <c r="Y492" s="72">
        <v>0</v>
      </c>
      <c r="Z492" s="72">
        <v>0</v>
      </c>
      <c r="AA492" s="72">
        <v>0</v>
      </c>
      <c r="AB492" s="72">
        <v>0</v>
      </c>
      <c r="AC492" s="72">
        <v>0</v>
      </c>
      <c r="AD492" s="72">
        <v>0</v>
      </c>
      <c r="AE492" s="72">
        <v>63519</v>
      </c>
      <c r="AF492" s="72">
        <v>26258</v>
      </c>
      <c r="AG492" s="72">
        <v>80000</v>
      </c>
      <c r="AH492" s="72">
        <v>4296778</v>
      </c>
      <c r="AI492" s="72">
        <v>96613</v>
      </c>
      <c r="AJ492" s="72">
        <v>0</v>
      </c>
      <c r="AK492" s="72">
        <v>0</v>
      </c>
      <c r="AL492" s="72">
        <v>96613</v>
      </c>
      <c r="AM492" s="72">
        <v>4393391</v>
      </c>
      <c r="AN492" s="72">
        <v>-2738</v>
      </c>
      <c r="AO492" s="72">
        <v>2154912</v>
      </c>
      <c r="AP492" s="72">
        <v>2152174</v>
      </c>
      <c r="AQ492" s="72">
        <v>75000</v>
      </c>
      <c r="AR492" s="72">
        <v>28000</v>
      </c>
      <c r="AS492" s="72">
        <v>436000</v>
      </c>
      <c r="AT492" s="72">
        <v>136916</v>
      </c>
      <c r="AU492" s="72">
        <v>0</v>
      </c>
      <c r="AV492" s="72">
        <v>0</v>
      </c>
      <c r="AW492" s="72">
        <v>0</v>
      </c>
      <c r="AX492" s="72">
        <v>0</v>
      </c>
      <c r="AY492" s="72">
        <v>0</v>
      </c>
      <c r="AZ492" s="72">
        <v>600916</v>
      </c>
      <c r="BA492" s="72">
        <v>1476258</v>
      </c>
      <c r="BB492" s="72">
        <v>0</v>
      </c>
      <c r="BC492" s="72">
        <v>0</v>
      </c>
      <c r="BD492" s="72">
        <v>0</v>
      </c>
      <c r="BE492" s="72">
        <v>1476258</v>
      </c>
      <c r="BF492" s="72">
        <v>0</v>
      </c>
      <c r="BG492" s="72">
        <v>0</v>
      </c>
      <c r="BH492" s="72">
        <v>0</v>
      </c>
      <c r="BI492" s="72">
        <v>0</v>
      </c>
      <c r="BJ492" s="72">
        <v>1476258</v>
      </c>
      <c r="BK492" s="72">
        <v>0</v>
      </c>
      <c r="BL492" s="72">
        <v>0</v>
      </c>
      <c r="BM492" s="72">
        <v>0</v>
      </c>
      <c r="BN492" s="72">
        <v>0</v>
      </c>
      <c r="BO492" s="72">
        <v>0</v>
      </c>
      <c r="BP492" s="72">
        <v>0</v>
      </c>
      <c r="BQ492" s="72">
        <v>0</v>
      </c>
      <c r="BR492" s="72">
        <v>0</v>
      </c>
      <c r="BS492" s="72">
        <v>4393391</v>
      </c>
    </row>
    <row r="493" spans="1:71" x14ac:dyDescent="0.2">
      <c r="A493" t="s">
        <v>564</v>
      </c>
      <c r="B493" t="s">
        <v>1263</v>
      </c>
      <c r="C493" t="s">
        <v>58</v>
      </c>
      <c r="D493" s="72">
        <v>3650000</v>
      </c>
      <c r="E493" s="72">
        <v>150000</v>
      </c>
      <c r="F493" s="72">
        <v>1100000</v>
      </c>
      <c r="G493" s="72">
        <v>5256000</v>
      </c>
      <c r="H493" s="72">
        <v>35900</v>
      </c>
      <c r="I493" s="72">
        <v>0</v>
      </c>
      <c r="J493" s="72">
        <v>561000</v>
      </c>
      <c r="K493" s="72">
        <v>667000</v>
      </c>
      <c r="L493" s="72">
        <v>11419900</v>
      </c>
      <c r="M493" s="72">
        <v>0</v>
      </c>
      <c r="N493" s="72">
        <v>0</v>
      </c>
      <c r="O493" s="72">
        <v>0</v>
      </c>
      <c r="P493" s="72">
        <v>23000</v>
      </c>
      <c r="Q493" s="72">
        <v>0</v>
      </c>
      <c r="R493" s="72">
        <v>23000</v>
      </c>
      <c r="S493" s="72">
        <v>11442900</v>
      </c>
      <c r="T493" s="72">
        <v>6385000</v>
      </c>
      <c r="U493" s="72">
        <v>2406000</v>
      </c>
      <c r="V493" s="72">
        <v>1938000</v>
      </c>
      <c r="W493" s="72">
        <v>546000</v>
      </c>
      <c r="X493" s="72">
        <v>62000</v>
      </c>
      <c r="Y493" s="72">
        <v>0</v>
      </c>
      <c r="Z493" s="72">
        <v>0</v>
      </c>
      <c r="AA493" s="72">
        <v>0</v>
      </c>
      <c r="AB493" s="72">
        <v>0</v>
      </c>
      <c r="AC493" s="72">
        <v>0</v>
      </c>
      <c r="AD493" s="72">
        <v>0</v>
      </c>
      <c r="AE493" s="72">
        <v>0</v>
      </c>
      <c r="AF493" s="72">
        <v>0</v>
      </c>
      <c r="AG493" s="72">
        <v>217000</v>
      </c>
      <c r="AH493" s="72">
        <v>11554000</v>
      </c>
      <c r="AI493" s="72">
        <v>75000</v>
      </c>
      <c r="AJ493" s="72">
        <v>0</v>
      </c>
      <c r="AK493" s="72">
        <v>0</v>
      </c>
      <c r="AL493" s="72">
        <v>75000</v>
      </c>
      <c r="AM493" s="72">
        <v>11629000</v>
      </c>
      <c r="AN493" s="72">
        <v>-186100</v>
      </c>
      <c r="AO493" s="72">
        <v>4245034</v>
      </c>
      <c r="AP493" s="72">
        <v>4058934</v>
      </c>
      <c r="AQ493" s="72">
        <v>210000</v>
      </c>
      <c r="AR493" s="72">
        <v>0</v>
      </c>
      <c r="AS493" s="72">
        <v>0</v>
      </c>
      <c r="AT493" s="72">
        <v>0</v>
      </c>
      <c r="AU493" s="72">
        <v>0</v>
      </c>
      <c r="AV493" s="72">
        <v>0</v>
      </c>
      <c r="AW493" s="72">
        <v>0</v>
      </c>
      <c r="AX493" s="72">
        <v>0</v>
      </c>
      <c r="AY493" s="72">
        <v>0</v>
      </c>
      <c r="AZ493" s="72">
        <v>0</v>
      </c>
      <c r="BA493" s="72">
        <v>3848934</v>
      </c>
      <c r="BB493" s="72">
        <v>0</v>
      </c>
      <c r="BC493" s="72">
        <v>0</v>
      </c>
      <c r="BD493" s="72">
        <v>0</v>
      </c>
      <c r="BE493" s="72">
        <v>3848934</v>
      </c>
      <c r="BF493" s="72">
        <v>0</v>
      </c>
      <c r="BG493" s="72">
        <v>0</v>
      </c>
      <c r="BH493" s="72">
        <v>0</v>
      </c>
      <c r="BI493" s="72">
        <v>0</v>
      </c>
      <c r="BJ493" s="72">
        <v>3848934</v>
      </c>
      <c r="BK493" s="72">
        <v>0</v>
      </c>
      <c r="BL493" s="72">
        <v>0</v>
      </c>
      <c r="BM493" s="72">
        <v>0</v>
      </c>
      <c r="BN493" s="72">
        <v>0</v>
      </c>
      <c r="BO493" s="72">
        <v>0</v>
      </c>
      <c r="BP493" s="72">
        <v>0</v>
      </c>
      <c r="BQ493" s="72">
        <v>0</v>
      </c>
      <c r="BR493" s="72">
        <v>0</v>
      </c>
      <c r="BS493" s="72">
        <v>11629000</v>
      </c>
    </row>
    <row r="494" spans="1:71" x14ac:dyDescent="0.2">
      <c r="A494" t="s">
        <v>565</v>
      </c>
      <c r="B494" t="s">
        <v>1264</v>
      </c>
      <c r="C494" t="s">
        <v>58</v>
      </c>
      <c r="D494" s="72">
        <v>1282923</v>
      </c>
      <c r="E494" s="72">
        <v>47500</v>
      </c>
      <c r="F494" s="72">
        <v>575000</v>
      </c>
      <c r="G494" s="72">
        <v>2455000</v>
      </c>
      <c r="H494" s="72">
        <v>820</v>
      </c>
      <c r="I494" s="72">
        <v>0</v>
      </c>
      <c r="J494" s="72">
        <v>170000</v>
      </c>
      <c r="K494" s="72">
        <v>305000</v>
      </c>
      <c r="L494" s="72">
        <v>4836243</v>
      </c>
      <c r="M494" s="72">
        <v>0</v>
      </c>
      <c r="N494" s="72">
        <v>0</v>
      </c>
      <c r="O494" s="72">
        <v>0</v>
      </c>
      <c r="P494" s="72">
        <v>0</v>
      </c>
      <c r="Q494" s="72">
        <v>0</v>
      </c>
      <c r="R494" s="72">
        <v>0</v>
      </c>
      <c r="S494" s="72">
        <v>4836243</v>
      </c>
      <c r="T494" s="72">
        <v>2700000</v>
      </c>
      <c r="U494" s="72">
        <v>984138</v>
      </c>
      <c r="V494" s="72">
        <v>465000</v>
      </c>
      <c r="W494" s="72">
        <v>180000</v>
      </c>
      <c r="X494" s="72">
        <v>80000</v>
      </c>
      <c r="Y494" s="72">
        <v>0</v>
      </c>
      <c r="Z494" s="72">
        <v>0</v>
      </c>
      <c r="AA494" s="72">
        <v>0</v>
      </c>
      <c r="AB494" s="72">
        <v>0</v>
      </c>
      <c r="AC494" s="72">
        <v>0</v>
      </c>
      <c r="AD494" s="72">
        <v>0</v>
      </c>
      <c r="AE494" s="72">
        <v>0</v>
      </c>
      <c r="AF494" s="72">
        <v>0</v>
      </c>
      <c r="AG494" s="72">
        <v>130000</v>
      </c>
      <c r="AH494" s="72">
        <v>4539138</v>
      </c>
      <c r="AI494" s="72">
        <v>0</v>
      </c>
      <c r="AJ494" s="72">
        <v>0</v>
      </c>
      <c r="AK494" s="72">
        <v>0</v>
      </c>
      <c r="AL494" s="72">
        <v>0</v>
      </c>
      <c r="AM494" s="72">
        <v>4539138</v>
      </c>
      <c r="AN494" s="72">
        <v>297105</v>
      </c>
      <c r="AO494" s="72">
        <v>3695444</v>
      </c>
      <c r="AP494" s="72">
        <v>3992549</v>
      </c>
      <c r="AQ494" s="72">
        <v>100000</v>
      </c>
      <c r="AR494" s="72">
        <v>0</v>
      </c>
      <c r="AS494" s="72">
        <v>0</v>
      </c>
      <c r="AT494" s="72">
        <v>0</v>
      </c>
      <c r="AU494" s="72">
        <v>0</v>
      </c>
      <c r="AV494" s="72">
        <v>0</v>
      </c>
      <c r="AW494" s="72">
        <v>0</v>
      </c>
      <c r="AX494" s="72">
        <v>0</v>
      </c>
      <c r="AY494" s="72">
        <v>0</v>
      </c>
      <c r="AZ494" s="72">
        <v>0</v>
      </c>
      <c r="BA494" s="72">
        <v>3892549</v>
      </c>
      <c r="BB494" s="72">
        <v>0</v>
      </c>
      <c r="BC494" s="72">
        <v>0</v>
      </c>
      <c r="BD494" s="72">
        <v>0</v>
      </c>
      <c r="BE494" s="72">
        <v>3892549</v>
      </c>
      <c r="BF494" s="72">
        <v>0</v>
      </c>
      <c r="BG494" s="72">
        <v>0</v>
      </c>
      <c r="BH494" s="72">
        <v>0</v>
      </c>
      <c r="BI494" s="72">
        <v>0</v>
      </c>
      <c r="BJ494" s="72">
        <v>3892549</v>
      </c>
      <c r="BK494" s="72">
        <v>42</v>
      </c>
      <c r="BL494" s="72">
        <v>384</v>
      </c>
      <c r="BM494" s="72">
        <v>0</v>
      </c>
      <c r="BN494" s="72">
        <v>0</v>
      </c>
      <c r="BO494" s="72">
        <v>0</v>
      </c>
      <c r="BP494" s="72">
        <v>0</v>
      </c>
      <c r="BQ494" s="72">
        <v>0</v>
      </c>
      <c r="BR494" s="72">
        <v>0</v>
      </c>
      <c r="BS494" s="72">
        <v>4836243</v>
      </c>
    </row>
    <row r="495" spans="1:71" x14ac:dyDescent="0.2">
      <c r="A495" t="s">
        <v>568</v>
      </c>
      <c r="B495" t="s">
        <v>1267</v>
      </c>
      <c r="C495" t="s">
        <v>58</v>
      </c>
      <c r="D495" s="72">
        <v>1356736</v>
      </c>
      <c r="E495" s="72">
        <v>71240</v>
      </c>
      <c r="F495" s="72">
        <v>1335904</v>
      </c>
      <c r="G495" s="72">
        <v>2738465</v>
      </c>
      <c r="H495" s="72">
        <v>14857</v>
      </c>
      <c r="I495" s="72">
        <v>0</v>
      </c>
      <c r="J495" s="72">
        <v>214630</v>
      </c>
      <c r="K495" s="72">
        <v>236259</v>
      </c>
      <c r="L495" s="72">
        <v>5968091</v>
      </c>
      <c r="M495" s="72">
        <v>0</v>
      </c>
      <c r="N495" s="72">
        <v>0</v>
      </c>
      <c r="O495" s="72">
        <v>0</v>
      </c>
      <c r="P495" s="72">
        <v>19010</v>
      </c>
      <c r="Q495" s="72">
        <v>0</v>
      </c>
      <c r="R495" s="72">
        <v>19010</v>
      </c>
      <c r="S495" s="72">
        <v>5987101</v>
      </c>
      <c r="T495" s="72">
        <v>3121186</v>
      </c>
      <c r="U495" s="72">
        <v>1179950</v>
      </c>
      <c r="V495" s="72">
        <v>1024315</v>
      </c>
      <c r="W495" s="72">
        <v>234491</v>
      </c>
      <c r="X495" s="72">
        <v>142115</v>
      </c>
      <c r="Y495" s="72">
        <v>0</v>
      </c>
      <c r="Z495" s="72">
        <v>0</v>
      </c>
      <c r="AA495" s="72">
        <v>0</v>
      </c>
      <c r="AB495" s="72">
        <v>0</v>
      </c>
      <c r="AC495" s="72">
        <v>0</v>
      </c>
      <c r="AD495" s="72">
        <v>0</v>
      </c>
      <c r="AE495" s="72">
        <v>0</v>
      </c>
      <c r="AF495" s="72">
        <v>0</v>
      </c>
      <c r="AG495" s="72">
        <v>109793</v>
      </c>
      <c r="AH495" s="72">
        <v>5811850</v>
      </c>
      <c r="AI495" s="72">
        <v>53000</v>
      </c>
      <c r="AJ495" s="72">
        <v>0</v>
      </c>
      <c r="AK495" s="72">
        <v>0</v>
      </c>
      <c r="AL495" s="72">
        <v>53000</v>
      </c>
      <c r="AM495" s="72">
        <v>5864850</v>
      </c>
      <c r="AN495" s="72">
        <v>122251</v>
      </c>
      <c r="AO495" s="72">
        <v>2664089</v>
      </c>
      <c r="AP495" s="72">
        <v>2786340</v>
      </c>
      <c r="AQ495" s="72">
        <v>100000</v>
      </c>
      <c r="AR495" s="72">
        <v>0</v>
      </c>
      <c r="AS495" s="72">
        <v>0</v>
      </c>
      <c r="AT495" s="72">
        <v>0</v>
      </c>
      <c r="AU495" s="72">
        <v>0</v>
      </c>
      <c r="AV495" s="72">
        <v>0</v>
      </c>
      <c r="AW495" s="72">
        <v>0</v>
      </c>
      <c r="AX495" s="72">
        <v>0</v>
      </c>
      <c r="AY495" s="72">
        <v>0</v>
      </c>
      <c r="AZ495" s="72">
        <v>0</v>
      </c>
      <c r="BA495" s="72">
        <v>2686340</v>
      </c>
      <c r="BB495" s="72">
        <v>0</v>
      </c>
      <c r="BC495" s="72">
        <v>0</v>
      </c>
      <c r="BD495" s="72">
        <v>0</v>
      </c>
      <c r="BE495" s="72">
        <v>2686340</v>
      </c>
      <c r="BF495" s="72">
        <v>0</v>
      </c>
      <c r="BG495" s="72">
        <v>0</v>
      </c>
      <c r="BH495" s="72">
        <v>0</v>
      </c>
      <c r="BI495" s="72">
        <v>0</v>
      </c>
      <c r="BJ495" s="72">
        <v>2686340</v>
      </c>
      <c r="BK495" s="72">
        <v>0</v>
      </c>
      <c r="BL495" s="72">
        <v>593</v>
      </c>
      <c r="BM495" s="72">
        <v>0</v>
      </c>
      <c r="BN495" s="72">
        <v>0</v>
      </c>
      <c r="BO495" s="72">
        <v>0</v>
      </c>
      <c r="BP495" s="72">
        <v>0</v>
      </c>
      <c r="BQ495" s="72">
        <v>0</v>
      </c>
      <c r="BR495" s="72">
        <v>0</v>
      </c>
      <c r="BS495" s="72">
        <v>5987101</v>
      </c>
    </row>
    <row r="496" spans="1:71" x14ac:dyDescent="0.2">
      <c r="A496" t="s">
        <v>225</v>
      </c>
      <c r="B496" t="s">
        <v>943</v>
      </c>
      <c r="C496" t="s">
        <v>53</v>
      </c>
      <c r="D496" s="72">
        <v>3271875</v>
      </c>
      <c r="E496" s="72">
        <v>349000</v>
      </c>
      <c r="F496" s="72">
        <v>1223620</v>
      </c>
      <c r="G496" s="72">
        <v>8255000</v>
      </c>
      <c r="H496" s="72">
        <v>80000</v>
      </c>
      <c r="I496" s="72">
        <v>0</v>
      </c>
      <c r="J496" s="72">
        <v>512000</v>
      </c>
      <c r="K496" s="72">
        <v>1303400</v>
      </c>
      <c r="L496" s="72">
        <v>14994895</v>
      </c>
      <c r="M496" s="72">
        <v>0</v>
      </c>
      <c r="N496" s="72">
        <v>0</v>
      </c>
      <c r="O496" s="72">
        <v>0</v>
      </c>
      <c r="P496" s="72">
        <v>95000</v>
      </c>
      <c r="Q496" s="72">
        <v>62000</v>
      </c>
      <c r="R496" s="72">
        <v>157000</v>
      </c>
      <c r="S496" s="72">
        <v>15151895</v>
      </c>
      <c r="T496" s="72">
        <v>7665199</v>
      </c>
      <c r="U496" s="72">
        <v>3876534</v>
      </c>
      <c r="V496" s="72">
        <v>2101311</v>
      </c>
      <c r="W496" s="72">
        <v>569695</v>
      </c>
      <c r="X496" s="72">
        <v>383450</v>
      </c>
      <c r="Y496" s="72">
        <v>0</v>
      </c>
      <c r="Z496" s="72">
        <v>0</v>
      </c>
      <c r="AA496" s="72">
        <v>0</v>
      </c>
      <c r="AB496" s="72">
        <v>0</v>
      </c>
      <c r="AC496" s="72">
        <v>0</v>
      </c>
      <c r="AD496" s="72">
        <v>0</v>
      </c>
      <c r="AE496" s="72">
        <v>0</v>
      </c>
      <c r="AF496" s="72">
        <v>0</v>
      </c>
      <c r="AG496" s="72">
        <v>197050</v>
      </c>
      <c r="AH496" s="72">
        <v>14793239</v>
      </c>
      <c r="AJ496" s="72">
        <v>0</v>
      </c>
      <c r="AK496" s="72">
        <v>0</v>
      </c>
      <c r="AM496" s="72">
        <v>15143239</v>
      </c>
      <c r="AO496" s="72">
        <v>6030032</v>
      </c>
      <c r="AP496" s="72">
        <v>6038688</v>
      </c>
      <c r="AQ496" s="72">
        <v>25000</v>
      </c>
      <c r="AR496" s="72">
        <v>0</v>
      </c>
      <c r="AS496" s="72">
        <v>0</v>
      </c>
      <c r="AT496" s="72">
        <v>0</v>
      </c>
      <c r="AU496" s="72">
        <v>0</v>
      </c>
      <c r="AV496" s="72">
        <v>0</v>
      </c>
      <c r="AW496" s="72">
        <v>0</v>
      </c>
      <c r="AX496" s="72">
        <v>0</v>
      </c>
      <c r="AY496" s="72">
        <v>0</v>
      </c>
      <c r="AZ496" s="72">
        <v>0</v>
      </c>
      <c r="BA496" s="72">
        <v>6013688</v>
      </c>
      <c r="BB496" s="72">
        <v>0</v>
      </c>
      <c r="BC496" s="72">
        <v>0</v>
      </c>
      <c r="BD496" s="72">
        <v>0</v>
      </c>
      <c r="BE496" s="72">
        <v>6013688</v>
      </c>
      <c r="BF496" s="72">
        <v>0</v>
      </c>
      <c r="BG496" s="72">
        <v>0</v>
      </c>
      <c r="BH496" s="72">
        <v>0</v>
      </c>
      <c r="BI496" s="72">
        <v>0</v>
      </c>
      <c r="BJ496" s="72">
        <v>6013688</v>
      </c>
      <c r="BK496" s="72">
        <v>126</v>
      </c>
      <c r="BL496" s="72">
        <v>1707</v>
      </c>
      <c r="BM496" s="72">
        <v>0</v>
      </c>
      <c r="BN496" s="72">
        <v>0</v>
      </c>
      <c r="BO496" s="72">
        <v>0</v>
      </c>
      <c r="BP496" s="72">
        <v>0</v>
      </c>
      <c r="BQ496" s="72">
        <v>0</v>
      </c>
      <c r="BR496" s="72">
        <v>0</v>
      </c>
      <c r="BS496" s="72">
        <v>15151895</v>
      </c>
    </row>
    <row r="497" spans="1:71" x14ac:dyDescent="0.2">
      <c r="A497" t="s">
        <v>252</v>
      </c>
      <c r="B497" t="s">
        <v>969</v>
      </c>
      <c r="C497" t="s">
        <v>53</v>
      </c>
      <c r="D497" s="72">
        <v>1980000</v>
      </c>
      <c r="E497" s="72">
        <v>390000</v>
      </c>
      <c r="F497" s="72">
        <v>0</v>
      </c>
      <c r="G497" s="72">
        <v>7188000</v>
      </c>
      <c r="H497" s="72">
        <v>50268</v>
      </c>
      <c r="I497" s="72">
        <v>0</v>
      </c>
      <c r="J497" s="72">
        <v>320000</v>
      </c>
      <c r="K497" s="72">
        <v>313360</v>
      </c>
      <c r="L497" s="72">
        <v>10241628</v>
      </c>
      <c r="M497" s="72">
        <v>0</v>
      </c>
      <c r="N497" s="72">
        <v>0</v>
      </c>
      <c r="O497" s="72">
        <v>0</v>
      </c>
      <c r="P497" s="72">
        <v>56000</v>
      </c>
      <c r="Q497" s="72">
        <v>35532</v>
      </c>
      <c r="R497" s="72">
        <v>91532</v>
      </c>
      <c r="S497" s="72">
        <v>10333160</v>
      </c>
      <c r="T497" s="72">
        <v>6164626</v>
      </c>
      <c r="U497" s="72">
        <v>2359303</v>
      </c>
      <c r="V497" s="72">
        <v>1506618</v>
      </c>
      <c r="W497" s="72">
        <v>325630</v>
      </c>
      <c r="X497" s="72">
        <v>25000</v>
      </c>
      <c r="Y497" s="72">
        <v>0</v>
      </c>
      <c r="Z497" s="72">
        <v>0</v>
      </c>
      <c r="AA497" s="72">
        <v>0</v>
      </c>
      <c r="AB497" s="72">
        <v>0</v>
      </c>
      <c r="AC497" s="72">
        <v>0</v>
      </c>
      <c r="AD497" s="72">
        <v>0</v>
      </c>
      <c r="AE497" s="72">
        <v>0</v>
      </c>
      <c r="AF497" s="72">
        <v>0</v>
      </c>
      <c r="AG497" s="72">
        <v>115439</v>
      </c>
      <c r="AH497" s="72">
        <v>10496616</v>
      </c>
      <c r="AI497" s="72">
        <v>0</v>
      </c>
      <c r="AJ497" s="72">
        <v>50000</v>
      </c>
      <c r="AK497" s="72">
        <v>0</v>
      </c>
      <c r="AL497" s="72">
        <v>50000</v>
      </c>
      <c r="AM497" s="72">
        <v>10546616</v>
      </c>
      <c r="AN497" s="72">
        <v>-213456</v>
      </c>
      <c r="AO497" s="72">
        <v>6126191</v>
      </c>
      <c r="AP497" s="72">
        <v>5912735</v>
      </c>
      <c r="AQ497" s="72">
        <v>75000</v>
      </c>
      <c r="AR497" s="72">
        <v>0</v>
      </c>
      <c r="AS497" s="72">
        <v>0</v>
      </c>
      <c r="AT497" s="72">
        <v>653831</v>
      </c>
      <c r="AU497" s="72">
        <v>0</v>
      </c>
      <c r="AV497" s="72">
        <v>0</v>
      </c>
      <c r="AW497" s="72">
        <v>0</v>
      </c>
      <c r="AX497" s="72">
        <v>0</v>
      </c>
      <c r="AY497" s="72">
        <v>0</v>
      </c>
      <c r="AZ497" s="72">
        <v>653831</v>
      </c>
      <c r="BA497" s="72">
        <v>5183904</v>
      </c>
      <c r="BB497" s="72">
        <v>0</v>
      </c>
      <c r="BC497" s="72">
        <v>0</v>
      </c>
      <c r="BD497" s="72">
        <v>0</v>
      </c>
      <c r="BE497" s="72">
        <v>5183904</v>
      </c>
      <c r="BF497" s="72">
        <v>0</v>
      </c>
      <c r="BG497" s="72">
        <v>0</v>
      </c>
      <c r="BH497" s="72">
        <v>0</v>
      </c>
      <c r="BI497" s="72">
        <v>0</v>
      </c>
      <c r="BJ497" s="72">
        <v>5183904</v>
      </c>
      <c r="BK497" s="72">
        <v>90</v>
      </c>
      <c r="BL497" s="72">
        <v>1120</v>
      </c>
      <c r="BM497" s="72">
        <v>0</v>
      </c>
      <c r="BN497" s="72">
        <v>0</v>
      </c>
      <c r="BO497" s="72">
        <v>0</v>
      </c>
      <c r="BP497" s="72">
        <v>0</v>
      </c>
      <c r="BQ497" s="72">
        <v>0</v>
      </c>
      <c r="BR497" s="72">
        <v>0</v>
      </c>
      <c r="BS497" s="72">
        <v>10546616</v>
      </c>
    </row>
    <row r="498" spans="1:71" x14ac:dyDescent="0.2">
      <c r="A498" t="s">
        <v>417</v>
      </c>
      <c r="B498" t="s">
        <v>1125</v>
      </c>
      <c r="C498" t="s">
        <v>53</v>
      </c>
      <c r="D498" s="72">
        <v>10700000</v>
      </c>
      <c r="E498" s="72">
        <v>318000</v>
      </c>
      <c r="F498" s="72">
        <v>0</v>
      </c>
      <c r="G498" s="72">
        <v>9138560</v>
      </c>
      <c r="H498" s="72">
        <v>5013</v>
      </c>
      <c r="I498" s="72">
        <v>0</v>
      </c>
      <c r="J498" s="72">
        <v>1720539</v>
      </c>
      <c r="K498" s="72">
        <v>386280</v>
      </c>
      <c r="L498" s="72">
        <v>22268392</v>
      </c>
      <c r="M498" s="72">
        <v>0</v>
      </c>
      <c r="N498" s="72">
        <v>0</v>
      </c>
      <c r="O498" s="72">
        <v>0</v>
      </c>
      <c r="P498" s="72">
        <v>88948</v>
      </c>
      <c r="Q498" s="72">
        <v>140000</v>
      </c>
      <c r="R498" s="72">
        <v>228948</v>
      </c>
      <c r="S498" s="72">
        <v>22497340</v>
      </c>
      <c r="T498" s="72">
        <v>11977758</v>
      </c>
      <c r="U498" s="72">
        <v>4972801</v>
      </c>
      <c r="V498" s="72">
        <v>3178802</v>
      </c>
      <c r="W498" s="72">
        <v>723800</v>
      </c>
      <c r="X498" s="72">
        <v>25500</v>
      </c>
      <c r="Y498" s="72">
        <v>0</v>
      </c>
      <c r="Z498" s="72">
        <v>0</v>
      </c>
      <c r="AA498" s="72">
        <v>0</v>
      </c>
      <c r="AB498" s="72">
        <v>0</v>
      </c>
      <c r="AC498" s="72">
        <v>0</v>
      </c>
      <c r="AD498" s="72">
        <v>0</v>
      </c>
      <c r="AE498" s="72">
        <v>0</v>
      </c>
      <c r="AF498" s="72">
        <v>0</v>
      </c>
      <c r="AG498" s="72">
        <v>307322</v>
      </c>
      <c r="AH498" s="72">
        <v>21185983</v>
      </c>
      <c r="AI498" s="72">
        <v>45000</v>
      </c>
      <c r="AJ498" s="72">
        <v>0</v>
      </c>
      <c r="AK498" s="72">
        <v>0</v>
      </c>
      <c r="AL498" s="72">
        <v>45000</v>
      </c>
      <c r="AM498" s="72">
        <v>21230983</v>
      </c>
      <c r="AN498" s="72">
        <v>1266357</v>
      </c>
      <c r="AO498" s="72">
        <v>2278052</v>
      </c>
      <c r="AP498" s="72">
        <v>3544409</v>
      </c>
      <c r="AQ498" s="72">
        <v>95000</v>
      </c>
      <c r="AR498" s="72">
        <v>0</v>
      </c>
      <c r="AS498" s="72">
        <v>0</v>
      </c>
      <c r="AT498" s="72">
        <v>87929</v>
      </c>
      <c r="AU498" s="72">
        <v>0</v>
      </c>
      <c r="AV498" s="72">
        <v>0</v>
      </c>
      <c r="AW498" s="72">
        <v>0</v>
      </c>
      <c r="AX498" s="72">
        <v>0</v>
      </c>
      <c r="AY498" s="72">
        <v>0</v>
      </c>
      <c r="AZ498" s="72">
        <v>87929</v>
      </c>
      <c r="BA498" s="72">
        <v>3361480</v>
      </c>
      <c r="BB498" s="72">
        <v>0</v>
      </c>
      <c r="BC498" s="72">
        <v>0</v>
      </c>
      <c r="BD498" s="72">
        <v>0</v>
      </c>
      <c r="BE498" s="72">
        <v>3361480</v>
      </c>
      <c r="BF498" s="72">
        <v>0</v>
      </c>
      <c r="BG498" s="72">
        <v>0</v>
      </c>
      <c r="BH498" s="72">
        <v>0</v>
      </c>
      <c r="BI498" s="72">
        <v>0</v>
      </c>
      <c r="BJ498" s="72">
        <v>3361480</v>
      </c>
      <c r="BK498" s="72">
        <v>95</v>
      </c>
      <c r="BL498" s="72">
        <v>2430</v>
      </c>
      <c r="BM498" s="72">
        <v>0</v>
      </c>
      <c r="BN498" s="72">
        <v>0</v>
      </c>
      <c r="BO498" s="72">
        <v>0</v>
      </c>
      <c r="BP498" s="72">
        <v>0</v>
      </c>
      <c r="BQ498" s="72">
        <v>0</v>
      </c>
      <c r="BR498" s="72">
        <v>0</v>
      </c>
      <c r="BS498" s="72">
        <v>22497340</v>
      </c>
    </row>
    <row r="499" spans="1:71" x14ac:dyDescent="0.2">
      <c r="A499" t="s">
        <v>439</v>
      </c>
      <c r="B499" t="s">
        <v>1147</v>
      </c>
      <c r="C499" t="s">
        <v>53</v>
      </c>
      <c r="D499" s="72">
        <v>2175000</v>
      </c>
      <c r="F499" s="72">
        <v>0</v>
      </c>
      <c r="G499" s="72">
        <v>2005000</v>
      </c>
      <c r="H499" s="72">
        <v>2000</v>
      </c>
      <c r="I499" s="72">
        <v>0</v>
      </c>
      <c r="J499" s="72">
        <v>330000</v>
      </c>
      <c r="K499" s="72">
        <v>374400</v>
      </c>
      <c r="L499" s="72">
        <v>5321400</v>
      </c>
      <c r="M499" s="72">
        <v>0</v>
      </c>
      <c r="N499" s="72">
        <v>0</v>
      </c>
      <c r="O499" s="72">
        <v>0</v>
      </c>
      <c r="P499" s="72">
        <v>0</v>
      </c>
      <c r="Q499" s="72">
        <v>18570</v>
      </c>
      <c r="R499" s="72">
        <v>18570</v>
      </c>
      <c r="S499" s="72">
        <v>5339970</v>
      </c>
      <c r="T499" s="72">
        <v>3025935</v>
      </c>
      <c r="U499" s="72">
        <v>921643</v>
      </c>
      <c r="V499" s="72">
        <v>816620</v>
      </c>
      <c r="W499" s="72">
        <v>194332</v>
      </c>
      <c r="X499" s="72">
        <v>49765</v>
      </c>
      <c r="Y499" s="72">
        <v>0</v>
      </c>
      <c r="Z499" s="72">
        <v>0</v>
      </c>
      <c r="AA499" s="72">
        <v>0</v>
      </c>
      <c r="AB499" s="72">
        <v>0</v>
      </c>
      <c r="AC499" s="72">
        <v>0</v>
      </c>
      <c r="AD499" s="72">
        <v>37000</v>
      </c>
      <c r="AE499" s="72">
        <v>0</v>
      </c>
      <c r="AF499" s="72">
        <v>3434</v>
      </c>
      <c r="AG499" s="72">
        <v>164328</v>
      </c>
      <c r="AH499" s="72">
        <v>5213057</v>
      </c>
      <c r="AI499" s="72">
        <v>100000</v>
      </c>
      <c r="AJ499" s="72">
        <v>0</v>
      </c>
      <c r="AK499" s="72">
        <v>0</v>
      </c>
      <c r="AL499" s="72">
        <v>100000</v>
      </c>
      <c r="AM499" s="72">
        <v>5313057</v>
      </c>
      <c r="AN499" s="72">
        <v>26913</v>
      </c>
      <c r="AO499" s="72">
        <v>4332110</v>
      </c>
      <c r="AP499" s="72">
        <v>4359023</v>
      </c>
      <c r="AQ499" s="72">
        <v>25000</v>
      </c>
      <c r="AR499" s="72">
        <v>0</v>
      </c>
      <c r="AS499" s="72">
        <v>0</v>
      </c>
      <c r="AT499" s="72">
        <v>0</v>
      </c>
      <c r="AU499" s="72">
        <v>0</v>
      </c>
      <c r="AV499" s="72">
        <v>0</v>
      </c>
      <c r="AW499" s="72">
        <v>0</v>
      </c>
      <c r="AX499" s="72">
        <v>0</v>
      </c>
      <c r="AY499" s="72">
        <v>0</v>
      </c>
      <c r="AZ499" s="72">
        <v>0</v>
      </c>
      <c r="BA499" s="72">
        <v>4334023</v>
      </c>
      <c r="BB499" s="72">
        <v>0</v>
      </c>
      <c r="BC499" s="72">
        <v>0</v>
      </c>
      <c r="BD499" s="72">
        <v>0</v>
      </c>
      <c r="BE499" s="72">
        <v>4334023</v>
      </c>
      <c r="BF499" s="72">
        <v>0</v>
      </c>
      <c r="BG499" s="72">
        <v>0</v>
      </c>
      <c r="BH499" s="72">
        <v>0</v>
      </c>
      <c r="BI499" s="72">
        <v>0</v>
      </c>
      <c r="BJ499" s="72">
        <v>4334023</v>
      </c>
      <c r="BK499" s="72">
        <v>0</v>
      </c>
      <c r="BS499" s="72">
        <v>5339970</v>
      </c>
    </row>
    <row r="500" spans="1:71" x14ac:dyDescent="0.2">
      <c r="A500" t="s">
        <v>444</v>
      </c>
      <c r="B500" t="s">
        <v>1151</v>
      </c>
      <c r="C500" t="s">
        <v>53</v>
      </c>
      <c r="D500" s="72">
        <v>9118641</v>
      </c>
      <c r="E500" s="72">
        <v>813897</v>
      </c>
      <c r="F500" s="72">
        <v>0</v>
      </c>
      <c r="G500" s="72">
        <v>13921935</v>
      </c>
      <c r="H500" s="72">
        <v>537092</v>
      </c>
      <c r="I500" s="72">
        <v>0</v>
      </c>
      <c r="J500" s="72">
        <v>3656853</v>
      </c>
      <c r="K500" s="72">
        <v>1565311</v>
      </c>
      <c r="L500" s="72">
        <v>29613728</v>
      </c>
      <c r="M500" s="72">
        <v>0</v>
      </c>
      <c r="N500" s="72">
        <v>0</v>
      </c>
      <c r="O500" s="72">
        <v>0</v>
      </c>
      <c r="P500" s="72">
        <v>0</v>
      </c>
      <c r="Q500" s="72">
        <v>194470</v>
      </c>
      <c r="R500" s="72">
        <v>194470</v>
      </c>
      <c r="S500" s="72">
        <v>29808198</v>
      </c>
      <c r="T500" s="72">
        <v>14768298</v>
      </c>
      <c r="U500" s="72">
        <v>8961795</v>
      </c>
      <c r="V500" s="72">
        <v>5342087</v>
      </c>
      <c r="W500" s="72">
        <v>928740</v>
      </c>
      <c r="X500" s="72">
        <v>499707</v>
      </c>
      <c r="Y500" s="72">
        <v>0</v>
      </c>
      <c r="Z500" s="72">
        <v>0</v>
      </c>
      <c r="AA500" s="72">
        <v>0</v>
      </c>
      <c r="AB500" s="72">
        <v>0</v>
      </c>
      <c r="AC500" s="72">
        <v>0</v>
      </c>
      <c r="AD500" s="72">
        <v>0</v>
      </c>
      <c r="AE500" s="72">
        <v>0</v>
      </c>
      <c r="AF500" s="72">
        <v>0</v>
      </c>
      <c r="AG500" s="72">
        <v>322192</v>
      </c>
      <c r="AH500" s="72">
        <v>30822819</v>
      </c>
      <c r="AI500" s="72">
        <v>25000</v>
      </c>
      <c r="AJ500" s="72">
        <v>0</v>
      </c>
      <c r="AK500" s="72">
        <v>0</v>
      </c>
      <c r="AL500" s="72">
        <v>25000</v>
      </c>
      <c r="AM500" s="72">
        <v>30847819</v>
      </c>
      <c r="AN500" s="72">
        <v>-1039621</v>
      </c>
      <c r="AO500" s="72">
        <v>4520371</v>
      </c>
      <c r="AP500" s="72">
        <v>3480750</v>
      </c>
      <c r="AQ500" s="72">
        <v>0</v>
      </c>
      <c r="AR500" s="72">
        <v>0</v>
      </c>
      <c r="AS500" s="72">
        <v>0</v>
      </c>
      <c r="AT500" s="72">
        <v>0</v>
      </c>
      <c r="AU500" s="72">
        <v>0</v>
      </c>
      <c r="AV500" s="72">
        <v>0</v>
      </c>
      <c r="AW500" s="72">
        <v>0</v>
      </c>
      <c r="AX500" s="72">
        <v>0</v>
      </c>
      <c r="AY500" s="72">
        <v>0</v>
      </c>
      <c r="AZ500" s="72">
        <v>0</v>
      </c>
      <c r="BA500" s="72">
        <v>3480750</v>
      </c>
      <c r="BB500" s="72">
        <v>0</v>
      </c>
      <c r="BC500" s="72">
        <v>0</v>
      </c>
      <c r="BD500" s="72">
        <v>0</v>
      </c>
      <c r="BE500" s="72">
        <v>3480750</v>
      </c>
      <c r="BF500" s="72">
        <v>0</v>
      </c>
      <c r="BG500" s="72">
        <v>0</v>
      </c>
      <c r="BH500" s="72">
        <v>0</v>
      </c>
      <c r="BI500" s="72">
        <v>0</v>
      </c>
      <c r="BJ500" s="72">
        <v>3480750</v>
      </c>
      <c r="BM500" s="72">
        <v>0</v>
      </c>
      <c r="BN500" s="72">
        <v>0</v>
      </c>
      <c r="BO500" s="72">
        <v>0</v>
      </c>
      <c r="BP500" s="72">
        <v>0</v>
      </c>
      <c r="BQ500" s="72">
        <v>0</v>
      </c>
      <c r="BR500" s="72">
        <v>0</v>
      </c>
      <c r="BS500" s="72">
        <v>30847819</v>
      </c>
    </row>
    <row r="501" spans="1:71" x14ac:dyDescent="0.2">
      <c r="A501" t="s">
        <v>588</v>
      </c>
      <c r="B501" t="s">
        <v>1285</v>
      </c>
      <c r="C501" t="s">
        <v>53</v>
      </c>
      <c r="D501" s="72">
        <v>1497622</v>
      </c>
      <c r="E501" s="72">
        <v>0</v>
      </c>
      <c r="F501" s="72">
        <v>885638</v>
      </c>
      <c r="G501" s="72">
        <v>5020537</v>
      </c>
      <c r="H501" s="72">
        <v>60547</v>
      </c>
      <c r="I501" s="72">
        <v>0</v>
      </c>
      <c r="J501" s="72">
        <v>265000</v>
      </c>
      <c r="K501" s="72">
        <v>457300</v>
      </c>
      <c r="L501" s="72">
        <v>8186644</v>
      </c>
      <c r="M501" s="72">
        <v>0</v>
      </c>
      <c r="N501" s="72">
        <v>0</v>
      </c>
      <c r="O501" s="72">
        <v>0</v>
      </c>
      <c r="P501" s="72">
        <v>0</v>
      </c>
      <c r="Q501" s="72">
        <v>60000</v>
      </c>
      <c r="R501" s="72">
        <v>60000</v>
      </c>
      <c r="S501" s="72">
        <v>8246644</v>
      </c>
      <c r="T501" s="72">
        <v>4277311</v>
      </c>
      <c r="U501" s="72">
        <v>1865270</v>
      </c>
      <c r="V501" s="72">
        <v>1815600</v>
      </c>
      <c r="W501" s="72">
        <v>226197</v>
      </c>
      <c r="X501" s="72">
        <v>39538</v>
      </c>
      <c r="Y501" s="72">
        <v>0</v>
      </c>
      <c r="Z501" s="72">
        <v>0</v>
      </c>
      <c r="AA501" s="72">
        <v>0</v>
      </c>
      <c r="AB501" s="72">
        <v>0</v>
      </c>
      <c r="AC501" s="72">
        <v>0</v>
      </c>
      <c r="AD501" s="72">
        <v>0</v>
      </c>
      <c r="AE501" s="72">
        <v>0</v>
      </c>
      <c r="AF501" s="72">
        <v>0</v>
      </c>
      <c r="AG501" s="72">
        <v>134907</v>
      </c>
      <c r="AH501" s="72">
        <v>8358823</v>
      </c>
      <c r="AI501" s="72">
        <v>46000</v>
      </c>
      <c r="AJ501" s="72">
        <v>0</v>
      </c>
      <c r="AK501" s="72">
        <v>0</v>
      </c>
      <c r="AL501" s="72">
        <v>46000</v>
      </c>
      <c r="AM501" s="72">
        <v>8404823</v>
      </c>
      <c r="AN501" s="72">
        <v>-158179</v>
      </c>
      <c r="AO501" s="72">
        <v>2653312</v>
      </c>
      <c r="AP501" s="72">
        <v>2495133</v>
      </c>
      <c r="AQ501" s="72">
        <v>179000</v>
      </c>
      <c r="AR501" s="72">
        <v>0</v>
      </c>
      <c r="AS501" s="72">
        <v>0</v>
      </c>
      <c r="AT501" s="72">
        <v>0</v>
      </c>
      <c r="AU501" s="72">
        <v>0</v>
      </c>
      <c r="AV501" s="72">
        <v>0</v>
      </c>
      <c r="AW501" s="72">
        <v>0</v>
      </c>
      <c r="AX501" s="72">
        <v>0</v>
      </c>
      <c r="AY501" s="72">
        <v>25818</v>
      </c>
      <c r="AZ501" s="72">
        <v>25818</v>
      </c>
      <c r="BA501" s="72">
        <v>2290315</v>
      </c>
      <c r="BB501" s="72">
        <v>0</v>
      </c>
      <c r="BC501" s="72">
        <v>0</v>
      </c>
      <c r="BD501" s="72">
        <v>0</v>
      </c>
      <c r="BE501" s="72">
        <v>2290315</v>
      </c>
      <c r="BF501" s="72">
        <v>0</v>
      </c>
      <c r="BG501" s="72">
        <v>0</v>
      </c>
      <c r="BH501" s="72">
        <v>0</v>
      </c>
      <c r="BI501" s="72">
        <v>0</v>
      </c>
      <c r="BJ501" s="72">
        <v>2290315</v>
      </c>
      <c r="BK501" s="72">
        <v>61</v>
      </c>
      <c r="BL501" s="72">
        <v>761</v>
      </c>
      <c r="BM501" s="72">
        <v>0</v>
      </c>
      <c r="BN501" s="72">
        <v>0</v>
      </c>
      <c r="BO501" s="72">
        <v>0</v>
      </c>
      <c r="BP501" s="72">
        <v>0</v>
      </c>
      <c r="BQ501" s="72">
        <v>0</v>
      </c>
      <c r="BR501" s="72">
        <v>0</v>
      </c>
      <c r="BS501" s="72">
        <v>8404823</v>
      </c>
    </row>
    <row r="502" spans="1:71" x14ac:dyDescent="0.2">
      <c r="A502" t="s">
        <v>557</v>
      </c>
      <c r="B502" t="s">
        <v>1256</v>
      </c>
      <c r="C502" t="s">
        <v>53</v>
      </c>
      <c r="D502" s="72">
        <v>8414004</v>
      </c>
      <c r="E502" s="72">
        <v>0</v>
      </c>
      <c r="F502" s="72">
        <v>0</v>
      </c>
      <c r="G502" s="72">
        <v>2461350</v>
      </c>
      <c r="H502" s="72">
        <v>14277</v>
      </c>
      <c r="I502" s="72">
        <v>0</v>
      </c>
      <c r="J502" s="72">
        <v>2524851</v>
      </c>
      <c r="K502" s="72">
        <v>2129124</v>
      </c>
      <c r="L502" s="72">
        <v>15543606</v>
      </c>
      <c r="M502" s="72">
        <v>0</v>
      </c>
      <c r="N502" s="72">
        <v>0</v>
      </c>
      <c r="O502" s="72">
        <v>0</v>
      </c>
      <c r="P502" s="72">
        <v>0</v>
      </c>
      <c r="Q502" s="72">
        <v>47200</v>
      </c>
      <c r="R502" s="72">
        <v>47200</v>
      </c>
      <c r="S502" s="72">
        <v>15590806</v>
      </c>
      <c r="T502" s="72">
        <v>8683383</v>
      </c>
      <c r="U502" s="72">
        <v>3278861</v>
      </c>
      <c r="V502" s="72">
        <v>2596142</v>
      </c>
      <c r="W502" s="72">
        <v>579136</v>
      </c>
      <c r="X502" s="72">
        <v>151875</v>
      </c>
      <c r="Y502" s="72">
        <v>0</v>
      </c>
      <c r="Z502" s="72">
        <v>0</v>
      </c>
      <c r="AA502" s="72">
        <v>0</v>
      </c>
      <c r="AB502" s="72">
        <v>0</v>
      </c>
      <c r="AC502" s="72">
        <v>0</v>
      </c>
      <c r="AD502" s="72">
        <v>66000</v>
      </c>
      <c r="AE502" s="72">
        <v>0</v>
      </c>
      <c r="AF502" s="72">
        <v>51366</v>
      </c>
      <c r="AG502" s="72">
        <v>529393</v>
      </c>
      <c r="AH502" s="72">
        <v>15936156</v>
      </c>
      <c r="AI502" s="72">
        <v>6703</v>
      </c>
      <c r="AJ502" s="72">
        <v>0</v>
      </c>
      <c r="AK502" s="72">
        <v>0</v>
      </c>
      <c r="AL502" s="72">
        <v>6703</v>
      </c>
      <c r="AM502" s="72">
        <v>15942859</v>
      </c>
      <c r="AN502" s="72">
        <v>-352053</v>
      </c>
      <c r="AO502" s="72">
        <v>4492412</v>
      </c>
      <c r="AP502" s="72">
        <v>4140359</v>
      </c>
      <c r="AQ502" s="72">
        <v>3250</v>
      </c>
      <c r="AR502" s="72">
        <v>0</v>
      </c>
      <c r="AS502" s="72">
        <v>0</v>
      </c>
      <c r="AT502" s="72">
        <v>0</v>
      </c>
      <c r="AU502" s="72">
        <v>0</v>
      </c>
      <c r="AV502" s="72">
        <v>0</v>
      </c>
      <c r="AW502" s="72">
        <v>0</v>
      </c>
      <c r="AX502" s="72">
        <v>0</v>
      </c>
      <c r="AY502" s="72">
        <v>0</v>
      </c>
      <c r="AZ502" s="72">
        <v>0</v>
      </c>
      <c r="BA502" s="72">
        <v>4137109</v>
      </c>
      <c r="BB502" s="72">
        <v>0</v>
      </c>
      <c r="BC502" s="72">
        <v>0</v>
      </c>
      <c r="BD502" s="72">
        <v>0</v>
      </c>
      <c r="BE502" s="72">
        <v>4137109</v>
      </c>
      <c r="BF502" s="72">
        <v>0</v>
      </c>
      <c r="BG502" s="72">
        <v>0</v>
      </c>
      <c r="BH502" s="72">
        <v>0</v>
      </c>
      <c r="BI502" s="72">
        <v>0</v>
      </c>
      <c r="BJ502" s="72">
        <v>4137109</v>
      </c>
      <c r="BK502" s="72">
        <v>135</v>
      </c>
      <c r="BL502" s="72">
        <v>1814</v>
      </c>
      <c r="BM502" s="72">
        <v>0</v>
      </c>
      <c r="BN502" s="72">
        <v>0</v>
      </c>
      <c r="BO502" s="72">
        <v>0</v>
      </c>
      <c r="BP502" s="72">
        <v>0</v>
      </c>
      <c r="BQ502" s="72">
        <v>0</v>
      </c>
      <c r="BR502" s="72">
        <v>0</v>
      </c>
      <c r="BS502" s="72">
        <v>15942859</v>
      </c>
    </row>
    <row r="503" spans="1:71" x14ac:dyDescent="0.2">
      <c r="A503" t="s">
        <v>116</v>
      </c>
      <c r="B503" t="s">
        <v>837</v>
      </c>
      <c r="C503" t="s">
        <v>69</v>
      </c>
      <c r="D503" s="72">
        <v>1906458</v>
      </c>
      <c r="E503" s="72">
        <v>138664</v>
      </c>
      <c r="F503" s="72">
        <v>87278</v>
      </c>
      <c r="G503" s="72">
        <v>6578675</v>
      </c>
      <c r="H503" s="72">
        <v>0</v>
      </c>
      <c r="I503" s="72">
        <v>0</v>
      </c>
      <c r="J503" s="72">
        <v>320083</v>
      </c>
      <c r="K503" s="72">
        <v>771572</v>
      </c>
      <c r="L503" s="72">
        <v>9802730</v>
      </c>
      <c r="M503" s="72">
        <v>0</v>
      </c>
      <c r="N503" s="72">
        <v>0</v>
      </c>
      <c r="O503" s="72">
        <v>0</v>
      </c>
      <c r="P503" s="72">
        <v>5635</v>
      </c>
      <c r="Q503" s="72">
        <v>33666</v>
      </c>
      <c r="R503" s="72">
        <v>39301</v>
      </c>
      <c r="S503" s="72">
        <v>9842031</v>
      </c>
      <c r="T503" s="72">
        <v>5745000</v>
      </c>
      <c r="U503" s="72">
        <v>2660000</v>
      </c>
      <c r="V503" s="72">
        <v>1954500</v>
      </c>
      <c r="W503" s="72">
        <v>385000</v>
      </c>
      <c r="X503" s="72">
        <v>66500</v>
      </c>
      <c r="Y503" s="72">
        <v>0</v>
      </c>
      <c r="Z503" s="72">
        <v>0</v>
      </c>
      <c r="AA503" s="72">
        <v>0</v>
      </c>
      <c r="AB503" s="72">
        <v>0</v>
      </c>
      <c r="AC503" s="72">
        <v>0</v>
      </c>
      <c r="AD503" s="72">
        <v>0</v>
      </c>
      <c r="AE503" s="72">
        <v>0</v>
      </c>
      <c r="AF503" s="72">
        <v>0</v>
      </c>
      <c r="AG503" s="72">
        <v>126000</v>
      </c>
      <c r="AH503" s="72">
        <v>10937000</v>
      </c>
      <c r="AI503" s="72">
        <v>154482</v>
      </c>
      <c r="AJ503" s="72">
        <v>5000</v>
      </c>
      <c r="AK503" s="72">
        <v>0</v>
      </c>
      <c r="AL503" s="72">
        <v>159482</v>
      </c>
      <c r="AM503" s="72">
        <v>11096482</v>
      </c>
      <c r="AN503" s="72">
        <v>-1254451</v>
      </c>
      <c r="AO503" s="72">
        <v>4359452</v>
      </c>
      <c r="AP503" s="72">
        <v>3105001</v>
      </c>
      <c r="AQ503" s="72">
        <v>163000</v>
      </c>
      <c r="AR503" s="72">
        <v>300000</v>
      </c>
      <c r="AS503" s="72">
        <v>200000</v>
      </c>
      <c r="AT503" s="72">
        <v>56400</v>
      </c>
      <c r="AU503" s="72">
        <v>0</v>
      </c>
      <c r="AV503" s="72">
        <v>0</v>
      </c>
      <c r="AW503" s="72">
        <v>0</v>
      </c>
      <c r="AX503" s="72">
        <v>0</v>
      </c>
      <c r="AY503" s="72">
        <v>0</v>
      </c>
      <c r="AZ503" s="72">
        <v>556400</v>
      </c>
      <c r="BA503" s="72">
        <v>2385601</v>
      </c>
      <c r="BB503" s="72">
        <v>0</v>
      </c>
      <c r="BC503" s="72">
        <v>0</v>
      </c>
      <c r="BD503" s="72">
        <v>0</v>
      </c>
      <c r="BE503" s="72">
        <v>2385601</v>
      </c>
      <c r="BF503" s="72">
        <v>0</v>
      </c>
      <c r="BG503" s="72">
        <v>0</v>
      </c>
      <c r="BH503" s="72">
        <v>0</v>
      </c>
      <c r="BI503" s="72">
        <v>0</v>
      </c>
      <c r="BJ503" s="72">
        <v>2385601</v>
      </c>
      <c r="BK503" s="72">
        <v>111</v>
      </c>
      <c r="BL503" s="72">
        <v>1158</v>
      </c>
      <c r="BM503" s="72">
        <v>0</v>
      </c>
      <c r="BN503" s="72">
        <v>0</v>
      </c>
      <c r="BO503" s="72">
        <v>0</v>
      </c>
      <c r="BP503" s="72">
        <v>0</v>
      </c>
      <c r="BQ503" s="72">
        <v>0</v>
      </c>
      <c r="BR503" s="72">
        <v>0</v>
      </c>
      <c r="BS503" s="72">
        <v>11096482</v>
      </c>
    </row>
    <row r="504" spans="1:71" x14ac:dyDescent="0.2">
      <c r="A504" t="s">
        <v>372</v>
      </c>
      <c r="B504" t="s">
        <v>1083</v>
      </c>
      <c r="C504" t="s">
        <v>69</v>
      </c>
      <c r="D504" s="72">
        <v>971729</v>
      </c>
      <c r="E504" s="72">
        <v>119493</v>
      </c>
      <c r="F504" s="72">
        <v>0</v>
      </c>
      <c r="G504" s="72">
        <v>9266782</v>
      </c>
      <c r="H504" s="72">
        <v>198</v>
      </c>
      <c r="I504" s="72">
        <v>0</v>
      </c>
      <c r="J504" s="72">
        <v>204948</v>
      </c>
      <c r="K504" s="72">
        <v>1153524</v>
      </c>
      <c r="L504" s="72">
        <v>11716674</v>
      </c>
      <c r="M504" s="72">
        <v>0</v>
      </c>
      <c r="N504" s="72">
        <v>0</v>
      </c>
      <c r="O504" s="72">
        <v>0</v>
      </c>
      <c r="P504" s="72">
        <v>0</v>
      </c>
      <c r="Q504" s="72">
        <v>0</v>
      </c>
      <c r="R504" s="72">
        <v>0</v>
      </c>
      <c r="S504" s="72">
        <v>11716674</v>
      </c>
      <c r="T504" s="72">
        <v>6556747</v>
      </c>
      <c r="U504" s="72">
        <v>2751042</v>
      </c>
      <c r="V504" s="72">
        <v>2002755</v>
      </c>
      <c r="W504" s="72">
        <v>366808</v>
      </c>
      <c r="X504" s="72">
        <v>596690</v>
      </c>
      <c r="Y504" s="72">
        <v>0</v>
      </c>
      <c r="Z504" s="72">
        <v>0</v>
      </c>
      <c r="AA504" s="72">
        <v>0</v>
      </c>
      <c r="AB504" s="72">
        <v>0</v>
      </c>
      <c r="AC504" s="72">
        <v>0</v>
      </c>
      <c r="AD504" s="72">
        <v>56000</v>
      </c>
      <c r="AE504" s="72">
        <v>0</v>
      </c>
      <c r="AF504" s="72">
        <v>15485</v>
      </c>
      <c r="AG504" s="72">
        <v>79813</v>
      </c>
      <c r="AH504" s="72">
        <v>12425340</v>
      </c>
      <c r="AI504" s="72">
        <v>0</v>
      </c>
      <c r="AJ504" s="72">
        <v>0</v>
      </c>
      <c r="AK504" s="72">
        <v>0</v>
      </c>
      <c r="AL504" s="72">
        <v>0</v>
      </c>
      <c r="AM504" s="72">
        <v>12425340</v>
      </c>
      <c r="AN504" s="72">
        <v>-708666</v>
      </c>
      <c r="AO504" s="72">
        <v>4341982</v>
      </c>
      <c r="AP504" s="72">
        <v>3633316</v>
      </c>
      <c r="AQ504" s="72">
        <v>100000</v>
      </c>
      <c r="AR504" s="72">
        <v>0</v>
      </c>
      <c r="AS504" s="72">
        <v>0</v>
      </c>
      <c r="AT504" s="72">
        <v>0</v>
      </c>
      <c r="AU504" s="72">
        <v>0</v>
      </c>
      <c r="AV504" s="72">
        <v>0</v>
      </c>
      <c r="AW504" s="72">
        <v>0</v>
      </c>
      <c r="AX504" s="72">
        <v>0</v>
      </c>
      <c r="AY504" s="72">
        <v>0</v>
      </c>
      <c r="AZ504" s="72">
        <v>0</v>
      </c>
      <c r="BA504" s="72">
        <v>3533316</v>
      </c>
      <c r="BB504" s="72">
        <v>0</v>
      </c>
      <c r="BC504" s="72">
        <v>0</v>
      </c>
      <c r="BD504" s="72">
        <v>0</v>
      </c>
      <c r="BE504" s="72">
        <v>3533316</v>
      </c>
      <c r="BF504" s="72">
        <v>0</v>
      </c>
      <c r="BG504" s="72">
        <v>0</v>
      </c>
      <c r="BH504" s="72">
        <v>0</v>
      </c>
      <c r="BI504" s="72">
        <v>0</v>
      </c>
      <c r="BJ504" s="72">
        <v>3533316</v>
      </c>
      <c r="BM504" s="72">
        <v>0</v>
      </c>
      <c r="BN504" s="72">
        <v>0</v>
      </c>
      <c r="BO504" s="72">
        <v>0</v>
      </c>
      <c r="BP504" s="72">
        <v>0</v>
      </c>
      <c r="BQ504" s="72">
        <v>0</v>
      </c>
      <c r="BR504" s="72">
        <v>0</v>
      </c>
      <c r="BS504" s="72">
        <v>12425340</v>
      </c>
    </row>
    <row r="505" spans="1:71" x14ac:dyDescent="0.2">
      <c r="A505" t="s">
        <v>567</v>
      </c>
      <c r="B505" t="s">
        <v>1266</v>
      </c>
      <c r="C505" t="s">
        <v>69</v>
      </c>
      <c r="D505" s="72">
        <v>1494571</v>
      </c>
      <c r="E505" s="72">
        <v>0</v>
      </c>
      <c r="F505" s="72">
        <v>0</v>
      </c>
      <c r="G505" s="72">
        <v>6428045</v>
      </c>
      <c r="H505" s="72">
        <v>1161</v>
      </c>
      <c r="I505" s="72">
        <v>0</v>
      </c>
      <c r="J505" s="72">
        <v>257750</v>
      </c>
      <c r="K505" s="72">
        <v>821873</v>
      </c>
      <c r="L505" s="72">
        <v>9003400</v>
      </c>
      <c r="M505" s="72">
        <v>0</v>
      </c>
      <c r="N505" s="72">
        <v>0</v>
      </c>
      <c r="O505" s="72">
        <v>0</v>
      </c>
      <c r="P505" s="72">
        <v>0</v>
      </c>
      <c r="Q505" s="72">
        <v>30674</v>
      </c>
      <c r="R505" s="72">
        <v>30674</v>
      </c>
      <c r="S505" s="72">
        <v>9034074</v>
      </c>
      <c r="T505" s="72">
        <v>4445571</v>
      </c>
      <c r="U505" s="72">
        <v>1816767</v>
      </c>
      <c r="V505" s="72">
        <v>2441233</v>
      </c>
      <c r="W505" s="72">
        <v>224571</v>
      </c>
      <c r="X505" s="72">
        <v>49477</v>
      </c>
      <c r="Y505" s="72">
        <v>0</v>
      </c>
      <c r="Z505" s="72">
        <v>0</v>
      </c>
      <c r="AA505" s="72">
        <v>0</v>
      </c>
      <c r="AB505" s="72">
        <v>0</v>
      </c>
      <c r="AC505" s="72">
        <v>0</v>
      </c>
      <c r="AD505" s="72">
        <v>0</v>
      </c>
      <c r="AE505" s="72">
        <v>0</v>
      </c>
      <c r="AF505" s="72">
        <v>0</v>
      </c>
      <c r="AG505" s="72">
        <v>454225</v>
      </c>
      <c r="AH505" s="72">
        <v>9431844</v>
      </c>
      <c r="AI505" s="72">
        <v>0</v>
      </c>
      <c r="AJ505" s="72">
        <v>0</v>
      </c>
      <c r="AK505" s="72">
        <v>0</v>
      </c>
      <c r="AL505" s="72">
        <v>0</v>
      </c>
      <c r="AM505" s="72">
        <v>9431844</v>
      </c>
      <c r="AN505" s="72">
        <v>-397770</v>
      </c>
      <c r="AO505" s="72">
        <v>822735</v>
      </c>
      <c r="AP505" s="72">
        <v>424965</v>
      </c>
      <c r="AQ505" s="72">
        <v>51032</v>
      </c>
      <c r="AR505" s="72">
        <v>0</v>
      </c>
      <c r="AS505" s="72">
        <v>0</v>
      </c>
      <c r="AT505" s="72">
        <v>0</v>
      </c>
      <c r="AU505" s="72">
        <v>0</v>
      </c>
      <c r="AV505" s="72">
        <v>0</v>
      </c>
      <c r="AW505" s="72">
        <v>0</v>
      </c>
      <c r="AX505" s="72">
        <v>0</v>
      </c>
      <c r="AY505" s="72">
        <v>0</v>
      </c>
      <c r="AZ505" s="72">
        <v>0</v>
      </c>
      <c r="BA505" s="72">
        <v>373933</v>
      </c>
      <c r="BB505" s="72">
        <v>0</v>
      </c>
      <c r="BC505" s="72">
        <v>0</v>
      </c>
      <c r="BD505" s="72">
        <v>0</v>
      </c>
      <c r="BE505" s="72">
        <v>373933</v>
      </c>
      <c r="BF505" s="72">
        <v>0</v>
      </c>
      <c r="BG505" s="72">
        <v>0</v>
      </c>
      <c r="BH505" s="72">
        <v>0</v>
      </c>
      <c r="BI505" s="72">
        <v>0</v>
      </c>
      <c r="BJ505" s="72">
        <v>373933</v>
      </c>
      <c r="BK505" s="72">
        <v>37</v>
      </c>
      <c r="BL505" s="72">
        <v>919</v>
      </c>
      <c r="BM505" s="72">
        <v>0</v>
      </c>
      <c r="BN505" s="72">
        <v>0</v>
      </c>
      <c r="BO505" s="72">
        <v>0</v>
      </c>
      <c r="BP505" s="72">
        <v>0</v>
      </c>
      <c r="BQ505" s="72">
        <v>0</v>
      </c>
      <c r="BR505" s="72">
        <v>0</v>
      </c>
      <c r="BS505" s="72">
        <v>9431844</v>
      </c>
    </row>
    <row r="506" spans="1:71" x14ac:dyDescent="0.2">
      <c r="A506" t="s">
        <v>640</v>
      </c>
      <c r="B506" t="s">
        <v>1334</v>
      </c>
      <c r="C506" t="s">
        <v>69</v>
      </c>
      <c r="D506" s="72">
        <v>1606350</v>
      </c>
      <c r="E506" s="72">
        <v>3170</v>
      </c>
      <c r="F506" s="72">
        <v>10241</v>
      </c>
      <c r="G506" s="72">
        <v>7466411</v>
      </c>
      <c r="H506" s="72">
        <v>0</v>
      </c>
      <c r="I506" s="72">
        <v>0</v>
      </c>
      <c r="J506" s="72">
        <v>242096</v>
      </c>
      <c r="K506" s="72">
        <v>1143579</v>
      </c>
      <c r="L506" s="72">
        <v>10471847</v>
      </c>
      <c r="M506" s="72">
        <v>0</v>
      </c>
      <c r="N506" s="72">
        <v>0</v>
      </c>
      <c r="O506" s="72">
        <v>0</v>
      </c>
      <c r="P506" s="72">
        <v>5000</v>
      </c>
      <c r="Q506" s="72">
        <v>1500</v>
      </c>
      <c r="R506" s="72">
        <v>6500</v>
      </c>
      <c r="S506" s="72">
        <v>10478347</v>
      </c>
      <c r="T506" s="72">
        <v>5373348</v>
      </c>
      <c r="U506" s="72">
        <v>2188294</v>
      </c>
      <c r="V506" s="72">
        <v>1774352</v>
      </c>
      <c r="W506" s="72">
        <v>546658</v>
      </c>
      <c r="X506" s="72">
        <v>242559</v>
      </c>
      <c r="Y506" s="72">
        <v>0</v>
      </c>
      <c r="Z506" s="72">
        <v>0</v>
      </c>
      <c r="AA506" s="72">
        <v>0</v>
      </c>
      <c r="AB506" s="72">
        <v>0</v>
      </c>
      <c r="AC506" s="72">
        <v>0</v>
      </c>
      <c r="AD506" s="72">
        <v>0</v>
      </c>
      <c r="AE506" s="72">
        <v>40000</v>
      </c>
      <c r="AF506" s="72">
        <v>65906</v>
      </c>
      <c r="AG506" s="72">
        <v>99414</v>
      </c>
      <c r="AH506" s="72">
        <v>10330531</v>
      </c>
      <c r="AI506" s="72">
        <v>83000</v>
      </c>
      <c r="AJ506" s="72">
        <v>5000</v>
      </c>
      <c r="AK506" s="72">
        <v>0</v>
      </c>
      <c r="AL506" s="72">
        <v>88000</v>
      </c>
      <c r="AM506" s="72">
        <v>10418531</v>
      </c>
      <c r="AN506" s="72">
        <v>59816</v>
      </c>
      <c r="AO506" s="72">
        <v>7717953</v>
      </c>
      <c r="AP506" s="72">
        <v>7777769</v>
      </c>
      <c r="AQ506" s="72">
        <v>250000</v>
      </c>
      <c r="AR506" s="72">
        <v>0</v>
      </c>
      <c r="AS506" s="72">
        <v>0</v>
      </c>
      <c r="AT506" s="72">
        <v>0</v>
      </c>
      <c r="AU506" s="72">
        <v>0</v>
      </c>
      <c r="AV506" s="72">
        <v>0</v>
      </c>
      <c r="AW506" s="72">
        <v>0</v>
      </c>
      <c r="AX506" s="72">
        <v>0</v>
      </c>
      <c r="AY506" s="72">
        <v>0</v>
      </c>
      <c r="AZ506" s="72">
        <v>0</v>
      </c>
      <c r="BA506" s="72">
        <v>7527769</v>
      </c>
      <c r="BB506" s="72">
        <v>0</v>
      </c>
      <c r="BC506" s="72">
        <v>0</v>
      </c>
      <c r="BD506" s="72">
        <v>0</v>
      </c>
      <c r="BE506" s="72">
        <v>7527769</v>
      </c>
      <c r="BF506" s="72">
        <v>0</v>
      </c>
      <c r="BG506" s="72">
        <v>0</v>
      </c>
      <c r="BH506" s="72">
        <v>0</v>
      </c>
      <c r="BI506" s="72">
        <v>0</v>
      </c>
      <c r="BJ506" s="72">
        <v>7527769</v>
      </c>
      <c r="BK506" s="72">
        <v>0</v>
      </c>
      <c r="BL506" s="72">
        <v>0</v>
      </c>
      <c r="BM506" s="72">
        <v>0</v>
      </c>
      <c r="BN506" s="72">
        <v>0</v>
      </c>
      <c r="BO506" s="72">
        <v>0</v>
      </c>
      <c r="BP506" s="72">
        <v>0</v>
      </c>
      <c r="BQ506" s="72">
        <v>0</v>
      </c>
      <c r="BR506" s="72">
        <v>0</v>
      </c>
      <c r="BS506" s="72">
        <v>10478347</v>
      </c>
    </row>
    <row r="507" spans="1:71" x14ac:dyDescent="0.2">
      <c r="A507" t="s">
        <v>700</v>
      </c>
      <c r="B507" t="s">
        <v>1390</v>
      </c>
      <c r="C507" t="s">
        <v>69</v>
      </c>
      <c r="D507" s="72">
        <v>3072578</v>
      </c>
      <c r="E507" s="72">
        <v>213343</v>
      </c>
      <c r="F507" s="72">
        <v>1169744</v>
      </c>
      <c r="G507" s="72">
        <v>10102570</v>
      </c>
      <c r="H507" s="72">
        <v>123</v>
      </c>
      <c r="I507" s="72">
        <v>0</v>
      </c>
      <c r="J507" s="72">
        <v>495166</v>
      </c>
      <c r="K507" s="72">
        <v>3566157</v>
      </c>
      <c r="L507" s="72">
        <v>18619680</v>
      </c>
      <c r="M507" s="72">
        <v>0</v>
      </c>
      <c r="N507" s="72">
        <v>0</v>
      </c>
      <c r="O507" s="72">
        <v>0</v>
      </c>
      <c r="P507" s="72">
        <v>130061</v>
      </c>
      <c r="Q507" s="72">
        <v>0</v>
      </c>
      <c r="R507" s="72">
        <v>130061</v>
      </c>
      <c r="S507" s="72">
        <v>18749741</v>
      </c>
      <c r="T507" s="72">
        <v>9512084</v>
      </c>
      <c r="U507" s="72">
        <v>4301508</v>
      </c>
      <c r="V507" s="72">
        <v>2991915</v>
      </c>
      <c r="W507" s="72">
        <v>642530</v>
      </c>
      <c r="X507" s="72">
        <v>62111</v>
      </c>
      <c r="Y507" s="72">
        <v>0</v>
      </c>
      <c r="Z507" s="72">
        <v>0</v>
      </c>
      <c r="AA507" s="72">
        <v>0</v>
      </c>
      <c r="AB507" s="72">
        <v>0</v>
      </c>
      <c r="AC507" s="72">
        <v>0</v>
      </c>
      <c r="AD507" s="72">
        <v>94700</v>
      </c>
      <c r="AE507" s="72">
        <v>292982</v>
      </c>
      <c r="AF507" s="72">
        <v>89284</v>
      </c>
      <c r="AG507" s="72">
        <v>304841</v>
      </c>
      <c r="AH507" s="72">
        <v>18291955</v>
      </c>
      <c r="AI507" s="72">
        <v>430000</v>
      </c>
      <c r="AJ507" s="72">
        <v>20000</v>
      </c>
      <c r="AK507" s="72">
        <v>0</v>
      </c>
      <c r="AL507" s="72">
        <v>450000</v>
      </c>
      <c r="AM507" s="72">
        <v>18741955</v>
      </c>
      <c r="AN507" s="72">
        <v>7786</v>
      </c>
      <c r="AO507" s="72">
        <v>12666250</v>
      </c>
      <c r="AP507" s="72">
        <v>12674036</v>
      </c>
      <c r="AQ507" s="72">
        <v>1000000</v>
      </c>
      <c r="AR507" s="72">
        <v>0</v>
      </c>
      <c r="AS507" s="72">
        <v>0</v>
      </c>
      <c r="AT507" s="72">
        <v>0</v>
      </c>
      <c r="AU507" s="72">
        <v>0</v>
      </c>
      <c r="AV507" s="72">
        <v>0</v>
      </c>
      <c r="AW507" s="72">
        <v>0</v>
      </c>
      <c r="AX507" s="72">
        <v>0</v>
      </c>
      <c r="AY507" s="72">
        <v>0</v>
      </c>
      <c r="AZ507" s="72">
        <v>0</v>
      </c>
      <c r="BA507" s="72">
        <v>11674036</v>
      </c>
      <c r="BB507" s="72">
        <v>0</v>
      </c>
      <c r="BC507" s="72">
        <v>0</v>
      </c>
      <c r="BD507" s="72">
        <v>0</v>
      </c>
      <c r="BE507" s="72">
        <v>11674036</v>
      </c>
      <c r="BF507" s="72">
        <v>0</v>
      </c>
      <c r="BG507" s="72">
        <v>0</v>
      </c>
      <c r="BH507" s="72">
        <v>0</v>
      </c>
      <c r="BI507" s="72">
        <v>0</v>
      </c>
      <c r="BJ507" s="72">
        <v>11674036</v>
      </c>
      <c r="BK507" s="72">
        <v>154</v>
      </c>
      <c r="BL507" s="72">
        <v>1774</v>
      </c>
      <c r="BM507" s="72">
        <v>0</v>
      </c>
      <c r="BN507" s="72">
        <v>0</v>
      </c>
      <c r="BO507" s="72">
        <v>0</v>
      </c>
      <c r="BP507" s="72">
        <v>0</v>
      </c>
      <c r="BQ507" s="72">
        <v>0</v>
      </c>
      <c r="BR507" s="72">
        <v>0</v>
      </c>
      <c r="BS507" s="72">
        <v>18749741</v>
      </c>
    </row>
    <row r="508" spans="1:71" x14ac:dyDescent="0.2">
      <c r="A508" t="s">
        <v>773</v>
      </c>
      <c r="B508" t="s">
        <v>1461</v>
      </c>
      <c r="C508" t="s">
        <v>69</v>
      </c>
      <c r="D508" s="72">
        <v>3391238</v>
      </c>
      <c r="E508" s="72">
        <v>247369</v>
      </c>
      <c r="F508" s="72">
        <v>1104</v>
      </c>
      <c r="G508" s="72">
        <v>6638029</v>
      </c>
      <c r="H508" s="72">
        <v>31226</v>
      </c>
      <c r="I508" s="72">
        <v>0</v>
      </c>
      <c r="J508" s="72">
        <v>709780</v>
      </c>
      <c r="K508" s="72">
        <v>666626</v>
      </c>
      <c r="L508" s="72">
        <v>11685372</v>
      </c>
      <c r="M508" s="72">
        <v>0</v>
      </c>
      <c r="N508" s="72">
        <v>0</v>
      </c>
      <c r="O508" s="72">
        <v>265862</v>
      </c>
      <c r="P508" s="72">
        <v>0</v>
      </c>
      <c r="Q508" s="72">
        <v>41898</v>
      </c>
      <c r="R508" s="72">
        <v>307760</v>
      </c>
      <c r="S508" s="72">
        <v>11993132</v>
      </c>
      <c r="T508" s="72">
        <v>6432603</v>
      </c>
      <c r="U508" s="72">
        <v>2890800</v>
      </c>
      <c r="V508" s="72">
        <v>2001697</v>
      </c>
      <c r="W508" s="72">
        <v>525000</v>
      </c>
      <c r="X508" s="72">
        <v>363585</v>
      </c>
      <c r="Y508" s="72">
        <v>0</v>
      </c>
      <c r="Z508" s="72">
        <v>0</v>
      </c>
      <c r="AA508" s="72">
        <v>0</v>
      </c>
      <c r="AB508" s="72">
        <v>0</v>
      </c>
      <c r="AC508" s="72">
        <v>0</v>
      </c>
      <c r="AD508" s="72">
        <v>0</v>
      </c>
      <c r="AE508" s="72">
        <v>168000</v>
      </c>
      <c r="AF508" s="72">
        <v>125300</v>
      </c>
      <c r="AG508" s="72">
        <v>159000</v>
      </c>
      <c r="AH508" s="72">
        <v>12665985</v>
      </c>
      <c r="AI508" s="72">
        <v>265862</v>
      </c>
      <c r="AJ508" s="72">
        <v>0</v>
      </c>
      <c r="AK508" s="72">
        <v>0</v>
      </c>
      <c r="AL508" s="72">
        <v>265862</v>
      </c>
      <c r="AM508" s="72">
        <v>12931847</v>
      </c>
      <c r="AN508" s="72">
        <v>-938715</v>
      </c>
      <c r="AO508" s="72">
        <v>3011755</v>
      </c>
      <c r="AP508" s="72">
        <v>2073040</v>
      </c>
      <c r="AQ508" s="72">
        <v>319952</v>
      </c>
      <c r="AR508" s="72">
        <v>0</v>
      </c>
      <c r="AS508" s="72">
        <v>0</v>
      </c>
      <c r="AT508" s="72">
        <v>0</v>
      </c>
      <c r="AU508" s="72">
        <v>0</v>
      </c>
      <c r="AV508" s="72">
        <v>0</v>
      </c>
      <c r="AW508" s="72">
        <v>0</v>
      </c>
      <c r="AX508" s="72">
        <v>0</v>
      </c>
      <c r="AY508" s="72">
        <v>0</v>
      </c>
      <c r="AZ508" s="72">
        <v>0</v>
      </c>
      <c r="BA508" s="72">
        <v>1753088</v>
      </c>
      <c r="BB508" s="72">
        <v>0</v>
      </c>
      <c r="BC508" s="72">
        <v>0</v>
      </c>
      <c r="BD508" s="72">
        <v>0</v>
      </c>
      <c r="BE508" s="72">
        <v>1753088</v>
      </c>
      <c r="BF508" s="72">
        <v>0</v>
      </c>
      <c r="BG508" s="72">
        <v>0</v>
      </c>
      <c r="BH508" s="72">
        <v>0</v>
      </c>
      <c r="BI508" s="72">
        <v>0</v>
      </c>
      <c r="BJ508" s="72">
        <v>1753088</v>
      </c>
      <c r="BK508" s="72">
        <v>104</v>
      </c>
      <c r="BL508" s="72">
        <v>1497</v>
      </c>
      <c r="BM508" s="72">
        <v>0</v>
      </c>
      <c r="BN508" s="72">
        <v>0</v>
      </c>
      <c r="BO508" s="72">
        <v>0</v>
      </c>
      <c r="BP508" s="72">
        <v>0</v>
      </c>
      <c r="BQ508" s="72">
        <v>0</v>
      </c>
      <c r="BR508" s="72">
        <v>0</v>
      </c>
      <c r="BS508" s="72">
        <v>12931847</v>
      </c>
    </row>
    <row r="509" spans="1:71" x14ac:dyDescent="0.2">
      <c r="A509" t="s">
        <v>410</v>
      </c>
      <c r="B509" t="s">
        <v>1118</v>
      </c>
      <c r="C509" t="s">
        <v>37</v>
      </c>
      <c r="D509" s="72">
        <v>2677834</v>
      </c>
      <c r="E509" s="72">
        <v>130322</v>
      </c>
      <c r="F509" s="72">
        <v>1970700</v>
      </c>
      <c r="G509" s="72">
        <v>5200836</v>
      </c>
      <c r="H509" s="72">
        <v>8600</v>
      </c>
      <c r="I509" s="72">
        <v>0</v>
      </c>
      <c r="J509" s="72">
        <v>370953</v>
      </c>
      <c r="K509" s="72">
        <v>689017</v>
      </c>
      <c r="L509" s="72">
        <v>11048262</v>
      </c>
      <c r="M509" s="72">
        <v>0</v>
      </c>
      <c r="N509" s="72">
        <v>0</v>
      </c>
      <c r="O509" s="72">
        <v>0</v>
      </c>
      <c r="P509" s="72">
        <v>300000</v>
      </c>
      <c r="Q509" s="72">
        <v>0</v>
      </c>
      <c r="R509" s="72">
        <v>300000</v>
      </c>
      <c r="S509" s="72">
        <v>11348262</v>
      </c>
      <c r="T509" s="72">
        <v>4868265</v>
      </c>
      <c r="U509" s="72">
        <v>2419107</v>
      </c>
      <c r="V509" s="72">
        <v>2040396</v>
      </c>
      <c r="W509" s="72">
        <v>477850</v>
      </c>
      <c r="X509" s="72">
        <v>28541</v>
      </c>
      <c r="Y509" s="72">
        <v>0</v>
      </c>
      <c r="Z509" s="72">
        <v>0</v>
      </c>
      <c r="AA509" s="72">
        <v>0</v>
      </c>
      <c r="AB509" s="72">
        <v>0</v>
      </c>
      <c r="AC509" s="72">
        <v>0</v>
      </c>
      <c r="AD509" s="72">
        <v>0</v>
      </c>
      <c r="AE509" s="72">
        <v>0</v>
      </c>
      <c r="AF509" s="72">
        <v>0</v>
      </c>
      <c r="AG509" s="72">
        <v>492827</v>
      </c>
      <c r="AH509" s="72">
        <v>10326985</v>
      </c>
      <c r="AI509" s="72">
        <v>572000</v>
      </c>
      <c r="AJ509" s="72">
        <v>300000</v>
      </c>
      <c r="AK509" s="72">
        <v>0</v>
      </c>
      <c r="AL509" s="72">
        <v>872000</v>
      </c>
      <c r="AM509" s="72">
        <v>11198985</v>
      </c>
      <c r="AN509" s="72">
        <v>149277</v>
      </c>
      <c r="AO509" s="72">
        <v>2055624</v>
      </c>
      <c r="AP509" s="72">
        <v>2204901</v>
      </c>
      <c r="AQ509" s="72">
        <v>55000</v>
      </c>
      <c r="AR509" s="72">
        <v>45000</v>
      </c>
      <c r="AS509" s="72">
        <v>0</v>
      </c>
      <c r="AT509" s="72">
        <v>0</v>
      </c>
      <c r="AU509" s="72">
        <v>0</v>
      </c>
      <c r="AW509" s="72">
        <v>0</v>
      </c>
      <c r="AX509" s="72">
        <v>0</v>
      </c>
      <c r="AY509" s="72">
        <v>0</v>
      </c>
      <c r="AZ509" s="72">
        <v>45000</v>
      </c>
      <c r="BA509" s="72">
        <v>2104901</v>
      </c>
      <c r="BB509" s="72">
        <v>0</v>
      </c>
      <c r="BC509" s="72">
        <v>0</v>
      </c>
      <c r="BD509" s="72">
        <v>0</v>
      </c>
      <c r="BE509" s="72">
        <v>2104901</v>
      </c>
      <c r="BF509" s="72">
        <v>0</v>
      </c>
      <c r="BG509" s="72">
        <v>0</v>
      </c>
      <c r="BH509" s="72">
        <v>0</v>
      </c>
      <c r="BI509" s="72">
        <v>0</v>
      </c>
      <c r="BJ509" s="72">
        <v>2104901</v>
      </c>
      <c r="BS509" s="72">
        <v>11348262</v>
      </c>
    </row>
    <row r="510" spans="1:71" x14ac:dyDescent="0.2">
      <c r="A510" t="s">
        <v>764</v>
      </c>
      <c r="B510" t="s">
        <v>1452</v>
      </c>
      <c r="C510" t="s">
        <v>37</v>
      </c>
      <c r="D510" s="72">
        <v>3778314</v>
      </c>
      <c r="E510" s="72">
        <v>274369</v>
      </c>
      <c r="F510" s="72">
        <v>0</v>
      </c>
      <c r="G510" s="72">
        <v>3456203</v>
      </c>
      <c r="H510" s="72">
        <v>1164</v>
      </c>
      <c r="I510" s="72">
        <v>0</v>
      </c>
      <c r="J510" s="72">
        <v>1233946</v>
      </c>
      <c r="K510" s="72">
        <v>647855</v>
      </c>
      <c r="L510" s="72">
        <v>9391851</v>
      </c>
      <c r="M510" s="72">
        <v>0</v>
      </c>
      <c r="N510" s="72">
        <v>0</v>
      </c>
      <c r="O510" s="72">
        <v>0</v>
      </c>
      <c r="P510" s="72">
        <v>126640</v>
      </c>
      <c r="Q510" s="72">
        <v>0</v>
      </c>
      <c r="R510" s="72">
        <v>126640</v>
      </c>
      <c r="S510" s="72">
        <v>9518491</v>
      </c>
      <c r="T510" s="72">
        <v>5338130</v>
      </c>
      <c r="U510" s="72">
        <v>1820673</v>
      </c>
      <c r="V510" s="72">
        <v>1741914</v>
      </c>
      <c r="W510" s="72">
        <v>245278</v>
      </c>
      <c r="X510" s="72">
        <v>0</v>
      </c>
      <c r="Y510" s="72">
        <v>0</v>
      </c>
      <c r="Z510" s="72">
        <v>0</v>
      </c>
      <c r="AA510" s="72">
        <v>0</v>
      </c>
      <c r="AB510" s="72">
        <v>0</v>
      </c>
      <c r="AC510" s="72">
        <v>0</v>
      </c>
      <c r="AD510" s="72">
        <v>0</v>
      </c>
      <c r="AE510" s="72">
        <v>0</v>
      </c>
      <c r="AF510" s="72">
        <v>0</v>
      </c>
      <c r="AG510" s="72">
        <v>419729</v>
      </c>
      <c r="AH510" s="72">
        <v>9565724</v>
      </c>
      <c r="AI510" s="72">
        <v>0</v>
      </c>
      <c r="AJ510" s="72">
        <v>0</v>
      </c>
      <c r="AK510" s="72">
        <v>0</v>
      </c>
      <c r="AL510" s="72">
        <v>0</v>
      </c>
      <c r="AM510" s="72">
        <v>9565724</v>
      </c>
      <c r="AN510" s="72">
        <v>-47233</v>
      </c>
      <c r="AO510" s="72">
        <v>790650</v>
      </c>
      <c r="AP510" s="72">
        <v>743417</v>
      </c>
      <c r="AQ510" s="72">
        <v>0</v>
      </c>
      <c r="AR510" s="72">
        <v>0</v>
      </c>
      <c r="AS510" s="72">
        <v>0</v>
      </c>
      <c r="AT510" s="72">
        <v>0</v>
      </c>
      <c r="AU510" s="72">
        <v>0</v>
      </c>
      <c r="AV510" s="72">
        <v>0</v>
      </c>
      <c r="AW510" s="72">
        <v>0</v>
      </c>
      <c r="AX510" s="72">
        <v>0</v>
      </c>
      <c r="AY510" s="72">
        <v>0</v>
      </c>
      <c r="AZ510" s="72">
        <v>0</v>
      </c>
      <c r="BA510" s="72">
        <v>743417</v>
      </c>
      <c r="BB510" s="72">
        <v>0</v>
      </c>
      <c r="BC510" s="72">
        <v>0</v>
      </c>
      <c r="BD510" s="72">
        <v>0</v>
      </c>
      <c r="BE510" s="72">
        <v>743417</v>
      </c>
      <c r="BF510" s="72">
        <v>0</v>
      </c>
      <c r="BG510" s="72">
        <v>0</v>
      </c>
      <c r="BH510" s="72">
        <v>0</v>
      </c>
      <c r="BI510" s="72">
        <v>0</v>
      </c>
      <c r="BJ510" s="72">
        <v>743417</v>
      </c>
      <c r="BM510" s="72">
        <v>0</v>
      </c>
      <c r="BN510" s="72">
        <v>0</v>
      </c>
      <c r="BO510" s="72">
        <v>0</v>
      </c>
      <c r="BP510" s="72">
        <v>0</v>
      </c>
      <c r="BQ510" s="72">
        <v>0</v>
      </c>
      <c r="BR510" s="72">
        <v>0</v>
      </c>
      <c r="BS510" s="72">
        <v>9565724</v>
      </c>
    </row>
    <row r="511" spans="1:71" x14ac:dyDescent="0.2">
      <c r="A511" t="s">
        <v>172</v>
      </c>
      <c r="B511" t="s">
        <v>893</v>
      </c>
      <c r="C511" t="s">
        <v>98</v>
      </c>
      <c r="D511" s="72">
        <v>1203000</v>
      </c>
      <c r="E511" s="72">
        <v>0</v>
      </c>
      <c r="F511" s="72">
        <v>0</v>
      </c>
      <c r="G511" s="72">
        <v>6668638</v>
      </c>
      <c r="H511" s="72">
        <v>17500</v>
      </c>
      <c r="I511" s="72">
        <v>0</v>
      </c>
      <c r="J511" s="72">
        <v>193100</v>
      </c>
      <c r="K511" s="72">
        <v>1053250</v>
      </c>
      <c r="L511" s="72">
        <v>9135488</v>
      </c>
      <c r="M511" s="72">
        <v>0</v>
      </c>
      <c r="N511" s="72">
        <v>0</v>
      </c>
      <c r="O511" s="72">
        <v>0</v>
      </c>
      <c r="P511" s="72">
        <v>29844</v>
      </c>
      <c r="Q511" s="72">
        <v>1500</v>
      </c>
      <c r="R511" s="72">
        <v>31344</v>
      </c>
      <c r="S511" s="72">
        <v>9166832</v>
      </c>
      <c r="T511" s="72">
        <v>4417443</v>
      </c>
      <c r="U511" s="72">
        <v>1845866</v>
      </c>
      <c r="V511" s="72">
        <v>2270751</v>
      </c>
      <c r="W511" s="72">
        <v>448392</v>
      </c>
      <c r="X511" s="72">
        <v>21009</v>
      </c>
      <c r="Y511" s="72">
        <v>0</v>
      </c>
      <c r="Z511" s="72">
        <v>0</v>
      </c>
      <c r="AA511" s="72">
        <v>0</v>
      </c>
      <c r="AB511" s="72">
        <v>0</v>
      </c>
      <c r="AC511" s="72">
        <v>0</v>
      </c>
      <c r="AD511" s="72">
        <v>50000</v>
      </c>
      <c r="AE511" s="72">
        <v>0</v>
      </c>
      <c r="AF511" s="72">
        <v>18150</v>
      </c>
      <c r="AG511" s="72">
        <v>135507</v>
      </c>
      <c r="AH511" s="72">
        <v>9207118</v>
      </c>
      <c r="AI511" s="72">
        <v>35000</v>
      </c>
      <c r="AJ511" s="72">
        <v>15000</v>
      </c>
      <c r="AK511" s="72">
        <v>1466</v>
      </c>
      <c r="AL511" s="72">
        <v>51466</v>
      </c>
      <c r="AM511" s="72">
        <v>9258584</v>
      </c>
      <c r="AN511" s="72">
        <v>-91752</v>
      </c>
      <c r="AO511" s="72">
        <v>1682535</v>
      </c>
      <c r="AP511" s="72">
        <v>1590783</v>
      </c>
      <c r="AQ511" s="72">
        <v>100000</v>
      </c>
      <c r="AR511" s="72">
        <v>0</v>
      </c>
      <c r="AS511" s="72">
        <v>0</v>
      </c>
      <c r="AT511" s="72">
        <v>0</v>
      </c>
      <c r="AU511" s="72">
        <v>0</v>
      </c>
      <c r="AV511" s="72">
        <v>0</v>
      </c>
      <c r="AW511" s="72">
        <v>0</v>
      </c>
      <c r="AX511" s="72">
        <v>0</v>
      </c>
      <c r="AY511" s="72">
        <v>0</v>
      </c>
      <c r="AZ511" s="72">
        <v>0</v>
      </c>
      <c r="BA511" s="72">
        <v>1490783</v>
      </c>
      <c r="BB511" s="72">
        <v>0</v>
      </c>
      <c r="BC511" s="72">
        <v>0</v>
      </c>
      <c r="BD511" s="72">
        <v>0</v>
      </c>
      <c r="BE511" s="72">
        <v>1490783</v>
      </c>
      <c r="BF511" s="72">
        <v>0</v>
      </c>
      <c r="BG511" s="72">
        <v>0</v>
      </c>
      <c r="BH511" s="72">
        <v>0</v>
      </c>
      <c r="BI511" s="72">
        <v>0</v>
      </c>
      <c r="BJ511" s="72">
        <v>1490783</v>
      </c>
      <c r="BK511" s="72">
        <v>0</v>
      </c>
      <c r="BL511" s="72">
        <v>0</v>
      </c>
      <c r="BM511" s="72">
        <v>0</v>
      </c>
      <c r="BN511" s="72">
        <v>0</v>
      </c>
      <c r="BO511" s="72">
        <v>0</v>
      </c>
      <c r="BP511" s="72">
        <v>0</v>
      </c>
      <c r="BQ511" s="72">
        <v>0</v>
      </c>
      <c r="BR511" s="72">
        <v>0</v>
      </c>
      <c r="BS511" s="72">
        <v>9258584</v>
      </c>
    </row>
    <row r="512" spans="1:71" x14ac:dyDescent="0.2">
      <c r="A512" t="s">
        <v>223</v>
      </c>
      <c r="B512" t="s">
        <v>941</v>
      </c>
      <c r="C512" t="s">
        <v>98</v>
      </c>
      <c r="D512" s="72">
        <v>985327</v>
      </c>
      <c r="E512" s="72">
        <v>0</v>
      </c>
      <c r="F512" s="72">
        <v>0</v>
      </c>
      <c r="G512" s="72">
        <v>2872131</v>
      </c>
      <c r="H512" s="72">
        <v>5742</v>
      </c>
      <c r="I512" s="72">
        <v>0</v>
      </c>
      <c r="J512" s="72">
        <v>158200</v>
      </c>
      <c r="K512" s="72">
        <v>1503127</v>
      </c>
      <c r="L512" s="72">
        <v>5524527</v>
      </c>
      <c r="M512" s="72">
        <v>0</v>
      </c>
      <c r="N512" s="72">
        <v>0</v>
      </c>
      <c r="O512" s="72">
        <v>0</v>
      </c>
      <c r="P512" s="72">
        <v>1000</v>
      </c>
      <c r="Q512" s="72">
        <v>0</v>
      </c>
      <c r="R512" s="72">
        <v>1000</v>
      </c>
      <c r="S512" s="72">
        <v>5525527</v>
      </c>
      <c r="T512" s="72">
        <v>2735484</v>
      </c>
      <c r="U512" s="72">
        <v>1012129</v>
      </c>
      <c r="V512" s="72">
        <v>1461401</v>
      </c>
      <c r="W512" s="72">
        <v>165000</v>
      </c>
      <c r="X512" s="72">
        <v>300</v>
      </c>
      <c r="Y512" s="72">
        <v>0</v>
      </c>
      <c r="Z512" s="72">
        <v>0</v>
      </c>
      <c r="AA512" s="72">
        <v>0</v>
      </c>
      <c r="AB512" s="72">
        <v>0</v>
      </c>
      <c r="AC512" s="72">
        <v>0</v>
      </c>
      <c r="AD512" s="72">
        <v>0</v>
      </c>
      <c r="AE512" s="72">
        <v>23342</v>
      </c>
      <c r="AF512" s="72">
        <v>0</v>
      </c>
      <c r="AG512" s="72">
        <v>84147</v>
      </c>
      <c r="AH512" s="72">
        <v>5481803</v>
      </c>
      <c r="AI512" s="72">
        <v>17020</v>
      </c>
      <c r="AJ512" s="72">
        <v>296</v>
      </c>
      <c r="AK512" s="72">
        <v>0</v>
      </c>
      <c r="AL512" s="72">
        <v>17316</v>
      </c>
      <c r="AM512" s="72">
        <v>5499119</v>
      </c>
      <c r="AN512" s="72">
        <v>26408</v>
      </c>
      <c r="AO512" s="72">
        <v>322450</v>
      </c>
      <c r="AP512" s="72">
        <v>348858</v>
      </c>
      <c r="AQ512" s="72">
        <v>100000</v>
      </c>
      <c r="AR512" s="72">
        <v>0</v>
      </c>
      <c r="AS512" s="72">
        <v>0</v>
      </c>
      <c r="AT512" s="72">
        <v>0</v>
      </c>
      <c r="AU512" s="72">
        <v>0</v>
      </c>
      <c r="AV512" s="72">
        <v>0</v>
      </c>
      <c r="AW512" s="72">
        <v>0</v>
      </c>
      <c r="AX512" s="72">
        <v>0</v>
      </c>
      <c r="AY512" s="72">
        <v>0</v>
      </c>
      <c r="AZ512" s="72">
        <v>0</v>
      </c>
      <c r="BA512" s="72">
        <v>248858</v>
      </c>
      <c r="BB512" s="72">
        <v>0</v>
      </c>
      <c r="BC512" s="72">
        <v>0</v>
      </c>
      <c r="BD512" s="72">
        <v>0</v>
      </c>
      <c r="BE512" s="72">
        <v>248858</v>
      </c>
      <c r="BF512" s="72">
        <v>0</v>
      </c>
      <c r="BG512" s="72">
        <v>0</v>
      </c>
      <c r="BH512" s="72">
        <v>0</v>
      </c>
      <c r="BI512" s="72">
        <v>0</v>
      </c>
      <c r="BJ512" s="72">
        <v>248858</v>
      </c>
      <c r="BK512" s="72">
        <v>0</v>
      </c>
      <c r="BL512" s="72">
        <v>0</v>
      </c>
      <c r="BM512" s="72">
        <v>0</v>
      </c>
      <c r="BN512" s="72">
        <v>0</v>
      </c>
      <c r="BO512" s="72">
        <v>0</v>
      </c>
      <c r="BP512" s="72">
        <v>0</v>
      </c>
      <c r="BQ512" s="72">
        <v>0</v>
      </c>
      <c r="BR512" s="72">
        <v>0</v>
      </c>
      <c r="BS512" s="72">
        <v>5525527</v>
      </c>
    </row>
    <row r="513" spans="1:71" x14ac:dyDescent="0.2">
      <c r="A513" t="s">
        <v>345</v>
      </c>
      <c r="B513" t="s">
        <v>1059</v>
      </c>
      <c r="C513" t="s">
        <v>98</v>
      </c>
      <c r="D513" s="72">
        <v>1864000</v>
      </c>
      <c r="E513" s="72">
        <v>0</v>
      </c>
      <c r="F513" s="72">
        <v>0</v>
      </c>
      <c r="G513" s="72">
        <v>3463413</v>
      </c>
      <c r="H513" s="72">
        <v>24455</v>
      </c>
      <c r="I513" s="72">
        <v>0</v>
      </c>
      <c r="J513" s="72">
        <v>239716</v>
      </c>
      <c r="K513" s="72">
        <v>773951</v>
      </c>
      <c r="L513" s="72">
        <v>6365535</v>
      </c>
      <c r="M513" s="72">
        <v>0</v>
      </c>
      <c r="N513" s="72">
        <v>0</v>
      </c>
      <c r="O513" s="72">
        <v>210603</v>
      </c>
      <c r="P513" s="72">
        <v>0</v>
      </c>
      <c r="Q513" s="72">
        <v>0</v>
      </c>
      <c r="R513" s="72">
        <v>210603</v>
      </c>
      <c r="S513" s="72">
        <v>6576138</v>
      </c>
      <c r="T513" s="72">
        <v>2644186</v>
      </c>
      <c r="U513" s="72">
        <v>1189884</v>
      </c>
      <c r="V513" s="72">
        <v>1795355</v>
      </c>
      <c r="W513" s="72">
        <v>211557</v>
      </c>
      <c r="X513" s="72">
        <v>350000</v>
      </c>
      <c r="Y513" s="72">
        <v>0</v>
      </c>
      <c r="Z513" s="72">
        <v>0</v>
      </c>
      <c r="AA513" s="72">
        <v>0</v>
      </c>
      <c r="AB513" s="72">
        <v>0</v>
      </c>
      <c r="AC513" s="72">
        <v>0</v>
      </c>
      <c r="AD513" s="72">
        <v>36569</v>
      </c>
      <c r="AE513" s="72">
        <v>29793</v>
      </c>
      <c r="AF513" s="72">
        <v>3475</v>
      </c>
      <c r="AG513" s="72">
        <v>99518</v>
      </c>
      <c r="AH513" s="72">
        <v>6360337</v>
      </c>
      <c r="AI513" s="72">
        <v>213603</v>
      </c>
      <c r="AJ513" s="72">
        <v>0</v>
      </c>
      <c r="AK513" s="72">
        <v>0</v>
      </c>
      <c r="AL513" s="72">
        <v>213603</v>
      </c>
      <c r="AM513" s="72">
        <v>6573940</v>
      </c>
      <c r="AN513" s="72">
        <v>2198</v>
      </c>
      <c r="AO513" s="72">
        <v>1205720</v>
      </c>
      <c r="AP513" s="72">
        <v>1207918</v>
      </c>
      <c r="AQ513" s="72">
        <v>350000</v>
      </c>
      <c r="AR513" s="72">
        <v>0</v>
      </c>
      <c r="AS513" s="72">
        <v>0</v>
      </c>
      <c r="AT513" s="72">
        <v>0</v>
      </c>
      <c r="AU513" s="72">
        <v>0</v>
      </c>
      <c r="AV513" s="72">
        <v>0</v>
      </c>
      <c r="AW513" s="72">
        <v>0</v>
      </c>
      <c r="AX513" s="72">
        <v>0</v>
      </c>
      <c r="AY513" s="72">
        <v>0</v>
      </c>
      <c r="AZ513" s="72">
        <v>0</v>
      </c>
      <c r="BA513" s="72">
        <v>857918</v>
      </c>
      <c r="BB513" s="72">
        <v>0</v>
      </c>
      <c r="BC513" s="72">
        <v>0</v>
      </c>
      <c r="BD513" s="72">
        <v>0</v>
      </c>
      <c r="BE513" s="72">
        <v>857918</v>
      </c>
      <c r="BF513" s="72">
        <v>0</v>
      </c>
      <c r="BG513" s="72">
        <v>0</v>
      </c>
      <c r="BH513" s="72">
        <v>0</v>
      </c>
      <c r="BI513" s="72">
        <v>0</v>
      </c>
      <c r="BJ513" s="72">
        <v>857918</v>
      </c>
      <c r="BK513" s="72">
        <v>0</v>
      </c>
      <c r="BL513" s="72">
        <v>0</v>
      </c>
      <c r="BM513" s="72">
        <v>0</v>
      </c>
      <c r="BN513" s="72">
        <v>0</v>
      </c>
      <c r="BO513" s="72">
        <v>0</v>
      </c>
      <c r="BP513" s="72">
        <v>0</v>
      </c>
      <c r="BQ513" s="72">
        <v>0</v>
      </c>
      <c r="BR513" s="72">
        <v>0</v>
      </c>
      <c r="BS513" s="72">
        <v>6576138</v>
      </c>
    </row>
    <row r="514" spans="1:71" x14ac:dyDescent="0.2">
      <c r="A514" t="s">
        <v>488</v>
      </c>
      <c r="B514" t="s">
        <v>1192</v>
      </c>
      <c r="C514" t="s">
        <v>98</v>
      </c>
      <c r="D514" s="72">
        <v>1775981</v>
      </c>
      <c r="E514" s="72">
        <v>0</v>
      </c>
      <c r="F514" s="72">
        <v>0</v>
      </c>
      <c r="G514" s="72">
        <v>9583424</v>
      </c>
      <c r="H514" s="72">
        <v>45650</v>
      </c>
      <c r="I514" s="72">
        <v>0</v>
      </c>
      <c r="J514" s="72">
        <v>326450</v>
      </c>
      <c r="K514" s="72">
        <v>2274612</v>
      </c>
      <c r="L514" s="72">
        <v>14006117</v>
      </c>
      <c r="M514" s="72">
        <v>0</v>
      </c>
      <c r="N514" s="72">
        <v>0</v>
      </c>
      <c r="O514" s="72">
        <v>0</v>
      </c>
      <c r="P514" s="72">
        <v>134262</v>
      </c>
      <c r="Q514" s="72">
        <v>7250</v>
      </c>
      <c r="R514" s="72">
        <v>141512</v>
      </c>
      <c r="S514" s="72">
        <v>14147629</v>
      </c>
      <c r="T514" s="72">
        <v>6908580</v>
      </c>
      <c r="U514" s="72">
        <v>3008783</v>
      </c>
      <c r="V514" s="72">
        <v>3249187</v>
      </c>
      <c r="W514" s="72">
        <v>540832</v>
      </c>
      <c r="X514" s="72">
        <v>73293</v>
      </c>
      <c r="Y514" s="72">
        <v>0</v>
      </c>
      <c r="Z514" s="72">
        <v>0</v>
      </c>
      <c r="AA514" s="72">
        <v>0</v>
      </c>
      <c r="AB514" s="72">
        <v>0</v>
      </c>
      <c r="AC514" s="72">
        <v>0</v>
      </c>
      <c r="AD514" s="72">
        <v>35000</v>
      </c>
      <c r="AE514" s="72">
        <v>259584</v>
      </c>
      <c r="AF514" s="72">
        <v>45422</v>
      </c>
      <c r="AG514" s="72">
        <v>141058</v>
      </c>
      <c r="AH514" s="72">
        <v>14261739</v>
      </c>
      <c r="AI514" s="72">
        <v>0</v>
      </c>
      <c r="AJ514" s="72">
        <v>150000</v>
      </c>
      <c r="AK514" s="72">
        <v>0</v>
      </c>
      <c r="AL514" s="72">
        <v>150000</v>
      </c>
      <c r="AM514" s="72">
        <v>14411739</v>
      </c>
      <c r="AN514" s="72">
        <v>-264110</v>
      </c>
      <c r="AO514" s="72">
        <v>757385</v>
      </c>
      <c r="AP514" s="72">
        <v>493275</v>
      </c>
      <c r="AQ514" s="72">
        <v>175324</v>
      </c>
      <c r="AR514" s="72">
        <v>0</v>
      </c>
      <c r="AS514" s="72">
        <v>0</v>
      </c>
      <c r="AT514" s="72">
        <v>0</v>
      </c>
      <c r="AU514" s="72">
        <v>0</v>
      </c>
      <c r="AV514" s="72">
        <v>0</v>
      </c>
      <c r="AW514" s="72">
        <v>0</v>
      </c>
      <c r="AX514" s="72">
        <v>0</v>
      </c>
      <c r="AY514" s="72">
        <v>0</v>
      </c>
      <c r="AZ514" s="72">
        <v>0</v>
      </c>
      <c r="BA514" s="72">
        <v>317951</v>
      </c>
      <c r="BB514" s="72">
        <v>0</v>
      </c>
      <c r="BC514" s="72">
        <v>0</v>
      </c>
      <c r="BD514" s="72">
        <v>0</v>
      </c>
      <c r="BE514" s="72">
        <v>317951</v>
      </c>
      <c r="BF514" s="72">
        <v>0</v>
      </c>
      <c r="BG514" s="72">
        <v>0</v>
      </c>
      <c r="BH514" s="72">
        <v>0</v>
      </c>
      <c r="BI514" s="72">
        <v>0</v>
      </c>
      <c r="BJ514" s="72">
        <v>317951</v>
      </c>
      <c r="BK514" s="72">
        <v>111</v>
      </c>
      <c r="BL514" s="72">
        <v>1421</v>
      </c>
      <c r="BM514" s="72">
        <v>0</v>
      </c>
      <c r="BN514" s="72">
        <v>0</v>
      </c>
      <c r="BO514" s="72">
        <v>0</v>
      </c>
      <c r="BP514" s="72">
        <v>0</v>
      </c>
      <c r="BQ514" s="72">
        <v>0</v>
      </c>
      <c r="BR514" s="72">
        <v>0</v>
      </c>
      <c r="BS514" s="72">
        <v>14411739</v>
      </c>
    </row>
    <row r="515" spans="1:71" x14ac:dyDescent="0.2">
      <c r="A515" t="s">
        <v>539</v>
      </c>
      <c r="B515" t="s">
        <v>1076</v>
      </c>
      <c r="C515" t="s">
        <v>98</v>
      </c>
      <c r="D515" s="72">
        <v>1800219</v>
      </c>
      <c r="E515" s="72">
        <v>50073</v>
      </c>
      <c r="F515" s="72">
        <v>0</v>
      </c>
      <c r="G515" s="72">
        <v>12619977</v>
      </c>
      <c r="H515" s="72">
        <v>638469</v>
      </c>
      <c r="I515" s="72">
        <v>0</v>
      </c>
      <c r="J515" s="72">
        <v>340364</v>
      </c>
      <c r="K515" s="72">
        <v>962126</v>
      </c>
      <c r="L515" s="72">
        <v>16411228</v>
      </c>
      <c r="M515" s="72">
        <v>0</v>
      </c>
      <c r="N515" s="72">
        <v>0</v>
      </c>
      <c r="O515" s="72">
        <v>0</v>
      </c>
      <c r="P515" s="72">
        <v>312977</v>
      </c>
      <c r="Q515" s="72">
        <v>0</v>
      </c>
      <c r="R515" s="72">
        <v>312977</v>
      </c>
      <c r="S515" s="72">
        <v>16724205</v>
      </c>
      <c r="T515" s="72">
        <v>7637383</v>
      </c>
      <c r="U515" s="72">
        <v>4020440</v>
      </c>
      <c r="V515" s="72">
        <v>3245275</v>
      </c>
      <c r="W515" s="72">
        <v>652913</v>
      </c>
      <c r="X515" s="72">
        <v>44264</v>
      </c>
      <c r="Y515" s="72">
        <v>0</v>
      </c>
      <c r="Z515" s="72">
        <v>0</v>
      </c>
      <c r="AA515" s="72">
        <v>0</v>
      </c>
      <c r="AB515" s="72">
        <v>0</v>
      </c>
      <c r="AC515" s="72">
        <v>0</v>
      </c>
      <c r="AD515" s="72">
        <v>0</v>
      </c>
      <c r="AE515" s="72">
        <v>227000</v>
      </c>
      <c r="AF515" s="72">
        <v>97340</v>
      </c>
      <c r="AG515" s="72">
        <v>241434</v>
      </c>
      <c r="AH515" s="72">
        <v>16166049</v>
      </c>
      <c r="AI515" s="72">
        <v>316032</v>
      </c>
      <c r="AJ515" s="72">
        <v>187500</v>
      </c>
      <c r="AK515" s="72">
        <v>0</v>
      </c>
      <c r="AL515" s="72">
        <v>503532</v>
      </c>
      <c r="AM515" s="72">
        <v>16669581</v>
      </c>
      <c r="AN515" s="72">
        <v>54624</v>
      </c>
      <c r="AO515" s="72">
        <v>208286</v>
      </c>
      <c r="AP515" s="72">
        <v>262910</v>
      </c>
      <c r="AQ515" s="72">
        <v>117264</v>
      </c>
      <c r="AR515" s="72">
        <v>0</v>
      </c>
      <c r="AS515" s="72">
        <v>0</v>
      </c>
      <c r="AT515" s="72">
        <v>0</v>
      </c>
      <c r="AU515" s="72">
        <v>0</v>
      </c>
      <c r="AV515" s="72">
        <v>0</v>
      </c>
      <c r="AW515" s="72">
        <v>0</v>
      </c>
      <c r="AX515" s="72">
        <v>0</v>
      </c>
      <c r="AY515" s="72">
        <v>0</v>
      </c>
      <c r="AZ515" s="72">
        <v>0</v>
      </c>
      <c r="BA515" s="72">
        <v>145646</v>
      </c>
      <c r="BB515" s="72">
        <v>0</v>
      </c>
      <c r="BC515" s="72">
        <v>0</v>
      </c>
      <c r="BD515" s="72">
        <v>0</v>
      </c>
      <c r="BE515" s="72">
        <v>145646</v>
      </c>
      <c r="BF515" s="72">
        <v>0</v>
      </c>
      <c r="BG515" s="72">
        <v>0</v>
      </c>
      <c r="BH515" s="72">
        <v>0</v>
      </c>
      <c r="BI515" s="72">
        <v>0</v>
      </c>
      <c r="BJ515" s="72">
        <v>145646</v>
      </c>
      <c r="BK515" s="72">
        <v>0</v>
      </c>
      <c r="BL515" s="72">
        <v>0</v>
      </c>
      <c r="BM515" s="72">
        <v>0</v>
      </c>
      <c r="BN515" s="72">
        <v>0</v>
      </c>
      <c r="BO515" s="72">
        <v>0</v>
      </c>
      <c r="BP515" s="72">
        <v>0</v>
      </c>
      <c r="BQ515" s="72">
        <v>0</v>
      </c>
      <c r="BR515" s="72">
        <v>0</v>
      </c>
      <c r="BS515" s="72">
        <v>16724205</v>
      </c>
    </row>
    <row r="516" spans="1:71" x14ac:dyDescent="0.2">
      <c r="A516" t="s">
        <v>707</v>
      </c>
      <c r="B516" t="s">
        <v>1397</v>
      </c>
      <c r="C516" t="s">
        <v>98</v>
      </c>
      <c r="D516" s="72">
        <v>1261688</v>
      </c>
      <c r="E516" s="72">
        <v>0</v>
      </c>
      <c r="F516" s="72">
        <v>0</v>
      </c>
      <c r="G516" s="72">
        <v>7530272</v>
      </c>
      <c r="H516" s="72">
        <v>76702</v>
      </c>
      <c r="I516" s="72">
        <v>0</v>
      </c>
      <c r="J516" s="72">
        <v>235178</v>
      </c>
      <c r="K516" s="72">
        <v>1371455</v>
      </c>
      <c r="L516" s="72">
        <v>10475295</v>
      </c>
      <c r="M516" s="72">
        <v>0</v>
      </c>
      <c r="N516" s="72">
        <v>0</v>
      </c>
      <c r="O516" s="72">
        <v>0</v>
      </c>
      <c r="P516" s="72">
        <v>0</v>
      </c>
      <c r="Q516" s="72">
        <v>457</v>
      </c>
      <c r="R516" s="72">
        <v>457</v>
      </c>
      <c r="S516" s="72">
        <v>10475752</v>
      </c>
      <c r="T516" s="72">
        <v>5043234</v>
      </c>
      <c r="U516" s="72">
        <v>1982930</v>
      </c>
      <c r="V516" s="72">
        <v>1660503</v>
      </c>
      <c r="W516" s="72">
        <v>390904</v>
      </c>
      <c r="X516" s="72">
        <v>113446</v>
      </c>
      <c r="Y516" s="72">
        <v>0</v>
      </c>
      <c r="Z516" s="72">
        <v>0</v>
      </c>
      <c r="AA516" s="72">
        <v>0</v>
      </c>
      <c r="AB516" s="72">
        <v>0</v>
      </c>
      <c r="AC516" s="72">
        <v>0</v>
      </c>
      <c r="AD516" s="72">
        <v>0</v>
      </c>
      <c r="AE516" s="72">
        <v>0</v>
      </c>
      <c r="AF516" s="72">
        <v>0</v>
      </c>
      <c r="AG516" s="72">
        <v>661468</v>
      </c>
      <c r="AH516" s="72">
        <v>9852485</v>
      </c>
      <c r="AI516" s="72">
        <v>0</v>
      </c>
      <c r="AJ516" s="72">
        <v>0</v>
      </c>
      <c r="AK516" s="72">
        <v>0</v>
      </c>
      <c r="AL516" s="72">
        <v>0</v>
      </c>
      <c r="AM516" s="72">
        <v>9852485</v>
      </c>
      <c r="AN516" s="72">
        <v>623267</v>
      </c>
      <c r="AO516" s="72">
        <v>900845</v>
      </c>
      <c r="AP516" s="72">
        <v>1524112</v>
      </c>
      <c r="AQ516" s="72">
        <v>200000</v>
      </c>
      <c r="AR516" s="72">
        <v>0</v>
      </c>
      <c r="AS516" s="72">
        <v>0</v>
      </c>
      <c r="AT516" s="72">
        <v>0</v>
      </c>
      <c r="AU516" s="72">
        <v>0</v>
      </c>
      <c r="AV516" s="72">
        <v>0</v>
      </c>
      <c r="AW516" s="72">
        <v>0</v>
      </c>
      <c r="AX516" s="72">
        <v>0</v>
      </c>
      <c r="AY516" s="72">
        <v>0</v>
      </c>
      <c r="AZ516" s="72">
        <v>0</v>
      </c>
      <c r="BA516" s="72">
        <v>1324112</v>
      </c>
      <c r="BB516" s="72">
        <v>0</v>
      </c>
      <c r="BC516" s="72">
        <v>0</v>
      </c>
      <c r="BD516" s="72">
        <v>0</v>
      </c>
      <c r="BE516" s="72">
        <v>1324112</v>
      </c>
      <c r="BF516" s="72">
        <v>0</v>
      </c>
      <c r="BG516" s="72">
        <v>0</v>
      </c>
      <c r="BH516" s="72">
        <v>0</v>
      </c>
      <c r="BI516" s="72">
        <v>0</v>
      </c>
      <c r="BJ516" s="72">
        <v>1324112</v>
      </c>
      <c r="BK516" s="72">
        <v>0</v>
      </c>
      <c r="BL516" s="72">
        <v>0</v>
      </c>
      <c r="BM516" s="72">
        <v>0</v>
      </c>
      <c r="BN516" s="72">
        <v>0</v>
      </c>
      <c r="BO516" s="72">
        <v>0</v>
      </c>
      <c r="BP516" s="72">
        <v>0</v>
      </c>
      <c r="BQ516" s="72">
        <v>0</v>
      </c>
      <c r="BR516" s="72">
        <v>0</v>
      </c>
      <c r="BS516" s="72">
        <v>10475752</v>
      </c>
    </row>
    <row r="517" spans="1:71" x14ac:dyDescent="0.2">
      <c r="A517" t="s">
        <v>728</v>
      </c>
      <c r="B517" t="s">
        <v>1418</v>
      </c>
      <c r="C517" t="s">
        <v>98</v>
      </c>
      <c r="D517" s="72">
        <v>1398001</v>
      </c>
      <c r="E517" s="72">
        <v>0</v>
      </c>
      <c r="F517" s="72">
        <v>0</v>
      </c>
      <c r="G517" s="72">
        <v>10773515</v>
      </c>
      <c r="H517" s="72">
        <v>11639</v>
      </c>
      <c r="I517" s="72">
        <v>0</v>
      </c>
      <c r="J517" s="72">
        <v>309000</v>
      </c>
      <c r="K517" s="72">
        <v>1355676</v>
      </c>
      <c r="L517" s="72">
        <v>13847831</v>
      </c>
      <c r="M517" s="72">
        <v>0</v>
      </c>
      <c r="N517" s="72">
        <v>0</v>
      </c>
      <c r="O517" s="72">
        <v>0</v>
      </c>
      <c r="P517" s="72">
        <v>0</v>
      </c>
      <c r="Q517" s="72">
        <v>50832</v>
      </c>
      <c r="R517" s="72">
        <v>50832</v>
      </c>
      <c r="S517" s="72">
        <v>13898663</v>
      </c>
      <c r="T517" s="72">
        <v>6913956</v>
      </c>
      <c r="U517" s="72">
        <v>3085572</v>
      </c>
      <c r="V517" s="72">
        <v>2500000</v>
      </c>
      <c r="W517" s="72">
        <v>655000</v>
      </c>
      <c r="X517" s="72">
        <v>460000</v>
      </c>
      <c r="Y517" s="72">
        <v>0</v>
      </c>
      <c r="Z517" s="72">
        <v>0</v>
      </c>
      <c r="AA517" s="72">
        <v>0</v>
      </c>
      <c r="AB517" s="72">
        <v>0</v>
      </c>
      <c r="AC517" s="72">
        <v>0</v>
      </c>
      <c r="AD517" s="72">
        <v>64855</v>
      </c>
      <c r="AE517" s="72">
        <v>0</v>
      </c>
      <c r="AF517" s="72">
        <v>21473</v>
      </c>
      <c r="AG517" s="72">
        <v>188173</v>
      </c>
      <c r="AH517" s="72">
        <v>13889029</v>
      </c>
      <c r="AI517" s="72">
        <v>100000</v>
      </c>
      <c r="AJ517" s="72">
        <v>0</v>
      </c>
      <c r="AK517" s="72">
        <v>0</v>
      </c>
      <c r="AL517" s="72">
        <v>100000</v>
      </c>
      <c r="AM517" s="72">
        <v>13989029</v>
      </c>
      <c r="AN517" s="72">
        <v>-90366</v>
      </c>
      <c r="AO517" s="72">
        <v>3195562</v>
      </c>
      <c r="AP517" s="72">
        <v>3105196</v>
      </c>
      <c r="AQ517" s="72">
        <v>100000</v>
      </c>
      <c r="AR517" s="72">
        <v>0</v>
      </c>
      <c r="AS517" s="72">
        <v>0</v>
      </c>
      <c r="AT517" s="72">
        <v>0</v>
      </c>
      <c r="AU517" s="72">
        <v>0</v>
      </c>
      <c r="AV517" s="72">
        <v>0</v>
      </c>
      <c r="AW517" s="72">
        <v>0</v>
      </c>
      <c r="AX517" s="72">
        <v>0</v>
      </c>
      <c r="AY517" s="72">
        <v>0</v>
      </c>
      <c r="AZ517" s="72">
        <v>0</v>
      </c>
      <c r="BA517" s="72">
        <v>3005196</v>
      </c>
      <c r="BB517" s="72">
        <v>0</v>
      </c>
      <c r="BC517" s="72">
        <v>0</v>
      </c>
      <c r="BD517" s="72">
        <v>0</v>
      </c>
      <c r="BE517" s="72">
        <v>3005196</v>
      </c>
      <c r="BF517" s="72">
        <v>0</v>
      </c>
      <c r="BG517" s="72">
        <v>0</v>
      </c>
      <c r="BH517" s="72">
        <v>0</v>
      </c>
      <c r="BI517" s="72">
        <v>0</v>
      </c>
      <c r="BJ517" s="72">
        <v>3005196</v>
      </c>
      <c r="BK517" s="72">
        <v>0</v>
      </c>
      <c r="BL517" s="72">
        <v>0</v>
      </c>
      <c r="BM517" s="72">
        <v>0</v>
      </c>
      <c r="BN517" s="72">
        <v>0</v>
      </c>
      <c r="BO517" s="72">
        <v>0</v>
      </c>
      <c r="BP517" s="72">
        <v>0</v>
      </c>
      <c r="BQ517" s="72">
        <v>0</v>
      </c>
      <c r="BR517" s="72">
        <v>0</v>
      </c>
      <c r="BS517" s="72">
        <v>13989029</v>
      </c>
    </row>
    <row r="518" spans="1:71" x14ac:dyDescent="0.2">
      <c r="A518" t="s">
        <v>754</v>
      </c>
      <c r="B518" t="s">
        <v>1442</v>
      </c>
      <c r="C518" t="s">
        <v>98</v>
      </c>
      <c r="D518" s="72">
        <v>2804260</v>
      </c>
      <c r="E518" s="72">
        <v>0</v>
      </c>
      <c r="F518" s="72">
        <v>0</v>
      </c>
      <c r="G518" s="72">
        <v>6635358</v>
      </c>
      <c r="H518" s="72">
        <v>6137</v>
      </c>
      <c r="I518" s="72">
        <v>0</v>
      </c>
      <c r="J518" s="72">
        <v>370728</v>
      </c>
      <c r="K518" s="72">
        <v>2225196</v>
      </c>
      <c r="L518" s="72">
        <v>12041679</v>
      </c>
      <c r="M518" s="72">
        <v>0</v>
      </c>
      <c r="N518" s="72">
        <v>0</v>
      </c>
      <c r="O518" s="72">
        <v>0</v>
      </c>
      <c r="P518" s="72">
        <v>0</v>
      </c>
      <c r="Q518" s="72">
        <v>174228</v>
      </c>
      <c r="R518" s="72">
        <v>174228</v>
      </c>
      <c r="S518" s="72">
        <v>12215908</v>
      </c>
      <c r="T518" s="72">
        <v>6525440</v>
      </c>
      <c r="U518" s="72">
        <v>2630065</v>
      </c>
      <c r="V518" s="72">
        <v>2221769</v>
      </c>
      <c r="W518" s="72">
        <v>546645</v>
      </c>
      <c r="X518" s="72">
        <v>0</v>
      </c>
      <c r="Y518" s="72">
        <v>0</v>
      </c>
      <c r="Z518" s="72">
        <v>0</v>
      </c>
      <c r="AA518" s="72">
        <v>0</v>
      </c>
      <c r="AB518" s="72">
        <v>0</v>
      </c>
      <c r="AC518" s="72">
        <v>0</v>
      </c>
      <c r="AD518" s="72">
        <v>0</v>
      </c>
      <c r="AE518" s="72">
        <v>59000</v>
      </c>
      <c r="AF518" s="72">
        <v>12500</v>
      </c>
      <c r="AG518" s="72">
        <v>171730</v>
      </c>
      <c r="AH518" s="72">
        <v>12167149</v>
      </c>
      <c r="AI518" s="72">
        <v>66781</v>
      </c>
      <c r="AJ518" s="72">
        <v>5000</v>
      </c>
      <c r="AK518" s="72">
        <v>100</v>
      </c>
      <c r="AL518" s="72">
        <v>71881</v>
      </c>
      <c r="AM518" s="72">
        <v>12239030</v>
      </c>
      <c r="AN518" s="72">
        <v>-23121</v>
      </c>
      <c r="AO518" s="72">
        <v>1676219</v>
      </c>
      <c r="AP518" s="72">
        <v>1653098</v>
      </c>
      <c r="AQ518" s="72">
        <v>190000</v>
      </c>
      <c r="AR518" s="72">
        <v>0</v>
      </c>
      <c r="AS518" s="72">
        <v>0</v>
      </c>
      <c r="AT518" s="72">
        <v>0</v>
      </c>
      <c r="AU518" s="72">
        <v>0</v>
      </c>
      <c r="AV518" s="72">
        <v>0</v>
      </c>
      <c r="AW518" s="72">
        <v>0</v>
      </c>
      <c r="AX518" s="72">
        <v>0</v>
      </c>
      <c r="AY518" s="72">
        <v>0</v>
      </c>
      <c r="AZ518" s="72">
        <v>0</v>
      </c>
      <c r="BA518" s="72">
        <v>1463098</v>
      </c>
      <c r="BB518" s="72">
        <v>0</v>
      </c>
      <c r="BC518" s="72">
        <v>0</v>
      </c>
      <c r="BD518" s="72">
        <v>0</v>
      </c>
      <c r="BE518" s="72">
        <v>1463098</v>
      </c>
      <c r="BF518" s="72">
        <v>0</v>
      </c>
      <c r="BG518" s="72">
        <v>0</v>
      </c>
      <c r="BH518" s="72">
        <v>0</v>
      </c>
      <c r="BI518" s="72">
        <v>0</v>
      </c>
      <c r="BJ518" s="72">
        <v>1463098</v>
      </c>
      <c r="BK518" s="72">
        <v>130</v>
      </c>
      <c r="BL518" s="72">
        <v>1280</v>
      </c>
      <c r="BM518" s="72">
        <v>0</v>
      </c>
      <c r="BN518" s="72">
        <v>0</v>
      </c>
      <c r="BO518" s="72">
        <v>0</v>
      </c>
      <c r="BP518" s="72">
        <v>0</v>
      </c>
      <c r="BQ518" s="72">
        <v>0</v>
      </c>
      <c r="BR518" s="72">
        <v>0</v>
      </c>
      <c r="BS518" s="72">
        <v>12239030</v>
      </c>
    </row>
    <row r="519" spans="1:71" x14ac:dyDescent="0.2">
      <c r="A519" t="s">
        <v>625</v>
      </c>
      <c r="B519" t="s">
        <v>1321</v>
      </c>
      <c r="C519" t="s">
        <v>36</v>
      </c>
      <c r="D519" s="72">
        <v>2214787</v>
      </c>
      <c r="E519" s="72">
        <v>0</v>
      </c>
      <c r="F519" s="72">
        <v>1011733</v>
      </c>
      <c r="G519" s="72">
        <v>3980711</v>
      </c>
      <c r="H519" s="72">
        <v>53712</v>
      </c>
      <c r="I519" s="72">
        <v>0</v>
      </c>
      <c r="J519" s="72">
        <v>221478</v>
      </c>
      <c r="K519" s="72">
        <v>815000</v>
      </c>
      <c r="L519" s="72">
        <v>8297421</v>
      </c>
      <c r="M519" s="72">
        <v>0</v>
      </c>
      <c r="N519" s="72">
        <v>0</v>
      </c>
      <c r="O519" s="72">
        <v>0</v>
      </c>
      <c r="P519" s="72">
        <v>20000</v>
      </c>
      <c r="Q519" s="72">
        <v>5000</v>
      </c>
      <c r="R519" s="72">
        <v>25000</v>
      </c>
      <c r="S519" s="72">
        <v>8322421</v>
      </c>
      <c r="T519" s="72">
        <v>4673238</v>
      </c>
      <c r="U519" s="72">
        <v>1401971</v>
      </c>
      <c r="V519" s="72">
        <v>1690551</v>
      </c>
      <c r="W519" s="72">
        <v>462678</v>
      </c>
      <c r="X519" s="72">
        <v>10000</v>
      </c>
      <c r="Y519" s="72">
        <v>0</v>
      </c>
      <c r="Z519" s="72">
        <v>0</v>
      </c>
      <c r="AA519" s="72">
        <v>0</v>
      </c>
      <c r="AB519" s="72">
        <v>0</v>
      </c>
      <c r="AC519" s="72">
        <v>0</v>
      </c>
      <c r="AD519" s="72">
        <v>0</v>
      </c>
      <c r="AE519" s="72">
        <v>0</v>
      </c>
      <c r="AF519" s="72">
        <v>0</v>
      </c>
      <c r="AG519" s="72">
        <v>135000</v>
      </c>
      <c r="AH519" s="72">
        <v>8373438</v>
      </c>
      <c r="AI519" s="72">
        <v>140000</v>
      </c>
      <c r="AJ519" s="72">
        <v>0</v>
      </c>
      <c r="AK519" s="72">
        <v>0</v>
      </c>
      <c r="AL519" s="72">
        <v>140000</v>
      </c>
      <c r="AM519" s="72">
        <v>8513438</v>
      </c>
      <c r="AN519" s="72">
        <v>-191017</v>
      </c>
      <c r="AO519" s="72">
        <v>683363</v>
      </c>
      <c r="AP519" s="72">
        <v>492346</v>
      </c>
      <c r="AQ519" s="72">
        <v>0</v>
      </c>
      <c r="AR519" s="72">
        <v>0</v>
      </c>
      <c r="AS519" s="72">
        <v>0</v>
      </c>
      <c r="AT519" s="72">
        <v>0</v>
      </c>
      <c r="AU519" s="72">
        <v>0</v>
      </c>
      <c r="AV519" s="72">
        <v>0</v>
      </c>
      <c r="AW519" s="72">
        <v>0</v>
      </c>
      <c r="AX519" s="72">
        <v>0</v>
      </c>
      <c r="AY519" s="72">
        <v>0</v>
      </c>
      <c r="AZ519" s="72">
        <v>0</v>
      </c>
      <c r="BA519" s="72">
        <v>492346</v>
      </c>
      <c r="BB519" s="72">
        <v>0</v>
      </c>
      <c r="BC519" s="72">
        <v>0</v>
      </c>
      <c r="BD519" s="72">
        <v>0</v>
      </c>
      <c r="BE519" s="72">
        <v>492346</v>
      </c>
      <c r="BF519" s="72">
        <v>0</v>
      </c>
      <c r="BG519" s="72">
        <v>0</v>
      </c>
      <c r="BH519" s="72">
        <v>0</v>
      </c>
      <c r="BI519" s="72">
        <v>0</v>
      </c>
      <c r="BJ519" s="72">
        <v>492346</v>
      </c>
      <c r="BK519" s="72">
        <v>73</v>
      </c>
      <c r="BL519" s="72">
        <v>876</v>
      </c>
      <c r="BM519" s="72">
        <v>0</v>
      </c>
      <c r="BN519" s="72">
        <v>0</v>
      </c>
      <c r="BO519" s="72">
        <v>0</v>
      </c>
      <c r="BP519" s="72">
        <v>0</v>
      </c>
      <c r="BQ519" s="72">
        <v>0</v>
      </c>
      <c r="BR519" s="72">
        <v>0</v>
      </c>
      <c r="BS519" s="72">
        <v>8513438</v>
      </c>
    </row>
    <row r="520" spans="1:71" x14ac:dyDescent="0.2">
      <c r="A520" t="s">
        <v>165</v>
      </c>
      <c r="B520" t="s">
        <v>873</v>
      </c>
      <c r="C520" t="s">
        <v>36</v>
      </c>
      <c r="D520" s="72">
        <v>422000</v>
      </c>
      <c r="E520" s="72">
        <v>0</v>
      </c>
      <c r="F520" s="72">
        <v>210000</v>
      </c>
      <c r="G520" s="72">
        <v>1122521</v>
      </c>
      <c r="H520" s="72">
        <v>83000</v>
      </c>
      <c r="I520" s="72">
        <v>0</v>
      </c>
      <c r="J520" s="72">
        <v>111517</v>
      </c>
      <c r="K520" s="72">
        <v>304000</v>
      </c>
      <c r="L520" s="72">
        <v>2253038</v>
      </c>
      <c r="M520" s="72">
        <v>0</v>
      </c>
      <c r="N520" s="72">
        <v>0</v>
      </c>
      <c r="O520" s="72">
        <v>0</v>
      </c>
      <c r="P520" s="72">
        <v>0</v>
      </c>
      <c r="Q520" s="72">
        <v>0</v>
      </c>
      <c r="R520" s="72">
        <v>0</v>
      </c>
      <c r="S520" s="72">
        <v>2253038</v>
      </c>
      <c r="T520" s="72">
        <v>920000</v>
      </c>
      <c r="U520" s="72">
        <v>310000</v>
      </c>
      <c r="V520" s="72">
        <v>743101</v>
      </c>
      <c r="W520" s="72">
        <v>24500</v>
      </c>
      <c r="X520" s="72">
        <v>0</v>
      </c>
      <c r="AG520" s="72">
        <v>32000</v>
      </c>
      <c r="AH520" s="72">
        <v>2029601</v>
      </c>
      <c r="AI520" s="72">
        <v>0</v>
      </c>
      <c r="AJ520" s="72">
        <v>0</v>
      </c>
      <c r="AK520" s="72">
        <v>0</v>
      </c>
      <c r="AL520" s="72">
        <v>0</v>
      </c>
      <c r="AM520" s="72">
        <v>2029601</v>
      </c>
      <c r="AN520" s="72">
        <v>223437</v>
      </c>
      <c r="AO520" s="72">
        <v>-346215</v>
      </c>
      <c r="AP520" s="72">
        <v>-122778</v>
      </c>
      <c r="AQ520" s="72">
        <v>0</v>
      </c>
      <c r="AR520" s="72">
        <v>0</v>
      </c>
      <c r="AS520" s="72">
        <v>0</v>
      </c>
      <c r="AY520" s="72">
        <v>0</v>
      </c>
      <c r="AZ520" s="72">
        <v>0</v>
      </c>
      <c r="BA520" s="72">
        <v>-122778</v>
      </c>
      <c r="BE520" s="72">
        <v>-122778</v>
      </c>
      <c r="BJ520" s="72">
        <v>-122778</v>
      </c>
      <c r="BK520" s="72">
        <v>12</v>
      </c>
      <c r="BL520" s="72">
        <v>150</v>
      </c>
      <c r="BM520" s="72">
        <v>0</v>
      </c>
      <c r="BN520" s="72">
        <v>0</v>
      </c>
      <c r="BO520" s="72">
        <v>0</v>
      </c>
      <c r="BP520" s="72">
        <v>0</v>
      </c>
      <c r="BQ520" s="72">
        <v>0</v>
      </c>
      <c r="BR520" s="72">
        <v>0</v>
      </c>
      <c r="BS520" s="72">
        <v>2253038</v>
      </c>
    </row>
    <row r="521" spans="1:71" x14ac:dyDescent="0.2">
      <c r="A521" t="s">
        <v>367</v>
      </c>
      <c r="B521" t="s">
        <v>1078</v>
      </c>
      <c r="C521" t="s">
        <v>36</v>
      </c>
      <c r="D521" s="72">
        <v>2513545</v>
      </c>
      <c r="E521" s="72">
        <v>0</v>
      </c>
      <c r="F521" s="72">
        <v>360395</v>
      </c>
      <c r="G521" s="72">
        <v>1907000</v>
      </c>
      <c r="H521" s="72">
        <v>61005</v>
      </c>
      <c r="I521" s="72">
        <v>0</v>
      </c>
      <c r="J521" s="72">
        <v>591875</v>
      </c>
      <c r="K521" s="72">
        <v>1944168</v>
      </c>
      <c r="L521" s="72">
        <v>7377988</v>
      </c>
      <c r="M521" s="72">
        <v>0</v>
      </c>
      <c r="N521" s="72">
        <v>0</v>
      </c>
      <c r="O521" s="72">
        <v>0</v>
      </c>
      <c r="P521" s="72">
        <v>0</v>
      </c>
      <c r="Q521" s="72">
        <v>0</v>
      </c>
      <c r="R521" s="72">
        <v>0</v>
      </c>
      <c r="S521" s="72">
        <v>7377988</v>
      </c>
      <c r="T521" s="72">
        <v>3862429</v>
      </c>
      <c r="U521" s="72">
        <v>1568922</v>
      </c>
      <c r="V521" s="72">
        <v>1627369</v>
      </c>
      <c r="W521" s="72">
        <v>224015</v>
      </c>
      <c r="X521" s="72">
        <v>10000</v>
      </c>
      <c r="Z521" s="72">
        <v>0</v>
      </c>
      <c r="AA521" s="72">
        <v>0</v>
      </c>
      <c r="AB521" s="72">
        <v>0</v>
      </c>
      <c r="AC521" s="72">
        <v>0</v>
      </c>
      <c r="AD521" s="72">
        <v>0</v>
      </c>
      <c r="AE521" s="72">
        <v>0</v>
      </c>
      <c r="AF521" s="72">
        <v>0</v>
      </c>
      <c r="AG521" s="72">
        <v>96000</v>
      </c>
      <c r="AH521" s="72">
        <v>7388735</v>
      </c>
      <c r="AI521" s="72">
        <v>438395</v>
      </c>
      <c r="AJ521" s="72">
        <v>0</v>
      </c>
      <c r="AK521" s="72">
        <v>0</v>
      </c>
      <c r="AL521" s="72">
        <v>438395</v>
      </c>
      <c r="AM521" s="72">
        <v>7827131</v>
      </c>
      <c r="AN521" s="72">
        <v>-449142</v>
      </c>
      <c r="AO521" s="72">
        <v>3552795</v>
      </c>
      <c r="AP521" s="72">
        <v>3103652</v>
      </c>
      <c r="AQ521" s="72">
        <v>0</v>
      </c>
      <c r="AR521" s="72">
        <v>0</v>
      </c>
      <c r="AS521" s="72">
        <v>0</v>
      </c>
      <c r="AT521" s="72">
        <v>0</v>
      </c>
      <c r="AU521" s="72">
        <v>0</v>
      </c>
      <c r="AV521" s="72">
        <v>0</v>
      </c>
      <c r="AW521" s="72">
        <v>0</v>
      </c>
      <c r="AX521" s="72">
        <v>0</v>
      </c>
      <c r="AY521" s="72">
        <v>0</v>
      </c>
      <c r="AZ521" s="72">
        <v>0</v>
      </c>
      <c r="BA521" s="72">
        <v>3103652</v>
      </c>
      <c r="BB521" s="72">
        <v>0</v>
      </c>
      <c r="BC521" s="72">
        <v>0</v>
      </c>
      <c r="BD521" s="72">
        <v>0</v>
      </c>
      <c r="BE521" s="72">
        <v>3103652</v>
      </c>
      <c r="BF521" s="72">
        <v>0</v>
      </c>
      <c r="BG521" s="72">
        <v>0</v>
      </c>
      <c r="BH521" s="72">
        <v>0</v>
      </c>
      <c r="BI521" s="72">
        <v>0</v>
      </c>
      <c r="BJ521" s="72">
        <v>3103652</v>
      </c>
      <c r="BK521" s="72">
        <v>60</v>
      </c>
      <c r="BL521" s="72">
        <v>840</v>
      </c>
      <c r="BM521" s="72">
        <v>0</v>
      </c>
      <c r="BN521" s="72">
        <v>0</v>
      </c>
      <c r="BO521" s="72">
        <v>0</v>
      </c>
      <c r="BP521" s="72">
        <v>0</v>
      </c>
      <c r="BQ521" s="72">
        <v>0</v>
      </c>
      <c r="BR521" s="72">
        <v>0</v>
      </c>
      <c r="BS521" s="72">
        <v>7827131</v>
      </c>
    </row>
    <row r="522" spans="1:71" x14ac:dyDescent="0.2">
      <c r="A522" t="s">
        <v>513</v>
      </c>
      <c r="B522" t="s">
        <v>1217</v>
      </c>
      <c r="C522" t="s">
        <v>36</v>
      </c>
      <c r="D522" s="72">
        <v>725500</v>
      </c>
      <c r="E522" s="72">
        <v>0</v>
      </c>
      <c r="F522" s="72">
        <v>710000</v>
      </c>
      <c r="G522" s="72">
        <v>1880500</v>
      </c>
      <c r="H522" s="72">
        <v>0</v>
      </c>
      <c r="I522" s="72">
        <v>0</v>
      </c>
      <c r="J522" s="72">
        <v>99700</v>
      </c>
      <c r="K522" s="72">
        <v>452900</v>
      </c>
      <c r="L522" s="72">
        <v>3868600</v>
      </c>
      <c r="M522" s="72">
        <v>0</v>
      </c>
      <c r="N522" s="72">
        <v>0</v>
      </c>
      <c r="O522" s="72">
        <v>0</v>
      </c>
      <c r="P522" s="72">
        <v>0</v>
      </c>
      <c r="Q522" s="72">
        <v>0</v>
      </c>
      <c r="R522" s="72">
        <v>0</v>
      </c>
      <c r="S522" s="72">
        <v>3868600</v>
      </c>
      <c r="T522" s="72">
        <v>2172000</v>
      </c>
      <c r="U522" s="72">
        <v>662000</v>
      </c>
      <c r="V522" s="72">
        <v>652350</v>
      </c>
      <c r="W522" s="72">
        <v>160200</v>
      </c>
      <c r="X522" s="72">
        <v>28000</v>
      </c>
      <c r="Y522" s="72">
        <v>0</v>
      </c>
      <c r="Z522" s="72">
        <v>0</v>
      </c>
      <c r="AA522" s="72">
        <v>0</v>
      </c>
      <c r="AB522" s="72">
        <v>0</v>
      </c>
      <c r="AC522" s="72">
        <v>0</v>
      </c>
      <c r="AD522" s="72">
        <v>0</v>
      </c>
      <c r="AE522" s="72">
        <v>0</v>
      </c>
      <c r="AF522" s="72">
        <v>0</v>
      </c>
      <c r="AG522" s="72">
        <v>98450</v>
      </c>
      <c r="AH522" s="72">
        <v>3773000</v>
      </c>
      <c r="AI522" s="72">
        <v>95000</v>
      </c>
      <c r="AJ522" s="72">
        <v>0</v>
      </c>
      <c r="AK522" s="72">
        <v>0</v>
      </c>
      <c r="AL522" s="72">
        <v>95000</v>
      </c>
      <c r="AM522" s="72">
        <v>3868000</v>
      </c>
      <c r="AN522" s="72">
        <v>600</v>
      </c>
      <c r="AO522" s="72">
        <v>2251417</v>
      </c>
      <c r="AP522" s="72">
        <v>2252017</v>
      </c>
      <c r="AQ522" s="72">
        <v>0</v>
      </c>
      <c r="AR522" s="72">
        <v>0</v>
      </c>
      <c r="AS522" s="72">
        <v>0</v>
      </c>
      <c r="AT522" s="72">
        <v>0</v>
      </c>
      <c r="AU522" s="72">
        <v>0</v>
      </c>
      <c r="AV522" s="72">
        <v>100000</v>
      </c>
      <c r="AW522" s="72">
        <v>0</v>
      </c>
      <c r="AX522" s="72">
        <v>0</v>
      </c>
      <c r="AY522" s="72">
        <v>0</v>
      </c>
      <c r="AZ522" s="72">
        <v>100000</v>
      </c>
      <c r="BA522" s="72">
        <v>2152017</v>
      </c>
      <c r="BB522" s="72">
        <v>0</v>
      </c>
      <c r="BC522" s="72">
        <v>0</v>
      </c>
      <c r="BD522" s="72">
        <v>0</v>
      </c>
      <c r="BE522" s="72">
        <v>2152017</v>
      </c>
      <c r="BF522" s="72">
        <v>0</v>
      </c>
      <c r="BG522" s="72">
        <v>0</v>
      </c>
      <c r="BH522" s="72">
        <v>0</v>
      </c>
      <c r="BI522" s="72">
        <v>0</v>
      </c>
      <c r="BJ522" s="72">
        <v>2152017</v>
      </c>
      <c r="BK522" s="72">
        <v>20</v>
      </c>
      <c r="BL522" s="72">
        <v>341</v>
      </c>
      <c r="BM522" s="72">
        <v>0</v>
      </c>
      <c r="BN522" s="72">
        <v>0</v>
      </c>
      <c r="BO522" s="72">
        <v>0</v>
      </c>
      <c r="BP522" s="72">
        <v>0</v>
      </c>
      <c r="BQ522" s="72">
        <v>0</v>
      </c>
      <c r="BR522" s="72">
        <v>0</v>
      </c>
      <c r="BS522" s="72">
        <v>3868600</v>
      </c>
    </row>
    <row r="523" spans="1:71" x14ac:dyDescent="0.2">
      <c r="A523" t="s">
        <v>554</v>
      </c>
      <c r="B523" t="s">
        <v>1253</v>
      </c>
      <c r="C523" t="s">
        <v>36</v>
      </c>
      <c r="D523" s="72">
        <v>1016313</v>
      </c>
      <c r="E523" s="72">
        <v>0</v>
      </c>
      <c r="F523" s="72">
        <v>438424</v>
      </c>
      <c r="G523" s="72">
        <v>1678523</v>
      </c>
      <c r="H523" s="72">
        <v>66</v>
      </c>
      <c r="I523" s="72">
        <v>0</v>
      </c>
      <c r="J523" s="72">
        <v>295058</v>
      </c>
      <c r="K523" s="72">
        <v>904453</v>
      </c>
      <c r="L523" s="72">
        <v>4332837</v>
      </c>
      <c r="M523" s="72">
        <v>0</v>
      </c>
      <c r="N523" s="72">
        <v>0</v>
      </c>
      <c r="O523" s="72">
        <v>0</v>
      </c>
      <c r="P523" s="72">
        <v>0</v>
      </c>
      <c r="Q523" s="72">
        <v>2500</v>
      </c>
      <c r="R523" s="72">
        <v>2500</v>
      </c>
      <c r="S523" s="72">
        <v>4335337</v>
      </c>
      <c r="T523" s="72">
        <v>2369603</v>
      </c>
      <c r="U523" s="72">
        <v>860848</v>
      </c>
      <c r="V523" s="72">
        <v>1084737</v>
      </c>
      <c r="W523" s="72">
        <v>139338</v>
      </c>
      <c r="X523" s="72">
        <v>20012</v>
      </c>
      <c r="Y523" s="72">
        <v>0</v>
      </c>
      <c r="Z523" s="72">
        <v>0</v>
      </c>
      <c r="AA523" s="72">
        <v>0</v>
      </c>
      <c r="AB523" s="72">
        <v>0</v>
      </c>
      <c r="AC523" s="72">
        <v>0</v>
      </c>
      <c r="AD523" s="72">
        <v>0</v>
      </c>
      <c r="AE523" s="72">
        <v>0</v>
      </c>
      <c r="AF523" s="72">
        <v>125</v>
      </c>
      <c r="AG523" s="72">
        <v>104900</v>
      </c>
      <c r="AH523" s="72">
        <v>4579563</v>
      </c>
      <c r="AI523" s="72">
        <v>712</v>
      </c>
      <c r="AJ523" s="72">
        <v>0</v>
      </c>
      <c r="AK523" s="72">
        <v>0</v>
      </c>
      <c r="AL523" s="72">
        <v>712</v>
      </c>
      <c r="AM523" s="72">
        <v>4580275</v>
      </c>
      <c r="AN523" s="72">
        <v>-244938</v>
      </c>
      <c r="AO523" s="72">
        <v>541810</v>
      </c>
      <c r="AP523" s="72">
        <v>296872</v>
      </c>
      <c r="AQ523" s="72">
        <v>0</v>
      </c>
      <c r="AR523" s="72">
        <v>0</v>
      </c>
      <c r="AS523" s="72">
        <v>0</v>
      </c>
      <c r="AT523" s="72">
        <v>0</v>
      </c>
      <c r="AU523" s="72">
        <v>0</v>
      </c>
      <c r="AV523" s="72">
        <v>0</v>
      </c>
      <c r="AW523" s="72">
        <v>0</v>
      </c>
      <c r="AX523" s="72">
        <v>0</v>
      </c>
      <c r="AY523" s="72">
        <v>0</v>
      </c>
      <c r="AZ523" s="72">
        <v>0</v>
      </c>
      <c r="BA523" s="72">
        <v>296872</v>
      </c>
      <c r="BB523" s="72">
        <v>0</v>
      </c>
      <c r="BC523" s="72">
        <v>0</v>
      </c>
      <c r="BD523" s="72">
        <v>0</v>
      </c>
      <c r="BE523" s="72">
        <v>296872</v>
      </c>
      <c r="BF523" s="72">
        <v>0</v>
      </c>
      <c r="BG523" s="72">
        <v>0</v>
      </c>
      <c r="BH523" s="72">
        <v>0</v>
      </c>
      <c r="BI523" s="72">
        <v>0</v>
      </c>
      <c r="BJ523" s="72">
        <v>296872</v>
      </c>
      <c r="BK523" s="72">
        <v>0</v>
      </c>
      <c r="BL523" s="72">
        <v>0</v>
      </c>
      <c r="BM523" s="72">
        <v>0</v>
      </c>
      <c r="BN523" s="72">
        <v>0</v>
      </c>
      <c r="BO523" s="72">
        <v>0</v>
      </c>
      <c r="BP523" s="72">
        <v>0</v>
      </c>
      <c r="BQ523" s="72">
        <v>0</v>
      </c>
      <c r="BR523" s="72">
        <v>0</v>
      </c>
      <c r="BS523" s="72">
        <v>4580275</v>
      </c>
    </row>
    <row r="524" spans="1:71" x14ac:dyDescent="0.2">
      <c r="A524" t="s">
        <v>123</v>
      </c>
      <c r="B524" t="s">
        <v>844</v>
      </c>
      <c r="C524" t="s">
        <v>64</v>
      </c>
      <c r="D524" s="72">
        <v>2695014</v>
      </c>
      <c r="E524" s="72">
        <v>0</v>
      </c>
      <c r="F524" s="72">
        <v>1840014</v>
      </c>
      <c r="G524" s="72">
        <v>4260014</v>
      </c>
      <c r="H524" s="72">
        <v>67814</v>
      </c>
      <c r="I524" s="72">
        <v>0</v>
      </c>
      <c r="J524" s="72">
        <v>887014</v>
      </c>
      <c r="K524" s="72">
        <v>574014</v>
      </c>
      <c r="L524" s="72">
        <v>10323884</v>
      </c>
      <c r="M524" s="72">
        <v>0</v>
      </c>
      <c r="N524" s="72">
        <v>0</v>
      </c>
      <c r="O524" s="72">
        <v>0</v>
      </c>
      <c r="P524" s="72">
        <v>0</v>
      </c>
      <c r="Q524" s="72">
        <v>23706</v>
      </c>
      <c r="R524" s="72">
        <v>23706</v>
      </c>
      <c r="S524" s="72">
        <v>10347590</v>
      </c>
      <c r="T524" s="72">
        <v>6603014</v>
      </c>
      <c r="U524" s="72">
        <v>1920014</v>
      </c>
      <c r="V524" s="72">
        <v>1142014</v>
      </c>
      <c r="W524" s="72">
        <v>475014</v>
      </c>
      <c r="X524" s="72">
        <v>25014</v>
      </c>
      <c r="Y524" s="72">
        <v>0</v>
      </c>
      <c r="Z524" s="72">
        <v>0</v>
      </c>
      <c r="AA524" s="72">
        <v>0</v>
      </c>
      <c r="AB524" s="72">
        <v>170014</v>
      </c>
      <c r="AC524" s="72">
        <v>0</v>
      </c>
      <c r="AD524" s="72">
        <v>0</v>
      </c>
      <c r="AE524" s="72">
        <v>0</v>
      </c>
      <c r="AF524" s="72">
        <v>0</v>
      </c>
      <c r="AG524" s="72">
        <v>0</v>
      </c>
      <c r="AH524" s="72">
        <v>10335084</v>
      </c>
      <c r="AI524" s="72">
        <v>0</v>
      </c>
      <c r="AJ524" s="72">
        <v>50000</v>
      </c>
      <c r="AK524" s="72">
        <v>0</v>
      </c>
      <c r="AL524" s="72">
        <v>50000</v>
      </c>
      <c r="AM524" s="72">
        <v>10385084</v>
      </c>
      <c r="AN524" s="72">
        <v>-37494</v>
      </c>
      <c r="AO524" s="72">
        <v>3213390</v>
      </c>
      <c r="AP524" s="72">
        <v>3175896</v>
      </c>
      <c r="AQ524" s="72">
        <v>125000</v>
      </c>
      <c r="AR524" s="72">
        <v>29354</v>
      </c>
      <c r="AS524" s="72">
        <v>0</v>
      </c>
      <c r="AT524" s="72">
        <v>405462</v>
      </c>
      <c r="AU524" s="72">
        <v>0</v>
      </c>
      <c r="AV524" s="72">
        <v>0</v>
      </c>
      <c r="AW524" s="72">
        <v>0</v>
      </c>
      <c r="AX524" s="72">
        <v>0</v>
      </c>
      <c r="AY524" s="72">
        <v>50324</v>
      </c>
      <c r="AZ524" s="72">
        <v>485140</v>
      </c>
      <c r="BA524" s="72">
        <v>2565756</v>
      </c>
      <c r="BB524" s="72">
        <v>0</v>
      </c>
      <c r="BC524" s="72">
        <v>0</v>
      </c>
      <c r="BD524" s="72">
        <v>0</v>
      </c>
      <c r="BE524" s="72">
        <v>2565756</v>
      </c>
      <c r="BF524" s="72">
        <v>0</v>
      </c>
      <c r="BG524" s="72">
        <v>0</v>
      </c>
      <c r="BH524" s="72">
        <v>0</v>
      </c>
      <c r="BI524" s="72">
        <v>0</v>
      </c>
      <c r="BJ524" s="72">
        <v>2565756</v>
      </c>
      <c r="BK524" s="72">
        <v>0</v>
      </c>
      <c r="BL524" s="72">
        <v>0</v>
      </c>
      <c r="BM524" s="72">
        <v>0</v>
      </c>
      <c r="BN524" s="72">
        <v>0</v>
      </c>
      <c r="BO524" s="72">
        <v>0</v>
      </c>
      <c r="BP524" s="72">
        <v>0</v>
      </c>
      <c r="BQ524" s="72">
        <v>0</v>
      </c>
      <c r="BR524" s="72">
        <v>0</v>
      </c>
      <c r="BS524" s="72">
        <v>10385084</v>
      </c>
    </row>
    <row r="525" spans="1:71" x14ac:dyDescent="0.2">
      <c r="A525" t="s">
        <v>175</v>
      </c>
      <c r="B525" t="s">
        <v>896</v>
      </c>
      <c r="C525" t="s">
        <v>64</v>
      </c>
      <c r="D525" s="72">
        <v>862174</v>
      </c>
      <c r="E525" s="72">
        <v>68153</v>
      </c>
      <c r="F525" s="72">
        <v>635584</v>
      </c>
      <c r="G525" s="72">
        <v>2181160</v>
      </c>
      <c r="H525" s="72">
        <v>20630</v>
      </c>
      <c r="I525" s="72">
        <v>0</v>
      </c>
      <c r="J525" s="72">
        <v>121565</v>
      </c>
      <c r="K525" s="72">
        <v>1394091</v>
      </c>
      <c r="L525" s="72">
        <v>5283357</v>
      </c>
      <c r="M525" s="72">
        <v>0</v>
      </c>
      <c r="N525" s="72">
        <v>0</v>
      </c>
      <c r="O525" s="72">
        <v>0</v>
      </c>
      <c r="P525" s="72">
        <v>0</v>
      </c>
      <c r="Q525" s="72">
        <v>0</v>
      </c>
      <c r="R525" s="72">
        <v>0</v>
      </c>
      <c r="S525" s="72">
        <v>5283357</v>
      </c>
      <c r="T525" s="72">
        <v>2833791</v>
      </c>
      <c r="U525" s="72">
        <v>1002427</v>
      </c>
      <c r="V525" s="72">
        <v>489088</v>
      </c>
      <c r="W525" s="72">
        <v>243776</v>
      </c>
      <c r="X525" s="72">
        <v>10000</v>
      </c>
      <c r="Y525" s="72">
        <v>0</v>
      </c>
      <c r="Z525" s="72">
        <v>0</v>
      </c>
      <c r="AA525" s="72">
        <v>0</v>
      </c>
      <c r="AB525" s="72">
        <v>0</v>
      </c>
      <c r="AC525" s="72">
        <v>0</v>
      </c>
      <c r="AD525" s="72">
        <v>0</v>
      </c>
      <c r="AE525" s="72">
        <v>0</v>
      </c>
      <c r="AF525" s="72">
        <v>0</v>
      </c>
      <c r="AG525" s="72">
        <v>94556</v>
      </c>
      <c r="AH525" s="72">
        <v>4673638</v>
      </c>
      <c r="AI525" s="72">
        <v>35000</v>
      </c>
      <c r="AJ525" s="72">
        <v>0</v>
      </c>
      <c r="AK525" s="72">
        <v>0</v>
      </c>
      <c r="AL525" s="72">
        <v>35000</v>
      </c>
      <c r="AM525" s="72">
        <v>4708638</v>
      </c>
      <c r="AN525" s="72">
        <v>574719</v>
      </c>
      <c r="AO525" s="72">
        <v>3312629</v>
      </c>
      <c r="AP525" s="72">
        <v>3887348</v>
      </c>
      <c r="AQ525" s="72">
        <v>24443</v>
      </c>
      <c r="AR525" s="72">
        <v>5000</v>
      </c>
      <c r="AS525" s="72">
        <v>0</v>
      </c>
      <c r="AT525" s="72">
        <v>0</v>
      </c>
      <c r="AU525" s="72">
        <v>0</v>
      </c>
      <c r="AV525" s="72">
        <v>0</v>
      </c>
      <c r="AW525" s="72">
        <v>0</v>
      </c>
      <c r="AX525" s="72">
        <v>0</v>
      </c>
      <c r="AY525" s="72">
        <v>4033</v>
      </c>
      <c r="AZ525" s="72">
        <v>9033</v>
      </c>
      <c r="BA525" s="72">
        <v>3853872</v>
      </c>
      <c r="BB525" s="72">
        <v>0</v>
      </c>
      <c r="BC525" s="72">
        <v>0</v>
      </c>
      <c r="BD525" s="72">
        <v>0</v>
      </c>
      <c r="BE525" s="72">
        <v>3853872</v>
      </c>
      <c r="BF525" s="72">
        <v>0</v>
      </c>
      <c r="BG525" s="72">
        <v>0</v>
      </c>
      <c r="BH525" s="72">
        <v>0</v>
      </c>
      <c r="BI525" s="72">
        <v>0</v>
      </c>
      <c r="BJ525" s="72">
        <v>3853872</v>
      </c>
      <c r="BK525" s="72">
        <v>0</v>
      </c>
      <c r="BL525" s="72">
        <v>0</v>
      </c>
      <c r="BM525" s="72">
        <v>0</v>
      </c>
      <c r="BN525" s="72">
        <v>0</v>
      </c>
      <c r="BO525" s="72">
        <v>0</v>
      </c>
      <c r="BP525" s="72">
        <v>0</v>
      </c>
      <c r="BQ525" s="72">
        <v>0</v>
      </c>
      <c r="BR525" s="72">
        <v>0</v>
      </c>
      <c r="BS525" s="72">
        <v>5283357</v>
      </c>
    </row>
    <row r="526" spans="1:71" x14ac:dyDescent="0.2">
      <c r="A526" t="s">
        <v>303</v>
      </c>
      <c r="B526" t="s">
        <v>1017</v>
      </c>
      <c r="C526" t="s">
        <v>64</v>
      </c>
      <c r="D526" s="72">
        <v>1040000</v>
      </c>
      <c r="E526" s="72">
        <v>0</v>
      </c>
      <c r="F526" s="72">
        <v>380000</v>
      </c>
      <c r="G526" s="72">
        <v>2226000</v>
      </c>
      <c r="H526" s="72">
        <v>0</v>
      </c>
      <c r="I526" s="72">
        <v>0</v>
      </c>
      <c r="J526" s="72">
        <v>154000</v>
      </c>
      <c r="K526" s="72">
        <v>1548000</v>
      </c>
      <c r="L526" s="72">
        <v>5348000</v>
      </c>
      <c r="M526" s="72">
        <v>0</v>
      </c>
      <c r="N526" s="72">
        <v>0</v>
      </c>
      <c r="O526" s="72">
        <v>0</v>
      </c>
      <c r="P526" s="72">
        <v>0</v>
      </c>
      <c r="Q526" s="72">
        <v>0</v>
      </c>
      <c r="R526" s="72">
        <v>0</v>
      </c>
      <c r="S526" s="72">
        <v>5348000</v>
      </c>
      <c r="T526" s="72">
        <v>2690000</v>
      </c>
      <c r="U526" s="72">
        <v>984750</v>
      </c>
      <c r="V526" s="72">
        <v>815000</v>
      </c>
      <c r="W526" s="72">
        <v>370000</v>
      </c>
      <c r="X526" s="72">
        <v>230000</v>
      </c>
      <c r="Y526" s="72">
        <v>0</v>
      </c>
      <c r="Z526" s="72">
        <v>0</v>
      </c>
      <c r="AA526" s="72">
        <v>0</v>
      </c>
      <c r="AB526" s="72">
        <v>0</v>
      </c>
      <c r="AC526" s="72">
        <v>0</v>
      </c>
      <c r="AD526" s="72">
        <v>0</v>
      </c>
      <c r="AE526" s="72">
        <v>0</v>
      </c>
      <c r="AF526" s="72">
        <v>0</v>
      </c>
      <c r="AG526" s="72">
        <v>68675</v>
      </c>
      <c r="AH526" s="72">
        <v>5158425</v>
      </c>
      <c r="AI526" s="72">
        <v>42500</v>
      </c>
      <c r="AJ526" s="72">
        <v>0</v>
      </c>
      <c r="AK526" s="72">
        <v>0</v>
      </c>
      <c r="AL526" s="72">
        <v>42500</v>
      </c>
      <c r="AM526" s="72">
        <v>5200925</v>
      </c>
      <c r="AN526" s="72">
        <v>147075</v>
      </c>
      <c r="AO526" s="72">
        <v>3991798</v>
      </c>
      <c r="AP526" s="72">
        <v>4138873</v>
      </c>
      <c r="AQ526" s="72">
        <v>25000</v>
      </c>
      <c r="AR526" s="72">
        <v>0</v>
      </c>
      <c r="AS526" s="72">
        <v>0</v>
      </c>
      <c r="AT526" s="72">
        <v>0</v>
      </c>
      <c r="AU526" s="72">
        <v>0</v>
      </c>
      <c r="AV526" s="72">
        <v>0</v>
      </c>
      <c r="AW526" s="72">
        <v>0</v>
      </c>
      <c r="AX526" s="72">
        <v>0</v>
      </c>
      <c r="AY526" s="72">
        <v>0</v>
      </c>
      <c r="AZ526" s="72">
        <v>0</v>
      </c>
      <c r="BA526" s="72">
        <v>4113873</v>
      </c>
      <c r="BB526" s="72">
        <v>0</v>
      </c>
      <c r="BC526" s="72">
        <v>0</v>
      </c>
      <c r="BD526" s="72">
        <v>0</v>
      </c>
      <c r="BE526" s="72">
        <v>4113873</v>
      </c>
      <c r="BF526" s="72">
        <v>0</v>
      </c>
      <c r="BG526" s="72">
        <v>0</v>
      </c>
      <c r="BH526" s="72">
        <v>0</v>
      </c>
      <c r="BI526" s="72">
        <v>0</v>
      </c>
      <c r="BJ526" s="72">
        <v>4113873</v>
      </c>
      <c r="BK526" s="72">
        <v>46</v>
      </c>
      <c r="BL526" s="72">
        <v>620</v>
      </c>
      <c r="BM526" s="72">
        <v>0</v>
      </c>
      <c r="BN526" s="72">
        <v>0</v>
      </c>
      <c r="BO526" s="72">
        <v>0</v>
      </c>
      <c r="BP526" s="72">
        <v>0</v>
      </c>
      <c r="BQ526" s="72">
        <v>0</v>
      </c>
      <c r="BR526" s="72">
        <v>0</v>
      </c>
      <c r="BS526" s="72">
        <v>5348000</v>
      </c>
    </row>
    <row r="527" spans="1:71" x14ac:dyDescent="0.2">
      <c r="A527" t="s">
        <v>317</v>
      </c>
      <c r="B527" t="s">
        <v>1031</v>
      </c>
      <c r="C527" t="s">
        <v>64</v>
      </c>
      <c r="D527" s="72">
        <v>1660000</v>
      </c>
      <c r="E527" s="72">
        <v>75000</v>
      </c>
      <c r="F527" s="72">
        <v>1594500</v>
      </c>
      <c r="G527" s="72">
        <v>3676584</v>
      </c>
      <c r="H527" s="72">
        <v>15000</v>
      </c>
      <c r="I527" s="72">
        <v>0</v>
      </c>
      <c r="J527" s="72">
        <v>229000</v>
      </c>
      <c r="K527" s="72">
        <v>174508</v>
      </c>
      <c r="L527" s="72">
        <v>7424592</v>
      </c>
      <c r="M527" s="72">
        <v>0</v>
      </c>
      <c r="N527" s="72">
        <v>0</v>
      </c>
      <c r="O527" s="72">
        <v>0</v>
      </c>
      <c r="P527" s="72">
        <v>15420</v>
      </c>
      <c r="Q527" s="72">
        <v>30199</v>
      </c>
      <c r="R527" s="72">
        <v>45619</v>
      </c>
      <c r="S527" s="72">
        <v>7470211</v>
      </c>
      <c r="T527" s="72">
        <v>4018233</v>
      </c>
      <c r="U527" s="72">
        <v>1553494</v>
      </c>
      <c r="V527" s="72">
        <v>1069102</v>
      </c>
      <c r="W527" s="72">
        <v>293095</v>
      </c>
      <c r="X527" s="72">
        <v>210981</v>
      </c>
      <c r="Y527" s="72">
        <v>0</v>
      </c>
      <c r="Z527" s="72">
        <v>0</v>
      </c>
      <c r="AA527" s="72">
        <v>25000</v>
      </c>
      <c r="AB527" s="72">
        <v>0</v>
      </c>
      <c r="AC527" s="72">
        <v>0</v>
      </c>
      <c r="AD527" s="72">
        <v>0</v>
      </c>
      <c r="AE527" s="72">
        <v>0</v>
      </c>
      <c r="AF527" s="72">
        <v>0</v>
      </c>
      <c r="AG527" s="72">
        <v>144044</v>
      </c>
      <c r="AH527" s="72">
        <v>7313949</v>
      </c>
      <c r="AI527" s="72">
        <v>31500</v>
      </c>
      <c r="AJ527" s="72">
        <v>15420</v>
      </c>
      <c r="AK527" s="72">
        <v>0</v>
      </c>
      <c r="AL527" s="72">
        <v>46920</v>
      </c>
      <c r="AM527" s="72">
        <v>7360869</v>
      </c>
      <c r="AN527" s="72">
        <v>109342</v>
      </c>
      <c r="AO527" s="72">
        <v>3193538</v>
      </c>
      <c r="AP527" s="72">
        <v>3302880</v>
      </c>
      <c r="AQ527" s="72">
        <v>0</v>
      </c>
      <c r="AR527" s="72">
        <v>0</v>
      </c>
      <c r="AS527" s="72">
        <v>0</v>
      </c>
      <c r="AT527" s="72">
        <v>0</v>
      </c>
      <c r="AU527" s="72">
        <v>0</v>
      </c>
      <c r="AV527" s="72">
        <v>0</v>
      </c>
      <c r="AW527" s="72">
        <v>0</v>
      </c>
      <c r="AX527" s="72">
        <v>0</v>
      </c>
      <c r="AY527" s="72">
        <v>0</v>
      </c>
      <c r="AZ527" s="72">
        <v>0</v>
      </c>
      <c r="BA527" s="72">
        <v>3302880</v>
      </c>
      <c r="BB527" s="72">
        <v>0</v>
      </c>
      <c r="BC527" s="72">
        <v>0</v>
      </c>
      <c r="BD527" s="72">
        <v>0</v>
      </c>
      <c r="BE527" s="72">
        <v>3302880</v>
      </c>
      <c r="BF527" s="72">
        <v>0</v>
      </c>
      <c r="BG527" s="72">
        <v>0</v>
      </c>
      <c r="BH527" s="72">
        <v>0</v>
      </c>
      <c r="BI527" s="72">
        <v>0</v>
      </c>
      <c r="BJ527" s="72">
        <v>3302880</v>
      </c>
      <c r="BK527" s="72">
        <v>58</v>
      </c>
      <c r="BL527" s="72">
        <v>782</v>
      </c>
      <c r="BM527" s="72">
        <v>0</v>
      </c>
      <c r="BN527" s="72">
        <v>0</v>
      </c>
      <c r="BO527" s="72">
        <v>0</v>
      </c>
      <c r="BP527" s="72">
        <v>0</v>
      </c>
      <c r="BQ527" s="72">
        <v>0</v>
      </c>
      <c r="BR527" s="72">
        <v>0</v>
      </c>
      <c r="BS527" s="72">
        <v>7470211</v>
      </c>
    </row>
    <row r="528" spans="1:71" x14ac:dyDescent="0.2">
      <c r="A528" t="s">
        <v>357</v>
      </c>
      <c r="B528" t="s">
        <v>1069</v>
      </c>
      <c r="C528" t="s">
        <v>64</v>
      </c>
      <c r="D528" s="72">
        <v>1655664</v>
      </c>
      <c r="E528" s="72">
        <v>85899</v>
      </c>
      <c r="F528" s="72">
        <v>472111</v>
      </c>
      <c r="G528" s="72">
        <v>4225082</v>
      </c>
      <c r="H528" s="72">
        <v>12539</v>
      </c>
      <c r="I528" s="72">
        <v>0</v>
      </c>
      <c r="J528" s="72">
        <v>258892</v>
      </c>
      <c r="K528" s="72">
        <v>1138567</v>
      </c>
      <c r="L528" s="72">
        <v>7848754</v>
      </c>
      <c r="M528" s="72">
        <v>0</v>
      </c>
      <c r="N528" s="72">
        <v>0</v>
      </c>
      <c r="O528" s="72">
        <v>0</v>
      </c>
      <c r="P528" s="72">
        <v>0</v>
      </c>
      <c r="Q528" s="72">
        <v>26000</v>
      </c>
      <c r="R528" s="72">
        <v>26000</v>
      </c>
      <c r="S528" s="72">
        <v>7874754</v>
      </c>
      <c r="T528" s="72">
        <v>3712518</v>
      </c>
      <c r="U528" s="72">
        <v>1460492</v>
      </c>
      <c r="V528" s="72">
        <v>2402812</v>
      </c>
      <c r="W528" s="72">
        <v>285401</v>
      </c>
      <c r="X528" s="72">
        <v>121205</v>
      </c>
      <c r="Y528" s="72">
        <v>0</v>
      </c>
      <c r="Z528" s="72">
        <v>0</v>
      </c>
      <c r="AA528" s="72">
        <v>0</v>
      </c>
      <c r="AB528" s="72">
        <v>0</v>
      </c>
      <c r="AC528" s="72">
        <v>0</v>
      </c>
      <c r="AD528" s="72">
        <v>0</v>
      </c>
      <c r="AE528" s="72">
        <v>0</v>
      </c>
      <c r="AF528" s="72">
        <v>0</v>
      </c>
      <c r="AG528" s="72">
        <v>128320</v>
      </c>
      <c r="AH528" s="72">
        <v>8110748</v>
      </c>
      <c r="AI528" s="72">
        <v>0</v>
      </c>
      <c r="AJ528" s="72">
        <v>0</v>
      </c>
      <c r="AK528" s="72">
        <v>0</v>
      </c>
      <c r="AL528" s="72">
        <v>0</v>
      </c>
      <c r="AM528" s="72">
        <v>8110748</v>
      </c>
      <c r="AN528" s="72">
        <v>-235994</v>
      </c>
      <c r="AO528" s="72">
        <v>2062488</v>
      </c>
      <c r="AP528" s="72">
        <v>1826494</v>
      </c>
      <c r="AQ528" s="72">
        <v>0</v>
      </c>
      <c r="AR528" s="72">
        <v>0</v>
      </c>
      <c r="AS528" s="72">
        <v>0</v>
      </c>
      <c r="AT528" s="72">
        <v>0</v>
      </c>
      <c r="AU528" s="72">
        <v>0</v>
      </c>
      <c r="AV528" s="72">
        <v>0</v>
      </c>
      <c r="AW528" s="72">
        <v>0</v>
      </c>
      <c r="AX528" s="72">
        <v>0</v>
      </c>
      <c r="AY528" s="72">
        <v>64357</v>
      </c>
      <c r="AZ528" s="72">
        <v>64357</v>
      </c>
      <c r="BA528" s="72">
        <v>1762137</v>
      </c>
      <c r="BB528" s="72">
        <v>0</v>
      </c>
      <c r="BC528" s="72">
        <v>0</v>
      </c>
      <c r="BD528" s="72">
        <v>0</v>
      </c>
      <c r="BE528" s="72">
        <v>1762137</v>
      </c>
      <c r="BF528" s="72">
        <v>0</v>
      </c>
      <c r="BG528" s="72">
        <v>0</v>
      </c>
      <c r="BH528" s="72">
        <v>0</v>
      </c>
      <c r="BI528" s="72">
        <v>0</v>
      </c>
      <c r="BJ528" s="72">
        <v>1762137</v>
      </c>
      <c r="BM528" s="72">
        <v>0</v>
      </c>
      <c r="BN528" s="72">
        <v>0</v>
      </c>
      <c r="BO528" s="72">
        <v>0</v>
      </c>
      <c r="BP528" s="72">
        <v>0</v>
      </c>
      <c r="BQ528" s="72">
        <v>0</v>
      </c>
      <c r="BR528" s="72">
        <v>0</v>
      </c>
      <c r="BS528" s="72">
        <v>8110748</v>
      </c>
    </row>
    <row r="529" spans="1:71" x14ac:dyDescent="0.2">
      <c r="A529" t="s">
        <v>380</v>
      </c>
      <c r="B529" t="s">
        <v>1091</v>
      </c>
      <c r="C529" t="s">
        <v>64</v>
      </c>
      <c r="D529" s="72">
        <v>1156070</v>
      </c>
      <c r="E529" s="72">
        <v>90084</v>
      </c>
      <c r="F529" s="72">
        <v>569349</v>
      </c>
      <c r="G529" s="72">
        <v>1773895</v>
      </c>
      <c r="H529" s="72">
        <v>0</v>
      </c>
      <c r="I529" s="72">
        <v>0</v>
      </c>
      <c r="J529" s="72">
        <v>446957</v>
      </c>
      <c r="K529" s="72">
        <v>712200</v>
      </c>
      <c r="L529" s="72">
        <v>4748555</v>
      </c>
      <c r="M529" s="72">
        <v>0</v>
      </c>
      <c r="N529" s="72">
        <v>0</v>
      </c>
      <c r="O529" s="72">
        <v>0</v>
      </c>
      <c r="P529" s="72">
        <v>0</v>
      </c>
      <c r="Q529" s="72">
        <v>0</v>
      </c>
      <c r="R529" s="72">
        <v>0</v>
      </c>
      <c r="S529" s="72">
        <v>4748555</v>
      </c>
      <c r="T529" s="72">
        <v>2505000</v>
      </c>
      <c r="U529" s="72">
        <v>990000</v>
      </c>
      <c r="V529" s="72">
        <v>975000</v>
      </c>
      <c r="W529" s="72">
        <v>158334</v>
      </c>
      <c r="X529" s="72">
        <v>800</v>
      </c>
      <c r="Y529" s="72">
        <v>0</v>
      </c>
      <c r="Z529" s="72">
        <v>0</v>
      </c>
      <c r="AA529" s="72">
        <v>0</v>
      </c>
      <c r="AB529" s="72">
        <v>0</v>
      </c>
      <c r="AC529" s="72">
        <v>0</v>
      </c>
      <c r="AD529" s="72">
        <v>0</v>
      </c>
      <c r="AE529" s="72">
        <v>0</v>
      </c>
      <c r="AF529" s="72">
        <v>0</v>
      </c>
      <c r="AG529" s="72">
        <v>93260</v>
      </c>
      <c r="AH529" s="72">
        <v>4722394</v>
      </c>
      <c r="AI529" s="72">
        <v>18000</v>
      </c>
      <c r="AJ529" s="72">
        <v>0</v>
      </c>
      <c r="AK529" s="72">
        <v>0</v>
      </c>
      <c r="AL529" s="72">
        <v>18000</v>
      </c>
      <c r="AM529" s="72">
        <v>4740394</v>
      </c>
      <c r="AN529" s="72">
        <v>8161</v>
      </c>
      <c r="AO529" s="72">
        <v>575520</v>
      </c>
      <c r="AP529" s="72">
        <v>583681</v>
      </c>
      <c r="AQ529" s="72">
        <v>70000</v>
      </c>
      <c r="AR529" s="72">
        <v>0</v>
      </c>
      <c r="AS529" s="72">
        <v>0</v>
      </c>
      <c r="AT529" s="72">
        <v>0</v>
      </c>
      <c r="AU529" s="72">
        <v>0</v>
      </c>
      <c r="AV529" s="72">
        <v>0</v>
      </c>
      <c r="AW529" s="72">
        <v>0</v>
      </c>
      <c r="AX529" s="72">
        <v>0</v>
      </c>
      <c r="AY529" s="72">
        <v>0</v>
      </c>
      <c r="AZ529" s="72">
        <v>0</v>
      </c>
      <c r="BA529" s="72">
        <v>513681</v>
      </c>
      <c r="BB529" s="72">
        <v>0</v>
      </c>
      <c r="BC529" s="72">
        <v>0</v>
      </c>
      <c r="BD529" s="72">
        <v>0</v>
      </c>
      <c r="BE529" s="72">
        <v>513681</v>
      </c>
      <c r="BF529" s="72">
        <v>0</v>
      </c>
      <c r="BG529" s="72">
        <v>0</v>
      </c>
      <c r="BH529" s="72">
        <v>0</v>
      </c>
      <c r="BI529" s="72">
        <v>0</v>
      </c>
      <c r="BJ529" s="72">
        <v>513681</v>
      </c>
      <c r="BK529" s="72">
        <v>36</v>
      </c>
      <c r="BL529" s="72">
        <v>502</v>
      </c>
      <c r="BM529" s="72">
        <v>0</v>
      </c>
      <c r="BN529" s="72">
        <v>0</v>
      </c>
      <c r="BO529" s="72">
        <v>0</v>
      </c>
      <c r="BP529" s="72">
        <v>0</v>
      </c>
      <c r="BQ529" s="72">
        <v>0</v>
      </c>
      <c r="BR529" s="72">
        <v>0</v>
      </c>
      <c r="BS529" s="72">
        <v>4748555</v>
      </c>
    </row>
    <row r="530" spans="1:71" x14ac:dyDescent="0.2">
      <c r="A530" t="s">
        <v>618</v>
      </c>
      <c r="B530" t="s">
        <v>1314</v>
      </c>
      <c r="C530" t="s">
        <v>64</v>
      </c>
      <c r="D530" s="72">
        <v>848584</v>
      </c>
      <c r="E530" s="72">
        <v>65976</v>
      </c>
      <c r="F530" s="72">
        <v>402059</v>
      </c>
      <c r="G530" s="72">
        <v>2130126</v>
      </c>
      <c r="H530" s="72">
        <v>0</v>
      </c>
      <c r="I530" s="72">
        <v>0</v>
      </c>
      <c r="J530" s="72">
        <v>110750</v>
      </c>
      <c r="K530" s="72">
        <v>394915</v>
      </c>
      <c r="L530" s="72">
        <v>3952410</v>
      </c>
      <c r="M530" s="72">
        <v>0</v>
      </c>
      <c r="N530" s="72">
        <v>0</v>
      </c>
      <c r="O530" s="72">
        <v>0</v>
      </c>
      <c r="P530" s="72">
        <v>0</v>
      </c>
      <c r="Q530" s="72">
        <v>17808</v>
      </c>
      <c r="R530" s="72">
        <v>17808</v>
      </c>
      <c r="S530" s="72">
        <v>3970218</v>
      </c>
      <c r="T530" s="72">
        <v>2256372</v>
      </c>
      <c r="U530" s="72">
        <v>793365</v>
      </c>
      <c r="V530" s="72">
        <v>471540</v>
      </c>
      <c r="W530" s="72">
        <v>133188</v>
      </c>
      <c r="X530" s="72">
        <v>115174</v>
      </c>
      <c r="Y530" s="72">
        <v>0</v>
      </c>
      <c r="Z530" s="72">
        <v>0</v>
      </c>
      <c r="AA530" s="72">
        <v>0</v>
      </c>
      <c r="AB530" s="72">
        <v>0</v>
      </c>
      <c r="AC530" s="72">
        <v>0</v>
      </c>
      <c r="AD530" s="72">
        <v>0</v>
      </c>
      <c r="AE530" s="72">
        <v>0</v>
      </c>
      <c r="AF530" s="72">
        <v>0</v>
      </c>
      <c r="AG530" s="72">
        <v>62366</v>
      </c>
      <c r="AH530" s="72">
        <v>3832005</v>
      </c>
      <c r="AI530" s="72">
        <v>0</v>
      </c>
      <c r="AJ530" s="72">
        <v>0</v>
      </c>
      <c r="AK530" s="72">
        <v>0</v>
      </c>
      <c r="AL530" s="72">
        <v>0</v>
      </c>
      <c r="AM530" s="72">
        <v>3832005</v>
      </c>
      <c r="AN530" s="72">
        <v>138213</v>
      </c>
      <c r="AO530" s="72">
        <v>1658031</v>
      </c>
      <c r="AP530" s="72">
        <v>1796244</v>
      </c>
      <c r="AQ530" s="72">
        <v>40000</v>
      </c>
      <c r="AR530" s="72">
        <v>0</v>
      </c>
      <c r="AS530" s="72">
        <v>0</v>
      </c>
      <c r="AT530" s="72">
        <v>0</v>
      </c>
      <c r="AU530" s="72">
        <v>0</v>
      </c>
      <c r="AV530" s="72">
        <v>0</v>
      </c>
      <c r="AW530" s="72">
        <v>0</v>
      </c>
      <c r="AX530" s="72">
        <v>0</v>
      </c>
      <c r="AY530" s="72">
        <v>8000</v>
      </c>
      <c r="AZ530" s="72">
        <v>8000</v>
      </c>
      <c r="BA530" s="72">
        <v>1748244</v>
      </c>
      <c r="BB530" s="72">
        <v>0</v>
      </c>
      <c r="BC530" s="72">
        <v>0</v>
      </c>
      <c r="BD530" s="72">
        <v>0</v>
      </c>
      <c r="BE530" s="72">
        <v>1748244</v>
      </c>
      <c r="BF530" s="72">
        <v>0</v>
      </c>
      <c r="BG530" s="72">
        <v>0</v>
      </c>
      <c r="BH530" s="72">
        <v>0</v>
      </c>
      <c r="BI530" s="72">
        <v>0</v>
      </c>
      <c r="BJ530" s="72">
        <v>1748244</v>
      </c>
      <c r="BM530" s="72">
        <v>0</v>
      </c>
      <c r="BN530" s="72">
        <v>0</v>
      </c>
      <c r="BO530" s="72">
        <v>0</v>
      </c>
      <c r="BP530" s="72">
        <v>0</v>
      </c>
      <c r="BQ530" s="72">
        <v>0</v>
      </c>
      <c r="BR530" s="72">
        <v>0</v>
      </c>
      <c r="BS530" s="72">
        <v>3970218</v>
      </c>
    </row>
    <row r="531" spans="1:71" x14ac:dyDescent="0.2">
      <c r="A531" t="s">
        <v>202</v>
      </c>
      <c r="B531" t="s">
        <v>921</v>
      </c>
      <c r="C531" t="s">
        <v>55</v>
      </c>
      <c r="D531" s="72">
        <v>5259013</v>
      </c>
      <c r="E531" s="72">
        <v>2439917</v>
      </c>
      <c r="F531" s="72">
        <v>0</v>
      </c>
      <c r="G531" s="72">
        <v>8617288</v>
      </c>
      <c r="H531" s="72">
        <v>244480</v>
      </c>
      <c r="I531" s="72">
        <v>0</v>
      </c>
      <c r="J531" s="72">
        <v>3467070</v>
      </c>
      <c r="K531" s="72">
        <v>1712520</v>
      </c>
      <c r="L531" s="72">
        <v>21740288</v>
      </c>
      <c r="M531" s="72">
        <v>0</v>
      </c>
      <c r="N531" s="72">
        <v>0</v>
      </c>
      <c r="O531" s="72">
        <v>0</v>
      </c>
      <c r="P531" s="72">
        <v>0</v>
      </c>
      <c r="Q531" s="72">
        <v>0</v>
      </c>
      <c r="R531" s="72">
        <v>0</v>
      </c>
      <c r="S531" s="72">
        <v>21740288</v>
      </c>
      <c r="T531" s="72">
        <v>12718118</v>
      </c>
      <c r="U531" s="72">
        <v>4546535</v>
      </c>
      <c r="V531" s="72">
        <v>3010250</v>
      </c>
      <c r="W531" s="72">
        <v>529514</v>
      </c>
      <c r="X531" s="72">
        <v>100000</v>
      </c>
      <c r="Y531" s="72">
        <v>0</v>
      </c>
      <c r="Z531" s="72">
        <v>0</v>
      </c>
      <c r="AA531" s="72">
        <v>0</v>
      </c>
      <c r="AB531" s="72">
        <v>0</v>
      </c>
      <c r="AC531" s="72">
        <v>0</v>
      </c>
      <c r="AD531" s="72">
        <v>53970</v>
      </c>
      <c r="AE531" s="72">
        <v>0</v>
      </c>
      <c r="AF531" s="72">
        <v>25495</v>
      </c>
      <c r="AG531" s="72">
        <v>309129</v>
      </c>
      <c r="AH531" s="72">
        <v>21293011</v>
      </c>
      <c r="AI531" s="72">
        <v>0</v>
      </c>
      <c r="AJ531" s="72">
        <v>0</v>
      </c>
      <c r="AK531" s="72">
        <v>0</v>
      </c>
      <c r="AL531" s="72">
        <v>0</v>
      </c>
      <c r="AM531" s="72">
        <v>21293011</v>
      </c>
      <c r="AO531" s="72">
        <v>2928303</v>
      </c>
      <c r="AQ531" s="72">
        <v>250000</v>
      </c>
      <c r="AR531" s="72">
        <v>0</v>
      </c>
      <c r="AS531" s="72">
        <v>0</v>
      </c>
      <c r="AT531" s="72">
        <v>0</v>
      </c>
      <c r="AU531" s="72">
        <v>0</v>
      </c>
      <c r="AV531" s="72">
        <v>0</v>
      </c>
      <c r="AW531" s="72">
        <v>0</v>
      </c>
      <c r="AX531" s="72">
        <v>0</v>
      </c>
      <c r="AY531" s="72">
        <v>0</v>
      </c>
      <c r="AZ531" s="72">
        <v>0</v>
      </c>
      <c r="BB531" s="72">
        <v>0</v>
      </c>
      <c r="BC531" s="72">
        <v>0</v>
      </c>
      <c r="BD531" s="72">
        <v>0</v>
      </c>
      <c r="BE531" s="72">
        <v>3125580</v>
      </c>
      <c r="BF531" s="72">
        <v>0</v>
      </c>
      <c r="BG531" s="72">
        <v>0</v>
      </c>
      <c r="BH531" s="72">
        <v>0</v>
      </c>
      <c r="BI531" s="72">
        <v>0</v>
      </c>
      <c r="BJ531" s="72">
        <v>3125580</v>
      </c>
      <c r="BM531" s="72">
        <v>0</v>
      </c>
      <c r="BN531" s="72">
        <v>0</v>
      </c>
      <c r="BO531" s="72">
        <v>0</v>
      </c>
      <c r="BP531" s="72">
        <v>0</v>
      </c>
      <c r="BQ531" s="72">
        <v>0</v>
      </c>
      <c r="BR531" s="72">
        <v>0</v>
      </c>
      <c r="BS531" s="72">
        <v>21740288</v>
      </c>
    </row>
    <row r="532" spans="1:71" x14ac:dyDescent="0.2">
      <c r="A532" t="s">
        <v>304</v>
      </c>
      <c r="B532" t="s">
        <v>1018</v>
      </c>
      <c r="C532" t="s">
        <v>55</v>
      </c>
      <c r="D532" s="72">
        <v>4714391</v>
      </c>
      <c r="E532" s="72">
        <v>280222</v>
      </c>
      <c r="F532" s="72">
        <v>0</v>
      </c>
      <c r="G532" s="72">
        <v>7748998</v>
      </c>
      <c r="H532" s="72">
        <v>48215</v>
      </c>
      <c r="I532" s="72">
        <v>0</v>
      </c>
      <c r="J532" s="72">
        <v>910231</v>
      </c>
      <c r="K532" s="72">
        <v>770750</v>
      </c>
      <c r="L532" s="72">
        <v>14472807</v>
      </c>
      <c r="M532" s="72">
        <v>0</v>
      </c>
      <c r="N532" s="72">
        <v>0</v>
      </c>
      <c r="O532" s="72">
        <v>0</v>
      </c>
      <c r="P532" s="72">
        <v>0</v>
      </c>
      <c r="Q532" s="72">
        <v>0</v>
      </c>
      <c r="R532" s="72">
        <v>0</v>
      </c>
      <c r="S532" s="72">
        <v>14472807</v>
      </c>
      <c r="T532" s="72">
        <v>7683372</v>
      </c>
      <c r="U532" s="72">
        <v>3843879</v>
      </c>
      <c r="V532" s="72">
        <v>2940422</v>
      </c>
      <c r="W532" s="72">
        <v>539729</v>
      </c>
      <c r="X532" s="72">
        <v>193209</v>
      </c>
      <c r="Y532" s="72">
        <v>0</v>
      </c>
      <c r="Z532" s="72">
        <v>0</v>
      </c>
      <c r="AA532" s="72">
        <v>0</v>
      </c>
      <c r="AB532" s="72">
        <v>0</v>
      </c>
      <c r="AC532" s="72">
        <v>0</v>
      </c>
      <c r="AD532" s="72">
        <v>0</v>
      </c>
      <c r="AE532" s="72">
        <v>0</v>
      </c>
      <c r="AF532" s="72">
        <v>0</v>
      </c>
      <c r="AG532" s="72">
        <v>206832</v>
      </c>
      <c r="AH532" s="72">
        <v>15407443</v>
      </c>
      <c r="AI532" s="72">
        <v>35000</v>
      </c>
      <c r="AJ532" s="72">
        <v>0</v>
      </c>
      <c r="AK532" s="72">
        <v>0</v>
      </c>
      <c r="AL532" s="72">
        <v>35000</v>
      </c>
      <c r="AM532" s="72">
        <v>15442443</v>
      </c>
      <c r="AN532" s="72">
        <v>-969636</v>
      </c>
      <c r="AO532" s="72">
        <v>2922979</v>
      </c>
      <c r="AP532" s="72">
        <v>1953343</v>
      </c>
      <c r="AQ532" s="72">
        <v>0</v>
      </c>
      <c r="AR532" s="72">
        <v>0</v>
      </c>
      <c r="AS532" s="72">
        <v>0</v>
      </c>
      <c r="AT532" s="72">
        <v>0</v>
      </c>
      <c r="AU532" s="72">
        <v>0</v>
      </c>
      <c r="AV532" s="72">
        <v>0</v>
      </c>
      <c r="AW532" s="72">
        <v>0</v>
      </c>
      <c r="AX532" s="72">
        <v>0</v>
      </c>
      <c r="AY532" s="72">
        <v>0</v>
      </c>
      <c r="AZ532" s="72">
        <v>0</v>
      </c>
      <c r="BA532" s="72">
        <v>1953343</v>
      </c>
      <c r="BB532" s="72">
        <v>0</v>
      </c>
      <c r="BC532" s="72">
        <v>0</v>
      </c>
      <c r="BD532" s="72">
        <v>0</v>
      </c>
      <c r="BE532" s="72">
        <v>1953343</v>
      </c>
      <c r="BF532" s="72">
        <v>0</v>
      </c>
      <c r="BG532" s="72">
        <v>748804</v>
      </c>
      <c r="BH532" s="72">
        <v>748804</v>
      </c>
      <c r="BI532" s="72">
        <v>0</v>
      </c>
      <c r="BJ532" s="72">
        <v>2702147</v>
      </c>
      <c r="BM532" s="72">
        <v>0</v>
      </c>
      <c r="BN532" s="72">
        <v>0</v>
      </c>
      <c r="BO532" s="72">
        <v>0</v>
      </c>
      <c r="BP532" s="72">
        <v>0</v>
      </c>
      <c r="BQ532" s="72">
        <v>0</v>
      </c>
      <c r="BR532" s="72">
        <v>0</v>
      </c>
      <c r="BS532" s="72">
        <v>15442443</v>
      </c>
    </row>
    <row r="533" spans="1:71" x14ac:dyDescent="0.2">
      <c r="A533" t="s">
        <v>382</v>
      </c>
      <c r="B533" t="s">
        <v>1093</v>
      </c>
      <c r="C533" t="s">
        <v>55</v>
      </c>
      <c r="D533" s="72">
        <v>34236748</v>
      </c>
      <c r="E533" s="72">
        <v>1774472</v>
      </c>
      <c r="F533" s="72">
        <v>0</v>
      </c>
      <c r="G533" s="72">
        <v>5877924</v>
      </c>
      <c r="H533" s="72">
        <v>40530</v>
      </c>
      <c r="I533" s="72">
        <v>0</v>
      </c>
      <c r="J533" s="72">
        <v>6104344</v>
      </c>
      <c r="K533" s="72">
        <v>1363147</v>
      </c>
      <c r="L533" s="72">
        <v>49397166</v>
      </c>
      <c r="M533" s="72">
        <v>0</v>
      </c>
      <c r="N533" s="72">
        <v>0</v>
      </c>
      <c r="O533" s="72">
        <v>0</v>
      </c>
      <c r="P533" s="72">
        <v>58426</v>
      </c>
      <c r="Q533" s="72">
        <v>241000</v>
      </c>
      <c r="R533" s="72">
        <v>299426</v>
      </c>
      <c r="S533" s="72">
        <v>49696592</v>
      </c>
      <c r="T533" s="72">
        <v>27806031</v>
      </c>
      <c r="U533" s="72">
        <v>11334770</v>
      </c>
      <c r="V533" s="72">
        <v>5830344</v>
      </c>
      <c r="W533" s="72">
        <v>1932672</v>
      </c>
      <c r="X533" s="72">
        <v>951000</v>
      </c>
      <c r="Y533" s="72">
        <v>61716</v>
      </c>
      <c r="Z533" s="72">
        <v>0</v>
      </c>
      <c r="AA533" s="72">
        <v>0</v>
      </c>
      <c r="AB533" s="72">
        <v>0</v>
      </c>
      <c r="AC533" s="72">
        <v>0</v>
      </c>
      <c r="AD533" s="72">
        <v>0</v>
      </c>
      <c r="AE533" s="72">
        <v>0</v>
      </c>
      <c r="AF533" s="72">
        <v>0</v>
      </c>
      <c r="AG533" s="72">
        <v>809217</v>
      </c>
      <c r="AH533" s="72">
        <v>48725750</v>
      </c>
      <c r="AI533" s="72">
        <v>0</v>
      </c>
      <c r="AJ533" s="72">
        <v>25000</v>
      </c>
      <c r="AK533" s="72">
        <v>1000</v>
      </c>
      <c r="AL533" s="72">
        <v>26000</v>
      </c>
      <c r="AM533" s="72">
        <v>48751750</v>
      </c>
      <c r="AN533" s="72">
        <v>944842</v>
      </c>
      <c r="AO533" s="72">
        <v>21003620</v>
      </c>
      <c r="AP533" s="72">
        <v>21948462</v>
      </c>
      <c r="AQ533" s="72">
        <v>600000</v>
      </c>
      <c r="AR533" s="72">
        <v>0</v>
      </c>
      <c r="AS533" s="72">
        <v>0</v>
      </c>
      <c r="AT533" s="72">
        <v>0</v>
      </c>
      <c r="AU533" s="72">
        <v>0</v>
      </c>
      <c r="AV533" s="72">
        <v>0</v>
      </c>
      <c r="AW533" s="72">
        <v>0</v>
      </c>
      <c r="AX533" s="72">
        <v>0</v>
      </c>
      <c r="AY533" s="72">
        <v>0</v>
      </c>
      <c r="AZ533" s="72">
        <v>0</v>
      </c>
      <c r="BA533" s="72">
        <v>21348462</v>
      </c>
      <c r="BB533" s="72">
        <v>0</v>
      </c>
      <c r="BC533" s="72">
        <v>0</v>
      </c>
      <c r="BD533" s="72">
        <v>0</v>
      </c>
      <c r="BE533" s="72">
        <v>21348462</v>
      </c>
      <c r="BF533" s="72">
        <v>0</v>
      </c>
      <c r="BG533" s="72">
        <v>0</v>
      </c>
      <c r="BH533" s="72">
        <v>0</v>
      </c>
      <c r="BI533" s="72">
        <v>0</v>
      </c>
      <c r="BJ533" s="72">
        <v>21348462</v>
      </c>
      <c r="BK533" s="72">
        <v>395</v>
      </c>
      <c r="BL533" s="72">
        <v>5452</v>
      </c>
      <c r="BM533" s="72">
        <v>0</v>
      </c>
      <c r="BN533" s="72">
        <v>0</v>
      </c>
      <c r="BO533" s="72">
        <v>0</v>
      </c>
      <c r="BP533" s="72">
        <v>0</v>
      </c>
      <c r="BQ533" s="72">
        <v>0</v>
      </c>
      <c r="BR533" s="72">
        <v>0</v>
      </c>
      <c r="BS533" s="72">
        <v>49696592</v>
      </c>
    </row>
    <row r="534" spans="1:71" x14ac:dyDescent="0.2">
      <c r="A534" t="s">
        <v>404</v>
      </c>
      <c r="B534" t="s">
        <v>1114</v>
      </c>
      <c r="C534" t="s">
        <v>55</v>
      </c>
      <c r="D534" s="72">
        <v>12528752</v>
      </c>
      <c r="E534" s="72">
        <v>0</v>
      </c>
      <c r="F534" s="72">
        <v>0</v>
      </c>
      <c r="G534" s="72">
        <v>14249766</v>
      </c>
      <c r="H534" s="72">
        <v>204445</v>
      </c>
      <c r="I534" s="72">
        <v>0</v>
      </c>
      <c r="J534" s="72">
        <v>1872112</v>
      </c>
      <c r="K534" s="72">
        <v>280823</v>
      </c>
      <c r="L534" s="72">
        <v>29135898</v>
      </c>
      <c r="M534" s="72">
        <v>0</v>
      </c>
      <c r="N534" s="72">
        <v>0</v>
      </c>
      <c r="O534" s="72">
        <v>6539</v>
      </c>
      <c r="P534" s="72">
        <v>0</v>
      </c>
      <c r="Q534" s="72">
        <v>117547</v>
      </c>
      <c r="R534" s="72">
        <v>124086</v>
      </c>
      <c r="S534" s="72">
        <v>29259984</v>
      </c>
      <c r="T534" s="72">
        <v>16687228</v>
      </c>
      <c r="U534" s="72">
        <v>6481213</v>
      </c>
      <c r="V534" s="72">
        <v>3655358</v>
      </c>
      <c r="W534" s="72">
        <v>676243</v>
      </c>
      <c r="X534" s="72">
        <v>562127</v>
      </c>
      <c r="Y534" s="72">
        <v>0</v>
      </c>
      <c r="Z534" s="72">
        <v>0</v>
      </c>
      <c r="AA534" s="72">
        <v>0</v>
      </c>
      <c r="AB534" s="72">
        <v>0</v>
      </c>
      <c r="AC534" s="72">
        <v>0</v>
      </c>
      <c r="AD534" s="72">
        <v>0</v>
      </c>
      <c r="AE534" s="72">
        <v>0</v>
      </c>
      <c r="AF534" s="72">
        <v>133719</v>
      </c>
      <c r="AG534" s="72">
        <v>435181</v>
      </c>
      <c r="AH534" s="72">
        <v>28631069</v>
      </c>
      <c r="AI534" s="72">
        <v>0</v>
      </c>
      <c r="AJ534" s="72">
        <v>0</v>
      </c>
      <c r="AK534" s="72">
        <v>0</v>
      </c>
      <c r="AL534" s="72">
        <v>0</v>
      </c>
      <c r="AM534" s="72">
        <v>28631069</v>
      </c>
      <c r="AN534" s="72">
        <v>628915</v>
      </c>
      <c r="AO534" s="72">
        <v>4591411</v>
      </c>
      <c r="AP534" s="72">
        <v>5220326</v>
      </c>
      <c r="AQ534" s="72">
        <v>0</v>
      </c>
      <c r="AR534" s="72">
        <v>0</v>
      </c>
      <c r="AS534" s="72">
        <v>0</v>
      </c>
      <c r="AT534" s="72">
        <v>0</v>
      </c>
      <c r="AU534" s="72">
        <v>0</v>
      </c>
      <c r="AV534" s="72">
        <v>0</v>
      </c>
      <c r="AW534" s="72">
        <v>0</v>
      </c>
      <c r="AX534" s="72">
        <v>0</v>
      </c>
      <c r="AY534" s="72">
        <v>0</v>
      </c>
      <c r="AZ534" s="72">
        <v>0</v>
      </c>
      <c r="BA534" s="72">
        <v>5220326</v>
      </c>
      <c r="BB534" s="72">
        <v>0</v>
      </c>
      <c r="BC534" s="72">
        <v>0</v>
      </c>
      <c r="BD534" s="72">
        <v>0</v>
      </c>
      <c r="BE534" s="72">
        <v>5220326</v>
      </c>
      <c r="BF534" s="72">
        <v>0</v>
      </c>
      <c r="BG534" s="72">
        <v>0</v>
      </c>
      <c r="BH534" s="72">
        <v>0</v>
      </c>
      <c r="BI534" s="72">
        <v>0</v>
      </c>
      <c r="BJ534" s="72">
        <v>5220326</v>
      </c>
      <c r="BK534" s="72">
        <v>0</v>
      </c>
      <c r="BL534" s="72">
        <v>0</v>
      </c>
      <c r="BM534" s="72">
        <v>0</v>
      </c>
      <c r="BN534" s="72">
        <v>0</v>
      </c>
      <c r="BO534" s="72">
        <v>0</v>
      </c>
      <c r="BP534" s="72">
        <v>0</v>
      </c>
      <c r="BQ534" s="72">
        <v>0</v>
      </c>
      <c r="BR534" s="72">
        <v>0</v>
      </c>
      <c r="BS534" s="72">
        <v>29259984</v>
      </c>
    </row>
    <row r="535" spans="1:71" x14ac:dyDescent="0.2">
      <c r="A535" t="s">
        <v>436</v>
      </c>
      <c r="B535" t="s">
        <v>1144</v>
      </c>
      <c r="C535" t="s">
        <v>55</v>
      </c>
      <c r="D535" s="72">
        <v>6491481</v>
      </c>
      <c r="E535" s="72">
        <v>439925</v>
      </c>
      <c r="F535" s="72">
        <v>0</v>
      </c>
      <c r="G535" s="72">
        <v>14109901</v>
      </c>
      <c r="H535" s="72">
        <v>62957</v>
      </c>
      <c r="I535" s="72">
        <v>0</v>
      </c>
      <c r="J535" s="72">
        <v>1163077</v>
      </c>
      <c r="K535" s="72">
        <v>1537609</v>
      </c>
      <c r="L535" s="72">
        <v>23804950</v>
      </c>
      <c r="M535" s="72">
        <v>0</v>
      </c>
      <c r="N535" s="72">
        <v>0</v>
      </c>
      <c r="O535" s="72">
        <v>56431</v>
      </c>
      <c r="P535" s="72">
        <v>135000</v>
      </c>
      <c r="Q535" s="72">
        <v>0</v>
      </c>
      <c r="R535" s="72">
        <v>191431</v>
      </c>
      <c r="S535" s="72">
        <v>23996381</v>
      </c>
      <c r="T535" s="72">
        <v>14546474</v>
      </c>
      <c r="U535" s="72">
        <v>5611778</v>
      </c>
      <c r="V535" s="72">
        <v>2604239</v>
      </c>
      <c r="W535" s="72">
        <v>613713</v>
      </c>
      <c r="X535" s="72">
        <v>55000</v>
      </c>
      <c r="Y535" s="72">
        <v>0</v>
      </c>
      <c r="Z535" s="72">
        <v>0</v>
      </c>
      <c r="AA535" s="72">
        <v>0</v>
      </c>
      <c r="AB535" s="72">
        <v>0</v>
      </c>
      <c r="AC535" s="72">
        <v>0</v>
      </c>
      <c r="AD535" s="72">
        <v>50000</v>
      </c>
      <c r="AE535" s="72">
        <v>0</v>
      </c>
      <c r="AF535" s="72">
        <v>6431</v>
      </c>
      <c r="AG535" s="72">
        <v>339720</v>
      </c>
      <c r="AH535" s="72">
        <v>23827355</v>
      </c>
      <c r="AI535" s="72">
        <v>56431</v>
      </c>
      <c r="AJ535" s="72">
        <v>135000</v>
      </c>
      <c r="AK535" s="72">
        <v>0</v>
      </c>
      <c r="AL535" s="72">
        <v>191431</v>
      </c>
      <c r="AM535" s="72">
        <v>24018786</v>
      </c>
      <c r="AN535" s="72">
        <v>-22405</v>
      </c>
      <c r="AO535" s="72">
        <v>1354237</v>
      </c>
      <c r="AP535" s="72">
        <v>1331832</v>
      </c>
      <c r="AQ535" s="72">
        <v>350000</v>
      </c>
      <c r="AR535" s="72">
        <v>0</v>
      </c>
      <c r="AS535" s="72">
        <v>0</v>
      </c>
      <c r="AT535" s="72">
        <v>0</v>
      </c>
      <c r="AU535" s="72">
        <v>0</v>
      </c>
      <c r="AW535" s="72">
        <v>0</v>
      </c>
      <c r="AX535" s="72">
        <v>0</v>
      </c>
      <c r="AY535" s="72">
        <v>75566</v>
      </c>
      <c r="AZ535" s="72">
        <v>75566</v>
      </c>
      <c r="BA535" s="72">
        <v>906266</v>
      </c>
      <c r="BB535" s="72">
        <v>0</v>
      </c>
      <c r="BC535" s="72">
        <v>0</v>
      </c>
      <c r="BD535" s="72">
        <v>0</v>
      </c>
      <c r="BE535" s="72">
        <v>906266</v>
      </c>
      <c r="BF535" s="72">
        <v>0</v>
      </c>
      <c r="BG535" s="72">
        <v>0</v>
      </c>
      <c r="BH535" s="72">
        <v>0</v>
      </c>
      <c r="BI535" s="72">
        <v>0</v>
      </c>
      <c r="BJ535" s="72">
        <v>906266</v>
      </c>
      <c r="BK535" s="72">
        <v>210</v>
      </c>
      <c r="BL535" s="72">
        <v>2853</v>
      </c>
      <c r="BS535" s="72">
        <v>24018786</v>
      </c>
    </row>
    <row r="536" spans="1:71" x14ac:dyDescent="0.2">
      <c r="A536" t="s">
        <v>460</v>
      </c>
      <c r="B536" t="s">
        <v>1165</v>
      </c>
      <c r="C536" t="s">
        <v>55</v>
      </c>
      <c r="D536" s="72">
        <v>7807651</v>
      </c>
      <c r="E536" s="72">
        <v>0</v>
      </c>
      <c r="F536" s="72">
        <v>0</v>
      </c>
      <c r="G536" s="72">
        <v>9418414</v>
      </c>
      <c r="H536" s="72">
        <v>154361</v>
      </c>
      <c r="I536" s="72">
        <v>0</v>
      </c>
      <c r="J536" s="72">
        <v>1631628</v>
      </c>
      <c r="K536" s="72">
        <v>2166200</v>
      </c>
      <c r="L536" s="72">
        <v>21178254</v>
      </c>
      <c r="M536" s="72">
        <v>0</v>
      </c>
      <c r="N536" s="72">
        <v>0</v>
      </c>
      <c r="O536" s="72">
        <v>0</v>
      </c>
      <c r="P536" s="72">
        <v>0</v>
      </c>
      <c r="Q536" s="72">
        <v>0</v>
      </c>
      <c r="R536" s="72">
        <v>0</v>
      </c>
      <c r="S536" s="72">
        <v>21178254</v>
      </c>
      <c r="T536" s="72">
        <v>11403091</v>
      </c>
      <c r="U536" s="72">
        <v>4991168</v>
      </c>
      <c r="V536" s="72">
        <v>3367698</v>
      </c>
      <c r="W536" s="72">
        <v>699561</v>
      </c>
      <c r="X536" s="72">
        <v>10000</v>
      </c>
      <c r="Y536" s="72">
        <v>0</v>
      </c>
      <c r="Z536" s="72">
        <v>0</v>
      </c>
      <c r="AA536" s="72">
        <v>0</v>
      </c>
      <c r="AB536" s="72">
        <v>0</v>
      </c>
      <c r="AC536" s="72">
        <v>0</v>
      </c>
      <c r="AD536" s="72">
        <v>0</v>
      </c>
      <c r="AE536" s="72">
        <v>0</v>
      </c>
      <c r="AF536" s="72">
        <v>0</v>
      </c>
      <c r="AG536" s="72">
        <v>292846</v>
      </c>
      <c r="AH536" s="72">
        <v>20764364</v>
      </c>
      <c r="AI536" s="72">
        <v>80000</v>
      </c>
      <c r="AJ536" s="72">
        <v>0</v>
      </c>
      <c r="AK536" s="72">
        <v>0</v>
      </c>
      <c r="AL536" s="72">
        <v>80000</v>
      </c>
      <c r="AM536" s="72">
        <v>20844364</v>
      </c>
      <c r="AN536" s="72">
        <v>333890</v>
      </c>
      <c r="AO536" s="72">
        <v>7516681</v>
      </c>
      <c r="AP536" s="72">
        <v>7850571</v>
      </c>
      <c r="AQ536" s="72">
        <v>0</v>
      </c>
      <c r="AR536" s="72">
        <v>0</v>
      </c>
      <c r="AS536" s="72">
        <v>0</v>
      </c>
      <c r="AT536" s="72">
        <v>0</v>
      </c>
      <c r="AU536" s="72">
        <v>0</v>
      </c>
      <c r="AV536" s="72">
        <v>0</v>
      </c>
      <c r="AW536" s="72">
        <v>0</v>
      </c>
      <c r="AX536" s="72">
        <v>0</v>
      </c>
      <c r="AY536" s="72">
        <v>0</v>
      </c>
      <c r="AZ536" s="72">
        <v>0</v>
      </c>
      <c r="BA536" s="72">
        <v>7850571</v>
      </c>
      <c r="BB536" s="72">
        <v>0</v>
      </c>
      <c r="BC536" s="72">
        <v>0</v>
      </c>
      <c r="BD536" s="72">
        <v>0</v>
      </c>
      <c r="BE536" s="72">
        <v>7850571</v>
      </c>
      <c r="BF536" s="72">
        <v>0</v>
      </c>
      <c r="BG536" s="72">
        <v>0</v>
      </c>
      <c r="BH536" s="72">
        <v>0</v>
      </c>
      <c r="BI536" s="72">
        <v>0</v>
      </c>
      <c r="BJ536" s="72">
        <v>7850571</v>
      </c>
      <c r="BK536" s="72">
        <v>131</v>
      </c>
      <c r="BL536" s="72">
        <v>2264</v>
      </c>
      <c r="BM536" s="72">
        <v>0</v>
      </c>
      <c r="BN536" s="72">
        <v>0</v>
      </c>
      <c r="BO536" s="72">
        <v>0</v>
      </c>
      <c r="BP536" s="72">
        <v>0</v>
      </c>
      <c r="BQ536" s="72">
        <v>0</v>
      </c>
      <c r="BR536" s="72">
        <v>0</v>
      </c>
      <c r="BS536" s="72">
        <v>21178254</v>
      </c>
    </row>
    <row r="537" spans="1:71" x14ac:dyDescent="0.2">
      <c r="A537" t="s">
        <v>487</v>
      </c>
      <c r="B537" t="s">
        <v>1191</v>
      </c>
      <c r="C537" t="s">
        <v>55</v>
      </c>
      <c r="D537" s="72">
        <v>5025000</v>
      </c>
      <c r="E537" s="72">
        <v>0</v>
      </c>
      <c r="F537" s="72">
        <v>0</v>
      </c>
      <c r="G537" s="72">
        <v>9441374</v>
      </c>
      <c r="H537" s="72">
        <v>130000</v>
      </c>
      <c r="I537" s="72">
        <v>0</v>
      </c>
      <c r="J537" s="72">
        <v>910000</v>
      </c>
      <c r="K537" s="72">
        <v>975000</v>
      </c>
      <c r="L537" s="72">
        <v>16481374</v>
      </c>
      <c r="M537" s="72">
        <v>0</v>
      </c>
      <c r="N537" s="72">
        <v>0</v>
      </c>
      <c r="O537" s="72">
        <v>0</v>
      </c>
      <c r="P537" s="72">
        <v>0</v>
      </c>
      <c r="Q537" s="72">
        <v>0</v>
      </c>
      <c r="R537" s="72">
        <v>0</v>
      </c>
      <c r="S537" s="72">
        <v>16481374</v>
      </c>
      <c r="T537" s="72">
        <v>8006302</v>
      </c>
      <c r="U537" s="72">
        <v>3481774</v>
      </c>
      <c r="V537" s="72">
        <v>3138291</v>
      </c>
      <c r="W537" s="72">
        <v>491022</v>
      </c>
      <c r="X537" s="72">
        <v>200000</v>
      </c>
      <c r="Y537" s="72">
        <v>0</v>
      </c>
      <c r="Z537" s="72">
        <v>0</v>
      </c>
      <c r="AA537" s="72">
        <v>175140</v>
      </c>
      <c r="AB537" s="72">
        <v>0</v>
      </c>
      <c r="AC537" s="72">
        <v>0</v>
      </c>
      <c r="AD537" s="72">
        <v>0</v>
      </c>
      <c r="AE537" s="72">
        <v>0</v>
      </c>
      <c r="AF537" s="72">
        <v>9788</v>
      </c>
      <c r="AG537" s="72">
        <v>325500</v>
      </c>
      <c r="AH537" s="72">
        <v>15827817</v>
      </c>
      <c r="AI537" s="72">
        <v>0</v>
      </c>
      <c r="AJ537" s="72">
        <v>0</v>
      </c>
      <c r="AK537" s="72">
        <v>0</v>
      </c>
      <c r="AL537" s="72">
        <v>0</v>
      </c>
      <c r="AM537" s="72">
        <v>15827817</v>
      </c>
      <c r="AN537" s="72">
        <v>653557</v>
      </c>
      <c r="AO537" s="72">
        <v>1294345</v>
      </c>
      <c r="AP537" s="72">
        <v>1947902</v>
      </c>
      <c r="AQ537" s="72">
        <v>120000</v>
      </c>
      <c r="AR537" s="72">
        <v>0</v>
      </c>
      <c r="AS537" s="72">
        <v>0</v>
      </c>
      <c r="AT537" s="72">
        <v>0</v>
      </c>
      <c r="AU537" s="72">
        <v>0</v>
      </c>
      <c r="AV537" s="72">
        <v>0</v>
      </c>
      <c r="AW537" s="72">
        <v>0</v>
      </c>
      <c r="AX537" s="72">
        <v>0</v>
      </c>
      <c r="AY537" s="72">
        <v>0</v>
      </c>
      <c r="AZ537" s="72">
        <v>0</v>
      </c>
      <c r="BA537" s="72">
        <v>1827902</v>
      </c>
      <c r="BB537" s="72">
        <v>0</v>
      </c>
      <c r="BC537" s="72">
        <v>0</v>
      </c>
      <c r="BD537" s="72">
        <v>0</v>
      </c>
      <c r="BE537" s="72">
        <v>1827902</v>
      </c>
      <c r="BF537" s="72">
        <v>0</v>
      </c>
      <c r="BG537" s="72">
        <v>0</v>
      </c>
      <c r="BH537" s="72">
        <v>0</v>
      </c>
      <c r="BI537" s="72">
        <v>0</v>
      </c>
      <c r="BJ537" s="72">
        <v>1827902</v>
      </c>
      <c r="BK537" s="72">
        <v>147</v>
      </c>
      <c r="BL537" s="72">
        <v>1757</v>
      </c>
      <c r="BM537" s="72">
        <v>0</v>
      </c>
      <c r="BN537" s="72">
        <v>0</v>
      </c>
      <c r="BO537" s="72">
        <v>0</v>
      </c>
      <c r="BP537" s="72">
        <v>0</v>
      </c>
      <c r="BQ537" s="72">
        <v>0</v>
      </c>
      <c r="BR537" s="72">
        <v>0</v>
      </c>
      <c r="BS537" s="72">
        <v>16481374</v>
      </c>
    </row>
    <row r="538" spans="1:71" x14ac:dyDescent="0.2">
      <c r="A538" t="s">
        <v>540</v>
      </c>
      <c r="B538" t="s">
        <v>1076</v>
      </c>
      <c r="C538" t="s">
        <v>55</v>
      </c>
      <c r="D538" s="72">
        <v>6200051</v>
      </c>
      <c r="E538" s="72">
        <v>0</v>
      </c>
      <c r="F538" s="72">
        <v>2378833</v>
      </c>
      <c r="G538" s="72">
        <v>8499067</v>
      </c>
      <c r="H538" s="72">
        <v>0</v>
      </c>
      <c r="I538" s="72">
        <v>0</v>
      </c>
      <c r="J538" s="72">
        <v>977000</v>
      </c>
      <c r="K538" s="72">
        <v>276266</v>
      </c>
      <c r="L538" s="72">
        <v>18331217</v>
      </c>
      <c r="M538" s="72">
        <v>0</v>
      </c>
      <c r="N538" s="72">
        <v>0</v>
      </c>
      <c r="O538" s="72">
        <v>0</v>
      </c>
      <c r="P538" s="72">
        <v>0</v>
      </c>
      <c r="Q538" s="72">
        <v>5000</v>
      </c>
      <c r="R538" s="72">
        <v>5000</v>
      </c>
      <c r="S538" s="72">
        <v>18336217</v>
      </c>
      <c r="T538" s="72">
        <v>9784874</v>
      </c>
      <c r="U538" s="72">
        <v>4089420</v>
      </c>
      <c r="V538" s="72">
        <v>2226117</v>
      </c>
      <c r="W538" s="72">
        <v>626219</v>
      </c>
      <c r="X538" s="72">
        <v>184408</v>
      </c>
      <c r="Y538" s="72">
        <v>0</v>
      </c>
      <c r="Z538" s="72">
        <v>0</v>
      </c>
      <c r="AA538" s="72">
        <v>235000</v>
      </c>
      <c r="AB538" s="72">
        <v>0</v>
      </c>
      <c r="AC538" s="72">
        <v>0</v>
      </c>
      <c r="AD538" s="72">
        <v>115000</v>
      </c>
      <c r="AE538" s="72">
        <v>0</v>
      </c>
      <c r="AF538" s="72">
        <v>17620</v>
      </c>
      <c r="AG538" s="72">
        <v>279000</v>
      </c>
      <c r="AH538" s="72">
        <v>17557658</v>
      </c>
      <c r="AI538" s="72">
        <v>0</v>
      </c>
      <c r="AJ538" s="72">
        <v>0</v>
      </c>
      <c r="AK538" s="72">
        <v>0</v>
      </c>
      <c r="AL538" s="72">
        <v>0</v>
      </c>
      <c r="AM538" s="72">
        <v>17557658</v>
      </c>
      <c r="AN538" s="72">
        <v>778559</v>
      </c>
      <c r="AO538" s="72">
        <v>3213571</v>
      </c>
      <c r="AP538" s="72">
        <v>3992130</v>
      </c>
      <c r="AQ538" s="72">
        <v>82000</v>
      </c>
      <c r="AR538" s="72">
        <v>0</v>
      </c>
      <c r="AS538" s="72">
        <v>0</v>
      </c>
      <c r="AT538" s="72">
        <v>0</v>
      </c>
      <c r="AU538" s="72">
        <v>0</v>
      </c>
      <c r="AV538" s="72">
        <v>0</v>
      </c>
      <c r="AW538" s="72">
        <v>0</v>
      </c>
      <c r="AX538" s="72">
        <v>0</v>
      </c>
      <c r="AY538" s="72">
        <v>0</v>
      </c>
      <c r="AZ538" s="72">
        <v>0</v>
      </c>
      <c r="BA538" s="72">
        <v>3910130</v>
      </c>
      <c r="BB538" s="72">
        <v>0</v>
      </c>
      <c r="BC538" s="72">
        <v>0</v>
      </c>
      <c r="BD538" s="72">
        <v>0</v>
      </c>
      <c r="BE538" s="72">
        <v>3910130</v>
      </c>
      <c r="BF538" s="72">
        <v>0</v>
      </c>
      <c r="BG538" s="72">
        <v>0</v>
      </c>
      <c r="BH538" s="72">
        <v>0</v>
      </c>
      <c r="BI538" s="72">
        <v>0</v>
      </c>
      <c r="BJ538" s="72">
        <v>3910130</v>
      </c>
      <c r="BK538" s="72">
        <v>148</v>
      </c>
      <c r="BL538" s="72">
        <v>1867</v>
      </c>
      <c r="BM538" s="72">
        <v>0</v>
      </c>
      <c r="BN538" s="72">
        <v>0</v>
      </c>
      <c r="BO538" s="72">
        <v>0</v>
      </c>
      <c r="BP538" s="72">
        <v>0</v>
      </c>
      <c r="BQ538" s="72">
        <v>0</v>
      </c>
      <c r="BR538" s="72">
        <v>0</v>
      </c>
      <c r="BS538" s="72">
        <v>18336217</v>
      </c>
    </row>
    <row r="539" spans="1:71" x14ac:dyDescent="0.2">
      <c r="A539" t="s">
        <v>561</v>
      </c>
      <c r="B539" t="s">
        <v>1260</v>
      </c>
      <c r="C539" t="s">
        <v>55</v>
      </c>
      <c r="D539" s="72">
        <v>2111200</v>
      </c>
      <c r="E539" s="72">
        <v>0</v>
      </c>
      <c r="F539" s="72">
        <v>0</v>
      </c>
      <c r="G539" s="72">
        <v>3608808</v>
      </c>
      <c r="H539" s="72">
        <v>57801</v>
      </c>
      <c r="I539" s="72">
        <v>0</v>
      </c>
      <c r="J539" s="72">
        <v>585035</v>
      </c>
      <c r="K539" s="72">
        <v>737787</v>
      </c>
      <c r="L539" s="72">
        <v>7100631</v>
      </c>
      <c r="M539" s="72">
        <v>0</v>
      </c>
      <c r="N539" s="72">
        <v>0</v>
      </c>
      <c r="O539" s="72">
        <v>0</v>
      </c>
      <c r="P539" s="72">
        <v>0</v>
      </c>
      <c r="Q539" s="72">
        <v>45000</v>
      </c>
      <c r="R539" s="72">
        <v>45000</v>
      </c>
      <c r="S539" s="72">
        <v>7145631</v>
      </c>
      <c r="T539" s="72">
        <v>3697536</v>
      </c>
      <c r="U539" s="72">
        <v>1967889</v>
      </c>
      <c r="V539" s="72">
        <v>1410384</v>
      </c>
      <c r="W539" s="72">
        <v>192175</v>
      </c>
      <c r="X539" s="72">
        <v>46860</v>
      </c>
      <c r="Y539" s="72">
        <v>0</v>
      </c>
      <c r="Z539" s="72">
        <v>0</v>
      </c>
      <c r="AA539" s="72">
        <v>0</v>
      </c>
      <c r="AB539" s="72">
        <v>0</v>
      </c>
      <c r="AC539" s="72">
        <v>0</v>
      </c>
      <c r="AD539" s="72">
        <v>0</v>
      </c>
      <c r="AE539" s="72">
        <v>0</v>
      </c>
      <c r="AF539" s="72">
        <v>0</v>
      </c>
      <c r="AG539" s="72">
        <v>119112</v>
      </c>
      <c r="AH539" s="72">
        <v>7433956</v>
      </c>
      <c r="AI539" s="72">
        <v>0</v>
      </c>
      <c r="AJ539" s="72">
        <v>0</v>
      </c>
      <c r="AK539" s="72">
        <v>0</v>
      </c>
      <c r="AL539" s="72">
        <v>0</v>
      </c>
      <c r="AM539" s="72">
        <v>7433956</v>
      </c>
      <c r="AN539" s="72">
        <v>-288325</v>
      </c>
      <c r="AO539" s="72">
        <v>1586814</v>
      </c>
      <c r="AP539" s="72">
        <v>1298489</v>
      </c>
      <c r="AQ539" s="72">
        <v>0</v>
      </c>
      <c r="AR539" s="72">
        <v>0</v>
      </c>
      <c r="AS539" s="72">
        <v>0</v>
      </c>
      <c r="AT539" s="72">
        <v>0</v>
      </c>
      <c r="AU539" s="72">
        <v>0</v>
      </c>
      <c r="AV539" s="72">
        <v>0</v>
      </c>
      <c r="AW539" s="72">
        <v>0</v>
      </c>
      <c r="AX539" s="72">
        <v>0</v>
      </c>
      <c r="AY539" s="72">
        <v>0</v>
      </c>
      <c r="AZ539" s="72">
        <v>0</v>
      </c>
      <c r="BA539" s="72">
        <v>1298489</v>
      </c>
      <c r="BB539" s="72">
        <v>0</v>
      </c>
      <c r="BC539" s="72">
        <v>0</v>
      </c>
      <c r="BD539" s="72">
        <v>0</v>
      </c>
      <c r="BE539" s="72">
        <v>1298489</v>
      </c>
      <c r="BF539" s="72">
        <v>0</v>
      </c>
      <c r="BG539" s="72">
        <v>0</v>
      </c>
      <c r="BH539" s="72">
        <v>0</v>
      </c>
      <c r="BI539" s="72">
        <v>0</v>
      </c>
      <c r="BJ539" s="72">
        <v>1298489</v>
      </c>
      <c r="BK539" s="72">
        <v>63</v>
      </c>
      <c r="BL539" s="72">
        <v>858</v>
      </c>
      <c r="BM539" s="72">
        <v>0</v>
      </c>
      <c r="BN539" s="72">
        <v>0</v>
      </c>
      <c r="BO539" s="72">
        <v>0</v>
      </c>
      <c r="BP539" s="72">
        <v>0</v>
      </c>
      <c r="BQ539" s="72">
        <v>0</v>
      </c>
      <c r="BR539" s="72">
        <v>0</v>
      </c>
      <c r="BS539" s="72">
        <v>7433956</v>
      </c>
    </row>
    <row r="540" spans="1:71" x14ac:dyDescent="0.2">
      <c r="A540" t="s">
        <v>577</v>
      </c>
      <c r="B540" t="s">
        <v>1274</v>
      </c>
      <c r="C540" t="s">
        <v>55</v>
      </c>
      <c r="D540" s="72">
        <v>18111909</v>
      </c>
      <c r="E540" s="72">
        <v>0</v>
      </c>
      <c r="F540" s="72">
        <v>0</v>
      </c>
      <c r="G540" s="72">
        <v>14884346</v>
      </c>
      <c r="H540" s="72">
        <v>373550</v>
      </c>
      <c r="I540" s="72">
        <v>0</v>
      </c>
      <c r="J540" s="72">
        <v>3857062</v>
      </c>
      <c r="K540" s="72">
        <v>2911000</v>
      </c>
      <c r="L540" s="72">
        <v>40137867</v>
      </c>
      <c r="M540" s="72">
        <v>0</v>
      </c>
      <c r="N540" s="72">
        <v>0</v>
      </c>
      <c r="O540" s="72">
        <v>0</v>
      </c>
      <c r="P540" s="72">
        <v>0</v>
      </c>
      <c r="Q540" s="72">
        <v>0</v>
      </c>
      <c r="R540" s="72">
        <v>0</v>
      </c>
      <c r="S540" s="72">
        <v>40137867</v>
      </c>
      <c r="T540" s="72">
        <v>25960428</v>
      </c>
      <c r="U540" s="72">
        <v>8703180</v>
      </c>
      <c r="V540" s="72">
        <v>4294537</v>
      </c>
      <c r="W540" s="72">
        <v>2161174</v>
      </c>
      <c r="X540" s="72">
        <v>818816</v>
      </c>
      <c r="Y540" s="72">
        <v>0</v>
      </c>
      <c r="Z540" s="72">
        <v>0</v>
      </c>
      <c r="AA540" s="72">
        <v>0</v>
      </c>
      <c r="AB540" s="72">
        <v>0</v>
      </c>
      <c r="AC540" s="72">
        <v>0</v>
      </c>
      <c r="AD540" s="72">
        <v>330000</v>
      </c>
      <c r="AE540" s="72">
        <v>0</v>
      </c>
      <c r="AF540" s="72">
        <v>292952</v>
      </c>
      <c r="AG540" s="72">
        <v>600892</v>
      </c>
      <c r="AH540" s="72">
        <v>43161979</v>
      </c>
      <c r="AI540" s="72">
        <v>60000</v>
      </c>
      <c r="AJ540" s="72">
        <v>0</v>
      </c>
      <c r="AK540" s="72">
        <v>0</v>
      </c>
      <c r="AL540" s="72">
        <v>60000</v>
      </c>
      <c r="AM540" s="72">
        <v>43221979</v>
      </c>
      <c r="AN540" s="72">
        <v>-3084112</v>
      </c>
      <c r="AO540" s="72">
        <v>21304243</v>
      </c>
      <c r="AP540" s="72">
        <v>18220131</v>
      </c>
      <c r="AQ540" s="72">
        <v>0</v>
      </c>
      <c r="AR540" s="72">
        <v>0</v>
      </c>
      <c r="AS540" s="72">
        <v>0</v>
      </c>
      <c r="AT540" s="72">
        <v>0</v>
      </c>
      <c r="AU540" s="72">
        <v>0</v>
      </c>
      <c r="AV540" s="72">
        <v>0</v>
      </c>
      <c r="AW540" s="72">
        <v>0</v>
      </c>
      <c r="AX540" s="72">
        <v>0</v>
      </c>
      <c r="AY540" s="72">
        <v>0</v>
      </c>
      <c r="AZ540" s="72">
        <v>0</v>
      </c>
      <c r="BA540" s="72">
        <v>18220131</v>
      </c>
      <c r="BB540" s="72">
        <v>0</v>
      </c>
      <c r="BC540" s="72">
        <v>0</v>
      </c>
      <c r="BD540" s="72">
        <v>0</v>
      </c>
      <c r="BE540" s="72">
        <v>18220131</v>
      </c>
      <c r="BF540" s="72">
        <v>0</v>
      </c>
      <c r="BG540" s="72">
        <v>0</v>
      </c>
      <c r="BH540" s="72">
        <v>0</v>
      </c>
      <c r="BI540" s="72">
        <v>0</v>
      </c>
      <c r="BJ540" s="72">
        <v>18220131</v>
      </c>
      <c r="BK540" s="72">
        <v>0</v>
      </c>
      <c r="BL540" s="72">
        <v>0</v>
      </c>
      <c r="BM540" s="72">
        <v>0</v>
      </c>
      <c r="BN540" s="72">
        <v>0</v>
      </c>
      <c r="BO540" s="72">
        <v>0</v>
      </c>
      <c r="BP540" s="72">
        <v>0</v>
      </c>
      <c r="BQ540" s="72">
        <v>0</v>
      </c>
      <c r="BR540" s="72">
        <v>0</v>
      </c>
      <c r="BS540" s="72">
        <v>43221979</v>
      </c>
    </row>
    <row r="541" spans="1:71" x14ac:dyDescent="0.2">
      <c r="A541" t="s">
        <v>586</v>
      </c>
      <c r="B541" t="s">
        <v>1283</v>
      </c>
      <c r="C541" t="s">
        <v>55</v>
      </c>
      <c r="D541" s="72">
        <v>24637458</v>
      </c>
      <c r="E541" s="72">
        <v>1416560</v>
      </c>
      <c r="F541" s="72">
        <v>0</v>
      </c>
      <c r="G541" s="72">
        <v>17139972</v>
      </c>
      <c r="H541" s="72">
        <v>396699</v>
      </c>
      <c r="I541" s="72">
        <v>0</v>
      </c>
      <c r="J541" s="72">
        <v>4097226</v>
      </c>
      <c r="K541" s="72">
        <v>1856613</v>
      </c>
      <c r="L541" s="72">
        <v>49544528</v>
      </c>
      <c r="M541" s="72">
        <v>0</v>
      </c>
      <c r="N541" s="72">
        <v>0</v>
      </c>
      <c r="O541" s="72">
        <v>0</v>
      </c>
      <c r="P541" s="72">
        <v>250000</v>
      </c>
      <c r="Q541" s="72">
        <v>181000</v>
      </c>
      <c r="R541" s="72">
        <v>431000</v>
      </c>
      <c r="S541" s="72">
        <v>49975528</v>
      </c>
      <c r="T541" s="72">
        <v>26305841</v>
      </c>
      <c r="U541" s="72">
        <v>10638088</v>
      </c>
      <c r="V541" s="72">
        <v>7984990</v>
      </c>
      <c r="W541" s="72">
        <v>1810476</v>
      </c>
      <c r="X541" s="72">
        <v>895519</v>
      </c>
      <c r="Y541" s="72">
        <v>0</v>
      </c>
      <c r="Z541" s="72">
        <v>0</v>
      </c>
      <c r="AA541" s="72">
        <v>0</v>
      </c>
      <c r="AB541" s="72">
        <v>0</v>
      </c>
      <c r="AC541" s="72">
        <v>0</v>
      </c>
      <c r="AD541" s="72">
        <v>0</v>
      </c>
      <c r="AE541" s="72">
        <v>0</v>
      </c>
      <c r="AF541" s="72">
        <v>0</v>
      </c>
      <c r="AG541" s="72">
        <v>790962</v>
      </c>
      <c r="AH541" s="72">
        <v>48425876</v>
      </c>
      <c r="AI541" s="72">
        <v>16500</v>
      </c>
      <c r="AJ541" s="72">
        <v>300000</v>
      </c>
      <c r="AK541" s="72">
        <v>0</v>
      </c>
      <c r="AL541" s="72">
        <v>316500</v>
      </c>
      <c r="AM541" s="72">
        <v>48742376</v>
      </c>
      <c r="AN541" s="72">
        <v>1233152</v>
      </c>
      <c r="AO541" s="72">
        <v>11878875</v>
      </c>
      <c r="AP541" s="72">
        <v>13112027</v>
      </c>
      <c r="AQ541" s="72">
        <v>1800000</v>
      </c>
      <c r="AR541" s="72">
        <v>0</v>
      </c>
      <c r="AS541" s="72">
        <v>0</v>
      </c>
      <c r="AT541" s="72">
        <v>1735000</v>
      </c>
      <c r="AU541" s="72">
        <v>0</v>
      </c>
      <c r="AV541" s="72">
        <v>0</v>
      </c>
      <c r="AW541" s="72">
        <v>0</v>
      </c>
      <c r="AX541" s="72">
        <v>0</v>
      </c>
      <c r="AY541" s="72">
        <v>0</v>
      </c>
      <c r="AZ541" s="72">
        <v>1735000</v>
      </c>
      <c r="BA541" s="72">
        <v>9577027</v>
      </c>
      <c r="BB541" s="72">
        <v>0</v>
      </c>
      <c r="BC541" s="72">
        <v>0</v>
      </c>
      <c r="BD541" s="72">
        <v>0</v>
      </c>
      <c r="BE541" s="72">
        <v>9577027</v>
      </c>
      <c r="BF541" s="72">
        <v>0</v>
      </c>
      <c r="BG541" s="72">
        <v>0</v>
      </c>
      <c r="BH541" s="72">
        <v>0</v>
      </c>
      <c r="BI541" s="72">
        <v>0</v>
      </c>
      <c r="BJ541" s="72">
        <v>9577027</v>
      </c>
      <c r="BM541" s="72">
        <v>0</v>
      </c>
      <c r="BN541" s="72">
        <v>0</v>
      </c>
      <c r="BO541" s="72">
        <v>0</v>
      </c>
      <c r="BP541" s="72">
        <v>0</v>
      </c>
      <c r="BQ541" s="72">
        <v>0</v>
      </c>
      <c r="BR541" s="72">
        <v>0</v>
      </c>
      <c r="BS541" s="72">
        <v>49975528</v>
      </c>
    </row>
    <row r="542" spans="1:71" x14ac:dyDescent="0.2">
      <c r="A542" t="s">
        <v>621</v>
      </c>
      <c r="B542" t="s">
        <v>1317</v>
      </c>
      <c r="C542" t="s">
        <v>55</v>
      </c>
      <c r="D542" s="72">
        <v>3350328</v>
      </c>
      <c r="E542" s="72">
        <v>0</v>
      </c>
      <c r="F542" s="72">
        <v>0</v>
      </c>
      <c r="G542" s="72">
        <v>8190042</v>
      </c>
      <c r="H542" s="72">
        <v>207685</v>
      </c>
      <c r="I542" s="72">
        <v>0</v>
      </c>
      <c r="J542" s="72">
        <v>502944</v>
      </c>
      <c r="K542" s="72">
        <v>840455</v>
      </c>
      <c r="L542" s="72">
        <v>13091454</v>
      </c>
      <c r="M542" s="72">
        <v>0</v>
      </c>
      <c r="N542" s="72">
        <v>0</v>
      </c>
      <c r="O542" s="72">
        <v>0</v>
      </c>
      <c r="P542" s="72">
        <v>0</v>
      </c>
      <c r="Q542" s="72">
        <v>42000</v>
      </c>
      <c r="R542" s="72">
        <v>42000</v>
      </c>
      <c r="S542" s="72">
        <v>13133454</v>
      </c>
      <c r="T542" s="72">
        <v>6621138</v>
      </c>
      <c r="U542" s="72">
        <v>2563703</v>
      </c>
      <c r="V542" s="72">
        <v>2764785</v>
      </c>
      <c r="W542" s="72">
        <v>600000</v>
      </c>
      <c r="X542" s="72">
        <v>550000</v>
      </c>
      <c r="Y542" s="72">
        <v>0</v>
      </c>
      <c r="Z542" s="72">
        <v>0</v>
      </c>
      <c r="AA542" s="72">
        <v>0</v>
      </c>
      <c r="AB542" s="72">
        <v>0</v>
      </c>
      <c r="AC542" s="72">
        <v>0</v>
      </c>
      <c r="AD542" s="72">
        <v>0</v>
      </c>
      <c r="AE542" s="72">
        <v>0</v>
      </c>
      <c r="AF542" s="72">
        <v>0</v>
      </c>
      <c r="AG542" s="72">
        <v>197772</v>
      </c>
      <c r="AH542" s="72">
        <v>13297398</v>
      </c>
      <c r="AI542" s="72">
        <v>12333</v>
      </c>
      <c r="AJ542" s="72">
        <v>0</v>
      </c>
      <c r="AK542" s="72">
        <v>0</v>
      </c>
      <c r="AL542" s="72">
        <v>12333</v>
      </c>
      <c r="AM542" s="72">
        <v>13309731</v>
      </c>
      <c r="AN542" s="72">
        <v>-176277</v>
      </c>
      <c r="AO542" s="72">
        <v>3088042</v>
      </c>
      <c r="AP542" s="72">
        <v>2911765</v>
      </c>
      <c r="AQ542" s="72">
        <v>0</v>
      </c>
      <c r="AR542" s="72">
        <v>0</v>
      </c>
      <c r="AS542" s="72">
        <v>0</v>
      </c>
      <c r="AT542" s="72">
        <v>0</v>
      </c>
      <c r="AU542" s="72">
        <v>0</v>
      </c>
      <c r="AW542" s="72">
        <v>0</v>
      </c>
      <c r="AX542" s="72">
        <v>0</v>
      </c>
      <c r="AY542" s="72">
        <v>0</v>
      </c>
      <c r="AZ542" s="72">
        <v>0</v>
      </c>
      <c r="BA542" s="72">
        <v>2911765</v>
      </c>
      <c r="BB542" s="72">
        <v>0</v>
      </c>
      <c r="BC542" s="72">
        <v>0</v>
      </c>
      <c r="BD542" s="72">
        <v>0</v>
      </c>
      <c r="BE542" s="72">
        <v>2911765</v>
      </c>
      <c r="BF542" s="72">
        <v>0</v>
      </c>
      <c r="BG542" s="72">
        <v>0</v>
      </c>
      <c r="BH542" s="72">
        <v>0</v>
      </c>
      <c r="BI542" s="72">
        <v>0</v>
      </c>
      <c r="BJ542" s="72">
        <v>2911765</v>
      </c>
      <c r="BS542" s="72">
        <v>13309731</v>
      </c>
    </row>
    <row r="543" spans="1:71" x14ac:dyDescent="0.2">
      <c r="A543" t="s">
        <v>695</v>
      </c>
      <c r="B543" t="s">
        <v>1385</v>
      </c>
      <c r="C543" t="s">
        <v>55</v>
      </c>
      <c r="D543" s="72">
        <v>4676629</v>
      </c>
      <c r="E543" s="72">
        <v>0</v>
      </c>
      <c r="F543" s="72">
        <v>0</v>
      </c>
      <c r="G543" s="72">
        <v>5526619</v>
      </c>
      <c r="H543" s="72">
        <v>49000</v>
      </c>
      <c r="I543" s="72">
        <v>0</v>
      </c>
      <c r="J543" s="72">
        <v>698250</v>
      </c>
      <c r="K543" s="72">
        <v>900000</v>
      </c>
      <c r="L543" s="72">
        <v>11850498</v>
      </c>
      <c r="M543" s="72">
        <v>0</v>
      </c>
      <c r="N543" s="72">
        <v>0</v>
      </c>
      <c r="O543" s="72">
        <v>0</v>
      </c>
      <c r="P543" s="72">
        <v>0</v>
      </c>
      <c r="Q543" s="72">
        <v>0</v>
      </c>
      <c r="R543" s="72">
        <v>0</v>
      </c>
      <c r="S543" s="72">
        <v>11850498</v>
      </c>
      <c r="T543" s="72">
        <v>6499000</v>
      </c>
      <c r="U543" s="72">
        <v>2618154</v>
      </c>
      <c r="V543" s="72">
        <v>1868030</v>
      </c>
      <c r="W543" s="72">
        <v>406151</v>
      </c>
      <c r="X543" s="72">
        <v>40000</v>
      </c>
      <c r="Y543" s="72">
        <v>0</v>
      </c>
      <c r="Z543" s="72">
        <v>0</v>
      </c>
      <c r="AA543" s="72">
        <v>0</v>
      </c>
      <c r="AB543" s="72">
        <v>0</v>
      </c>
      <c r="AC543" s="72">
        <v>0</v>
      </c>
      <c r="AD543" s="72">
        <v>54028</v>
      </c>
      <c r="AE543" s="72">
        <v>0</v>
      </c>
      <c r="AF543" s="72">
        <v>15030</v>
      </c>
      <c r="AG543" s="72">
        <v>145000</v>
      </c>
      <c r="AH543" s="72">
        <v>11645393</v>
      </c>
      <c r="AI543" s="72">
        <v>84929</v>
      </c>
      <c r="AJ543" s="72">
        <v>0</v>
      </c>
      <c r="AK543" s="72">
        <v>0</v>
      </c>
      <c r="AL543" s="72">
        <v>84929</v>
      </c>
      <c r="AM543" s="72">
        <v>11730322</v>
      </c>
      <c r="AN543" s="72">
        <v>120176</v>
      </c>
      <c r="AO543" s="72">
        <v>3096881</v>
      </c>
      <c r="AP543" s="72">
        <v>3217057</v>
      </c>
      <c r="AQ543" s="72">
        <v>100000</v>
      </c>
      <c r="AR543" s="72">
        <v>0</v>
      </c>
      <c r="AS543" s="72">
        <v>0</v>
      </c>
      <c r="AT543" s="72">
        <v>0</v>
      </c>
      <c r="AU543" s="72">
        <v>0</v>
      </c>
      <c r="AV543" s="72">
        <v>0</v>
      </c>
      <c r="AW543" s="72">
        <v>0</v>
      </c>
      <c r="AX543" s="72">
        <v>0</v>
      </c>
      <c r="AY543" s="72">
        <v>0</v>
      </c>
      <c r="AZ543" s="72">
        <v>0</v>
      </c>
      <c r="BA543" s="72">
        <v>3117057</v>
      </c>
      <c r="BB543" s="72">
        <v>0</v>
      </c>
      <c r="BC543" s="72">
        <v>0</v>
      </c>
      <c r="BD543" s="72">
        <v>0</v>
      </c>
      <c r="BE543" s="72">
        <v>3117057</v>
      </c>
      <c r="BF543" s="72">
        <v>0</v>
      </c>
      <c r="BG543" s="72">
        <v>0</v>
      </c>
      <c r="BH543" s="72">
        <v>0</v>
      </c>
      <c r="BI543" s="72">
        <v>0</v>
      </c>
      <c r="BJ543" s="72">
        <v>3117057</v>
      </c>
      <c r="BK543" s="72">
        <v>84</v>
      </c>
      <c r="BL543" s="72">
        <v>1354</v>
      </c>
      <c r="BM543" s="72">
        <v>0</v>
      </c>
      <c r="BN543" s="72">
        <v>0</v>
      </c>
      <c r="BO543" s="72">
        <v>0</v>
      </c>
      <c r="BP543" s="72">
        <v>0</v>
      </c>
      <c r="BQ543" s="72">
        <v>0</v>
      </c>
      <c r="BR543" s="72">
        <v>0</v>
      </c>
      <c r="BS543" s="72">
        <v>11850498</v>
      </c>
    </row>
    <row r="544" spans="1:71" x14ac:dyDescent="0.2">
      <c r="A544" t="s">
        <v>765</v>
      </c>
      <c r="B544" t="s">
        <v>1453</v>
      </c>
      <c r="C544" t="s">
        <v>46</v>
      </c>
      <c r="D544" s="72">
        <v>16715062</v>
      </c>
      <c r="E544" s="72">
        <v>3008</v>
      </c>
      <c r="F544" s="72">
        <v>0</v>
      </c>
      <c r="G544" s="72">
        <v>1154525</v>
      </c>
      <c r="H544" s="72">
        <v>0</v>
      </c>
      <c r="I544" s="72">
        <v>0</v>
      </c>
      <c r="J544" s="72">
        <v>3833667</v>
      </c>
      <c r="K544" s="72">
        <v>1733976</v>
      </c>
      <c r="L544" s="72">
        <v>23440238</v>
      </c>
      <c r="M544" s="72">
        <v>0</v>
      </c>
      <c r="N544" s="72">
        <v>0</v>
      </c>
      <c r="O544" s="72">
        <v>0</v>
      </c>
      <c r="P544" s="72">
        <v>0</v>
      </c>
      <c r="Q544" s="72">
        <v>0</v>
      </c>
      <c r="R544" s="72">
        <v>0</v>
      </c>
      <c r="S544" s="72">
        <v>23440238</v>
      </c>
      <c r="T544" s="72">
        <v>12989612</v>
      </c>
      <c r="U544" s="72">
        <v>5304459</v>
      </c>
      <c r="V544" s="72">
        <v>3556849</v>
      </c>
      <c r="W544" s="72">
        <v>599455</v>
      </c>
      <c r="X544" s="72">
        <v>51710</v>
      </c>
      <c r="Y544" s="72">
        <v>0</v>
      </c>
      <c r="Z544" s="72">
        <v>0</v>
      </c>
      <c r="AF544" s="72">
        <v>0</v>
      </c>
      <c r="AG544" s="72">
        <v>399020</v>
      </c>
      <c r="AH544" s="72">
        <v>22901104</v>
      </c>
      <c r="AI544" s="72">
        <v>140000</v>
      </c>
      <c r="AJ544" s="72">
        <v>190000</v>
      </c>
      <c r="AK544" s="72">
        <v>2000</v>
      </c>
      <c r="AL544" s="72">
        <v>332000</v>
      </c>
      <c r="AM544" s="72">
        <v>23233104</v>
      </c>
      <c r="AN544" s="72">
        <v>207133</v>
      </c>
      <c r="AO544" s="72">
        <v>5533212</v>
      </c>
      <c r="AP544" s="72">
        <v>5740345</v>
      </c>
      <c r="AQ544" s="72">
        <v>0</v>
      </c>
      <c r="AR544" s="72">
        <v>0</v>
      </c>
      <c r="AS544" s="72">
        <v>0</v>
      </c>
      <c r="AT544" s="72">
        <v>0</v>
      </c>
      <c r="AU544" s="72">
        <v>0</v>
      </c>
      <c r="AV544" s="72">
        <v>0</v>
      </c>
      <c r="AW544" s="72">
        <v>0</v>
      </c>
      <c r="AX544" s="72">
        <v>0</v>
      </c>
      <c r="AY544" s="72">
        <v>0</v>
      </c>
      <c r="AZ544" s="72">
        <v>0</v>
      </c>
      <c r="BA544" s="72">
        <v>5740345</v>
      </c>
      <c r="BB544" s="72">
        <v>0</v>
      </c>
      <c r="BC544" s="72">
        <v>0</v>
      </c>
      <c r="BD544" s="72">
        <v>0</v>
      </c>
      <c r="BE544" s="72">
        <v>5740345</v>
      </c>
      <c r="BH544" s="72">
        <v>0</v>
      </c>
      <c r="BI544" s="72">
        <v>0</v>
      </c>
      <c r="BJ544" s="72">
        <v>5740345</v>
      </c>
      <c r="BK544" s="72">
        <v>149</v>
      </c>
      <c r="BL544" s="72">
        <v>1870</v>
      </c>
      <c r="BM544" s="72">
        <v>0</v>
      </c>
      <c r="BN544" s="72">
        <v>0</v>
      </c>
      <c r="BO544" s="72">
        <v>0</v>
      </c>
      <c r="BP544" s="72">
        <v>0</v>
      </c>
      <c r="BQ544" s="72">
        <v>0</v>
      </c>
      <c r="BR544" s="72">
        <v>0</v>
      </c>
      <c r="BS544" s="72">
        <v>23440238</v>
      </c>
    </row>
    <row r="545" spans="1:71" x14ac:dyDescent="0.2">
      <c r="A545" t="s">
        <v>244</v>
      </c>
      <c r="B545" t="s">
        <v>962</v>
      </c>
      <c r="C545" t="s">
        <v>46</v>
      </c>
      <c r="D545" s="72">
        <v>26620349</v>
      </c>
      <c r="E545" s="72">
        <v>0</v>
      </c>
      <c r="F545" s="72">
        <v>0</v>
      </c>
      <c r="G545" s="72">
        <v>2049545</v>
      </c>
      <c r="H545" s="72">
        <v>1076</v>
      </c>
      <c r="I545" s="72">
        <v>0</v>
      </c>
      <c r="J545" s="72">
        <v>3731113</v>
      </c>
      <c r="K545" s="72">
        <v>650000</v>
      </c>
      <c r="L545" s="72">
        <v>33052083</v>
      </c>
      <c r="M545" s="72">
        <v>0</v>
      </c>
      <c r="N545" s="72">
        <v>0</v>
      </c>
      <c r="O545" s="72">
        <v>0</v>
      </c>
      <c r="P545" s="72">
        <v>57446</v>
      </c>
      <c r="Q545" s="72">
        <v>0</v>
      </c>
      <c r="R545" s="72">
        <v>57446</v>
      </c>
      <c r="S545" s="72">
        <v>33109529</v>
      </c>
      <c r="T545" s="72">
        <v>18500000</v>
      </c>
      <c r="U545" s="72">
        <v>6002349</v>
      </c>
      <c r="V545" s="72">
        <v>5000000</v>
      </c>
      <c r="W545" s="72">
        <v>1200000</v>
      </c>
      <c r="X545" s="72">
        <v>250000</v>
      </c>
      <c r="Y545" s="72">
        <v>0</v>
      </c>
      <c r="Z545" s="72">
        <v>0</v>
      </c>
      <c r="AA545" s="72">
        <v>90831</v>
      </c>
      <c r="AB545" s="72">
        <v>0</v>
      </c>
      <c r="AC545" s="72">
        <v>0</v>
      </c>
      <c r="AD545" s="72">
        <v>0</v>
      </c>
      <c r="AE545" s="72">
        <v>0</v>
      </c>
      <c r="AF545" s="72">
        <v>17728</v>
      </c>
      <c r="AG545" s="72">
        <v>1000000</v>
      </c>
      <c r="AH545" s="72">
        <v>32060908</v>
      </c>
      <c r="AI545" s="72">
        <v>30000</v>
      </c>
      <c r="AJ545" s="72">
        <v>0</v>
      </c>
      <c r="AK545" s="72">
        <v>0</v>
      </c>
      <c r="AL545" s="72">
        <v>30000</v>
      </c>
      <c r="AM545" s="72">
        <v>32090908</v>
      </c>
      <c r="AN545" s="72">
        <v>1018621</v>
      </c>
      <c r="AO545" s="72">
        <v>12413852</v>
      </c>
      <c r="AP545" s="72">
        <v>13432473</v>
      </c>
      <c r="AQ545" s="72">
        <v>1000000</v>
      </c>
      <c r="AR545" s="72">
        <v>0</v>
      </c>
      <c r="AS545" s="72">
        <v>0</v>
      </c>
      <c r="AT545" s="72">
        <v>0</v>
      </c>
      <c r="AU545" s="72">
        <v>0</v>
      </c>
      <c r="AV545" s="72">
        <v>0</v>
      </c>
      <c r="AW545" s="72">
        <v>0</v>
      </c>
      <c r="AX545" s="72">
        <v>0</v>
      </c>
      <c r="AY545" s="72">
        <v>0</v>
      </c>
      <c r="AZ545" s="72">
        <v>0</v>
      </c>
      <c r="BA545" s="72">
        <v>12432473</v>
      </c>
      <c r="BB545" s="72">
        <v>0</v>
      </c>
      <c r="BC545" s="72">
        <v>0</v>
      </c>
      <c r="BD545" s="72">
        <v>0</v>
      </c>
      <c r="BE545" s="72">
        <v>12432473</v>
      </c>
      <c r="BF545" s="72">
        <v>0</v>
      </c>
      <c r="BG545" s="72">
        <v>0</v>
      </c>
      <c r="BH545" s="72">
        <v>0</v>
      </c>
      <c r="BI545" s="72">
        <v>0</v>
      </c>
      <c r="BJ545" s="72">
        <v>12432473</v>
      </c>
      <c r="BK545" s="72">
        <v>166</v>
      </c>
      <c r="BL545" s="72">
        <v>3049</v>
      </c>
      <c r="BM545" s="72">
        <v>0</v>
      </c>
      <c r="BN545" s="72">
        <v>0</v>
      </c>
      <c r="BO545" s="72">
        <v>0</v>
      </c>
      <c r="BP545" s="72">
        <v>0</v>
      </c>
      <c r="BQ545" s="72">
        <v>0</v>
      </c>
      <c r="BR545" s="72">
        <v>0</v>
      </c>
      <c r="BS545" s="72">
        <v>33109529</v>
      </c>
    </row>
    <row r="546" spans="1:71" x14ac:dyDescent="0.2">
      <c r="A546" t="s">
        <v>248</v>
      </c>
      <c r="B546" t="s">
        <v>1414</v>
      </c>
      <c r="C546" t="s">
        <v>46</v>
      </c>
      <c r="D546" s="72">
        <v>9587621</v>
      </c>
      <c r="E546" s="72">
        <v>545051</v>
      </c>
      <c r="F546" s="72">
        <v>0</v>
      </c>
      <c r="G546" s="72">
        <v>3685469</v>
      </c>
      <c r="H546" s="72">
        <v>15531</v>
      </c>
      <c r="I546" s="72">
        <v>0</v>
      </c>
      <c r="J546" s="72">
        <v>1444616</v>
      </c>
      <c r="K546" s="72">
        <v>5393728</v>
      </c>
      <c r="L546" s="72">
        <v>20672016</v>
      </c>
      <c r="M546" s="72">
        <v>0</v>
      </c>
      <c r="N546" s="72">
        <v>0</v>
      </c>
      <c r="O546" s="72">
        <v>0</v>
      </c>
      <c r="P546" s="72">
        <v>0</v>
      </c>
      <c r="Q546" s="72">
        <v>0</v>
      </c>
      <c r="R546" s="72">
        <v>0</v>
      </c>
      <c r="S546" s="72">
        <v>20672016</v>
      </c>
      <c r="T546" s="72">
        <v>10330252</v>
      </c>
      <c r="U546" s="72">
        <v>4177104</v>
      </c>
      <c r="V546" s="72">
        <v>4024681</v>
      </c>
      <c r="W546" s="72">
        <v>229865</v>
      </c>
      <c r="X546" s="72">
        <v>225297</v>
      </c>
      <c r="Y546" s="72">
        <v>-114613</v>
      </c>
      <c r="Z546" s="72">
        <v>0</v>
      </c>
      <c r="AA546" s="72">
        <v>506150</v>
      </c>
      <c r="AB546" s="72">
        <v>0</v>
      </c>
      <c r="AC546" s="72">
        <v>0</v>
      </c>
      <c r="AD546" s="72">
        <v>226549</v>
      </c>
      <c r="AE546" s="72">
        <v>62000</v>
      </c>
      <c r="AF546" s="72">
        <v>190165</v>
      </c>
      <c r="AG546" s="72">
        <v>229760</v>
      </c>
      <c r="AH546" s="72">
        <v>20087210</v>
      </c>
      <c r="AI546" s="72">
        <v>0</v>
      </c>
      <c r="AJ546" s="72">
        <v>0</v>
      </c>
      <c r="AK546" s="72">
        <v>0</v>
      </c>
      <c r="AL546" s="72">
        <v>0</v>
      </c>
      <c r="AM546" s="72">
        <v>20087210</v>
      </c>
      <c r="AN546" s="72">
        <v>584806</v>
      </c>
      <c r="AO546" s="72">
        <v>-541188</v>
      </c>
      <c r="AP546" s="72">
        <v>43618</v>
      </c>
      <c r="AQ546" s="72">
        <v>1000</v>
      </c>
      <c r="AR546" s="72">
        <v>0</v>
      </c>
      <c r="AS546" s="72">
        <v>0</v>
      </c>
      <c r="AT546" s="72">
        <v>0</v>
      </c>
      <c r="AU546" s="72">
        <v>0</v>
      </c>
      <c r="AV546" s="72">
        <v>0</v>
      </c>
      <c r="AW546" s="72">
        <v>0</v>
      </c>
      <c r="AX546" s="72">
        <v>0</v>
      </c>
      <c r="AY546" s="72">
        <v>0</v>
      </c>
      <c r="AZ546" s="72">
        <v>0</v>
      </c>
      <c r="BA546" s="72">
        <v>42618</v>
      </c>
      <c r="BB546" s="72">
        <v>0</v>
      </c>
      <c r="BC546" s="72">
        <v>0</v>
      </c>
      <c r="BD546" s="72">
        <v>0</v>
      </c>
      <c r="BE546" s="72">
        <v>42618</v>
      </c>
      <c r="BF546" s="72">
        <v>0</v>
      </c>
      <c r="BG546" s="72">
        <v>0</v>
      </c>
      <c r="BH546" s="72">
        <v>0</v>
      </c>
      <c r="BI546" s="72">
        <v>0</v>
      </c>
      <c r="BJ546" s="72">
        <v>42618</v>
      </c>
      <c r="BM546" s="72">
        <v>0</v>
      </c>
      <c r="BN546" s="72">
        <v>0</v>
      </c>
      <c r="BO546" s="72">
        <v>0</v>
      </c>
      <c r="BP546" s="72">
        <v>0</v>
      </c>
      <c r="BQ546" s="72">
        <v>0</v>
      </c>
      <c r="BR546" s="72">
        <v>0</v>
      </c>
      <c r="BS546" s="72">
        <v>20672016</v>
      </c>
    </row>
    <row r="547" spans="1:71" x14ac:dyDescent="0.2">
      <c r="A547" t="s">
        <v>449</v>
      </c>
      <c r="B547" t="s">
        <v>1154</v>
      </c>
      <c r="C547" t="s">
        <v>46</v>
      </c>
      <c r="D547" s="72">
        <v>6336231</v>
      </c>
      <c r="E547" s="72">
        <v>0</v>
      </c>
      <c r="F547" s="72">
        <v>0</v>
      </c>
      <c r="G547" s="72">
        <v>5520634</v>
      </c>
      <c r="H547" s="72">
        <v>7900</v>
      </c>
      <c r="I547" s="72">
        <v>0</v>
      </c>
      <c r="J547" s="72">
        <v>1083138</v>
      </c>
      <c r="K547" s="72">
        <v>35000</v>
      </c>
      <c r="L547" s="72">
        <v>12982903</v>
      </c>
      <c r="M547" s="72">
        <v>0</v>
      </c>
      <c r="N547" s="72">
        <v>0</v>
      </c>
      <c r="O547" s="72">
        <v>0</v>
      </c>
      <c r="P547" s="72">
        <v>15000</v>
      </c>
      <c r="Q547" s="72">
        <v>45000</v>
      </c>
      <c r="R547" s="72">
        <v>60000</v>
      </c>
      <c r="S547" s="72">
        <v>13042903</v>
      </c>
      <c r="T547" s="72">
        <v>7628723</v>
      </c>
      <c r="U547" s="72">
        <v>2826574</v>
      </c>
      <c r="V547" s="72">
        <v>1987020</v>
      </c>
      <c r="W547" s="72">
        <v>443514</v>
      </c>
      <c r="X547" s="72">
        <v>220323</v>
      </c>
      <c r="Y547" s="72">
        <v>0</v>
      </c>
      <c r="Z547" s="72">
        <v>0</v>
      </c>
      <c r="AA547" s="72">
        <v>0</v>
      </c>
      <c r="AB547" s="72">
        <v>0</v>
      </c>
      <c r="AC547" s="72">
        <v>0</v>
      </c>
      <c r="AD547" s="72">
        <v>0</v>
      </c>
      <c r="AE547" s="72">
        <v>0</v>
      </c>
      <c r="AF547" s="72">
        <v>0</v>
      </c>
      <c r="AG547" s="72">
        <v>238531</v>
      </c>
      <c r="AH547" s="72">
        <v>13344685</v>
      </c>
      <c r="AI547" s="72">
        <v>75000</v>
      </c>
      <c r="AJ547" s="72">
        <v>15000</v>
      </c>
      <c r="AK547" s="72">
        <v>0</v>
      </c>
      <c r="AL547" s="72">
        <v>90000</v>
      </c>
      <c r="AM547" s="72">
        <v>13434685</v>
      </c>
      <c r="AN547" s="72">
        <v>-391782</v>
      </c>
      <c r="AO547" s="72">
        <v>592857</v>
      </c>
      <c r="AP547" s="72">
        <v>201075</v>
      </c>
      <c r="AQ547" s="72">
        <v>20000</v>
      </c>
      <c r="AR547" s="72">
        <v>0</v>
      </c>
      <c r="AS547" s="72">
        <v>0</v>
      </c>
      <c r="AT547" s="72">
        <v>0</v>
      </c>
      <c r="AU547" s="72">
        <v>0</v>
      </c>
      <c r="AV547" s="72">
        <v>0</v>
      </c>
      <c r="AW547" s="72">
        <v>0</v>
      </c>
      <c r="AX547" s="72">
        <v>0</v>
      </c>
      <c r="AY547" s="72">
        <v>0</v>
      </c>
      <c r="AZ547" s="72">
        <v>0</v>
      </c>
      <c r="BA547" s="72">
        <v>181075</v>
      </c>
      <c r="BB547" s="72">
        <v>0</v>
      </c>
      <c r="BC547" s="72">
        <v>0</v>
      </c>
      <c r="BD547" s="72">
        <v>0</v>
      </c>
      <c r="BE547" s="72">
        <v>181075</v>
      </c>
      <c r="BF547" s="72">
        <v>0</v>
      </c>
      <c r="BG547" s="72">
        <v>552385</v>
      </c>
      <c r="BH547" s="72">
        <v>552385</v>
      </c>
      <c r="BI547" s="72">
        <v>0</v>
      </c>
      <c r="BJ547" s="72">
        <v>733460</v>
      </c>
      <c r="BK547" s="72">
        <v>93</v>
      </c>
      <c r="BL547" s="72">
        <v>1319</v>
      </c>
      <c r="BM547" s="72">
        <v>0</v>
      </c>
      <c r="BN547" s="72">
        <v>0</v>
      </c>
      <c r="BO547" s="72">
        <v>0</v>
      </c>
      <c r="BP547" s="72">
        <v>0</v>
      </c>
      <c r="BQ547" s="72">
        <v>0</v>
      </c>
      <c r="BR547" s="72">
        <v>0</v>
      </c>
      <c r="BS547" s="72">
        <v>13434685</v>
      </c>
    </row>
    <row r="548" spans="1:71" x14ac:dyDescent="0.2">
      <c r="A548" t="s">
        <v>346</v>
      </c>
      <c r="B548" t="s">
        <v>1059</v>
      </c>
      <c r="C548" t="s">
        <v>46</v>
      </c>
      <c r="D548" s="72">
        <v>20259404</v>
      </c>
      <c r="E548" s="72">
        <v>662817</v>
      </c>
      <c r="F548" s="72">
        <v>0</v>
      </c>
      <c r="G548" s="72">
        <v>10840762</v>
      </c>
      <c r="H548" s="72">
        <v>16623</v>
      </c>
      <c r="I548" s="72">
        <v>0</v>
      </c>
      <c r="J548" s="72">
        <v>2845262</v>
      </c>
      <c r="K548" s="72">
        <v>1527422</v>
      </c>
      <c r="L548" s="72">
        <v>36152290</v>
      </c>
      <c r="M548" s="72">
        <v>0</v>
      </c>
      <c r="N548" s="72">
        <v>0</v>
      </c>
      <c r="O548" s="72">
        <v>0</v>
      </c>
      <c r="P548" s="72">
        <v>0</v>
      </c>
      <c r="Q548" s="72">
        <v>183200</v>
      </c>
      <c r="R548" s="72">
        <v>183200</v>
      </c>
      <c r="S548" s="72">
        <v>36335490</v>
      </c>
      <c r="T548" s="72">
        <v>20584846</v>
      </c>
      <c r="U548" s="72">
        <v>8261878</v>
      </c>
      <c r="V548" s="72">
        <v>4722575</v>
      </c>
      <c r="W548" s="72">
        <v>1048353</v>
      </c>
      <c r="X548" s="72">
        <v>0</v>
      </c>
      <c r="Y548" s="72">
        <v>0</v>
      </c>
      <c r="Z548" s="72">
        <v>0</v>
      </c>
      <c r="AA548" s="72">
        <v>0</v>
      </c>
      <c r="AB548" s="72">
        <v>1333333</v>
      </c>
      <c r="AC548" s="72">
        <v>0</v>
      </c>
      <c r="AD548" s="72">
        <v>0</v>
      </c>
      <c r="AE548" s="72">
        <v>0</v>
      </c>
      <c r="AF548" s="72">
        <v>48800</v>
      </c>
      <c r="AG548" s="72">
        <v>725567</v>
      </c>
      <c r="AH548" s="72">
        <v>36725352</v>
      </c>
      <c r="AI548" s="72">
        <v>0</v>
      </c>
      <c r="AJ548" s="72">
        <v>0</v>
      </c>
      <c r="AK548" s="72">
        <v>0</v>
      </c>
      <c r="AL548" s="72">
        <v>0</v>
      </c>
      <c r="AM548" s="72">
        <v>36725352</v>
      </c>
      <c r="AN548" s="72">
        <v>-389862</v>
      </c>
      <c r="AO548" s="72">
        <v>1510642</v>
      </c>
      <c r="AP548" s="72">
        <v>1120780</v>
      </c>
      <c r="AQ548" s="72">
        <v>100000</v>
      </c>
      <c r="AR548" s="72">
        <v>0</v>
      </c>
      <c r="AS548" s="72">
        <v>0</v>
      </c>
      <c r="AT548" s="72">
        <v>0</v>
      </c>
      <c r="AU548" s="72">
        <v>0</v>
      </c>
      <c r="AV548" s="72">
        <v>0</v>
      </c>
      <c r="AW548" s="72">
        <v>0</v>
      </c>
      <c r="AX548" s="72">
        <v>0</v>
      </c>
      <c r="AY548" s="72">
        <v>0</v>
      </c>
      <c r="AZ548" s="72">
        <v>0</v>
      </c>
      <c r="BA548" s="72">
        <v>1020780</v>
      </c>
      <c r="BB548" s="72">
        <v>0</v>
      </c>
      <c r="BC548" s="72">
        <v>0</v>
      </c>
      <c r="BD548" s="72">
        <v>0</v>
      </c>
      <c r="BE548" s="72">
        <v>1020780</v>
      </c>
      <c r="BF548" s="72">
        <v>0</v>
      </c>
      <c r="BG548" s="72">
        <v>0</v>
      </c>
      <c r="BH548" s="72">
        <v>0</v>
      </c>
      <c r="BI548" s="72">
        <v>0</v>
      </c>
      <c r="BJ548" s="72">
        <v>1020780</v>
      </c>
      <c r="BM548" s="72">
        <v>0</v>
      </c>
      <c r="BN548" s="72">
        <v>0</v>
      </c>
      <c r="BO548" s="72">
        <v>0</v>
      </c>
      <c r="BP548" s="72">
        <v>0</v>
      </c>
      <c r="BQ548" s="72">
        <v>0</v>
      </c>
      <c r="BR548" s="72">
        <v>0</v>
      </c>
      <c r="BS548" s="72">
        <v>36725352</v>
      </c>
    </row>
    <row r="549" spans="1:71" x14ac:dyDescent="0.2">
      <c r="A549" t="s">
        <v>371</v>
      </c>
      <c r="B549" t="s">
        <v>1082</v>
      </c>
      <c r="C549" t="s">
        <v>46</v>
      </c>
      <c r="D549" s="72">
        <v>39227000</v>
      </c>
      <c r="E549" s="72">
        <v>497000</v>
      </c>
      <c r="F549" s="72">
        <v>0</v>
      </c>
      <c r="G549" s="72">
        <v>10940000</v>
      </c>
      <c r="H549" s="72">
        <v>205000</v>
      </c>
      <c r="I549" s="72">
        <v>0</v>
      </c>
      <c r="J549" s="72">
        <v>6810000</v>
      </c>
      <c r="K549" s="72">
        <v>1428000</v>
      </c>
      <c r="L549" s="72">
        <v>59107000</v>
      </c>
      <c r="M549" s="72">
        <v>0</v>
      </c>
      <c r="N549" s="72">
        <v>0</v>
      </c>
      <c r="O549" s="72">
        <v>0</v>
      </c>
      <c r="P549" s="72">
        <v>0</v>
      </c>
      <c r="Q549" s="72">
        <v>0</v>
      </c>
      <c r="R549" s="72">
        <v>0</v>
      </c>
      <c r="S549" s="72">
        <v>59107000</v>
      </c>
      <c r="T549" s="72">
        <v>34521000</v>
      </c>
      <c r="U549" s="72">
        <v>12572000</v>
      </c>
      <c r="V549" s="72">
        <v>7672000</v>
      </c>
      <c r="W549" s="72">
        <v>1886000</v>
      </c>
      <c r="X549" s="72">
        <v>150000</v>
      </c>
      <c r="Y549" s="72">
        <v>0</v>
      </c>
      <c r="Z549" s="72">
        <v>0</v>
      </c>
      <c r="AA549" s="72">
        <v>0</v>
      </c>
      <c r="AB549" s="72">
        <v>0</v>
      </c>
      <c r="AC549" s="72">
        <v>0</v>
      </c>
      <c r="AD549" s="72">
        <v>330000</v>
      </c>
      <c r="AE549" s="72">
        <v>0</v>
      </c>
      <c r="AF549" s="72">
        <v>91000</v>
      </c>
      <c r="AG549" s="72">
        <v>1531000</v>
      </c>
      <c r="AH549" s="72">
        <v>58753000</v>
      </c>
      <c r="AI549" s="72">
        <v>26000</v>
      </c>
      <c r="AJ549" s="72">
        <v>0</v>
      </c>
      <c r="AK549" s="72">
        <v>1000</v>
      </c>
      <c r="AL549" s="72">
        <v>27000</v>
      </c>
      <c r="AM549" s="72">
        <v>58780000</v>
      </c>
      <c r="AN549" s="72">
        <v>327000</v>
      </c>
      <c r="AO549" s="72">
        <v>15124906</v>
      </c>
      <c r="AP549" s="72">
        <v>15451906</v>
      </c>
      <c r="AQ549" s="72">
        <v>1200000</v>
      </c>
      <c r="AR549" s="72">
        <v>0</v>
      </c>
      <c r="AS549" s="72">
        <v>0</v>
      </c>
      <c r="AT549" s="72">
        <v>0</v>
      </c>
      <c r="AU549" s="72">
        <v>0</v>
      </c>
      <c r="AV549" s="72">
        <v>0</v>
      </c>
      <c r="AW549" s="72">
        <v>0</v>
      </c>
      <c r="AX549" s="72">
        <v>0</v>
      </c>
      <c r="AY549" s="72">
        <v>0</v>
      </c>
      <c r="AZ549" s="72">
        <v>0</v>
      </c>
      <c r="BA549" s="72">
        <v>14251906</v>
      </c>
      <c r="BB549" s="72">
        <v>0</v>
      </c>
      <c r="BC549" s="72">
        <v>0</v>
      </c>
      <c r="BD549" s="72">
        <v>0</v>
      </c>
      <c r="BE549" s="72">
        <v>14251906</v>
      </c>
      <c r="BF549" s="72">
        <v>0</v>
      </c>
      <c r="BG549" s="72">
        <v>0</v>
      </c>
      <c r="BH549" s="72">
        <v>0</v>
      </c>
      <c r="BI549" s="72">
        <v>0</v>
      </c>
      <c r="BJ549" s="72">
        <v>14251906</v>
      </c>
      <c r="BK549" s="72">
        <v>275</v>
      </c>
      <c r="BL549" s="72">
        <v>4391</v>
      </c>
      <c r="BM549" s="72">
        <v>0</v>
      </c>
      <c r="BN549" s="72">
        <v>0</v>
      </c>
      <c r="BO549" s="72">
        <v>0</v>
      </c>
      <c r="BP549" s="72">
        <v>0</v>
      </c>
      <c r="BQ549" s="72">
        <v>0</v>
      </c>
      <c r="BR549" s="72">
        <v>0</v>
      </c>
      <c r="BS549" s="72">
        <v>59107000</v>
      </c>
    </row>
    <row r="550" spans="1:71" x14ac:dyDescent="0.2">
      <c r="A550" t="s">
        <v>491</v>
      </c>
      <c r="B550" t="s">
        <v>1195</v>
      </c>
      <c r="C550" t="s">
        <v>46</v>
      </c>
      <c r="D550" s="72">
        <v>2714000</v>
      </c>
      <c r="E550" s="72">
        <v>196000</v>
      </c>
      <c r="F550" s="72">
        <v>0</v>
      </c>
      <c r="G550" s="72">
        <v>2341139</v>
      </c>
      <c r="H550" s="72">
        <v>11222</v>
      </c>
      <c r="I550" s="72">
        <v>0</v>
      </c>
      <c r="J550" s="72">
        <v>1749395</v>
      </c>
      <c r="K550" s="72">
        <v>1946739</v>
      </c>
      <c r="L550" s="72">
        <v>8958495</v>
      </c>
      <c r="M550" s="72">
        <v>0</v>
      </c>
      <c r="N550" s="72">
        <v>0</v>
      </c>
      <c r="O550" s="72">
        <v>0</v>
      </c>
      <c r="P550" s="72">
        <v>0</v>
      </c>
      <c r="Q550" s="72">
        <v>5000</v>
      </c>
      <c r="R550" s="72">
        <v>5000</v>
      </c>
      <c r="S550" s="72">
        <v>8963495</v>
      </c>
      <c r="T550" s="72">
        <v>5465000</v>
      </c>
      <c r="U550" s="72">
        <v>2059000</v>
      </c>
      <c r="V550" s="72">
        <v>1150599</v>
      </c>
      <c r="W550" s="72">
        <v>217329</v>
      </c>
      <c r="X550" s="72">
        <v>19000</v>
      </c>
      <c r="Y550" s="72">
        <v>0</v>
      </c>
      <c r="Z550" s="72">
        <v>0</v>
      </c>
      <c r="AA550" s="72">
        <v>0</v>
      </c>
      <c r="AB550" s="72">
        <v>0</v>
      </c>
      <c r="AC550" s="72">
        <v>0</v>
      </c>
      <c r="AD550" s="72">
        <v>0</v>
      </c>
      <c r="AE550" s="72">
        <v>0</v>
      </c>
      <c r="AF550" s="72">
        <v>0</v>
      </c>
      <c r="AG550" s="72">
        <v>165000</v>
      </c>
      <c r="AH550" s="72">
        <v>9075928</v>
      </c>
      <c r="AI550" s="72">
        <v>5000</v>
      </c>
      <c r="AJ550" s="72">
        <v>0</v>
      </c>
      <c r="AK550" s="72">
        <v>0</v>
      </c>
      <c r="AL550" s="72">
        <v>5000</v>
      </c>
      <c r="AM550" s="72">
        <v>9080928</v>
      </c>
      <c r="AN550" s="72">
        <v>-117433</v>
      </c>
      <c r="AO550" s="72">
        <v>2171111</v>
      </c>
      <c r="AP550" s="72">
        <v>2053678</v>
      </c>
      <c r="AQ550" s="72">
        <v>107000</v>
      </c>
      <c r="AR550" s="72">
        <v>0</v>
      </c>
      <c r="AS550" s="72">
        <v>0</v>
      </c>
      <c r="AT550" s="72">
        <v>322201</v>
      </c>
      <c r="AU550" s="72">
        <v>0</v>
      </c>
      <c r="AV550" s="72">
        <v>0</v>
      </c>
      <c r="AW550" s="72">
        <v>0</v>
      </c>
      <c r="AX550" s="72">
        <v>0</v>
      </c>
      <c r="AY550" s="72">
        <v>0</v>
      </c>
      <c r="AZ550" s="72">
        <v>322201</v>
      </c>
      <c r="BA550" s="72">
        <v>1624477</v>
      </c>
      <c r="BB550" s="72">
        <v>0</v>
      </c>
      <c r="BC550" s="72">
        <v>0</v>
      </c>
      <c r="BD550" s="72">
        <v>0</v>
      </c>
      <c r="BE550" s="72">
        <v>1624477</v>
      </c>
      <c r="BF550" s="72">
        <v>0</v>
      </c>
      <c r="BG550" s="72">
        <v>0</v>
      </c>
      <c r="BH550" s="72">
        <v>0</v>
      </c>
      <c r="BI550" s="72">
        <v>0</v>
      </c>
      <c r="BJ550" s="72">
        <v>1624477</v>
      </c>
      <c r="BK550" s="72">
        <v>86</v>
      </c>
      <c r="BL550" s="72">
        <v>886</v>
      </c>
      <c r="BM550" s="72">
        <v>0</v>
      </c>
      <c r="BN550" s="72">
        <v>0</v>
      </c>
      <c r="BO550" s="72">
        <v>0</v>
      </c>
      <c r="BP550" s="72">
        <v>0</v>
      </c>
      <c r="BQ550" s="72">
        <v>0</v>
      </c>
      <c r="BR550" s="72">
        <v>0</v>
      </c>
      <c r="BS550" s="72">
        <v>9080928</v>
      </c>
    </row>
    <row r="551" spans="1:71" x14ac:dyDescent="0.2">
      <c r="A551" t="s">
        <v>521</v>
      </c>
      <c r="B551" t="s">
        <v>1225</v>
      </c>
      <c r="C551" t="s">
        <v>46</v>
      </c>
      <c r="D551" s="72">
        <v>27102317</v>
      </c>
      <c r="E551" s="72">
        <v>1727835</v>
      </c>
      <c r="F551" s="72">
        <v>0</v>
      </c>
      <c r="G551" s="72">
        <v>4687580</v>
      </c>
      <c r="H551" s="72">
        <v>22000</v>
      </c>
      <c r="I551" s="72">
        <v>0</v>
      </c>
      <c r="J551" s="72">
        <v>5623632</v>
      </c>
      <c r="K551" s="72">
        <v>1563340</v>
      </c>
      <c r="L551" s="72">
        <v>40726704</v>
      </c>
      <c r="M551" s="72">
        <v>0</v>
      </c>
      <c r="N551" s="72">
        <v>0</v>
      </c>
      <c r="O551" s="72">
        <v>0</v>
      </c>
      <c r="P551" s="72">
        <v>0</v>
      </c>
      <c r="Q551" s="72">
        <v>453279</v>
      </c>
      <c r="R551" s="72">
        <v>453279</v>
      </c>
      <c r="S551" s="72">
        <v>41179983</v>
      </c>
      <c r="T551" s="72">
        <v>20014130</v>
      </c>
      <c r="U551" s="72">
        <v>8011150</v>
      </c>
      <c r="V551" s="72">
        <v>7365000</v>
      </c>
      <c r="W551" s="72">
        <v>1935442</v>
      </c>
      <c r="X551" s="72">
        <v>513712</v>
      </c>
      <c r="Y551" s="72">
        <v>0</v>
      </c>
      <c r="Z551" s="72">
        <v>0</v>
      </c>
      <c r="AA551" s="72">
        <v>0</v>
      </c>
      <c r="AB551" s="72">
        <v>0</v>
      </c>
      <c r="AC551" s="72">
        <v>0</v>
      </c>
      <c r="AD551" s="72">
        <v>0</v>
      </c>
      <c r="AE551" s="72">
        <v>0</v>
      </c>
      <c r="AF551" s="72">
        <v>0</v>
      </c>
      <c r="AG551" s="72">
        <v>1048000</v>
      </c>
      <c r="AH551" s="72">
        <v>38887434</v>
      </c>
      <c r="AI551" s="72">
        <v>32866</v>
      </c>
      <c r="AJ551" s="72">
        <v>0</v>
      </c>
      <c r="AK551" s="72">
        <v>0</v>
      </c>
      <c r="AL551" s="72">
        <v>32866</v>
      </c>
      <c r="AM551" s="72">
        <v>38920300</v>
      </c>
      <c r="AN551" s="72">
        <v>2259683</v>
      </c>
      <c r="AO551" s="72">
        <v>11147823</v>
      </c>
      <c r="AP551" s="72">
        <v>13407506</v>
      </c>
      <c r="AQ551" s="72">
        <v>600000</v>
      </c>
      <c r="AR551" s="72">
        <v>0</v>
      </c>
      <c r="AS551" s="72">
        <v>0</v>
      </c>
      <c r="AT551" s="72">
        <v>0</v>
      </c>
      <c r="AU551" s="72">
        <v>0</v>
      </c>
      <c r="AV551" s="72">
        <v>0</v>
      </c>
      <c r="AW551" s="72">
        <v>0</v>
      </c>
      <c r="AX551" s="72">
        <v>0</v>
      </c>
      <c r="AY551" s="72">
        <v>0</v>
      </c>
      <c r="AZ551" s="72">
        <v>0</v>
      </c>
      <c r="BA551" s="72">
        <v>12807506</v>
      </c>
      <c r="BB551" s="72">
        <v>0</v>
      </c>
      <c r="BC551" s="72">
        <v>0</v>
      </c>
      <c r="BD551" s="72">
        <v>0</v>
      </c>
      <c r="BE551" s="72">
        <v>12807506</v>
      </c>
      <c r="BF551" s="72">
        <v>0</v>
      </c>
      <c r="BG551" s="72">
        <v>0</v>
      </c>
      <c r="BH551" s="72">
        <v>0</v>
      </c>
      <c r="BI551" s="72">
        <v>0</v>
      </c>
      <c r="BJ551" s="72">
        <v>12807506</v>
      </c>
      <c r="BM551" s="72">
        <v>0</v>
      </c>
      <c r="BN551" s="72">
        <v>0</v>
      </c>
      <c r="BO551" s="72">
        <v>0</v>
      </c>
      <c r="BP551" s="72">
        <v>0</v>
      </c>
      <c r="BQ551" s="72">
        <v>0</v>
      </c>
      <c r="BR551" s="72">
        <v>0</v>
      </c>
      <c r="BS551" s="72">
        <v>41179983</v>
      </c>
    </row>
    <row r="552" spans="1:71" x14ac:dyDescent="0.2">
      <c r="A552" t="s">
        <v>600</v>
      </c>
      <c r="B552" t="s">
        <v>1297</v>
      </c>
      <c r="C552" t="s">
        <v>46</v>
      </c>
      <c r="D552" s="72">
        <v>26698596</v>
      </c>
      <c r="E552" s="72">
        <v>0</v>
      </c>
      <c r="F552" s="72">
        <v>0</v>
      </c>
      <c r="G552" s="72">
        <v>2083000</v>
      </c>
      <c r="H552" s="72">
        <v>8732</v>
      </c>
      <c r="I552" s="72">
        <v>0</v>
      </c>
      <c r="J552" s="72">
        <v>3647000</v>
      </c>
      <c r="K552" s="72">
        <v>808691</v>
      </c>
      <c r="L552" s="72">
        <v>33246019</v>
      </c>
      <c r="M552" s="72">
        <v>0</v>
      </c>
      <c r="N552" s="72">
        <v>0</v>
      </c>
      <c r="O552" s="72">
        <v>0</v>
      </c>
      <c r="P552" s="72">
        <v>200000</v>
      </c>
      <c r="Q552" s="72">
        <v>35000</v>
      </c>
      <c r="R552" s="72">
        <v>235000</v>
      </c>
      <c r="S552" s="72">
        <v>33481019</v>
      </c>
      <c r="T552" s="72">
        <v>18805033</v>
      </c>
      <c r="U552" s="72">
        <v>6989228</v>
      </c>
      <c r="V552" s="72">
        <v>4314216</v>
      </c>
      <c r="W552" s="72">
        <v>1468082</v>
      </c>
      <c r="X552" s="72">
        <v>305592</v>
      </c>
      <c r="Y552" s="72">
        <v>0</v>
      </c>
      <c r="Z552" s="72">
        <v>0</v>
      </c>
      <c r="AA552" s="72">
        <v>0</v>
      </c>
      <c r="AB552" s="72">
        <v>0</v>
      </c>
      <c r="AC552" s="72">
        <v>0</v>
      </c>
      <c r="AD552" s="72">
        <v>0</v>
      </c>
      <c r="AE552" s="72">
        <v>0</v>
      </c>
      <c r="AF552" s="72">
        <v>0</v>
      </c>
      <c r="AG552" s="72">
        <v>929241</v>
      </c>
      <c r="AH552" s="72">
        <v>32811392</v>
      </c>
      <c r="AI552" s="72">
        <v>100000</v>
      </c>
      <c r="AJ552" s="72">
        <v>265000</v>
      </c>
      <c r="AK552" s="72">
        <v>0</v>
      </c>
      <c r="AL552" s="72">
        <v>365000</v>
      </c>
      <c r="AM552" s="72">
        <v>33176392</v>
      </c>
      <c r="AN552" s="72">
        <v>304627</v>
      </c>
      <c r="AO552" s="72">
        <v>16482595</v>
      </c>
      <c r="AP552" s="72">
        <v>16787222</v>
      </c>
      <c r="AQ552" s="72">
        <v>950000</v>
      </c>
      <c r="AR552" s="72">
        <v>0</v>
      </c>
      <c r="AS552" s="72">
        <v>0</v>
      </c>
      <c r="AT552" s="72">
        <v>0</v>
      </c>
      <c r="AU552" s="72">
        <v>0</v>
      </c>
      <c r="AV552" s="72">
        <v>0</v>
      </c>
      <c r="AW552" s="72">
        <v>0</v>
      </c>
      <c r="AX552" s="72">
        <v>0</v>
      </c>
      <c r="AY552" s="72">
        <v>0</v>
      </c>
      <c r="AZ552" s="72">
        <v>0</v>
      </c>
      <c r="BA552" s="72">
        <v>15837222</v>
      </c>
      <c r="BB552" s="72">
        <v>0</v>
      </c>
      <c r="BC552" s="72">
        <v>0</v>
      </c>
      <c r="BD552" s="72">
        <v>0</v>
      </c>
      <c r="BE552" s="72">
        <v>15837222</v>
      </c>
      <c r="BF552" s="72">
        <v>0</v>
      </c>
      <c r="BG552" s="72">
        <v>0</v>
      </c>
      <c r="BH552" s="72">
        <v>0</v>
      </c>
      <c r="BI552" s="72">
        <v>0</v>
      </c>
      <c r="BJ552" s="72">
        <v>15837222</v>
      </c>
      <c r="BK552" s="72">
        <v>170</v>
      </c>
      <c r="BL552" s="72">
        <v>2618</v>
      </c>
      <c r="BM552" s="72">
        <v>0</v>
      </c>
      <c r="BN552" s="72">
        <v>0</v>
      </c>
      <c r="BO552" s="72">
        <v>0</v>
      </c>
      <c r="BP552" s="72">
        <v>0</v>
      </c>
      <c r="BQ552" s="72">
        <v>0</v>
      </c>
      <c r="BR552" s="72">
        <v>0</v>
      </c>
      <c r="BS552" s="72">
        <v>33481019</v>
      </c>
    </row>
    <row r="553" spans="1:71" x14ac:dyDescent="0.2">
      <c r="A553" t="s">
        <v>653</v>
      </c>
      <c r="B553" t="s">
        <v>1344</v>
      </c>
      <c r="C553" t="s">
        <v>46</v>
      </c>
      <c r="D553" s="72">
        <v>10602000</v>
      </c>
      <c r="E553" s="72">
        <v>0</v>
      </c>
      <c r="F553" s="72">
        <v>0</v>
      </c>
      <c r="G553" s="72">
        <v>8839300</v>
      </c>
      <c r="H553" s="72">
        <v>63342</v>
      </c>
      <c r="I553" s="72">
        <v>0</v>
      </c>
      <c r="J553" s="72">
        <v>2842342</v>
      </c>
      <c r="K553" s="72">
        <v>3687224</v>
      </c>
      <c r="L553" s="72">
        <v>26034208</v>
      </c>
      <c r="M553" s="72">
        <v>0</v>
      </c>
      <c r="N553" s="72">
        <v>0</v>
      </c>
      <c r="O553" s="72">
        <v>0</v>
      </c>
      <c r="P553" s="72">
        <v>0</v>
      </c>
      <c r="Q553" s="72">
        <v>0</v>
      </c>
      <c r="R553" s="72">
        <v>0</v>
      </c>
      <c r="S553" s="72">
        <v>26034208</v>
      </c>
      <c r="T553" s="72">
        <v>13364630</v>
      </c>
      <c r="U553" s="72">
        <v>5595057</v>
      </c>
      <c r="V553" s="72">
        <v>5452416</v>
      </c>
      <c r="W553" s="72">
        <v>468009</v>
      </c>
      <c r="X553" s="72">
        <v>53363</v>
      </c>
      <c r="Y553" s="72">
        <v>0</v>
      </c>
      <c r="Z553" s="72">
        <v>0</v>
      </c>
      <c r="AA553" s="72">
        <v>0</v>
      </c>
      <c r="AB553" s="72">
        <v>0</v>
      </c>
      <c r="AC553" s="72">
        <v>0</v>
      </c>
      <c r="AD553" s="72">
        <v>88874</v>
      </c>
      <c r="AE553" s="72">
        <v>0</v>
      </c>
      <c r="AF553" s="72">
        <v>8189</v>
      </c>
      <c r="AG553" s="72">
        <v>750000</v>
      </c>
      <c r="AH553" s="72">
        <v>25780538</v>
      </c>
      <c r="AI553" s="72">
        <v>2276244</v>
      </c>
      <c r="AJ553" s="72">
        <v>4158</v>
      </c>
      <c r="AK553" s="72">
        <v>0</v>
      </c>
      <c r="AL553" s="72">
        <v>2280402</v>
      </c>
      <c r="AM553" s="72">
        <v>28060940</v>
      </c>
      <c r="AN553" s="72">
        <v>-2026732</v>
      </c>
      <c r="AO553" s="72">
        <v>7729126</v>
      </c>
      <c r="AP553" s="72">
        <v>5702394</v>
      </c>
      <c r="AQ553" s="72">
        <v>75000</v>
      </c>
      <c r="AR553" s="72">
        <v>0</v>
      </c>
      <c r="AS553" s="72">
        <v>0</v>
      </c>
      <c r="AT553" s="72">
        <v>0</v>
      </c>
      <c r="AU553" s="72">
        <v>0</v>
      </c>
      <c r="AV553" s="72">
        <v>0</v>
      </c>
      <c r="AW553" s="72">
        <v>0</v>
      </c>
      <c r="AX553" s="72">
        <v>0</v>
      </c>
      <c r="AY553" s="72">
        <v>0</v>
      </c>
      <c r="AZ553" s="72">
        <v>0</v>
      </c>
      <c r="BA553" s="72">
        <v>5627394</v>
      </c>
      <c r="BB553" s="72">
        <v>0</v>
      </c>
      <c r="BC553" s="72">
        <v>0</v>
      </c>
      <c r="BD553" s="72">
        <v>0</v>
      </c>
      <c r="BE553" s="72">
        <v>5627394</v>
      </c>
      <c r="BF553" s="72">
        <v>0</v>
      </c>
      <c r="BG553" s="72">
        <v>0</v>
      </c>
      <c r="BH553" s="72">
        <v>0</v>
      </c>
      <c r="BI553" s="72">
        <v>0</v>
      </c>
      <c r="BJ553" s="72">
        <v>5627394</v>
      </c>
      <c r="BK553" s="72">
        <v>182</v>
      </c>
      <c r="BL553" s="72">
        <v>2321</v>
      </c>
      <c r="BM553" s="72">
        <v>0</v>
      </c>
      <c r="BN553" s="72">
        <v>0</v>
      </c>
      <c r="BO553" s="72">
        <v>0</v>
      </c>
      <c r="BP553" s="72">
        <v>0</v>
      </c>
      <c r="BQ553" s="72">
        <v>0</v>
      </c>
      <c r="BR553" s="72">
        <v>0</v>
      </c>
      <c r="BS553" s="72">
        <v>28060940</v>
      </c>
    </row>
    <row r="554" spans="1:71" x14ac:dyDescent="0.2">
      <c r="A554" t="s">
        <v>697</v>
      </c>
      <c r="B554" t="s">
        <v>1387</v>
      </c>
      <c r="C554" t="s">
        <v>46</v>
      </c>
      <c r="D554" s="72">
        <v>23042487</v>
      </c>
      <c r="E554" s="72">
        <v>0</v>
      </c>
      <c r="F554" s="72">
        <v>0</v>
      </c>
      <c r="G554" s="72">
        <v>4200000</v>
      </c>
      <c r="H554" s="72">
        <v>0</v>
      </c>
      <c r="I554" s="72">
        <v>0</v>
      </c>
      <c r="J554" s="72">
        <v>8925023</v>
      </c>
      <c r="K554" s="72">
        <v>1283959</v>
      </c>
      <c r="L554" s="72">
        <v>37451469</v>
      </c>
      <c r="M554" s="72">
        <v>0</v>
      </c>
      <c r="N554" s="72">
        <v>0</v>
      </c>
      <c r="O554" s="72">
        <v>0</v>
      </c>
      <c r="P554" s="72">
        <v>21000</v>
      </c>
      <c r="Q554" s="72">
        <v>0</v>
      </c>
      <c r="R554" s="72">
        <v>21000</v>
      </c>
      <c r="S554" s="72">
        <v>37472469</v>
      </c>
      <c r="T554" s="72">
        <v>25523000</v>
      </c>
      <c r="U554" s="72">
        <v>10017830</v>
      </c>
      <c r="V554" s="72">
        <v>4537557</v>
      </c>
      <c r="W554" s="72">
        <v>1408648</v>
      </c>
      <c r="X554" s="72">
        <v>4198</v>
      </c>
      <c r="Y554" s="72">
        <v>0</v>
      </c>
      <c r="Z554" s="72">
        <v>0</v>
      </c>
      <c r="AA554" s="72">
        <v>0</v>
      </c>
      <c r="AB554" s="72">
        <v>0</v>
      </c>
      <c r="AC554" s="72">
        <v>0</v>
      </c>
      <c r="AD554" s="72">
        <v>170000</v>
      </c>
      <c r="AE554" s="72">
        <v>0</v>
      </c>
      <c r="AF554" s="72">
        <v>116638</v>
      </c>
      <c r="AG554" s="72">
        <v>963970</v>
      </c>
      <c r="AH554" s="72">
        <v>42741841</v>
      </c>
      <c r="AI554" s="72">
        <v>0</v>
      </c>
      <c r="AJ554" s="72">
        <v>40000</v>
      </c>
      <c r="AK554" s="72">
        <v>0</v>
      </c>
      <c r="AL554" s="72">
        <v>40000</v>
      </c>
      <c r="AM554" s="72">
        <v>42781841</v>
      </c>
      <c r="AN554" s="72">
        <v>-5309372</v>
      </c>
      <c r="AO554" s="72">
        <v>26165437</v>
      </c>
      <c r="AP554" s="72">
        <v>20856065</v>
      </c>
      <c r="AQ554" s="72">
        <v>0</v>
      </c>
      <c r="AR554" s="72">
        <v>0</v>
      </c>
      <c r="AS554" s="72">
        <v>0</v>
      </c>
      <c r="AT554" s="72">
        <v>0</v>
      </c>
      <c r="AU554" s="72">
        <v>0</v>
      </c>
      <c r="AV554" s="72">
        <v>0</v>
      </c>
      <c r="AW554" s="72">
        <v>0</v>
      </c>
      <c r="AX554" s="72">
        <v>0</v>
      </c>
      <c r="AY554" s="72">
        <v>0</v>
      </c>
      <c r="AZ554" s="72">
        <v>0</v>
      </c>
      <c r="BA554" s="72">
        <v>20856065</v>
      </c>
      <c r="BB554" s="72">
        <v>0</v>
      </c>
      <c r="BC554" s="72">
        <v>2277265</v>
      </c>
      <c r="BD554" s="72">
        <v>2277265</v>
      </c>
      <c r="BE554" s="72">
        <v>23133330</v>
      </c>
      <c r="BF554" s="72">
        <v>0</v>
      </c>
      <c r="BG554" s="72">
        <v>0</v>
      </c>
      <c r="BH554" s="72">
        <v>0</v>
      </c>
      <c r="BI554" s="72">
        <v>0</v>
      </c>
      <c r="BJ554" s="72">
        <v>23133330</v>
      </c>
      <c r="BK554" s="72">
        <v>315</v>
      </c>
      <c r="BL554" s="72">
        <v>4145</v>
      </c>
      <c r="BM554" s="72">
        <v>0</v>
      </c>
      <c r="BN554" s="72">
        <v>0</v>
      </c>
      <c r="BO554" s="72">
        <v>0</v>
      </c>
      <c r="BP554" s="72">
        <v>0</v>
      </c>
      <c r="BQ554" s="72">
        <v>0</v>
      </c>
      <c r="BR554" s="72">
        <v>0</v>
      </c>
      <c r="BS554" s="72">
        <v>42781841</v>
      </c>
    </row>
    <row r="555" spans="1:71" x14ac:dyDescent="0.2">
      <c r="A555" t="s">
        <v>171</v>
      </c>
      <c r="B555" t="s">
        <v>892</v>
      </c>
      <c r="C555" t="s">
        <v>32</v>
      </c>
      <c r="D555" s="72">
        <v>1066500</v>
      </c>
      <c r="E555" s="72">
        <v>80200</v>
      </c>
      <c r="F555" s="72">
        <v>0</v>
      </c>
      <c r="G555" s="72">
        <v>1426000</v>
      </c>
      <c r="H555" s="72">
        <v>2780</v>
      </c>
      <c r="I555" s="72">
        <v>0</v>
      </c>
      <c r="J555" s="72">
        <v>157500</v>
      </c>
      <c r="K555" s="72">
        <v>202035</v>
      </c>
      <c r="L555" s="72">
        <v>2935015</v>
      </c>
      <c r="M555" s="72">
        <v>0</v>
      </c>
      <c r="N555" s="72">
        <v>0</v>
      </c>
      <c r="O555" s="72">
        <v>0</v>
      </c>
      <c r="P555" s="72">
        <v>0</v>
      </c>
      <c r="Q555" s="72">
        <v>38185</v>
      </c>
      <c r="R555" s="72">
        <v>38185</v>
      </c>
      <c r="S555" s="72">
        <v>2973200</v>
      </c>
      <c r="T555" s="72">
        <v>1381964</v>
      </c>
      <c r="U555" s="72">
        <v>600913</v>
      </c>
      <c r="V555" s="72">
        <v>783745</v>
      </c>
      <c r="W555" s="72">
        <v>140000</v>
      </c>
      <c r="X555" s="72">
        <v>0</v>
      </c>
      <c r="Y555" s="72">
        <v>0</v>
      </c>
      <c r="Z555" s="72">
        <v>0</v>
      </c>
      <c r="AA555" s="72">
        <v>0</v>
      </c>
      <c r="AB555" s="72">
        <v>0</v>
      </c>
      <c r="AC555" s="72">
        <v>0</v>
      </c>
      <c r="AD555" s="72">
        <v>0</v>
      </c>
      <c r="AE555" s="72">
        <v>0</v>
      </c>
      <c r="AF555" s="72">
        <v>0</v>
      </c>
      <c r="AG555" s="72">
        <v>66146</v>
      </c>
      <c r="AH555" s="72">
        <v>2972768</v>
      </c>
      <c r="AI555" s="72">
        <v>0</v>
      </c>
      <c r="AJ555" s="72">
        <v>0</v>
      </c>
      <c r="AK555" s="72">
        <v>0</v>
      </c>
      <c r="AL555" s="72">
        <v>0</v>
      </c>
      <c r="AM555" s="72">
        <v>2972768</v>
      </c>
      <c r="AN555" s="72">
        <v>432</v>
      </c>
      <c r="AO555" s="72">
        <v>583981</v>
      </c>
      <c r="AP555" s="72">
        <v>584413</v>
      </c>
      <c r="AQ555" s="72">
        <v>0</v>
      </c>
      <c r="AR555" s="72">
        <v>0</v>
      </c>
      <c r="AS555" s="72">
        <v>0</v>
      </c>
      <c r="AT555" s="72">
        <v>0</v>
      </c>
      <c r="AU555" s="72">
        <v>0</v>
      </c>
      <c r="AV555" s="72">
        <v>0</v>
      </c>
      <c r="AW555" s="72">
        <v>0</v>
      </c>
      <c r="AX555" s="72">
        <v>0</v>
      </c>
      <c r="AY555" s="72">
        <v>0</v>
      </c>
      <c r="AZ555" s="72">
        <v>0</v>
      </c>
      <c r="BA555" s="72">
        <v>584413</v>
      </c>
      <c r="BB555" s="72">
        <v>0</v>
      </c>
      <c r="BC555" s="72">
        <v>0</v>
      </c>
      <c r="BD555" s="72">
        <v>0</v>
      </c>
      <c r="BE555" s="72">
        <v>584413</v>
      </c>
      <c r="BF555" s="72">
        <v>0</v>
      </c>
      <c r="BG555" s="72">
        <v>0</v>
      </c>
      <c r="BH555" s="72">
        <v>0</v>
      </c>
      <c r="BI555" s="72">
        <v>0</v>
      </c>
      <c r="BJ555" s="72">
        <v>584413</v>
      </c>
      <c r="BK555" s="72">
        <v>50</v>
      </c>
      <c r="BL555" s="72">
        <v>282</v>
      </c>
      <c r="BM555" s="72">
        <v>0</v>
      </c>
      <c r="BN555" s="72">
        <v>0</v>
      </c>
      <c r="BO555" s="72">
        <v>0</v>
      </c>
      <c r="BP555" s="72">
        <v>0</v>
      </c>
      <c r="BQ555" s="72">
        <v>0</v>
      </c>
      <c r="BR555" s="72">
        <v>0</v>
      </c>
      <c r="BS555" s="72">
        <v>2973200</v>
      </c>
    </row>
    <row r="556" spans="1:71" x14ac:dyDescent="0.2">
      <c r="A556" t="s">
        <v>181</v>
      </c>
      <c r="B556" t="s">
        <v>902</v>
      </c>
      <c r="C556" t="s">
        <v>32</v>
      </c>
      <c r="D556" s="72">
        <v>2114069</v>
      </c>
      <c r="E556" s="72">
        <v>114372</v>
      </c>
      <c r="F556" s="72">
        <v>0</v>
      </c>
      <c r="G556" s="72">
        <v>3570977</v>
      </c>
      <c r="H556" s="72">
        <v>13592</v>
      </c>
      <c r="I556" s="72">
        <v>0</v>
      </c>
      <c r="J556" s="72">
        <v>382147</v>
      </c>
      <c r="K556" s="72">
        <v>328334</v>
      </c>
      <c r="L556" s="72">
        <v>6523491</v>
      </c>
      <c r="M556" s="72">
        <v>0</v>
      </c>
      <c r="N556" s="72">
        <v>0</v>
      </c>
      <c r="O556" s="72">
        <v>0</v>
      </c>
      <c r="P556" s="72">
        <v>0</v>
      </c>
      <c r="Q556" s="72">
        <v>22854</v>
      </c>
      <c r="R556" s="72">
        <v>22854</v>
      </c>
      <c r="S556" s="72">
        <v>6546345</v>
      </c>
      <c r="T556" s="72">
        <v>3198930</v>
      </c>
      <c r="U556" s="72">
        <v>1471420</v>
      </c>
      <c r="V556" s="72">
        <v>1790544</v>
      </c>
      <c r="W556" s="72">
        <v>235882</v>
      </c>
      <c r="X556" s="72">
        <v>34931</v>
      </c>
      <c r="Y556" s="72">
        <v>0</v>
      </c>
      <c r="Z556" s="72">
        <v>0</v>
      </c>
      <c r="AA556" s="72">
        <v>0</v>
      </c>
      <c r="AB556" s="72">
        <v>0</v>
      </c>
      <c r="AC556" s="72">
        <v>0</v>
      </c>
      <c r="AD556" s="72">
        <v>15000</v>
      </c>
      <c r="AE556" s="72">
        <v>0</v>
      </c>
      <c r="AF556" s="72">
        <v>5860</v>
      </c>
      <c r="AG556" s="72">
        <v>88169</v>
      </c>
      <c r="AH556" s="72">
        <v>6840736</v>
      </c>
      <c r="AI556" s="72">
        <v>9565</v>
      </c>
      <c r="AJ556" s="72">
        <v>0</v>
      </c>
      <c r="AK556" s="72">
        <v>0</v>
      </c>
      <c r="AL556" s="72">
        <v>9565</v>
      </c>
      <c r="AM556" s="72">
        <v>6850301</v>
      </c>
      <c r="AN556" s="72">
        <v>-303956</v>
      </c>
      <c r="AO556" s="72">
        <v>1849127</v>
      </c>
      <c r="AP556" s="72">
        <v>1545171</v>
      </c>
      <c r="AQ556" s="72">
        <v>65000</v>
      </c>
      <c r="AR556" s="72">
        <v>0</v>
      </c>
      <c r="AS556" s="72">
        <v>0</v>
      </c>
      <c r="AT556" s="72">
        <v>0</v>
      </c>
      <c r="AU556" s="72">
        <v>0</v>
      </c>
      <c r="AV556" s="72">
        <v>0</v>
      </c>
      <c r="AW556" s="72">
        <v>0</v>
      </c>
      <c r="AX556" s="72">
        <v>0</v>
      </c>
      <c r="AY556" s="72">
        <v>0</v>
      </c>
      <c r="AZ556" s="72">
        <v>0</v>
      </c>
      <c r="BA556" s="72">
        <v>1480171</v>
      </c>
      <c r="BB556" s="72">
        <v>0</v>
      </c>
      <c r="BC556" s="72">
        <v>0</v>
      </c>
      <c r="BD556" s="72">
        <v>0</v>
      </c>
      <c r="BE556" s="72">
        <v>1480171</v>
      </c>
      <c r="BF556" s="72">
        <v>0</v>
      </c>
      <c r="BG556" s="72">
        <v>0</v>
      </c>
      <c r="BH556" s="72">
        <v>0</v>
      </c>
      <c r="BI556" s="72">
        <v>0</v>
      </c>
      <c r="BJ556" s="72">
        <v>1480171</v>
      </c>
      <c r="BK556" s="72">
        <v>0</v>
      </c>
      <c r="BL556" s="72">
        <v>0</v>
      </c>
      <c r="BM556" s="72">
        <v>0</v>
      </c>
      <c r="BN556" s="72">
        <v>0</v>
      </c>
      <c r="BO556" s="72">
        <v>0</v>
      </c>
      <c r="BP556" s="72">
        <v>0</v>
      </c>
      <c r="BQ556" s="72">
        <v>0</v>
      </c>
      <c r="BR556" s="72">
        <v>0</v>
      </c>
      <c r="BS556" s="72">
        <v>6850301</v>
      </c>
    </row>
    <row r="557" spans="1:71" x14ac:dyDescent="0.2">
      <c r="A557" t="s">
        <v>182</v>
      </c>
      <c r="B557" t="s">
        <v>1223</v>
      </c>
      <c r="C557" t="s">
        <v>32</v>
      </c>
      <c r="D557" s="72">
        <v>2928412</v>
      </c>
      <c r="E557" s="72">
        <v>0</v>
      </c>
      <c r="F557" s="72">
        <v>0</v>
      </c>
      <c r="G557" s="72">
        <v>5536908</v>
      </c>
      <c r="H557" s="72">
        <v>32471</v>
      </c>
      <c r="I557" s="72">
        <v>0</v>
      </c>
      <c r="J557" s="72">
        <v>582240</v>
      </c>
      <c r="K557" s="72">
        <v>453810</v>
      </c>
      <c r="L557" s="72">
        <v>9533841</v>
      </c>
      <c r="M557" s="72">
        <v>0</v>
      </c>
      <c r="N557" s="72">
        <v>0</v>
      </c>
      <c r="O557" s="72">
        <v>0</v>
      </c>
      <c r="P557" s="72">
        <v>0</v>
      </c>
      <c r="Q557" s="72">
        <v>0</v>
      </c>
      <c r="R557" s="72">
        <v>0</v>
      </c>
      <c r="S557" s="72">
        <v>9533841</v>
      </c>
      <c r="T557" s="72">
        <v>4643997</v>
      </c>
      <c r="U557" s="72">
        <v>1699121</v>
      </c>
      <c r="V557" s="72">
        <v>2034231</v>
      </c>
      <c r="W557" s="72">
        <v>356100</v>
      </c>
      <c r="X557" s="72">
        <v>13000</v>
      </c>
      <c r="Y557" s="72">
        <v>0</v>
      </c>
      <c r="Z557" s="72">
        <v>0</v>
      </c>
      <c r="AA557" s="72">
        <v>0</v>
      </c>
      <c r="AB557" s="72">
        <v>0</v>
      </c>
      <c r="AC557" s="72">
        <v>509000</v>
      </c>
      <c r="AD557" s="72">
        <v>0</v>
      </c>
      <c r="AE557" s="72">
        <v>0</v>
      </c>
      <c r="AF557" s="72">
        <v>0</v>
      </c>
      <c r="AG557" s="72">
        <v>118726</v>
      </c>
      <c r="AH557" s="72">
        <v>9374175</v>
      </c>
      <c r="AI557" s="72">
        <v>0</v>
      </c>
      <c r="AJ557" s="72">
        <v>0</v>
      </c>
      <c r="AK557" s="72">
        <v>0</v>
      </c>
      <c r="AL557" s="72">
        <v>0</v>
      </c>
      <c r="AM557" s="72">
        <v>9374175</v>
      </c>
      <c r="AN557" s="72">
        <v>159666</v>
      </c>
      <c r="AO557" s="72">
        <v>2941</v>
      </c>
      <c r="AP557" s="72">
        <v>162607</v>
      </c>
      <c r="AQ557" s="72">
        <v>0</v>
      </c>
      <c r="AR557" s="72">
        <v>0</v>
      </c>
      <c r="AS557" s="72">
        <v>0</v>
      </c>
      <c r="AT557" s="72">
        <v>0</v>
      </c>
      <c r="AU557" s="72">
        <v>0</v>
      </c>
      <c r="AV557" s="72">
        <v>0</v>
      </c>
      <c r="AW557" s="72">
        <v>0</v>
      </c>
      <c r="AX557" s="72">
        <v>0</v>
      </c>
      <c r="AY557" s="72">
        <v>0</v>
      </c>
      <c r="AZ557" s="72">
        <v>0</v>
      </c>
      <c r="BA557" s="72">
        <v>162607</v>
      </c>
      <c r="BB557" s="72">
        <v>0</v>
      </c>
      <c r="BC557" s="72">
        <v>0</v>
      </c>
      <c r="BD557" s="72">
        <v>0</v>
      </c>
      <c r="BE557" s="72">
        <v>162607</v>
      </c>
      <c r="BF557" s="72">
        <v>0</v>
      </c>
      <c r="BG557" s="72">
        <v>0</v>
      </c>
      <c r="BH557" s="72">
        <v>0</v>
      </c>
      <c r="BI557" s="72">
        <v>0</v>
      </c>
      <c r="BJ557" s="72">
        <v>162607</v>
      </c>
      <c r="BK557" s="72">
        <v>0</v>
      </c>
      <c r="BL557" s="72">
        <v>0</v>
      </c>
      <c r="BM557" s="72">
        <v>0</v>
      </c>
      <c r="BN557" s="72">
        <v>0</v>
      </c>
      <c r="BO557" s="72">
        <v>0</v>
      </c>
      <c r="BP557" s="72">
        <v>0</v>
      </c>
      <c r="BQ557" s="72">
        <v>0</v>
      </c>
      <c r="BR557" s="72">
        <v>0</v>
      </c>
      <c r="BS557" s="72">
        <v>9533841</v>
      </c>
    </row>
    <row r="558" spans="1:71" x14ac:dyDescent="0.2">
      <c r="A558" t="s">
        <v>215</v>
      </c>
      <c r="B558" t="s">
        <v>933</v>
      </c>
      <c r="C558" t="s">
        <v>32</v>
      </c>
      <c r="D558" s="72">
        <v>4984490</v>
      </c>
      <c r="E558" s="72">
        <v>0</v>
      </c>
      <c r="F558" s="72">
        <v>0</v>
      </c>
      <c r="G558" s="72">
        <v>6617186</v>
      </c>
      <c r="H558" s="72">
        <v>25940</v>
      </c>
      <c r="I558" s="72">
        <v>0</v>
      </c>
      <c r="J558" s="72">
        <v>1133109</v>
      </c>
      <c r="K558" s="72">
        <v>642850</v>
      </c>
      <c r="L558" s="72">
        <v>13403575</v>
      </c>
      <c r="M558" s="72">
        <v>0</v>
      </c>
      <c r="N558" s="72">
        <v>0</v>
      </c>
      <c r="O558" s="72">
        <v>0</v>
      </c>
      <c r="P558" s="72">
        <v>0</v>
      </c>
      <c r="Q558" s="72">
        <v>49075</v>
      </c>
      <c r="R558" s="72">
        <v>49075</v>
      </c>
      <c r="S558" s="72">
        <v>13452650</v>
      </c>
      <c r="T558" s="72">
        <v>6890291</v>
      </c>
      <c r="U558" s="72">
        <v>3125558</v>
      </c>
      <c r="V558" s="72">
        <v>1435499</v>
      </c>
      <c r="W558" s="72">
        <v>693052</v>
      </c>
      <c r="X558" s="72">
        <v>86635</v>
      </c>
      <c r="Y558" s="72">
        <v>0</v>
      </c>
      <c r="Z558" s="72">
        <v>0</v>
      </c>
      <c r="AA558" s="72">
        <v>0</v>
      </c>
      <c r="AB558" s="72">
        <v>0</v>
      </c>
      <c r="AC558" s="72">
        <v>0</v>
      </c>
      <c r="AD558" s="72">
        <v>0</v>
      </c>
      <c r="AE558" s="72">
        <v>0</v>
      </c>
      <c r="AF558" s="72">
        <v>0</v>
      </c>
      <c r="AG558" s="72">
        <v>792887</v>
      </c>
      <c r="AH558" s="72">
        <v>13023922</v>
      </c>
      <c r="AI558" s="72">
        <v>77788</v>
      </c>
      <c r="AJ558" s="72">
        <v>0</v>
      </c>
      <c r="AK558" s="72">
        <v>4100</v>
      </c>
      <c r="AL558" s="72">
        <v>81888</v>
      </c>
      <c r="AM558" s="72">
        <v>13105810</v>
      </c>
      <c r="AN558" s="72">
        <v>346840</v>
      </c>
      <c r="AO558" s="72">
        <v>876222</v>
      </c>
      <c r="AP558" s="72">
        <v>1223062</v>
      </c>
      <c r="AQ558" s="72">
        <v>0</v>
      </c>
      <c r="AR558" s="72">
        <v>0</v>
      </c>
      <c r="AS558" s="72">
        <v>0</v>
      </c>
      <c r="AT558" s="72">
        <v>0</v>
      </c>
      <c r="AU558" s="72">
        <v>0</v>
      </c>
      <c r="AV558" s="72">
        <v>0</v>
      </c>
      <c r="AW558" s="72">
        <v>0</v>
      </c>
      <c r="AX558" s="72">
        <v>0</v>
      </c>
      <c r="AY558" s="72">
        <v>0</v>
      </c>
      <c r="AZ558" s="72">
        <v>0</v>
      </c>
      <c r="BA558" s="72">
        <v>1223062</v>
      </c>
      <c r="BB558" s="72">
        <v>0</v>
      </c>
      <c r="BC558" s="72">
        <v>0</v>
      </c>
      <c r="BD558" s="72">
        <v>0</v>
      </c>
      <c r="BE558" s="72">
        <v>1223062</v>
      </c>
      <c r="BF558" s="72">
        <v>0</v>
      </c>
      <c r="BG558" s="72">
        <v>0</v>
      </c>
      <c r="BH558" s="72">
        <v>0</v>
      </c>
      <c r="BI558" s="72">
        <v>0</v>
      </c>
      <c r="BJ558" s="72">
        <v>1223062</v>
      </c>
      <c r="BK558" s="72">
        <v>0</v>
      </c>
      <c r="BL558" s="72">
        <v>0</v>
      </c>
      <c r="BM558" s="72">
        <v>0</v>
      </c>
      <c r="BN558" s="72">
        <v>0</v>
      </c>
      <c r="BO558" s="72">
        <v>0</v>
      </c>
      <c r="BP558" s="72">
        <v>0</v>
      </c>
      <c r="BQ558" s="72">
        <v>0</v>
      </c>
      <c r="BR558" s="72">
        <v>0</v>
      </c>
      <c r="BS558" s="72">
        <v>13452650</v>
      </c>
    </row>
    <row r="559" spans="1:71" x14ac:dyDescent="0.2">
      <c r="A559" t="s">
        <v>465</v>
      </c>
      <c r="B559" t="s">
        <v>1170</v>
      </c>
      <c r="C559" t="s">
        <v>32</v>
      </c>
      <c r="D559" s="72">
        <v>4436312</v>
      </c>
      <c r="E559" s="72">
        <v>265000</v>
      </c>
      <c r="F559" s="72">
        <v>0</v>
      </c>
      <c r="G559" s="72">
        <v>2432371</v>
      </c>
      <c r="H559" s="72">
        <v>15000</v>
      </c>
      <c r="I559" s="72">
        <v>0</v>
      </c>
      <c r="J559" s="72">
        <v>844956</v>
      </c>
      <c r="K559" s="72">
        <v>436889</v>
      </c>
      <c r="L559" s="72">
        <v>8430528</v>
      </c>
      <c r="M559" s="72">
        <v>0</v>
      </c>
      <c r="N559" s="72">
        <v>0</v>
      </c>
      <c r="O559" s="72">
        <v>0</v>
      </c>
      <c r="P559" s="72">
        <v>700</v>
      </c>
      <c r="Q559" s="72">
        <v>93073</v>
      </c>
      <c r="R559" s="72">
        <v>93773</v>
      </c>
      <c r="S559" s="72">
        <v>8524301</v>
      </c>
      <c r="T559" s="72">
        <v>4051709</v>
      </c>
      <c r="U559" s="72">
        <v>1853201</v>
      </c>
      <c r="V559" s="72">
        <v>1564414</v>
      </c>
      <c r="W559" s="72">
        <v>315018</v>
      </c>
      <c r="X559" s="72">
        <v>169471</v>
      </c>
      <c r="Y559" s="72">
        <v>0</v>
      </c>
      <c r="Z559" s="72">
        <v>0</v>
      </c>
      <c r="AA559" s="72">
        <v>0</v>
      </c>
      <c r="AB559" s="72">
        <v>0</v>
      </c>
      <c r="AC559" s="72">
        <v>0</v>
      </c>
      <c r="AD559" s="72">
        <v>0</v>
      </c>
      <c r="AE559" s="72">
        <v>0</v>
      </c>
      <c r="AF559" s="72">
        <v>0</v>
      </c>
      <c r="AG559" s="72">
        <v>145300</v>
      </c>
      <c r="AH559" s="72">
        <v>8099114</v>
      </c>
      <c r="AI559" s="72">
        <v>448766</v>
      </c>
      <c r="AJ559" s="72">
        <v>0</v>
      </c>
      <c r="AK559" s="72">
        <v>0</v>
      </c>
      <c r="AL559" s="72">
        <v>448766</v>
      </c>
      <c r="AM559" s="72">
        <v>8547880</v>
      </c>
      <c r="AN559" s="72">
        <v>-23579</v>
      </c>
      <c r="AO559" s="72">
        <v>747622</v>
      </c>
      <c r="AP559" s="72">
        <v>724043</v>
      </c>
      <c r="AQ559" s="72">
        <v>60000</v>
      </c>
      <c r="AR559" s="72">
        <v>0</v>
      </c>
      <c r="AS559" s="72">
        <v>0</v>
      </c>
      <c r="AT559" s="72">
        <v>0</v>
      </c>
      <c r="AU559" s="72">
        <v>0</v>
      </c>
      <c r="AV559" s="72">
        <v>0</v>
      </c>
      <c r="AW559" s="72">
        <v>0</v>
      </c>
      <c r="AX559" s="72">
        <v>0</v>
      </c>
      <c r="AY559" s="72">
        <v>0</v>
      </c>
      <c r="AZ559" s="72">
        <v>0</v>
      </c>
      <c r="BA559" s="72">
        <v>664043</v>
      </c>
      <c r="BB559" s="72">
        <v>0</v>
      </c>
      <c r="BC559" s="72">
        <v>0</v>
      </c>
      <c r="BD559" s="72">
        <v>0</v>
      </c>
      <c r="BE559" s="72">
        <v>664043</v>
      </c>
      <c r="BF559" s="72">
        <v>0</v>
      </c>
      <c r="BG559" s="72">
        <v>0</v>
      </c>
      <c r="BH559" s="72">
        <v>0</v>
      </c>
      <c r="BI559" s="72">
        <v>0</v>
      </c>
      <c r="BJ559" s="72">
        <v>664043</v>
      </c>
      <c r="BK559" s="72">
        <v>0</v>
      </c>
      <c r="BL559" s="72">
        <v>0</v>
      </c>
      <c r="BM559" s="72">
        <v>0</v>
      </c>
      <c r="BN559" s="72">
        <v>0</v>
      </c>
      <c r="BO559" s="72">
        <v>0</v>
      </c>
      <c r="BP559" s="72">
        <v>0</v>
      </c>
      <c r="BQ559" s="72">
        <v>0</v>
      </c>
      <c r="BR559" s="72">
        <v>0</v>
      </c>
      <c r="BS559" s="72">
        <v>8547880</v>
      </c>
    </row>
    <row r="560" spans="1:71" x14ac:dyDescent="0.2">
      <c r="A560" t="s">
        <v>368</v>
      </c>
      <c r="B560" t="s">
        <v>1079</v>
      </c>
      <c r="C560" t="s">
        <v>32</v>
      </c>
      <c r="D560" s="72">
        <v>15700000</v>
      </c>
      <c r="E560" s="72">
        <v>330000</v>
      </c>
      <c r="F560" s="72">
        <v>0</v>
      </c>
      <c r="G560" s="72">
        <v>4900000</v>
      </c>
      <c r="H560" s="72">
        <v>100000</v>
      </c>
      <c r="I560" s="72">
        <v>0</v>
      </c>
      <c r="J560" s="72">
        <v>5150000</v>
      </c>
      <c r="K560" s="72">
        <v>1700000</v>
      </c>
      <c r="L560" s="72">
        <v>27880000</v>
      </c>
      <c r="M560" s="72">
        <v>0</v>
      </c>
      <c r="N560" s="72">
        <v>0</v>
      </c>
      <c r="O560" s="72">
        <v>0</v>
      </c>
      <c r="P560" s="72">
        <v>0</v>
      </c>
      <c r="Q560" s="72">
        <v>56727</v>
      </c>
      <c r="R560" s="72">
        <v>56727</v>
      </c>
      <c r="S560" s="72">
        <v>27936727</v>
      </c>
      <c r="T560" s="72">
        <v>16200000</v>
      </c>
      <c r="U560" s="72">
        <v>4950000</v>
      </c>
      <c r="V560" s="72">
        <v>4700000</v>
      </c>
      <c r="W560" s="72">
        <v>900000</v>
      </c>
      <c r="X560" s="72">
        <v>1680</v>
      </c>
      <c r="Y560" s="72">
        <v>0</v>
      </c>
      <c r="Z560" s="72">
        <v>0</v>
      </c>
      <c r="AA560" s="72">
        <v>0</v>
      </c>
      <c r="AB560" s="72">
        <v>0</v>
      </c>
      <c r="AC560" s="72">
        <v>0</v>
      </c>
      <c r="AD560" s="72">
        <v>95800</v>
      </c>
      <c r="AE560" s="72">
        <v>0</v>
      </c>
      <c r="AF560" s="72">
        <v>56727</v>
      </c>
      <c r="AG560" s="72">
        <v>710000</v>
      </c>
      <c r="AH560" s="72">
        <v>27614207</v>
      </c>
      <c r="AI560" s="72">
        <v>0</v>
      </c>
      <c r="AJ560" s="72">
        <v>0</v>
      </c>
      <c r="AK560" s="72">
        <v>0</v>
      </c>
      <c r="AL560" s="72">
        <v>0</v>
      </c>
      <c r="AM560" s="72">
        <v>27614207</v>
      </c>
      <c r="AN560" s="72">
        <v>322520</v>
      </c>
      <c r="AO560" s="72">
        <v>152971</v>
      </c>
      <c r="AP560" s="72">
        <v>475491</v>
      </c>
      <c r="AQ560" s="72">
        <v>0</v>
      </c>
      <c r="AR560" s="72">
        <v>0</v>
      </c>
      <c r="AS560" s="72">
        <v>0</v>
      </c>
      <c r="AT560" s="72">
        <v>0</v>
      </c>
      <c r="AU560" s="72">
        <v>0</v>
      </c>
      <c r="AV560" s="72">
        <v>0</v>
      </c>
      <c r="AW560" s="72">
        <v>0</v>
      </c>
      <c r="AX560" s="72">
        <v>0</v>
      </c>
      <c r="AY560" s="72">
        <v>0</v>
      </c>
      <c r="AZ560" s="72">
        <v>0</v>
      </c>
      <c r="BA560" s="72">
        <v>475491</v>
      </c>
      <c r="BB560" s="72">
        <v>0</v>
      </c>
      <c r="BC560" s="72">
        <v>0</v>
      </c>
      <c r="BD560" s="72">
        <v>0</v>
      </c>
      <c r="BE560" s="72">
        <v>475491</v>
      </c>
      <c r="BF560" s="72">
        <v>0</v>
      </c>
      <c r="BG560" s="72">
        <v>0</v>
      </c>
      <c r="BH560" s="72">
        <v>0</v>
      </c>
      <c r="BI560" s="72">
        <v>0</v>
      </c>
      <c r="BJ560" s="72">
        <v>475491</v>
      </c>
      <c r="BK560" s="72">
        <v>180</v>
      </c>
      <c r="BL560" s="72">
        <v>2800</v>
      </c>
      <c r="BM560" s="72">
        <v>0</v>
      </c>
      <c r="BN560" s="72">
        <v>0</v>
      </c>
      <c r="BO560" s="72">
        <v>0</v>
      </c>
      <c r="BP560" s="72">
        <v>0</v>
      </c>
      <c r="BQ560" s="72">
        <v>0</v>
      </c>
      <c r="BR560" s="72">
        <v>0</v>
      </c>
      <c r="BS560" s="72">
        <v>27936727</v>
      </c>
    </row>
    <row r="561" spans="1:71" x14ac:dyDescent="0.2">
      <c r="A561" t="s">
        <v>392</v>
      </c>
      <c r="B561" t="s">
        <v>1103</v>
      </c>
      <c r="C561" t="s">
        <v>32</v>
      </c>
      <c r="D561" s="72">
        <v>2650961</v>
      </c>
      <c r="E561" s="72">
        <v>146311</v>
      </c>
      <c r="F561" s="72">
        <v>0</v>
      </c>
      <c r="G561" s="72">
        <v>3992919</v>
      </c>
      <c r="H561" s="72">
        <v>12576</v>
      </c>
      <c r="I561" s="72">
        <v>0</v>
      </c>
      <c r="J561" s="72">
        <v>524211</v>
      </c>
      <c r="K561" s="72">
        <v>283603</v>
      </c>
      <c r="L561" s="72">
        <v>7610581</v>
      </c>
      <c r="M561" s="72">
        <v>0</v>
      </c>
      <c r="N561" s="72">
        <v>0</v>
      </c>
      <c r="O561" s="72">
        <v>0</v>
      </c>
      <c r="P561" s="72">
        <v>0</v>
      </c>
      <c r="Q561" s="72">
        <v>50000</v>
      </c>
      <c r="R561" s="72">
        <v>50000</v>
      </c>
      <c r="S561" s="72">
        <v>7660581</v>
      </c>
      <c r="T561" s="72">
        <v>3966909</v>
      </c>
      <c r="U561" s="72">
        <v>1572550</v>
      </c>
      <c r="V561" s="72">
        <v>1485893</v>
      </c>
      <c r="W561" s="72">
        <v>286500</v>
      </c>
      <c r="X561" s="72">
        <v>198595</v>
      </c>
      <c r="Y561" s="72">
        <v>0</v>
      </c>
      <c r="Z561" s="72">
        <v>0</v>
      </c>
      <c r="AA561" s="72">
        <v>0</v>
      </c>
      <c r="AB561" s="72">
        <v>0</v>
      </c>
      <c r="AC561" s="72">
        <v>0</v>
      </c>
      <c r="AD561" s="72">
        <v>0</v>
      </c>
      <c r="AE561" s="72">
        <v>0</v>
      </c>
      <c r="AF561" s="72">
        <v>0</v>
      </c>
      <c r="AG561" s="72">
        <v>141177</v>
      </c>
      <c r="AH561" s="72">
        <v>7651624</v>
      </c>
      <c r="AI561" s="72">
        <v>92500</v>
      </c>
      <c r="AJ561" s="72">
        <v>0</v>
      </c>
      <c r="AK561" s="72">
        <v>0</v>
      </c>
      <c r="AL561" s="72">
        <v>92500</v>
      </c>
      <c r="AM561" s="72">
        <v>7744124</v>
      </c>
      <c r="AN561" s="72">
        <v>-83543</v>
      </c>
      <c r="AO561" s="72">
        <v>2574592</v>
      </c>
      <c r="AP561" s="72">
        <v>2491049</v>
      </c>
      <c r="AQ561" s="72">
        <v>0</v>
      </c>
      <c r="AR561" s="72">
        <v>0</v>
      </c>
      <c r="AS561" s="72">
        <v>0</v>
      </c>
      <c r="AT561" s="72">
        <v>0</v>
      </c>
      <c r="AU561" s="72">
        <v>0</v>
      </c>
      <c r="AV561" s="72">
        <v>0</v>
      </c>
      <c r="AW561" s="72">
        <v>0</v>
      </c>
      <c r="AX561" s="72">
        <v>0</v>
      </c>
      <c r="AY561" s="72">
        <v>0</v>
      </c>
      <c r="AZ561" s="72">
        <v>0</v>
      </c>
      <c r="BA561" s="72">
        <v>2491049</v>
      </c>
      <c r="BB561" s="72">
        <v>0</v>
      </c>
      <c r="BC561" s="72">
        <v>0</v>
      </c>
      <c r="BD561" s="72">
        <v>0</v>
      </c>
      <c r="BE561" s="72">
        <v>2491049</v>
      </c>
      <c r="BF561" s="72">
        <v>0</v>
      </c>
      <c r="BG561" s="72">
        <v>0</v>
      </c>
      <c r="BH561" s="72">
        <v>0</v>
      </c>
      <c r="BI561" s="72">
        <v>0</v>
      </c>
      <c r="BJ561" s="72">
        <v>2491049</v>
      </c>
      <c r="BM561" s="72">
        <v>0</v>
      </c>
      <c r="BN561" s="72">
        <v>0</v>
      </c>
      <c r="BO561" s="72">
        <v>0</v>
      </c>
      <c r="BP561" s="72">
        <v>0</v>
      </c>
      <c r="BQ561" s="72">
        <v>0</v>
      </c>
      <c r="BR561" s="72">
        <v>0</v>
      </c>
      <c r="BS561" s="72">
        <v>7744124</v>
      </c>
    </row>
    <row r="562" spans="1:71" x14ac:dyDescent="0.2">
      <c r="A562" t="s">
        <v>406</v>
      </c>
      <c r="B562" t="s">
        <v>1115</v>
      </c>
      <c r="C562" t="s">
        <v>32</v>
      </c>
      <c r="D562" s="72">
        <v>7220000</v>
      </c>
      <c r="E562" s="72">
        <v>0</v>
      </c>
      <c r="F562" s="72">
        <v>0</v>
      </c>
      <c r="G562" s="72">
        <v>6470000</v>
      </c>
      <c r="H562" s="72">
        <v>4993</v>
      </c>
      <c r="I562" s="72">
        <v>0</v>
      </c>
      <c r="J562" s="72">
        <v>1280000</v>
      </c>
      <c r="K562" s="72">
        <v>925710</v>
      </c>
      <c r="L562" s="72">
        <v>15900703</v>
      </c>
      <c r="M562" s="72">
        <v>0</v>
      </c>
      <c r="N562" s="72">
        <v>0</v>
      </c>
      <c r="O562" s="72">
        <v>109158</v>
      </c>
      <c r="P562" s="72">
        <v>0</v>
      </c>
      <c r="Q562" s="72">
        <v>0</v>
      </c>
      <c r="R562" s="72">
        <v>109158</v>
      </c>
      <c r="S562" s="72">
        <v>16009861</v>
      </c>
      <c r="T562" s="72">
        <v>8898375</v>
      </c>
      <c r="U562" s="72">
        <v>3700000</v>
      </c>
      <c r="V562" s="72">
        <v>2200000</v>
      </c>
      <c r="W562" s="72">
        <v>750000</v>
      </c>
      <c r="X562" s="72">
        <v>150000</v>
      </c>
      <c r="Y562" s="72">
        <v>0</v>
      </c>
      <c r="Z562" s="72">
        <v>0</v>
      </c>
      <c r="AA562" s="72">
        <v>0</v>
      </c>
      <c r="AB562" s="72">
        <v>0</v>
      </c>
      <c r="AC562" s="72">
        <v>0</v>
      </c>
      <c r="AD562" s="72">
        <v>0</v>
      </c>
      <c r="AE562" s="72">
        <v>0</v>
      </c>
      <c r="AF562" s="72">
        <v>0</v>
      </c>
      <c r="AG562" s="72">
        <v>285000</v>
      </c>
      <c r="AH562" s="72">
        <v>15983375</v>
      </c>
      <c r="AI562" s="72">
        <v>0</v>
      </c>
      <c r="AJ562" s="72">
        <v>0</v>
      </c>
      <c r="AK562" s="72">
        <v>0</v>
      </c>
      <c r="AL562" s="72">
        <v>0</v>
      </c>
      <c r="AM562" s="72">
        <v>15983375</v>
      </c>
      <c r="AN562" s="72">
        <v>26486</v>
      </c>
      <c r="AO562" s="72">
        <v>1994116</v>
      </c>
      <c r="AP562" s="72">
        <v>2020602</v>
      </c>
      <c r="AQ562" s="72">
        <v>100000</v>
      </c>
      <c r="AR562" s="72">
        <v>0</v>
      </c>
      <c r="AS562" s="72">
        <v>0</v>
      </c>
      <c r="AT562" s="72">
        <v>0</v>
      </c>
      <c r="AU562" s="72">
        <v>0</v>
      </c>
      <c r="AV562" s="72">
        <v>0</v>
      </c>
      <c r="AW562" s="72">
        <v>0</v>
      </c>
      <c r="AX562" s="72">
        <v>0</v>
      </c>
      <c r="AY562" s="72">
        <v>0</v>
      </c>
      <c r="AZ562" s="72">
        <v>0</v>
      </c>
      <c r="BA562" s="72">
        <v>1920602</v>
      </c>
      <c r="BB562" s="72">
        <v>0</v>
      </c>
      <c r="BC562" s="72">
        <v>0</v>
      </c>
      <c r="BD562" s="72">
        <v>0</v>
      </c>
      <c r="BE562" s="72">
        <v>1920602</v>
      </c>
      <c r="BF562" s="72">
        <v>0</v>
      </c>
      <c r="BG562" s="72">
        <v>0</v>
      </c>
      <c r="BH562" s="72">
        <v>0</v>
      </c>
      <c r="BI562" s="72">
        <v>0</v>
      </c>
      <c r="BJ562" s="72">
        <v>1920602</v>
      </c>
      <c r="BK562" s="72">
        <v>113</v>
      </c>
      <c r="BL562" s="72">
        <v>1704</v>
      </c>
      <c r="BM562" s="72">
        <v>0</v>
      </c>
      <c r="BN562" s="72">
        <v>0</v>
      </c>
      <c r="BO562" s="72">
        <v>0</v>
      </c>
      <c r="BP562" s="72">
        <v>0</v>
      </c>
      <c r="BQ562" s="72">
        <v>0</v>
      </c>
      <c r="BR562" s="72">
        <v>0</v>
      </c>
      <c r="BS562" s="72">
        <v>16009861</v>
      </c>
    </row>
    <row r="563" spans="1:71" x14ac:dyDescent="0.2">
      <c r="A563" t="s">
        <v>419</v>
      </c>
      <c r="B563" t="s">
        <v>1322</v>
      </c>
      <c r="C563" t="s">
        <v>32</v>
      </c>
      <c r="D563" s="72">
        <v>7129353</v>
      </c>
      <c r="E563" s="72">
        <v>2000</v>
      </c>
      <c r="F563" s="72">
        <v>0</v>
      </c>
      <c r="G563" s="72">
        <v>5141070</v>
      </c>
      <c r="H563" s="72">
        <v>13000</v>
      </c>
      <c r="I563" s="72">
        <v>0</v>
      </c>
      <c r="J563" s="72">
        <v>1291502</v>
      </c>
      <c r="K563" s="72">
        <v>1054600</v>
      </c>
      <c r="L563" s="72">
        <v>14631525</v>
      </c>
      <c r="M563" s="72">
        <v>0</v>
      </c>
      <c r="N563" s="72">
        <v>0</v>
      </c>
      <c r="O563" s="72">
        <v>0</v>
      </c>
      <c r="P563" s="72">
        <v>0</v>
      </c>
      <c r="Q563" s="72">
        <v>0</v>
      </c>
      <c r="R563" s="72">
        <v>0</v>
      </c>
      <c r="S563" s="72">
        <v>14631525</v>
      </c>
      <c r="T563" s="72">
        <v>6250000</v>
      </c>
      <c r="U563" s="72">
        <v>2920621</v>
      </c>
      <c r="V563" s="72">
        <v>2848641</v>
      </c>
      <c r="W563" s="72">
        <v>241835</v>
      </c>
      <c r="X563" s="72">
        <v>38000</v>
      </c>
      <c r="Y563" s="72">
        <v>0</v>
      </c>
      <c r="Z563" s="72">
        <v>523000</v>
      </c>
      <c r="AA563" s="72">
        <v>0</v>
      </c>
      <c r="AB563" s="72">
        <v>0</v>
      </c>
      <c r="AC563" s="72">
        <v>960500</v>
      </c>
      <c r="AD563" s="72">
        <v>155000</v>
      </c>
      <c r="AE563" s="72">
        <v>0</v>
      </c>
      <c r="AF563" s="72">
        <v>66444</v>
      </c>
      <c r="AG563" s="72">
        <v>1201525</v>
      </c>
      <c r="AH563" s="72">
        <v>15205566</v>
      </c>
      <c r="AI563" s="72">
        <v>0</v>
      </c>
      <c r="AJ563" s="72">
        <v>35000</v>
      </c>
      <c r="AK563" s="72">
        <v>0</v>
      </c>
      <c r="AL563" s="72">
        <v>35000</v>
      </c>
      <c r="AM563" s="72">
        <v>15240566</v>
      </c>
      <c r="AN563" s="72">
        <v>-609041</v>
      </c>
      <c r="AO563" s="72">
        <v>1017308</v>
      </c>
      <c r="AP563" s="72">
        <v>408267</v>
      </c>
      <c r="AQ563" s="72">
        <v>15000</v>
      </c>
      <c r="AR563" s="72">
        <v>0</v>
      </c>
      <c r="AS563" s="72">
        <v>7000</v>
      </c>
      <c r="AT563" s="72">
        <v>0</v>
      </c>
      <c r="AU563" s="72">
        <v>0</v>
      </c>
      <c r="AV563" s="72">
        <v>0</v>
      </c>
      <c r="AW563" s="72">
        <v>0</v>
      </c>
      <c r="AX563" s="72">
        <v>0</v>
      </c>
      <c r="AY563" s="72">
        <v>40000</v>
      </c>
      <c r="AZ563" s="72">
        <v>47000</v>
      </c>
      <c r="BA563" s="72">
        <v>346267</v>
      </c>
      <c r="BB563" s="72">
        <v>0</v>
      </c>
      <c r="BC563" s="72">
        <v>0</v>
      </c>
      <c r="BD563" s="72">
        <v>0</v>
      </c>
      <c r="BE563" s="72">
        <v>346267</v>
      </c>
      <c r="BF563" s="72">
        <v>0</v>
      </c>
      <c r="BG563" s="72">
        <v>0</v>
      </c>
      <c r="BH563" s="72">
        <v>0</v>
      </c>
      <c r="BI563" s="72">
        <v>0</v>
      </c>
      <c r="BJ563" s="72">
        <v>346267</v>
      </c>
      <c r="BK563" s="72">
        <v>0</v>
      </c>
      <c r="BL563" s="72">
        <v>0</v>
      </c>
      <c r="BM563" s="72">
        <v>0</v>
      </c>
      <c r="BN563" s="72">
        <v>0</v>
      </c>
      <c r="BO563" s="72">
        <v>0</v>
      </c>
      <c r="BP563" s="72">
        <v>0</v>
      </c>
      <c r="BQ563" s="72">
        <v>0</v>
      </c>
      <c r="BR563" s="72">
        <v>0</v>
      </c>
      <c r="BS563" s="72">
        <v>15240566</v>
      </c>
    </row>
    <row r="564" spans="1:71" x14ac:dyDescent="0.2">
      <c r="A564" t="s">
        <v>434</v>
      </c>
      <c r="B564" t="s">
        <v>1142</v>
      </c>
      <c r="C564" t="s">
        <v>32</v>
      </c>
      <c r="D564" s="72">
        <v>2754993</v>
      </c>
      <c r="E564" s="72">
        <v>465995</v>
      </c>
      <c r="F564" s="72">
        <v>59000</v>
      </c>
      <c r="G564" s="72">
        <v>440977</v>
      </c>
      <c r="H564" s="72">
        <v>336</v>
      </c>
      <c r="I564" s="72">
        <v>0</v>
      </c>
      <c r="J564" s="72">
        <v>1903807</v>
      </c>
      <c r="K564" s="72">
        <v>789425</v>
      </c>
      <c r="L564" s="72">
        <v>6414533</v>
      </c>
      <c r="M564" s="72">
        <v>0</v>
      </c>
      <c r="N564" s="72">
        <v>0</v>
      </c>
      <c r="O564" s="72">
        <v>450000</v>
      </c>
      <c r="P564" s="72">
        <v>0</v>
      </c>
      <c r="Q564" s="72">
        <v>38000</v>
      </c>
      <c r="R564" s="72">
        <v>488000</v>
      </c>
      <c r="S564" s="72">
        <v>6902533</v>
      </c>
      <c r="T564" s="72">
        <v>3119268</v>
      </c>
      <c r="U564" s="72">
        <v>1296130</v>
      </c>
      <c r="V564" s="72">
        <v>1297279</v>
      </c>
      <c r="W564" s="72">
        <v>259728</v>
      </c>
      <c r="X564" s="72">
        <v>41475</v>
      </c>
      <c r="Y564" s="72">
        <v>0</v>
      </c>
      <c r="Z564" s="72">
        <v>0</v>
      </c>
      <c r="AA564" s="72">
        <v>0</v>
      </c>
      <c r="AB564" s="72">
        <v>0</v>
      </c>
      <c r="AC564" s="72">
        <v>0</v>
      </c>
      <c r="AD564" s="72">
        <v>133908</v>
      </c>
      <c r="AE564" s="72">
        <v>0</v>
      </c>
      <c r="AF564" s="72">
        <v>14534</v>
      </c>
      <c r="AG564" s="72">
        <v>476666</v>
      </c>
      <c r="AH564" s="72">
        <v>6638988</v>
      </c>
      <c r="AI564" s="72">
        <v>580000</v>
      </c>
      <c r="AJ564" s="72">
        <v>0</v>
      </c>
      <c r="AK564" s="72">
        <v>0</v>
      </c>
      <c r="AL564" s="72">
        <v>580000</v>
      </c>
      <c r="AM564" s="72">
        <v>7218988</v>
      </c>
      <c r="AN564" s="72">
        <v>-316455</v>
      </c>
      <c r="AO564" s="72">
        <v>608925</v>
      </c>
      <c r="AP564" s="72">
        <v>292470</v>
      </c>
      <c r="AQ564" s="72">
        <v>75000</v>
      </c>
      <c r="AR564" s="72">
        <v>0</v>
      </c>
      <c r="AS564" s="72">
        <v>0</v>
      </c>
      <c r="AT564" s="72">
        <v>0</v>
      </c>
      <c r="AU564" s="72">
        <v>0</v>
      </c>
      <c r="AV564" s="72">
        <v>0</v>
      </c>
      <c r="AW564" s="72">
        <v>0</v>
      </c>
      <c r="AX564" s="72">
        <v>0</v>
      </c>
      <c r="AY564" s="72">
        <v>0</v>
      </c>
      <c r="AZ564" s="72">
        <v>0</v>
      </c>
      <c r="BA564" s="72">
        <v>217470</v>
      </c>
      <c r="BB564" s="72">
        <v>0</v>
      </c>
      <c r="BC564" s="72">
        <v>0</v>
      </c>
      <c r="BD564" s="72">
        <v>0</v>
      </c>
      <c r="BE564" s="72">
        <v>217470</v>
      </c>
      <c r="BF564" s="72">
        <v>0</v>
      </c>
      <c r="BG564" s="72">
        <v>277209</v>
      </c>
      <c r="BH564" s="72">
        <v>277209</v>
      </c>
      <c r="BI564" s="72">
        <v>0</v>
      </c>
      <c r="BJ564" s="72">
        <v>494679</v>
      </c>
      <c r="BK564" s="72">
        <v>0</v>
      </c>
      <c r="BL564" s="72">
        <v>0</v>
      </c>
      <c r="BM564" s="72">
        <v>0</v>
      </c>
      <c r="BN564" s="72">
        <v>0</v>
      </c>
      <c r="BO564" s="72">
        <v>0</v>
      </c>
      <c r="BP564" s="72">
        <v>0</v>
      </c>
      <c r="BQ564" s="72">
        <v>0</v>
      </c>
      <c r="BR564" s="72">
        <v>0</v>
      </c>
      <c r="BS564" s="72">
        <v>7218988</v>
      </c>
    </row>
    <row r="565" spans="1:71" x14ac:dyDescent="0.2">
      <c r="A565" t="s">
        <v>454</v>
      </c>
      <c r="B565" t="s">
        <v>1159</v>
      </c>
      <c r="C565" t="s">
        <v>32</v>
      </c>
      <c r="D565" s="72">
        <v>2378065</v>
      </c>
      <c r="E565" s="72">
        <v>50000</v>
      </c>
      <c r="F565" s="72">
        <v>0</v>
      </c>
      <c r="G565" s="72">
        <v>5024041</v>
      </c>
      <c r="H565" s="72">
        <v>4153</v>
      </c>
      <c r="I565" s="72">
        <v>0</v>
      </c>
      <c r="J565" s="72">
        <v>482803</v>
      </c>
      <c r="K565" s="72">
        <v>536075</v>
      </c>
      <c r="L565" s="72">
        <v>8475137</v>
      </c>
      <c r="M565" s="72">
        <v>0</v>
      </c>
      <c r="N565" s="72">
        <v>0</v>
      </c>
      <c r="O565" s="72">
        <v>0</v>
      </c>
      <c r="P565" s="72">
        <v>0</v>
      </c>
      <c r="Q565" s="72">
        <v>50000</v>
      </c>
      <c r="R565" s="72">
        <v>50000</v>
      </c>
      <c r="S565" s="72">
        <v>8525137</v>
      </c>
      <c r="T565" s="72">
        <v>4559343</v>
      </c>
      <c r="U565" s="72">
        <v>1775740</v>
      </c>
      <c r="V565" s="72">
        <v>1701260</v>
      </c>
      <c r="W565" s="72">
        <v>325000</v>
      </c>
      <c r="X565" s="72">
        <v>100000</v>
      </c>
      <c r="Y565" s="72">
        <v>0</v>
      </c>
      <c r="Z565" s="72">
        <v>0</v>
      </c>
      <c r="AA565" s="72">
        <v>0</v>
      </c>
      <c r="AB565" s="72">
        <v>0</v>
      </c>
      <c r="AC565" s="72">
        <v>0</v>
      </c>
      <c r="AD565" s="72">
        <v>0</v>
      </c>
      <c r="AE565" s="72">
        <v>0</v>
      </c>
      <c r="AF565" s="72">
        <v>0</v>
      </c>
      <c r="AG565" s="72">
        <v>100000</v>
      </c>
      <c r="AH565" s="72">
        <v>8561343</v>
      </c>
      <c r="AI565" s="72">
        <v>0</v>
      </c>
      <c r="AJ565" s="72">
        <v>0</v>
      </c>
      <c r="AK565" s="72">
        <v>0</v>
      </c>
      <c r="AL565" s="72">
        <v>0</v>
      </c>
      <c r="AM565" s="72">
        <v>8561343</v>
      </c>
      <c r="AN565" s="72">
        <v>-36206</v>
      </c>
      <c r="AO565" s="72">
        <v>3176256</v>
      </c>
      <c r="AP565" s="72">
        <v>3140050</v>
      </c>
      <c r="AQ565" s="72">
        <v>0</v>
      </c>
      <c r="AR565" s="72">
        <v>525000</v>
      </c>
      <c r="AS565" s="72">
        <v>0</v>
      </c>
      <c r="AT565" s="72">
        <v>0</v>
      </c>
      <c r="AU565" s="72">
        <v>0</v>
      </c>
      <c r="AV565" s="72">
        <v>0</v>
      </c>
      <c r="AW565" s="72">
        <v>0</v>
      </c>
      <c r="AX565" s="72">
        <v>0</v>
      </c>
      <c r="AY565" s="72">
        <v>0</v>
      </c>
      <c r="AZ565" s="72">
        <v>525000</v>
      </c>
      <c r="BA565" s="72">
        <v>2615050</v>
      </c>
      <c r="BB565" s="72">
        <v>0</v>
      </c>
      <c r="BC565" s="72">
        <v>0</v>
      </c>
      <c r="BD565" s="72">
        <v>0</v>
      </c>
      <c r="BE565" s="72">
        <v>2615050</v>
      </c>
      <c r="BF565" s="72">
        <v>0</v>
      </c>
      <c r="BG565" s="72">
        <v>0</v>
      </c>
      <c r="BH565" s="72">
        <v>0</v>
      </c>
      <c r="BI565" s="72">
        <v>0</v>
      </c>
      <c r="BJ565" s="72">
        <v>2615050</v>
      </c>
      <c r="BK565" s="72">
        <v>70</v>
      </c>
      <c r="BL565" s="72">
        <v>885</v>
      </c>
      <c r="BM565" s="72">
        <v>0</v>
      </c>
      <c r="BN565" s="72">
        <v>0</v>
      </c>
      <c r="BO565" s="72">
        <v>0</v>
      </c>
      <c r="BP565" s="72">
        <v>0</v>
      </c>
      <c r="BQ565" s="72">
        <v>0</v>
      </c>
      <c r="BR565" s="72">
        <v>0</v>
      </c>
      <c r="BS565" s="72">
        <v>8561343</v>
      </c>
    </row>
    <row r="566" spans="1:71" x14ac:dyDescent="0.2">
      <c r="A566" t="s">
        <v>470</v>
      </c>
      <c r="B566" t="s">
        <v>1175</v>
      </c>
      <c r="C566" t="s">
        <v>32</v>
      </c>
      <c r="D566" s="72">
        <v>1709157</v>
      </c>
      <c r="E566" s="72">
        <v>0</v>
      </c>
      <c r="F566" s="72">
        <v>0</v>
      </c>
      <c r="G566" s="72">
        <v>3790490</v>
      </c>
      <c r="H566" s="72">
        <v>12335</v>
      </c>
      <c r="I566" s="72">
        <v>0</v>
      </c>
      <c r="J566" s="72">
        <v>328194</v>
      </c>
      <c r="K566" s="72">
        <v>1044608</v>
      </c>
      <c r="L566" s="72">
        <v>6884784</v>
      </c>
      <c r="M566" s="72">
        <v>0</v>
      </c>
      <c r="N566" s="72">
        <v>0</v>
      </c>
      <c r="O566" s="72">
        <v>0</v>
      </c>
      <c r="P566" s="72">
        <v>5314</v>
      </c>
      <c r="Q566" s="72">
        <v>25609</v>
      </c>
      <c r="R566" s="72">
        <v>30923</v>
      </c>
      <c r="S566" s="72">
        <v>6915707</v>
      </c>
      <c r="T566" s="72">
        <v>3439296</v>
      </c>
      <c r="U566" s="72">
        <v>1204769</v>
      </c>
      <c r="V566" s="72">
        <v>834076</v>
      </c>
      <c r="W566" s="72">
        <v>162109</v>
      </c>
      <c r="X566" s="72">
        <v>405</v>
      </c>
      <c r="Y566" s="72">
        <v>0</v>
      </c>
      <c r="Z566" s="72">
        <v>0</v>
      </c>
      <c r="AA566" s="72">
        <v>0</v>
      </c>
      <c r="AB566" s="72">
        <v>0</v>
      </c>
      <c r="AC566" s="72">
        <v>0</v>
      </c>
      <c r="AD566" s="72">
        <v>0</v>
      </c>
      <c r="AE566" s="72">
        <v>0</v>
      </c>
      <c r="AF566" s="72">
        <v>0</v>
      </c>
      <c r="AG566" s="72">
        <v>51809</v>
      </c>
      <c r="AH566" s="72">
        <v>5692464</v>
      </c>
      <c r="AI566" s="72">
        <v>180000</v>
      </c>
      <c r="AJ566" s="72">
        <v>5200</v>
      </c>
      <c r="AK566" s="72">
        <v>0</v>
      </c>
      <c r="AL566" s="72">
        <v>185200</v>
      </c>
      <c r="AM566" s="72">
        <v>5877664</v>
      </c>
      <c r="AN566" s="72">
        <v>1038043</v>
      </c>
      <c r="AO566" s="72">
        <v>1619738</v>
      </c>
      <c r="AP566" s="72">
        <v>2657781</v>
      </c>
      <c r="AQ566" s="72">
        <v>15000</v>
      </c>
      <c r="AR566" s="72">
        <v>0</v>
      </c>
      <c r="AS566" s="72">
        <v>0</v>
      </c>
      <c r="AT566" s="72">
        <v>0</v>
      </c>
      <c r="AU566" s="72">
        <v>0</v>
      </c>
      <c r="AV566" s="72">
        <v>0</v>
      </c>
      <c r="AW566" s="72">
        <v>0</v>
      </c>
      <c r="AX566" s="72">
        <v>0</v>
      </c>
      <c r="AY566" s="72">
        <v>0</v>
      </c>
      <c r="AZ566" s="72">
        <v>0</v>
      </c>
      <c r="BA566" s="72">
        <v>2642781</v>
      </c>
      <c r="BB566" s="72">
        <v>0</v>
      </c>
      <c r="BC566" s="72">
        <v>0</v>
      </c>
      <c r="BD566" s="72">
        <v>0</v>
      </c>
      <c r="BE566" s="72">
        <v>2642781</v>
      </c>
      <c r="BF566" s="72">
        <v>0</v>
      </c>
      <c r="BG566" s="72">
        <v>0</v>
      </c>
      <c r="BH566" s="72">
        <v>0</v>
      </c>
      <c r="BI566" s="72">
        <v>0</v>
      </c>
      <c r="BJ566" s="72">
        <v>2642781</v>
      </c>
      <c r="BK566" s="72">
        <v>0</v>
      </c>
      <c r="BL566" s="72">
        <v>0</v>
      </c>
      <c r="BM566" s="72">
        <v>0</v>
      </c>
      <c r="BN566" s="72">
        <v>0</v>
      </c>
      <c r="BO566" s="72">
        <v>0</v>
      </c>
      <c r="BP566" s="72">
        <v>0</v>
      </c>
      <c r="BQ566" s="72">
        <v>0</v>
      </c>
      <c r="BR566" s="72">
        <v>0</v>
      </c>
      <c r="BS566" s="72">
        <v>6915707</v>
      </c>
    </row>
    <row r="567" spans="1:71" x14ac:dyDescent="0.2">
      <c r="A567" t="s">
        <v>645</v>
      </c>
      <c r="B567" t="s">
        <v>1337</v>
      </c>
      <c r="C567" t="s">
        <v>32</v>
      </c>
      <c r="D567" s="72">
        <v>1285000</v>
      </c>
      <c r="E567" s="72">
        <v>64865</v>
      </c>
      <c r="F567" s="72">
        <v>0</v>
      </c>
      <c r="G567" s="72">
        <v>2754671</v>
      </c>
      <c r="H567" s="72">
        <v>69546</v>
      </c>
      <c r="I567" s="72">
        <v>0</v>
      </c>
      <c r="J567" s="72">
        <v>245000</v>
      </c>
      <c r="K567" s="72">
        <v>463531</v>
      </c>
      <c r="L567" s="72">
        <v>4882613</v>
      </c>
      <c r="M567" s="72">
        <v>0</v>
      </c>
      <c r="N567" s="72">
        <v>0</v>
      </c>
      <c r="O567" s="72">
        <v>0</v>
      </c>
      <c r="P567" s="72">
        <v>50000</v>
      </c>
      <c r="Q567" s="72">
        <v>30000</v>
      </c>
      <c r="R567" s="72">
        <v>80000</v>
      </c>
      <c r="S567" s="72">
        <v>4962613</v>
      </c>
      <c r="T567" s="72">
        <v>2561953</v>
      </c>
      <c r="U567" s="72">
        <v>1057223</v>
      </c>
      <c r="V567" s="72">
        <v>1092783</v>
      </c>
      <c r="W567" s="72">
        <v>190000</v>
      </c>
      <c r="X567" s="72">
        <v>35000</v>
      </c>
      <c r="Y567" s="72">
        <v>0</v>
      </c>
      <c r="Z567" s="72">
        <v>0</v>
      </c>
      <c r="AA567" s="72">
        <v>0</v>
      </c>
      <c r="AB567" s="72">
        <v>0</v>
      </c>
      <c r="AC567" s="72">
        <v>0</v>
      </c>
      <c r="AD567" s="72">
        <v>0</v>
      </c>
      <c r="AE567" s="72">
        <v>0</v>
      </c>
      <c r="AF567" s="72">
        <v>0</v>
      </c>
      <c r="AG567" s="72">
        <v>70000</v>
      </c>
      <c r="AH567" s="72">
        <v>5006959</v>
      </c>
      <c r="AI567" s="72">
        <v>30000</v>
      </c>
      <c r="AJ567" s="72">
        <v>70000</v>
      </c>
      <c r="AK567" s="72">
        <v>0</v>
      </c>
      <c r="AL567" s="72">
        <v>100000</v>
      </c>
      <c r="AM567" s="72">
        <v>5106959</v>
      </c>
      <c r="AN567" s="72">
        <v>-144346</v>
      </c>
      <c r="AO567" s="72">
        <v>1529773</v>
      </c>
      <c r="AP567" s="72">
        <v>1385427</v>
      </c>
      <c r="AQ567" s="72">
        <v>55000</v>
      </c>
      <c r="AR567" s="72">
        <v>200000</v>
      </c>
      <c r="AS567" s="72">
        <v>100000</v>
      </c>
      <c r="AT567" s="72">
        <v>0</v>
      </c>
      <c r="AU567" s="72">
        <v>0</v>
      </c>
      <c r="AV567" s="72">
        <v>0</v>
      </c>
      <c r="AW567" s="72">
        <v>0</v>
      </c>
      <c r="AX567" s="72">
        <v>0</v>
      </c>
      <c r="AY567" s="72">
        <v>0</v>
      </c>
      <c r="AZ567" s="72">
        <v>300000</v>
      </c>
      <c r="BA567" s="72">
        <v>1030427</v>
      </c>
      <c r="BB567" s="72">
        <v>0</v>
      </c>
      <c r="BC567" s="72">
        <v>0</v>
      </c>
      <c r="BD567" s="72">
        <v>0</v>
      </c>
      <c r="BE567" s="72">
        <v>1030427</v>
      </c>
      <c r="BF567" s="72">
        <v>0</v>
      </c>
      <c r="BG567" s="72">
        <v>0</v>
      </c>
      <c r="BH567" s="72">
        <v>0</v>
      </c>
      <c r="BI567" s="72">
        <v>0</v>
      </c>
      <c r="BJ567" s="72">
        <v>1030427</v>
      </c>
      <c r="BK567" s="72">
        <v>28</v>
      </c>
      <c r="BL567" s="72">
        <v>562</v>
      </c>
      <c r="BM567" s="72">
        <v>0</v>
      </c>
      <c r="BN567" s="72">
        <v>0</v>
      </c>
      <c r="BO567" s="72">
        <v>0</v>
      </c>
      <c r="BP567" s="72">
        <v>0</v>
      </c>
      <c r="BQ567" s="72">
        <v>0</v>
      </c>
      <c r="BR567" s="72">
        <v>0</v>
      </c>
      <c r="BS567" s="72">
        <v>5106959</v>
      </c>
    </row>
    <row r="568" spans="1:71" x14ac:dyDescent="0.2">
      <c r="A568" t="s">
        <v>403</v>
      </c>
      <c r="B568" t="s">
        <v>1113</v>
      </c>
      <c r="C568" t="s">
        <v>32</v>
      </c>
      <c r="D568" s="72">
        <v>2435587</v>
      </c>
      <c r="E568" s="72">
        <v>0</v>
      </c>
      <c r="F568" s="72">
        <v>0</v>
      </c>
      <c r="G568" s="72">
        <v>7505000</v>
      </c>
      <c r="H568" s="72">
        <v>82000</v>
      </c>
      <c r="I568" s="72">
        <v>0</v>
      </c>
      <c r="J568" s="72">
        <v>400000</v>
      </c>
      <c r="K568" s="72">
        <v>1490000</v>
      </c>
      <c r="L568" s="72">
        <v>11912587</v>
      </c>
      <c r="M568" s="72">
        <v>0</v>
      </c>
      <c r="N568" s="72">
        <v>0</v>
      </c>
      <c r="O568" s="72">
        <v>0</v>
      </c>
      <c r="P568" s="72">
        <v>53957</v>
      </c>
      <c r="Q568" s="72">
        <v>40000</v>
      </c>
      <c r="R568" s="72">
        <v>93957</v>
      </c>
      <c r="S568" s="72">
        <v>12006544</v>
      </c>
      <c r="T568" s="72">
        <v>6881000</v>
      </c>
      <c r="U568" s="72">
        <v>2631840</v>
      </c>
      <c r="V568" s="72">
        <v>1964100</v>
      </c>
      <c r="W568" s="72">
        <v>372500</v>
      </c>
      <c r="X568" s="72">
        <v>51050</v>
      </c>
      <c r="Y568" s="72">
        <v>0</v>
      </c>
      <c r="Z568" s="72">
        <v>0</v>
      </c>
      <c r="AA568" s="72">
        <v>0</v>
      </c>
      <c r="AB568" s="72">
        <v>0</v>
      </c>
      <c r="AC568" s="72">
        <v>0</v>
      </c>
      <c r="AD568" s="72">
        <v>0</v>
      </c>
      <c r="AE568" s="72">
        <v>47000</v>
      </c>
      <c r="AF568" s="72">
        <v>90808</v>
      </c>
      <c r="AG568" s="72">
        <v>889111</v>
      </c>
      <c r="AH568" s="72">
        <v>12927409</v>
      </c>
      <c r="AI568" s="72">
        <v>0</v>
      </c>
      <c r="AJ568" s="72">
        <v>50000</v>
      </c>
      <c r="AK568" s="72">
        <v>0</v>
      </c>
      <c r="AL568" s="72">
        <v>50000</v>
      </c>
      <c r="AM568" s="72">
        <v>12977409</v>
      </c>
      <c r="AN568" s="72">
        <v>-970865</v>
      </c>
      <c r="AO568" s="72">
        <v>2155986</v>
      </c>
      <c r="AP568" s="72">
        <v>1185121</v>
      </c>
      <c r="AQ568" s="72">
        <v>10000</v>
      </c>
      <c r="AR568" s="72">
        <v>0</v>
      </c>
      <c r="AS568" s="72">
        <v>0</v>
      </c>
      <c r="AT568" s="72">
        <v>0</v>
      </c>
      <c r="AU568" s="72">
        <v>0</v>
      </c>
      <c r="AV568" s="72">
        <v>0</v>
      </c>
      <c r="AW568" s="72">
        <v>0</v>
      </c>
      <c r="AX568" s="72">
        <v>0</v>
      </c>
      <c r="AY568" s="72">
        <v>0</v>
      </c>
      <c r="AZ568" s="72">
        <v>0</v>
      </c>
      <c r="BA568" s="72">
        <v>1175121</v>
      </c>
      <c r="BB568" s="72">
        <v>0</v>
      </c>
      <c r="BC568" s="72">
        <v>0</v>
      </c>
      <c r="BD568" s="72">
        <v>0</v>
      </c>
      <c r="BE568" s="72">
        <v>1175121</v>
      </c>
      <c r="BF568" s="72">
        <v>0</v>
      </c>
      <c r="BG568" s="72">
        <v>0</v>
      </c>
      <c r="BH568" s="72">
        <v>0</v>
      </c>
      <c r="BI568" s="72">
        <v>0</v>
      </c>
      <c r="BJ568" s="72">
        <v>1175121</v>
      </c>
      <c r="BK568" s="72">
        <v>92</v>
      </c>
      <c r="BL568" s="72">
        <v>1415</v>
      </c>
      <c r="BM568" s="72">
        <v>0</v>
      </c>
      <c r="BN568" s="72">
        <v>0</v>
      </c>
      <c r="BO568" s="72">
        <v>0</v>
      </c>
      <c r="BP568" s="72">
        <v>0</v>
      </c>
      <c r="BQ568" s="72">
        <v>0</v>
      </c>
      <c r="BR568" s="72">
        <v>0</v>
      </c>
      <c r="BS568" s="72">
        <v>12977409</v>
      </c>
    </row>
    <row r="569" spans="1:71" x14ac:dyDescent="0.2">
      <c r="A569" t="s">
        <v>736</v>
      </c>
      <c r="B569" t="s">
        <v>1425</v>
      </c>
      <c r="C569" t="s">
        <v>32</v>
      </c>
      <c r="D569" s="72">
        <v>2018453</v>
      </c>
      <c r="E569" s="72">
        <v>234891</v>
      </c>
      <c r="F569" s="72">
        <v>0</v>
      </c>
      <c r="G569" s="72">
        <v>3082778</v>
      </c>
      <c r="H569" s="72">
        <v>11746</v>
      </c>
      <c r="I569" s="72">
        <v>0</v>
      </c>
      <c r="J569" s="72">
        <v>1262385</v>
      </c>
      <c r="K569" s="72">
        <v>1825460</v>
      </c>
      <c r="L569" s="72">
        <v>8435713</v>
      </c>
      <c r="M569" s="72">
        <v>0</v>
      </c>
      <c r="N569" s="72">
        <v>0</v>
      </c>
      <c r="O569" s="72">
        <v>0</v>
      </c>
      <c r="P569" s="72">
        <v>0</v>
      </c>
      <c r="Q569" s="72">
        <v>43628</v>
      </c>
      <c r="R569" s="72">
        <v>43628</v>
      </c>
      <c r="S569" s="72">
        <v>8479341</v>
      </c>
      <c r="T569" s="72">
        <v>4764123</v>
      </c>
      <c r="U569" s="72">
        <v>1860278</v>
      </c>
      <c r="V569" s="72">
        <v>1392695</v>
      </c>
      <c r="W569" s="72">
        <v>202066</v>
      </c>
      <c r="X569" s="72">
        <v>54523</v>
      </c>
      <c r="Y569" s="72">
        <v>0</v>
      </c>
      <c r="Z569" s="72">
        <v>0</v>
      </c>
      <c r="AA569" s="72">
        <v>0</v>
      </c>
      <c r="AB569" s="72">
        <v>0</v>
      </c>
      <c r="AC569" s="72">
        <v>0</v>
      </c>
      <c r="AD569" s="72">
        <v>0</v>
      </c>
      <c r="AE569" s="72">
        <v>0</v>
      </c>
      <c r="AF569" s="72">
        <v>0</v>
      </c>
      <c r="AG569" s="72">
        <v>127722</v>
      </c>
      <c r="AH569" s="72">
        <v>8401407</v>
      </c>
      <c r="AI569" s="72">
        <v>0</v>
      </c>
      <c r="AJ569" s="72">
        <v>0</v>
      </c>
      <c r="AK569" s="72">
        <v>0</v>
      </c>
      <c r="AL569" s="72">
        <v>0</v>
      </c>
      <c r="AM569" s="72">
        <v>8401407</v>
      </c>
      <c r="AN569" s="72">
        <v>77934</v>
      </c>
      <c r="AO569" s="72">
        <v>1235059</v>
      </c>
      <c r="AP569" s="72">
        <v>1312993</v>
      </c>
      <c r="AQ569" s="72">
        <v>0</v>
      </c>
      <c r="AR569" s="72">
        <v>0</v>
      </c>
      <c r="AS569" s="72">
        <v>0</v>
      </c>
      <c r="AT569" s="72">
        <v>0</v>
      </c>
      <c r="AU569" s="72">
        <v>0</v>
      </c>
      <c r="AV569" s="72">
        <v>0</v>
      </c>
      <c r="AW569" s="72">
        <v>0</v>
      </c>
      <c r="AX569" s="72">
        <v>0</v>
      </c>
      <c r="AY569" s="72">
        <v>0</v>
      </c>
      <c r="AZ569" s="72">
        <v>0</v>
      </c>
      <c r="BA569" s="72">
        <v>1312993</v>
      </c>
      <c r="BB569" s="72">
        <v>0</v>
      </c>
      <c r="BC569" s="72">
        <v>0</v>
      </c>
      <c r="BD569" s="72">
        <v>0</v>
      </c>
      <c r="BE569" s="72">
        <v>1312993</v>
      </c>
      <c r="BF569" s="72">
        <v>0</v>
      </c>
      <c r="BG569" s="72">
        <v>0</v>
      </c>
      <c r="BH569" s="72">
        <v>0</v>
      </c>
      <c r="BI569" s="72">
        <v>0</v>
      </c>
      <c r="BJ569" s="72">
        <v>1312993</v>
      </c>
      <c r="BM569" s="72">
        <v>0</v>
      </c>
      <c r="BN569" s="72">
        <v>0</v>
      </c>
      <c r="BO569" s="72">
        <v>0</v>
      </c>
      <c r="BP569" s="72">
        <v>0</v>
      </c>
      <c r="BQ569" s="72">
        <v>0</v>
      </c>
      <c r="BR569" s="72">
        <v>0</v>
      </c>
      <c r="BS569" s="72">
        <v>8479341</v>
      </c>
    </row>
    <row r="570" spans="1:71" x14ac:dyDescent="0.2">
      <c r="A570" t="s">
        <v>332</v>
      </c>
      <c r="B570" t="s">
        <v>1046</v>
      </c>
      <c r="C570" t="s">
        <v>70</v>
      </c>
      <c r="D570" s="72">
        <v>5103573</v>
      </c>
      <c r="E570" s="72">
        <v>0</v>
      </c>
      <c r="F570" s="72">
        <v>0</v>
      </c>
      <c r="G570" s="72">
        <v>3018000</v>
      </c>
      <c r="H570" s="72">
        <v>0</v>
      </c>
      <c r="I570" s="72">
        <v>0</v>
      </c>
      <c r="J570" s="72">
        <v>1267965</v>
      </c>
      <c r="K570" s="72">
        <v>874800</v>
      </c>
      <c r="L570" s="72">
        <v>10264338</v>
      </c>
      <c r="M570" s="72">
        <v>0</v>
      </c>
      <c r="N570" s="72">
        <v>0</v>
      </c>
      <c r="O570" s="72">
        <v>0</v>
      </c>
      <c r="P570" s="72">
        <v>0</v>
      </c>
      <c r="Q570" s="72">
        <v>5000</v>
      </c>
      <c r="R570" s="72">
        <v>5000</v>
      </c>
      <c r="S570" s="72">
        <v>10269338</v>
      </c>
      <c r="T570" s="72">
        <v>5595086</v>
      </c>
      <c r="U570" s="72">
        <v>2369088</v>
      </c>
      <c r="V570" s="72">
        <v>1871211</v>
      </c>
      <c r="W570" s="72">
        <v>542112</v>
      </c>
      <c r="X570" s="72">
        <v>90000</v>
      </c>
      <c r="Y570" s="72">
        <v>0</v>
      </c>
      <c r="Z570" s="72">
        <v>0</v>
      </c>
      <c r="AA570" s="72">
        <v>0</v>
      </c>
      <c r="AB570" s="72">
        <v>0</v>
      </c>
      <c r="AC570" s="72">
        <v>0</v>
      </c>
      <c r="AD570" s="72">
        <v>43942</v>
      </c>
      <c r="AE570" s="72">
        <v>0</v>
      </c>
      <c r="AF570" s="72">
        <v>3485</v>
      </c>
      <c r="AG570" s="72">
        <v>217424</v>
      </c>
      <c r="AH570" s="72">
        <v>10732348</v>
      </c>
      <c r="AI570" s="72">
        <v>20000</v>
      </c>
      <c r="AJ570" s="72">
        <v>0</v>
      </c>
      <c r="AK570" s="72">
        <v>0</v>
      </c>
      <c r="AL570" s="72">
        <v>20000</v>
      </c>
      <c r="AM570" s="72">
        <v>10752348</v>
      </c>
      <c r="AN570" s="72">
        <v>-483010</v>
      </c>
      <c r="AO570" s="72">
        <v>2439304</v>
      </c>
      <c r="AP570" s="72">
        <v>1956294</v>
      </c>
      <c r="AQ570" s="72">
        <v>0</v>
      </c>
      <c r="AR570" s="72">
        <v>0</v>
      </c>
      <c r="AS570" s="72">
        <v>0</v>
      </c>
      <c r="AT570" s="72">
        <v>0</v>
      </c>
      <c r="AU570" s="72">
        <v>0</v>
      </c>
      <c r="AV570" s="72">
        <v>0</v>
      </c>
      <c r="AW570" s="72">
        <v>0</v>
      </c>
      <c r="AX570" s="72">
        <v>0</v>
      </c>
      <c r="AY570" s="72">
        <v>0</v>
      </c>
      <c r="AZ570" s="72">
        <v>0</v>
      </c>
      <c r="BA570" s="72">
        <v>1956294</v>
      </c>
      <c r="BB570" s="72">
        <v>0</v>
      </c>
      <c r="BC570" s="72">
        <v>0</v>
      </c>
      <c r="BD570" s="72">
        <v>0</v>
      </c>
      <c r="BE570" s="72">
        <v>1956294</v>
      </c>
      <c r="BF570" s="72">
        <v>0</v>
      </c>
      <c r="BG570" s="72">
        <v>0</v>
      </c>
      <c r="BH570" s="72">
        <v>0</v>
      </c>
      <c r="BI570" s="72">
        <v>0</v>
      </c>
      <c r="BJ570" s="72">
        <v>1956294</v>
      </c>
      <c r="BK570" s="72">
        <v>100</v>
      </c>
      <c r="BL570" s="72">
        <v>1200</v>
      </c>
      <c r="BM570" s="72">
        <v>0</v>
      </c>
      <c r="BN570" s="72">
        <v>0</v>
      </c>
      <c r="BO570" s="72">
        <v>0</v>
      </c>
      <c r="BP570" s="72">
        <v>0</v>
      </c>
      <c r="BQ570" s="72">
        <v>0</v>
      </c>
      <c r="BR570" s="72">
        <v>0</v>
      </c>
      <c r="BS570" s="72">
        <v>10752348</v>
      </c>
    </row>
    <row r="571" spans="1:71" x14ac:dyDescent="0.2">
      <c r="A571" t="s">
        <v>378</v>
      </c>
      <c r="B571" t="s">
        <v>1089</v>
      </c>
      <c r="C571" t="s">
        <v>70</v>
      </c>
      <c r="D571" s="72">
        <v>3830000</v>
      </c>
      <c r="E571" s="72">
        <v>0</v>
      </c>
      <c r="F571" s="72">
        <v>0</v>
      </c>
      <c r="G571" s="72">
        <v>9075000</v>
      </c>
      <c r="H571" s="72">
        <v>57000</v>
      </c>
      <c r="I571" s="72">
        <v>0</v>
      </c>
      <c r="J571" s="72">
        <v>536800</v>
      </c>
      <c r="K571" s="72">
        <v>1865000</v>
      </c>
      <c r="L571" s="72">
        <v>15363800</v>
      </c>
      <c r="M571" s="72">
        <v>0</v>
      </c>
      <c r="N571" s="72">
        <v>0</v>
      </c>
      <c r="O571" s="72">
        <v>0</v>
      </c>
      <c r="P571" s="72">
        <v>15235</v>
      </c>
      <c r="Q571" s="72">
        <v>29765</v>
      </c>
      <c r="R571" s="72">
        <v>45000</v>
      </c>
      <c r="S571" s="72">
        <v>15408800</v>
      </c>
      <c r="T571" s="72">
        <v>7900000</v>
      </c>
      <c r="U571" s="72">
        <v>3430000</v>
      </c>
      <c r="V571" s="72">
        <v>2850000</v>
      </c>
      <c r="W571" s="72">
        <v>790000</v>
      </c>
      <c r="X571" s="72">
        <v>375000</v>
      </c>
      <c r="Y571" s="72">
        <v>0</v>
      </c>
      <c r="Z571" s="72">
        <v>0</v>
      </c>
      <c r="AA571" s="72">
        <v>0</v>
      </c>
      <c r="AB571" s="72">
        <v>0</v>
      </c>
      <c r="AC571" s="72">
        <v>0</v>
      </c>
      <c r="AD571" s="72">
        <v>0</v>
      </c>
      <c r="AE571" s="72">
        <v>0</v>
      </c>
      <c r="AF571" s="72">
        <v>0</v>
      </c>
      <c r="AG571" s="72">
        <v>200000</v>
      </c>
      <c r="AH571" s="72">
        <v>15545000</v>
      </c>
      <c r="AI571" s="72">
        <v>0</v>
      </c>
      <c r="AJ571" s="72">
        <v>5000</v>
      </c>
      <c r="AK571" s="72">
        <v>0</v>
      </c>
      <c r="AL571" s="72">
        <v>5000</v>
      </c>
      <c r="AM571" s="72">
        <v>15550000</v>
      </c>
      <c r="AN571" s="72">
        <v>-141200</v>
      </c>
      <c r="AO571" s="72">
        <v>3572573</v>
      </c>
      <c r="AP571" s="72">
        <v>3431373</v>
      </c>
      <c r="AQ571" s="72">
        <v>115000</v>
      </c>
      <c r="AR571" s="72">
        <v>0</v>
      </c>
      <c r="AS571" s="72">
        <v>0</v>
      </c>
      <c r="AT571" s="72">
        <v>0</v>
      </c>
      <c r="AU571" s="72">
        <v>0</v>
      </c>
      <c r="AV571" s="72">
        <v>0</v>
      </c>
      <c r="AW571" s="72">
        <v>0</v>
      </c>
      <c r="AX571" s="72">
        <v>0</v>
      </c>
      <c r="AY571" s="72">
        <v>0</v>
      </c>
      <c r="AZ571" s="72">
        <v>0</v>
      </c>
      <c r="BA571" s="72">
        <v>3316373</v>
      </c>
      <c r="BB571" s="72">
        <v>0</v>
      </c>
      <c r="BC571" s="72">
        <v>0</v>
      </c>
      <c r="BD571" s="72">
        <v>0</v>
      </c>
      <c r="BE571" s="72">
        <v>3316373</v>
      </c>
      <c r="BF571" s="72">
        <v>0</v>
      </c>
      <c r="BG571" s="72">
        <v>0</v>
      </c>
      <c r="BH571" s="72">
        <v>0</v>
      </c>
      <c r="BI571" s="72">
        <v>0</v>
      </c>
      <c r="BJ571" s="72">
        <v>3316373</v>
      </c>
      <c r="BK571" s="72">
        <v>130</v>
      </c>
      <c r="BL571" s="72">
        <v>1670</v>
      </c>
      <c r="BM571" s="72">
        <v>0</v>
      </c>
      <c r="BN571" s="72">
        <v>0</v>
      </c>
      <c r="BO571" s="72">
        <v>0</v>
      </c>
      <c r="BP571" s="72">
        <v>0</v>
      </c>
      <c r="BQ571" s="72">
        <v>0</v>
      </c>
      <c r="BR571" s="72">
        <v>0</v>
      </c>
      <c r="BS571" s="72">
        <v>15550000</v>
      </c>
    </row>
    <row r="572" spans="1:71" x14ac:dyDescent="0.2">
      <c r="A572" t="s">
        <v>663</v>
      </c>
      <c r="B572" t="s">
        <v>1353</v>
      </c>
      <c r="C572" t="s">
        <v>70</v>
      </c>
      <c r="D572" s="72">
        <v>2318951</v>
      </c>
      <c r="E572" s="72">
        <v>0</v>
      </c>
      <c r="F572" s="72">
        <v>0</v>
      </c>
      <c r="G572" s="72">
        <v>2468957</v>
      </c>
      <c r="H572" s="72">
        <v>12114</v>
      </c>
      <c r="I572" s="72">
        <v>0</v>
      </c>
      <c r="J572" s="72">
        <v>317405</v>
      </c>
      <c r="K572" s="72">
        <v>286220</v>
      </c>
      <c r="L572" s="72">
        <v>5403647</v>
      </c>
      <c r="M572" s="72">
        <v>0</v>
      </c>
      <c r="N572" s="72">
        <v>0</v>
      </c>
      <c r="O572" s="72">
        <v>0</v>
      </c>
      <c r="P572" s="72">
        <v>146611</v>
      </c>
      <c r="Q572" s="72">
        <v>0</v>
      </c>
      <c r="R572" s="72">
        <v>146611</v>
      </c>
      <c r="S572" s="72">
        <v>5550258</v>
      </c>
      <c r="T572" s="72">
        <v>2791169</v>
      </c>
      <c r="U572" s="72">
        <v>1235040</v>
      </c>
      <c r="V572" s="72">
        <v>1461816</v>
      </c>
      <c r="W572" s="72">
        <v>179082</v>
      </c>
      <c r="X572" s="72">
        <v>23662</v>
      </c>
      <c r="Y572" s="72">
        <v>0</v>
      </c>
      <c r="Z572" s="72">
        <v>0</v>
      </c>
      <c r="AA572" s="72">
        <v>0</v>
      </c>
      <c r="AB572" s="72">
        <v>0</v>
      </c>
      <c r="AC572" s="72">
        <v>0</v>
      </c>
      <c r="AD572" s="72">
        <v>0</v>
      </c>
      <c r="AE572" s="72">
        <v>0</v>
      </c>
      <c r="AF572" s="72">
        <v>0</v>
      </c>
      <c r="AG572" s="72">
        <v>88422</v>
      </c>
      <c r="AH572" s="72">
        <v>5779191</v>
      </c>
      <c r="AI572" s="72">
        <v>0</v>
      </c>
      <c r="AJ572" s="72">
        <v>0</v>
      </c>
      <c r="AK572" s="72">
        <v>0</v>
      </c>
      <c r="AL572" s="72">
        <v>0</v>
      </c>
      <c r="AM572" s="72">
        <v>5779191</v>
      </c>
      <c r="AN572" s="72">
        <v>-228933</v>
      </c>
      <c r="AO572" s="72">
        <v>2625087</v>
      </c>
      <c r="AP572" s="72">
        <v>2396154</v>
      </c>
      <c r="AQ572" s="72">
        <v>50000</v>
      </c>
      <c r="AR572" s="72">
        <v>0</v>
      </c>
      <c r="AS572" s="72">
        <v>0</v>
      </c>
      <c r="AT572" s="72">
        <v>0</v>
      </c>
      <c r="AU572" s="72">
        <v>0</v>
      </c>
      <c r="AV572" s="72">
        <v>0</v>
      </c>
      <c r="AW572" s="72">
        <v>0</v>
      </c>
      <c r="AX572" s="72">
        <v>0</v>
      </c>
      <c r="AY572" s="72">
        <v>0</v>
      </c>
      <c r="AZ572" s="72">
        <v>0</v>
      </c>
      <c r="BA572" s="72">
        <v>2346154</v>
      </c>
      <c r="BB572" s="72">
        <v>0</v>
      </c>
      <c r="BC572" s="72">
        <v>0</v>
      </c>
      <c r="BD572" s="72">
        <v>0</v>
      </c>
      <c r="BE572" s="72">
        <v>2346155</v>
      </c>
      <c r="BF572" s="72">
        <v>0</v>
      </c>
      <c r="BG572" s="72">
        <v>0</v>
      </c>
      <c r="BH572" s="72">
        <v>0</v>
      </c>
      <c r="BI572" s="72">
        <v>0</v>
      </c>
      <c r="BJ572" s="72">
        <v>2346155</v>
      </c>
      <c r="BS572" s="72">
        <v>5779191</v>
      </c>
    </row>
    <row r="573" spans="1:71" x14ac:dyDescent="0.2">
      <c r="A573" t="s">
        <v>694</v>
      </c>
      <c r="B573" t="s">
        <v>1384</v>
      </c>
      <c r="C573" t="s">
        <v>70</v>
      </c>
      <c r="D573" s="72">
        <v>4684546</v>
      </c>
      <c r="E573" s="72">
        <v>429835</v>
      </c>
      <c r="F573" s="72">
        <v>0</v>
      </c>
      <c r="G573" s="72">
        <v>5752254</v>
      </c>
      <c r="H573" s="72">
        <v>17746</v>
      </c>
      <c r="I573" s="72">
        <v>0</v>
      </c>
      <c r="J573" s="72">
        <v>765821</v>
      </c>
      <c r="K573" s="72">
        <v>581753</v>
      </c>
      <c r="L573" s="72">
        <v>12231955</v>
      </c>
      <c r="M573" s="72">
        <v>0</v>
      </c>
      <c r="N573" s="72">
        <v>0</v>
      </c>
      <c r="O573" s="72">
        <v>0</v>
      </c>
      <c r="P573" s="72">
        <v>0</v>
      </c>
      <c r="Q573" s="72">
        <v>0</v>
      </c>
      <c r="R573" s="72">
        <v>0</v>
      </c>
      <c r="S573" s="72">
        <v>12231955</v>
      </c>
      <c r="T573" s="72">
        <v>6605332</v>
      </c>
      <c r="U573" s="72">
        <v>2944624</v>
      </c>
      <c r="V573" s="72">
        <v>1936066</v>
      </c>
      <c r="W573" s="72">
        <v>604617</v>
      </c>
      <c r="X573" s="72">
        <v>279509</v>
      </c>
      <c r="Y573" s="72">
        <v>0</v>
      </c>
      <c r="Z573" s="72">
        <v>0</v>
      </c>
      <c r="AA573" s="72">
        <v>0</v>
      </c>
      <c r="AB573" s="72">
        <v>0</v>
      </c>
      <c r="AC573" s="72">
        <v>0</v>
      </c>
      <c r="AD573" s="72">
        <v>0</v>
      </c>
      <c r="AE573" s="72">
        <v>0</v>
      </c>
      <c r="AF573" s="72">
        <v>0</v>
      </c>
      <c r="AG573" s="72">
        <v>567586</v>
      </c>
      <c r="AH573" s="72">
        <v>12937734</v>
      </c>
      <c r="AI573" s="72">
        <v>36000</v>
      </c>
      <c r="AJ573" s="72">
        <v>0</v>
      </c>
      <c r="AK573" s="72">
        <v>25000</v>
      </c>
      <c r="AL573" s="72">
        <v>61000</v>
      </c>
      <c r="AM573" s="72">
        <v>12998734</v>
      </c>
      <c r="AN573" s="72">
        <v>-766779</v>
      </c>
      <c r="AO573" s="72">
        <v>1642676</v>
      </c>
      <c r="AP573" s="72">
        <v>875897</v>
      </c>
      <c r="AQ573" s="72">
        <v>0</v>
      </c>
      <c r="AR573" s="72">
        <v>0</v>
      </c>
      <c r="AS573" s="72">
        <v>0</v>
      </c>
      <c r="AT573" s="72">
        <v>0</v>
      </c>
      <c r="AU573" s="72">
        <v>0</v>
      </c>
      <c r="AV573" s="72">
        <v>0</v>
      </c>
      <c r="AW573" s="72">
        <v>0</v>
      </c>
      <c r="AX573" s="72">
        <v>0</v>
      </c>
      <c r="AY573" s="72">
        <v>0</v>
      </c>
      <c r="AZ573" s="72">
        <v>0</v>
      </c>
      <c r="BA573" s="72">
        <v>875897</v>
      </c>
      <c r="BB573" s="72">
        <v>0</v>
      </c>
      <c r="BC573" s="72">
        <v>0</v>
      </c>
      <c r="BD573" s="72">
        <v>0</v>
      </c>
      <c r="BE573" s="72">
        <v>875897</v>
      </c>
      <c r="BF573" s="72">
        <v>0</v>
      </c>
      <c r="BG573" s="72">
        <v>0</v>
      </c>
      <c r="BH573" s="72">
        <v>0</v>
      </c>
      <c r="BI573" s="72">
        <v>0</v>
      </c>
      <c r="BJ573" s="72">
        <v>875897</v>
      </c>
      <c r="BM573" s="72">
        <v>0</v>
      </c>
      <c r="BN573" s="72">
        <v>0</v>
      </c>
      <c r="BO573" s="72">
        <v>0</v>
      </c>
      <c r="BP573" s="72">
        <v>0</v>
      </c>
      <c r="BQ573" s="72">
        <v>0</v>
      </c>
      <c r="BR573" s="72">
        <v>0</v>
      </c>
      <c r="BS573" s="72">
        <v>12998734</v>
      </c>
    </row>
    <row r="574" spans="1:71" x14ac:dyDescent="0.2">
      <c r="A574" t="s">
        <v>297</v>
      </c>
      <c r="B574" t="s">
        <v>1011</v>
      </c>
      <c r="C574" t="s">
        <v>56</v>
      </c>
      <c r="D574" s="72">
        <v>5109167</v>
      </c>
      <c r="E574" s="72">
        <v>245000</v>
      </c>
      <c r="F574" s="72">
        <v>1392126</v>
      </c>
      <c r="G574" s="72">
        <v>1828562</v>
      </c>
      <c r="H574" s="72">
        <v>22881</v>
      </c>
      <c r="I574" s="72">
        <v>0</v>
      </c>
      <c r="J574" s="72">
        <v>914206</v>
      </c>
      <c r="K574" s="72">
        <v>450000</v>
      </c>
      <c r="L574" s="72">
        <v>9961942</v>
      </c>
      <c r="M574" s="72">
        <v>0</v>
      </c>
      <c r="N574" s="72">
        <v>0</v>
      </c>
      <c r="O574" s="72">
        <v>0</v>
      </c>
      <c r="P574" s="72">
        <v>1165</v>
      </c>
      <c r="Q574" s="72">
        <v>84546</v>
      </c>
      <c r="R574" s="72">
        <v>85711</v>
      </c>
      <c r="S574" s="72">
        <v>10047653</v>
      </c>
      <c r="T574" s="72">
        <v>5701445</v>
      </c>
      <c r="U574" s="72">
        <v>2220288</v>
      </c>
      <c r="V574" s="72">
        <v>1180000</v>
      </c>
      <c r="W574" s="72">
        <v>429940</v>
      </c>
      <c r="X574" s="72">
        <v>30000</v>
      </c>
      <c r="Y574" s="72">
        <v>0</v>
      </c>
      <c r="Z574" s="72">
        <v>0</v>
      </c>
      <c r="AA574" s="72">
        <v>0</v>
      </c>
      <c r="AB574" s="72">
        <v>0</v>
      </c>
      <c r="AC574" s="72">
        <v>0</v>
      </c>
      <c r="AD574" s="72">
        <v>35000</v>
      </c>
      <c r="AE574" s="72">
        <v>0</v>
      </c>
      <c r="AF574" s="72">
        <v>14350</v>
      </c>
      <c r="AG574" s="72">
        <v>157000</v>
      </c>
      <c r="AH574" s="72">
        <v>9768023</v>
      </c>
      <c r="AI574" s="72">
        <v>48000</v>
      </c>
      <c r="AJ574" s="72">
        <v>10000</v>
      </c>
      <c r="AK574" s="72">
        <v>0</v>
      </c>
      <c r="AL574" s="72">
        <v>58000</v>
      </c>
      <c r="AM574" s="72">
        <v>9826023</v>
      </c>
      <c r="AN574" s="72">
        <v>221630</v>
      </c>
      <c r="AO574" s="72">
        <v>3288720</v>
      </c>
      <c r="AP574" s="72">
        <v>3510350</v>
      </c>
      <c r="AQ574" s="72">
        <v>80000</v>
      </c>
      <c r="AR574" s="72">
        <v>0</v>
      </c>
      <c r="AS574" s="72">
        <v>0</v>
      </c>
      <c r="AT574" s="72">
        <v>0</v>
      </c>
      <c r="AU574" s="72">
        <v>0</v>
      </c>
      <c r="AV574" s="72">
        <v>0</v>
      </c>
      <c r="AW574" s="72">
        <v>0</v>
      </c>
      <c r="AX574" s="72">
        <v>0</v>
      </c>
      <c r="AY574" s="72">
        <v>0</v>
      </c>
      <c r="AZ574" s="72">
        <v>0</v>
      </c>
      <c r="BA574" s="72">
        <v>3430350</v>
      </c>
      <c r="BB574" s="72">
        <v>0</v>
      </c>
      <c r="BC574" s="72">
        <v>0</v>
      </c>
      <c r="BD574" s="72">
        <v>0</v>
      </c>
      <c r="BE574" s="72">
        <v>3430350</v>
      </c>
      <c r="BF574" s="72">
        <v>0</v>
      </c>
      <c r="BG574" s="72">
        <v>0</v>
      </c>
      <c r="BH574" s="72">
        <v>0</v>
      </c>
      <c r="BI574" s="72">
        <v>0</v>
      </c>
      <c r="BJ574" s="72">
        <v>3430350</v>
      </c>
      <c r="BK574" s="72">
        <v>69</v>
      </c>
      <c r="BL574" s="72">
        <v>948</v>
      </c>
      <c r="BM574" s="72">
        <v>0</v>
      </c>
      <c r="BN574" s="72">
        <v>0</v>
      </c>
      <c r="BO574" s="72">
        <v>0</v>
      </c>
      <c r="BP574" s="72">
        <v>0</v>
      </c>
      <c r="BQ574" s="72">
        <v>0</v>
      </c>
      <c r="BR574" s="72">
        <v>0</v>
      </c>
      <c r="BS574" s="72">
        <v>10047653</v>
      </c>
    </row>
    <row r="575" spans="1:71" x14ac:dyDescent="0.2">
      <c r="A575" t="s">
        <v>531</v>
      </c>
      <c r="B575" t="s">
        <v>1235</v>
      </c>
      <c r="C575" t="s">
        <v>56</v>
      </c>
      <c r="D575" s="72">
        <v>3606560</v>
      </c>
      <c r="E575" s="72">
        <v>262873</v>
      </c>
      <c r="F575" s="72">
        <v>1645544</v>
      </c>
      <c r="G575" s="72">
        <v>6843276</v>
      </c>
      <c r="H575" s="72">
        <v>131887</v>
      </c>
      <c r="I575" s="72">
        <v>0</v>
      </c>
      <c r="J575" s="72">
        <v>560984</v>
      </c>
      <c r="K575" s="72">
        <v>933672</v>
      </c>
      <c r="L575" s="72">
        <v>13984796</v>
      </c>
      <c r="M575" s="72">
        <v>0</v>
      </c>
      <c r="N575" s="72">
        <v>0</v>
      </c>
      <c r="O575" s="72">
        <v>0</v>
      </c>
      <c r="P575" s="72">
        <v>156899</v>
      </c>
      <c r="Q575" s="72">
        <v>0</v>
      </c>
      <c r="R575" s="72">
        <v>156899</v>
      </c>
      <c r="S575" s="72">
        <v>14141695</v>
      </c>
      <c r="T575" s="72">
        <v>8056742</v>
      </c>
      <c r="U575" s="72">
        <v>3144984</v>
      </c>
      <c r="V575" s="72">
        <v>2373989</v>
      </c>
      <c r="W575" s="72">
        <v>700426</v>
      </c>
      <c r="X575" s="72">
        <v>571332</v>
      </c>
      <c r="Y575" s="72">
        <v>0</v>
      </c>
      <c r="Z575" s="72">
        <v>0</v>
      </c>
      <c r="AA575" s="72">
        <v>0</v>
      </c>
      <c r="AB575" s="72">
        <v>0</v>
      </c>
      <c r="AC575" s="72">
        <v>0</v>
      </c>
      <c r="AD575" s="72">
        <v>0</v>
      </c>
      <c r="AE575" s="72">
        <v>0</v>
      </c>
      <c r="AF575" s="72">
        <v>0</v>
      </c>
      <c r="AG575" s="72">
        <v>233294</v>
      </c>
      <c r="AH575" s="72">
        <v>15080767</v>
      </c>
      <c r="AI575" s="72">
        <v>1000</v>
      </c>
      <c r="AJ575" s="72">
        <v>39000</v>
      </c>
      <c r="AK575" s="72">
        <v>0</v>
      </c>
      <c r="AL575" s="72">
        <v>40000</v>
      </c>
      <c r="AM575" s="72">
        <v>15120767</v>
      </c>
      <c r="AN575" s="72">
        <v>-979072</v>
      </c>
      <c r="AO575" s="72">
        <v>9672294</v>
      </c>
      <c r="AP575" s="72">
        <v>8693222</v>
      </c>
      <c r="AQ575" s="72">
        <v>0</v>
      </c>
      <c r="AR575" s="72">
        <v>0</v>
      </c>
      <c r="AS575" s="72">
        <v>0</v>
      </c>
      <c r="AT575" s="72">
        <v>334268</v>
      </c>
      <c r="AU575" s="72">
        <v>0</v>
      </c>
      <c r="AV575" s="72">
        <v>0</v>
      </c>
      <c r="AW575" s="72">
        <v>0</v>
      </c>
      <c r="AX575" s="72">
        <v>0</v>
      </c>
      <c r="AY575" s="72">
        <v>0</v>
      </c>
      <c r="AZ575" s="72">
        <v>334268</v>
      </c>
      <c r="BA575" s="72">
        <v>8358954</v>
      </c>
      <c r="BB575" s="72">
        <v>0</v>
      </c>
      <c r="BC575" s="72">
        <v>0</v>
      </c>
      <c r="BD575" s="72">
        <v>0</v>
      </c>
      <c r="BE575" s="72">
        <v>8358954</v>
      </c>
      <c r="BF575" s="72">
        <v>0</v>
      </c>
      <c r="BG575" s="72">
        <v>0</v>
      </c>
      <c r="BH575" s="72">
        <v>0</v>
      </c>
      <c r="BI575" s="72">
        <v>0</v>
      </c>
      <c r="BJ575" s="72">
        <v>8358954</v>
      </c>
      <c r="BK575" s="72">
        <v>105</v>
      </c>
      <c r="BL575" s="72">
        <v>1410</v>
      </c>
      <c r="BM575" s="72">
        <v>0</v>
      </c>
      <c r="BN575" s="72">
        <v>0</v>
      </c>
      <c r="BO575" s="72">
        <v>0</v>
      </c>
      <c r="BP575" s="72">
        <v>0</v>
      </c>
      <c r="BQ575" s="72">
        <v>0</v>
      </c>
      <c r="BR575" s="72">
        <v>0</v>
      </c>
      <c r="BS575" s="72">
        <v>15120767</v>
      </c>
    </row>
    <row r="576" spans="1:71" x14ac:dyDescent="0.2">
      <c r="A576" t="s">
        <v>253</v>
      </c>
      <c r="B576" t="s">
        <v>969</v>
      </c>
      <c r="C576" t="s">
        <v>101</v>
      </c>
      <c r="D576" s="72">
        <v>2416000</v>
      </c>
      <c r="E576" s="72">
        <v>240000</v>
      </c>
      <c r="F576" s="72">
        <v>900000</v>
      </c>
      <c r="G576" s="72">
        <v>4500000</v>
      </c>
      <c r="H576" s="72">
        <v>35000</v>
      </c>
      <c r="I576" s="72">
        <v>0</v>
      </c>
      <c r="J576" s="72">
        <v>300000</v>
      </c>
      <c r="K576" s="72">
        <v>1000000</v>
      </c>
      <c r="L576" s="72">
        <v>9391000</v>
      </c>
      <c r="M576" s="72">
        <v>0</v>
      </c>
      <c r="N576" s="72">
        <v>0</v>
      </c>
      <c r="O576" s="72">
        <v>0</v>
      </c>
      <c r="P576" s="72">
        <v>0</v>
      </c>
      <c r="Q576" s="72">
        <v>12675</v>
      </c>
      <c r="R576" s="72">
        <v>12675</v>
      </c>
      <c r="S576" s="72">
        <v>9403675</v>
      </c>
      <c r="T576" s="72">
        <v>4800000</v>
      </c>
      <c r="U576" s="72">
        <v>1900000</v>
      </c>
      <c r="V576" s="72">
        <v>1300000</v>
      </c>
      <c r="W576" s="72">
        <v>400000</v>
      </c>
      <c r="X576" s="72">
        <v>8000</v>
      </c>
      <c r="Y576" s="72">
        <v>0</v>
      </c>
      <c r="Z576" s="72">
        <v>0</v>
      </c>
      <c r="AA576" s="72">
        <v>0</v>
      </c>
      <c r="AB576" s="72">
        <v>0</v>
      </c>
      <c r="AC576" s="72">
        <v>0</v>
      </c>
      <c r="AD576" s="72">
        <v>0</v>
      </c>
      <c r="AE576" s="72">
        <v>0</v>
      </c>
      <c r="AF576" s="72">
        <v>0</v>
      </c>
      <c r="AG576" s="72">
        <v>610000</v>
      </c>
      <c r="AH576" s="72">
        <v>9018000</v>
      </c>
      <c r="AI576" s="72">
        <v>1700</v>
      </c>
      <c r="AJ576" s="72">
        <v>0</v>
      </c>
      <c r="AK576" s="72">
        <v>2308</v>
      </c>
      <c r="AL576" s="72">
        <v>4008</v>
      </c>
      <c r="AM576" s="72">
        <v>9022008</v>
      </c>
      <c r="AN576" s="72">
        <v>381667</v>
      </c>
      <c r="AO576" s="72">
        <v>2499377</v>
      </c>
      <c r="AP576" s="72">
        <v>2881044</v>
      </c>
      <c r="AQ576" s="72">
        <v>0</v>
      </c>
      <c r="AR576" s="72">
        <v>0</v>
      </c>
      <c r="AS576" s="72">
        <v>0</v>
      </c>
      <c r="AT576" s="72">
        <v>0</v>
      </c>
      <c r="AU576" s="72">
        <v>0</v>
      </c>
      <c r="AV576" s="72">
        <v>0</v>
      </c>
      <c r="AW576" s="72">
        <v>0</v>
      </c>
      <c r="AX576" s="72">
        <v>0</v>
      </c>
      <c r="AY576" s="72">
        <v>0</v>
      </c>
      <c r="AZ576" s="72">
        <v>0</v>
      </c>
      <c r="BA576" s="72">
        <v>2881044</v>
      </c>
      <c r="BB576" s="72">
        <v>0</v>
      </c>
      <c r="BC576" s="72">
        <v>0</v>
      </c>
      <c r="BD576" s="72">
        <v>0</v>
      </c>
      <c r="BE576" s="72">
        <v>2881044</v>
      </c>
      <c r="BF576" s="72">
        <v>0</v>
      </c>
      <c r="BG576" s="72">
        <v>0</v>
      </c>
      <c r="BH576" s="72">
        <v>0</v>
      </c>
      <c r="BI576" s="72">
        <v>0</v>
      </c>
      <c r="BJ576" s="72">
        <v>2881044</v>
      </c>
      <c r="BK576" s="72">
        <v>0</v>
      </c>
      <c r="BL576" s="72">
        <v>0</v>
      </c>
      <c r="BM576" s="72">
        <v>0</v>
      </c>
      <c r="BN576" s="72">
        <v>0</v>
      </c>
      <c r="BO576" s="72">
        <v>0</v>
      </c>
      <c r="BP576" s="72">
        <v>0</v>
      </c>
      <c r="BQ576" s="72">
        <v>0</v>
      </c>
      <c r="BR576" s="72">
        <v>0</v>
      </c>
      <c r="BS576" s="72">
        <v>9403675</v>
      </c>
    </row>
    <row r="577" spans="1:71" x14ac:dyDescent="0.2">
      <c r="A577" t="s">
        <v>425</v>
      </c>
      <c r="B577" t="s">
        <v>1133</v>
      </c>
      <c r="C577" t="s">
        <v>101</v>
      </c>
      <c r="D577" s="72">
        <v>2100000</v>
      </c>
      <c r="E577" s="72">
        <v>139000</v>
      </c>
      <c r="F577" s="72">
        <v>0</v>
      </c>
      <c r="G577" s="72">
        <v>4064000</v>
      </c>
      <c r="H577" s="72">
        <v>30000</v>
      </c>
      <c r="I577" s="72">
        <v>0</v>
      </c>
      <c r="J577" s="72">
        <v>330000</v>
      </c>
      <c r="K577" s="72">
        <v>2209000</v>
      </c>
      <c r="L577" s="72">
        <v>8872000</v>
      </c>
      <c r="M577" s="72">
        <v>0</v>
      </c>
      <c r="N577" s="72">
        <v>0</v>
      </c>
      <c r="O577" s="72">
        <v>0</v>
      </c>
      <c r="P577" s="72">
        <v>0</v>
      </c>
      <c r="Q577" s="72">
        <v>19000</v>
      </c>
      <c r="R577" s="72">
        <v>19000</v>
      </c>
      <c r="S577" s="72">
        <v>8891000</v>
      </c>
      <c r="T577" s="72">
        <v>4262700</v>
      </c>
      <c r="U577" s="72">
        <v>1616800</v>
      </c>
      <c r="V577" s="72">
        <v>1356000</v>
      </c>
      <c r="W577" s="72">
        <v>391200</v>
      </c>
      <c r="X577" s="72">
        <v>200000</v>
      </c>
      <c r="Y577" s="72">
        <v>0</v>
      </c>
      <c r="Z577" s="72">
        <v>0</v>
      </c>
      <c r="AA577" s="72">
        <v>0</v>
      </c>
      <c r="AB577" s="72">
        <v>0</v>
      </c>
      <c r="AC577" s="72">
        <v>0</v>
      </c>
      <c r="AD577" s="72">
        <v>0</v>
      </c>
      <c r="AE577" s="72">
        <v>0</v>
      </c>
      <c r="AF577" s="72">
        <v>0</v>
      </c>
      <c r="AG577" s="72">
        <v>565000</v>
      </c>
      <c r="AH577" s="72">
        <v>8391700</v>
      </c>
      <c r="AI577" s="72">
        <v>0</v>
      </c>
      <c r="AJ577" s="72">
        <v>0</v>
      </c>
      <c r="AK577" s="72">
        <v>27000</v>
      </c>
      <c r="AL577" s="72">
        <v>27000</v>
      </c>
      <c r="AM577" s="72">
        <v>8418700</v>
      </c>
      <c r="AN577" s="72">
        <v>472300</v>
      </c>
      <c r="AO577" s="72">
        <v>11576047</v>
      </c>
      <c r="AP577" s="72">
        <v>12048347</v>
      </c>
      <c r="AQ577" s="72">
        <v>2000</v>
      </c>
      <c r="AR577" s="72">
        <v>0</v>
      </c>
      <c r="AS577" s="72">
        <v>0</v>
      </c>
      <c r="AT577" s="72">
        <v>0</v>
      </c>
      <c r="AU577" s="72">
        <v>0</v>
      </c>
      <c r="AV577" s="72">
        <v>0</v>
      </c>
      <c r="AW577" s="72">
        <v>0</v>
      </c>
      <c r="AX577" s="72">
        <v>0</v>
      </c>
      <c r="AY577" s="72">
        <v>0</v>
      </c>
      <c r="AZ577" s="72">
        <v>0</v>
      </c>
      <c r="BA577" s="72">
        <v>12046347</v>
      </c>
      <c r="BB577" s="72">
        <v>0</v>
      </c>
      <c r="BC577" s="72">
        <v>0</v>
      </c>
      <c r="BD577" s="72">
        <v>0</v>
      </c>
      <c r="BE577" s="72">
        <v>12046347</v>
      </c>
      <c r="BF577" s="72">
        <v>0</v>
      </c>
      <c r="BG577" s="72">
        <v>0</v>
      </c>
      <c r="BH577" s="72">
        <v>0</v>
      </c>
      <c r="BI577" s="72">
        <v>0</v>
      </c>
      <c r="BJ577" s="72">
        <v>12046347</v>
      </c>
      <c r="BK577" s="72">
        <v>60</v>
      </c>
      <c r="BL577" s="72">
        <v>840</v>
      </c>
      <c r="BM577" s="72">
        <v>0</v>
      </c>
      <c r="BN577" s="72">
        <v>0</v>
      </c>
      <c r="BO577" s="72">
        <v>0</v>
      </c>
      <c r="BP577" s="72">
        <v>0</v>
      </c>
      <c r="BQ577" s="72">
        <v>0</v>
      </c>
      <c r="BR577" s="72">
        <v>0</v>
      </c>
      <c r="BS577" s="72">
        <v>12048347</v>
      </c>
    </row>
    <row r="578" spans="1:71" x14ac:dyDescent="0.2">
      <c r="A578" t="s">
        <v>717</v>
      </c>
      <c r="B578" t="s">
        <v>1407</v>
      </c>
      <c r="C578" t="s">
        <v>109</v>
      </c>
      <c r="D578" s="72">
        <v>2459801</v>
      </c>
      <c r="E578" s="72">
        <v>639574</v>
      </c>
      <c r="F578" s="72">
        <v>0</v>
      </c>
      <c r="G578" s="72">
        <v>17445025</v>
      </c>
      <c r="H578" s="72">
        <v>29773</v>
      </c>
      <c r="I578" s="72">
        <v>0</v>
      </c>
      <c r="J578" s="72">
        <v>485429</v>
      </c>
      <c r="K578" s="72">
        <v>1515183</v>
      </c>
      <c r="L578" s="72">
        <v>22574785</v>
      </c>
      <c r="M578" s="72">
        <v>460000</v>
      </c>
      <c r="N578" s="72">
        <v>0</v>
      </c>
      <c r="O578" s="72">
        <v>0</v>
      </c>
      <c r="P578" s="72">
        <v>0</v>
      </c>
      <c r="Q578" s="72">
        <v>50000</v>
      </c>
      <c r="R578" s="72">
        <v>510000</v>
      </c>
      <c r="S578" s="72">
        <v>23084785</v>
      </c>
      <c r="T578" s="72">
        <v>11625619</v>
      </c>
      <c r="U578" s="72">
        <v>6451626</v>
      </c>
      <c r="V578" s="72">
        <v>2911639</v>
      </c>
      <c r="W578" s="72">
        <v>835703</v>
      </c>
      <c r="X578" s="72">
        <v>631013</v>
      </c>
      <c r="Y578" s="72">
        <v>0</v>
      </c>
      <c r="Z578" s="72">
        <v>0</v>
      </c>
      <c r="AA578" s="72">
        <v>0</v>
      </c>
      <c r="AB578" s="72">
        <v>0</v>
      </c>
      <c r="AC578" s="72">
        <v>0</v>
      </c>
      <c r="AD578" s="72">
        <v>0</v>
      </c>
      <c r="AE578" s="72">
        <v>0</v>
      </c>
      <c r="AF578" s="72">
        <v>0</v>
      </c>
      <c r="AG578" s="72">
        <v>400130</v>
      </c>
      <c r="AH578" s="72">
        <v>22855730</v>
      </c>
      <c r="AI578" s="72">
        <v>98000</v>
      </c>
      <c r="AJ578" s="72">
        <v>0</v>
      </c>
      <c r="AK578" s="72">
        <v>0</v>
      </c>
      <c r="AL578" s="72">
        <v>98000</v>
      </c>
      <c r="AM578" s="72">
        <v>22953730</v>
      </c>
      <c r="AN578" s="72">
        <v>131055</v>
      </c>
      <c r="AO578" s="72">
        <v>14898986</v>
      </c>
      <c r="AP578" s="72">
        <v>15030041</v>
      </c>
      <c r="AQ578" s="72">
        <v>100000</v>
      </c>
      <c r="AR578" s="72">
        <v>1000000</v>
      </c>
      <c r="AS578" s="72">
        <v>550000</v>
      </c>
      <c r="AT578" s="72">
        <v>0</v>
      </c>
      <c r="AU578" s="72">
        <v>0</v>
      </c>
      <c r="AV578" s="72">
        <v>0</v>
      </c>
      <c r="AW578" s="72">
        <v>0</v>
      </c>
      <c r="AX578" s="72">
        <v>0</v>
      </c>
      <c r="AY578" s="72">
        <v>0</v>
      </c>
      <c r="AZ578" s="72">
        <v>1550000</v>
      </c>
      <c r="BA578" s="72">
        <v>13380041</v>
      </c>
      <c r="BB578" s="72">
        <v>0</v>
      </c>
      <c r="BC578" s="72">
        <v>0</v>
      </c>
      <c r="BD578" s="72">
        <v>0</v>
      </c>
      <c r="BE578" s="72">
        <v>13380041</v>
      </c>
      <c r="BF578" s="72">
        <v>0</v>
      </c>
      <c r="BG578" s="72">
        <v>0</v>
      </c>
      <c r="BH578" s="72">
        <v>0</v>
      </c>
      <c r="BI578" s="72">
        <v>0</v>
      </c>
      <c r="BJ578" s="72">
        <v>13380041</v>
      </c>
      <c r="BM578" s="72">
        <v>0</v>
      </c>
      <c r="BN578" s="72">
        <v>0</v>
      </c>
      <c r="BO578" s="72">
        <v>0</v>
      </c>
      <c r="BP578" s="72">
        <v>0</v>
      </c>
      <c r="BQ578" s="72">
        <v>0</v>
      </c>
      <c r="BR578" s="72">
        <v>0</v>
      </c>
      <c r="BS578" s="72">
        <v>23084785</v>
      </c>
    </row>
    <row r="579" spans="1:71" x14ac:dyDescent="0.2">
      <c r="A579" t="s">
        <v>207</v>
      </c>
      <c r="B579" t="s">
        <v>925</v>
      </c>
      <c r="C579" t="s">
        <v>27</v>
      </c>
      <c r="D579" s="72">
        <v>4482400</v>
      </c>
      <c r="E579" s="72">
        <v>0</v>
      </c>
      <c r="F579" s="72">
        <v>1912123</v>
      </c>
      <c r="G579" s="72">
        <v>8192736</v>
      </c>
      <c r="H579" s="72">
        <v>56000</v>
      </c>
      <c r="I579" s="72">
        <v>0</v>
      </c>
      <c r="J579" s="72">
        <v>525000</v>
      </c>
      <c r="K579" s="72">
        <v>443816</v>
      </c>
      <c r="L579" s="72">
        <v>15612075</v>
      </c>
      <c r="M579" s="72">
        <v>0</v>
      </c>
      <c r="N579" s="72">
        <v>0</v>
      </c>
      <c r="O579" s="72">
        <v>0</v>
      </c>
      <c r="P579" s="72">
        <v>0</v>
      </c>
      <c r="Q579" s="72">
        <v>250</v>
      </c>
      <c r="R579" s="72">
        <v>250</v>
      </c>
      <c r="S579" s="72">
        <v>15612325</v>
      </c>
      <c r="T579" s="72">
        <v>8118338</v>
      </c>
      <c r="U579" s="72">
        <v>3818685</v>
      </c>
      <c r="V579" s="72">
        <v>2470461</v>
      </c>
      <c r="W579" s="72">
        <v>505024</v>
      </c>
      <c r="X579" s="72">
        <v>35000</v>
      </c>
      <c r="Y579" s="72">
        <v>0</v>
      </c>
      <c r="Z579" s="72">
        <v>0</v>
      </c>
      <c r="AA579" s="72">
        <v>0</v>
      </c>
      <c r="AB579" s="72">
        <v>0</v>
      </c>
      <c r="AC579" s="72">
        <v>0</v>
      </c>
      <c r="AD579" s="72">
        <v>0</v>
      </c>
      <c r="AE579" s="72">
        <v>0</v>
      </c>
      <c r="AF579" s="72">
        <v>0</v>
      </c>
      <c r="AG579" s="72">
        <v>173650</v>
      </c>
      <c r="AH579" s="72">
        <v>15121158</v>
      </c>
      <c r="AI579" s="72">
        <v>0</v>
      </c>
      <c r="AJ579" s="72">
        <v>0</v>
      </c>
      <c r="AK579" s="72">
        <v>0</v>
      </c>
      <c r="AL579" s="72">
        <v>0</v>
      </c>
      <c r="AM579" s="72">
        <v>15121158</v>
      </c>
      <c r="AN579" s="72">
        <v>491167</v>
      </c>
      <c r="AO579" s="72">
        <v>518631</v>
      </c>
      <c r="AP579" s="72">
        <v>1009798</v>
      </c>
      <c r="AQ579" s="72">
        <v>0</v>
      </c>
      <c r="AR579" s="72">
        <v>0</v>
      </c>
      <c r="AS579" s="72">
        <v>0</v>
      </c>
      <c r="AT579" s="72">
        <v>0</v>
      </c>
      <c r="AU579" s="72">
        <v>0</v>
      </c>
      <c r="AV579" s="72">
        <v>0</v>
      </c>
      <c r="AW579" s="72">
        <v>0</v>
      </c>
      <c r="AX579" s="72">
        <v>0</v>
      </c>
      <c r="AY579" s="72">
        <v>0</v>
      </c>
      <c r="AZ579" s="72">
        <v>0</v>
      </c>
      <c r="BA579" s="72">
        <v>1009798</v>
      </c>
      <c r="BB579" s="72">
        <v>0</v>
      </c>
      <c r="BC579" s="72">
        <v>0</v>
      </c>
      <c r="BD579" s="72">
        <v>0</v>
      </c>
      <c r="BE579" s="72">
        <v>1009798</v>
      </c>
      <c r="BF579" s="72">
        <v>0</v>
      </c>
      <c r="BG579" s="72">
        <v>0</v>
      </c>
      <c r="BH579" s="72">
        <v>0</v>
      </c>
      <c r="BI579" s="72">
        <v>0</v>
      </c>
      <c r="BJ579" s="72">
        <v>1009798</v>
      </c>
      <c r="BK579" s="72">
        <v>0</v>
      </c>
      <c r="BL579" s="72">
        <v>0</v>
      </c>
      <c r="BM579" s="72">
        <v>0</v>
      </c>
      <c r="BN579" s="72">
        <v>0</v>
      </c>
      <c r="BO579" s="72">
        <v>0</v>
      </c>
      <c r="BP579" s="72">
        <v>0</v>
      </c>
      <c r="BQ579" s="72">
        <v>0</v>
      </c>
      <c r="BR579" s="72">
        <v>0</v>
      </c>
      <c r="BS579" s="72">
        <v>15612325</v>
      </c>
    </row>
    <row r="580" spans="1:71" x14ac:dyDescent="0.2">
      <c r="A580" t="s">
        <v>650</v>
      </c>
      <c r="B580" t="s">
        <v>1342</v>
      </c>
      <c r="C580" t="s">
        <v>27</v>
      </c>
      <c r="D580" s="72">
        <v>20734110</v>
      </c>
      <c r="E580" s="72">
        <v>3560865</v>
      </c>
      <c r="F580" s="72">
        <v>0</v>
      </c>
      <c r="G580" s="72">
        <v>11731474</v>
      </c>
      <c r="H580" s="72">
        <v>6380</v>
      </c>
      <c r="I580" s="72">
        <v>0</v>
      </c>
      <c r="J580" s="72">
        <v>2935593</v>
      </c>
      <c r="K580" s="72">
        <v>1007592</v>
      </c>
      <c r="L580" s="72">
        <v>39976013</v>
      </c>
      <c r="M580" s="72">
        <v>0</v>
      </c>
      <c r="N580" s="72">
        <v>0</v>
      </c>
      <c r="O580" s="72">
        <v>0</v>
      </c>
      <c r="P580" s="72">
        <v>124388</v>
      </c>
      <c r="Q580" s="72">
        <v>5000</v>
      </c>
      <c r="R580" s="72">
        <v>129388</v>
      </c>
      <c r="S580" s="72">
        <v>40105401</v>
      </c>
      <c r="T580" s="72">
        <v>25413235</v>
      </c>
      <c r="U580" s="72">
        <v>8942728</v>
      </c>
      <c r="V580" s="72">
        <v>6048916</v>
      </c>
      <c r="W580" s="72">
        <v>2393579</v>
      </c>
      <c r="X580" s="72">
        <v>2046076</v>
      </c>
      <c r="Y580" s="72">
        <v>0</v>
      </c>
      <c r="Z580" s="72">
        <v>0</v>
      </c>
      <c r="AA580" s="72">
        <v>0</v>
      </c>
      <c r="AB580" s="72">
        <v>0</v>
      </c>
      <c r="AC580" s="72">
        <v>0</v>
      </c>
      <c r="AD580" s="72">
        <v>0</v>
      </c>
      <c r="AE580" s="72">
        <v>226000</v>
      </c>
      <c r="AF580" s="72">
        <v>161389</v>
      </c>
      <c r="AG580" s="72">
        <v>555000</v>
      </c>
      <c r="AH580" s="72">
        <v>45786923</v>
      </c>
      <c r="AI580" s="72">
        <v>180000</v>
      </c>
      <c r="AJ580" s="72">
        <v>20000</v>
      </c>
      <c r="AK580" s="72">
        <v>5000</v>
      </c>
      <c r="AL580" s="72">
        <v>205000</v>
      </c>
      <c r="AM580" s="72">
        <v>45991923</v>
      </c>
      <c r="AN580" s="72">
        <v>-5886522</v>
      </c>
      <c r="AO580" s="72">
        <v>11070585</v>
      </c>
      <c r="AP580" s="72">
        <v>5184063</v>
      </c>
      <c r="AQ580" s="72">
        <v>0</v>
      </c>
      <c r="AR580" s="72">
        <v>0</v>
      </c>
      <c r="AS580" s="72">
        <v>0</v>
      </c>
      <c r="AT580" s="72">
        <v>1008209</v>
      </c>
      <c r="AU580" s="72">
        <v>0</v>
      </c>
      <c r="AW580" s="72">
        <v>0</v>
      </c>
      <c r="AX580" s="72">
        <v>0</v>
      </c>
      <c r="AY580" s="72">
        <v>0</v>
      </c>
      <c r="AZ580" s="72">
        <v>1008209</v>
      </c>
      <c r="BA580" s="72">
        <v>4175854</v>
      </c>
      <c r="BB580" s="72">
        <v>0</v>
      </c>
      <c r="BC580" s="72">
        <v>3910616</v>
      </c>
      <c r="BD580" s="72">
        <v>3910616</v>
      </c>
      <c r="BE580" s="72">
        <v>8086471</v>
      </c>
      <c r="BF580" s="72">
        <v>0</v>
      </c>
      <c r="BG580" s="72">
        <v>0</v>
      </c>
      <c r="BH580" s="72">
        <v>0</v>
      </c>
      <c r="BI580" s="72">
        <v>0</v>
      </c>
      <c r="BJ580" s="72">
        <v>8086471</v>
      </c>
      <c r="BK580" s="72">
        <v>329</v>
      </c>
      <c r="BL580" s="72">
        <v>5438</v>
      </c>
      <c r="BS580" s="72">
        <v>45991923</v>
      </c>
    </row>
    <row r="581" spans="1:71" x14ac:dyDescent="0.2">
      <c r="A581" t="s">
        <v>400</v>
      </c>
      <c r="B581" t="s">
        <v>1111</v>
      </c>
      <c r="C581" t="s">
        <v>27</v>
      </c>
      <c r="D581" s="72">
        <v>23162089</v>
      </c>
      <c r="E581" s="72">
        <v>0</v>
      </c>
      <c r="F581" s="72">
        <v>0</v>
      </c>
      <c r="G581" s="72">
        <v>6757107</v>
      </c>
      <c r="H581" s="72">
        <v>215100</v>
      </c>
      <c r="I581" s="72">
        <v>0</v>
      </c>
      <c r="J581" s="72">
        <v>5850000</v>
      </c>
      <c r="K581" s="72">
        <v>3152734</v>
      </c>
      <c r="L581" s="72">
        <v>39137030</v>
      </c>
      <c r="M581" s="72">
        <v>0</v>
      </c>
      <c r="N581" s="72">
        <v>0</v>
      </c>
      <c r="O581" s="72">
        <v>0</v>
      </c>
      <c r="P581" s="72">
        <v>100000</v>
      </c>
      <c r="Q581" s="72">
        <v>0</v>
      </c>
      <c r="R581" s="72">
        <v>100000</v>
      </c>
      <c r="S581" s="72">
        <v>39237030</v>
      </c>
      <c r="T581" s="72">
        <v>22162972</v>
      </c>
      <c r="U581" s="72">
        <v>8711751</v>
      </c>
      <c r="V581" s="72">
        <v>7452097</v>
      </c>
      <c r="W581" s="72">
        <v>1377804</v>
      </c>
      <c r="X581" s="72">
        <v>105000</v>
      </c>
      <c r="Y581" s="72">
        <v>0</v>
      </c>
      <c r="Z581" s="72">
        <v>0</v>
      </c>
      <c r="AA581" s="72">
        <v>0</v>
      </c>
      <c r="AB581" s="72">
        <v>0</v>
      </c>
      <c r="AC581" s="72">
        <v>0</v>
      </c>
      <c r="AD581" s="72">
        <v>0</v>
      </c>
      <c r="AE581" s="72">
        <v>0</v>
      </c>
      <c r="AF581" s="72">
        <v>0</v>
      </c>
      <c r="AG581" s="72">
        <v>625000</v>
      </c>
      <c r="AH581" s="72">
        <v>40434624</v>
      </c>
      <c r="AI581" s="72">
        <v>0</v>
      </c>
      <c r="AJ581" s="72">
        <v>100000</v>
      </c>
      <c r="AK581" s="72">
        <v>0</v>
      </c>
      <c r="AL581" s="72">
        <v>100000</v>
      </c>
      <c r="AM581" s="72">
        <v>40534624</v>
      </c>
      <c r="AN581" s="72">
        <v>-1297594</v>
      </c>
      <c r="AO581" s="72">
        <v>9770796</v>
      </c>
      <c r="AP581" s="72">
        <v>8473202</v>
      </c>
      <c r="AQ581" s="72">
        <v>485000</v>
      </c>
      <c r="AR581" s="72">
        <v>0</v>
      </c>
      <c r="AS581" s="72">
        <v>0</v>
      </c>
      <c r="AT581" s="72">
        <v>0</v>
      </c>
      <c r="AU581" s="72">
        <v>0</v>
      </c>
      <c r="AV581" s="72">
        <v>0</v>
      </c>
      <c r="AW581" s="72">
        <v>0</v>
      </c>
      <c r="AX581" s="72">
        <v>0</v>
      </c>
      <c r="AY581" s="72">
        <v>0</v>
      </c>
      <c r="AZ581" s="72">
        <v>0</v>
      </c>
      <c r="BA581" s="72">
        <v>7988202</v>
      </c>
      <c r="BB581" s="72">
        <v>0</v>
      </c>
      <c r="BC581" s="72">
        <v>0</v>
      </c>
      <c r="BD581" s="72">
        <v>0</v>
      </c>
      <c r="BE581" s="72">
        <v>7988202</v>
      </c>
      <c r="BF581" s="72">
        <v>0</v>
      </c>
      <c r="BG581" s="72">
        <v>0</v>
      </c>
      <c r="BH581" s="72">
        <v>0</v>
      </c>
      <c r="BI581" s="72">
        <v>0</v>
      </c>
      <c r="BJ581" s="72">
        <v>7988202</v>
      </c>
      <c r="BK581" s="72">
        <v>0</v>
      </c>
      <c r="BL581" s="72">
        <v>0</v>
      </c>
      <c r="BM581" s="72">
        <v>0</v>
      </c>
      <c r="BN581" s="72">
        <v>0</v>
      </c>
      <c r="BO581" s="72">
        <v>0</v>
      </c>
      <c r="BP581" s="72">
        <v>0</v>
      </c>
      <c r="BQ581" s="72">
        <v>0</v>
      </c>
      <c r="BR581" s="72">
        <v>0</v>
      </c>
      <c r="BS581" s="72">
        <v>40534624</v>
      </c>
    </row>
    <row r="582" spans="1:71" x14ac:dyDescent="0.2">
      <c r="A582" t="s">
        <v>427</v>
      </c>
      <c r="B582" t="s">
        <v>1135</v>
      </c>
      <c r="C582" t="s">
        <v>27</v>
      </c>
      <c r="D582" s="72">
        <v>22968694</v>
      </c>
      <c r="E582" s="72">
        <v>832692</v>
      </c>
      <c r="F582" s="72">
        <v>0</v>
      </c>
      <c r="G582" s="72">
        <v>9466414</v>
      </c>
      <c r="H582" s="72">
        <v>56001</v>
      </c>
      <c r="I582" s="72">
        <v>0</v>
      </c>
      <c r="J582" s="72">
        <v>3520576</v>
      </c>
      <c r="K582" s="72">
        <v>1133000</v>
      </c>
      <c r="L582" s="72">
        <v>37977377</v>
      </c>
      <c r="M582" s="72">
        <v>0</v>
      </c>
      <c r="N582" s="72">
        <v>0</v>
      </c>
      <c r="O582" s="72">
        <v>0</v>
      </c>
      <c r="P582" s="72">
        <v>0</v>
      </c>
      <c r="Q582" s="72">
        <v>0</v>
      </c>
      <c r="R582" s="72">
        <v>0</v>
      </c>
      <c r="S582" s="72">
        <v>37977377</v>
      </c>
      <c r="T582" s="72">
        <v>17885114</v>
      </c>
      <c r="U582" s="72">
        <v>7127441</v>
      </c>
      <c r="V582" s="72">
        <v>6094336</v>
      </c>
      <c r="W582" s="72">
        <v>1207915</v>
      </c>
      <c r="X582" s="72">
        <v>45000</v>
      </c>
      <c r="Y582" s="72">
        <v>0</v>
      </c>
      <c r="Z582" s="72">
        <v>0</v>
      </c>
      <c r="AA582" s="72">
        <v>0</v>
      </c>
      <c r="AB582" s="72">
        <v>0</v>
      </c>
      <c r="AC582" s="72">
        <v>2976000</v>
      </c>
      <c r="AD582" s="72">
        <v>0</v>
      </c>
      <c r="AE582" s="72">
        <v>0</v>
      </c>
      <c r="AF582" s="72">
        <v>0</v>
      </c>
      <c r="AG582" s="72">
        <v>494898</v>
      </c>
      <c r="AH582" s="72">
        <v>35830704</v>
      </c>
      <c r="AI582" s="72">
        <v>0</v>
      </c>
      <c r="AJ582" s="72">
        <v>0</v>
      </c>
      <c r="AK582" s="72">
        <v>0</v>
      </c>
      <c r="AL582" s="72">
        <v>0</v>
      </c>
      <c r="AM582" s="72">
        <v>35830704</v>
      </c>
      <c r="AN582" s="72">
        <v>2146673</v>
      </c>
      <c r="AO582" s="72">
        <v>12174770</v>
      </c>
      <c r="AP582" s="72">
        <v>14321443</v>
      </c>
      <c r="AQ582" s="72">
        <v>300000</v>
      </c>
      <c r="AR582" s="72">
        <v>0</v>
      </c>
      <c r="AS582" s="72">
        <v>0</v>
      </c>
      <c r="AT582" s="72">
        <v>0</v>
      </c>
      <c r="AU582" s="72">
        <v>0</v>
      </c>
      <c r="AV582" s="72">
        <v>0</v>
      </c>
      <c r="AW582" s="72">
        <v>0</v>
      </c>
      <c r="AX582" s="72">
        <v>0</v>
      </c>
      <c r="AY582" s="72">
        <v>0</v>
      </c>
      <c r="AZ582" s="72">
        <v>0</v>
      </c>
      <c r="BA582" s="72">
        <v>14021443</v>
      </c>
      <c r="BB582" s="72">
        <v>0</v>
      </c>
      <c r="BC582" s="72">
        <v>0</v>
      </c>
      <c r="BD582" s="72">
        <v>0</v>
      </c>
      <c r="BE582" s="72">
        <v>14021443</v>
      </c>
      <c r="BF582" s="72">
        <v>0</v>
      </c>
      <c r="BG582" s="72">
        <v>0</v>
      </c>
      <c r="BH582" s="72">
        <v>0</v>
      </c>
      <c r="BI582" s="72">
        <v>0</v>
      </c>
      <c r="BJ582" s="72">
        <v>14021443</v>
      </c>
      <c r="BM582" s="72">
        <v>0</v>
      </c>
      <c r="BN582" s="72">
        <v>0</v>
      </c>
      <c r="BO582" s="72">
        <v>0</v>
      </c>
      <c r="BP582" s="72">
        <v>0</v>
      </c>
      <c r="BQ582" s="72">
        <v>0</v>
      </c>
      <c r="BR582" s="72">
        <v>0</v>
      </c>
      <c r="BS582" s="72">
        <v>37977377</v>
      </c>
    </row>
    <row r="583" spans="1:71" x14ac:dyDescent="0.2">
      <c r="A583" t="s">
        <v>463</v>
      </c>
      <c r="B583" t="s">
        <v>1168</v>
      </c>
      <c r="C583" t="s">
        <v>27</v>
      </c>
      <c r="D583" s="72">
        <v>49463406</v>
      </c>
      <c r="E583" s="72">
        <v>0</v>
      </c>
      <c r="F583" s="72">
        <v>0</v>
      </c>
      <c r="G583" s="72">
        <v>28870208</v>
      </c>
      <c r="H583" s="72">
        <v>40000</v>
      </c>
      <c r="I583" s="72">
        <v>0</v>
      </c>
      <c r="J583" s="72">
        <v>13108548</v>
      </c>
      <c r="K583" s="72">
        <v>2735520</v>
      </c>
      <c r="L583" s="72">
        <v>94217682</v>
      </c>
      <c r="M583" s="72">
        <v>0</v>
      </c>
      <c r="N583" s="72">
        <v>0</v>
      </c>
      <c r="O583" s="72">
        <v>0</v>
      </c>
      <c r="P583" s="72">
        <v>1001244</v>
      </c>
      <c r="Q583" s="72">
        <v>0</v>
      </c>
      <c r="R583" s="72">
        <v>1001244</v>
      </c>
      <c r="S583" s="72">
        <v>95218926</v>
      </c>
      <c r="T583" s="72">
        <v>58945126</v>
      </c>
      <c r="U583" s="72">
        <v>27394615</v>
      </c>
      <c r="V583" s="72">
        <v>8446895</v>
      </c>
      <c r="W583" s="72">
        <v>3306464</v>
      </c>
      <c r="X583" s="72">
        <v>42183</v>
      </c>
      <c r="Y583" s="72">
        <v>0</v>
      </c>
      <c r="Z583" s="72">
        <v>0</v>
      </c>
      <c r="AA583" s="72">
        <v>0</v>
      </c>
      <c r="AB583" s="72">
        <v>0</v>
      </c>
      <c r="AC583" s="72">
        <v>0</v>
      </c>
      <c r="AD583" s="72">
        <v>0</v>
      </c>
      <c r="AE583" s="72">
        <v>0</v>
      </c>
      <c r="AF583" s="72">
        <v>0</v>
      </c>
      <c r="AG583" s="72">
        <v>917550</v>
      </c>
      <c r="AH583" s="72">
        <v>99052833</v>
      </c>
      <c r="AI583" s="72">
        <v>0</v>
      </c>
      <c r="AJ583" s="72">
        <v>1100000</v>
      </c>
      <c r="AK583" s="72">
        <v>0</v>
      </c>
      <c r="AL583" s="72">
        <v>1100000</v>
      </c>
      <c r="AM583" s="72">
        <v>100152833</v>
      </c>
      <c r="AN583" s="72">
        <v>-4933907</v>
      </c>
      <c r="AO583" s="72">
        <v>33511812</v>
      </c>
      <c r="AP583" s="72">
        <v>28577905</v>
      </c>
      <c r="AQ583" s="72">
        <v>799332</v>
      </c>
      <c r="AR583" s="72">
        <v>0</v>
      </c>
      <c r="AS583" s="72">
        <v>0</v>
      </c>
      <c r="AT583" s="72">
        <v>85593</v>
      </c>
      <c r="AU583" s="72">
        <v>0</v>
      </c>
      <c r="AV583" s="72">
        <v>0</v>
      </c>
      <c r="AW583" s="72">
        <v>0</v>
      </c>
      <c r="AX583" s="72">
        <v>0</v>
      </c>
      <c r="AY583" s="72">
        <v>0</v>
      </c>
      <c r="AZ583" s="72">
        <v>85593</v>
      </c>
      <c r="BA583" s="72">
        <v>27692980</v>
      </c>
      <c r="BB583" s="72">
        <v>0</v>
      </c>
      <c r="BC583" s="72">
        <v>0</v>
      </c>
      <c r="BD583" s="72">
        <v>0</v>
      </c>
      <c r="BE583" s="72">
        <v>27692980</v>
      </c>
      <c r="BF583" s="72">
        <v>0</v>
      </c>
      <c r="BG583" s="72">
        <v>0</v>
      </c>
      <c r="BH583" s="72">
        <v>0</v>
      </c>
      <c r="BI583" s="72">
        <v>0</v>
      </c>
      <c r="BJ583" s="72">
        <v>27692980</v>
      </c>
      <c r="BK583" s="72">
        <v>574</v>
      </c>
      <c r="BL583" s="72">
        <v>10036</v>
      </c>
      <c r="BM583" s="72">
        <v>0</v>
      </c>
      <c r="BN583" s="72">
        <v>0</v>
      </c>
      <c r="BO583" s="72">
        <v>0</v>
      </c>
      <c r="BP583" s="72">
        <v>0</v>
      </c>
      <c r="BQ583" s="72">
        <v>0</v>
      </c>
      <c r="BR583" s="72">
        <v>0</v>
      </c>
      <c r="BS583" s="72">
        <v>100152833</v>
      </c>
    </row>
    <row r="584" spans="1:71" x14ac:dyDescent="0.2">
      <c r="A584" t="s">
        <v>733</v>
      </c>
      <c r="B584" t="s">
        <v>1422</v>
      </c>
      <c r="C584" t="s">
        <v>27</v>
      </c>
      <c r="D584" s="72">
        <v>7896258</v>
      </c>
      <c r="E584" s="72">
        <v>0</v>
      </c>
      <c r="F584" s="72">
        <v>0</v>
      </c>
      <c r="G584" s="72">
        <v>4025957</v>
      </c>
      <c r="H584" s="72">
        <v>1578</v>
      </c>
      <c r="I584" s="72">
        <v>0</v>
      </c>
      <c r="J584" s="72">
        <v>902803</v>
      </c>
      <c r="K584" s="72">
        <v>704687</v>
      </c>
      <c r="L584" s="72">
        <v>13531283</v>
      </c>
      <c r="M584" s="72">
        <v>0</v>
      </c>
      <c r="N584" s="72">
        <v>0</v>
      </c>
      <c r="O584" s="72">
        <v>0</v>
      </c>
      <c r="P584" s="72">
        <v>0</v>
      </c>
      <c r="Q584" s="72">
        <v>15</v>
      </c>
      <c r="R584" s="72">
        <v>15</v>
      </c>
      <c r="S584" s="72">
        <v>13531298</v>
      </c>
      <c r="T584" s="72">
        <v>7135443</v>
      </c>
      <c r="U584" s="72">
        <v>2956346</v>
      </c>
      <c r="V584" s="72">
        <v>1891341</v>
      </c>
      <c r="W584" s="72">
        <v>552495</v>
      </c>
      <c r="X584" s="72">
        <v>23140</v>
      </c>
      <c r="Y584" s="72">
        <v>0</v>
      </c>
      <c r="Z584" s="72">
        <v>0</v>
      </c>
      <c r="AA584" s="72">
        <v>0</v>
      </c>
      <c r="AB584" s="72">
        <v>0</v>
      </c>
      <c r="AC584" s="72">
        <v>0</v>
      </c>
      <c r="AD584" s="72">
        <v>0</v>
      </c>
      <c r="AE584" s="72">
        <v>0</v>
      </c>
      <c r="AF584" s="72">
        <v>0</v>
      </c>
      <c r="AG584" s="72">
        <v>68824</v>
      </c>
      <c r="AH584" s="72">
        <v>12627589</v>
      </c>
      <c r="AI584" s="72">
        <v>0</v>
      </c>
      <c r="AJ584" s="72">
        <v>0</v>
      </c>
      <c r="AK584" s="72">
        <v>0</v>
      </c>
      <c r="AL584" s="72">
        <v>0</v>
      </c>
      <c r="AM584" s="72">
        <v>12627589</v>
      </c>
      <c r="AN584" s="72">
        <v>903709</v>
      </c>
      <c r="AO584" s="72">
        <v>4863485</v>
      </c>
      <c r="AP584" s="72">
        <v>5767194</v>
      </c>
      <c r="AQ584" s="72">
        <v>81568</v>
      </c>
      <c r="AR584" s="72">
        <v>0</v>
      </c>
      <c r="AS584" s="72">
        <v>0</v>
      </c>
      <c r="AT584" s="72">
        <v>0</v>
      </c>
      <c r="AU584" s="72">
        <v>0</v>
      </c>
      <c r="AV584" s="72">
        <v>0</v>
      </c>
      <c r="AW584" s="72">
        <v>0</v>
      </c>
      <c r="AX584" s="72">
        <v>0</v>
      </c>
      <c r="AY584" s="72">
        <v>0</v>
      </c>
      <c r="AZ584" s="72">
        <v>0</v>
      </c>
      <c r="BA584" s="72">
        <v>5685626</v>
      </c>
      <c r="BB584" s="72">
        <v>0</v>
      </c>
      <c r="BC584" s="72">
        <v>0</v>
      </c>
      <c r="BD584" s="72">
        <v>0</v>
      </c>
      <c r="BE584" s="72">
        <v>5685626</v>
      </c>
      <c r="BF584" s="72">
        <v>0</v>
      </c>
      <c r="BG584" s="72">
        <v>0</v>
      </c>
      <c r="BH584" s="72">
        <v>0</v>
      </c>
      <c r="BI584" s="72">
        <v>0</v>
      </c>
      <c r="BJ584" s="72">
        <v>5685626</v>
      </c>
      <c r="BK584" s="72">
        <v>0</v>
      </c>
      <c r="BL584" s="72">
        <v>108</v>
      </c>
      <c r="BM584" s="72">
        <v>0</v>
      </c>
      <c r="BN584" s="72">
        <v>0</v>
      </c>
      <c r="BO584" s="72">
        <v>0</v>
      </c>
      <c r="BP584" s="72">
        <v>0</v>
      </c>
      <c r="BQ584" s="72">
        <v>0</v>
      </c>
      <c r="BR584" s="72">
        <v>0</v>
      </c>
      <c r="BS584" s="72">
        <v>13531298</v>
      </c>
    </row>
    <row r="585" spans="1:71" x14ac:dyDescent="0.2">
      <c r="A585" t="s">
        <v>316</v>
      </c>
      <c r="B585" t="s">
        <v>1030</v>
      </c>
      <c r="C585" t="s">
        <v>76</v>
      </c>
      <c r="D585" s="72">
        <v>2216822</v>
      </c>
      <c r="E585" s="72">
        <v>2342940</v>
      </c>
      <c r="F585" s="72">
        <v>0</v>
      </c>
      <c r="G585" s="72">
        <v>4202536</v>
      </c>
      <c r="H585" s="72">
        <v>23856</v>
      </c>
      <c r="I585" s="72">
        <v>0</v>
      </c>
      <c r="J585" s="72">
        <v>304764</v>
      </c>
      <c r="K585" s="72">
        <v>672726</v>
      </c>
      <c r="L585" s="72">
        <v>9763644</v>
      </c>
      <c r="M585" s="72">
        <v>0</v>
      </c>
      <c r="N585" s="72">
        <v>0</v>
      </c>
      <c r="O585" s="72">
        <v>0</v>
      </c>
      <c r="P585" s="72">
        <v>15000</v>
      </c>
      <c r="Q585" s="72">
        <v>20000</v>
      </c>
      <c r="R585" s="72">
        <v>35000</v>
      </c>
      <c r="S585" s="72">
        <v>9798644</v>
      </c>
      <c r="T585" s="72">
        <v>4832437</v>
      </c>
      <c r="U585" s="72">
        <v>1962347</v>
      </c>
      <c r="V585" s="72">
        <v>1544687</v>
      </c>
      <c r="W585" s="72">
        <v>495564</v>
      </c>
      <c r="X585" s="72">
        <v>184986</v>
      </c>
      <c r="Y585" s="72">
        <v>0</v>
      </c>
      <c r="Z585" s="72">
        <v>0</v>
      </c>
      <c r="AA585" s="72">
        <v>0</v>
      </c>
      <c r="AB585" s="72">
        <v>0</v>
      </c>
      <c r="AC585" s="72">
        <v>0</v>
      </c>
      <c r="AD585" s="72">
        <v>0</v>
      </c>
      <c r="AE585" s="72">
        <v>0</v>
      </c>
      <c r="AF585" s="72">
        <v>0</v>
      </c>
      <c r="AG585" s="72">
        <v>219810</v>
      </c>
      <c r="AH585" s="72">
        <v>9239831</v>
      </c>
      <c r="AI585" s="72">
        <v>10000</v>
      </c>
      <c r="AJ585" s="72">
        <v>15000</v>
      </c>
      <c r="AK585" s="72">
        <v>0</v>
      </c>
      <c r="AL585" s="72">
        <v>25000</v>
      </c>
      <c r="AM585" s="72">
        <v>9264831</v>
      </c>
      <c r="AN585" s="72">
        <v>533813</v>
      </c>
      <c r="AO585" s="72">
        <v>1813047</v>
      </c>
      <c r="AP585" s="72">
        <v>2346860</v>
      </c>
      <c r="AQ585" s="72">
        <v>20000</v>
      </c>
      <c r="AR585" s="72">
        <v>0</v>
      </c>
      <c r="AS585" s="72">
        <v>0</v>
      </c>
      <c r="AT585" s="72">
        <v>0</v>
      </c>
      <c r="AU585" s="72">
        <v>0</v>
      </c>
      <c r="AV585" s="72">
        <v>0</v>
      </c>
      <c r="AW585" s="72">
        <v>0</v>
      </c>
      <c r="AX585" s="72">
        <v>0</v>
      </c>
      <c r="AY585" s="72">
        <v>0</v>
      </c>
      <c r="AZ585" s="72">
        <v>0</v>
      </c>
      <c r="BA585" s="72">
        <v>2326860</v>
      </c>
      <c r="BB585" s="72">
        <v>0</v>
      </c>
      <c r="BC585" s="72">
        <v>0</v>
      </c>
      <c r="BD585" s="72">
        <v>0</v>
      </c>
      <c r="BE585" s="72">
        <v>2326860</v>
      </c>
      <c r="BF585" s="72">
        <v>0</v>
      </c>
      <c r="BG585" s="72">
        <v>0</v>
      </c>
      <c r="BH585" s="72">
        <v>0</v>
      </c>
      <c r="BI585" s="72">
        <v>0</v>
      </c>
      <c r="BJ585" s="72">
        <v>2326860</v>
      </c>
      <c r="BM585" s="72">
        <v>0</v>
      </c>
      <c r="BN585" s="72">
        <v>0</v>
      </c>
      <c r="BO585" s="72">
        <v>0</v>
      </c>
      <c r="BP585" s="72">
        <v>0</v>
      </c>
      <c r="BQ585" s="72">
        <v>0</v>
      </c>
      <c r="BR585" s="72">
        <v>0</v>
      </c>
      <c r="BS585" s="72">
        <v>9798644</v>
      </c>
    </row>
    <row r="586" spans="1:71" x14ac:dyDescent="0.2">
      <c r="A586" t="s">
        <v>326</v>
      </c>
      <c r="B586" t="s">
        <v>1040</v>
      </c>
      <c r="C586" t="s">
        <v>76</v>
      </c>
      <c r="D586" s="72">
        <v>1068169</v>
      </c>
      <c r="E586" s="72">
        <v>166564</v>
      </c>
      <c r="F586" s="72">
        <v>0</v>
      </c>
      <c r="G586" s="72">
        <v>5119953</v>
      </c>
      <c r="H586" s="72">
        <v>120669</v>
      </c>
      <c r="I586" s="72">
        <v>0</v>
      </c>
      <c r="J586" s="72">
        <v>209347</v>
      </c>
      <c r="K586" s="72">
        <v>296505</v>
      </c>
      <c r="L586" s="72">
        <v>6981207</v>
      </c>
      <c r="M586" s="72">
        <v>0</v>
      </c>
      <c r="N586" s="72">
        <v>0</v>
      </c>
      <c r="O586" s="72">
        <v>0</v>
      </c>
      <c r="P586" s="72">
        <v>0</v>
      </c>
      <c r="Q586" s="72">
        <v>0</v>
      </c>
      <c r="R586" s="72">
        <v>0</v>
      </c>
      <c r="S586" s="72">
        <v>6981207</v>
      </c>
      <c r="T586" s="72">
        <v>3625313</v>
      </c>
      <c r="U586" s="72">
        <v>1498471</v>
      </c>
      <c r="V586" s="72">
        <v>1551016</v>
      </c>
      <c r="W586" s="72">
        <v>393430</v>
      </c>
      <c r="X586" s="72">
        <v>88367</v>
      </c>
      <c r="Y586" s="72">
        <v>0</v>
      </c>
      <c r="Z586" s="72">
        <v>0</v>
      </c>
      <c r="AA586" s="72">
        <v>0</v>
      </c>
      <c r="AB586" s="72">
        <v>0</v>
      </c>
      <c r="AC586" s="72">
        <v>0</v>
      </c>
      <c r="AD586" s="72">
        <v>28000</v>
      </c>
      <c r="AE586" s="72">
        <v>0</v>
      </c>
      <c r="AF586" s="72">
        <v>2580</v>
      </c>
      <c r="AG586" s="72">
        <v>76886</v>
      </c>
      <c r="AH586" s="72">
        <v>7264063</v>
      </c>
      <c r="AI586" s="72">
        <v>20000</v>
      </c>
      <c r="AJ586" s="72">
        <v>0</v>
      </c>
      <c r="AK586" s="72">
        <v>0</v>
      </c>
      <c r="AL586" s="72">
        <v>20000</v>
      </c>
      <c r="AM586" s="72">
        <v>7284063</v>
      </c>
      <c r="AN586" s="72">
        <v>-302856</v>
      </c>
      <c r="AO586" s="72">
        <v>990481</v>
      </c>
      <c r="AP586" s="72">
        <v>687625</v>
      </c>
      <c r="AQ586" s="72">
        <v>0</v>
      </c>
      <c r="AR586" s="72">
        <v>0</v>
      </c>
      <c r="AS586" s="72">
        <v>0</v>
      </c>
      <c r="AT586" s="72">
        <v>0</v>
      </c>
      <c r="AU586" s="72">
        <v>0</v>
      </c>
      <c r="AV586" s="72">
        <v>0</v>
      </c>
      <c r="AW586" s="72">
        <v>0</v>
      </c>
      <c r="AX586" s="72">
        <v>0</v>
      </c>
      <c r="AY586" s="72">
        <v>0</v>
      </c>
      <c r="AZ586" s="72">
        <v>0</v>
      </c>
      <c r="BA586" s="72">
        <v>687625</v>
      </c>
      <c r="BB586" s="72">
        <v>0</v>
      </c>
      <c r="BC586" s="72">
        <v>0</v>
      </c>
      <c r="BD586" s="72">
        <v>0</v>
      </c>
      <c r="BE586" s="72">
        <v>687625</v>
      </c>
      <c r="BF586" s="72">
        <v>0</v>
      </c>
      <c r="BG586" s="72">
        <v>0</v>
      </c>
      <c r="BH586" s="72">
        <v>0</v>
      </c>
      <c r="BI586" s="72">
        <v>0</v>
      </c>
      <c r="BJ586" s="72">
        <v>687625</v>
      </c>
      <c r="BM586" s="72">
        <v>0</v>
      </c>
      <c r="BN586" s="72">
        <v>0</v>
      </c>
      <c r="BO586" s="72">
        <v>0</v>
      </c>
      <c r="BP586" s="72">
        <v>0</v>
      </c>
      <c r="BQ586" s="72">
        <v>0</v>
      </c>
      <c r="BR586" s="72">
        <v>0</v>
      </c>
      <c r="BS586" s="72">
        <v>7284063</v>
      </c>
    </row>
    <row r="587" spans="1:71" x14ac:dyDescent="0.2">
      <c r="A587" t="s">
        <v>723</v>
      </c>
      <c r="B587" t="s">
        <v>1413</v>
      </c>
      <c r="C587" t="s">
        <v>76</v>
      </c>
      <c r="D587" s="72">
        <v>5092740</v>
      </c>
      <c r="E587" s="72">
        <v>491536</v>
      </c>
      <c r="F587" s="72">
        <v>0</v>
      </c>
      <c r="G587" s="72">
        <v>11526487</v>
      </c>
      <c r="H587" s="72">
        <v>35180</v>
      </c>
      <c r="I587" s="72">
        <v>0</v>
      </c>
      <c r="J587" s="72">
        <v>1387875</v>
      </c>
      <c r="K587" s="72">
        <v>1259842</v>
      </c>
      <c r="L587" s="72">
        <v>19793660</v>
      </c>
      <c r="M587" s="72">
        <v>0</v>
      </c>
      <c r="N587" s="72">
        <v>0</v>
      </c>
      <c r="O587" s="72">
        <v>0</v>
      </c>
      <c r="P587" s="72">
        <v>10000</v>
      </c>
      <c r="Q587" s="72">
        <v>20000</v>
      </c>
      <c r="R587" s="72">
        <v>30000</v>
      </c>
      <c r="S587" s="72">
        <v>19823660</v>
      </c>
      <c r="T587" s="72">
        <v>9243324</v>
      </c>
      <c r="U587" s="72">
        <v>5370272</v>
      </c>
      <c r="V587" s="72">
        <v>3052335</v>
      </c>
      <c r="W587" s="72">
        <v>1054414</v>
      </c>
      <c r="X587" s="72">
        <v>1446066</v>
      </c>
      <c r="Y587" s="72">
        <v>0</v>
      </c>
      <c r="Z587" s="72">
        <v>0</v>
      </c>
      <c r="AA587" s="72">
        <v>0</v>
      </c>
      <c r="AB587" s="72">
        <v>0</v>
      </c>
      <c r="AC587" s="72">
        <v>0</v>
      </c>
      <c r="AD587" s="72">
        <v>0</v>
      </c>
      <c r="AE587" s="72">
        <v>0</v>
      </c>
      <c r="AF587" s="72">
        <v>0</v>
      </c>
      <c r="AG587" s="72">
        <v>331313</v>
      </c>
      <c r="AH587" s="72">
        <v>20497724</v>
      </c>
      <c r="AI587" s="72">
        <v>315996</v>
      </c>
      <c r="AJ587" s="72">
        <v>10000</v>
      </c>
      <c r="AK587" s="72">
        <v>0</v>
      </c>
      <c r="AL587" s="72">
        <v>325996</v>
      </c>
      <c r="AM587" s="72">
        <v>20823720</v>
      </c>
      <c r="AN587" s="72">
        <v>-1000060</v>
      </c>
      <c r="AO587" s="72">
        <v>4746693</v>
      </c>
      <c r="AP587" s="72">
        <v>3746633</v>
      </c>
      <c r="AQ587" s="72">
        <v>80000</v>
      </c>
      <c r="AR587" s="72">
        <v>0</v>
      </c>
      <c r="AS587" s="72">
        <v>0</v>
      </c>
      <c r="AT587" s="72">
        <v>0</v>
      </c>
      <c r="AU587" s="72">
        <v>0</v>
      </c>
      <c r="AV587" s="72">
        <v>0</v>
      </c>
      <c r="AW587" s="72">
        <v>0</v>
      </c>
      <c r="AX587" s="72">
        <v>0</v>
      </c>
      <c r="AY587" s="72">
        <v>0</v>
      </c>
      <c r="AZ587" s="72">
        <v>0</v>
      </c>
      <c r="BA587" s="72">
        <v>3666633</v>
      </c>
      <c r="BB587" s="72">
        <v>0</v>
      </c>
      <c r="BC587" s="72">
        <v>0</v>
      </c>
      <c r="BD587" s="72">
        <v>0</v>
      </c>
      <c r="BE587" s="72">
        <v>3666633</v>
      </c>
      <c r="BF587" s="72">
        <v>0</v>
      </c>
      <c r="BG587" s="72">
        <v>0</v>
      </c>
      <c r="BH587" s="72">
        <v>0</v>
      </c>
      <c r="BI587" s="72">
        <v>0</v>
      </c>
      <c r="BJ587" s="72">
        <v>3666633</v>
      </c>
      <c r="BM587" s="72">
        <v>0</v>
      </c>
      <c r="BN587" s="72">
        <v>0</v>
      </c>
      <c r="BO587" s="72">
        <v>0</v>
      </c>
      <c r="BP587" s="72">
        <v>0</v>
      </c>
      <c r="BQ587" s="72">
        <v>0</v>
      </c>
      <c r="BR587" s="72">
        <v>0</v>
      </c>
      <c r="BS587" s="72">
        <v>20823720</v>
      </c>
    </row>
    <row r="588" spans="1:71" x14ac:dyDescent="0.2">
      <c r="A588" t="s">
        <v>763</v>
      </c>
      <c r="B588" t="s">
        <v>1451</v>
      </c>
      <c r="C588" t="s">
        <v>76</v>
      </c>
      <c r="D588" s="72">
        <v>1380787</v>
      </c>
      <c r="E588" s="72">
        <v>3152823</v>
      </c>
      <c r="F588" s="72">
        <v>0</v>
      </c>
      <c r="G588" s="72">
        <v>1696159</v>
      </c>
      <c r="H588" s="72">
        <v>13286</v>
      </c>
      <c r="I588" s="72">
        <v>0</v>
      </c>
      <c r="J588" s="72">
        <v>172583</v>
      </c>
      <c r="K588" s="72">
        <v>474300</v>
      </c>
      <c r="L588" s="72">
        <v>6889938</v>
      </c>
      <c r="M588" s="72">
        <v>0</v>
      </c>
      <c r="N588" s="72">
        <v>0</v>
      </c>
      <c r="O588" s="72">
        <v>0</v>
      </c>
      <c r="P588" s="72">
        <v>0</v>
      </c>
      <c r="Q588" s="72">
        <v>0</v>
      </c>
      <c r="R588" s="72">
        <v>0</v>
      </c>
      <c r="S588" s="72">
        <v>6889938</v>
      </c>
      <c r="T588" s="72">
        <v>3609713</v>
      </c>
      <c r="U588" s="72">
        <v>1668006</v>
      </c>
      <c r="V588" s="72">
        <v>1048850</v>
      </c>
      <c r="W588" s="72">
        <v>187292</v>
      </c>
      <c r="X588" s="72">
        <v>103759</v>
      </c>
      <c r="Y588" s="72">
        <v>0</v>
      </c>
      <c r="Z588" s="72">
        <v>0</v>
      </c>
      <c r="AA588" s="72">
        <v>0</v>
      </c>
      <c r="AB588" s="72">
        <v>0</v>
      </c>
      <c r="AC588" s="72">
        <v>0</v>
      </c>
      <c r="AD588" s="72">
        <v>0</v>
      </c>
      <c r="AE588" s="72">
        <v>0</v>
      </c>
      <c r="AF588" s="72">
        <v>0</v>
      </c>
      <c r="AG588" s="72">
        <v>172260</v>
      </c>
      <c r="AH588" s="72">
        <v>6789880</v>
      </c>
      <c r="AI588" s="72">
        <v>0</v>
      </c>
      <c r="AJ588" s="72">
        <v>0</v>
      </c>
      <c r="AK588" s="72">
        <v>0</v>
      </c>
      <c r="AL588" s="72">
        <v>0</v>
      </c>
      <c r="AM588" s="72">
        <v>6789880</v>
      </c>
      <c r="AN588" s="72">
        <v>100058</v>
      </c>
      <c r="AO588" s="72">
        <v>7920129</v>
      </c>
      <c r="AP588" s="72">
        <v>8020187</v>
      </c>
      <c r="AQ588" s="72">
        <v>100000</v>
      </c>
      <c r="AR588" s="72">
        <v>0</v>
      </c>
      <c r="AS588" s="72">
        <v>0</v>
      </c>
      <c r="AT588" s="72">
        <v>0</v>
      </c>
      <c r="AU588" s="72">
        <v>0</v>
      </c>
      <c r="AV588" s="72">
        <v>0</v>
      </c>
      <c r="AW588" s="72">
        <v>0</v>
      </c>
      <c r="AX588" s="72">
        <v>0</v>
      </c>
      <c r="AY588" s="72">
        <v>0</v>
      </c>
      <c r="AZ588" s="72">
        <v>0</v>
      </c>
      <c r="BA588" s="72">
        <v>7920187</v>
      </c>
      <c r="BB588" s="72">
        <v>0</v>
      </c>
      <c r="BC588" s="72">
        <v>0</v>
      </c>
      <c r="BD588" s="72">
        <v>0</v>
      </c>
      <c r="BE588" s="72">
        <v>7920187</v>
      </c>
      <c r="BF588" s="72">
        <v>0</v>
      </c>
      <c r="BG588" s="72">
        <v>0</v>
      </c>
      <c r="BH588" s="72">
        <v>0</v>
      </c>
      <c r="BI588" s="72">
        <v>0</v>
      </c>
      <c r="BJ588" s="72">
        <v>7920187</v>
      </c>
      <c r="BM588" s="72">
        <v>0</v>
      </c>
      <c r="BN588" s="72">
        <v>0</v>
      </c>
      <c r="BO588" s="72">
        <v>0</v>
      </c>
      <c r="BP588" s="72">
        <v>0</v>
      </c>
      <c r="BQ588" s="72">
        <v>0</v>
      </c>
      <c r="BR588" s="72">
        <v>0</v>
      </c>
      <c r="BS588" s="72">
        <v>8020187</v>
      </c>
    </row>
    <row r="589" spans="1:71" x14ac:dyDescent="0.2">
      <c r="A589" t="s">
        <v>219</v>
      </c>
      <c r="B589" t="s">
        <v>937</v>
      </c>
      <c r="C589" t="s">
        <v>79</v>
      </c>
      <c r="D589" s="72">
        <v>3785250</v>
      </c>
      <c r="E589" s="72">
        <v>0</v>
      </c>
      <c r="F589" s="72">
        <v>1847250</v>
      </c>
      <c r="G589" s="72">
        <v>4965750</v>
      </c>
      <c r="H589" s="72">
        <v>0</v>
      </c>
      <c r="I589" s="72">
        <v>0</v>
      </c>
      <c r="J589" s="72">
        <v>531950</v>
      </c>
      <c r="K589" s="72">
        <v>53000</v>
      </c>
      <c r="L589" s="72">
        <v>11183200</v>
      </c>
      <c r="M589" s="72">
        <v>0</v>
      </c>
      <c r="N589" s="72">
        <v>0</v>
      </c>
      <c r="O589" s="72">
        <v>0</v>
      </c>
      <c r="P589" s="72">
        <v>150500</v>
      </c>
      <c r="Q589" s="72">
        <v>0</v>
      </c>
      <c r="R589" s="72">
        <v>150500</v>
      </c>
      <c r="S589" s="72">
        <v>11333700</v>
      </c>
      <c r="T589" s="72">
        <v>6405200</v>
      </c>
      <c r="U589" s="72">
        <v>2593900</v>
      </c>
      <c r="V589" s="72">
        <v>1325000</v>
      </c>
      <c r="W589" s="72">
        <v>470700</v>
      </c>
      <c r="X589" s="72">
        <v>91400</v>
      </c>
      <c r="Y589" s="72">
        <v>0</v>
      </c>
      <c r="Z589" s="72">
        <v>0</v>
      </c>
      <c r="AA589" s="72">
        <v>0</v>
      </c>
      <c r="AB589" s="72">
        <v>0</v>
      </c>
      <c r="AC589" s="72">
        <v>0</v>
      </c>
      <c r="AD589" s="72">
        <v>0</v>
      </c>
      <c r="AE589" s="72">
        <v>0</v>
      </c>
      <c r="AF589" s="72">
        <v>0</v>
      </c>
      <c r="AG589" s="72">
        <v>294300</v>
      </c>
      <c r="AH589" s="72">
        <v>11180500</v>
      </c>
      <c r="AI589" s="72">
        <v>160000</v>
      </c>
      <c r="AJ589" s="72">
        <v>0</v>
      </c>
      <c r="AK589" s="72">
        <v>0</v>
      </c>
      <c r="AL589" s="72">
        <v>160000</v>
      </c>
      <c r="AM589" s="72">
        <v>11340500</v>
      </c>
      <c r="AN589" s="72">
        <v>-6800</v>
      </c>
      <c r="AO589" s="72">
        <v>6293961</v>
      </c>
      <c r="AP589" s="72">
        <v>6287161</v>
      </c>
      <c r="AQ589" s="72">
        <v>0</v>
      </c>
      <c r="AR589" s="72">
        <v>0</v>
      </c>
      <c r="AS589" s="72">
        <v>0</v>
      </c>
      <c r="AT589" s="72">
        <v>0</v>
      </c>
      <c r="AU589" s="72">
        <v>0</v>
      </c>
      <c r="AV589" s="72">
        <v>0</v>
      </c>
      <c r="AW589" s="72">
        <v>0</v>
      </c>
      <c r="AX589" s="72">
        <v>0</v>
      </c>
      <c r="AY589" s="72">
        <v>0</v>
      </c>
      <c r="AZ589" s="72">
        <v>0</v>
      </c>
      <c r="BA589" s="72">
        <v>6287161</v>
      </c>
      <c r="BB589" s="72">
        <v>0</v>
      </c>
      <c r="BC589" s="72">
        <v>0</v>
      </c>
      <c r="BD589" s="72">
        <v>0</v>
      </c>
      <c r="BE589" s="72">
        <v>6287161</v>
      </c>
      <c r="BF589" s="72">
        <v>0</v>
      </c>
      <c r="BG589" s="72">
        <v>0</v>
      </c>
      <c r="BH589" s="72">
        <v>0</v>
      </c>
      <c r="BI589" s="72">
        <v>0</v>
      </c>
      <c r="BJ589" s="72">
        <v>6287161</v>
      </c>
      <c r="BK589" s="72">
        <v>104</v>
      </c>
      <c r="BL589" s="72">
        <v>1187</v>
      </c>
      <c r="BM589" s="72">
        <v>0</v>
      </c>
      <c r="BN589" s="72">
        <v>0</v>
      </c>
      <c r="BO589" s="72">
        <v>0</v>
      </c>
      <c r="BP589" s="72">
        <v>0</v>
      </c>
      <c r="BQ589" s="72">
        <v>0</v>
      </c>
      <c r="BR589" s="72">
        <v>0</v>
      </c>
      <c r="BS589" s="72">
        <v>11340500</v>
      </c>
    </row>
    <row r="590" spans="1:71" x14ac:dyDescent="0.2">
      <c r="A590" t="s">
        <v>259</v>
      </c>
      <c r="B590" t="s">
        <v>976</v>
      </c>
      <c r="C590" t="s">
        <v>79</v>
      </c>
      <c r="D590" s="72">
        <v>2469126</v>
      </c>
      <c r="E590" s="72">
        <v>149006</v>
      </c>
      <c r="F590" s="72">
        <v>1024802</v>
      </c>
      <c r="G590" s="72">
        <v>2991187</v>
      </c>
      <c r="H590" s="72">
        <v>4314</v>
      </c>
      <c r="I590" s="72">
        <v>0</v>
      </c>
      <c r="J590" s="72">
        <v>554757</v>
      </c>
      <c r="K590" s="72">
        <v>493887</v>
      </c>
      <c r="L590" s="72">
        <v>7687079</v>
      </c>
      <c r="M590" s="72">
        <v>0</v>
      </c>
      <c r="N590" s="72">
        <v>0</v>
      </c>
      <c r="O590" s="72">
        <v>0</v>
      </c>
      <c r="P590" s="72">
        <v>106225</v>
      </c>
      <c r="Q590" s="72">
        <v>0</v>
      </c>
      <c r="R590" s="72">
        <v>106225</v>
      </c>
      <c r="S590" s="72">
        <v>7793304</v>
      </c>
      <c r="T590" s="72">
        <v>4461453</v>
      </c>
      <c r="U590" s="72">
        <v>1815835</v>
      </c>
      <c r="V590" s="72">
        <v>1314000</v>
      </c>
      <c r="W590" s="72">
        <v>290000</v>
      </c>
      <c r="X590" s="72">
        <v>2500</v>
      </c>
      <c r="Y590" s="72">
        <v>0</v>
      </c>
      <c r="Z590" s="72">
        <v>0</v>
      </c>
      <c r="AA590" s="72">
        <v>0</v>
      </c>
      <c r="AB590" s="72">
        <v>0</v>
      </c>
      <c r="AC590" s="72">
        <v>0</v>
      </c>
      <c r="AD590" s="72">
        <v>0</v>
      </c>
      <c r="AE590" s="72">
        <v>0</v>
      </c>
      <c r="AF590" s="72">
        <v>0</v>
      </c>
      <c r="AG590" s="72">
        <v>162680</v>
      </c>
      <c r="AH590" s="72">
        <v>8046468</v>
      </c>
      <c r="AI590" s="72">
        <v>13500</v>
      </c>
      <c r="AJ590" s="72">
        <v>81355</v>
      </c>
      <c r="AK590" s="72">
        <v>0</v>
      </c>
      <c r="AL590" s="72">
        <v>94855</v>
      </c>
      <c r="AM590" s="72">
        <v>8141323</v>
      </c>
      <c r="AN590" s="72">
        <v>-348019</v>
      </c>
      <c r="AO590" s="72">
        <v>1202963</v>
      </c>
      <c r="AP590" s="72">
        <v>854944</v>
      </c>
      <c r="AQ590" s="72">
        <v>0</v>
      </c>
      <c r="AR590" s="72">
        <v>0</v>
      </c>
      <c r="AS590" s="72">
        <v>0</v>
      </c>
      <c r="AT590" s="72">
        <v>0</v>
      </c>
      <c r="AU590" s="72">
        <v>0</v>
      </c>
      <c r="AV590" s="72">
        <v>0</v>
      </c>
      <c r="AW590" s="72">
        <v>0</v>
      </c>
      <c r="AX590" s="72">
        <v>0</v>
      </c>
      <c r="AY590" s="72">
        <v>0</v>
      </c>
      <c r="AZ590" s="72">
        <v>0</v>
      </c>
      <c r="BA590" s="72">
        <v>854944</v>
      </c>
      <c r="BB590" s="72">
        <v>0</v>
      </c>
      <c r="BC590" s="72">
        <v>0</v>
      </c>
      <c r="BD590" s="72">
        <v>0</v>
      </c>
      <c r="BE590" s="72">
        <v>854944</v>
      </c>
      <c r="BF590" s="72">
        <v>0</v>
      </c>
      <c r="BG590" s="72">
        <v>0</v>
      </c>
      <c r="BH590" s="72">
        <v>0</v>
      </c>
      <c r="BI590" s="72">
        <v>0</v>
      </c>
      <c r="BJ590" s="72">
        <v>854944</v>
      </c>
      <c r="BK590" s="72">
        <v>0</v>
      </c>
      <c r="BL590" s="72">
        <v>0</v>
      </c>
      <c r="BM590" s="72">
        <v>0</v>
      </c>
      <c r="BN590" s="72">
        <v>0</v>
      </c>
      <c r="BO590" s="72">
        <v>0</v>
      </c>
      <c r="BP590" s="72">
        <v>0</v>
      </c>
      <c r="BQ590" s="72">
        <v>0</v>
      </c>
      <c r="BR590" s="72">
        <v>0</v>
      </c>
      <c r="BS590" s="72">
        <v>8141323</v>
      </c>
    </row>
    <row r="591" spans="1:71" x14ac:dyDescent="0.2">
      <c r="A591" t="s">
        <v>347</v>
      </c>
      <c r="B591" t="s">
        <v>1059</v>
      </c>
      <c r="C591" t="s">
        <v>79</v>
      </c>
      <c r="D591" s="72">
        <v>3575000</v>
      </c>
      <c r="E591" s="72">
        <v>160000</v>
      </c>
      <c r="F591" s="72">
        <v>0</v>
      </c>
      <c r="G591" s="72">
        <v>5117000</v>
      </c>
      <c r="H591" s="72">
        <v>44704</v>
      </c>
      <c r="I591" s="72">
        <v>0</v>
      </c>
      <c r="J591" s="72">
        <v>555000</v>
      </c>
      <c r="K591" s="72">
        <v>775000</v>
      </c>
      <c r="L591" s="72">
        <v>10226704</v>
      </c>
      <c r="M591" s="72">
        <v>0</v>
      </c>
      <c r="N591" s="72">
        <v>0</v>
      </c>
      <c r="O591" s="72">
        <v>0</v>
      </c>
      <c r="P591" s="72">
        <v>0</v>
      </c>
      <c r="Q591" s="72">
        <v>0</v>
      </c>
      <c r="R591" s="72">
        <v>0</v>
      </c>
      <c r="S591" s="72">
        <v>10226704</v>
      </c>
      <c r="T591" s="72">
        <v>6030729</v>
      </c>
      <c r="U591" s="72">
        <v>1993232</v>
      </c>
      <c r="V591" s="72">
        <v>1909260</v>
      </c>
      <c r="W591" s="72">
        <v>389750</v>
      </c>
      <c r="X591" s="72">
        <v>30000</v>
      </c>
      <c r="Y591" s="72">
        <v>0</v>
      </c>
      <c r="Z591" s="72">
        <v>0</v>
      </c>
      <c r="AA591" s="72">
        <v>0</v>
      </c>
      <c r="AB591" s="72">
        <v>0</v>
      </c>
      <c r="AC591" s="72">
        <v>0</v>
      </c>
      <c r="AD591" s="72">
        <v>0</v>
      </c>
      <c r="AE591" s="72">
        <v>0</v>
      </c>
      <c r="AF591" s="72">
        <v>0</v>
      </c>
      <c r="AG591" s="72">
        <v>150000</v>
      </c>
      <c r="AH591" s="72">
        <v>10502971</v>
      </c>
      <c r="AI591" s="72">
        <v>0</v>
      </c>
      <c r="AJ591" s="72">
        <v>0</v>
      </c>
      <c r="AK591" s="72">
        <v>0</v>
      </c>
      <c r="AL591" s="72">
        <v>0</v>
      </c>
      <c r="AM591" s="72">
        <v>10502971</v>
      </c>
      <c r="AN591" s="72">
        <v>-276267</v>
      </c>
      <c r="AO591" s="72">
        <v>2159439</v>
      </c>
      <c r="AP591" s="72">
        <v>1883172</v>
      </c>
      <c r="AQ591" s="72">
        <v>50000</v>
      </c>
      <c r="AR591" s="72">
        <v>0</v>
      </c>
      <c r="AS591" s="72">
        <v>0</v>
      </c>
      <c r="AT591" s="72">
        <v>0</v>
      </c>
      <c r="AU591" s="72">
        <v>0</v>
      </c>
      <c r="AV591" s="72">
        <v>0</v>
      </c>
      <c r="AW591" s="72">
        <v>0</v>
      </c>
      <c r="AX591" s="72">
        <v>0</v>
      </c>
      <c r="AY591" s="72">
        <v>0</v>
      </c>
      <c r="AZ591" s="72">
        <v>0</v>
      </c>
      <c r="BA591" s="72">
        <v>1833172</v>
      </c>
      <c r="BB591" s="72">
        <v>0</v>
      </c>
      <c r="BC591" s="72">
        <v>0</v>
      </c>
      <c r="BD591" s="72">
        <v>0</v>
      </c>
      <c r="BE591" s="72">
        <v>1833172</v>
      </c>
      <c r="BF591" s="72">
        <v>0</v>
      </c>
      <c r="BG591" s="72">
        <v>0</v>
      </c>
      <c r="BH591" s="72">
        <v>0</v>
      </c>
      <c r="BI591" s="72">
        <v>0</v>
      </c>
      <c r="BJ591" s="72">
        <v>1833172</v>
      </c>
      <c r="BK591" s="72">
        <v>0</v>
      </c>
      <c r="BL591" s="72">
        <v>0</v>
      </c>
      <c r="BM591" s="72">
        <v>0</v>
      </c>
      <c r="BN591" s="72">
        <v>0</v>
      </c>
      <c r="BO591" s="72">
        <v>0</v>
      </c>
      <c r="BP591" s="72">
        <v>0</v>
      </c>
      <c r="BQ591" s="72">
        <v>0</v>
      </c>
      <c r="BR591" s="72">
        <v>0</v>
      </c>
      <c r="BS591" s="72">
        <v>10502971</v>
      </c>
    </row>
    <row r="592" spans="1:71" x14ac:dyDescent="0.2">
      <c r="A592" t="s">
        <v>547</v>
      </c>
      <c r="B592" t="s">
        <v>1246</v>
      </c>
      <c r="C592" t="s">
        <v>79</v>
      </c>
      <c r="D592" s="72">
        <v>3147039</v>
      </c>
      <c r="E592" s="72">
        <v>6174</v>
      </c>
      <c r="F592" s="72">
        <v>0</v>
      </c>
      <c r="G592" s="72">
        <v>6287300</v>
      </c>
      <c r="H592" s="72">
        <v>30250</v>
      </c>
      <c r="J592" s="72">
        <v>460263</v>
      </c>
      <c r="K592" s="72">
        <v>1005293</v>
      </c>
      <c r="L592" s="72">
        <v>10936319</v>
      </c>
      <c r="M592" s="72">
        <v>0</v>
      </c>
      <c r="N592" s="72">
        <v>0</v>
      </c>
      <c r="O592" s="72">
        <v>0</v>
      </c>
      <c r="P592" s="72">
        <v>0</v>
      </c>
      <c r="Q592" s="72">
        <v>0</v>
      </c>
      <c r="R592" s="72">
        <v>0</v>
      </c>
      <c r="S592" s="72">
        <v>10936319</v>
      </c>
      <c r="T592" s="72">
        <v>6032051</v>
      </c>
      <c r="U592" s="72">
        <v>2314748</v>
      </c>
      <c r="V592" s="72">
        <v>2325957</v>
      </c>
      <c r="W592" s="72">
        <v>290457</v>
      </c>
      <c r="X592" s="72">
        <v>237375</v>
      </c>
      <c r="Y592" s="72">
        <v>0</v>
      </c>
      <c r="Z592" s="72">
        <v>0</v>
      </c>
      <c r="AA592" s="72">
        <v>0</v>
      </c>
      <c r="AB592" s="72">
        <v>0</v>
      </c>
      <c r="AC592" s="72">
        <v>0</v>
      </c>
      <c r="AD592" s="72">
        <v>0</v>
      </c>
      <c r="AE592" s="72">
        <v>0</v>
      </c>
      <c r="AF592" s="72">
        <v>0</v>
      </c>
      <c r="AG592" s="72">
        <v>248166</v>
      </c>
      <c r="AH592" s="72">
        <v>11448753</v>
      </c>
      <c r="AI592" s="72">
        <v>0</v>
      </c>
      <c r="AJ592" s="72">
        <v>0</v>
      </c>
      <c r="AK592" s="72">
        <v>0</v>
      </c>
      <c r="AL592" s="72">
        <v>0</v>
      </c>
      <c r="AM592" s="72">
        <v>11448753</v>
      </c>
      <c r="AN592" s="72">
        <v>-512433</v>
      </c>
      <c r="AO592" s="72">
        <v>2898347</v>
      </c>
      <c r="AP592" s="72">
        <v>2385914</v>
      </c>
      <c r="AQ592" s="72">
        <v>10000</v>
      </c>
      <c r="AR592" s="72">
        <v>0</v>
      </c>
      <c r="AS592" s="72">
        <v>0</v>
      </c>
      <c r="AT592" s="72">
        <v>500000</v>
      </c>
      <c r="AU592" s="72">
        <v>0</v>
      </c>
      <c r="AW592" s="72">
        <v>0</v>
      </c>
      <c r="AX592" s="72">
        <v>0</v>
      </c>
      <c r="AY592" s="72">
        <v>0</v>
      </c>
      <c r="AZ592" s="72">
        <v>500000</v>
      </c>
      <c r="BA592" s="72">
        <v>1875914</v>
      </c>
      <c r="BB592" s="72">
        <v>0</v>
      </c>
      <c r="BC592" s="72">
        <v>0</v>
      </c>
      <c r="BD592" s="72">
        <v>0</v>
      </c>
      <c r="BE592" s="72">
        <v>1875914</v>
      </c>
      <c r="BF592" s="72">
        <v>53487</v>
      </c>
      <c r="BG592" s="72">
        <v>0</v>
      </c>
      <c r="BH592" s="72">
        <v>53487</v>
      </c>
      <c r="BI592" s="72">
        <v>0</v>
      </c>
      <c r="BJ592" s="72">
        <v>1929401</v>
      </c>
      <c r="BS592" s="72">
        <v>11448753</v>
      </c>
    </row>
    <row r="593" spans="1:71" x14ac:dyDescent="0.2">
      <c r="A593" t="s">
        <v>543</v>
      </c>
      <c r="B593" t="s">
        <v>1242</v>
      </c>
      <c r="C593" t="s">
        <v>79</v>
      </c>
      <c r="D593" s="72">
        <v>2518250</v>
      </c>
      <c r="E593" s="72">
        <v>0</v>
      </c>
      <c r="F593" s="72">
        <v>1818777</v>
      </c>
      <c r="G593" s="72">
        <v>6626536</v>
      </c>
      <c r="H593" s="72">
        <v>90849</v>
      </c>
      <c r="I593" s="72">
        <v>0</v>
      </c>
      <c r="J593" s="72">
        <v>376024</v>
      </c>
      <c r="K593" s="72">
        <v>1052682</v>
      </c>
      <c r="L593" s="72">
        <v>12483118</v>
      </c>
      <c r="M593" s="72">
        <v>0</v>
      </c>
      <c r="N593" s="72">
        <v>0</v>
      </c>
      <c r="O593" s="72">
        <v>0</v>
      </c>
      <c r="P593" s="72">
        <v>0</v>
      </c>
      <c r="Q593" s="72">
        <v>0</v>
      </c>
      <c r="R593" s="72">
        <v>0</v>
      </c>
      <c r="S593" s="72">
        <v>12483118</v>
      </c>
      <c r="T593" s="72">
        <v>7395189</v>
      </c>
      <c r="U593" s="72">
        <v>3156118</v>
      </c>
      <c r="V593" s="72">
        <v>1644067</v>
      </c>
      <c r="W593" s="72">
        <v>535000</v>
      </c>
      <c r="X593" s="72">
        <v>100000</v>
      </c>
      <c r="Y593" s="72">
        <v>0</v>
      </c>
      <c r="Z593" s="72">
        <v>0</v>
      </c>
      <c r="AA593" s="72">
        <v>0</v>
      </c>
      <c r="AB593" s="72">
        <v>0</v>
      </c>
      <c r="AC593" s="72">
        <v>0</v>
      </c>
      <c r="AD593" s="72">
        <v>0</v>
      </c>
      <c r="AE593" s="72">
        <v>0</v>
      </c>
      <c r="AF593" s="72">
        <v>0</v>
      </c>
      <c r="AG593" s="72">
        <v>99300</v>
      </c>
      <c r="AH593" s="72">
        <v>12929674</v>
      </c>
      <c r="AI593" s="72">
        <v>47550</v>
      </c>
      <c r="AJ593" s="72">
        <v>0</v>
      </c>
      <c r="AK593" s="72">
        <v>0</v>
      </c>
      <c r="AL593" s="72">
        <v>47550</v>
      </c>
      <c r="AM593" s="72">
        <v>12977224</v>
      </c>
      <c r="AN593" s="72">
        <v>-494106</v>
      </c>
      <c r="AO593" s="72">
        <v>2543094</v>
      </c>
      <c r="AP593" s="72">
        <v>2048988</v>
      </c>
      <c r="AQ593" s="72">
        <v>300000</v>
      </c>
      <c r="AR593" s="72">
        <v>0</v>
      </c>
      <c r="AS593" s="72">
        <v>0</v>
      </c>
      <c r="AT593" s="72">
        <v>200000</v>
      </c>
      <c r="AU593" s="72">
        <v>0</v>
      </c>
      <c r="AV593" s="72">
        <v>0</v>
      </c>
      <c r="AW593" s="72">
        <v>0</v>
      </c>
      <c r="AX593" s="72">
        <v>0</v>
      </c>
      <c r="AY593" s="72">
        <v>0</v>
      </c>
      <c r="AZ593" s="72">
        <v>200000</v>
      </c>
      <c r="BA593" s="72">
        <v>1548988</v>
      </c>
      <c r="BB593" s="72">
        <v>0</v>
      </c>
      <c r="BC593" s="72">
        <v>0</v>
      </c>
      <c r="BD593" s="72">
        <v>0</v>
      </c>
      <c r="BE593" s="72">
        <v>1548988</v>
      </c>
      <c r="BF593" s="72">
        <v>0</v>
      </c>
      <c r="BG593" s="72">
        <v>0</v>
      </c>
      <c r="BH593" s="72">
        <v>0</v>
      </c>
      <c r="BI593" s="72">
        <v>0</v>
      </c>
      <c r="BJ593" s="72">
        <v>1548988</v>
      </c>
      <c r="BK593" s="72">
        <v>112</v>
      </c>
      <c r="BL593" s="72">
        <v>1335</v>
      </c>
      <c r="BS593" s="72">
        <v>12977224</v>
      </c>
    </row>
    <row r="594" spans="1:71" x14ac:dyDescent="0.2">
      <c r="A594" t="s">
        <v>638</v>
      </c>
      <c r="B594" t="s">
        <v>1333</v>
      </c>
      <c r="C594" t="s">
        <v>79</v>
      </c>
      <c r="D594" s="72">
        <v>7591216</v>
      </c>
      <c r="E594" s="72">
        <v>0</v>
      </c>
      <c r="G594" s="72">
        <v>4671679</v>
      </c>
      <c r="H594" s="72">
        <v>22116</v>
      </c>
      <c r="I594" s="72">
        <v>0</v>
      </c>
      <c r="J594" s="72">
        <v>1371429</v>
      </c>
      <c r="K594" s="72">
        <v>1067289</v>
      </c>
      <c r="L594" s="72">
        <v>14723729</v>
      </c>
      <c r="O594" s="72">
        <v>225</v>
      </c>
      <c r="P594" s="72">
        <v>5609</v>
      </c>
      <c r="Q594" s="72">
        <v>84555</v>
      </c>
      <c r="R594" s="72">
        <v>90389</v>
      </c>
      <c r="S594" s="72">
        <v>14814118</v>
      </c>
      <c r="T594" s="72">
        <v>4680496</v>
      </c>
      <c r="U594" s="72">
        <v>2284365</v>
      </c>
      <c r="V594" s="72">
        <v>2094367</v>
      </c>
      <c r="W594" s="72">
        <v>416285</v>
      </c>
      <c r="X594" s="72">
        <v>5000</v>
      </c>
      <c r="AD594" s="72">
        <v>0</v>
      </c>
      <c r="AF594" s="72">
        <v>0</v>
      </c>
      <c r="AG594" s="72">
        <v>312181</v>
      </c>
      <c r="AH594" s="72">
        <v>9792694</v>
      </c>
      <c r="AI594" s="72">
        <v>4737812</v>
      </c>
      <c r="AJ594" s="72">
        <v>0</v>
      </c>
      <c r="AL594" s="72">
        <v>4737812</v>
      </c>
      <c r="AM594" s="72">
        <v>14530506</v>
      </c>
      <c r="AN594" s="72">
        <v>283612</v>
      </c>
      <c r="AO594" s="72">
        <v>1946819</v>
      </c>
      <c r="AP594" s="72">
        <v>2230431</v>
      </c>
      <c r="AQ594" s="72">
        <v>15000</v>
      </c>
      <c r="BA594" s="72">
        <v>2215431</v>
      </c>
      <c r="BC594" s="72">
        <v>0</v>
      </c>
      <c r="BD594" s="72">
        <v>0</v>
      </c>
      <c r="BE594" s="72">
        <v>2215431</v>
      </c>
      <c r="BJ594" s="72">
        <v>2215431</v>
      </c>
      <c r="BS594" s="72">
        <v>14814118</v>
      </c>
    </row>
    <row r="595" spans="1:71" x14ac:dyDescent="0.2">
      <c r="A595" t="s">
        <v>690</v>
      </c>
      <c r="B595" t="s">
        <v>1380</v>
      </c>
      <c r="C595" t="s">
        <v>79</v>
      </c>
      <c r="D595" s="72">
        <v>6100000</v>
      </c>
      <c r="E595" s="72">
        <v>0</v>
      </c>
      <c r="F595" s="72">
        <v>1108800</v>
      </c>
      <c r="G595" s="72">
        <v>7027310</v>
      </c>
      <c r="H595" s="72">
        <v>72670</v>
      </c>
      <c r="I595" s="72">
        <v>0</v>
      </c>
      <c r="J595" s="72">
        <v>1019890</v>
      </c>
      <c r="K595" s="72">
        <v>784275</v>
      </c>
      <c r="L595" s="72">
        <v>16112945</v>
      </c>
      <c r="M595" s="72">
        <v>0</v>
      </c>
      <c r="N595" s="72">
        <v>0</v>
      </c>
      <c r="O595" s="72">
        <v>0</v>
      </c>
      <c r="P595" s="72">
        <v>0</v>
      </c>
      <c r="Q595" s="72">
        <v>10000</v>
      </c>
      <c r="R595" s="72">
        <v>10000</v>
      </c>
      <c r="S595" s="72">
        <v>16122945</v>
      </c>
      <c r="T595" s="72">
        <v>8643647</v>
      </c>
      <c r="U595" s="72">
        <v>4034057</v>
      </c>
      <c r="V595" s="72">
        <v>2214608</v>
      </c>
      <c r="W595" s="72">
        <v>460000</v>
      </c>
      <c r="X595" s="72">
        <v>0</v>
      </c>
      <c r="Y595" s="72">
        <v>0</v>
      </c>
      <c r="Z595" s="72">
        <v>0</v>
      </c>
      <c r="AA595" s="72">
        <v>0</v>
      </c>
      <c r="AB595" s="72">
        <v>0</v>
      </c>
      <c r="AC595" s="72">
        <v>0</v>
      </c>
      <c r="AD595" s="72">
        <v>0</v>
      </c>
      <c r="AE595" s="72">
        <v>0</v>
      </c>
      <c r="AF595" s="72">
        <v>0</v>
      </c>
      <c r="AG595" s="72">
        <v>208430</v>
      </c>
      <c r="AH595" s="72">
        <v>15560742</v>
      </c>
      <c r="AI595" s="72">
        <v>0</v>
      </c>
      <c r="AJ595" s="72">
        <v>0</v>
      </c>
      <c r="AK595" s="72">
        <v>0</v>
      </c>
      <c r="AL595" s="72">
        <v>0</v>
      </c>
      <c r="AM595" s="72">
        <v>15560742</v>
      </c>
      <c r="AN595" s="72">
        <v>562203</v>
      </c>
      <c r="AO595" s="72">
        <v>96589</v>
      </c>
      <c r="AP595" s="72">
        <v>658792</v>
      </c>
      <c r="AQ595" s="72">
        <v>0</v>
      </c>
      <c r="AR595" s="72">
        <v>0</v>
      </c>
      <c r="AS595" s="72">
        <v>0</v>
      </c>
      <c r="AT595" s="72">
        <v>0</v>
      </c>
      <c r="AU595" s="72">
        <v>0</v>
      </c>
      <c r="AV595" s="72">
        <v>0</v>
      </c>
      <c r="AW595" s="72">
        <v>0</v>
      </c>
      <c r="AX595" s="72">
        <v>0</v>
      </c>
      <c r="AY595" s="72">
        <v>0</v>
      </c>
      <c r="AZ595" s="72">
        <v>0</v>
      </c>
      <c r="BA595" s="72">
        <v>658792</v>
      </c>
      <c r="BB595" s="72">
        <v>0</v>
      </c>
      <c r="BC595" s="72">
        <v>0</v>
      </c>
      <c r="BD595" s="72">
        <v>0</v>
      </c>
      <c r="BE595" s="72">
        <v>658792</v>
      </c>
      <c r="BF595" s="72">
        <v>0</v>
      </c>
      <c r="BG595" s="72">
        <v>0</v>
      </c>
      <c r="BH595" s="72">
        <v>0</v>
      </c>
      <c r="BI595" s="72">
        <v>0</v>
      </c>
      <c r="BJ595" s="72">
        <v>658792</v>
      </c>
      <c r="BK595" s="72">
        <v>120</v>
      </c>
      <c r="BL595" s="72">
        <v>1646</v>
      </c>
      <c r="BM595" s="72">
        <v>0</v>
      </c>
      <c r="BN595" s="72">
        <v>0</v>
      </c>
      <c r="BO595" s="72">
        <v>0</v>
      </c>
      <c r="BP595" s="72">
        <v>0</v>
      </c>
      <c r="BQ595" s="72">
        <v>0</v>
      </c>
      <c r="BR595" s="72">
        <v>0</v>
      </c>
      <c r="BS595" s="72">
        <v>16122945</v>
      </c>
    </row>
    <row r="596" spans="1:71" x14ac:dyDescent="0.2">
      <c r="A596" t="s">
        <v>285</v>
      </c>
      <c r="B596" t="s">
        <v>1000</v>
      </c>
      <c r="C596" t="s">
        <v>48</v>
      </c>
      <c r="D596" s="72">
        <v>1201575</v>
      </c>
      <c r="E596" s="72">
        <v>124014</v>
      </c>
      <c r="F596" s="72">
        <v>769164</v>
      </c>
      <c r="G596" s="72">
        <v>2645121</v>
      </c>
      <c r="H596" s="72">
        <v>4832</v>
      </c>
      <c r="I596" s="72">
        <v>0</v>
      </c>
      <c r="J596" s="72">
        <v>357628</v>
      </c>
      <c r="K596" s="72">
        <v>409329</v>
      </c>
      <c r="L596" s="72">
        <v>5511663</v>
      </c>
      <c r="M596" s="72">
        <v>0</v>
      </c>
      <c r="N596" s="72">
        <v>0</v>
      </c>
      <c r="O596" s="72">
        <v>0</v>
      </c>
      <c r="P596" s="72">
        <v>0</v>
      </c>
      <c r="Q596" s="72">
        <v>12146</v>
      </c>
      <c r="R596" s="72">
        <v>12146</v>
      </c>
      <c r="S596" s="72">
        <v>5523809</v>
      </c>
      <c r="T596" s="72">
        <v>2950644</v>
      </c>
      <c r="U596" s="72">
        <v>1179710</v>
      </c>
      <c r="V596" s="72">
        <v>1064099</v>
      </c>
      <c r="W596" s="72">
        <v>179993</v>
      </c>
      <c r="X596" s="72">
        <v>1000</v>
      </c>
      <c r="Y596" s="72">
        <v>0</v>
      </c>
      <c r="Z596" s="72">
        <v>0</v>
      </c>
      <c r="AA596" s="72">
        <v>0</v>
      </c>
      <c r="AB596" s="72">
        <v>0</v>
      </c>
      <c r="AC596" s="72">
        <v>0</v>
      </c>
      <c r="AD596" s="72">
        <v>0</v>
      </c>
      <c r="AE596" s="72">
        <v>0</v>
      </c>
      <c r="AF596" s="72">
        <v>0</v>
      </c>
      <c r="AG596" s="72">
        <v>95421</v>
      </c>
      <c r="AH596" s="72">
        <v>5470867</v>
      </c>
      <c r="AI596" s="72">
        <v>12000</v>
      </c>
      <c r="AJ596" s="72">
        <v>0</v>
      </c>
      <c r="AK596" s="72">
        <v>0</v>
      </c>
      <c r="AL596" s="72">
        <v>12000</v>
      </c>
      <c r="AM596" s="72">
        <v>5482867</v>
      </c>
      <c r="AN596" s="72">
        <v>40942</v>
      </c>
      <c r="AO596" s="72">
        <v>730838</v>
      </c>
      <c r="AP596" s="72">
        <v>771780</v>
      </c>
      <c r="AQ596" s="72">
        <v>75000</v>
      </c>
      <c r="AR596" s="72">
        <v>0</v>
      </c>
      <c r="AS596" s="72">
        <v>0</v>
      </c>
      <c r="AT596" s="72">
        <v>0</v>
      </c>
      <c r="AU596" s="72">
        <v>0</v>
      </c>
      <c r="AV596" s="72">
        <v>0</v>
      </c>
      <c r="AW596" s="72">
        <v>0</v>
      </c>
      <c r="AX596" s="72">
        <v>0</v>
      </c>
      <c r="AY596" s="72">
        <v>0</v>
      </c>
      <c r="AZ596" s="72">
        <v>0</v>
      </c>
      <c r="BA596" s="72">
        <v>696780</v>
      </c>
      <c r="BB596" s="72">
        <v>0</v>
      </c>
      <c r="BC596" s="72">
        <v>0</v>
      </c>
      <c r="BD596" s="72">
        <v>0</v>
      </c>
      <c r="BE596" s="72">
        <v>696780</v>
      </c>
      <c r="BF596" s="72">
        <v>0</v>
      </c>
      <c r="BG596" s="72">
        <v>0</v>
      </c>
      <c r="BH596" s="72">
        <v>0</v>
      </c>
      <c r="BI596" s="72">
        <v>0</v>
      </c>
      <c r="BJ596" s="72">
        <v>696780</v>
      </c>
      <c r="BM596" s="72">
        <v>0</v>
      </c>
      <c r="BN596" s="72">
        <v>0</v>
      </c>
      <c r="BO596" s="72">
        <v>0</v>
      </c>
      <c r="BP596" s="72">
        <v>0</v>
      </c>
      <c r="BQ596" s="72">
        <v>0</v>
      </c>
      <c r="BR596" s="72">
        <v>0</v>
      </c>
      <c r="BS596" s="72">
        <v>5523809</v>
      </c>
    </row>
    <row r="597" spans="1:71" x14ac:dyDescent="0.2">
      <c r="A597" t="s">
        <v>289</v>
      </c>
      <c r="B597" t="s">
        <v>1003</v>
      </c>
      <c r="C597" t="s">
        <v>48</v>
      </c>
      <c r="D597" s="72">
        <v>1142360</v>
      </c>
      <c r="E597" s="72">
        <v>107713</v>
      </c>
      <c r="F597" s="72">
        <v>0</v>
      </c>
      <c r="G597" s="72">
        <v>2923339</v>
      </c>
      <c r="H597" s="72">
        <v>30708</v>
      </c>
      <c r="I597" s="72">
        <v>0</v>
      </c>
      <c r="J597" s="72">
        <v>204465</v>
      </c>
      <c r="K597" s="72">
        <v>639799</v>
      </c>
      <c r="L597" s="72">
        <v>5048384</v>
      </c>
      <c r="M597" s="72">
        <v>0</v>
      </c>
      <c r="N597" s="72">
        <v>0</v>
      </c>
      <c r="O597" s="72">
        <v>0</v>
      </c>
      <c r="P597" s="72">
        <v>0</v>
      </c>
      <c r="Q597" s="72">
        <v>0</v>
      </c>
      <c r="R597" s="72">
        <v>0</v>
      </c>
      <c r="S597" s="72">
        <v>5048384</v>
      </c>
      <c r="T597" s="72">
        <v>3018922</v>
      </c>
      <c r="U597" s="72">
        <v>1131176</v>
      </c>
      <c r="V597" s="72">
        <v>911482</v>
      </c>
      <c r="W597" s="72">
        <v>181363</v>
      </c>
      <c r="X597" s="72">
        <v>2000</v>
      </c>
      <c r="Y597" s="72">
        <v>0</v>
      </c>
      <c r="Z597" s="72">
        <v>0</v>
      </c>
      <c r="AA597" s="72">
        <v>0</v>
      </c>
      <c r="AB597" s="72">
        <v>0</v>
      </c>
      <c r="AC597" s="72">
        <v>0</v>
      </c>
      <c r="AD597" s="72">
        <v>0</v>
      </c>
      <c r="AE597" s="72">
        <v>0</v>
      </c>
      <c r="AF597" s="72">
        <v>0</v>
      </c>
      <c r="AG597" s="72">
        <v>101085</v>
      </c>
      <c r="AH597" s="72">
        <v>5346028</v>
      </c>
      <c r="AI597" s="72">
        <v>7000</v>
      </c>
      <c r="AJ597" s="72">
        <v>0</v>
      </c>
      <c r="AK597" s="72">
        <v>0</v>
      </c>
      <c r="AL597" s="72">
        <v>7000</v>
      </c>
      <c r="AM597" s="72">
        <v>5353028</v>
      </c>
      <c r="AN597" s="72">
        <v>-304644</v>
      </c>
      <c r="AO597" s="72">
        <v>2084623</v>
      </c>
      <c r="AP597" s="72">
        <v>1779979</v>
      </c>
      <c r="AQ597" s="72">
        <v>50000</v>
      </c>
      <c r="AR597" s="72">
        <v>0</v>
      </c>
      <c r="AS597" s="72">
        <v>0</v>
      </c>
      <c r="AT597" s="72">
        <v>0</v>
      </c>
      <c r="AU597" s="72">
        <v>0</v>
      </c>
      <c r="AV597" s="72">
        <v>0</v>
      </c>
      <c r="AW597" s="72">
        <v>0</v>
      </c>
      <c r="AX597" s="72">
        <v>0</v>
      </c>
      <c r="AY597" s="72">
        <v>0</v>
      </c>
      <c r="AZ597" s="72">
        <v>0</v>
      </c>
      <c r="BA597" s="72">
        <v>1729979</v>
      </c>
      <c r="BB597" s="72">
        <v>0</v>
      </c>
      <c r="BC597" s="72">
        <v>0</v>
      </c>
      <c r="BD597" s="72">
        <v>0</v>
      </c>
      <c r="BE597" s="72">
        <v>1729979</v>
      </c>
      <c r="BF597" s="72">
        <v>0</v>
      </c>
      <c r="BG597" s="72">
        <v>0</v>
      </c>
      <c r="BH597" s="72">
        <v>0</v>
      </c>
      <c r="BI597" s="72">
        <v>0</v>
      </c>
      <c r="BJ597" s="72">
        <v>1729979</v>
      </c>
      <c r="BM597" s="72">
        <v>0</v>
      </c>
      <c r="BN597" s="72">
        <v>0</v>
      </c>
      <c r="BO597" s="72">
        <v>0</v>
      </c>
      <c r="BP597" s="72">
        <v>0</v>
      </c>
      <c r="BQ597" s="72">
        <v>0</v>
      </c>
      <c r="BR597" s="72">
        <v>0</v>
      </c>
      <c r="BS597" s="72">
        <v>5353028</v>
      </c>
    </row>
    <row r="598" spans="1:71" x14ac:dyDescent="0.2">
      <c r="A598" t="s">
        <v>484</v>
      </c>
      <c r="B598" t="s">
        <v>1188</v>
      </c>
      <c r="C598" t="s">
        <v>48</v>
      </c>
      <c r="D598" s="72">
        <v>1361607</v>
      </c>
      <c r="E598" s="72">
        <v>107500</v>
      </c>
      <c r="F598" s="72">
        <v>649725</v>
      </c>
      <c r="G598" s="72">
        <v>3031851</v>
      </c>
      <c r="H598" s="72">
        <v>13735</v>
      </c>
      <c r="I598" s="72">
        <v>0</v>
      </c>
      <c r="J598" s="72">
        <v>226032</v>
      </c>
      <c r="K598" s="72">
        <v>543920</v>
      </c>
      <c r="L598" s="72">
        <v>5934370</v>
      </c>
      <c r="M598" s="72">
        <v>0</v>
      </c>
      <c r="N598" s="72">
        <v>0</v>
      </c>
      <c r="O598" s="72">
        <v>0</v>
      </c>
      <c r="P598" s="72">
        <v>0</v>
      </c>
      <c r="Q598" s="72">
        <v>0</v>
      </c>
      <c r="R598" s="72">
        <v>0</v>
      </c>
      <c r="S598" s="72">
        <v>5934370</v>
      </c>
      <c r="T598" s="72">
        <v>3077383</v>
      </c>
      <c r="U598" s="72">
        <v>1339632</v>
      </c>
      <c r="V598" s="72">
        <v>1338591</v>
      </c>
      <c r="W598" s="72">
        <v>212350</v>
      </c>
      <c r="X598" s="72">
        <v>36900</v>
      </c>
      <c r="Y598" s="72">
        <v>0</v>
      </c>
      <c r="Z598" s="72">
        <v>0</v>
      </c>
      <c r="AA598" s="72">
        <v>0</v>
      </c>
      <c r="AB598" s="72">
        <v>0</v>
      </c>
      <c r="AC598" s="72">
        <v>0</v>
      </c>
      <c r="AD598" s="72">
        <v>0</v>
      </c>
      <c r="AE598" s="72">
        <v>0</v>
      </c>
      <c r="AF598" s="72">
        <v>0</v>
      </c>
      <c r="AG598" s="72">
        <v>123625</v>
      </c>
      <c r="AH598" s="72">
        <v>6128481</v>
      </c>
      <c r="AI598" s="72">
        <v>0</v>
      </c>
      <c r="AJ598" s="72">
        <v>0</v>
      </c>
      <c r="AK598" s="72">
        <v>0</v>
      </c>
      <c r="AL598" s="72">
        <v>0</v>
      </c>
      <c r="AM598" s="72">
        <v>6128481</v>
      </c>
      <c r="AN598" s="72">
        <v>-194111</v>
      </c>
      <c r="AO598" s="72">
        <v>1626270</v>
      </c>
      <c r="AP598" s="72">
        <v>1432159</v>
      </c>
      <c r="AQ598" s="72">
        <v>0</v>
      </c>
      <c r="AR598" s="72">
        <v>0</v>
      </c>
      <c r="AS598" s="72">
        <v>0</v>
      </c>
      <c r="AT598" s="72">
        <v>0</v>
      </c>
      <c r="AU598" s="72">
        <v>0</v>
      </c>
      <c r="AV598" s="72">
        <v>0</v>
      </c>
      <c r="AW598" s="72">
        <v>0</v>
      </c>
      <c r="AX598" s="72">
        <v>0</v>
      </c>
      <c r="AY598" s="72">
        <v>0</v>
      </c>
      <c r="AZ598" s="72">
        <v>0</v>
      </c>
      <c r="BA598" s="72">
        <v>1432159</v>
      </c>
      <c r="BB598" s="72">
        <v>0</v>
      </c>
      <c r="BC598" s="72">
        <v>0</v>
      </c>
      <c r="BD598" s="72">
        <v>0</v>
      </c>
      <c r="BE598" s="72">
        <v>1432159</v>
      </c>
      <c r="BF598" s="72">
        <v>0</v>
      </c>
      <c r="BG598" s="72">
        <v>0</v>
      </c>
      <c r="BH598" s="72">
        <v>0</v>
      </c>
      <c r="BI598" s="72">
        <v>0</v>
      </c>
      <c r="BJ598" s="72">
        <v>1432159</v>
      </c>
      <c r="BK598" s="72">
        <v>65</v>
      </c>
      <c r="BL598" s="72">
        <v>582</v>
      </c>
      <c r="BM598" s="72">
        <v>0</v>
      </c>
      <c r="BN598" s="72">
        <v>0</v>
      </c>
      <c r="BO598" s="72">
        <v>0</v>
      </c>
      <c r="BP598" s="72">
        <v>0</v>
      </c>
      <c r="BQ598" s="72">
        <v>0</v>
      </c>
      <c r="BR598" s="72">
        <v>0</v>
      </c>
      <c r="BS598" s="72">
        <v>6128481</v>
      </c>
    </row>
    <row r="599" spans="1:71" x14ac:dyDescent="0.2">
      <c r="A599" t="s">
        <v>525</v>
      </c>
      <c r="B599" t="s">
        <v>1229</v>
      </c>
      <c r="C599" t="s">
        <v>48</v>
      </c>
      <c r="D599" s="72">
        <v>2325000</v>
      </c>
      <c r="E599" s="72">
        <v>0</v>
      </c>
      <c r="F599" s="72">
        <v>0</v>
      </c>
      <c r="G599" s="72">
        <v>3235962</v>
      </c>
      <c r="H599" s="72">
        <v>18233</v>
      </c>
      <c r="I599" s="72">
        <v>0</v>
      </c>
      <c r="J599" s="72">
        <v>241291</v>
      </c>
      <c r="K599" s="72">
        <v>500000</v>
      </c>
      <c r="L599" s="72">
        <v>6320486</v>
      </c>
      <c r="M599" s="72">
        <v>0</v>
      </c>
      <c r="N599" s="72">
        <v>0</v>
      </c>
      <c r="O599" s="72">
        <v>0</v>
      </c>
      <c r="P599" s="72">
        <v>0</v>
      </c>
      <c r="Q599" s="72">
        <v>30000</v>
      </c>
      <c r="R599" s="72">
        <v>30000</v>
      </c>
      <c r="S599" s="72">
        <v>6350486</v>
      </c>
      <c r="T599" s="72">
        <v>3400136</v>
      </c>
      <c r="U599" s="72">
        <v>1238226</v>
      </c>
      <c r="V599" s="72">
        <v>1370930</v>
      </c>
      <c r="W599" s="72">
        <v>239226</v>
      </c>
      <c r="X599" s="72">
        <v>5000</v>
      </c>
      <c r="Y599" s="72">
        <v>0</v>
      </c>
      <c r="Z599" s="72">
        <v>0</v>
      </c>
      <c r="AA599" s="72">
        <v>0</v>
      </c>
      <c r="AB599" s="72">
        <v>0</v>
      </c>
      <c r="AC599" s="72">
        <v>0</v>
      </c>
      <c r="AD599" s="72">
        <v>0</v>
      </c>
      <c r="AE599" s="72">
        <v>0</v>
      </c>
      <c r="AF599" s="72">
        <v>0</v>
      </c>
      <c r="AG599" s="72">
        <v>84766</v>
      </c>
      <c r="AH599" s="72">
        <v>6338284</v>
      </c>
      <c r="AI599" s="72">
        <v>0</v>
      </c>
      <c r="AJ599" s="72">
        <v>0</v>
      </c>
      <c r="AK599" s="72">
        <v>0</v>
      </c>
      <c r="AL599" s="72">
        <v>0</v>
      </c>
      <c r="AM599" s="72">
        <v>6338284</v>
      </c>
      <c r="AN599" s="72">
        <v>12202</v>
      </c>
      <c r="AO599" s="72">
        <v>1548469</v>
      </c>
      <c r="AP599" s="72">
        <v>1560671</v>
      </c>
      <c r="AQ599" s="72">
        <v>0</v>
      </c>
      <c r="AR599" s="72">
        <v>0</v>
      </c>
      <c r="AS599" s="72">
        <v>0</v>
      </c>
      <c r="AT599" s="72">
        <v>0</v>
      </c>
      <c r="AU599" s="72">
        <v>0</v>
      </c>
      <c r="AV599" s="72">
        <v>0</v>
      </c>
      <c r="AW599" s="72">
        <v>0</v>
      </c>
      <c r="AX599" s="72">
        <v>0</v>
      </c>
      <c r="AY599" s="72">
        <v>0</v>
      </c>
      <c r="AZ599" s="72">
        <v>0</v>
      </c>
      <c r="BA599" s="72">
        <v>1560671</v>
      </c>
      <c r="BB599" s="72">
        <v>0</v>
      </c>
      <c r="BC599" s="72">
        <v>0</v>
      </c>
      <c r="BD599" s="72">
        <v>0</v>
      </c>
      <c r="BE599" s="72">
        <v>1560671</v>
      </c>
      <c r="BF599" s="72">
        <v>0</v>
      </c>
      <c r="BG599" s="72">
        <v>0</v>
      </c>
      <c r="BH599" s="72">
        <v>0</v>
      </c>
      <c r="BI599" s="72">
        <v>0</v>
      </c>
      <c r="BJ599" s="72">
        <v>1560671</v>
      </c>
      <c r="BK599" s="72">
        <v>0</v>
      </c>
      <c r="BL599" s="72">
        <v>0</v>
      </c>
      <c r="BM599" s="72">
        <v>0</v>
      </c>
      <c r="BN599" s="72">
        <v>0</v>
      </c>
      <c r="BO599" s="72">
        <v>0</v>
      </c>
      <c r="BP599" s="72">
        <v>0</v>
      </c>
      <c r="BQ599" s="72">
        <v>0</v>
      </c>
      <c r="BR599" s="72">
        <v>0</v>
      </c>
      <c r="BS599" s="72">
        <v>6350486</v>
      </c>
    </row>
    <row r="600" spans="1:71" x14ac:dyDescent="0.2">
      <c r="A600" t="s">
        <v>667</v>
      </c>
      <c r="B600" t="s">
        <v>1357</v>
      </c>
      <c r="C600" t="s">
        <v>48</v>
      </c>
      <c r="D600" s="72">
        <v>1181520</v>
      </c>
      <c r="E600" s="72">
        <v>197729</v>
      </c>
      <c r="F600" s="72">
        <v>716323</v>
      </c>
      <c r="G600" s="72">
        <v>2046169</v>
      </c>
      <c r="H600" s="72">
        <v>2772</v>
      </c>
      <c r="J600" s="72">
        <v>238119</v>
      </c>
      <c r="K600" s="72">
        <v>216434</v>
      </c>
      <c r="L600" s="72">
        <v>4599066</v>
      </c>
      <c r="Q600" s="72">
        <v>24000</v>
      </c>
      <c r="R600" s="72">
        <v>55807</v>
      </c>
      <c r="S600" s="72">
        <v>4654873</v>
      </c>
      <c r="T600" s="72">
        <v>2053878</v>
      </c>
      <c r="U600" s="72">
        <v>835256</v>
      </c>
      <c r="V600" s="72">
        <v>1137148</v>
      </c>
      <c r="W600" s="72">
        <v>161540</v>
      </c>
      <c r="AG600" s="72">
        <v>95351</v>
      </c>
      <c r="AH600" s="72">
        <v>4283173</v>
      </c>
      <c r="AM600" s="72">
        <v>4308173</v>
      </c>
      <c r="AO600" s="72">
        <v>1678973</v>
      </c>
      <c r="AP600" s="72">
        <v>2025673</v>
      </c>
      <c r="AQ600" s="72">
        <v>30000</v>
      </c>
      <c r="AV600" s="72">
        <v>0</v>
      </c>
      <c r="BA600" s="72">
        <v>1995673</v>
      </c>
      <c r="BE600" s="72">
        <v>1995673</v>
      </c>
      <c r="BJ600" s="72">
        <v>1995673</v>
      </c>
      <c r="BM600" s="72">
        <v>0</v>
      </c>
      <c r="BN600" s="72">
        <v>0</v>
      </c>
      <c r="BO600" s="72">
        <v>0</v>
      </c>
      <c r="BP600" s="72">
        <v>0</v>
      </c>
      <c r="BQ600" s="72">
        <v>0</v>
      </c>
      <c r="BR600" s="72">
        <v>0</v>
      </c>
      <c r="BS600" s="72">
        <v>4654873</v>
      </c>
    </row>
    <row r="601" spans="1:71" x14ac:dyDescent="0.2">
      <c r="A601" t="s">
        <v>283</v>
      </c>
      <c r="B601" t="s">
        <v>998</v>
      </c>
      <c r="C601" t="s">
        <v>72</v>
      </c>
      <c r="D601" s="72">
        <v>4600000</v>
      </c>
      <c r="E601" s="72">
        <v>0</v>
      </c>
      <c r="F601" s="72">
        <v>1825000</v>
      </c>
      <c r="G601" s="72">
        <v>6000000</v>
      </c>
      <c r="H601" s="72">
        <v>20000</v>
      </c>
      <c r="I601" s="72">
        <v>0</v>
      </c>
      <c r="J601" s="72">
        <v>630000</v>
      </c>
      <c r="K601" s="72">
        <v>683000</v>
      </c>
      <c r="L601" s="72">
        <v>13758000</v>
      </c>
      <c r="M601" s="72">
        <v>0</v>
      </c>
      <c r="N601" s="72">
        <v>0</v>
      </c>
      <c r="O601" s="72">
        <v>0</v>
      </c>
      <c r="P601" s="72">
        <v>20000</v>
      </c>
      <c r="Q601" s="72">
        <v>28372</v>
      </c>
      <c r="R601" s="72">
        <v>48372</v>
      </c>
      <c r="S601" s="72">
        <v>13806372</v>
      </c>
      <c r="T601" s="72">
        <v>8200000</v>
      </c>
      <c r="U601" s="72">
        <v>3268058</v>
      </c>
      <c r="V601" s="72">
        <v>900000</v>
      </c>
      <c r="W601" s="72">
        <v>625000</v>
      </c>
      <c r="X601" s="72">
        <v>400000</v>
      </c>
      <c r="Y601" s="72">
        <v>0</v>
      </c>
      <c r="Z601" s="72">
        <v>0</v>
      </c>
      <c r="AA601" s="72">
        <v>0</v>
      </c>
      <c r="AB601" s="72">
        <v>0</v>
      </c>
      <c r="AC601" s="72">
        <v>0</v>
      </c>
      <c r="AD601" s="72">
        <v>0</v>
      </c>
      <c r="AE601" s="72">
        <v>0</v>
      </c>
      <c r="AF601" s="72">
        <v>0</v>
      </c>
      <c r="AG601" s="72">
        <v>1265627</v>
      </c>
      <c r="AH601" s="72">
        <v>14658685</v>
      </c>
      <c r="AI601" s="72">
        <v>20000</v>
      </c>
      <c r="AJ601" s="72">
        <v>0</v>
      </c>
      <c r="AK601" s="72">
        <v>0</v>
      </c>
      <c r="AL601" s="72">
        <v>20000</v>
      </c>
      <c r="AM601" s="72">
        <v>14678685</v>
      </c>
      <c r="AN601" s="72">
        <v>-872313</v>
      </c>
      <c r="AO601" s="72">
        <v>9302920</v>
      </c>
      <c r="AP601" s="72">
        <v>8430607</v>
      </c>
      <c r="AQ601" s="72">
        <v>75000</v>
      </c>
      <c r="AR601" s="72">
        <v>0</v>
      </c>
      <c r="AS601" s="72">
        <v>0</v>
      </c>
      <c r="AT601" s="72">
        <v>0</v>
      </c>
      <c r="AU601" s="72">
        <v>0</v>
      </c>
      <c r="AV601" s="72">
        <v>0</v>
      </c>
      <c r="AW601" s="72">
        <v>0</v>
      </c>
      <c r="AX601" s="72">
        <v>0</v>
      </c>
      <c r="AY601" s="72">
        <v>0</v>
      </c>
      <c r="AZ601" s="72">
        <v>0</v>
      </c>
      <c r="BA601" s="72">
        <v>8355607</v>
      </c>
      <c r="BB601" s="72">
        <v>0</v>
      </c>
      <c r="BC601" s="72">
        <v>0</v>
      </c>
      <c r="BD601" s="72">
        <v>0</v>
      </c>
      <c r="BE601" s="72">
        <v>8355607</v>
      </c>
      <c r="BF601" s="72">
        <v>0</v>
      </c>
      <c r="BG601" s="72">
        <v>0</v>
      </c>
      <c r="BH601" s="72">
        <v>0</v>
      </c>
      <c r="BI601" s="72">
        <v>0</v>
      </c>
      <c r="BJ601" s="72">
        <v>8355607</v>
      </c>
      <c r="BK601" s="72">
        <v>0</v>
      </c>
      <c r="BL601" s="72">
        <v>0</v>
      </c>
      <c r="BM601" s="72">
        <v>0</v>
      </c>
      <c r="BN601" s="72">
        <v>0</v>
      </c>
      <c r="BO601" s="72">
        <v>0</v>
      </c>
      <c r="BP601" s="72">
        <v>0</v>
      </c>
      <c r="BQ601" s="72">
        <v>0</v>
      </c>
      <c r="BR601" s="72">
        <v>0</v>
      </c>
      <c r="BS601" s="72">
        <v>14678685</v>
      </c>
    </row>
    <row r="602" spans="1:71" x14ac:dyDescent="0.2">
      <c r="A602" t="s">
        <v>293</v>
      </c>
      <c r="B602" t="s">
        <v>1007</v>
      </c>
      <c r="C602" t="s">
        <v>72</v>
      </c>
      <c r="D602" s="72">
        <v>2106050</v>
      </c>
      <c r="E602" s="72">
        <v>333850</v>
      </c>
      <c r="F602" s="72">
        <v>1653768</v>
      </c>
      <c r="G602" s="72">
        <v>6475834</v>
      </c>
      <c r="H602" s="72">
        <v>47642</v>
      </c>
      <c r="I602" s="72">
        <v>0</v>
      </c>
      <c r="J602" s="72">
        <v>332300</v>
      </c>
      <c r="K602" s="72">
        <v>678356</v>
      </c>
      <c r="L602" s="72">
        <v>11627800</v>
      </c>
      <c r="M602" s="72">
        <v>0</v>
      </c>
      <c r="N602" s="72">
        <v>0</v>
      </c>
      <c r="P602" s="72">
        <v>0</v>
      </c>
      <c r="Q602" s="72">
        <v>51088</v>
      </c>
      <c r="R602" s="72">
        <v>51088</v>
      </c>
      <c r="S602" s="72">
        <v>11678888</v>
      </c>
      <c r="T602" s="72">
        <v>6867010</v>
      </c>
      <c r="U602" s="72">
        <v>2591490</v>
      </c>
      <c r="V602" s="72">
        <v>1519614</v>
      </c>
      <c r="W602" s="72">
        <v>750143</v>
      </c>
      <c r="X602" s="72">
        <v>207392</v>
      </c>
      <c r="Y602" s="72">
        <v>0</v>
      </c>
      <c r="Z602" s="72">
        <v>0</v>
      </c>
      <c r="AB602" s="72">
        <v>0</v>
      </c>
      <c r="AC602" s="72">
        <v>0</v>
      </c>
      <c r="AD602" s="72">
        <v>0</v>
      </c>
      <c r="AE602" s="72">
        <v>60000</v>
      </c>
      <c r="AF602" s="72">
        <v>59361</v>
      </c>
      <c r="AG602" s="72">
        <v>148650</v>
      </c>
      <c r="AH602" s="72">
        <v>12203660</v>
      </c>
      <c r="AI602" s="72">
        <v>0</v>
      </c>
      <c r="AJ602" s="72">
        <v>0</v>
      </c>
      <c r="AK602" s="72">
        <v>14500</v>
      </c>
      <c r="AL602" s="72">
        <v>14500</v>
      </c>
      <c r="AM602" s="72">
        <v>12218160</v>
      </c>
      <c r="AN602" s="72">
        <v>-539272</v>
      </c>
      <c r="AO602" s="72">
        <v>6666224</v>
      </c>
      <c r="AP602" s="72">
        <v>6126952</v>
      </c>
      <c r="AQ602" s="72">
        <v>0</v>
      </c>
      <c r="AR602" s="72">
        <v>0</v>
      </c>
      <c r="AS602" s="72">
        <v>0</v>
      </c>
      <c r="AT602" s="72">
        <v>0</v>
      </c>
      <c r="AU602" s="72">
        <v>0</v>
      </c>
      <c r="AV602" s="72">
        <v>0</v>
      </c>
      <c r="AW602" s="72">
        <v>0</v>
      </c>
      <c r="AX602" s="72">
        <v>0</v>
      </c>
      <c r="AY602" s="72">
        <v>0</v>
      </c>
      <c r="AZ602" s="72">
        <v>0</v>
      </c>
      <c r="BA602" s="72">
        <v>6126952</v>
      </c>
      <c r="BB602" s="72">
        <v>0</v>
      </c>
      <c r="BC602" s="72">
        <v>0</v>
      </c>
      <c r="BD602" s="72">
        <v>0</v>
      </c>
      <c r="BE602" s="72">
        <v>6126952</v>
      </c>
      <c r="BF602" s="72">
        <v>0</v>
      </c>
      <c r="BG602" s="72">
        <v>0</v>
      </c>
      <c r="BH602" s="72">
        <v>0</v>
      </c>
      <c r="BI602" s="72">
        <v>0</v>
      </c>
      <c r="BJ602" s="72">
        <v>6126952</v>
      </c>
      <c r="BK602" s="72">
        <v>78</v>
      </c>
      <c r="BL602" s="72">
        <v>1121</v>
      </c>
      <c r="BM602" s="72">
        <v>0</v>
      </c>
      <c r="BN602" s="72">
        <v>0</v>
      </c>
      <c r="BO602" s="72">
        <v>0</v>
      </c>
      <c r="BP602" s="72">
        <v>0</v>
      </c>
      <c r="BQ602" s="72">
        <v>0</v>
      </c>
      <c r="BR602" s="72">
        <v>0</v>
      </c>
      <c r="BS602" s="72">
        <v>12218160</v>
      </c>
    </row>
    <row r="603" spans="1:71" x14ac:dyDescent="0.2">
      <c r="A603" t="s">
        <v>405</v>
      </c>
      <c r="B603" t="s">
        <v>1114</v>
      </c>
      <c r="C603" t="s">
        <v>72</v>
      </c>
      <c r="D603" s="72">
        <v>7402527</v>
      </c>
      <c r="E603" s="72">
        <v>0</v>
      </c>
      <c r="F603" s="72">
        <v>0</v>
      </c>
      <c r="G603" s="72">
        <v>4257443</v>
      </c>
      <c r="H603" s="72">
        <v>41048</v>
      </c>
      <c r="I603" s="72">
        <v>0</v>
      </c>
      <c r="J603" s="72">
        <v>1733866</v>
      </c>
      <c r="K603" s="72">
        <v>441194</v>
      </c>
      <c r="L603" s="72">
        <v>13876078</v>
      </c>
      <c r="M603" s="72">
        <v>0</v>
      </c>
      <c r="N603" s="72">
        <v>0</v>
      </c>
      <c r="O603" s="72">
        <v>22425</v>
      </c>
      <c r="P603" s="72">
        <v>0</v>
      </c>
      <c r="Q603" s="72">
        <v>0</v>
      </c>
      <c r="R603" s="72">
        <v>22425</v>
      </c>
      <c r="S603" s="72">
        <v>13898503</v>
      </c>
      <c r="T603" s="72">
        <v>6991647</v>
      </c>
      <c r="U603" s="72">
        <v>2983187</v>
      </c>
      <c r="V603" s="72">
        <v>3015986</v>
      </c>
      <c r="W603" s="72">
        <v>422033</v>
      </c>
      <c r="X603" s="72">
        <v>34795</v>
      </c>
      <c r="Y603" s="72">
        <v>0</v>
      </c>
      <c r="Z603" s="72">
        <v>0</v>
      </c>
      <c r="AA603" s="72">
        <v>0</v>
      </c>
      <c r="AB603" s="72">
        <v>0</v>
      </c>
      <c r="AC603" s="72">
        <v>0</v>
      </c>
      <c r="AD603" s="72">
        <v>0</v>
      </c>
      <c r="AE603" s="72">
        <v>0</v>
      </c>
      <c r="AF603" s="72">
        <v>0</v>
      </c>
      <c r="AG603" s="72">
        <v>242066</v>
      </c>
      <c r="AH603" s="72">
        <v>13689714</v>
      </c>
      <c r="AI603" s="72">
        <v>143000</v>
      </c>
      <c r="AJ603" s="72">
        <v>0</v>
      </c>
      <c r="AK603" s="72">
        <v>0</v>
      </c>
      <c r="AL603" s="72">
        <v>143000</v>
      </c>
      <c r="AM603" s="72">
        <v>13832714</v>
      </c>
      <c r="AN603" s="72">
        <v>65789</v>
      </c>
      <c r="AO603" s="72">
        <v>597032</v>
      </c>
      <c r="AP603" s="72">
        <v>662821</v>
      </c>
      <c r="AQ603" s="72">
        <v>175000</v>
      </c>
      <c r="AR603" s="72">
        <v>100000</v>
      </c>
      <c r="AS603" s="72">
        <v>0</v>
      </c>
      <c r="AT603" s="72">
        <v>22919</v>
      </c>
      <c r="AU603" s="72">
        <v>0</v>
      </c>
      <c r="AW603" s="72">
        <v>0</v>
      </c>
      <c r="AX603" s="72">
        <v>0</v>
      </c>
      <c r="AY603" s="72">
        <v>0</v>
      </c>
      <c r="AZ603" s="72">
        <v>122919</v>
      </c>
      <c r="BA603" s="72">
        <v>364902</v>
      </c>
      <c r="BB603" s="72">
        <v>0</v>
      </c>
      <c r="BC603" s="72">
        <v>0</v>
      </c>
      <c r="BD603" s="72">
        <v>0</v>
      </c>
      <c r="BE603" s="72">
        <v>364902</v>
      </c>
      <c r="BF603" s="72">
        <v>0</v>
      </c>
      <c r="BG603" s="72">
        <v>0</v>
      </c>
      <c r="BH603" s="72">
        <v>0</v>
      </c>
      <c r="BI603" s="72">
        <v>0</v>
      </c>
      <c r="BJ603" s="72">
        <v>364902</v>
      </c>
      <c r="BS603" s="72">
        <v>13898503</v>
      </c>
    </row>
    <row r="604" spans="1:71" x14ac:dyDescent="0.2">
      <c r="A604" t="s">
        <v>522</v>
      </c>
      <c r="B604" t="s">
        <v>1226</v>
      </c>
      <c r="C604" t="s">
        <v>72</v>
      </c>
      <c r="D604" s="72">
        <v>2242986</v>
      </c>
      <c r="E604" s="72">
        <v>0</v>
      </c>
      <c r="F604" s="72">
        <v>676522</v>
      </c>
      <c r="G604" s="72">
        <v>3688688</v>
      </c>
      <c r="H604" s="72">
        <v>0</v>
      </c>
      <c r="I604" s="72">
        <v>0</v>
      </c>
      <c r="J604" s="72">
        <v>456000</v>
      </c>
      <c r="K604" s="72">
        <v>686093</v>
      </c>
      <c r="L604" s="72">
        <v>7750289</v>
      </c>
      <c r="M604" s="72">
        <v>0</v>
      </c>
      <c r="N604" s="72">
        <v>0</v>
      </c>
      <c r="O604" s="72">
        <v>50000</v>
      </c>
      <c r="P604" s="72">
        <v>0</v>
      </c>
      <c r="Q604" s="72">
        <v>0</v>
      </c>
      <c r="R604" s="72">
        <v>50000</v>
      </c>
      <c r="S604" s="72">
        <v>7800289</v>
      </c>
      <c r="T604" s="72">
        <v>3926508</v>
      </c>
      <c r="U604" s="72">
        <v>1445937</v>
      </c>
      <c r="V604" s="72">
        <v>1290531</v>
      </c>
      <c r="W604" s="72">
        <v>195000</v>
      </c>
      <c r="X604" s="72">
        <v>175000</v>
      </c>
      <c r="Y604" s="72">
        <v>0</v>
      </c>
      <c r="Z604" s="72">
        <v>0</v>
      </c>
      <c r="AA604" s="72">
        <v>0</v>
      </c>
      <c r="AB604" s="72">
        <v>0</v>
      </c>
      <c r="AC604" s="72">
        <v>0</v>
      </c>
      <c r="AD604" s="72">
        <v>0</v>
      </c>
      <c r="AE604" s="72">
        <v>0</v>
      </c>
      <c r="AF604" s="72">
        <v>0</v>
      </c>
      <c r="AG604" s="72">
        <v>1000000</v>
      </c>
      <c r="AH604" s="72">
        <v>8032976</v>
      </c>
      <c r="AI604" s="72">
        <v>150000</v>
      </c>
      <c r="AJ604" s="72">
        <v>0</v>
      </c>
      <c r="AK604" s="72">
        <v>0</v>
      </c>
      <c r="AL604" s="72">
        <v>150000</v>
      </c>
      <c r="AM604" s="72">
        <v>8182976</v>
      </c>
      <c r="AN604" s="72">
        <v>-382687</v>
      </c>
      <c r="AO604" s="72">
        <v>3589374</v>
      </c>
      <c r="AP604" s="72">
        <v>3206687</v>
      </c>
      <c r="AQ604" s="72">
        <v>0</v>
      </c>
      <c r="AR604" s="72">
        <v>0</v>
      </c>
      <c r="AS604" s="72">
        <v>0</v>
      </c>
      <c r="AT604" s="72">
        <v>0</v>
      </c>
      <c r="AU604" s="72">
        <v>0</v>
      </c>
      <c r="AV604" s="72">
        <v>0</v>
      </c>
      <c r="AW604" s="72">
        <v>0</v>
      </c>
      <c r="AX604" s="72">
        <v>0</v>
      </c>
      <c r="AY604" s="72">
        <v>0</v>
      </c>
      <c r="AZ604" s="72">
        <v>0</v>
      </c>
      <c r="BA604" s="72">
        <v>3206687</v>
      </c>
      <c r="BB604" s="72">
        <v>0</v>
      </c>
      <c r="BC604" s="72">
        <v>0</v>
      </c>
      <c r="BD604" s="72">
        <v>0</v>
      </c>
      <c r="BE604" s="72">
        <v>3206687</v>
      </c>
      <c r="BF604" s="72">
        <v>0</v>
      </c>
      <c r="BG604" s="72">
        <v>0</v>
      </c>
      <c r="BH604" s="72">
        <v>0</v>
      </c>
      <c r="BI604" s="72">
        <v>0</v>
      </c>
      <c r="BJ604" s="72">
        <v>3206687</v>
      </c>
      <c r="BK604" s="72">
        <v>0</v>
      </c>
      <c r="BL604" s="72">
        <v>0</v>
      </c>
      <c r="BM604" s="72">
        <v>0</v>
      </c>
      <c r="BN604" s="72">
        <v>0</v>
      </c>
      <c r="BO604" s="72">
        <v>0</v>
      </c>
      <c r="BP604" s="72">
        <v>0</v>
      </c>
      <c r="BQ604" s="72">
        <v>0</v>
      </c>
      <c r="BR604" s="72">
        <v>0</v>
      </c>
      <c r="BS604" s="72">
        <v>8182976</v>
      </c>
    </row>
    <row r="605" spans="1:71" x14ac:dyDescent="0.2">
      <c r="A605" t="s">
        <v>544</v>
      </c>
      <c r="B605" t="s">
        <v>1243</v>
      </c>
      <c r="C605" t="s">
        <v>72</v>
      </c>
      <c r="D605" s="72">
        <v>5350000</v>
      </c>
      <c r="E605" s="72">
        <v>160500</v>
      </c>
      <c r="F605" s="72">
        <v>0</v>
      </c>
      <c r="G605" s="72">
        <v>2460000</v>
      </c>
      <c r="H605" s="72">
        <v>9781</v>
      </c>
      <c r="I605" s="72">
        <v>0</v>
      </c>
      <c r="J605" s="72">
        <v>946000</v>
      </c>
      <c r="K605" s="72">
        <v>836820</v>
      </c>
      <c r="L605" s="72">
        <v>9763101</v>
      </c>
      <c r="M605" s="72">
        <v>0</v>
      </c>
      <c r="N605" s="72">
        <v>0</v>
      </c>
      <c r="O605" s="72">
        <v>0</v>
      </c>
      <c r="P605" s="72">
        <v>0</v>
      </c>
      <c r="Q605" s="72">
        <v>0</v>
      </c>
      <c r="R605" s="72">
        <v>0</v>
      </c>
      <c r="S605" s="72">
        <v>9763101</v>
      </c>
      <c r="T605" s="72">
        <v>4514513</v>
      </c>
      <c r="U605" s="72">
        <v>1785124</v>
      </c>
      <c r="V605" s="72">
        <v>2225992</v>
      </c>
      <c r="W605" s="72">
        <v>450000</v>
      </c>
      <c r="X605" s="72">
        <v>310000</v>
      </c>
      <c r="Y605" s="72">
        <v>0</v>
      </c>
      <c r="Z605" s="72">
        <v>0</v>
      </c>
      <c r="AA605" s="72">
        <v>0</v>
      </c>
      <c r="AB605" s="72">
        <v>0</v>
      </c>
      <c r="AC605" s="72">
        <v>0</v>
      </c>
      <c r="AD605" s="72">
        <v>0</v>
      </c>
      <c r="AE605" s="72">
        <v>0</v>
      </c>
      <c r="AF605" s="72">
        <v>0</v>
      </c>
      <c r="AG605" s="72">
        <v>150000</v>
      </c>
      <c r="AH605" s="72">
        <v>9435629</v>
      </c>
      <c r="AI605" s="72">
        <v>0</v>
      </c>
      <c r="AJ605" s="72">
        <v>0</v>
      </c>
      <c r="AK605" s="72">
        <v>0</v>
      </c>
      <c r="AL605" s="72">
        <v>0</v>
      </c>
      <c r="AM605" s="72">
        <v>9435629</v>
      </c>
      <c r="AN605" s="72">
        <v>327472</v>
      </c>
      <c r="AO605" s="72">
        <v>4120937</v>
      </c>
      <c r="AP605" s="72">
        <v>4448409</v>
      </c>
      <c r="AQ605" s="72">
        <v>200000</v>
      </c>
      <c r="AR605" s="72">
        <v>0</v>
      </c>
      <c r="AS605" s="72">
        <v>0</v>
      </c>
      <c r="AT605" s="72">
        <v>0</v>
      </c>
      <c r="AU605" s="72">
        <v>0</v>
      </c>
      <c r="AV605" s="72">
        <v>0</v>
      </c>
      <c r="AW605" s="72">
        <v>0</v>
      </c>
      <c r="AX605" s="72">
        <v>0</v>
      </c>
      <c r="AY605" s="72">
        <v>0</v>
      </c>
      <c r="AZ605" s="72">
        <v>0</v>
      </c>
      <c r="BA605" s="72">
        <v>4248409</v>
      </c>
      <c r="BB605" s="72">
        <v>0</v>
      </c>
      <c r="BC605" s="72">
        <v>0</v>
      </c>
      <c r="BD605" s="72">
        <v>0</v>
      </c>
      <c r="BE605" s="72">
        <v>4248409</v>
      </c>
      <c r="BF605" s="72">
        <v>0</v>
      </c>
      <c r="BG605" s="72">
        <v>0</v>
      </c>
      <c r="BH605" s="72">
        <v>0</v>
      </c>
      <c r="BI605" s="72">
        <v>0</v>
      </c>
      <c r="BJ605" s="72">
        <v>4248409</v>
      </c>
      <c r="BK605" s="72">
        <v>0</v>
      </c>
      <c r="BL605" s="72">
        <v>0</v>
      </c>
      <c r="BM605" s="72">
        <v>0</v>
      </c>
      <c r="BN605" s="72">
        <v>0</v>
      </c>
      <c r="BO605" s="72">
        <v>0</v>
      </c>
      <c r="BP605" s="72">
        <v>0</v>
      </c>
      <c r="BQ605" s="72">
        <v>0</v>
      </c>
      <c r="BR605" s="72">
        <v>0</v>
      </c>
      <c r="BS605" s="72">
        <v>9763101</v>
      </c>
    </row>
    <row r="606" spans="1:71" x14ac:dyDescent="0.2">
      <c r="A606" t="s">
        <v>562</v>
      </c>
      <c r="B606" t="s">
        <v>1261</v>
      </c>
      <c r="C606" t="s">
        <v>72</v>
      </c>
      <c r="D606" s="72">
        <v>3735990</v>
      </c>
      <c r="E606" s="72">
        <v>281522</v>
      </c>
      <c r="F606" s="72">
        <v>2631719</v>
      </c>
      <c r="G606" s="72">
        <v>5454413</v>
      </c>
      <c r="H606" s="72">
        <v>4072</v>
      </c>
      <c r="I606" s="72">
        <v>0</v>
      </c>
      <c r="J606" s="72">
        <v>572270</v>
      </c>
      <c r="K606" s="72">
        <v>623991</v>
      </c>
      <c r="L606" s="72">
        <v>13303977</v>
      </c>
      <c r="M606" s="72">
        <v>0</v>
      </c>
      <c r="N606" s="72">
        <v>0</v>
      </c>
      <c r="O606" s="72">
        <v>0</v>
      </c>
      <c r="P606" s="72">
        <v>0</v>
      </c>
      <c r="S606" s="72">
        <v>13351977</v>
      </c>
      <c r="T606" s="72">
        <v>7205063</v>
      </c>
      <c r="U606" s="72">
        <v>2888530</v>
      </c>
      <c r="V606" s="72">
        <v>1680439</v>
      </c>
      <c r="W606" s="72">
        <v>686861</v>
      </c>
      <c r="X606" s="72">
        <v>343075</v>
      </c>
      <c r="Y606" s="72">
        <v>0</v>
      </c>
      <c r="Z606" s="72">
        <v>0</v>
      </c>
      <c r="AA606" s="72">
        <v>0</v>
      </c>
      <c r="AB606" s="72">
        <v>0</v>
      </c>
      <c r="AC606" s="72">
        <v>0</v>
      </c>
      <c r="AD606" s="72">
        <v>0</v>
      </c>
      <c r="AE606" s="72">
        <v>245000</v>
      </c>
      <c r="AF606" s="72">
        <v>68311</v>
      </c>
      <c r="AG606" s="72">
        <v>379084</v>
      </c>
      <c r="AH606" s="72">
        <v>13496363</v>
      </c>
      <c r="AI606" s="72">
        <v>0</v>
      </c>
      <c r="AJ606" s="72">
        <v>0</v>
      </c>
      <c r="AK606" s="72">
        <v>0</v>
      </c>
      <c r="AL606" s="72">
        <v>0</v>
      </c>
      <c r="AM606" s="72">
        <v>13496363</v>
      </c>
      <c r="AN606" s="72">
        <v>-144386</v>
      </c>
      <c r="AO606" s="72">
        <v>3353380</v>
      </c>
      <c r="AP606" s="72">
        <v>3208994</v>
      </c>
      <c r="AQ606" s="72">
        <v>200000</v>
      </c>
      <c r="AR606" s="72">
        <v>0</v>
      </c>
      <c r="AS606" s="72">
        <v>0</v>
      </c>
      <c r="AT606" s="72">
        <v>0</v>
      </c>
      <c r="AU606" s="72">
        <v>0</v>
      </c>
      <c r="AV606" s="72">
        <v>0</v>
      </c>
      <c r="AW606" s="72">
        <v>0</v>
      </c>
      <c r="AX606" s="72">
        <v>0</v>
      </c>
      <c r="AY606" s="72">
        <v>0</v>
      </c>
      <c r="AZ606" s="72">
        <v>0</v>
      </c>
      <c r="BA606" s="72">
        <v>3008994</v>
      </c>
      <c r="BB606" s="72">
        <v>0</v>
      </c>
      <c r="BC606" s="72">
        <v>0</v>
      </c>
      <c r="BD606" s="72">
        <v>0</v>
      </c>
      <c r="BE606" s="72">
        <v>3008994</v>
      </c>
      <c r="BF606" s="72">
        <v>0</v>
      </c>
      <c r="BG606" s="72">
        <v>0</v>
      </c>
      <c r="BH606" s="72">
        <v>0</v>
      </c>
      <c r="BI606" s="72">
        <v>0</v>
      </c>
      <c r="BJ606" s="72">
        <v>3008994</v>
      </c>
      <c r="BK606" s="72">
        <v>0</v>
      </c>
      <c r="BL606" s="72">
        <v>0</v>
      </c>
      <c r="BM606" s="72">
        <v>0</v>
      </c>
      <c r="BN606" s="72">
        <v>0</v>
      </c>
      <c r="BO606" s="72">
        <v>0</v>
      </c>
      <c r="BP606" s="72">
        <v>0</v>
      </c>
      <c r="BQ606" s="72">
        <v>0</v>
      </c>
      <c r="BR606" s="72">
        <v>0</v>
      </c>
      <c r="BS606" s="72">
        <v>13496363</v>
      </c>
    </row>
    <row r="607" spans="1:71" x14ac:dyDescent="0.2">
      <c r="A607" t="s">
        <v>492</v>
      </c>
      <c r="B607" t="s">
        <v>1196</v>
      </c>
      <c r="C607" t="s">
        <v>92</v>
      </c>
      <c r="D607" s="72">
        <v>1978394</v>
      </c>
      <c r="E607" s="72">
        <v>220896</v>
      </c>
      <c r="F607" s="72">
        <v>1367536</v>
      </c>
      <c r="G607" s="72">
        <v>4303997</v>
      </c>
      <c r="H607" s="72">
        <v>42023</v>
      </c>
      <c r="I607" s="72">
        <v>0</v>
      </c>
      <c r="J607" s="72">
        <v>333972</v>
      </c>
      <c r="K607" s="72">
        <v>877755</v>
      </c>
      <c r="L607" s="72">
        <v>9124573</v>
      </c>
      <c r="M607" s="72">
        <v>0</v>
      </c>
      <c r="N607" s="72">
        <v>0</v>
      </c>
      <c r="O607" s="72">
        <v>0</v>
      </c>
      <c r="P607" s="72">
        <v>0</v>
      </c>
      <c r="Q607" s="72">
        <v>25000</v>
      </c>
      <c r="R607" s="72">
        <v>25000</v>
      </c>
      <c r="S607" s="72">
        <v>9149573</v>
      </c>
      <c r="T607" s="72">
        <v>4407142</v>
      </c>
      <c r="U607" s="72">
        <v>1592542</v>
      </c>
      <c r="V607" s="72">
        <v>2240601</v>
      </c>
      <c r="W607" s="72">
        <v>378837</v>
      </c>
      <c r="X607" s="72">
        <v>293957</v>
      </c>
      <c r="Y607" s="72">
        <v>0</v>
      </c>
      <c r="Z607" s="72">
        <v>0</v>
      </c>
      <c r="AA607" s="72">
        <v>0</v>
      </c>
      <c r="AB607" s="72">
        <v>0</v>
      </c>
      <c r="AC607" s="72">
        <v>0</v>
      </c>
      <c r="AD607" s="72">
        <v>0</v>
      </c>
      <c r="AE607" s="72">
        <v>0</v>
      </c>
      <c r="AF607" s="72">
        <v>0</v>
      </c>
      <c r="AG607" s="72">
        <v>105247</v>
      </c>
      <c r="AH607" s="72">
        <v>9018326</v>
      </c>
      <c r="AI607" s="72">
        <v>0</v>
      </c>
      <c r="AJ607" s="72">
        <v>0</v>
      </c>
      <c r="AK607" s="72">
        <v>0</v>
      </c>
      <c r="AL607" s="72">
        <v>0</v>
      </c>
      <c r="AM607" s="72">
        <v>9018326</v>
      </c>
      <c r="AN607" s="72">
        <v>131247</v>
      </c>
      <c r="AO607" s="72">
        <v>1176286</v>
      </c>
      <c r="AP607" s="72">
        <v>1307533</v>
      </c>
      <c r="AQ607" s="72">
        <v>135000</v>
      </c>
      <c r="AR607" s="72">
        <v>0</v>
      </c>
      <c r="AS607" s="72">
        <v>0</v>
      </c>
      <c r="AT607" s="72">
        <v>0</v>
      </c>
      <c r="AU607" s="72">
        <v>0</v>
      </c>
      <c r="AV607" s="72">
        <v>0</v>
      </c>
      <c r="AW607" s="72">
        <v>0</v>
      </c>
      <c r="AX607" s="72">
        <v>0</v>
      </c>
      <c r="AY607" s="72">
        <v>0</v>
      </c>
      <c r="AZ607" s="72">
        <v>0</v>
      </c>
      <c r="BA607" s="72">
        <v>1172533</v>
      </c>
      <c r="BB607" s="72">
        <v>0</v>
      </c>
      <c r="BC607" s="72">
        <v>0</v>
      </c>
      <c r="BD607" s="72">
        <v>0</v>
      </c>
      <c r="BE607" s="72">
        <v>1172533</v>
      </c>
      <c r="BF607" s="72">
        <v>0</v>
      </c>
      <c r="BG607" s="72">
        <v>0</v>
      </c>
      <c r="BH607" s="72">
        <v>0</v>
      </c>
      <c r="BI607" s="72">
        <v>0</v>
      </c>
      <c r="BJ607" s="72">
        <v>1172533</v>
      </c>
      <c r="BM607" s="72">
        <v>0</v>
      </c>
      <c r="BN607" s="72">
        <v>0</v>
      </c>
      <c r="BO607" s="72">
        <v>0</v>
      </c>
      <c r="BP607" s="72">
        <v>0</v>
      </c>
      <c r="BQ607" s="72">
        <v>0</v>
      </c>
      <c r="BR607" s="72">
        <v>0</v>
      </c>
      <c r="BS607" s="72">
        <v>9149573</v>
      </c>
    </row>
    <row r="608" spans="1:71" x14ac:dyDescent="0.2">
      <c r="A608" t="s">
        <v>127</v>
      </c>
      <c r="B608" t="s">
        <v>848</v>
      </c>
      <c r="C608" t="s">
        <v>91</v>
      </c>
      <c r="D608" s="72">
        <v>3047325</v>
      </c>
      <c r="E608" s="72">
        <v>0</v>
      </c>
      <c r="F608" s="72">
        <v>0</v>
      </c>
      <c r="G608" s="72">
        <v>4574119</v>
      </c>
      <c r="H608" s="72">
        <v>1717680</v>
      </c>
      <c r="I608" s="72">
        <v>0</v>
      </c>
      <c r="J608" s="72">
        <v>460699</v>
      </c>
      <c r="K608" s="72">
        <v>186236</v>
      </c>
      <c r="L608" s="72">
        <v>9986059</v>
      </c>
      <c r="M608" s="72">
        <v>0</v>
      </c>
      <c r="N608" s="72">
        <v>0</v>
      </c>
      <c r="O608" s="72">
        <v>0</v>
      </c>
      <c r="P608" s="72">
        <v>0</v>
      </c>
      <c r="Q608" s="72">
        <v>0</v>
      </c>
      <c r="R608" s="72">
        <v>0</v>
      </c>
      <c r="S608" s="72">
        <v>9986059</v>
      </c>
      <c r="T608" s="72">
        <v>6059602</v>
      </c>
      <c r="U608" s="72">
        <v>2055193</v>
      </c>
      <c r="V608" s="72">
        <v>939849</v>
      </c>
      <c r="W608" s="72">
        <v>484885</v>
      </c>
      <c r="X608" s="72">
        <v>5586</v>
      </c>
      <c r="Y608" s="72">
        <v>0</v>
      </c>
      <c r="Z608" s="72">
        <v>0</v>
      </c>
      <c r="AA608" s="72">
        <v>0</v>
      </c>
      <c r="AB608" s="72">
        <v>0</v>
      </c>
      <c r="AC608" s="72">
        <v>0</v>
      </c>
      <c r="AD608" s="72">
        <v>0</v>
      </c>
      <c r="AE608" s="72">
        <v>0</v>
      </c>
      <c r="AF608" s="72">
        <v>0</v>
      </c>
      <c r="AG608" s="72">
        <v>209855</v>
      </c>
      <c r="AH608" s="72">
        <v>9754970</v>
      </c>
      <c r="AI608" s="72">
        <v>0</v>
      </c>
      <c r="AJ608" s="72">
        <v>17000</v>
      </c>
      <c r="AK608" s="72">
        <v>0</v>
      </c>
      <c r="AL608" s="72">
        <v>17000</v>
      </c>
      <c r="AM608" s="72">
        <v>9771970</v>
      </c>
      <c r="AN608" s="72">
        <v>214089</v>
      </c>
      <c r="AO608" s="72">
        <v>6054237</v>
      </c>
      <c r="AP608" s="72">
        <v>6268326</v>
      </c>
      <c r="AQ608" s="72">
        <v>170000</v>
      </c>
      <c r="AR608" s="72">
        <v>0</v>
      </c>
      <c r="AS608" s="72">
        <v>0</v>
      </c>
      <c r="AT608" s="72">
        <v>0</v>
      </c>
      <c r="AU608" s="72">
        <v>0</v>
      </c>
      <c r="AV608" s="72">
        <v>0</v>
      </c>
      <c r="AW608" s="72">
        <v>0</v>
      </c>
      <c r="AX608" s="72">
        <v>0</v>
      </c>
      <c r="AY608" s="72">
        <v>0</v>
      </c>
      <c r="AZ608" s="72">
        <v>0</v>
      </c>
      <c r="BA608" s="72">
        <v>6098326</v>
      </c>
      <c r="BB608" s="72">
        <v>0</v>
      </c>
      <c r="BC608" s="72">
        <v>0</v>
      </c>
      <c r="BD608" s="72">
        <v>0</v>
      </c>
      <c r="BE608" s="72">
        <v>6098326</v>
      </c>
      <c r="BF608" s="72">
        <v>0</v>
      </c>
      <c r="BG608" s="72">
        <v>0</v>
      </c>
      <c r="BH608" s="72">
        <v>0</v>
      </c>
      <c r="BI608" s="72">
        <v>0</v>
      </c>
      <c r="BJ608" s="72">
        <v>6098326</v>
      </c>
      <c r="BK608" s="72">
        <v>0</v>
      </c>
      <c r="BL608" s="72">
        <v>733</v>
      </c>
      <c r="BM608" s="72">
        <v>0</v>
      </c>
      <c r="BN608" s="72">
        <v>0</v>
      </c>
      <c r="BO608" s="72">
        <v>0</v>
      </c>
      <c r="BP608" s="72">
        <v>0</v>
      </c>
      <c r="BQ608" s="72">
        <v>0</v>
      </c>
      <c r="BR608" s="72">
        <v>0</v>
      </c>
      <c r="BS608" s="72">
        <v>9986059</v>
      </c>
    </row>
    <row r="609" spans="1:71" x14ac:dyDescent="0.2">
      <c r="A609" t="s">
        <v>641</v>
      </c>
      <c r="B609" t="s">
        <v>1335</v>
      </c>
      <c r="C609" t="s">
        <v>94</v>
      </c>
      <c r="D609" s="72">
        <v>1450000</v>
      </c>
      <c r="E609" s="72">
        <v>231500</v>
      </c>
      <c r="F609" s="72">
        <v>0</v>
      </c>
      <c r="G609" s="72">
        <v>3162500</v>
      </c>
      <c r="H609" s="72">
        <v>0</v>
      </c>
      <c r="I609" s="72">
        <v>0</v>
      </c>
      <c r="J609" s="72">
        <v>226750</v>
      </c>
      <c r="K609" s="72">
        <v>19525</v>
      </c>
      <c r="L609" s="72">
        <v>5090275</v>
      </c>
      <c r="M609" s="72">
        <v>0</v>
      </c>
      <c r="N609" s="72">
        <v>0</v>
      </c>
      <c r="O609" s="72">
        <v>0</v>
      </c>
      <c r="P609" s="72">
        <v>95000</v>
      </c>
      <c r="Q609" s="72">
        <v>4000</v>
      </c>
      <c r="R609" s="72">
        <v>99000</v>
      </c>
      <c r="S609" s="72">
        <v>5189275</v>
      </c>
      <c r="T609" s="72">
        <v>2581805</v>
      </c>
      <c r="U609" s="72">
        <v>1123462</v>
      </c>
      <c r="V609" s="72">
        <v>499877</v>
      </c>
      <c r="W609" s="72">
        <v>425500</v>
      </c>
      <c r="X609" s="72">
        <v>103015</v>
      </c>
      <c r="Y609" s="72">
        <v>0</v>
      </c>
      <c r="Z609" s="72">
        <v>0</v>
      </c>
      <c r="AA609" s="72">
        <v>0</v>
      </c>
      <c r="AB609" s="72">
        <v>0</v>
      </c>
      <c r="AC609" s="72">
        <v>0</v>
      </c>
      <c r="AD609" s="72">
        <v>0</v>
      </c>
      <c r="AE609" s="72">
        <v>0</v>
      </c>
      <c r="AF609" s="72">
        <v>0</v>
      </c>
      <c r="AG609" s="72">
        <v>111705</v>
      </c>
      <c r="AH609" s="72">
        <v>4845364</v>
      </c>
      <c r="AI609" s="72">
        <v>175000</v>
      </c>
      <c r="AJ609" s="72">
        <v>95000</v>
      </c>
      <c r="AK609" s="72">
        <v>0</v>
      </c>
      <c r="AL609" s="72">
        <v>270000</v>
      </c>
      <c r="AM609" s="72">
        <v>5115364</v>
      </c>
      <c r="AN609" s="72">
        <v>73911</v>
      </c>
      <c r="AO609" s="72">
        <v>3564986</v>
      </c>
      <c r="AP609" s="72">
        <v>3638897</v>
      </c>
      <c r="AQ609" s="72">
        <v>0</v>
      </c>
      <c r="AR609" s="72">
        <v>0</v>
      </c>
      <c r="AS609" s="72">
        <v>0</v>
      </c>
      <c r="AT609" s="72">
        <v>0</v>
      </c>
      <c r="AU609" s="72">
        <v>0</v>
      </c>
      <c r="AV609" s="72">
        <v>0</v>
      </c>
      <c r="AW609" s="72">
        <v>0</v>
      </c>
      <c r="AX609" s="72">
        <v>0</v>
      </c>
      <c r="AY609" s="72">
        <v>0</v>
      </c>
      <c r="AZ609" s="72">
        <v>0</v>
      </c>
      <c r="BA609" s="72">
        <v>3638897</v>
      </c>
      <c r="BB609" s="72">
        <v>0</v>
      </c>
      <c r="BC609" s="72">
        <v>0</v>
      </c>
      <c r="BD609" s="72">
        <v>0</v>
      </c>
      <c r="BE609" s="72">
        <v>3638897</v>
      </c>
      <c r="BF609" s="72">
        <v>0</v>
      </c>
      <c r="BG609" s="72">
        <v>0</v>
      </c>
      <c r="BH609" s="72">
        <v>0</v>
      </c>
      <c r="BI609" s="72">
        <v>0</v>
      </c>
      <c r="BJ609" s="72">
        <v>3638897</v>
      </c>
      <c r="BK609" s="72">
        <v>0</v>
      </c>
      <c r="BL609" s="72">
        <v>344</v>
      </c>
      <c r="BM609" s="72">
        <v>0</v>
      </c>
      <c r="BN609" s="72">
        <v>0</v>
      </c>
      <c r="BO609" s="72">
        <v>0</v>
      </c>
      <c r="BP609" s="72">
        <v>0</v>
      </c>
      <c r="BQ609" s="72">
        <v>0</v>
      </c>
      <c r="BR609" s="72">
        <v>0</v>
      </c>
      <c r="BS609" s="72">
        <v>5189275</v>
      </c>
    </row>
    <row r="610" spans="1:71" x14ac:dyDescent="0.2">
      <c r="A610" t="s">
        <v>135</v>
      </c>
      <c r="B610" t="s">
        <v>856</v>
      </c>
      <c r="C610" t="s">
        <v>73</v>
      </c>
      <c r="D610" s="72">
        <v>3764252</v>
      </c>
      <c r="E610" s="72">
        <v>0</v>
      </c>
      <c r="F610" s="72">
        <v>0</v>
      </c>
      <c r="G610" s="72">
        <v>3600000</v>
      </c>
      <c r="H610" s="72">
        <v>1050000</v>
      </c>
      <c r="I610" s="72">
        <v>0</v>
      </c>
      <c r="J610" s="72">
        <v>712000</v>
      </c>
      <c r="K610" s="72">
        <v>310500</v>
      </c>
      <c r="L610" s="72">
        <v>9436752</v>
      </c>
      <c r="M610" s="72">
        <v>0</v>
      </c>
      <c r="N610" s="72">
        <v>0</v>
      </c>
      <c r="O610" s="72">
        <v>0</v>
      </c>
      <c r="P610" s="72">
        <v>187360</v>
      </c>
      <c r="Q610" s="72">
        <v>1000</v>
      </c>
      <c r="R610" s="72">
        <v>188360</v>
      </c>
      <c r="S610" s="72">
        <v>9625112</v>
      </c>
      <c r="T610" s="72">
        <v>5404430</v>
      </c>
      <c r="U610" s="72">
        <v>2521395</v>
      </c>
      <c r="V610" s="72">
        <v>1168981</v>
      </c>
      <c r="W610" s="72">
        <v>590937</v>
      </c>
      <c r="X610" s="72">
        <v>320503</v>
      </c>
      <c r="Y610" s="72">
        <v>0</v>
      </c>
      <c r="Z610" s="72">
        <v>0</v>
      </c>
      <c r="AA610" s="72">
        <v>0</v>
      </c>
      <c r="AB610" s="72">
        <v>0</v>
      </c>
      <c r="AC610" s="72">
        <v>0</v>
      </c>
      <c r="AD610" s="72">
        <v>0</v>
      </c>
      <c r="AE610" s="72">
        <v>0</v>
      </c>
      <c r="AF610" s="72">
        <v>0</v>
      </c>
      <c r="AG610" s="72">
        <v>237515</v>
      </c>
      <c r="AH610" s="72">
        <v>10243761</v>
      </c>
      <c r="AI610" s="72">
        <v>306900</v>
      </c>
      <c r="AJ610" s="72">
        <v>200000</v>
      </c>
      <c r="AK610" s="72">
        <v>40408</v>
      </c>
      <c r="AL610" s="72">
        <v>547308</v>
      </c>
      <c r="AM610" s="72">
        <v>10791069</v>
      </c>
      <c r="AN610" s="72">
        <v>-1165957</v>
      </c>
      <c r="AO610" s="72">
        <v>4942414</v>
      </c>
      <c r="AP610" s="72">
        <v>3776457</v>
      </c>
      <c r="AQ610" s="72">
        <v>200000</v>
      </c>
      <c r="AR610" s="72">
        <v>0</v>
      </c>
      <c r="AS610" s="72">
        <v>0</v>
      </c>
      <c r="AT610" s="72">
        <v>0</v>
      </c>
      <c r="AU610" s="72">
        <v>0</v>
      </c>
      <c r="AV610" s="72">
        <v>0</v>
      </c>
      <c r="AW610" s="72">
        <v>0</v>
      </c>
      <c r="AX610" s="72">
        <v>0</v>
      </c>
      <c r="AY610" s="72">
        <v>0</v>
      </c>
      <c r="AZ610" s="72">
        <v>0</v>
      </c>
      <c r="BA610" s="72">
        <v>3576457</v>
      </c>
      <c r="BB610" s="72">
        <v>0</v>
      </c>
      <c r="BC610" s="72">
        <v>0</v>
      </c>
      <c r="BD610" s="72">
        <v>0</v>
      </c>
      <c r="BE610" s="72">
        <v>3576457</v>
      </c>
      <c r="BF610" s="72">
        <v>0</v>
      </c>
      <c r="BG610" s="72">
        <v>0</v>
      </c>
      <c r="BH610" s="72">
        <v>0</v>
      </c>
      <c r="BI610" s="72">
        <v>0</v>
      </c>
      <c r="BJ610" s="72">
        <v>3576457</v>
      </c>
      <c r="BK610" s="72">
        <v>0</v>
      </c>
      <c r="BL610" s="72">
        <v>680</v>
      </c>
      <c r="BM610" s="72">
        <v>0</v>
      </c>
      <c r="BN610" s="72">
        <v>0</v>
      </c>
      <c r="BO610" s="72">
        <v>0</v>
      </c>
      <c r="BP610" s="72">
        <v>0</v>
      </c>
      <c r="BQ610" s="72">
        <v>0</v>
      </c>
      <c r="BR610" s="72">
        <v>0</v>
      </c>
      <c r="BS610" s="72">
        <v>10791069</v>
      </c>
    </row>
    <row r="611" spans="1:71" x14ac:dyDescent="0.2">
      <c r="A611" t="s">
        <v>156</v>
      </c>
      <c r="B611" t="s">
        <v>877</v>
      </c>
      <c r="C611" t="s">
        <v>41</v>
      </c>
      <c r="D611" s="72">
        <v>1578890</v>
      </c>
      <c r="E611" s="72">
        <v>127000</v>
      </c>
      <c r="F611" s="72">
        <v>0</v>
      </c>
      <c r="G611" s="72">
        <v>3245373</v>
      </c>
      <c r="H611" s="72">
        <v>1039891</v>
      </c>
      <c r="I611" s="72">
        <v>0</v>
      </c>
      <c r="J611" s="72">
        <v>231000</v>
      </c>
      <c r="K611" s="72">
        <v>225885</v>
      </c>
      <c r="L611" s="72">
        <v>6448039</v>
      </c>
      <c r="M611" s="72">
        <v>0</v>
      </c>
      <c r="N611" s="72">
        <v>0</v>
      </c>
      <c r="O611" s="72">
        <v>12975</v>
      </c>
      <c r="P611" s="72">
        <v>0</v>
      </c>
      <c r="Q611" s="72">
        <v>15000</v>
      </c>
      <c r="R611" s="72">
        <v>27975</v>
      </c>
      <c r="S611" s="72">
        <v>6476014</v>
      </c>
      <c r="T611" s="72">
        <v>3256170</v>
      </c>
      <c r="U611" s="72">
        <v>1282740</v>
      </c>
      <c r="V611" s="72">
        <v>585000</v>
      </c>
      <c r="W611" s="72">
        <v>340000</v>
      </c>
      <c r="X611" s="72">
        <v>339000</v>
      </c>
      <c r="Y611" s="72">
        <v>0</v>
      </c>
      <c r="Z611" s="72">
        <v>0</v>
      </c>
      <c r="AA611" s="72">
        <v>0</v>
      </c>
      <c r="AB611" s="72">
        <v>0</v>
      </c>
      <c r="AC611" s="72">
        <v>0</v>
      </c>
      <c r="AD611" s="72">
        <v>0</v>
      </c>
      <c r="AE611" s="72">
        <v>33333</v>
      </c>
      <c r="AF611" s="72">
        <v>12975</v>
      </c>
      <c r="AG611" s="72">
        <v>95000</v>
      </c>
      <c r="AH611" s="72">
        <v>5944218</v>
      </c>
      <c r="AI611" s="72">
        <v>112975</v>
      </c>
      <c r="AJ611" s="72">
        <v>0</v>
      </c>
      <c r="AK611" s="72">
        <v>0</v>
      </c>
      <c r="AL611" s="72">
        <v>112975</v>
      </c>
      <c r="AM611" s="72">
        <v>6057193</v>
      </c>
      <c r="AN611" s="72">
        <v>418821</v>
      </c>
      <c r="AO611" s="72">
        <v>1758666</v>
      </c>
      <c r="AP611" s="72">
        <v>2177487</v>
      </c>
      <c r="AQ611" s="72">
        <v>25000</v>
      </c>
      <c r="AR611" s="72">
        <v>0</v>
      </c>
      <c r="AS611" s="72">
        <v>0</v>
      </c>
      <c r="AT611" s="72">
        <v>0</v>
      </c>
      <c r="AU611" s="72">
        <v>0</v>
      </c>
      <c r="AV611" s="72">
        <v>0</v>
      </c>
      <c r="AW611" s="72">
        <v>0</v>
      </c>
      <c r="AX611" s="72">
        <v>0</v>
      </c>
      <c r="AY611" s="72">
        <v>0</v>
      </c>
      <c r="AZ611" s="72">
        <v>0</v>
      </c>
      <c r="BA611" s="72">
        <v>2152487</v>
      </c>
      <c r="BB611" s="72">
        <v>0</v>
      </c>
      <c r="BC611" s="72">
        <v>0</v>
      </c>
      <c r="BD611" s="72">
        <v>0</v>
      </c>
      <c r="BE611" s="72">
        <v>2152487</v>
      </c>
      <c r="BF611" s="72">
        <v>0</v>
      </c>
      <c r="BG611" s="72">
        <v>0</v>
      </c>
      <c r="BH611" s="72">
        <v>0</v>
      </c>
      <c r="BI611" s="72">
        <v>0</v>
      </c>
      <c r="BJ611" s="72">
        <v>2152487</v>
      </c>
      <c r="BK611" s="72">
        <v>0</v>
      </c>
      <c r="BL611" s="72">
        <v>0</v>
      </c>
      <c r="BM611" s="72">
        <v>0</v>
      </c>
      <c r="BN611" s="72">
        <v>0</v>
      </c>
      <c r="BO611" s="72">
        <v>0</v>
      </c>
      <c r="BP611" s="72">
        <v>0</v>
      </c>
      <c r="BQ611" s="72">
        <v>0</v>
      </c>
      <c r="BR611" s="72">
        <v>0</v>
      </c>
      <c r="BS611" s="72">
        <v>6476014</v>
      </c>
    </row>
    <row r="612" spans="1:71" x14ac:dyDescent="0.2">
      <c r="A612" t="s">
        <v>195</v>
      </c>
      <c r="B612" t="s">
        <v>914</v>
      </c>
      <c r="C612" t="s">
        <v>77</v>
      </c>
      <c r="D612" s="72">
        <v>14063668</v>
      </c>
      <c r="E612" s="72">
        <v>2289</v>
      </c>
      <c r="F612" s="72">
        <v>0</v>
      </c>
      <c r="G612" s="72">
        <v>23225000</v>
      </c>
      <c r="H612" s="72">
        <v>0</v>
      </c>
      <c r="J612" s="72">
        <v>1796254</v>
      </c>
      <c r="K612" s="72">
        <v>908186</v>
      </c>
      <c r="L612" s="72">
        <v>39995396</v>
      </c>
      <c r="M612" s="72">
        <v>0</v>
      </c>
      <c r="N612" s="72">
        <v>0</v>
      </c>
      <c r="O612" s="72">
        <v>0</v>
      </c>
      <c r="P612" s="72">
        <v>209224</v>
      </c>
      <c r="Q612" s="72">
        <v>20000</v>
      </c>
      <c r="R612" s="72">
        <v>229224</v>
      </c>
      <c r="S612" s="72">
        <v>40224620</v>
      </c>
      <c r="T612" s="72">
        <v>21340601</v>
      </c>
      <c r="U612" s="72">
        <v>7510248</v>
      </c>
      <c r="V612" s="72">
        <v>4459151</v>
      </c>
      <c r="W612" s="72">
        <v>1793379</v>
      </c>
      <c r="X612" s="72">
        <v>2412692</v>
      </c>
      <c r="Y612" s="72">
        <v>0</v>
      </c>
      <c r="Z612" s="72">
        <v>0</v>
      </c>
      <c r="AA612" s="72">
        <v>0</v>
      </c>
      <c r="AB612" s="72">
        <v>0</v>
      </c>
      <c r="AC612" s="72">
        <v>0</v>
      </c>
      <c r="AD612" s="72">
        <v>0</v>
      </c>
      <c r="AE612" s="72">
        <v>0</v>
      </c>
      <c r="AF612" s="72">
        <v>0</v>
      </c>
      <c r="AG612" s="72">
        <v>354527</v>
      </c>
      <c r="AH612" s="72">
        <v>37870598</v>
      </c>
      <c r="AI612" s="72">
        <v>850000</v>
      </c>
      <c r="AJ612" s="72">
        <v>200000</v>
      </c>
      <c r="AK612" s="72">
        <v>4000000</v>
      </c>
      <c r="AL612" s="72">
        <v>5050000</v>
      </c>
      <c r="AM612" s="72">
        <v>42920598</v>
      </c>
      <c r="AN612" s="72">
        <v>-2695978</v>
      </c>
      <c r="AO612" s="72">
        <v>16891263</v>
      </c>
      <c r="AP612" s="72">
        <v>14195285</v>
      </c>
      <c r="AQ612" s="72">
        <v>1500000</v>
      </c>
      <c r="AR612" s="72">
        <v>0</v>
      </c>
      <c r="AS612" s="72">
        <v>0</v>
      </c>
      <c r="AT612" s="72">
        <v>910780</v>
      </c>
      <c r="AU612" s="72">
        <v>0</v>
      </c>
      <c r="AW612" s="72">
        <v>0</v>
      </c>
      <c r="AX612" s="72">
        <v>0</v>
      </c>
      <c r="AY612" s="72">
        <v>0</v>
      </c>
      <c r="AZ612" s="72">
        <v>910780</v>
      </c>
      <c r="BA612" s="72">
        <v>11784505</v>
      </c>
      <c r="BB612" s="72">
        <v>0</v>
      </c>
      <c r="BC612" s="72">
        <v>0</v>
      </c>
      <c r="BD612" s="72">
        <v>0</v>
      </c>
      <c r="BE612" s="72">
        <v>11784505</v>
      </c>
      <c r="BF612" s="72">
        <v>0</v>
      </c>
      <c r="BG612" s="72">
        <v>0</v>
      </c>
      <c r="BH612" s="72">
        <v>0</v>
      </c>
      <c r="BI612" s="72">
        <v>0</v>
      </c>
      <c r="BJ612" s="72">
        <v>11784505</v>
      </c>
      <c r="BK612" s="72">
        <v>0</v>
      </c>
      <c r="BL612" s="72">
        <v>0</v>
      </c>
      <c r="BS612" s="72">
        <v>42920598</v>
      </c>
    </row>
    <row r="613" spans="1:71" x14ac:dyDescent="0.2">
      <c r="A613" t="s">
        <v>237</v>
      </c>
      <c r="B613" t="s">
        <v>955</v>
      </c>
      <c r="C613" t="s">
        <v>30</v>
      </c>
      <c r="D613" s="72">
        <v>1766391</v>
      </c>
      <c r="E613" s="72">
        <v>169147</v>
      </c>
      <c r="F613" s="72">
        <v>0</v>
      </c>
      <c r="G613" s="72">
        <v>2670281</v>
      </c>
      <c r="H613" s="72">
        <v>811917</v>
      </c>
      <c r="I613" s="72">
        <v>0</v>
      </c>
      <c r="J613" s="72">
        <v>303987</v>
      </c>
      <c r="K613" s="72">
        <v>230000</v>
      </c>
      <c r="L613" s="72">
        <v>5951723</v>
      </c>
      <c r="M613" s="72">
        <v>0</v>
      </c>
      <c r="N613" s="72">
        <v>0</v>
      </c>
      <c r="O613" s="72">
        <v>0</v>
      </c>
      <c r="P613" s="72">
        <v>141500</v>
      </c>
      <c r="Q613" s="72">
        <v>21700</v>
      </c>
      <c r="R613" s="72">
        <v>163200</v>
      </c>
      <c r="S613" s="72">
        <v>6114923</v>
      </c>
      <c r="T613" s="72">
        <v>2734871</v>
      </c>
      <c r="U613" s="72">
        <v>1042755</v>
      </c>
      <c r="V613" s="72">
        <v>652568</v>
      </c>
      <c r="W613" s="72">
        <v>547219</v>
      </c>
      <c r="X613" s="72">
        <v>102043</v>
      </c>
      <c r="Y613" s="72">
        <v>0</v>
      </c>
      <c r="Z613" s="72">
        <v>0</v>
      </c>
      <c r="AA613" s="72">
        <v>0</v>
      </c>
      <c r="AB613" s="72">
        <v>0</v>
      </c>
      <c r="AC613" s="72">
        <v>0</v>
      </c>
      <c r="AD613" s="72">
        <v>0</v>
      </c>
      <c r="AE613" s="72">
        <v>0</v>
      </c>
      <c r="AF613" s="72">
        <v>0</v>
      </c>
      <c r="AG613" s="72">
        <v>109190</v>
      </c>
      <c r="AH613" s="72">
        <v>5188646</v>
      </c>
      <c r="AI613" s="72">
        <v>1222645</v>
      </c>
      <c r="AJ613" s="72">
        <v>141500</v>
      </c>
      <c r="AK613" s="72">
        <v>0</v>
      </c>
      <c r="AL613" s="72">
        <v>1364145</v>
      </c>
      <c r="AM613" s="72">
        <v>6552791</v>
      </c>
      <c r="AN613" s="72">
        <v>-437868</v>
      </c>
      <c r="AO613" s="72">
        <v>3546895</v>
      </c>
      <c r="AP613" s="72">
        <v>3109027</v>
      </c>
      <c r="AQ613" s="72">
        <v>0</v>
      </c>
      <c r="AR613" s="72">
        <v>0</v>
      </c>
      <c r="AS613" s="72">
        <v>0</v>
      </c>
      <c r="AT613" s="72">
        <v>0</v>
      </c>
      <c r="AU613" s="72">
        <v>0</v>
      </c>
      <c r="AV613" s="72">
        <v>0</v>
      </c>
      <c r="AW613" s="72">
        <v>0</v>
      </c>
      <c r="AX613" s="72">
        <v>0</v>
      </c>
      <c r="AY613" s="72">
        <v>0</v>
      </c>
      <c r="AZ613" s="72">
        <v>0</v>
      </c>
      <c r="BA613" s="72">
        <v>3109027</v>
      </c>
      <c r="BB613" s="72">
        <v>0</v>
      </c>
      <c r="BC613" s="72">
        <v>0</v>
      </c>
      <c r="BD613" s="72">
        <v>0</v>
      </c>
      <c r="BE613" s="72">
        <v>3109027</v>
      </c>
      <c r="BF613" s="72">
        <v>0</v>
      </c>
      <c r="BG613" s="72">
        <v>0</v>
      </c>
      <c r="BH613" s="72">
        <v>0</v>
      </c>
      <c r="BI613" s="72">
        <v>0</v>
      </c>
      <c r="BJ613" s="72">
        <v>3109027</v>
      </c>
      <c r="BK613" s="72">
        <v>0</v>
      </c>
      <c r="BL613" s="72">
        <v>0</v>
      </c>
      <c r="BM613" s="72">
        <v>0</v>
      </c>
      <c r="BN613" s="72">
        <v>0</v>
      </c>
      <c r="BO613" s="72">
        <v>0</v>
      </c>
      <c r="BP613" s="72">
        <v>0</v>
      </c>
      <c r="BQ613" s="72">
        <v>0</v>
      </c>
      <c r="BR613" s="72">
        <v>0</v>
      </c>
      <c r="BS613" s="72">
        <v>6552791</v>
      </c>
    </row>
    <row r="614" spans="1:71" x14ac:dyDescent="0.2">
      <c r="A614" t="s">
        <v>258</v>
      </c>
      <c r="B614" t="s">
        <v>975</v>
      </c>
      <c r="C614" t="s">
        <v>23</v>
      </c>
      <c r="D614" s="72">
        <v>10011177</v>
      </c>
      <c r="E614" s="72">
        <v>0</v>
      </c>
      <c r="F614" s="72">
        <v>0</v>
      </c>
      <c r="G614" s="72">
        <v>1666314</v>
      </c>
      <c r="H614" s="72">
        <v>0</v>
      </c>
      <c r="I614" s="72">
        <v>0</v>
      </c>
      <c r="J614" s="72">
        <v>1760694</v>
      </c>
      <c r="K614" s="72">
        <v>101828</v>
      </c>
      <c r="L614" s="72">
        <v>13540014</v>
      </c>
      <c r="M614" s="72">
        <v>0</v>
      </c>
      <c r="N614" s="72">
        <v>0</v>
      </c>
      <c r="O614" s="72">
        <v>0</v>
      </c>
      <c r="P614" s="72">
        <v>166611</v>
      </c>
      <c r="Q614" s="72">
        <v>20000</v>
      </c>
      <c r="R614" s="72">
        <v>186611</v>
      </c>
      <c r="S614" s="72">
        <v>13726625</v>
      </c>
      <c r="T614" s="72">
        <v>6838183</v>
      </c>
      <c r="U614" s="72">
        <v>2512621</v>
      </c>
      <c r="V614" s="72">
        <v>1422425</v>
      </c>
      <c r="W614" s="72">
        <v>388129</v>
      </c>
      <c r="X614" s="72">
        <v>124934</v>
      </c>
      <c r="Y614" s="72">
        <v>1350000</v>
      </c>
      <c r="Z614" s="72">
        <v>0</v>
      </c>
      <c r="AA614" s="72">
        <v>0</v>
      </c>
      <c r="AB614" s="72">
        <v>0</v>
      </c>
      <c r="AC614" s="72">
        <v>0</v>
      </c>
      <c r="AD614" s="72">
        <v>0</v>
      </c>
      <c r="AE614" s="72">
        <v>0</v>
      </c>
      <c r="AF614" s="72">
        <v>0</v>
      </c>
      <c r="AG614" s="72">
        <v>340572</v>
      </c>
      <c r="AH614" s="72">
        <v>12976864</v>
      </c>
      <c r="AI614" s="72">
        <v>250000</v>
      </c>
      <c r="AJ614" s="72">
        <v>150000</v>
      </c>
      <c r="AK614" s="72">
        <v>2000</v>
      </c>
      <c r="AL614" s="72">
        <v>402000</v>
      </c>
      <c r="AM614" s="72">
        <v>13378864</v>
      </c>
      <c r="AN614" s="72">
        <v>347761</v>
      </c>
      <c r="AO614" s="72">
        <v>12263013</v>
      </c>
      <c r="AP614" s="72">
        <v>12610774</v>
      </c>
      <c r="AQ614" s="72">
        <v>0</v>
      </c>
      <c r="AR614" s="72">
        <v>0</v>
      </c>
      <c r="AS614" s="72">
        <v>0</v>
      </c>
      <c r="AT614" s="72">
        <v>0</v>
      </c>
      <c r="AU614" s="72">
        <v>0</v>
      </c>
      <c r="AV614" s="72">
        <v>0</v>
      </c>
      <c r="AW614" s="72">
        <v>0</v>
      </c>
      <c r="AX614" s="72">
        <v>0</v>
      </c>
      <c r="AY614" s="72">
        <v>0</v>
      </c>
      <c r="AZ614" s="72">
        <v>0</v>
      </c>
      <c r="BA614" s="72">
        <v>12610774</v>
      </c>
      <c r="BB614" s="72">
        <v>0</v>
      </c>
      <c r="BC614" s="72">
        <v>0</v>
      </c>
      <c r="BD614" s="72">
        <v>0</v>
      </c>
      <c r="BE614" s="72">
        <v>12610774</v>
      </c>
      <c r="BF614" s="72">
        <v>0</v>
      </c>
      <c r="BG614" s="72">
        <v>0</v>
      </c>
      <c r="BH614" s="72">
        <v>0</v>
      </c>
      <c r="BI614" s="72">
        <v>0</v>
      </c>
      <c r="BJ614" s="72">
        <v>12610774</v>
      </c>
      <c r="BK614" s="72">
        <v>0</v>
      </c>
      <c r="BL614" s="72">
        <v>459</v>
      </c>
      <c r="BM614" s="72">
        <v>0</v>
      </c>
      <c r="BN614" s="72">
        <v>0</v>
      </c>
      <c r="BO614" s="72">
        <v>0</v>
      </c>
      <c r="BP614" s="72">
        <v>0</v>
      </c>
      <c r="BQ614" s="72">
        <v>0</v>
      </c>
      <c r="BR614" s="72">
        <v>0</v>
      </c>
      <c r="BS614" s="72">
        <v>13726625</v>
      </c>
    </row>
    <row r="615" spans="1:71" x14ac:dyDescent="0.2">
      <c r="A615" t="s">
        <v>590</v>
      </c>
      <c r="B615" t="s">
        <v>1287</v>
      </c>
      <c r="C615" t="s">
        <v>23</v>
      </c>
      <c r="D615" s="72">
        <v>8909230</v>
      </c>
      <c r="E615" s="72">
        <v>257014</v>
      </c>
      <c r="F615" s="72">
        <v>0</v>
      </c>
      <c r="G615" s="72">
        <v>2337298</v>
      </c>
      <c r="H615" s="72">
        <v>0</v>
      </c>
      <c r="I615" s="72">
        <v>0</v>
      </c>
      <c r="J615" s="72">
        <v>1591706</v>
      </c>
      <c r="K615" s="72">
        <v>340383</v>
      </c>
      <c r="L615" s="72">
        <v>13435631</v>
      </c>
      <c r="M615" s="72">
        <v>0</v>
      </c>
      <c r="N615" s="72">
        <v>0</v>
      </c>
      <c r="O615" s="72">
        <v>0</v>
      </c>
      <c r="P615" s="72">
        <v>127037</v>
      </c>
      <c r="Q615" s="72">
        <v>0</v>
      </c>
      <c r="R615" s="72">
        <v>127037</v>
      </c>
      <c r="S615" s="72">
        <v>13562668</v>
      </c>
      <c r="T615" s="72">
        <v>8179513</v>
      </c>
      <c r="U615" s="72">
        <v>2819108</v>
      </c>
      <c r="V615" s="72">
        <v>1206959</v>
      </c>
      <c r="W615" s="72">
        <v>629291</v>
      </c>
      <c r="X615" s="72">
        <v>118324</v>
      </c>
      <c r="Y615" s="72">
        <v>0</v>
      </c>
      <c r="Z615" s="72">
        <v>0</v>
      </c>
      <c r="AA615" s="72">
        <v>0</v>
      </c>
      <c r="AB615" s="72">
        <v>0</v>
      </c>
      <c r="AC615" s="72">
        <v>0</v>
      </c>
      <c r="AD615" s="72">
        <v>0</v>
      </c>
      <c r="AE615" s="72">
        <v>0</v>
      </c>
      <c r="AF615" s="72">
        <v>83813</v>
      </c>
      <c r="AG615" s="72">
        <v>562286</v>
      </c>
      <c r="AH615" s="72">
        <v>13599294</v>
      </c>
      <c r="AI615" s="72">
        <v>0</v>
      </c>
      <c r="AJ615" s="72">
        <v>0</v>
      </c>
      <c r="AK615" s="72">
        <v>0</v>
      </c>
      <c r="AL615" s="72">
        <v>0</v>
      </c>
      <c r="AM615" s="72">
        <v>13599294</v>
      </c>
      <c r="AN615" s="72">
        <v>-36626</v>
      </c>
      <c r="AO615" s="72">
        <v>8503975</v>
      </c>
      <c r="AP615" s="72">
        <v>8467349</v>
      </c>
      <c r="AQ615" s="72">
        <v>75000</v>
      </c>
      <c r="AR615" s="72">
        <v>0</v>
      </c>
      <c r="AS615" s="72">
        <v>0</v>
      </c>
      <c r="AT615" s="72">
        <v>0</v>
      </c>
      <c r="AU615" s="72">
        <v>0</v>
      </c>
      <c r="AV615" s="72">
        <v>0</v>
      </c>
      <c r="AW615" s="72">
        <v>0</v>
      </c>
      <c r="AX615" s="72">
        <v>0</v>
      </c>
      <c r="AY615" s="72">
        <v>0</v>
      </c>
      <c r="AZ615" s="72">
        <v>0</v>
      </c>
      <c r="BA615" s="72">
        <v>8392349</v>
      </c>
      <c r="BB615" s="72">
        <v>0</v>
      </c>
      <c r="BC615" s="72">
        <v>0</v>
      </c>
      <c r="BD615" s="72">
        <v>0</v>
      </c>
      <c r="BE615" s="72">
        <v>8392349</v>
      </c>
      <c r="BF615" s="72">
        <v>0</v>
      </c>
      <c r="BG615" s="72">
        <v>0</v>
      </c>
      <c r="BH615" s="72">
        <v>0</v>
      </c>
      <c r="BI615" s="72">
        <v>0</v>
      </c>
      <c r="BJ615" s="72">
        <v>8392349</v>
      </c>
      <c r="BM615" s="72">
        <v>0</v>
      </c>
      <c r="BN615" s="72">
        <v>0</v>
      </c>
      <c r="BO615" s="72">
        <v>0</v>
      </c>
      <c r="BP615" s="72">
        <v>0</v>
      </c>
      <c r="BQ615" s="72">
        <v>0</v>
      </c>
      <c r="BR615" s="72">
        <v>0</v>
      </c>
      <c r="BS615" s="72">
        <v>13599294</v>
      </c>
    </row>
    <row r="616" spans="1:71" x14ac:dyDescent="0.2">
      <c r="A616" t="s">
        <v>320</v>
      </c>
      <c r="B616" t="s">
        <v>1034</v>
      </c>
      <c r="C616" t="s">
        <v>39</v>
      </c>
      <c r="D616" s="72">
        <v>4899253</v>
      </c>
      <c r="E616" s="72">
        <v>463269</v>
      </c>
      <c r="F616" s="72">
        <v>0</v>
      </c>
      <c r="G616" s="72">
        <v>5508200</v>
      </c>
      <c r="H616" s="72">
        <v>2130000</v>
      </c>
      <c r="I616" s="72">
        <v>0</v>
      </c>
      <c r="J616" s="72">
        <v>1204559</v>
      </c>
      <c r="K616" s="72">
        <v>520000</v>
      </c>
      <c r="L616" s="72">
        <v>14725281</v>
      </c>
      <c r="M616" s="72">
        <v>0</v>
      </c>
      <c r="N616" s="72">
        <v>0</v>
      </c>
      <c r="O616" s="72">
        <v>0</v>
      </c>
      <c r="P616" s="72">
        <v>28248</v>
      </c>
      <c r="Q616" s="72">
        <v>42000</v>
      </c>
      <c r="R616" s="72">
        <v>70248</v>
      </c>
      <c r="S616" s="72">
        <v>14795529</v>
      </c>
      <c r="T616" s="72">
        <v>9335000</v>
      </c>
      <c r="U616" s="72">
        <v>3400000</v>
      </c>
      <c r="V616" s="72">
        <v>1100000</v>
      </c>
      <c r="W616" s="72">
        <v>750000</v>
      </c>
      <c r="X616" s="72">
        <v>500000</v>
      </c>
      <c r="Y616" s="72">
        <v>0</v>
      </c>
      <c r="Z616" s="72">
        <v>0</v>
      </c>
      <c r="AA616" s="72">
        <v>0</v>
      </c>
      <c r="AB616" s="72">
        <v>0</v>
      </c>
      <c r="AC616" s="72">
        <v>0</v>
      </c>
      <c r="AD616" s="72">
        <v>0</v>
      </c>
      <c r="AE616" s="72">
        <v>0</v>
      </c>
      <c r="AF616" s="72">
        <v>0</v>
      </c>
      <c r="AG616" s="72">
        <v>278986</v>
      </c>
      <c r="AH616" s="72">
        <v>15363986</v>
      </c>
      <c r="AI616" s="72">
        <v>75000</v>
      </c>
      <c r="AJ616" s="72">
        <v>25000</v>
      </c>
      <c r="AK616" s="72">
        <v>3000</v>
      </c>
      <c r="AL616" s="72">
        <v>103000</v>
      </c>
      <c r="AM616" s="72">
        <v>15466986</v>
      </c>
      <c r="AN616" s="72">
        <v>-671457</v>
      </c>
      <c r="AO616" s="72">
        <v>6122231</v>
      </c>
      <c r="AP616" s="72">
        <v>5450774</v>
      </c>
      <c r="AQ616" s="72">
        <v>75000</v>
      </c>
      <c r="AR616" s="72">
        <v>0</v>
      </c>
      <c r="AS616" s="72">
        <v>0</v>
      </c>
      <c r="AT616" s="72">
        <v>725000</v>
      </c>
      <c r="AU616" s="72">
        <v>0</v>
      </c>
      <c r="AV616" s="72">
        <v>0</v>
      </c>
      <c r="AW616" s="72">
        <v>0</v>
      </c>
      <c r="AX616" s="72">
        <v>0</v>
      </c>
      <c r="AY616" s="72">
        <v>0</v>
      </c>
      <c r="AZ616" s="72">
        <v>725000</v>
      </c>
      <c r="BA616" s="72">
        <v>4650774</v>
      </c>
      <c r="BB616" s="72">
        <v>0</v>
      </c>
      <c r="BC616" s="72">
        <v>0</v>
      </c>
      <c r="BD616" s="72">
        <v>0</v>
      </c>
      <c r="BE616" s="72">
        <v>4650774</v>
      </c>
      <c r="BF616" s="72">
        <v>0</v>
      </c>
      <c r="BG616" s="72">
        <v>0</v>
      </c>
      <c r="BH616" s="72">
        <v>0</v>
      </c>
      <c r="BI616" s="72">
        <v>0</v>
      </c>
      <c r="BJ616" s="72">
        <v>4650774</v>
      </c>
      <c r="BK616" s="72">
        <v>0</v>
      </c>
      <c r="BL616" s="72">
        <v>0</v>
      </c>
      <c r="BM616" s="72">
        <v>0</v>
      </c>
      <c r="BN616" s="72">
        <v>0</v>
      </c>
      <c r="BO616" s="72">
        <v>0</v>
      </c>
      <c r="BP616" s="72">
        <v>0</v>
      </c>
      <c r="BQ616" s="72">
        <v>0</v>
      </c>
      <c r="BR616" s="72">
        <v>0</v>
      </c>
      <c r="BS616" s="72">
        <v>15466986</v>
      </c>
    </row>
    <row r="617" spans="1:71" x14ac:dyDescent="0.2">
      <c r="A617" t="s">
        <v>266</v>
      </c>
      <c r="B617" t="s">
        <v>983</v>
      </c>
      <c r="C617" t="s">
        <v>34</v>
      </c>
      <c r="D617" s="72">
        <v>9007936</v>
      </c>
      <c r="E617" s="72">
        <v>378019</v>
      </c>
      <c r="F617" s="72">
        <v>0</v>
      </c>
      <c r="G617" s="72">
        <v>2276113</v>
      </c>
      <c r="H617" s="72">
        <v>0</v>
      </c>
      <c r="I617" s="72">
        <v>0</v>
      </c>
      <c r="J617" s="72">
        <v>1222195</v>
      </c>
      <c r="K617" s="72">
        <v>1296331</v>
      </c>
      <c r="L617" s="72">
        <v>14180593</v>
      </c>
      <c r="M617" s="72">
        <v>0</v>
      </c>
      <c r="N617" s="72">
        <v>0</v>
      </c>
      <c r="O617" s="72">
        <v>0</v>
      </c>
      <c r="P617" s="72">
        <v>311091</v>
      </c>
      <c r="Q617" s="72">
        <v>0</v>
      </c>
      <c r="R617" s="72">
        <v>311091</v>
      </c>
      <c r="S617" s="72">
        <v>14491684</v>
      </c>
      <c r="T617" s="72">
        <v>7017811</v>
      </c>
      <c r="U617" s="72">
        <v>2956471</v>
      </c>
      <c r="V617" s="72">
        <v>1230465</v>
      </c>
      <c r="W617" s="72">
        <v>727497</v>
      </c>
      <c r="X617" s="72">
        <v>0</v>
      </c>
      <c r="Y617" s="72">
        <v>0</v>
      </c>
      <c r="Z617" s="72">
        <v>0</v>
      </c>
      <c r="AA617" s="72">
        <v>0</v>
      </c>
      <c r="AB617" s="72">
        <v>0</v>
      </c>
      <c r="AC617" s="72">
        <v>0</v>
      </c>
      <c r="AD617" s="72">
        <v>0</v>
      </c>
      <c r="AE617" s="72">
        <v>0</v>
      </c>
      <c r="AF617" s="72">
        <v>0</v>
      </c>
      <c r="AG617" s="72">
        <v>345723</v>
      </c>
      <c r="AH617" s="72">
        <v>12277967</v>
      </c>
      <c r="AI617" s="72">
        <v>757057</v>
      </c>
      <c r="AJ617" s="72">
        <v>150000</v>
      </c>
      <c r="AK617" s="72">
        <v>0</v>
      </c>
      <c r="AL617" s="72">
        <v>907057</v>
      </c>
      <c r="AM617" s="72">
        <v>13185024</v>
      </c>
      <c r="AN617" s="72">
        <v>1306661</v>
      </c>
      <c r="AO617" s="72">
        <v>21546871</v>
      </c>
      <c r="AP617" s="72">
        <v>22853532</v>
      </c>
      <c r="AQ617" s="72">
        <v>500000</v>
      </c>
      <c r="AR617" s="72">
        <v>0</v>
      </c>
      <c r="AS617" s="72">
        <v>0</v>
      </c>
      <c r="AT617" s="72">
        <v>0</v>
      </c>
      <c r="AU617" s="72">
        <v>0</v>
      </c>
      <c r="AV617" s="72">
        <v>0</v>
      </c>
      <c r="AW617" s="72">
        <v>0</v>
      </c>
      <c r="AX617" s="72">
        <v>0</v>
      </c>
      <c r="AY617" s="72">
        <v>0</v>
      </c>
      <c r="AZ617" s="72">
        <v>0</v>
      </c>
      <c r="BA617" s="72">
        <v>22353532</v>
      </c>
      <c r="BB617" s="72">
        <v>0</v>
      </c>
      <c r="BC617" s="72">
        <v>0</v>
      </c>
      <c r="BD617" s="72">
        <v>0</v>
      </c>
      <c r="BE617" s="72">
        <v>22353532</v>
      </c>
      <c r="BF617" s="72">
        <v>0</v>
      </c>
      <c r="BG617" s="72">
        <v>0</v>
      </c>
      <c r="BH617" s="72">
        <v>0</v>
      </c>
      <c r="BI617" s="72">
        <v>0</v>
      </c>
      <c r="BJ617" s="72">
        <v>22353532</v>
      </c>
      <c r="BK617" s="72">
        <v>0</v>
      </c>
      <c r="BL617" s="72">
        <v>578</v>
      </c>
      <c r="BM617" s="72">
        <v>0</v>
      </c>
      <c r="BN617" s="72">
        <v>0</v>
      </c>
      <c r="BO617" s="72">
        <v>0</v>
      </c>
      <c r="BP617" s="72">
        <v>0</v>
      </c>
      <c r="BQ617" s="72">
        <v>0</v>
      </c>
      <c r="BR617" s="72">
        <v>0</v>
      </c>
      <c r="BS617" s="72">
        <v>22853532</v>
      </c>
    </row>
    <row r="618" spans="1:71" x14ac:dyDescent="0.2">
      <c r="A618" t="s">
        <v>282</v>
      </c>
      <c r="B618" t="s">
        <v>997</v>
      </c>
      <c r="C618" t="s">
        <v>35</v>
      </c>
      <c r="D618" s="72">
        <v>12472200</v>
      </c>
      <c r="E618" s="72">
        <v>0</v>
      </c>
      <c r="F618" s="72">
        <v>0</v>
      </c>
      <c r="G618" s="72">
        <v>4572770</v>
      </c>
      <c r="H618" s="72">
        <v>0</v>
      </c>
      <c r="J618" s="72">
        <v>1555426</v>
      </c>
      <c r="K618" s="72">
        <v>466088</v>
      </c>
      <c r="L618" s="72">
        <v>19066484</v>
      </c>
      <c r="M618" s="72">
        <v>0</v>
      </c>
      <c r="N618" s="72">
        <v>0</v>
      </c>
      <c r="O618" s="72">
        <v>0</v>
      </c>
      <c r="P618" s="72">
        <v>500000</v>
      </c>
      <c r="Q618" s="72">
        <v>500</v>
      </c>
      <c r="R618" s="72">
        <v>500500</v>
      </c>
      <c r="S618" s="72">
        <v>19566984</v>
      </c>
      <c r="T618" s="72">
        <v>11208960</v>
      </c>
      <c r="U618" s="72">
        <v>3600441</v>
      </c>
      <c r="V618" s="72">
        <v>2400642</v>
      </c>
      <c r="W618" s="72">
        <v>985225</v>
      </c>
      <c r="X618" s="72">
        <v>706210</v>
      </c>
      <c r="Y618" s="72">
        <v>0</v>
      </c>
      <c r="Z618" s="72">
        <v>0</v>
      </c>
      <c r="AA618" s="72">
        <v>0</v>
      </c>
      <c r="AB618" s="72">
        <v>0</v>
      </c>
      <c r="AC618" s="72">
        <v>0</v>
      </c>
      <c r="AD618" s="72">
        <v>0</v>
      </c>
      <c r="AE618" s="72">
        <v>350000</v>
      </c>
      <c r="AF618" s="72">
        <v>87763</v>
      </c>
      <c r="AG618" s="72">
        <v>307800</v>
      </c>
      <c r="AH618" s="72">
        <v>19647041</v>
      </c>
      <c r="AI618" s="72">
        <v>55000</v>
      </c>
      <c r="AJ618" s="72">
        <v>500000</v>
      </c>
      <c r="AK618" s="72">
        <v>0</v>
      </c>
      <c r="AL618" s="72">
        <v>555000</v>
      </c>
      <c r="AM618" s="72">
        <v>20202041</v>
      </c>
      <c r="AN618" s="72">
        <v>-635057</v>
      </c>
      <c r="AO618" s="72">
        <v>15427477</v>
      </c>
      <c r="AP618" s="72">
        <v>14792420</v>
      </c>
      <c r="AQ618" s="72">
        <v>391251</v>
      </c>
      <c r="AR618" s="72">
        <v>0</v>
      </c>
      <c r="AS618" s="72">
        <v>0</v>
      </c>
      <c r="AT618" s="72">
        <v>0</v>
      </c>
      <c r="AU618" s="72">
        <v>0</v>
      </c>
      <c r="AW618" s="72">
        <v>0</v>
      </c>
      <c r="AX618" s="72">
        <v>0</v>
      </c>
      <c r="AY618" s="72">
        <v>0</v>
      </c>
      <c r="AZ618" s="72">
        <v>0</v>
      </c>
      <c r="BA618" s="72">
        <v>14401169</v>
      </c>
      <c r="BB618" s="72">
        <v>0</v>
      </c>
      <c r="BC618" s="72">
        <v>0</v>
      </c>
      <c r="BD618" s="72">
        <v>0</v>
      </c>
      <c r="BE618" s="72">
        <v>14401169</v>
      </c>
      <c r="BF618" s="72">
        <v>0</v>
      </c>
      <c r="BG618" s="72">
        <v>0</v>
      </c>
      <c r="BH618" s="72">
        <v>0</v>
      </c>
      <c r="BI618" s="72">
        <v>0</v>
      </c>
      <c r="BJ618" s="72">
        <v>14401169</v>
      </c>
      <c r="BS618" s="72">
        <v>20202041</v>
      </c>
    </row>
    <row r="619" spans="1:71" x14ac:dyDescent="0.2">
      <c r="A619" t="s">
        <v>290</v>
      </c>
      <c r="B619" t="s">
        <v>1004</v>
      </c>
      <c r="C619" t="s">
        <v>63</v>
      </c>
      <c r="D619" s="72">
        <v>7225000</v>
      </c>
      <c r="E619" s="72">
        <v>0</v>
      </c>
      <c r="F619" s="72">
        <v>0</v>
      </c>
      <c r="G619" s="72">
        <v>4400000</v>
      </c>
      <c r="H619" s="72">
        <v>0</v>
      </c>
      <c r="I619" s="72">
        <v>0</v>
      </c>
      <c r="J619" s="72">
        <v>1610000</v>
      </c>
      <c r="K619" s="72">
        <v>233500</v>
      </c>
      <c r="L619" s="72">
        <v>13468500</v>
      </c>
      <c r="M619" s="72">
        <v>0</v>
      </c>
      <c r="N619" s="72">
        <v>0</v>
      </c>
      <c r="O619" s="72">
        <v>0</v>
      </c>
      <c r="P619" s="72">
        <v>75000</v>
      </c>
      <c r="Q619" s="72">
        <v>0</v>
      </c>
      <c r="R619" s="72">
        <v>75000</v>
      </c>
      <c r="S619" s="72">
        <v>13543500</v>
      </c>
      <c r="T619" s="72">
        <v>6531000</v>
      </c>
      <c r="U619" s="72">
        <v>2894265</v>
      </c>
      <c r="V619" s="72">
        <v>1271640</v>
      </c>
      <c r="W619" s="72">
        <v>981221</v>
      </c>
      <c r="X619" s="72">
        <v>745762</v>
      </c>
      <c r="Y619" s="72">
        <v>0</v>
      </c>
      <c r="Z619" s="72">
        <v>0</v>
      </c>
      <c r="AA619" s="72">
        <v>428000</v>
      </c>
      <c r="AB619" s="72">
        <v>0</v>
      </c>
      <c r="AC619" s="72">
        <v>0</v>
      </c>
      <c r="AD619" s="72">
        <v>0</v>
      </c>
      <c r="AE619" s="72">
        <v>0</v>
      </c>
      <c r="AF619" s="72">
        <v>358100</v>
      </c>
      <c r="AG619" s="72">
        <v>75403</v>
      </c>
      <c r="AH619" s="72">
        <v>13285391</v>
      </c>
      <c r="AI619" s="72">
        <v>150000</v>
      </c>
      <c r="AJ619" s="72">
        <v>100000</v>
      </c>
      <c r="AK619" s="72">
        <v>0</v>
      </c>
      <c r="AL619" s="72">
        <v>250000</v>
      </c>
      <c r="AM619" s="72">
        <v>13535391</v>
      </c>
      <c r="AN619" s="72">
        <v>8109</v>
      </c>
      <c r="AO619" s="72">
        <v>4742471</v>
      </c>
      <c r="AP619" s="72">
        <v>4750580</v>
      </c>
      <c r="AQ619" s="72">
        <v>100000</v>
      </c>
      <c r="AR619" s="72">
        <v>0</v>
      </c>
      <c r="AS619" s="72">
        <v>0</v>
      </c>
      <c r="AT619" s="72">
        <v>0</v>
      </c>
      <c r="AU619" s="72">
        <v>0</v>
      </c>
      <c r="AV619" s="72">
        <v>0</v>
      </c>
      <c r="AW619" s="72">
        <v>0</v>
      </c>
      <c r="AX619" s="72">
        <v>0</v>
      </c>
      <c r="AY619" s="72">
        <v>0</v>
      </c>
      <c r="AZ619" s="72">
        <v>0</v>
      </c>
      <c r="BA619" s="72">
        <v>4650580</v>
      </c>
      <c r="BB619" s="72">
        <v>0</v>
      </c>
      <c r="BC619" s="72">
        <v>0</v>
      </c>
      <c r="BD619" s="72">
        <v>0</v>
      </c>
      <c r="BE619" s="72">
        <v>4650580</v>
      </c>
      <c r="BF619" s="72">
        <v>0</v>
      </c>
      <c r="BG619" s="72">
        <v>0</v>
      </c>
      <c r="BH619" s="72">
        <v>0</v>
      </c>
      <c r="BI619" s="72">
        <v>0</v>
      </c>
      <c r="BJ619" s="72">
        <v>4650580</v>
      </c>
      <c r="BK619" s="72">
        <v>0</v>
      </c>
      <c r="BL619" s="72">
        <v>0</v>
      </c>
      <c r="BM619" s="72">
        <v>0</v>
      </c>
      <c r="BN619" s="72">
        <v>0</v>
      </c>
      <c r="BO619" s="72">
        <v>0</v>
      </c>
      <c r="BP619" s="72">
        <v>0</v>
      </c>
      <c r="BQ619" s="72">
        <v>0</v>
      </c>
      <c r="BR619" s="72">
        <v>0</v>
      </c>
      <c r="BS619" s="72">
        <v>13543500</v>
      </c>
    </row>
    <row r="620" spans="1:71" x14ac:dyDescent="0.2">
      <c r="A620" t="s">
        <v>348</v>
      </c>
      <c r="B620" t="s">
        <v>1060</v>
      </c>
      <c r="C620" t="s">
        <v>50</v>
      </c>
      <c r="D620" s="72">
        <v>7279307</v>
      </c>
      <c r="E620" s="72">
        <v>282</v>
      </c>
      <c r="F620" s="72">
        <v>0</v>
      </c>
      <c r="G620" s="72">
        <v>3045723</v>
      </c>
      <c r="H620" s="72">
        <v>1264088</v>
      </c>
      <c r="I620" s="72">
        <v>0</v>
      </c>
      <c r="J620" s="72">
        <v>936342</v>
      </c>
      <c r="K620" s="72">
        <v>88984</v>
      </c>
      <c r="L620" s="72">
        <v>12614727</v>
      </c>
      <c r="M620" s="72">
        <v>0</v>
      </c>
      <c r="N620" s="72">
        <v>0</v>
      </c>
      <c r="O620" s="72">
        <v>0</v>
      </c>
      <c r="P620" s="72">
        <v>0</v>
      </c>
      <c r="Q620" s="72">
        <v>0</v>
      </c>
      <c r="R620" s="72">
        <v>0</v>
      </c>
      <c r="S620" s="72">
        <v>12614727</v>
      </c>
      <c r="T620" s="72">
        <v>7395652</v>
      </c>
      <c r="U620" s="72">
        <v>2765159</v>
      </c>
      <c r="V620" s="72">
        <v>1671864</v>
      </c>
      <c r="W620" s="72">
        <v>803436</v>
      </c>
      <c r="X620" s="72">
        <v>0</v>
      </c>
      <c r="Y620" s="72">
        <v>0</v>
      </c>
      <c r="Z620" s="72">
        <v>0</v>
      </c>
      <c r="AA620" s="72">
        <v>0</v>
      </c>
      <c r="AB620" s="72">
        <v>0</v>
      </c>
      <c r="AC620" s="72">
        <v>0</v>
      </c>
      <c r="AD620" s="72">
        <v>0</v>
      </c>
      <c r="AE620" s="72">
        <v>0</v>
      </c>
      <c r="AF620" s="72">
        <v>0</v>
      </c>
      <c r="AG620" s="72">
        <v>230738</v>
      </c>
      <c r="AH620" s="72">
        <v>12866849</v>
      </c>
      <c r="AI620" s="72">
        <v>200000</v>
      </c>
      <c r="AJ620" s="72">
        <v>0</v>
      </c>
      <c r="AK620" s="72">
        <v>0</v>
      </c>
      <c r="AL620" s="72">
        <v>200000</v>
      </c>
      <c r="AM620" s="72">
        <v>13066849</v>
      </c>
      <c r="AN620" s="72">
        <v>-452122</v>
      </c>
      <c r="AO620" s="72">
        <v>4494917</v>
      </c>
      <c r="AP620" s="72">
        <v>4042795</v>
      </c>
      <c r="AQ620" s="72">
        <v>25000</v>
      </c>
      <c r="AR620" s="72">
        <v>0</v>
      </c>
      <c r="AS620" s="72">
        <v>0</v>
      </c>
      <c r="AT620" s="72">
        <v>496191</v>
      </c>
      <c r="AU620" s="72">
        <v>0</v>
      </c>
      <c r="AV620" s="72">
        <v>0</v>
      </c>
      <c r="AW620" s="72">
        <v>0</v>
      </c>
      <c r="AX620" s="72">
        <v>0</v>
      </c>
      <c r="AY620" s="72">
        <v>0</v>
      </c>
      <c r="AZ620" s="72">
        <v>496191</v>
      </c>
      <c r="BA620" s="72">
        <v>3521604</v>
      </c>
      <c r="BB620" s="72">
        <v>0</v>
      </c>
      <c r="BC620" s="72">
        <v>0</v>
      </c>
      <c r="BD620" s="72">
        <v>0</v>
      </c>
      <c r="BE620" s="72">
        <v>3521604</v>
      </c>
      <c r="BF620" s="72">
        <v>0</v>
      </c>
      <c r="BG620" s="72">
        <v>0</v>
      </c>
      <c r="BH620" s="72">
        <v>0</v>
      </c>
      <c r="BI620" s="72">
        <v>0</v>
      </c>
      <c r="BJ620" s="72">
        <v>3521604</v>
      </c>
      <c r="BK620" s="72">
        <v>0</v>
      </c>
      <c r="BL620" s="72">
        <v>720</v>
      </c>
      <c r="BM620" s="72">
        <v>0</v>
      </c>
      <c r="BN620" s="72">
        <v>0</v>
      </c>
      <c r="BO620" s="72">
        <v>0</v>
      </c>
      <c r="BP620" s="72">
        <v>0</v>
      </c>
      <c r="BQ620" s="72">
        <v>0</v>
      </c>
      <c r="BR620" s="72">
        <v>0</v>
      </c>
      <c r="BS620" s="72">
        <v>13066849</v>
      </c>
    </row>
    <row r="621" spans="1:71" x14ac:dyDescent="0.2">
      <c r="A621" t="s">
        <v>344</v>
      </c>
      <c r="B621" t="s">
        <v>1058</v>
      </c>
      <c r="C621" t="s">
        <v>67</v>
      </c>
      <c r="D621" s="72">
        <v>33924209</v>
      </c>
      <c r="E621" s="72">
        <v>2008813</v>
      </c>
      <c r="F621" s="72">
        <v>0</v>
      </c>
      <c r="G621" s="72">
        <v>14563035</v>
      </c>
      <c r="H621" s="72">
        <v>0</v>
      </c>
      <c r="J621" s="72">
        <v>6590762</v>
      </c>
      <c r="K621" s="72">
        <v>1771339</v>
      </c>
      <c r="L621" s="72">
        <v>58858158</v>
      </c>
      <c r="M621" s="72">
        <v>0</v>
      </c>
      <c r="N621" s="72">
        <v>0</v>
      </c>
      <c r="O621" s="72">
        <v>0</v>
      </c>
      <c r="P621" s="72">
        <v>900000</v>
      </c>
      <c r="Q621" s="72">
        <v>0</v>
      </c>
      <c r="R621" s="72">
        <v>900000</v>
      </c>
      <c r="S621" s="72">
        <v>59758158</v>
      </c>
      <c r="T621" s="72">
        <v>32090285</v>
      </c>
      <c r="U621" s="72">
        <v>8938060</v>
      </c>
      <c r="V621" s="72">
        <v>7237334</v>
      </c>
      <c r="W621" s="72">
        <v>1899050</v>
      </c>
      <c r="X621" s="72">
        <v>476600</v>
      </c>
      <c r="Y621" s="72">
        <v>0</v>
      </c>
      <c r="Z621" s="72">
        <v>0</v>
      </c>
      <c r="AA621" s="72">
        <v>0</v>
      </c>
      <c r="AB621" s="72">
        <v>0</v>
      </c>
      <c r="AC621" s="72">
        <v>0</v>
      </c>
      <c r="AD621" s="72">
        <v>0</v>
      </c>
      <c r="AE621" s="72">
        <v>1475000</v>
      </c>
      <c r="AF621" s="72">
        <v>434350</v>
      </c>
      <c r="AG621" s="72">
        <v>890243</v>
      </c>
      <c r="AH621" s="72">
        <v>53440922</v>
      </c>
      <c r="AI621" s="72">
        <v>3500000</v>
      </c>
      <c r="AJ621" s="72">
        <v>900000</v>
      </c>
      <c r="AK621" s="72">
        <v>1740000</v>
      </c>
      <c r="AL621" s="72">
        <v>6140000</v>
      </c>
      <c r="AM621" s="72">
        <v>59580922</v>
      </c>
      <c r="AN621" s="72">
        <v>177236</v>
      </c>
      <c r="AO621" s="72">
        <v>28001281</v>
      </c>
      <c r="AP621" s="72">
        <v>28178517</v>
      </c>
      <c r="AQ621" s="72">
        <v>0</v>
      </c>
      <c r="AR621" s="72">
        <v>0</v>
      </c>
      <c r="AS621" s="72">
        <v>0</v>
      </c>
      <c r="AT621" s="72">
        <v>0</v>
      </c>
      <c r="AU621" s="72">
        <v>0</v>
      </c>
      <c r="AW621" s="72">
        <v>0</v>
      </c>
      <c r="AX621" s="72">
        <v>0</v>
      </c>
      <c r="AY621" s="72">
        <v>0</v>
      </c>
      <c r="AZ621" s="72">
        <v>0</v>
      </c>
      <c r="BA621" s="72">
        <v>28178517</v>
      </c>
      <c r="BB621" s="72">
        <v>0</v>
      </c>
      <c r="BC621" s="72">
        <v>0</v>
      </c>
      <c r="BD621" s="72">
        <v>0</v>
      </c>
      <c r="BE621" s="72">
        <v>28178517</v>
      </c>
      <c r="BF621" s="72">
        <v>0</v>
      </c>
      <c r="BG621" s="72">
        <v>0</v>
      </c>
      <c r="BH621" s="72">
        <v>0</v>
      </c>
      <c r="BI621" s="72">
        <v>0</v>
      </c>
      <c r="BJ621" s="72">
        <v>28178517</v>
      </c>
      <c r="BK621" s="72">
        <v>0</v>
      </c>
      <c r="BL621" s="72">
        <v>3484</v>
      </c>
      <c r="BS621" s="72">
        <v>59758158</v>
      </c>
    </row>
    <row r="622" spans="1:71" x14ac:dyDescent="0.2">
      <c r="A622" t="s">
        <v>386</v>
      </c>
      <c r="B622" t="s">
        <v>1097</v>
      </c>
      <c r="C622" t="s">
        <v>25</v>
      </c>
      <c r="D622" s="72">
        <v>1480533</v>
      </c>
      <c r="E622" s="72">
        <v>9914</v>
      </c>
      <c r="F622" s="72">
        <v>0</v>
      </c>
      <c r="G622" s="72">
        <v>2594377</v>
      </c>
      <c r="H622" s="72">
        <v>0</v>
      </c>
      <c r="I622" s="72">
        <v>0</v>
      </c>
      <c r="J622" s="72">
        <v>186772</v>
      </c>
      <c r="K622" s="72">
        <v>98122</v>
      </c>
      <c r="L622" s="72">
        <v>4369718</v>
      </c>
      <c r="M622" s="72">
        <v>0</v>
      </c>
      <c r="N622" s="72">
        <v>0</v>
      </c>
      <c r="O622" s="72">
        <v>136239</v>
      </c>
      <c r="P622" s="72">
        <v>58746</v>
      </c>
      <c r="Q622" s="72">
        <v>0</v>
      </c>
      <c r="R622" s="72">
        <v>194985</v>
      </c>
      <c r="S622" s="72">
        <v>4564703</v>
      </c>
      <c r="T622" s="72">
        <v>2330236</v>
      </c>
      <c r="U622" s="72">
        <v>1175021</v>
      </c>
      <c r="V622" s="72">
        <v>485000</v>
      </c>
      <c r="W622" s="72">
        <v>262233</v>
      </c>
      <c r="X622" s="72">
        <v>121758</v>
      </c>
      <c r="Y622" s="72">
        <v>0</v>
      </c>
      <c r="Z622" s="72">
        <v>0</v>
      </c>
      <c r="AA622" s="72">
        <v>0</v>
      </c>
      <c r="AB622" s="72">
        <v>0</v>
      </c>
      <c r="AC622" s="72">
        <v>0</v>
      </c>
      <c r="AD622" s="72">
        <v>65007</v>
      </c>
      <c r="AE622" s="72">
        <v>0</v>
      </c>
      <c r="AF622" s="72">
        <v>19102</v>
      </c>
      <c r="AG622" s="72">
        <v>95808</v>
      </c>
      <c r="AH622" s="72">
        <v>4554165</v>
      </c>
      <c r="AI622" s="72">
        <v>140892</v>
      </c>
      <c r="AJ622" s="72">
        <v>0</v>
      </c>
      <c r="AK622" s="72">
        <v>0</v>
      </c>
      <c r="AL622" s="72">
        <v>140892</v>
      </c>
      <c r="AM622" s="72">
        <v>4695057</v>
      </c>
      <c r="AN622" s="72">
        <v>-130354</v>
      </c>
      <c r="AO622" s="72">
        <v>613286</v>
      </c>
      <c r="AP622" s="72">
        <v>482932</v>
      </c>
      <c r="AQ622" s="72">
        <v>30000</v>
      </c>
      <c r="AR622" s="72">
        <v>0</v>
      </c>
      <c r="AS622" s="72">
        <v>395560</v>
      </c>
      <c r="AT622" s="72">
        <v>17604</v>
      </c>
      <c r="AU622" s="72">
        <v>0</v>
      </c>
      <c r="AV622" s="72">
        <v>0</v>
      </c>
      <c r="AW622" s="72">
        <v>0</v>
      </c>
      <c r="AX622" s="72">
        <v>0</v>
      </c>
      <c r="AY622" s="72">
        <v>0</v>
      </c>
      <c r="AZ622" s="72">
        <v>413164</v>
      </c>
      <c r="BA622" s="72">
        <v>39768</v>
      </c>
      <c r="BB622" s="72">
        <v>0</v>
      </c>
      <c r="BC622" s="72">
        <v>0</v>
      </c>
      <c r="BD622" s="72">
        <v>0</v>
      </c>
      <c r="BE622" s="72">
        <v>39768</v>
      </c>
      <c r="BF622" s="72">
        <v>0</v>
      </c>
      <c r="BG622" s="72">
        <v>0</v>
      </c>
      <c r="BH622" s="72">
        <v>0</v>
      </c>
      <c r="BI622" s="72">
        <v>0</v>
      </c>
      <c r="BJ622" s="72">
        <v>39768</v>
      </c>
      <c r="BK622" s="72">
        <v>0</v>
      </c>
      <c r="BL622" s="72">
        <v>340</v>
      </c>
      <c r="BM622" s="72">
        <v>0</v>
      </c>
      <c r="BN622" s="72">
        <v>0</v>
      </c>
      <c r="BO622" s="72">
        <v>0</v>
      </c>
      <c r="BP622" s="72">
        <v>0</v>
      </c>
      <c r="BQ622" s="72">
        <v>0</v>
      </c>
      <c r="BR622" s="72">
        <v>0</v>
      </c>
      <c r="BS622" s="72">
        <v>4695057</v>
      </c>
    </row>
    <row r="623" spans="1:71" x14ac:dyDescent="0.2">
      <c r="A623" t="s">
        <v>402</v>
      </c>
      <c r="B623" t="s">
        <v>112</v>
      </c>
      <c r="C623" t="s">
        <v>106</v>
      </c>
      <c r="D623" s="72">
        <v>2932950</v>
      </c>
      <c r="E623" s="72">
        <v>350974</v>
      </c>
      <c r="F623" s="72">
        <v>0</v>
      </c>
      <c r="G623" s="72">
        <v>3877528</v>
      </c>
      <c r="H623" s="72">
        <v>1066175</v>
      </c>
      <c r="I623" s="72">
        <v>0</v>
      </c>
      <c r="J623" s="72">
        <v>648689</v>
      </c>
      <c r="K623" s="72">
        <v>214956</v>
      </c>
      <c r="L623" s="72">
        <v>9091272</v>
      </c>
      <c r="M623" s="72">
        <v>0</v>
      </c>
      <c r="N623" s="72">
        <v>0</v>
      </c>
      <c r="O623" s="72">
        <v>0</v>
      </c>
      <c r="P623" s="72">
        <v>150000</v>
      </c>
      <c r="Q623" s="72">
        <v>11896</v>
      </c>
      <c r="R623" s="72">
        <v>161896</v>
      </c>
      <c r="S623" s="72">
        <v>9253168</v>
      </c>
      <c r="T623" s="72">
        <v>5600720</v>
      </c>
      <c r="U623" s="72">
        <v>1796512</v>
      </c>
      <c r="V623" s="72">
        <v>891908</v>
      </c>
      <c r="W623" s="72">
        <v>457716</v>
      </c>
      <c r="X623" s="72">
        <v>458095</v>
      </c>
      <c r="Y623" s="72">
        <v>0</v>
      </c>
      <c r="Z623" s="72">
        <v>0</v>
      </c>
      <c r="AA623" s="72">
        <v>0</v>
      </c>
      <c r="AB623" s="72">
        <v>0</v>
      </c>
      <c r="AC623" s="72">
        <v>0</v>
      </c>
      <c r="AD623" s="72">
        <v>28818</v>
      </c>
      <c r="AE623" s="72">
        <v>215000</v>
      </c>
      <c r="AF623" s="72">
        <v>285897</v>
      </c>
      <c r="AG623" s="72">
        <v>130617</v>
      </c>
      <c r="AH623" s="72">
        <v>9865283</v>
      </c>
      <c r="AI623" s="72">
        <v>254091</v>
      </c>
      <c r="AJ623" s="72">
        <v>165000</v>
      </c>
      <c r="AK623" s="72">
        <v>1000</v>
      </c>
      <c r="AL623" s="72">
        <v>420091</v>
      </c>
      <c r="AM623" s="72">
        <v>10285374</v>
      </c>
      <c r="AN623" s="72">
        <v>-1032206</v>
      </c>
      <c r="AO623" s="72">
        <v>9875711</v>
      </c>
      <c r="AP623" s="72">
        <v>8843505</v>
      </c>
      <c r="AQ623" s="72">
        <v>200000</v>
      </c>
      <c r="AR623" s="72">
        <v>0</v>
      </c>
      <c r="AS623" s="72">
        <v>0</v>
      </c>
      <c r="AT623" s="72">
        <v>0</v>
      </c>
      <c r="AU623" s="72">
        <v>0</v>
      </c>
      <c r="AV623" s="72">
        <v>0</v>
      </c>
      <c r="AW623" s="72">
        <v>0</v>
      </c>
      <c r="AX623" s="72">
        <v>0</v>
      </c>
      <c r="AY623" s="72">
        <v>0</v>
      </c>
      <c r="AZ623" s="72">
        <v>0</v>
      </c>
      <c r="BA623" s="72">
        <v>8643505</v>
      </c>
      <c r="BB623" s="72">
        <v>0</v>
      </c>
      <c r="BC623" s="72">
        <v>0</v>
      </c>
      <c r="BD623" s="72">
        <v>0</v>
      </c>
      <c r="BE623" s="72">
        <v>8643505</v>
      </c>
      <c r="BF623" s="72">
        <v>0</v>
      </c>
      <c r="BG623" s="72">
        <v>0</v>
      </c>
      <c r="BH623" s="72">
        <v>0</v>
      </c>
      <c r="BI623" s="72">
        <v>0</v>
      </c>
      <c r="BJ623" s="72">
        <v>8643505</v>
      </c>
      <c r="BK623" s="72">
        <v>0</v>
      </c>
      <c r="BL623" s="72">
        <v>0</v>
      </c>
      <c r="BS623" s="72">
        <v>10285374</v>
      </c>
    </row>
    <row r="624" spans="1:71" x14ac:dyDescent="0.2">
      <c r="A624" t="s">
        <v>137</v>
      </c>
      <c r="B624" t="s">
        <v>858</v>
      </c>
      <c r="C624" t="s">
        <v>65</v>
      </c>
      <c r="D624" s="72">
        <v>5429000</v>
      </c>
      <c r="E624" s="72">
        <v>350000</v>
      </c>
      <c r="F624" s="72">
        <v>0</v>
      </c>
      <c r="G624" s="72">
        <v>1800000</v>
      </c>
      <c r="H624" s="72">
        <v>0</v>
      </c>
      <c r="I624" s="72">
        <v>0</v>
      </c>
      <c r="J624" s="72">
        <v>800000</v>
      </c>
      <c r="K624" s="72">
        <v>180000</v>
      </c>
      <c r="L624" s="72">
        <v>8559000</v>
      </c>
      <c r="M624" s="72">
        <v>0</v>
      </c>
      <c r="N624" s="72">
        <v>0</v>
      </c>
      <c r="O624" s="72">
        <v>0</v>
      </c>
      <c r="P624" s="72">
        <v>200000</v>
      </c>
      <c r="Q624" s="72">
        <v>0</v>
      </c>
      <c r="R624" s="72">
        <v>200000</v>
      </c>
      <c r="S624" s="72">
        <v>8759000</v>
      </c>
      <c r="T624" s="72">
        <v>4575000</v>
      </c>
      <c r="U624" s="72">
        <v>1650000</v>
      </c>
      <c r="V624" s="72">
        <v>1350000</v>
      </c>
      <c r="W624" s="72">
        <v>425000</v>
      </c>
      <c r="X624" s="72">
        <v>800000</v>
      </c>
      <c r="Y624" s="72">
        <v>0</v>
      </c>
      <c r="Z624" s="72">
        <v>0</v>
      </c>
      <c r="AA624" s="72">
        <v>0</v>
      </c>
      <c r="AB624" s="72">
        <v>0</v>
      </c>
      <c r="AC624" s="72">
        <v>0</v>
      </c>
      <c r="AD624" s="72">
        <v>0</v>
      </c>
      <c r="AE624" s="72">
        <v>480122</v>
      </c>
      <c r="AF624" s="72">
        <v>0</v>
      </c>
      <c r="AG624" s="72">
        <v>180000</v>
      </c>
      <c r="AH624" s="72">
        <v>9460122</v>
      </c>
      <c r="AI624" s="72">
        <v>928500</v>
      </c>
      <c r="AJ624" s="72">
        <v>100000</v>
      </c>
      <c r="AK624" s="72">
        <v>0</v>
      </c>
      <c r="AL624" s="72">
        <v>1028500</v>
      </c>
      <c r="AM624" s="72">
        <v>10488622</v>
      </c>
      <c r="AN624" s="72">
        <v>-1729622</v>
      </c>
      <c r="AO624" s="72">
        <v>5889527</v>
      </c>
      <c r="AP624" s="72">
        <v>4159905</v>
      </c>
      <c r="AQ624" s="72">
        <v>100000</v>
      </c>
      <c r="AR624" s="72">
        <v>0</v>
      </c>
      <c r="AS624" s="72">
        <v>0</v>
      </c>
      <c r="AT624" s="72">
        <v>0</v>
      </c>
      <c r="AU624" s="72">
        <v>0</v>
      </c>
      <c r="AV624" s="72">
        <v>0</v>
      </c>
      <c r="AW624" s="72">
        <v>0</v>
      </c>
      <c r="AX624" s="72">
        <v>0</v>
      </c>
      <c r="AY624" s="72">
        <v>0</v>
      </c>
      <c r="AZ624" s="72">
        <v>0</v>
      </c>
      <c r="BA624" s="72">
        <v>4059905</v>
      </c>
      <c r="BB624" s="72">
        <v>0</v>
      </c>
      <c r="BC624" s="72">
        <v>0</v>
      </c>
      <c r="BD624" s="72">
        <v>0</v>
      </c>
      <c r="BE624" s="72">
        <v>4059905</v>
      </c>
      <c r="BF624" s="72">
        <v>0</v>
      </c>
      <c r="BG624" s="72">
        <v>0</v>
      </c>
      <c r="BH624" s="72">
        <v>0</v>
      </c>
      <c r="BI624" s="72">
        <v>0</v>
      </c>
      <c r="BJ624" s="72">
        <v>4059905</v>
      </c>
      <c r="BK624" s="72">
        <v>0</v>
      </c>
      <c r="BL624" s="72">
        <v>0</v>
      </c>
      <c r="BM624" s="72">
        <v>0</v>
      </c>
      <c r="BN624" s="72">
        <v>0</v>
      </c>
      <c r="BO624" s="72">
        <v>0</v>
      </c>
      <c r="BP624" s="72">
        <v>0</v>
      </c>
      <c r="BQ624" s="72">
        <v>0</v>
      </c>
      <c r="BR624" s="72">
        <v>0</v>
      </c>
      <c r="BS624" s="72">
        <v>10488622</v>
      </c>
    </row>
    <row r="625" spans="1:71" x14ac:dyDescent="0.2">
      <c r="A625" t="s">
        <v>412</v>
      </c>
      <c r="B625" t="s">
        <v>1120</v>
      </c>
      <c r="C625" t="s">
        <v>88</v>
      </c>
      <c r="D625" s="72">
        <v>1578046</v>
      </c>
      <c r="E625" s="72">
        <v>0</v>
      </c>
      <c r="F625" s="72">
        <v>0</v>
      </c>
      <c r="G625" s="72">
        <v>5170536</v>
      </c>
      <c r="H625" s="72">
        <v>0</v>
      </c>
      <c r="I625" s="72">
        <v>0</v>
      </c>
      <c r="J625" s="72">
        <v>328161</v>
      </c>
      <c r="K625" s="72">
        <v>281764</v>
      </c>
      <c r="L625" s="72">
        <v>7358507</v>
      </c>
      <c r="M625" s="72">
        <v>0</v>
      </c>
      <c r="N625" s="72">
        <v>0</v>
      </c>
      <c r="O625" s="72">
        <v>0</v>
      </c>
      <c r="P625" s="72">
        <v>0</v>
      </c>
      <c r="Q625" s="72">
        <v>0</v>
      </c>
      <c r="R625" s="72">
        <v>0</v>
      </c>
      <c r="S625" s="72">
        <v>7358507</v>
      </c>
      <c r="T625" s="72">
        <v>3673182</v>
      </c>
      <c r="U625" s="72">
        <v>1266020</v>
      </c>
      <c r="V625" s="72">
        <v>844966</v>
      </c>
      <c r="W625" s="72">
        <v>807066</v>
      </c>
      <c r="X625" s="72">
        <v>34000</v>
      </c>
      <c r="Y625" s="72">
        <v>0</v>
      </c>
      <c r="Z625" s="72">
        <v>0</v>
      </c>
      <c r="AA625" s="72">
        <v>0</v>
      </c>
      <c r="AB625" s="72">
        <v>0</v>
      </c>
      <c r="AC625" s="72">
        <v>0</v>
      </c>
      <c r="AD625" s="72">
        <v>0</v>
      </c>
      <c r="AE625" s="72">
        <v>0</v>
      </c>
      <c r="AF625" s="72">
        <v>0</v>
      </c>
      <c r="AG625" s="72">
        <v>122050</v>
      </c>
      <c r="AH625" s="72">
        <v>6747284</v>
      </c>
      <c r="AI625" s="72">
        <v>400000</v>
      </c>
      <c r="AJ625" s="72">
        <v>0</v>
      </c>
      <c r="AK625" s="72">
        <v>0</v>
      </c>
      <c r="AL625" s="72">
        <v>400000</v>
      </c>
      <c r="AM625" s="72">
        <v>7147284</v>
      </c>
      <c r="AN625" s="72">
        <v>211223</v>
      </c>
      <c r="AO625" s="72">
        <v>2439896</v>
      </c>
      <c r="AP625" s="72">
        <v>2651119</v>
      </c>
      <c r="AQ625" s="72">
        <v>150000</v>
      </c>
      <c r="AR625" s="72">
        <v>0</v>
      </c>
      <c r="AS625" s="72">
        <v>0</v>
      </c>
      <c r="AT625" s="72">
        <v>0</v>
      </c>
      <c r="AU625" s="72">
        <v>0</v>
      </c>
      <c r="AV625" s="72">
        <v>0</v>
      </c>
      <c r="AW625" s="72">
        <v>0</v>
      </c>
      <c r="AX625" s="72">
        <v>0</v>
      </c>
      <c r="AY625" s="72">
        <v>0</v>
      </c>
      <c r="AZ625" s="72">
        <v>0</v>
      </c>
      <c r="BA625" s="72">
        <v>2501119</v>
      </c>
      <c r="BB625" s="72">
        <v>0</v>
      </c>
      <c r="BC625" s="72">
        <v>0</v>
      </c>
      <c r="BD625" s="72">
        <v>0</v>
      </c>
      <c r="BE625" s="72">
        <v>2501119</v>
      </c>
      <c r="BF625" s="72">
        <v>0</v>
      </c>
      <c r="BG625" s="72">
        <v>0</v>
      </c>
      <c r="BH625" s="72">
        <v>0</v>
      </c>
      <c r="BI625" s="72">
        <v>0</v>
      </c>
      <c r="BJ625" s="72">
        <v>2501119</v>
      </c>
      <c r="BK625" s="72">
        <v>0</v>
      </c>
      <c r="BL625" s="72">
        <v>0</v>
      </c>
      <c r="BM625" s="72">
        <v>0</v>
      </c>
      <c r="BN625" s="72">
        <v>0</v>
      </c>
      <c r="BO625" s="72">
        <v>0</v>
      </c>
      <c r="BP625" s="72">
        <v>0</v>
      </c>
      <c r="BQ625" s="72">
        <v>0</v>
      </c>
      <c r="BR625" s="72">
        <v>0</v>
      </c>
      <c r="BS625" s="72">
        <v>7358507</v>
      </c>
    </row>
    <row r="626" spans="1:71" x14ac:dyDescent="0.2">
      <c r="A626" t="s">
        <v>205</v>
      </c>
      <c r="B626" t="s">
        <v>972</v>
      </c>
      <c r="C626" t="s">
        <v>24</v>
      </c>
      <c r="D626" s="72">
        <v>6407760</v>
      </c>
      <c r="E626" s="72">
        <v>293625</v>
      </c>
      <c r="F626" s="72">
        <v>0</v>
      </c>
      <c r="G626" s="72">
        <v>2913116</v>
      </c>
      <c r="H626" s="72">
        <v>1031345</v>
      </c>
      <c r="I626" s="72">
        <v>0</v>
      </c>
      <c r="J626" s="72">
        <v>909156</v>
      </c>
      <c r="K626" s="72">
        <v>148456</v>
      </c>
      <c r="L626" s="72">
        <v>11703458</v>
      </c>
      <c r="M626" s="72">
        <v>0</v>
      </c>
      <c r="N626" s="72">
        <v>0</v>
      </c>
      <c r="O626" s="72">
        <v>0</v>
      </c>
      <c r="P626" s="72">
        <v>30000</v>
      </c>
      <c r="Q626" s="72">
        <v>25000</v>
      </c>
      <c r="R626" s="72">
        <v>55000</v>
      </c>
      <c r="S626" s="72">
        <v>11758458</v>
      </c>
      <c r="T626" s="72">
        <v>5491550</v>
      </c>
      <c r="U626" s="72">
        <v>2200018</v>
      </c>
      <c r="V626" s="72">
        <v>1150728</v>
      </c>
      <c r="W626" s="72">
        <v>496699</v>
      </c>
      <c r="X626" s="72">
        <v>81886</v>
      </c>
      <c r="Y626" s="72">
        <v>0</v>
      </c>
      <c r="Z626" s="72">
        <v>0</v>
      </c>
      <c r="AA626" s="72">
        <v>0</v>
      </c>
      <c r="AB626" s="72">
        <v>0</v>
      </c>
      <c r="AC626" s="72">
        <v>0</v>
      </c>
      <c r="AD626" s="72">
        <v>0</v>
      </c>
      <c r="AE626" s="72">
        <v>33334</v>
      </c>
      <c r="AF626" s="72">
        <v>0</v>
      </c>
      <c r="AG626" s="72">
        <v>228706</v>
      </c>
      <c r="AH626" s="72">
        <v>9682921</v>
      </c>
      <c r="AI626" s="72">
        <v>371738</v>
      </c>
      <c r="AJ626" s="72">
        <v>30000</v>
      </c>
      <c r="AK626" s="72">
        <v>0</v>
      </c>
      <c r="AL626" s="72">
        <v>401738</v>
      </c>
      <c r="AM626" s="72">
        <v>10084659</v>
      </c>
      <c r="AN626" s="72">
        <v>1673799</v>
      </c>
      <c r="AO626" s="72">
        <v>7036132</v>
      </c>
      <c r="AP626" s="72">
        <v>8709931</v>
      </c>
      <c r="AQ626" s="72">
        <v>150000</v>
      </c>
      <c r="AR626" s="72">
        <v>0</v>
      </c>
      <c r="AS626" s="72">
        <v>0</v>
      </c>
      <c r="AT626" s="72">
        <v>0</v>
      </c>
      <c r="AU626" s="72">
        <v>0</v>
      </c>
      <c r="AV626" s="72">
        <v>0</v>
      </c>
      <c r="AW626" s="72">
        <v>5651925</v>
      </c>
      <c r="AX626" s="72">
        <v>0</v>
      </c>
      <c r="AY626" s="72">
        <v>0</v>
      </c>
      <c r="AZ626" s="72">
        <v>5651925</v>
      </c>
      <c r="BA626" s="72">
        <v>2908006</v>
      </c>
      <c r="BB626" s="72">
        <v>0</v>
      </c>
      <c r="BC626" s="72">
        <v>0</v>
      </c>
      <c r="BD626" s="72">
        <v>0</v>
      </c>
      <c r="BE626" s="72">
        <v>2908006</v>
      </c>
      <c r="BF626" s="72">
        <v>0</v>
      </c>
      <c r="BG626" s="72">
        <v>0</v>
      </c>
      <c r="BH626" s="72">
        <v>0</v>
      </c>
      <c r="BI626" s="72">
        <v>0</v>
      </c>
      <c r="BJ626" s="72">
        <v>2908006</v>
      </c>
      <c r="BK626" s="72">
        <v>0</v>
      </c>
      <c r="BL626" s="72">
        <v>0</v>
      </c>
      <c r="BM626" s="72">
        <v>0</v>
      </c>
      <c r="BN626" s="72">
        <v>0</v>
      </c>
      <c r="BO626" s="72">
        <v>0</v>
      </c>
      <c r="BP626" s="72">
        <v>0</v>
      </c>
      <c r="BQ626" s="72">
        <v>0</v>
      </c>
      <c r="BR626" s="72">
        <v>0</v>
      </c>
      <c r="BS626" s="72">
        <v>11758458</v>
      </c>
    </row>
    <row r="627" spans="1:71" x14ac:dyDescent="0.2">
      <c r="A627" t="s">
        <v>433</v>
      </c>
      <c r="B627" t="s">
        <v>1141</v>
      </c>
      <c r="C627" t="s">
        <v>61</v>
      </c>
      <c r="D627" s="72">
        <v>10142337</v>
      </c>
      <c r="E627" s="72">
        <v>461905</v>
      </c>
      <c r="F627" s="72">
        <v>0</v>
      </c>
      <c r="G627" s="72">
        <v>7168466</v>
      </c>
      <c r="H627" s="72">
        <v>0</v>
      </c>
      <c r="I627" s="72">
        <v>0</v>
      </c>
      <c r="J627" s="72">
        <v>1676747</v>
      </c>
      <c r="K627" s="72">
        <v>143042</v>
      </c>
      <c r="L627" s="72">
        <v>19592497</v>
      </c>
      <c r="M627" s="72">
        <v>0</v>
      </c>
      <c r="N627" s="72">
        <v>0</v>
      </c>
      <c r="O627" s="72">
        <v>0</v>
      </c>
      <c r="P627" s="72">
        <v>32867</v>
      </c>
      <c r="Q627" s="72">
        <v>114231</v>
      </c>
      <c r="R627" s="72">
        <v>147098</v>
      </c>
      <c r="S627" s="72">
        <v>19739595</v>
      </c>
      <c r="T627" s="72">
        <v>11163950</v>
      </c>
      <c r="U627" s="72">
        <v>3801766</v>
      </c>
      <c r="V627" s="72">
        <v>1544072</v>
      </c>
      <c r="W627" s="72">
        <v>848493</v>
      </c>
      <c r="X627" s="72">
        <v>559357</v>
      </c>
      <c r="Y627" s="72">
        <v>0</v>
      </c>
      <c r="Z627" s="72">
        <v>0</v>
      </c>
      <c r="AA627" s="72">
        <v>0</v>
      </c>
      <c r="AB627" s="72">
        <v>0</v>
      </c>
      <c r="AC627" s="72">
        <v>0</v>
      </c>
      <c r="AD627" s="72">
        <v>0</v>
      </c>
      <c r="AE627" s="72">
        <v>0</v>
      </c>
      <c r="AF627" s="72">
        <v>0</v>
      </c>
      <c r="AG627" s="72">
        <v>434589</v>
      </c>
      <c r="AH627" s="72">
        <v>18352227</v>
      </c>
      <c r="AI627" s="72">
        <v>374166</v>
      </c>
      <c r="AJ627" s="72">
        <v>50000</v>
      </c>
      <c r="AK627" s="72">
        <v>0</v>
      </c>
      <c r="AL627" s="72">
        <v>424166</v>
      </c>
      <c r="AM627" s="72">
        <v>18776393</v>
      </c>
      <c r="AN627" s="72">
        <v>963202</v>
      </c>
      <c r="AO627" s="72">
        <v>4821598</v>
      </c>
      <c r="AP627" s="72">
        <v>5784800</v>
      </c>
      <c r="AQ627" s="72">
        <v>0</v>
      </c>
      <c r="AR627" s="72">
        <v>0</v>
      </c>
      <c r="AS627" s="72">
        <v>0</v>
      </c>
      <c r="AT627" s="72">
        <v>0</v>
      </c>
      <c r="AU627" s="72">
        <v>0</v>
      </c>
      <c r="AV627" s="72">
        <v>0</v>
      </c>
      <c r="AW627" s="72">
        <v>0</v>
      </c>
      <c r="AX627" s="72">
        <v>0</v>
      </c>
      <c r="AY627" s="72">
        <v>0</v>
      </c>
      <c r="AZ627" s="72">
        <v>0</v>
      </c>
      <c r="BA627" s="72">
        <v>5784800</v>
      </c>
      <c r="BB627" s="72">
        <v>0</v>
      </c>
      <c r="BC627" s="72">
        <v>0</v>
      </c>
      <c r="BD627" s="72">
        <v>0</v>
      </c>
      <c r="BE627" s="72">
        <v>5784800</v>
      </c>
      <c r="BF627" s="72">
        <v>0</v>
      </c>
      <c r="BG627" s="72">
        <v>0</v>
      </c>
      <c r="BH627" s="72">
        <v>0</v>
      </c>
      <c r="BI627" s="72">
        <v>0</v>
      </c>
      <c r="BJ627" s="72">
        <v>5784800</v>
      </c>
      <c r="BM627" s="72">
        <v>0</v>
      </c>
      <c r="BN627" s="72">
        <v>0</v>
      </c>
      <c r="BO627" s="72">
        <v>0</v>
      </c>
      <c r="BP627" s="72">
        <v>0</v>
      </c>
      <c r="BQ627" s="72">
        <v>0</v>
      </c>
      <c r="BR627" s="72">
        <v>0</v>
      </c>
      <c r="BS627" s="72">
        <v>19739595</v>
      </c>
    </row>
    <row r="628" spans="1:71" x14ac:dyDescent="0.2">
      <c r="A628" t="s">
        <v>447</v>
      </c>
      <c r="B628" t="s">
        <v>1153</v>
      </c>
      <c r="C628" t="s">
        <v>44</v>
      </c>
      <c r="D628" s="72">
        <v>6264509</v>
      </c>
      <c r="E628" s="72">
        <v>5</v>
      </c>
      <c r="F628" s="72">
        <v>0</v>
      </c>
      <c r="G628" s="72">
        <v>3026287</v>
      </c>
      <c r="H628" s="72">
        <v>0</v>
      </c>
      <c r="I628" s="72">
        <v>0</v>
      </c>
      <c r="J628" s="72">
        <v>961660</v>
      </c>
      <c r="K628" s="72">
        <v>715000</v>
      </c>
      <c r="L628" s="72">
        <v>10967461</v>
      </c>
      <c r="M628" s="72">
        <v>0</v>
      </c>
      <c r="N628" s="72">
        <v>0</v>
      </c>
      <c r="O628" s="72">
        <v>0</v>
      </c>
      <c r="P628" s="72">
        <v>0</v>
      </c>
      <c r="Q628" s="72">
        <v>24398</v>
      </c>
      <c r="R628" s="72">
        <v>24398</v>
      </c>
      <c r="S628" s="72">
        <v>10991859</v>
      </c>
      <c r="T628" s="72">
        <v>5205937</v>
      </c>
      <c r="U628" s="72">
        <v>1992087</v>
      </c>
      <c r="V628" s="72">
        <v>2496288</v>
      </c>
      <c r="W628" s="72">
        <v>600000</v>
      </c>
      <c r="X628" s="72">
        <v>600000</v>
      </c>
      <c r="Y628" s="72">
        <v>0</v>
      </c>
      <c r="Z628" s="72">
        <v>0</v>
      </c>
      <c r="AA628" s="72">
        <v>0</v>
      </c>
      <c r="AB628" s="72">
        <v>0</v>
      </c>
      <c r="AC628" s="72">
        <v>0</v>
      </c>
      <c r="AD628" s="72">
        <v>0</v>
      </c>
      <c r="AE628" s="72">
        <v>0</v>
      </c>
      <c r="AF628" s="72">
        <v>0</v>
      </c>
      <c r="AG628" s="72">
        <v>238795</v>
      </c>
      <c r="AH628" s="72">
        <v>11133107</v>
      </c>
      <c r="AI628" s="72">
        <v>80000</v>
      </c>
      <c r="AJ628" s="72">
        <v>0</v>
      </c>
      <c r="AK628" s="72">
        <v>0</v>
      </c>
      <c r="AL628" s="72">
        <v>80000</v>
      </c>
      <c r="AM628" s="72">
        <v>11213107</v>
      </c>
      <c r="AN628" s="72">
        <v>-221247</v>
      </c>
      <c r="AO628" s="72">
        <v>22296962</v>
      </c>
      <c r="AP628" s="72">
        <v>22075715</v>
      </c>
      <c r="AQ628" s="72">
        <v>500000</v>
      </c>
      <c r="AR628" s="72">
        <v>0</v>
      </c>
      <c r="AS628" s="72">
        <v>0</v>
      </c>
      <c r="AT628" s="72">
        <v>0</v>
      </c>
      <c r="AU628" s="72">
        <v>0</v>
      </c>
      <c r="AV628" s="72">
        <v>0</v>
      </c>
      <c r="AW628" s="72">
        <v>0</v>
      </c>
      <c r="AX628" s="72">
        <v>0</v>
      </c>
      <c r="AY628" s="72">
        <v>0</v>
      </c>
      <c r="AZ628" s="72">
        <v>0</v>
      </c>
      <c r="BA628" s="72">
        <v>21575715</v>
      </c>
      <c r="BB628" s="72">
        <v>0</v>
      </c>
      <c r="BC628" s="72">
        <v>0</v>
      </c>
      <c r="BD628" s="72">
        <v>0</v>
      </c>
      <c r="BE628" s="72">
        <v>21575715</v>
      </c>
      <c r="BK628" s="72">
        <v>0</v>
      </c>
      <c r="BL628" s="72">
        <v>0</v>
      </c>
      <c r="BM628" s="72">
        <v>0</v>
      </c>
      <c r="BN628" s="72">
        <v>0</v>
      </c>
      <c r="BO628" s="72">
        <v>0</v>
      </c>
      <c r="BP628" s="72">
        <v>0</v>
      </c>
      <c r="BQ628" s="72">
        <v>0</v>
      </c>
      <c r="BR628" s="72">
        <v>0</v>
      </c>
      <c r="BS628" s="72">
        <v>22296962</v>
      </c>
    </row>
    <row r="629" spans="1:71" x14ac:dyDescent="0.2">
      <c r="A629" t="s">
        <v>478</v>
      </c>
      <c r="B629" t="s">
        <v>1182</v>
      </c>
      <c r="C629" t="s">
        <v>38</v>
      </c>
      <c r="D629" s="72">
        <v>13913002</v>
      </c>
      <c r="E629" s="72">
        <v>85000</v>
      </c>
      <c r="F629" s="72">
        <v>0</v>
      </c>
      <c r="G629" s="72">
        <v>8591989</v>
      </c>
      <c r="H629" s="72">
        <v>3849713</v>
      </c>
      <c r="I629" s="72">
        <v>0</v>
      </c>
      <c r="J629" s="72">
        <v>2370045</v>
      </c>
      <c r="K629" s="72">
        <v>700000</v>
      </c>
      <c r="L629" s="72">
        <v>29509749</v>
      </c>
      <c r="M629" s="72">
        <v>0</v>
      </c>
      <c r="N629" s="72">
        <v>0</v>
      </c>
      <c r="O629" s="72">
        <v>0</v>
      </c>
      <c r="P629" s="72">
        <v>0</v>
      </c>
      <c r="Q629" s="72">
        <v>35000</v>
      </c>
      <c r="R629" s="72">
        <v>35000</v>
      </c>
      <c r="S629" s="72">
        <v>29544749</v>
      </c>
      <c r="T629" s="72">
        <v>15416459</v>
      </c>
      <c r="U629" s="72">
        <v>6095414</v>
      </c>
      <c r="V629" s="72">
        <v>3221822</v>
      </c>
      <c r="W629" s="72">
        <v>2690662</v>
      </c>
      <c r="X629" s="72">
        <v>300000</v>
      </c>
      <c r="Y629" s="72">
        <v>0</v>
      </c>
      <c r="Z629" s="72">
        <v>0</v>
      </c>
      <c r="AA629" s="72">
        <v>0</v>
      </c>
      <c r="AB629" s="72">
        <v>0</v>
      </c>
      <c r="AC629" s="72">
        <v>0</v>
      </c>
      <c r="AD629" s="72">
        <v>0</v>
      </c>
      <c r="AE629" s="72">
        <v>33333</v>
      </c>
      <c r="AF629" s="72">
        <v>0</v>
      </c>
      <c r="AG629" s="72">
        <v>474255</v>
      </c>
      <c r="AH629" s="72">
        <v>28231945</v>
      </c>
      <c r="AI629" s="72">
        <v>1210000</v>
      </c>
      <c r="AJ629" s="72">
        <v>25000</v>
      </c>
      <c r="AK629" s="72">
        <v>0</v>
      </c>
      <c r="AL629" s="72">
        <v>1235000</v>
      </c>
      <c r="AM629" s="72">
        <v>29466945</v>
      </c>
      <c r="AN629" s="72">
        <v>77804</v>
      </c>
      <c r="AO629" s="72">
        <v>4903403</v>
      </c>
      <c r="AP629" s="72">
        <v>4981207</v>
      </c>
      <c r="AQ629" s="72">
        <v>600000</v>
      </c>
      <c r="AR629" s="72">
        <v>0</v>
      </c>
      <c r="AS629" s="72">
        <v>0</v>
      </c>
      <c r="AT629" s="72">
        <v>0</v>
      </c>
      <c r="AU629" s="72">
        <v>0</v>
      </c>
      <c r="AV629" s="72">
        <v>0</v>
      </c>
      <c r="AW629" s="72">
        <v>0</v>
      </c>
      <c r="AX629" s="72">
        <v>0</v>
      </c>
      <c r="AY629" s="72">
        <v>0</v>
      </c>
      <c r="AZ629" s="72">
        <v>0</v>
      </c>
      <c r="BA629" s="72">
        <v>4381207</v>
      </c>
      <c r="BB629" s="72">
        <v>0</v>
      </c>
      <c r="BC629" s="72">
        <v>0</v>
      </c>
      <c r="BD629" s="72">
        <v>0</v>
      </c>
      <c r="BE629" s="72">
        <v>4381207</v>
      </c>
      <c r="BF629" s="72">
        <v>0</v>
      </c>
      <c r="BG629" s="72">
        <v>0</v>
      </c>
      <c r="BH629" s="72">
        <v>0</v>
      </c>
      <c r="BI629" s="72">
        <v>0</v>
      </c>
      <c r="BJ629" s="72">
        <v>4381207</v>
      </c>
      <c r="BK629" s="72">
        <v>0</v>
      </c>
      <c r="BL629" s="72">
        <v>0</v>
      </c>
      <c r="BM629" s="72">
        <v>0</v>
      </c>
      <c r="BN629" s="72">
        <v>0</v>
      </c>
      <c r="BO629" s="72">
        <v>0</v>
      </c>
      <c r="BP629" s="72">
        <v>0</v>
      </c>
      <c r="BQ629" s="72">
        <v>0</v>
      </c>
      <c r="BR629" s="72">
        <v>0</v>
      </c>
      <c r="BS629" s="72">
        <v>29544749</v>
      </c>
    </row>
    <row r="630" spans="1:71" x14ac:dyDescent="0.2">
      <c r="A630" t="s">
        <v>481</v>
      </c>
      <c r="B630" t="s">
        <v>1185</v>
      </c>
      <c r="C630" t="s">
        <v>66</v>
      </c>
      <c r="D630" s="72">
        <v>4679350</v>
      </c>
      <c r="E630" s="72">
        <v>1402070</v>
      </c>
      <c r="F630" s="72">
        <v>0</v>
      </c>
      <c r="G630" s="72">
        <v>5462570</v>
      </c>
      <c r="H630" s="72">
        <v>1948395</v>
      </c>
      <c r="I630" s="72">
        <v>0</v>
      </c>
      <c r="J630" s="72">
        <v>820378</v>
      </c>
      <c r="K630" s="72">
        <v>350058</v>
      </c>
      <c r="L630" s="72">
        <v>14662821</v>
      </c>
      <c r="M630" s="72">
        <v>0</v>
      </c>
      <c r="N630" s="72">
        <v>0</v>
      </c>
      <c r="O630" s="72">
        <v>0</v>
      </c>
      <c r="P630" s="72">
        <v>0</v>
      </c>
      <c r="Q630" s="72">
        <v>15000</v>
      </c>
      <c r="R630" s="72">
        <v>15000</v>
      </c>
      <c r="S630" s="72">
        <v>14677821</v>
      </c>
      <c r="T630" s="72">
        <v>7633560</v>
      </c>
      <c r="U630" s="72">
        <v>3021251</v>
      </c>
      <c r="V630" s="72">
        <v>1754746</v>
      </c>
      <c r="W630" s="72">
        <v>661612</v>
      </c>
      <c r="X630" s="72">
        <v>773554</v>
      </c>
      <c r="Y630" s="72">
        <v>0</v>
      </c>
      <c r="Z630" s="72">
        <v>0</v>
      </c>
      <c r="AA630" s="72">
        <v>0</v>
      </c>
      <c r="AB630" s="72">
        <v>0</v>
      </c>
      <c r="AC630" s="72">
        <v>0</v>
      </c>
      <c r="AD630" s="72">
        <v>0</v>
      </c>
      <c r="AE630" s="72">
        <v>0</v>
      </c>
      <c r="AF630" s="72">
        <v>0</v>
      </c>
      <c r="AG630" s="72">
        <v>269696</v>
      </c>
      <c r="AH630" s="72">
        <v>14114419</v>
      </c>
      <c r="AI630" s="72">
        <v>983000</v>
      </c>
      <c r="AJ630" s="72">
        <v>0</v>
      </c>
      <c r="AK630" s="72">
        <v>0</v>
      </c>
      <c r="AL630" s="72">
        <v>983000</v>
      </c>
      <c r="AM630" s="72">
        <v>15097419</v>
      </c>
      <c r="AN630" s="72">
        <v>-419598</v>
      </c>
      <c r="AO630" s="72">
        <v>13025902</v>
      </c>
      <c r="AP630" s="72">
        <v>12606304</v>
      </c>
      <c r="AQ630" s="72">
        <v>130000</v>
      </c>
      <c r="AR630" s="72">
        <v>0</v>
      </c>
      <c r="AS630" s="72">
        <v>0</v>
      </c>
      <c r="AT630" s="72">
        <v>173668</v>
      </c>
      <c r="AU630" s="72">
        <v>0</v>
      </c>
      <c r="AV630" s="72">
        <v>0</v>
      </c>
      <c r="AW630" s="72">
        <v>0</v>
      </c>
      <c r="AX630" s="72">
        <v>0</v>
      </c>
      <c r="AY630" s="72">
        <v>0</v>
      </c>
      <c r="AZ630" s="72">
        <v>173668</v>
      </c>
      <c r="BA630" s="72">
        <v>12302636</v>
      </c>
      <c r="BB630" s="72">
        <v>0</v>
      </c>
      <c r="BC630" s="72">
        <v>0</v>
      </c>
      <c r="BD630" s="72">
        <v>0</v>
      </c>
      <c r="BE630" s="72">
        <v>12302636</v>
      </c>
      <c r="BF630" s="72">
        <v>0</v>
      </c>
      <c r="BG630" s="72">
        <v>0</v>
      </c>
      <c r="BH630" s="72">
        <v>0</v>
      </c>
      <c r="BI630" s="72">
        <v>0</v>
      </c>
      <c r="BJ630" s="72">
        <v>12302636</v>
      </c>
      <c r="BS630" s="72">
        <v>15097419</v>
      </c>
    </row>
    <row r="631" spans="1:71" x14ac:dyDescent="0.2">
      <c r="A631" t="s">
        <v>553</v>
      </c>
      <c r="B631" t="s">
        <v>1252</v>
      </c>
      <c r="C631" t="s">
        <v>86</v>
      </c>
      <c r="D631" s="72">
        <v>5113000</v>
      </c>
      <c r="E631" s="72">
        <v>84000</v>
      </c>
      <c r="F631" s="72">
        <v>0</v>
      </c>
      <c r="G631" s="72">
        <v>5544000</v>
      </c>
      <c r="H631" s="72">
        <v>0</v>
      </c>
      <c r="I631" s="72">
        <v>0</v>
      </c>
      <c r="J631" s="72">
        <v>682000</v>
      </c>
      <c r="K631" s="72">
        <v>311000</v>
      </c>
      <c r="L631" s="72">
        <v>11734000</v>
      </c>
      <c r="M631" s="72">
        <v>0</v>
      </c>
      <c r="N631" s="72">
        <v>0</v>
      </c>
      <c r="O631" s="72">
        <v>0</v>
      </c>
      <c r="P631" s="72">
        <v>343000</v>
      </c>
      <c r="Q631" s="72">
        <v>0</v>
      </c>
      <c r="R631" s="72">
        <v>343000</v>
      </c>
      <c r="S631" s="72">
        <v>12077000</v>
      </c>
      <c r="T631" s="72">
        <v>5645000</v>
      </c>
      <c r="U631" s="72">
        <v>2033000</v>
      </c>
      <c r="V631" s="72">
        <v>1798000</v>
      </c>
      <c r="W631" s="72">
        <v>628000</v>
      </c>
      <c r="X631" s="72">
        <v>1025000</v>
      </c>
      <c r="Y631" s="72">
        <v>0</v>
      </c>
      <c r="Z631" s="72">
        <v>0</v>
      </c>
      <c r="AA631" s="72">
        <v>0</v>
      </c>
      <c r="AB631" s="72">
        <v>0</v>
      </c>
      <c r="AC631" s="72">
        <v>0</v>
      </c>
      <c r="AD631" s="72">
        <v>0</v>
      </c>
      <c r="AE631" s="72">
        <v>0</v>
      </c>
      <c r="AF631" s="72">
        <v>0</v>
      </c>
      <c r="AG631" s="72">
        <v>415000</v>
      </c>
      <c r="AH631" s="72">
        <v>11544000</v>
      </c>
      <c r="AI631" s="72">
        <v>150000</v>
      </c>
      <c r="AJ631" s="72">
        <v>200000</v>
      </c>
      <c r="AK631" s="72">
        <v>0</v>
      </c>
      <c r="AL631" s="72">
        <v>350000</v>
      </c>
      <c r="AM631" s="72">
        <v>11894000</v>
      </c>
      <c r="AN631" s="72">
        <v>183000</v>
      </c>
      <c r="AO631" s="72">
        <v>8093147</v>
      </c>
      <c r="AP631" s="72">
        <v>8276147</v>
      </c>
      <c r="AQ631" s="72">
        <v>200000</v>
      </c>
      <c r="AR631" s="72">
        <v>0</v>
      </c>
      <c r="AS631" s="72">
        <v>0</v>
      </c>
      <c r="AT631" s="72">
        <v>0</v>
      </c>
      <c r="AU631" s="72">
        <v>0</v>
      </c>
      <c r="AV631" s="72">
        <v>0</v>
      </c>
      <c r="AW631" s="72">
        <v>0</v>
      </c>
      <c r="AX631" s="72">
        <v>0</v>
      </c>
      <c r="AY631" s="72">
        <v>0</v>
      </c>
      <c r="AZ631" s="72">
        <v>0</v>
      </c>
      <c r="BA631" s="72">
        <v>8076147</v>
      </c>
      <c r="BB631" s="72">
        <v>0</v>
      </c>
      <c r="BC631" s="72">
        <v>0</v>
      </c>
      <c r="BD631" s="72">
        <v>0</v>
      </c>
      <c r="BE631" s="72">
        <v>8076147</v>
      </c>
      <c r="BF631" s="72">
        <v>0</v>
      </c>
      <c r="BG631" s="72">
        <v>0</v>
      </c>
      <c r="BH631" s="72">
        <v>0</v>
      </c>
      <c r="BI631" s="72">
        <v>0</v>
      </c>
      <c r="BJ631" s="72">
        <v>8076147</v>
      </c>
      <c r="BK631" s="72">
        <v>0</v>
      </c>
      <c r="BL631" s="72">
        <v>688</v>
      </c>
      <c r="BM631" s="72">
        <v>0</v>
      </c>
      <c r="BN631" s="72">
        <v>0</v>
      </c>
      <c r="BO631" s="72">
        <v>0</v>
      </c>
      <c r="BP631" s="72">
        <v>0</v>
      </c>
      <c r="BQ631" s="72">
        <v>0</v>
      </c>
      <c r="BR631" s="72">
        <v>0</v>
      </c>
      <c r="BS631" s="72">
        <v>12077000</v>
      </c>
    </row>
    <row r="632" spans="1:71" x14ac:dyDescent="0.2">
      <c r="A632" t="s">
        <v>573</v>
      </c>
      <c r="B632" t="s">
        <v>1272</v>
      </c>
      <c r="C632" t="s">
        <v>72</v>
      </c>
      <c r="D632" s="72">
        <v>9814663</v>
      </c>
      <c r="E632" s="72">
        <v>757253</v>
      </c>
      <c r="G632" s="72">
        <v>10460836</v>
      </c>
      <c r="J632" s="72">
        <v>1237202</v>
      </c>
      <c r="K632" s="72">
        <v>231477</v>
      </c>
      <c r="L632" s="72">
        <v>26081676</v>
      </c>
      <c r="P632" s="72">
        <v>48942</v>
      </c>
      <c r="R632" s="72">
        <v>48942</v>
      </c>
      <c r="S632" s="72">
        <v>26130618</v>
      </c>
      <c r="T632" s="72">
        <v>15294527</v>
      </c>
      <c r="U632" s="72">
        <v>5327273</v>
      </c>
      <c r="V632" s="72">
        <v>3140051</v>
      </c>
      <c r="W632" s="72">
        <v>1592447</v>
      </c>
      <c r="AG632" s="72">
        <v>809678</v>
      </c>
      <c r="AH632" s="72">
        <v>26888976</v>
      </c>
      <c r="AJ632" s="72">
        <v>150000</v>
      </c>
      <c r="AL632" s="72">
        <v>250000</v>
      </c>
      <c r="AM632" s="72">
        <v>27138976</v>
      </c>
      <c r="AN632" s="72">
        <v>-1008358</v>
      </c>
      <c r="AO632" s="72">
        <v>6605424</v>
      </c>
      <c r="AP632" s="72">
        <v>5597066</v>
      </c>
      <c r="AV632" s="72">
        <v>0</v>
      </c>
      <c r="BA632" s="72">
        <v>5597066</v>
      </c>
      <c r="BE632" s="72">
        <v>5597066</v>
      </c>
      <c r="BJ632" s="72">
        <v>5597066</v>
      </c>
      <c r="BM632" s="72">
        <v>0</v>
      </c>
      <c r="BN632" s="72">
        <v>0</v>
      </c>
      <c r="BO632" s="72">
        <v>0</v>
      </c>
      <c r="BP632" s="72">
        <v>0</v>
      </c>
      <c r="BQ632" s="72">
        <v>0</v>
      </c>
      <c r="BR632" s="72">
        <v>0</v>
      </c>
      <c r="BS632" s="72">
        <v>27138976</v>
      </c>
    </row>
    <row r="633" spans="1:71" x14ac:dyDescent="0.2">
      <c r="A633" t="s">
        <v>582</v>
      </c>
      <c r="B633" t="s">
        <v>1279</v>
      </c>
      <c r="C633" t="s">
        <v>52</v>
      </c>
      <c r="D633" s="72">
        <v>620454</v>
      </c>
      <c r="E633" s="72">
        <v>286721</v>
      </c>
      <c r="F633" s="72">
        <v>0</v>
      </c>
      <c r="G633" s="72">
        <v>3261902</v>
      </c>
      <c r="H633" s="72">
        <v>972063</v>
      </c>
      <c r="I633" s="72">
        <v>0</v>
      </c>
      <c r="J633" s="72">
        <v>566044</v>
      </c>
      <c r="K633" s="72">
        <v>286187</v>
      </c>
      <c r="L633" s="72">
        <v>5993371</v>
      </c>
      <c r="M633" s="72">
        <v>0</v>
      </c>
      <c r="N633" s="72">
        <v>0</v>
      </c>
      <c r="O633" s="72">
        <v>71877</v>
      </c>
      <c r="P633" s="72">
        <v>35964</v>
      </c>
      <c r="Q633" s="72">
        <v>0</v>
      </c>
      <c r="R633" s="72">
        <v>107841</v>
      </c>
      <c r="S633" s="72">
        <v>6101212</v>
      </c>
      <c r="T633" s="72">
        <v>2841280</v>
      </c>
      <c r="U633" s="72">
        <v>1170431</v>
      </c>
      <c r="V633" s="72">
        <v>534908</v>
      </c>
      <c r="W633" s="72">
        <v>890019</v>
      </c>
      <c r="X633" s="72">
        <v>394921</v>
      </c>
      <c r="Y633" s="72">
        <v>0</v>
      </c>
      <c r="Z633" s="72">
        <v>0</v>
      </c>
      <c r="AA633" s="72">
        <v>0</v>
      </c>
      <c r="AB633" s="72">
        <v>0</v>
      </c>
      <c r="AC633" s="72">
        <v>0</v>
      </c>
      <c r="AD633" s="72">
        <v>0</v>
      </c>
      <c r="AE633" s="72">
        <v>0</v>
      </c>
      <c r="AF633" s="72">
        <v>0</v>
      </c>
      <c r="AG633" s="72">
        <v>118074</v>
      </c>
      <c r="AH633" s="72">
        <v>5949633</v>
      </c>
      <c r="AI633" s="72">
        <v>229179</v>
      </c>
      <c r="AJ633" s="72">
        <v>32700</v>
      </c>
      <c r="AK633" s="72">
        <v>0</v>
      </c>
      <c r="AL633" s="72">
        <v>261879</v>
      </c>
      <c r="AM633" s="72">
        <v>6211512</v>
      </c>
      <c r="AN633" s="72">
        <v>-110300</v>
      </c>
      <c r="AO633" s="72">
        <v>3818397</v>
      </c>
      <c r="AP633" s="72">
        <v>3708097</v>
      </c>
      <c r="AQ633" s="72">
        <v>50000</v>
      </c>
      <c r="AR633" s="72">
        <v>0</v>
      </c>
      <c r="AS633" s="72">
        <v>0</v>
      </c>
      <c r="AT633" s="72">
        <v>0</v>
      </c>
      <c r="AU633" s="72">
        <v>0</v>
      </c>
      <c r="AV633" s="72">
        <v>0</v>
      </c>
      <c r="AW633" s="72">
        <v>0</v>
      </c>
      <c r="AX633" s="72">
        <v>0</v>
      </c>
      <c r="AY633" s="72">
        <v>0</v>
      </c>
      <c r="AZ633" s="72">
        <v>0</v>
      </c>
      <c r="BA633" s="72">
        <v>3658097</v>
      </c>
      <c r="BB633" s="72">
        <v>0</v>
      </c>
      <c r="BC633" s="72">
        <v>0</v>
      </c>
      <c r="BD633" s="72">
        <v>0</v>
      </c>
      <c r="BE633" s="72">
        <v>3658097</v>
      </c>
      <c r="BF633" s="72">
        <v>0</v>
      </c>
      <c r="BG633" s="72">
        <v>0</v>
      </c>
      <c r="BH633" s="72">
        <v>0</v>
      </c>
      <c r="BI633" s="72">
        <v>0</v>
      </c>
      <c r="BJ633" s="72">
        <v>3658097</v>
      </c>
      <c r="BM633" s="72">
        <v>0</v>
      </c>
      <c r="BN633" s="72">
        <v>0</v>
      </c>
      <c r="BO633" s="72">
        <v>0</v>
      </c>
      <c r="BP633" s="72">
        <v>0</v>
      </c>
      <c r="BQ633" s="72">
        <v>0</v>
      </c>
      <c r="BR633" s="72">
        <v>0</v>
      </c>
      <c r="BS633" s="72">
        <v>6211512</v>
      </c>
    </row>
    <row r="634" spans="1:71" x14ac:dyDescent="0.2">
      <c r="A634" t="s">
        <v>453</v>
      </c>
      <c r="B634" t="s">
        <v>1158</v>
      </c>
      <c r="C634" t="s">
        <v>26</v>
      </c>
      <c r="D634" s="72">
        <v>5943497</v>
      </c>
      <c r="E634" s="72">
        <v>276197</v>
      </c>
      <c r="F634" s="72">
        <v>0</v>
      </c>
      <c r="G634" s="72">
        <v>3307395</v>
      </c>
      <c r="H634" s="72">
        <v>940702</v>
      </c>
      <c r="I634" s="72">
        <v>0</v>
      </c>
      <c r="J634" s="72">
        <v>1201893</v>
      </c>
      <c r="K634" s="72">
        <v>534626</v>
      </c>
      <c r="L634" s="72">
        <v>12204310</v>
      </c>
      <c r="M634" s="72">
        <v>0</v>
      </c>
      <c r="N634" s="72">
        <v>0</v>
      </c>
      <c r="O634" s="72">
        <v>0</v>
      </c>
      <c r="P634" s="72">
        <v>600000</v>
      </c>
      <c r="Q634" s="72">
        <v>2500</v>
      </c>
      <c r="R634" s="72">
        <v>602500</v>
      </c>
      <c r="S634" s="72">
        <v>12806810</v>
      </c>
      <c r="T634" s="72">
        <v>5489171</v>
      </c>
      <c r="U634" s="72">
        <v>2274592</v>
      </c>
      <c r="V634" s="72">
        <v>988969</v>
      </c>
      <c r="W634" s="72">
        <v>471419</v>
      </c>
      <c r="X634" s="72">
        <v>944541</v>
      </c>
      <c r="Y634" s="72">
        <v>0</v>
      </c>
      <c r="Z634" s="72">
        <v>0</v>
      </c>
      <c r="AA634" s="72">
        <v>0</v>
      </c>
      <c r="AB634" s="72">
        <v>0</v>
      </c>
      <c r="AC634" s="72">
        <v>0</v>
      </c>
      <c r="AD634" s="72">
        <v>0</v>
      </c>
      <c r="AE634" s="72">
        <v>0</v>
      </c>
      <c r="AF634" s="72">
        <v>0</v>
      </c>
      <c r="AG634" s="72">
        <v>210985</v>
      </c>
      <c r="AH634" s="72">
        <v>10379677</v>
      </c>
      <c r="AI634" s="72">
        <v>125000</v>
      </c>
      <c r="AJ634" s="72">
        <v>700000</v>
      </c>
      <c r="AK634" s="72">
        <v>2000</v>
      </c>
      <c r="AL634" s="72">
        <v>827000</v>
      </c>
      <c r="AM634" s="72">
        <v>11206677</v>
      </c>
      <c r="AN634" s="72">
        <v>1600133</v>
      </c>
      <c r="AO634" s="72">
        <v>21901598</v>
      </c>
      <c r="AP634" s="72">
        <v>23501731</v>
      </c>
      <c r="AQ634" s="72">
        <v>800000</v>
      </c>
      <c r="AR634" s="72">
        <v>0</v>
      </c>
      <c r="AS634" s="72">
        <v>0</v>
      </c>
      <c r="AT634" s="72">
        <v>223362</v>
      </c>
      <c r="AU634" s="72">
        <v>0</v>
      </c>
      <c r="AV634" s="72">
        <v>0</v>
      </c>
      <c r="AW634" s="72">
        <v>0</v>
      </c>
      <c r="AX634" s="72">
        <v>0</v>
      </c>
      <c r="AY634" s="72">
        <v>0</v>
      </c>
      <c r="AZ634" s="72">
        <v>223362</v>
      </c>
      <c r="BA634" s="72">
        <v>22478369</v>
      </c>
      <c r="BB634" s="72">
        <v>0</v>
      </c>
      <c r="BC634" s="72">
        <v>0</v>
      </c>
      <c r="BD634" s="72">
        <v>0</v>
      </c>
      <c r="BE634" s="72">
        <v>22478369</v>
      </c>
      <c r="BF634" s="72">
        <v>0</v>
      </c>
      <c r="BG634" s="72">
        <v>0</v>
      </c>
      <c r="BH634" s="72">
        <v>0</v>
      </c>
      <c r="BI634" s="72">
        <v>0</v>
      </c>
      <c r="BJ634" s="72">
        <v>22478369</v>
      </c>
      <c r="BK634" s="72">
        <v>0</v>
      </c>
      <c r="BL634" s="72">
        <v>597</v>
      </c>
      <c r="BM634" s="72">
        <v>0</v>
      </c>
      <c r="BN634" s="72">
        <v>0</v>
      </c>
      <c r="BO634" s="72">
        <v>0</v>
      </c>
      <c r="BP634" s="72">
        <v>0</v>
      </c>
      <c r="BQ634" s="72">
        <v>0</v>
      </c>
      <c r="BR634" s="72">
        <v>0</v>
      </c>
      <c r="BS634" s="72">
        <v>23501731</v>
      </c>
    </row>
    <row r="635" spans="1:71" x14ac:dyDescent="0.2">
      <c r="A635" t="s">
        <v>584</v>
      </c>
      <c r="B635" t="s">
        <v>1281</v>
      </c>
      <c r="C635" t="s">
        <v>53</v>
      </c>
      <c r="D635" s="72">
        <v>3908923</v>
      </c>
      <c r="E635" s="72">
        <v>342034</v>
      </c>
      <c r="F635" s="72">
        <v>0</v>
      </c>
      <c r="G635" s="72">
        <v>7327689</v>
      </c>
      <c r="H635" s="72">
        <v>2584607</v>
      </c>
      <c r="I635" s="72">
        <v>0</v>
      </c>
      <c r="J635" s="72">
        <v>600134</v>
      </c>
      <c r="K635" s="72">
        <v>221056</v>
      </c>
      <c r="L635" s="72">
        <v>14984443</v>
      </c>
      <c r="M635" s="72">
        <v>0</v>
      </c>
      <c r="N635" s="72">
        <v>0</v>
      </c>
      <c r="O635" s="72">
        <v>0</v>
      </c>
      <c r="P635" s="72">
        <v>75000</v>
      </c>
      <c r="Q635" s="72">
        <v>24000</v>
      </c>
      <c r="R635" s="72">
        <v>99000</v>
      </c>
      <c r="S635" s="72">
        <v>15083443</v>
      </c>
      <c r="T635" s="72">
        <v>8804279</v>
      </c>
      <c r="U635" s="72">
        <v>3477246</v>
      </c>
      <c r="V635" s="72">
        <v>1492674</v>
      </c>
      <c r="W635" s="72">
        <v>561211</v>
      </c>
      <c r="X635" s="72">
        <v>0</v>
      </c>
      <c r="Y635" s="72">
        <v>0</v>
      </c>
      <c r="Z635" s="72">
        <v>0</v>
      </c>
      <c r="AA635" s="72">
        <v>250000</v>
      </c>
      <c r="AB635" s="72">
        <v>0</v>
      </c>
      <c r="AC635" s="72">
        <v>0</v>
      </c>
      <c r="AD635" s="72">
        <v>60000</v>
      </c>
      <c r="AE635" s="72">
        <v>0</v>
      </c>
      <c r="AF635" s="72">
        <v>535584</v>
      </c>
      <c r="AG635" s="72">
        <v>200764</v>
      </c>
      <c r="AH635" s="72">
        <v>15381758</v>
      </c>
      <c r="AI635" s="72">
        <v>600000</v>
      </c>
      <c r="AJ635" s="72">
        <v>100000</v>
      </c>
      <c r="AK635" s="72">
        <v>0</v>
      </c>
      <c r="AL635" s="72">
        <v>700000</v>
      </c>
      <c r="AM635" s="72">
        <v>16081758</v>
      </c>
      <c r="AN635" s="72">
        <v>-998315</v>
      </c>
      <c r="AO635" s="72">
        <v>8287518</v>
      </c>
      <c r="AP635" s="72">
        <v>7289203</v>
      </c>
      <c r="AQ635" s="72">
        <v>300000</v>
      </c>
      <c r="AR635" s="72">
        <v>0</v>
      </c>
      <c r="AS635" s="72">
        <v>0</v>
      </c>
      <c r="AT635" s="72">
        <v>0</v>
      </c>
      <c r="AU635" s="72">
        <v>0</v>
      </c>
      <c r="AV635" s="72">
        <v>0</v>
      </c>
      <c r="AW635" s="72">
        <v>0</v>
      </c>
      <c r="AX635" s="72">
        <v>0</v>
      </c>
      <c r="AY635" s="72">
        <v>0</v>
      </c>
      <c r="AZ635" s="72">
        <v>0</v>
      </c>
      <c r="BA635" s="72">
        <v>6989203</v>
      </c>
      <c r="BB635" s="72">
        <v>0</v>
      </c>
      <c r="BC635" s="72">
        <v>0</v>
      </c>
      <c r="BD635" s="72">
        <v>0</v>
      </c>
      <c r="BE635" s="72">
        <v>6989203</v>
      </c>
      <c r="BF635" s="72">
        <v>0</v>
      </c>
      <c r="BG635" s="72">
        <v>0</v>
      </c>
      <c r="BH635" s="72">
        <v>0</v>
      </c>
      <c r="BI635" s="72">
        <v>0</v>
      </c>
      <c r="BJ635" s="72">
        <v>6989203</v>
      </c>
      <c r="BM635" s="72">
        <v>0</v>
      </c>
      <c r="BN635" s="72">
        <v>0</v>
      </c>
      <c r="BO635" s="72">
        <v>0</v>
      </c>
      <c r="BP635" s="72">
        <v>0</v>
      </c>
      <c r="BQ635" s="72">
        <v>0</v>
      </c>
      <c r="BR635" s="72">
        <v>0</v>
      </c>
      <c r="BS635" s="72">
        <v>16081758</v>
      </c>
    </row>
    <row r="636" spans="1:71" x14ac:dyDescent="0.2">
      <c r="A636" t="s">
        <v>580</v>
      </c>
      <c r="B636" t="s">
        <v>1277</v>
      </c>
      <c r="C636" t="s">
        <v>69</v>
      </c>
      <c r="D636" s="72">
        <v>4198344</v>
      </c>
      <c r="E636" s="72">
        <v>775680</v>
      </c>
      <c r="F636" s="72">
        <v>0</v>
      </c>
      <c r="G636" s="72">
        <v>7430099</v>
      </c>
      <c r="H636" s="72">
        <v>2270006</v>
      </c>
      <c r="I636" s="72">
        <v>0</v>
      </c>
      <c r="J636" s="72">
        <v>695545</v>
      </c>
      <c r="K636" s="72">
        <v>293521</v>
      </c>
      <c r="L636" s="72">
        <v>15663195</v>
      </c>
      <c r="M636" s="72">
        <v>0</v>
      </c>
      <c r="N636" s="72">
        <v>0</v>
      </c>
      <c r="O636" s="72">
        <v>0</v>
      </c>
      <c r="P636" s="72">
        <v>50005</v>
      </c>
      <c r="Q636" s="72">
        <v>175000</v>
      </c>
      <c r="R636" s="72">
        <v>225005</v>
      </c>
      <c r="S636" s="72">
        <v>15888200</v>
      </c>
      <c r="T636" s="72">
        <v>8109180</v>
      </c>
      <c r="U636" s="72">
        <v>3084988</v>
      </c>
      <c r="V636" s="72">
        <v>1676873</v>
      </c>
      <c r="W636" s="72">
        <v>839663</v>
      </c>
      <c r="X636" s="72">
        <v>625047</v>
      </c>
      <c r="Y636" s="72">
        <v>0</v>
      </c>
      <c r="Z636" s="72">
        <v>0</v>
      </c>
      <c r="AA636" s="72">
        <v>0</v>
      </c>
      <c r="AB636" s="72">
        <v>0</v>
      </c>
      <c r="AC636" s="72">
        <v>0</v>
      </c>
      <c r="AD636" s="72">
        <v>0</v>
      </c>
      <c r="AE636" s="72">
        <v>272886</v>
      </c>
      <c r="AF636" s="72">
        <v>0</v>
      </c>
      <c r="AG636" s="72">
        <v>118690</v>
      </c>
      <c r="AH636" s="72">
        <v>14727327</v>
      </c>
      <c r="AI636" s="72">
        <v>623015</v>
      </c>
      <c r="AJ636" s="72">
        <v>110000</v>
      </c>
      <c r="AK636" s="72">
        <v>0</v>
      </c>
      <c r="AL636" s="72">
        <v>733015</v>
      </c>
      <c r="AM636" s="72">
        <v>15460342</v>
      </c>
      <c r="AN636" s="72">
        <v>427858</v>
      </c>
      <c r="AO636" s="72">
        <v>8290273</v>
      </c>
      <c r="AP636" s="72">
        <v>8718131</v>
      </c>
      <c r="AQ636" s="72">
        <v>310000</v>
      </c>
      <c r="AR636" s="72">
        <v>0</v>
      </c>
      <c r="AS636" s="72">
        <v>0</v>
      </c>
      <c r="AT636" s="72">
        <v>0</v>
      </c>
      <c r="AU636" s="72">
        <v>0</v>
      </c>
      <c r="AV636" s="72">
        <v>0</v>
      </c>
      <c r="AW636" s="72">
        <v>0</v>
      </c>
      <c r="AX636" s="72">
        <v>0</v>
      </c>
      <c r="AY636" s="72">
        <v>0</v>
      </c>
      <c r="AZ636" s="72">
        <v>0</v>
      </c>
      <c r="BA636" s="72">
        <v>8408131</v>
      </c>
      <c r="BB636" s="72">
        <v>0</v>
      </c>
      <c r="BC636" s="72">
        <v>0</v>
      </c>
      <c r="BD636" s="72">
        <v>0</v>
      </c>
      <c r="BE636" s="72">
        <v>8408131</v>
      </c>
      <c r="BF636" s="72">
        <v>0</v>
      </c>
      <c r="BG636" s="72">
        <v>0</v>
      </c>
      <c r="BH636" s="72">
        <v>0</v>
      </c>
      <c r="BI636" s="72">
        <v>0</v>
      </c>
      <c r="BJ636" s="72">
        <v>8408131</v>
      </c>
      <c r="BM636" s="72">
        <v>0</v>
      </c>
      <c r="BN636" s="72">
        <v>0</v>
      </c>
      <c r="BO636" s="72">
        <v>0</v>
      </c>
      <c r="BP636" s="72">
        <v>0</v>
      </c>
      <c r="BQ636" s="72">
        <v>0</v>
      </c>
      <c r="BR636" s="72">
        <v>0</v>
      </c>
      <c r="BS636" s="72">
        <v>15888200</v>
      </c>
    </row>
    <row r="637" spans="1:71" x14ac:dyDescent="0.2">
      <c r="A637" t="s">
        <v>712</v>
      </c>
      <c r="B637" t="s">
        <v>1402</v>
      </c>
      <c r="C637" t="s">
        <v>37</v>
      </c>
      <c r="D637" s="72">
        <v>3986131</v>
      </c>
      <c r="E637" s="72">
        <v>0</v>
      </c>
      <c r="F637" s="72">
        <v>0</v>
      </c>
      <c r="G637" s="72">
        <v>8577877</v>
      </c>
      <c r="H637" s="72">
        <v>0</v>
      </c>
      <c r="J637" s="72">
        <v>565344</v>
      </c>
      <c r="K637" s="72">
        <v>506945</v>
      </c>
      <c r="L637" s="72">
        <v>13636297</v>
      </c>
      <c r="M637" s="72">
        <v>0</v>
      </c>
      <c r="N637" s="72">
        <v>0</v>
      </c>
      <c r="O637" s="72">
        <v>0</v>
      </c>
      <c r="P637" s="72">
        <v>113171</v>
      </c>
      <c r="Q637" s="72">
        <v>0</v>
      </c>
      <c r="R637" s="72">
        <v>113171</v>
      </c>
      <c r="S637" s="72">
        <v>13749468</v>
      </c>
      <c r="T637" s="72">
        <v>6634607</v>
      </c>
      <c r="U637" s="72">
        <v>2242269</v>
      </c>
      <c r="V637" s="72">
        <v>1470666</v>
      </c>
      <c r="W637" s="72">
        <v>974305</v>
      </c>
      <c r="X637" s="72">
        <v>200000</v>
      </c>
      <c r="Y637" s="72">
        <v>0</v>
      </c>
      <c r="Z637" s="72">
        <v>0</v>
      </c>
      <c r="AA637" s="72">
        <v>0</v>
      </c>
      <c r="AB637" s="72">
        <v>0</v>
      </c>
      <c r="AC637" s="72">
        <v>0</v>
      </c>
      <c r="AD637" s="72">
        <v>0</v>
      </c>
      <c r="AE637" s="72">
        <v>0</v>
      </c>
      <c r="AF637" s="72">
        <v>0</v>
      </c>
      <c r="AG637" s="72">
        <v>224263</v>
      </c>
      <c r="AH637" s="72">
        <v>11746110</v>
      </c>
      <c r="AI637" s="72">
        <v>1209321</v>
      </c>
      <c r="AJ637" s="72">
        <v>100000</v>
      </c>
      <c r="AK637" s="72">
        <v>0</v>
      </c>
      <c r="AL637" s="72">
        <v>1309321</v>
      </c>
      <c r="AM637" s="72">
        <v>13055431</v>
      </c>
      <c r="AN637" s="72">
        <v>694037</v>
      </c>
      <c r="AO637" s="72">
        <v>5460029</v>
      </c>
      <c r="AP637" s="72">
        <v>6154066</v>
      </c>
      <c r="AQ637" s="72">
        <v>700000</v>
      </c>
      <c r="AR637" s="72">
        <v>0</v>
      </c>
      <c r="AS637" s="72">
        <v>0</v>
      </c>
      <c r="AT637" s="72">
        <v>0</v>
      </c>
      <c r="AU637" s="72">
        <v>0</v>
      </c>
      <c r="AW637" s="72">
        <v>0</v>
      </c>
      <c r="AX637" s="72">
        <v>0</v>
      </c>
      <c r="AY637" s="72">
        <v>0</v>
      </c>
      <c r="AZ637" s="72">
        <v>0</v>
      </c>
      <c r="BA637" s="72">
        <v>5454066</v>
      </c>
      <c r="BB637" s="72">
        <v>0</v>
      </c>
      <c r="BC637" s="72">
        <v>0</v>
      </c>
      <c r="BD637" s="72">
        <v>0</v>
      </c>
      <c r="BE637" s="72">
        <v>5454066</v>
      </c>
      <c r="BF637" s="72">
        <v>0</v>
      </c>
      <c r="BG637" s="72">
        <v>0</v>
      </c>
      <c r="BH637" s="72">
        <v>0</v>
      </c>
      <c r="BI637" s="72">
        <v>0</v>
      </c>
      <c r="BJ637" s="72">
        <v>5454066</v>
      </c>
      <c r="BK637" s="72">
        <v>0</v>
      </c>
      <c r="BL637" s="72">
        <v>868</v>
      </c>
      <c r="BS637" s="72">
        <v>13749468</v>
      </c>
    </row>
    <row r="638" spans="1:71" x14ac:dyDescent="0.2">
      <c r="A638" t="s">
        <v>722</v>
      </c>
      <c r="B638" t="s">
        <v>1412</v>
      </c>
      <c r="C638" t="s">
        <v>27</v>
      </c>
      <c r="D638" s="72">
        <v>6960805</v>
      </c>
      <c r="E638" s="72">
        <v>946386</v>
      </c>
      <c r="F638" s="72">
        <v>0</v>
      </c>
      <c r="G638" s="72">
        <v>4610447</v>
      </c>
      <c r="H638" s="72">
        <v>0</v>
      </c>
      <c r="I638" s="72">
        <v>0</v>
      </c>
      <c r="J638" s="72">
        <v>1510845</v>
      </c>
      <c r="K638" s="72">
        <v>833858</v>
      </c>
      <c r="L638" s="72">
        <v>14862341</v>
      </c>
      <c r="M638" s="72">
        <v>0</v>
      </c>
      <c r="N638" s="72">
        <v>0</v>
      </c>
      <c r="O638" s="72">
        <v>0</v>
      </c>
      <c r="P638" s="72">
        <v>550000</v>
      </c>
      <c r="Q638" s="72">
        <v>7500</v>
      </c>
      <c r="R638" s="72">
        <v>557500</v>
      </c>
      <c r="S638" s="72">
        <v>15419841</v>
      </c>
      <c r="T638" s="72">
        <v>7105261</v>
      </c>
      <c r="U638" s="72">
        <v>2371103</v>
      </c>
      <c r="V638" s="72">
        <v>1919396</v>
      </c>
      <c r="W638" s="72">
        <v>467895</v>
      </c>
      <c r="X638" s="72">
        <v>311591</v>
      </c>
      <c r="Y638" s="72">
        <v>0</v>
      </c>
      <c r="Z638" s="72">
        <v>0</v>
      </c>
      <c r="AA638" s="72">
        <v>0</v>
      </c>
      <c r="AB638" s="72">
        <v>0</v>
      </c>
      <c r="AC638" s="72">
        <v>0</v>
      </c>
      <c r="AD638" s="72">
        <v>70000</v>
      </c>
      <c r="AE638" s="72">
        <v>0</v>
      </c>
      <c r="AF638" s="72">
        <v>33840</v>
      </c>
      <c r="AG638" s="72">
        <v>208749</v>
      </c>
      <c r="AH638" s="72">
        <v>12487835</v>
      </c>
      <c r="AI638" s="72">
        <v>800000</v>
      </c>
      <c r="AJ638" s="72">
        <v>550000</v>
      </c>
      <c r="AK638" s="72">
        <v>0</v>
      </c>
      <c r="AL638" s="72">
        <v>1350000</v>
      </c>
      <c r="AM638" s="72">
        <v>13837835</v>
      </c>
      <c r="AN638" s="72">
        <v>1582006</v>
      </c>
      <c r="AO638" s="72">
        <v>8831518</v>
      </c>
      <c r="AP638" s="72">
        <v>10413524</v>
      </c>
      <c r="AQ638" s="72">
        <v>300000</v>
      </c>
      <c r="AR638" s="72">
        <v>0</v>
      </c>
      <c r="AS638" s="72">
        <v>0</v>
      </c>
      <c r="AT638" s="72">
        <v>0</v>
      </c>
      <c r="AU638" s="72">
        <v>0</v>
      </c>
      <c r="AV638" s="72">
        <v>0</v>
      </c>
      <c r="AW638" s="72">
        <v>0</v>
      </c>
      <c r="AX638" s="72">
        <v>0</v>
      </c>
      <c r="AY638" s="72">
        <v>0</v>
      </c>
      <c r="AZ638" s="72">
        <v>0</v>
      </c>
      <c r="BA638" s="72">
        <v>10113524</v>
      </c>
      <c r="BB638" s="72">
        <v>0</v>
      </c>
      <c r="BC638" s="72">
        <v>0</v>
      </c>
      <c r="BD638" s="72">
        <v>0</v>
      </c>
      <c r="BE638" s="72">
        <v>10113524</v>
      </c>
      <c r="BF638" s="72">
        <v>0</v>
      </c>
      <c r="BG638" s="72">
        <v>0</v>
      </c>
      <c r="BH638" s="72">
        <v>0</v>
      </c>
      <c r="BI638" s="72">
        <v>0</v>
      </c>
      <c r="BJ638" s="72">
        <v>10113524</v>
      </c>
      <c r="BM638" s="72">
        <v>0</v>
      </c>
      <c r="BN638" s="72">
        <v>0</v>
      </c>
      <c r="BO638" s="72">
        <v>0</v>
      </c>
      <c r="BP638" s="72">
        <v>0</v>
      </c>
      <c r="BQ638" s="72">
        <v>0</v>
      </c>
      <c r="BR638" s="72">
        <v>0</v>
      </c>
      <c r="BS638" s="72">
        <v>15419841</v>
      </c>
    </row>
    <row r="639" spans="1:71" x14ac:dyDescent="0.2">
      <c r="A639" t="s">
        <v>622</v>
      </c>
      <c r="B639" t="s">
        <v>1318</v>
      </c>
      <c r="C639" t="s">
        <v>98</v>
      </c>
      <c r="D639" s="72">
        <v>1879764</v>
      </c>
      <c r="E639" s="72">
        <v>168</v>
      </c>
      <c r="F639" s="72">
        <v>0</v>
      </c>
      <c r="G639" s="72">
        <v>3115722</v>
      </c>
      <c r="H639" s="72">
        <v>1095956</v>
      </c>
      <c r="I639" s="72">
        <v>0</v>
      </c>
      <c r="J639" s="72">
        <v>347286</v>
      </c>
      <c r="K639" s="72">
        <v>159325</v>
      </c>
      <c r="L639" s="72">
        <v>6598221</v>
      </c>
      <c r="M639" s="72">
        <v>0</v>
      </c>
      <c r="N639" s="72">
        <v>0</v>
      </c>
      <c r="O639" s="72">
        <v>25000</v>
      </c>
      <c r="P639" s="72">
        <v>75000</v>
      </c>
      <c r="Q639" s="72">
        <v>15000</v>
      </c>
      <c r="R639" s="72">
        <v>115000</v>
      </c>
      <c r="S639" s="72">
        <v>6713221</v>
      </c>
      <c r="T639" s="72">
        <v>3508746</v>
      </c>
      <c r="U639" s="72">
        <v>1630404</v>
      </c>
      <c r="V639" s="72">
        <v>643323</v>
      </c>
      <c r="W639" s="72">
        <v>523597</v>
      </c>
      <c r="X639" s="72">
        <v>215000</v>
      </c>
      <c r="Y639" s="72">
        <v>0</v>
      </c>
      <c r="Z639" s="72">
        <v>0</v>
      </c>
      <c r="AA639" s="72">
        <v>0</v>
      </c>
      <c r="AB639" s="72">
        <v>0</v>
      </c>
      <c r="AC639" s="72">
        <v>0</v>
      </c>
      <c r="AD639" s="72">
        <v>0</v>
      </c>
      <c r="AE639" s="72">
        <v>0</v>
      </c>
      <c r="AF639" s="72">
        <v>0</v>
      </c>
      <c r="AG639" s="72">
        <v>164000</v>
      </c>
      <c r="AH639" s="72">
        <v>6685069</v>
      </c>
      <c r="AI639" s="72">
        <v>55000</v>
      </c>
      <c r="AJ639" s="72">
        <v>75000</v>
      </c>
      <c r="AK639" s="72">
        <v>0</v>
      </c>
      <c r="AL639" s="72">
        <v>130000</v>
      </c>
      <c r="AM639" s="72">
        <v>6815069</v>
      </c>
      <c r="AN639" s="72">
        <v>-101848</v>
      </c>
      <c r="AO639" s="72">
        <v>2354381</v>
      </c>
      <c r="AP639" s="72">
        <v>2252533</v>
      </c>
      <c r="AQ639" s="72">
        <v>100000</v>
      </c>
      <c r="AR639" s="72">
        <v>0</v>
      </c>
      <c r="AS639" s="72">
        <v>0</v>
      </c>
      <c r="AT639" s="72">
        <v>0</v>
      </c>
      <c r="AU639" s="72">
        <v>0</v>
      </c>
      <c r="AV639" s="72">
        <v>0</v>
      </c>
      <c r="AW639" s="72">
        <v>0</v>
      </c>
      <c r="AX639" s="72">
        <v>0</v>
      </c>
      <c r="AY639" s="72">
        <v>0</v>
      </c>
      <c r="AZ639" s="72">
        <v>0</v>
      </c>
      <c r="BA639" s="72">
        <v>2152533</v>
      </c>
      <c r="BB639" s="72">
        <v>0</v>
      </c>
      <c r="BC639" s="72">
        <v>0</v>
      </c>
      <c r="BD639" s="72">
        <v>0</v>
      </c>
      <c r="BE639" s="72">
        <v>2152533</v>
      </c>
      <c r="BF639" s="72">
        <v>0</v>
      </c>
      <c r="BG639" s="72">
        <v>0</v>
      </c>
      <c r="BH639" s="72">
        <v>0</v>
      </c>
      <c r="BI639" s="72">
        <v>0</v>
      </c>
      <c r="BJ639" s="72">
        <v>2152533</v>
      </c>
      <c r="BK639" s="72">
        <v>522</v>
      </c>
      <c r="BL639" s="72">
        <v>0</v>
      </c>
      <c r="BM639" s="72">
        <v>0</v>
      </c>
      <c r="BN639" s="72">
        <v>0</v>
      </c>
      <c r="BO639" s="72">
        <v>0</v>
      </c>
      <c r="BP639" s="72">
        <v>0</v>
      </c>
      <c r="BQ639" s="72">
        <v>0</v>
      </c>
      <c r="BR639" s="72">
        <v>0</v>
      </c>
      <c r="BS639" s="72">
        <v>6815069</v>
      </c>
    </row>
    <row r="640" spans="1:71" x14ac:dyDescent="0.2">
      <c r="A640" t="s">
        <v>655</v>
      </c>
      <c r="B640" t="s">
        <v>1345</v>
      </c>
      <c r="C640" t="s">
        <v>108</v>
      </c>
      <c r="D640" s="72">
        <v>4891031</v>
      </c>
      <c r="E640" s="72">
        <v>0</v>
      </c>
      <c r="F640" s="72">
        <v>0</v>
      </c>
      <c r="G640" s="72">
        <v>4293656</v>
      </c>
      <c r="H640" s="72">
        <v>1045228</v>
      </c>
      <c r="I640" s="72">
        <v>0</v>
      </c>
      <c r="J640" s="72">
        <v>850000</v>
      </c>
      <c r="K640" s="72">
        <v>86399</v>
      </c>
      <c r="L640" s="72">
        <v>11166314</v>
      </c>
      <c r="M640" s="72">
        <v>0</v>
      </c>
      <c r="N640" s="72">
        <v>0</v>
      </c>
      <c r="O640" s="72">
        <v>35000</v>
      </c>
      <c r="P640" s="72">
        <v>85179</v>
      </c>
      <c r="Q640" s="72">
        <v>50000</v>
      </c>
      <c r="R640" s="72">
        <v>170179</v>
      </c>
      <c r="S640" s="72">
        <v>11336493</v>
      </c>
      <c r="T640" s="72">
        <v>6648482</v>
      </c>
      <c r="U640" s="72">
        <v>2385516</v>
      </c>
      <c r="V640" s="72">
        <v>999249</v>
      </c>
      <c r="W640" s="72">
        <v>503573</v>
      </c>
      <c r="X640" s="72">
        <v>321489</v>
      </c>
      <c r="Y640" s="72">
        <v>0</v>
      </c>
      <c r="Z640" s="72">
        <v>0</v>
      </c>
      <c r="AA640" s="72">
        <v>389000</v>
      </c>
      <c r="AB640" s="72">
        <v>0</v>
      </c>
      <c r="AC640" s="72">
        <v>0</v>
      </c>
      <c r="AD640" s="72">
        <v>0</v>
      </c>
      <c r="AE640" s="72">
        <v>0</v>
      </c>
      <c r="AF640" s="72">
        <v>92698</v>
      </c>
      <c r="AG640" s="72">
        <v>188250</v>
      </c>
      <c r="AH640" s="72">
        <v>11528256</v>
      </c>
      <c r="AI640" s="72">
        <v>150000</v>
      </c>
      <c r="AJ640" s="72">
        <v>0</v>
      </c>
      <c r="AK640" s="72">
        <v>0</v>
      </c>
      <c r="AL640" s="72">
        <v>150000</v>
      </c>
      <c r="AM640" s="72">
        <v>11678256</v>
      </c>
      <c r="AN640" s="72">
        <v>-341764</v>
      </c>
      <c r="AO640" s="72">
        <v>7767118</v>
      </c>
      <c r="AP640" s="72">
        <v>7425354</v>
      </c>
      <c r="AQ640" s="72">
        <v>0</v>
      </c>
      <c r="AR640" s="72">
        <v>0</v>
      </c>
      <c r="AS640" s="72">
        <v>0</v>
      </c>
      <c r="AT640" s="72">
        <v>0</v>
      </c>
      <c r="AU640" s="72">
        <v>0</v>
      </c>
      <c r="AV640" s="72">
        <v>0</v>
      </c>
      <c r="AW640" s="72">
        <v>0</v>
      </c>
      <c r="AX640" s="72">
        <v>0</v>
      </c>
      <c r="AY640" s="72">
        <v>0</v>
      </c>
      <c r="AZ640" s="72">
        <v>0</v>
      </c>
      <c r="BA640" s="72">
        <v>7425354</v>
      </c>
      <c r="BB640" s="72">
        <v>0</v>
      </c>
      <c r="BC640" s="72">
        <v>0</v>
      </c>
      <c r="BD640" s="72">
        <v>0</v>
      </c>
      <c r="BE640" s="72">
        <v>7425354</v>
      </c>
      <c r="BF640" s="72">
        <v>0</v>
      </c>
      <c r="BG640" s="72">
        <v>0</v>
      </c>
      <c r="BH640" s="72">
        <v>0</v>
      </c>
      <c r="BI640" s="72">
        <v>0</v>
      </c>
      <c r="BJ640" s="72">
        <v>7425354</v>
      </c>
      <c r="BK640" s="72">
        <v>0</v>
      </c>
      <c r="BL640" s="72">
        <v>0</v>
      </c>
      <c r="BM640" s="72">
        <v>0</v>
      </c>
      <c r="BN640" s="72">
        <v>0</v>
      </c>
      <c r="BO640" s="72">
        <v>0</v>
      </c>
      <c r="BP640" s="72">
        <v>0</v>
      </c>
      <c r="BQ640" s="72">
        <v>0</v>
      </c>
      <c r="BR640" s="72">
        <v>0</v>
      </c>
      <c r="BS640" s="72">
        <v>11678256</v>
      </c>
    </row>
    <row r="641" spans="1:71" x14ac:dyDescent="0.2">
      <c r="A641" t="s">
        <v>684</v>
      </c>
      <c r="B641" t="s">
        <v>1374</v>
      </c>
      <c r="C641" t="s">
        <v>85</v>
      </c>
      <c r="D641" s="72">
        <v>2640628</v>
      </c>
      <c r="E641" s="72">
        <v>529697</v>
      </c>
      <c r="F641" s="72">
        <v>0</v>
      </c>
      <c r="G641" s="72">
        <v>2448562</v>
      </c>
      <c r="H641" s="72">
        <v>940484</v>
      </c>
      <c r="I641" s="72">
        <v>0</v>
      </c>
      <c r="J641" s="72">
        <v>413756</v>
      </c>
      <c r="K641" s="72">
        <v>71515</v>
      </c>
      <c r="L641" s="72">
        <v>7044642</v>
      </c>
      <c r="M641" s="72">
        <v>0</v>
      </c>
      <c r="N641" s="72">
        <v>0</v>
      </c>
      <c r="O641" s="72">
        <v>0</v>
      </c>
      <c r="P641" s="72">
        <v>0</v>
      </c>
      <c r="Q641" s="72">
        <v>12000</v>
      </c>
      <c r="R641" s="72">
        <v>12000</v>
      </c>
      <c r="S641" s="72">
        <v>7056642</v>
      </c>
      <c r="T641" s="72">
        <v>3717515</v>
      </c>
      <c r="U641" s="72">
        <v>1370759</v>
      </c>
      <c r="V641" s="72">
        <v>581072</v>
      </c>
      <c r="W641" s="72">
        <v>318106</v>
      </c>
      <c r="X641" s="72">
        <v>288832</v>
      </c>
      <c r="Y641" s="72">
        <v>0</v>
      </c>
      <c r="Z641" s="72">
        <v>0</v>
      </c>
      <c r="AA641" s="72">
        <v>0</v>
      </c>
      <c r="AB641" s="72">
        <v>0</v>
      </c>
      <c r="AC641" s="72">
        <v>0</v>
      </c>
      <c r="AD641" s="72">
        <v>0</v>
      </c>
      <c r="AE641" s="72">
        <v>0</v>
      </c>
      <c r="AF641" s="72">
        <v>0</v>
      </c>
      <c r="AG641" s="72">
        <v>137295</v>
      </c>
      <c r="AH641" s="72">
        <v>6413579</v>
      </c>
      <c r="AI641" s="72">
        <v>229500</v>
      </c>
      <c r="AJ641" s="72">
        <v>90000</v>
      </c>
      <c r="AK641" s="72">
        <v>0</v>
      </c>
      <c r="AL641" s="72">
        <v>319500</v>
      </c>
      <c r="AM641" s="72">
        <v>6733079</v>
      </c>
      <c r="AN641" s="72">
        <v>323563</v>
      </c>
      <c r="AO641" s="72">
        <v>3579922</v>
      </c>
      <c r="AP641" s="72">
        <v>3903485</v>
      </c>
      <c r="AQ641" s="72">
        <v>150000</v>
      </c>
      <c r="AR641" s="72">
        <v>0</v>
      </c>
      <c r="AS641" s="72">
        <v>0</v>
      </c>
      <c r="AT641" s="72">
        <v>0</v>
      </c>
      <c r="AU641" s="72">
        <v>0</v>
      </c>
      <c r="AV641" s="72">
        <v>0</v>
      </c>
      <c r="AW641" s="72">
        <v>0</v>
      </c>
      <c r="AX641" s="72">
        <v>0</v>
      </c>
      <c r="AY641" s="72">
        <v>0</v>
      </c>
      <c r="AZ641" s="72">
        <v>0</v>
      </c>
      <c r="BA641" s="72">
        <v>3753485</v>
      </c>
      <c r="BB641" s="72">
        <v>0</v>
      </c>
      <c r="BC641" s="72">
        <v>0</v>
      </c>
      <c r="BD641" s="72">
        <v>0</v>
      </c>
      <c r="BE641" s="72">
        <v>3753485</v>
      </c>
      <c r="BF641" s="72">
        <v>0</v>
      </c>
      <c r="BG641" s="72">
        <v>0</v>
      </c>
      <c r="BH641" s="72">
        <v>0</v>
      </c>
      <c r="BI641" s="72">
        <v>0</v>
      </c>
      <c r="BJ641" s="72">
        <v>3753485</v>
      </c>
      <c r="BM641" s="72">
        <v>0</v>
      </c>
      <c r="BN641" s="72">
        <v>0</v>
      </c>
      <c r="BO641" s="72">
        <v>0</v>
      </c>
      <c r="BP641" s="72">
        <v>0</v>
      </c>
      <c r="BQ641" s="72">
        <v>0</v>
      </c>
      <c r="BR641" s="72">
        <v>0</v>
      </c>
      <c r="BS641" s="72">
        <v>7056642</v>
      </c>
    </row>
    <row r="642" spans="1:71" x14ac:dyDescent="0.2">
      <c r="A642" t="s">
        <v>693</v>
      </c>
      <c r="B642" t="s">
        <v>1383</v>
      </c>
      <c r="C642" t="s">
        <v>32</v>
      </c>
      <c r="D642" s="72">
        <v>4711142</v>
      </c>
      <c r="E642" s="72">
        <v>281349</v>
      </c>
      <c r="F642" s="72">
        <v>0</v>
      </c>
      <c r="G642" s="72">
        <v>6620717</v>
      </c>
      <c r="H642" s="72">
        <v>0</v>
      </c>
      <c r="I642" s="72">
        <v>0</v>
      </c>
      <c r="J642" s="72">
        <v>945599</v>
      </c>
      <c r="K642" s="72">
        <v>381141</v>
      </c>
      <c r="L642" s="72">
        <v>12939948</v>
      </c>
      <c r="M642" s="72">
        <v>0</v>
      </c>
      <c r="N642" s="72">
        <v>0</v>
      </c>
      <c r="O642" s="72">
        <v>0</v>
      </c>
      <c r="P642" s="72">
        <v>0</v>
      </c>
      <c r="Q642" s="72">
        <v>46348</v>
      </c>
      <c r="R642" s="72">
        <v>46348</v>
      </c>
      <c r="S642" s="72">
        <v>12986296</v>
      </c>
      <c r="T642" s="72">
        <v>7642034</v>
      </c>
      <c r="U642" s="72">
        <v>2841821</v>
      </c>
      <c r="V642" s="72">
        <v>1261337</v>
      </c>
      <c r="W642" s="72">
        <v>650032</v>
      </c>
      <c r="X642" s="72">
        <v>217411</v>
      </c>
      <c r="Y642" s="72">
        <v>0</v>
      </c>
      <c r="Z642" s="72">
        <v>0</v>
      </c>
      <c r="AA642" s="72">
        <v>0</v>
      </c>
      <c r="AB642" s="72">
        <v>0</v>
      </c>
      <c r="AC642" s="72">
        <v>0</v>
      </c>
      <c r="AD642" s="72">
        <v>0</v>
      </c>
      <c r="AE642" s="72">
        <v>180000</v>
      </c>
      <c r="AF642" s="72">
        <v>256414</v>
      </c>
      <c r="AG642" s="72">
        <v>180407</v>
      </c>
      <c r="AH642" s="72">
        <v>13229456</v>
      </c>
      <c r="AI642" s="72">
        <v>504930</v>
      </c>
      <c r="AJ642" s="72">
        <v>40000</v>
      </c>
      <c r="AK642" s="72">
        <v>0</v>
      </c>
      <c r="AL642" s="72">
        <v>544930</v>
      </c>
      <c r="AM642" s="72">
        <v>13774386</v>
      </c>
      <c r="AN642" s="72">
        <v>-788090</v>
      </c>
      <c r="AO642" s="72">
        <v>8064046</v>
      </c>
      <c r="AP642" s="72">
        <v>7275956</v>
      </c>
      <c r="AQ642" s="72">
        <v>90000</v>
      </c>
      <c r="AR642" s="72">
        <v>0</v>
      </c>
      <c r="AS642" s="72">
        <v>0</v>
      </c>
      <c r="AT642" s="72">
        <v>0</v>
      </c>
      <c r="AU642" s="72">
        <v>0</v>
      </c>
      <c r="AV642" s="72">
        <v>0</v>
      </c>
      <c r="AW642" s="72">
        <v>0</v>
      </c>
      <c r="AX642" s="72">
        <v>0</v>
      </c>
      <c r="AY642" s="72">
        <v>0</v>
      </c>
      <c r="AZ642" s="72">
        <v>0</v>
      </c>
      <c r="BA642" s="72">
        <v>7185956</v>
      </c>
      <c r="BB642" s="72">
        <v>0</v>
      </c>
      <c r="BC642" s="72">
        <v>0</v>
      </c>
      <c r="BD642" s="72">
        <v>0</v>
      </c>
      <c r="BE642" s="72">
        <v>7185956</v>
      </c>
      <c r="BF642" s="72">
        <v>0</v>
      </c>
      <c r="BG642" s="72">
        <v>0</v>
      </c>
      <c r="BH642" s="72">
        <v>0</v>
      </c>
      <c r="BI642" s="72">
        <v>0</v>
      </c>
      <c r="BJ642" s="72">
        <v>7185956</v>
      </c>
      <c r="BK642" s="72">
        <v>0</v>
      </c>
      <c r="BL642" s="72">
        <v>0</v>
      </c>
      <c r="BM642" s="72">
        <v>0</v>
      </c>
      <c r="BN642" s="72">
        <v>0</v>
      </c>
      <c r="BO642" s="72">
        <v>0</v>
      </c>
      <c r="BP642" s="72">
        <v>0</v>
      </c>
      <c r="BQ642" s="72">
        <v>0</v>
      </c>
      <c r="BR642" s="72">
        <v>0</v>
      </c>
      <c r="BS642" s="72">
        <v>13774386</v>
      </c>
    </row>
    <row r="643" spans="1:71" x14ac:dyDescent="0.2">
      <c r="A643" t="s">
        <v>188</v>
      </c>
      <c r="B643" t="s">
        <v>910</v>
      </c>
      <c r="C643" t="s">
        <v>70</v>
      </c>
      <c r="D643" s="72">
        <v>4300000</v>
      </c>
      <c r="E643" s="72">
        <v>0</v>
      </c>
      <c r="F643" s="72">
        <v>0</v>
      </c>
      <c r="G643" s="72">
        <v>6500000</v>
      </c>
      <c r="H643" s="72">
        <v>0</v>
      </c>
      <c r="I643" s="72">
        <v>0</v>
      </c>
      <c r="J643" s="72">
        <v>729000</v>
      </c>
      <c r="K643" s="72">
        <v>80000</v>
      </c>
      <c r="L643" s="72">
        <v>11609000</v>
      </c>
      <c r="M643" s="72">
        <v>0</v>
      </c>
      <c r="N643" s="72">
        <v>0</v>
      </c>
      <c r="O643" s="72">
        <v>0</v>
      </c>
      <c r="P643" s="72">
        <v>218000</v>
      </c>
      <c r="Q643" s="72">
        <v>0</v>
      </c>
      <c r="R643" s="72">
        <v>218000</v>
      </c>
      <c r="S643" s="72">
        <v>11827000</v>
      </c>
      <c r="T643" s="72">
        <v>6660000</v>
      </c>
      <c r="U643" s="72">
        <v>2942843</v>
      </c>
      <c r="V643" s="72">
        <v>861500</v>
      </c>
      <c r="W643" s="72">
        <v>1016200</v>
      </c>
      <c r="X643" s="72">
        <v>623500</v>
      </c>
      <c r="Y643" s="72">
        <v>0</v>
      </c>
      <c r="Z643" s="72">
        <v>0</v>
      </c>
      <c r="AA643" s="72">
        <v>0</v>
      </c>
      <c r="AB643" s="72">
        <v>0</v>
      </c>
      <c r="AC643" s="72">
        <v>0</v>
      </c>
      <c r="AD643" s="72">
        <v>0</v>
      </c>
      <c r="AE643" s="72">
        <v>0</v>
      </c>
      <c r="AF643" s="72">
        <v>0</v>
      </c>
      <c r="AG643" s="72">
        <v>156000</v>
      </c>
      <c r="AH643" s="72">
        <v>12260043</v>
      </c>
      <c r="AI643" s="72">
        <v>50000</v>
      </c>
      <c r="AJ643" s="72">
        <v>280000</v>
      </c>
      <c r="AK643" s="72">
        <v>0</v>
      </c>
      <c r="AL643" s="72">
        <v>330000</v>
      </c>
      <c r="AM643" s="72">
        <v>12590043</v>
      </c>
      <c r="AN643" s="72">
        <v>-763043</v>
      </c>
      <c r="AO643" s="72">
        <v>13245333</v>
      </c>
      <c r="AP643" s="72">
        <v>12482290</v>
      </c>
      <c r="AQ643" s="72">
        <v>200000</v>
      </c>
      <c r="AR643" s="72">
        <v>0</v>
      </c>
      <c r="AS643" s="72">
        <v>0</v>
      </c>
      <c r="AT643" s="72">
        <v>41084</v>
      </c>
      <c r="AU643" s="72">
        <v>0</v>
      </c>
      <c r="AV643" s="72">
        <v>0</v>
      </c>
      <c r="AW643" s="72">
        <v>0</v>
      </c>
      <c r="AX643" s="72">
        <v>0</v>
      </c>
      <c r="AY643" s="72">
        <v>0</v>
      </c>
      <c r="AZ643" s="72">
        <v>41084</v>
      </c>
      <c r="BA643" s="72">
        <v>12241206</v>
      </c>
      <c r="BB643" s="72">
        <v>0</v>
      </c>
      <c r="BC643" s="72">
        <v>0</v>
      </c>
      <c r="BD643" s="72">
        <v>0</v>
      </c>
      <c r="BE643" s="72">
        <v>12241206</v>
      </c>
      <c r="BF643" s="72">
        <v>0</v>
      </c>
      <c r="BG643" s="72">
        <v>0</v>
      </c>
      <c r="BH643" s="72">
        <v>0</v>
      </c>
      <c r="BI643" s="72">
        <v>0</v>
      </c>
      <c r="BJ643" s="72">
        <v>12241206</v>
      </c>
      <c r="BK643" s="72">
        <v>0</v>
      </c>
      <c r="BL643" s="72">
        <v>1353</v>
      </c>
      <c r="BM643" s="72">
        <v>0</v>
      </c>
      <c r="BN643" s="72">
        <v>0</v>
      </c>
      <c r="BO643" s="72">
        <v>0</v>
      </c>
      <c r="BP643" s="72">
        <v>0</v>
      </c>
      <c r="BQ643" s="72">
        <v>0</v>
      </c>
      <c r="BR643" s="72">
        <v>0</v>
      </c>
      <c r="BS643" s="72">
        <v>13245333</v>
      </c>
    </row>
    <row r="644" spans="1:71" x14ac:dyDescent="0.2">
      <c r="A644" t="s">
        <v>714</v>
      </c>
      <c r="B644" t="s">
        <v>1404</v>
      </c>
      <c r="C644" t="s">
        <v>101</v>
      </c>
      <c r="D644" s="72">
        <v>2357923</v>
      </c>
      <c r="E644" s="72">
        <v>190091</v>
      </c>
      <c r="F644" s="72">
        <v>0</v>
      </c>
      <c r="G644" s="72">
        <v>2489266</v>
      </c>
      <c r="H644" s="72">
        <v>1268029</v>
      </c>
      <c r="I644" s="72">
        <v>0</v>
      </c>
      <c r="J644" s="72">
        <v>352333</v>
      </c>
      <c r="K644" s="72">
        <v>570676</v>
      </c>
      <c r="L644" s="72">
        <v>7228318</v>
      </c>
      <c r="M644" s="72">
        <v>0</v>
      </c>
      <c r="N644" s="72">
        <v>0</v>
      </c>
      <c r="O644" s="72">
        <v>0</v>
      </c>
      <c r="P644" s="72">
        <v>100000</v>
      </c>
      <c r="Q644" s="72">
        <v>7000</v>
      </c>
      <c r="R644" s="72">
        <v>107000</v>
      </c>
      <c r="S644" s="72">
        <v>7335318</v>
      </c>
      <c r="T644" s="72">
        <v>3572402</v>
      </c>
      <c r="U644" s="72">
        <v>1658583</v>
      </c>
      <c r="V644" s="72">
        <v>576000</v>
      </c>
      <c r="W644" s="72">
        <v>350016</v>
      </c>
      <c r="X644" s="72">
        <v>10000</v>
      </c>
      <c r="Y644" s="72">
        <v>0</v>
      </c>
      <c r="Z644" s="72">
        <v>0</v>
      </c>
      <c r="AA644" s="72">
        <v>0</v>
      </c>
      <c r="AB644" s="72">
        <v>0</v>
      </c>
      <c r="AC644" s="72">
        <v>0</v>
      </c>
      <c r="AD644" s="72">
        <v>0</v>
      </c>
      <c r="AE644" s="72">
        <v>0</v>
      </c>
      <c r="AF644" s="72">
        <v>0</v>
      </c>
      <c r="AG644" s="72">
        <v>147289</v>
      </c>
      <c r="AH644" s="72">
        <v>6314290</v>
      </c>
      <c r="AI644" s="72">
        <v>311240</v>
      </c>
      <c r="AJ644" s="72">
        <v>100000</v>
      </c>
      <c r="AK644" s="72">
        <v>0</v>
      </c>
      <c r="AL644" s="72">
        <v>411240</v>
      </c>
      <c r="AM644" s="72">
        <v>6725530</v>
      </c>
      <c r="AN644" s="72">
        <v>609788</v>
      </c>
      <c r="AO644" s="72">
        <v>4540255</v>
      </c>
      <c r="AP644" s="72">
        <v>5150043</v>
      </c>
      <c r="AQ644" s="72">
        <v>0</v>
      </c>
      <c r="AR644" s="72">
        <v>0</v>
      </c>
      <c r="AS644" s="72">
        <v>0</v>
      </c>
      <c r="AT644" s="72">
        <v>0</v>
      </c>
      <c r="AU644" s="72">
        <v>0</v>
      </c>
      <c r="AV644" s="72">
        <v>0</v>
      </c>
      <c r="AW644" s="72">
        <v>0</v>
      </c>
      <c r="AX644" s="72">
        <v>0</v>
      </c>
      <c r="AY644" s="72">
        <v>0</v>
      </c>
      <c r="AZ644" s="72">
        <v>0</v>
      </c>
      <c r="BA644" s="72">
        <v>5150043</v>
      </c>
      <c r="BB644" s="72">
        <v>0</v>
      </c>
      <c r="BC644" s="72">
        <v>0</v>
      </c>
      <c r="BD644" s="72">
        <v>0</v>
      </c>
      <c r="BE644" s="72">
        <v>5150043</v>
      </c>
      <c r="BF644" s="72">
        <v>0</v>
      </c>
      <c r="BG644" s="72">
        <v>0</v>
      </c>
      <c r="BH644" s="72">
        <v>0</v>
      </c>
      <c r="BI644" s="72">
        <v>0</v>
      </c>
      <c r="BJ644" s="72">
        <v>5150043</v>
      </c>
      <c r="BK644" s="72">
        <v>0</v>
      </c>
      <c r="BL644" s="72">
        <v>0</v>
      </c>
      <c r="BM644" s="72">
        <v>0</v>
      </c>
      <c r="BN644" s="72">
        <v>0</v>
      </c>
      <c r="BO644" s="72">
        <v>0</v>
      </c>
      <c r="BP644" s="72">
        <v>0</v>
      </c>
      <c r="BQ644" s="72">
        <v>0</v>
      </c>
      <c r="BR644" s="72">
        <v>0</v>
      </c>
      <c r="BS644" s="72">
        <v>7335318</v>
      </c>
    </row>
    <row r="645" spans="1:71" x14ac:dyDescent="0.2">
      <c r="A645" t="s">
        <v>725</v>
      </c>
      <c r="B645" t="s">
        <v>1415</v>
      </c>
      <c r="C645" t="s">
        <v>76</v>
      </c>
      <c r="D645" s="72">
        <v>1607241</v>
      </c>
      <c r="E645" s="72">
        <v>360220</v>
      </c>
      <c r="F645" s="72">
        <v>0</v>
      </c>
      <c r="G645" s="72">
        <v>2293177</v>
      </c>
      <c r="H645" s="72">
        <v>839708</v>
      </c>
      <c r="I645" s="72">
        <v>0</v>
      </c>
      <c r="J645" s="72">
        <v>313034</v>
      </c>
      <c r="K645" s="72">
        <v>172229</v>
      </c>
      <c r="L645" s="72">
        <v>5585609</v>
      </c>
      <c r="M645" s="72">
        <v>0</v>
      </c>
      <c r="N645" s="72">
        <v>0</v>
      </c>
      <c r="O645" s="72">
        <v>70000</v>
      </c>
      <c r="P645" s="72">
        <v>20000</v>
      </c>
      <c r="Q645" s="72">
        <v>12500</v>
      </c>
      <c r="R645" s="72">
        <v>102500</v>
      </c>
      <c r="S645" s="72">
        <v>5688109</v>
      </c>
      <c r="T645" s="72">
        <v>2689853</v>
      </c>
      <c r="U645" s="72">
        <v>1335627</v>
      </c>
      <c r="V645" s="72">
        <v>717316</v>
      </c>
      <c r="W645" s="72">
        <v>400833</v>
      </c>
      <c r="X645" s="72">
        <v>121779</v>
      </c>
      <c r="Y645" s="72">
        <v>0</v>
      </c>
      <c r="Z645" s="72">
        <v>0</v>
      </c>
      <c r="AA645" s="72">
        <v>0</v>
      </c>
      <c r="AB645" s="72">
        <v>0</v>
      </c>
      <c r="AC645" s="72">
        <v>0</v>
      </c>
      <c r="AD645" s="72">
        <v>122443</v>
      </c>
      <c r="AE645" s="72">
        <v>68249</v>
      </c>
      <c r="AF645" s="72">
        <v>44255</v>
      </c>
      <c r="AG645" s="72">
        <v>96630</v>
      </c>
      <c r="AH645" s="72">
        <v>5596985</v>
      </c>
      <c r="AI645" s="72">
        <v>130000</v>
      </c>
      <c r="AJ645" s="72">
        <v>20000</v>
      </c>
      <c r="AK645" s="72">
        <v>0</v>
      </c>
      <c r="AL645" s="72">
        <v>150000</v>
      </c>
      <c r="AM645" s="72">
        <v>5746985</v>
      </c>
      <c r="AN645" s="72">
        <v>-58876</v>
      </c>
      <c r="AO645" s="72">
        <v>3287760</v>
      </c>
      <c r="AP645" s="72">
        <v>3228884</v>
      </c>
      <c r="AQ645" s="72">
        <v>75000</v>
      </c>
      <c r="AR645" s="72">
        <v>0</v>
      </c>
      <c r="AS645" s="72">
        <v>70000</v>
      </c>
      <c r="AT645" s="72">
        <v>98182</v>
      </c>
      <c r="AU645" s="72">
        <v>0</v>
      </c>
      <c r="AV645" s="72">
        <v>0</v>
      </c>
      <c r="AW645" s="72">
        <v>0</v>
      </c>
      <c r="AX645" s="72">
        <v>0</v>
      </c>
      <c r="AY645" s="72">
        <v>0</v>
      </c>
      <c r="AZ645" s="72">
        <v>168182</v>
      </c>
      <c r="BA645" s="72">
        <v>2985702</v>
      </c>
      <c r="BB645" s="72">
        <v>0</v>
      </c>
      <c r="BC645" s="72">
        <v>0</v>
      </c>
      <c r="BD645" s="72">
        <v>0</v>
      </c>
      <c r="BE645" s="72">
        <v>2985702</v>
      </c>
      <c r="BF645" s="72">
        <v>0</v>
      </c>
      <c r="BG645" s="72">
        <v>0</v>
      </c>
      <c r="BH645" s="72">
        <v>0</v>
      </c>
      <c r="BI645" s="72">
        <v>0</v>
      </c>
      <c r="BJ645" s="72">
        <v>2985702</v>
      </c>
      <c r="BM645" s="72">
        <v>0</v>
      </c>
      <c r="BN645" s="72">
        <v>0</v>
      </c>
      <c r="BO645" s="72">
        <v>0</v>
      </c>
      <c r="BP645" s="72">
        <v>0</v>
      </c>
      <c r="BQ645" s="72">
        <v>0</v>
      </c>
      <c r="BR645" s="72">
        <v>0</v>
      </c>
      <c r="BS645" s="72">
        <v>5746985</v>
      </c>
    </row>
    <row r="646" spans="1:71" x14ac:dyDescent="0.2">
      <c r="A646" t="s">
        <v>732</v>
      </c>
      <c r="B646" t="s">
        <v>97</v>
      </c>
      <c r="C646" t="s">
        <v>79</v>
      </c>
      <c r="D646" s="72">
        <v>3994000</v>
      </c>
      <c r="E646" s="72">
        <v>334000</v>
      </c>
      <c r="F646" s="72">
        <v>0</v>
      </c>
      <c r="G646" s="72">
        <v>3996000</v>
      </c>
      <c r="H646" s="72">
        <v>1732000</v>
      </c>
      <c r="I646" s="72">
        <v>0</v>
      </c>
      <c r="J646" s="72">
        <v>1050000</v>
      </c>
      <c r="K646" s="72">
        <v>211000</v>
      </c>
      <c r="L646" s="72">
        <v>11317000</v>
      </c>
      <c r="M646" s="72">
        <v>0</v>
      </c>
      <c r="N646" s="72">
        <v>0</v>
      </c>
      <c r="O646" s="72">
        <v>0</v>
      </c>
      <c r="P646" s="72">
        <v>0</v>
      </c>
      <c r="Q646" s="72">
        <v>29000</v>
      </c>
      <c r="R646" s="72">
        <v>29000</v>
      </c>
      <c r="S646" s="72">
        <v>11346000</v>
      </c>
      <c r="T646" s="72">
        <v>6060000</v>
      </c>
      <c r="U646" s="72">
        <v>2421000</v>
      </c>
      <c r="V646" s="72">
        <v>1282000</v>
      </c>
      <c r="W646" s="72">
        <v>610500</v>
      </c>
      <c r="X646" s="72">
        <v>335000</v>
      </c>
      <c r="Y646" s="72">
        <v>0</v>
      </c>
      <c r="Z646" s="72">
        <v>0</v>
      </c>
      <c r="AA646" s="72">
        <v>0</v>
      </c>
      <c r="AB646" s="72">
        <v>0</v>
      </c>
      <c r="AC646" s="72">
        <v>0</v>
      </c>
      <c r="AD646" s="72">
        <v>0</v>
      </c>
      <c r="AE646" s="72">
        <v>0</v>
      </c>
      <c r="AF646" s="72">
        <v>0</v>
      </c>
      <c r="AG646" s="72">
        <v>142500</v>
      </c>
      <c r="AH646" s="72">
        <v>10851000</v>
      </c>
      <c r="AI646" s="72">
        <v>164757</v>
      </c>
      <c r="AJ646" s="72">
        <v>0</v>
      </c>
      <c r="AK646" s="72">
        <v>0</v>
      </c>
      <c r="AL646" s="72">
        <v>164757</v>
      </c>
      <c r="AM646" s="72">
        <v>11015757</v>
      </c>
      <c r="AN646" s="72">
        <v>330243</v>
      </c>
      <c r="AO646" s="72">
        <v>7101521</v>
      </c>
      <c r="AP646" s="72">
        <v>7431764</v>
      </c>
      <c r="AQ646" s="72">
        <v>250000</v>
      </c>
      <c r="AR646" s="72">
        <v>0</v>
      </c>
      <c r="AS646" s="72">
        <v>0</v>
      </c>
      <c r="AT646" s="72">
        <v>0</v>
      </c>
      <c r="AU646" s="72">
        <v>0</v>
      </c>
      <c r="AV646" s="72">
        <v>0</v>
      </c>
      <c r="AW646" s="72">
        <v>0</v>
      </c>
      <c r="AX646" s="72">
        <v>0</v>
      </c>
      <c r="AY646" s="72">
        <v>0</v>
      </c>
      <c r="AZ646" s="72">
        <v>0</v>
      </c>
      <c r="BA646" s="72">
        <v>7181764</v>
      </c>
      <c r="BB646" s="72">
        <v>0</v>
      </c>
      <c r="BC646" s="72">
        <v>0</v>
      </c>
      <c r="BD646" s="72">
        <v>0</v>
      </c>
      <c r="BE646" s="72">
        <v>7181764</v>
      </c>
      <c r="BF646" s="72">
        <v>0</v>
      </c>
      <c r="BG646" s="72">
        <v>0</v>
      </c>
      <c r="BH646" s="72">
        <v>0</v>
      </c>
      <c r="BI646" s="72">
        <v>0</v>
      </c>
      <c r="BJ646" s="72">
        <v>7181764</v>
      </c>
      <c r="BM646" s="72">
        <v>0</v>
      </c>
      <c r="BN646" s="72">
        <v>0</v>
      </c>
      <c r="BO646" s="72">
        <v>0</v>
      </c>
      <c r="BP646" s="72">
        <v>0</v>
      </c>
      <c r="BQ646" s="72">
        <v>0</v>
      </c>
      <c r="BR646" s="72">
        <v>0</v>
      </c>
      <c r="BS646" s="72">
        <v>11346000</v>
      </c>
    </row>
    <row r="647" spans="1:71" x14ac:dyDescent="0.2">
      <c r="A647" t="s">
        <v>115</v>
      </c>
      <c r="B647" t="s">
        <v>836</v>
      </c>
      <c r="C647" t="s">
        <v>31</v>
      </c>
      <c r="D647" s="72">
        <v>5168936</v>
      </c>
      <c r="E647" s="72">
        <v>819244</v>
      </c>
      <c r="F647" s="72">
        <v>0</v>
      </c>
      <c r="G647" s="72">
        <v>26774737</v>
      </c>
      <c r="H647" s="72">
        <v>598588</v>
      </c>
      <c r="I647" s="72">
        <v>0</v>
      </c>
      <c r="J647" s="72">
        <v>840655</v>
      </c>
      <c r="K647" s="72">
        <v>1752283</v>
      </c>
      <c r="L647" s="72">
        <v>35954443</v>
      </c>
      <c r="M647" s="72">
        <v>0</v>
      </c>
      <c r="N647" s="72">
        <v>0</v>
      </c>
      <c r="O647" s="72">
        <v>3000000</v>
      </c>
      <c r="P647" s="72">
        <v>400000</v>
      </c>
      <c r="Q647" s="72">
        <v>250000</v>
      </c>
      <c r="R647" s="72">
        <v>3650000</v>
      </c>
      <c r="S647" s="72">
        <v>39604443</v>
      </c>
      <c r="T647" s="72">
        <v>18159249</v>
      </c>
      <c r="U647" s="72">
        <v>8306454</v>
      </c>
      <c r="V647" s="72">
        <v>5744314</v>
      </c>
      <c r="W647" s="72">
        <v>1163140</v>
      </c>
      <c r="X647" s="72">
        <v>365682</v>
      </c>
      <c r="Y647" s="72">
        <v>0</v>
      </c>
      <c r="Z647" s="72">
        <v>0</v>
      </c>
      <c r="AA647" s="72">
        <v>0</v>
      </c>
      <c r="AB647" s="72">
        <v>0</v>
      </c>
      <c r="AC647" s="72">
        <v>0</v>
      </c>
      <c r="AD647" s="72">
        <v>0</v>
      </c>
      <c r="AE647" s="72">
        <v>0</v>
      </c>
      <c r="AF647" s="72">
        <v>0</v>
      </c>
      <c r="AG647" s="72">
        <v>698200</v>
      </c>
      <c r="AH647" s="72">
        <v>34437039</v>
      </c>
      <c r="AI647" s="72">
        <v>3000000</v>
      </c>
      <c r="AJ647" s="72">
        <v>400000</v>
      </c>
      <c r="AK647" s="72">
        <v>0</v>
      </c>
      <c r="AL647" s="72">
        <v>3400000</v>
      </c>
      <c r="AM647" s="72">
        <v>37837039</v>
      </c>
      <c r="AN647" s="72">
        <v>1767404</v>
      </c>
      <c r="AO647" s="72">
        <v>9555356</v>
      </c>
      <c r="AP647" s="72">
        <v>11322760</v>
      </c>
      <c r="AQ647" s="72">
        <v>200000</v>
      </c>
      <c r="AR647" s="72">
        <v>0</v>
      </c>
      <c r="AS647" s="72">
        <v>0</v>
      </c>
      <c r="AT647" s="72">
        <v>3443704</v>
      </c>
      <c r="AU647" s="72">
        <v>0</v>
      </c>
      <c r="AV647" s="72">
        <v>0</v>
      </c>
      <c r="AW647" s="72">
        <v>0</v>
      </c>
      <c r="AX647" s="72">
        <v>0</v>
      </c>
      <c r="AY647" s="72">
        <v>0</v>
      </c>
      <c r="AZ647" s="72">
        <v>3443704</v>
      </c>
      <c r="BA647" s="72">
        <v>7679056</v>
      </c>
      <c r="BB647" s="72">
        <v>0</v>
      </c>
      <c r="BC647" s="72">
        <v>0</v>
      </c>
      <c r="BD647" s="72">
        <v>0</v>
      </c>
      <c r="BE647" s="72">
        <v>7679056</v>
      </c>
      <c r="BF647" s="72">
        <v>0</v>
      </c>
      <c r="BG647" s="72">
        <v>0</v>
      </c>
      <c r="BH647" s="72">
        <v>0</v>
      </c>
      <c r="BI647" s="72">
        <v>0</v>
      </c>
      <c r="BJ647" s="72">
        <v>7679056</v>
      </c>
      <c r="BK647" s="72">
        <v>303</v>
      </c>
      <c r="BL647" s="72">
        <v>3576</v>
      </c>
      <c r="BM647" s="72">
        <v>0</v>
      </c>
      <c r="BN647" s="72">
        <v>0</v>
      </c>
      <c r="BO647" s="72">
        <v>0</v>
      </c>
      <c r="BP647" s="72">
        <v>0</v>
      </c>
      <c r="BQ647" s="72">
        <v>0</v>
      </c>
      <c r="BR647" s="72">
        <v>0</v>
      </c>
      <c r="BS647" s="72">
        <v>39604443</v>
      </c>
    </row>
    <row r="648" spans="1:71" x14ac:dyDescent="0.2">
      <c r="A648" t="s">
        <v>660</v>
      </c>
      <c r="B648" t="s">
        <v>1350</v>
      </c>
      <c r="C648" t="s">
        <v>55</v>
      </c>
      <c r="D648" s="72">
        <v>2144609</v>
      </c>
      <c r="E648" s="72">
        <v>0</v>
      </c>
      <c r="F648" s="72">
        <v>0</v>
      </c>
      <c r="G648" s="72">
        <v>3287879</v>
      </c>
      <c r="H648" s="72">
        <v>1305314</v>
      </c>
      <c r="I648" s="72">
        <v>0</v>
      </c>
      <c r="J648" s="72">
        <v>348000</v>
      </c>
      <c r="K648" s="72">
        <v>144000</v>
      </c>
      <c r="L648" s="72">
        <v>7229802</v>
      </c>
      <c r="M648" s="72">
        <v>0</v>
      </c>
      <c r="N648" s="72">
        <v>0</v>
      </c>
      <c r="O648" s="72">
        <v>0</v>
      </c>
      <c r="P648" s="72">
        <v>0</v>
      </c>
      <c r="Q648" s="72">
        <v>200</v>
      </c>
      <c r="R648" s="72">
        <v>200</v>
      </c>
      <c r="S648" s="72">
        <v>7230002</v>
      </c>
      <c r="T648" s="72">
        <v>4060000</v>
      </c>
      <c r="U648" s="72">
        <v>1456000</v>
      </c>
      <c r="V648" s="72">
        <v>891870</v>
      </c>
      <c r="W648" s="72">
        <v>443000</v>
      </c>
      <c r="X648" s="72">
        <v>1168690</v>
      </c>
      <c r="Y648" s="72">
        <v>0</v>
      </c>
      <c r="Z648" s="72">
        <v>0</v>
      </c>
      <c r="AA648" s="72">
        <v>0</v>
      </c>
      <c r="AB648" s="72">
        <v>0</v>
      </c>
      <c r="AC648" s="72">
        <v>0</v>
      </c>
      <c r="AD648" s="72">
        <v>0</v>
      </c>
      <c r="AE648" s="72">
        <v>0</v>
      </c>
      <c r="AF648" s="72">
        <v>0</v>
      </c>
      <c r="AG648" s="72">
        <v>81320</v>
      </c>
      <c r="AH648" s="72">
        <v>8100880</v>
      </c>
      <c r="AI648" s="72">
        <v>0</v>
      </c>
      <c r="AJ648" s="72">
        <v>0</v>
      </c>
      <c r="AK648" s="72">
        <v>0</v>
      </c>
      <c r="AL648" s="72">
        <v>0</v>
      </c>
      <c r="AM648" s="72">
        <v>8100880</v>
      </c>
      <c r="AN648" s="72">
        <v>-870878</v>
      </c>
      <c r="AO648" s="72">
        <v>10293153</v>
      </c>
      <c r="AP648" s="72">
        <v>9422275</v>
      </c>
      <c r="AQ648" s="72">
        <v>0</v>
      </c>
      <c r="AR648" s="72">
        <v>0</v>
      </c>
      <c r="AS648" s="72">
        <v>0</v>
      </c>
      <c r="AT648" s="72">
        <v>0</v>
      </c>
      <c r="AU648" s="72">
        <v>0</v>
      </c>
      <c r="AV648" s="72">
        <v>0</v>
      </c>
      <c r="AW648" s="72">
        <v>0</v>
      </c>
      <c r="AX648" s="72">
        <v>0</v>
      </c>
      <c r="AY648" s="72">
        <v>0</v>
      </c>
      <c r="AZ648" s="72">
        <v>0</v>
      </c>
      <c r="BA648" s="72">
        <v>9422275</v>
      </c>
      <c r="BB648" s="72">
        <v>0</v>
      </c>
      <c r="BC648" s="72">
        <v>0</v>
      </c>
      <c r="BD648" s="72">
        <v>0</v>
      </c>
      <c r="BE648" s="72">
        <v>9422275</v>
      </c>
      <c r="BF648" s="72">
        <v>0</v>
      </c>
      <c r="BG648" s="72">
        <v>0</v>
      </c>
      <c r="BH648" s="72">
        <v>0</v>
      </c>
      <c r="BI648" s="72">
        <v>0</v>
      </c>
      <c r="BJ648" s="72">
        <v>9422275</v>
      </c>
      <c r="BK648" s="72">
        <v>0</v>
      </c>
      <c r="BL648" s="72">
        <v>0</v>
      </c>
      <c r="BM648" s="72">
        <v>0</v>
      </c>
      <c r="BN648" s="72">
        <v>0</v>
      </c>
      <c r="BO648" s="72">
        <v>0</v>
      </c>
      <c r="BP648" s="72">
        <v>0</v>
      </c>
      <c r="BQ648" s="72">
        <v>0</v>
      </c>
      <c r="BR648" s="72">
        <v>0</v>
      </c>
      <c r="BS648" s="72">
        <v>10293153</v>
      </c>
    </row>
    <row r="649" spans="1:71" x14ac:dyDescent="0.2">
      <c r="A649" t="s">
        <v>133</v>
      </c>
      <c r="B649" t="s">
        <v>854</v>
      </c>
      <c r="C649" t="s">
        <v>78</v>
      </c>
      <c r="D649" s="72">
        <v>2160406</v>
      </c>
      <c r="E649" s="72">
        <v>326282</v>
      </c>
      <c r="F649" s="72">
        <v>0</v>
      </c>
      <c r="G649" s="72">
        <v>1729889</v>
      </c>
      <c r="H649" s="72">
        <v>623316</v>
      </c>
      <c r="I649" s="72">
        <v>0</v>
      </c>
      <c r="J649" s="72">
        <v>476243</v>
      </c>
      <c r="K649" s="72">
        <v>41500</v>
      </c>
      <c r="L649" s="72">
        <v>5357636</v>
      </c>
      <c r="M649" s="72">
        <v>0</v>
      </c>
      <c r="N649" s="72">
        <v>0</v>
      </c>
      <c r="O649" s="72">
        <v>0</v>
      </c>
      <c r="P649" s="72">
        <v>10000</v>
      </c>
      <c r="Q649" s="72">
        <v>20000</v>
      </c>
      <c r="R649" s="72">
        <v>30000</v>
      </c>
      <c r="S649" s="72">
        <v>5387636</v>
      </c>
      <c r="T649" s="72">
        <v>3009950</v>
      </c>
      <c r="U649" s="72">
        <v>1239356</v>
      </c>
      <c r="V649" s="72">
        <v>472130</v>
      </c>
      <c r="W649" s="72">
        <v>188400</v>
      </c>
      <c r="X649" s="72">
        <v>260350</v>
      </c>
      <c r="Y649" s="72">
        <v>0</v>
      </c>
      <c r="Z649" s="72">
        <v>0</v>
      </c>
      <c r="AA649" s="72">
        <v>0</v>
      </c>
      <c r="AB649" s="72">
        <v>0</v>
      </c>
      <c r="AC649" s="72">
        <v>0</v>
      </c>
      <c r="AD649" s="72">
        <v>0</v>
      </c>
      <c r="AE649" s="72">
        <v>0</v>
      </c>
      <c r="AF649" s="72">
        <v>0</v>
      </c>
      <c r="AG649" s="72">
        <v>126470</v>
      </c>
      <c r="AH649" s="72">
        <v>5296656</v>
      </c>
      <c r="AI649" s="72">
        <v>40000</v>
      </c>
      <c r="AJ649" s="72">
        <v>0</v>
      </c>
      <c r="AK649" s="72">
        <v>0</v>
      </c>
      <c r="AL649" s="72">
        <v>40000</v>
      </c>
      <c r="AM649" s="72">
        <v>5336656</v>
      </c>
      <c r="AN649" s="72">
        <v>50980</v>
      </c>
      <c r="AO649" s="72">
        <v>4171275</v>
      </c>
      <c r="AP649" s="72">
        <v>4222255</v>
      </c>
      <c r="AQ649" s="72">
        <v>75000</v>
      </c>
      <c r="AR649" s="72">
        <v>0</v>
      </c>
      <c r="AS649" s="72">
        <v>0</v>
      </c>
      <c r="AT649" s="72">
        <v>72189</v>
      </c>
      <c r="AU649" s="72">
        <v>0</v>
      </c>
      <c r="AV649" s="72">
        <v>0</v>
      </c>
      <c r="AW649" s="72">
        <v>0</v>
      </c>
      <c r="AX649" s="72">
        <v>0</v>
      </c>
      <c r="AY649" s="72">
        <v>0</v>
      </c>
      <c r="AZ649" s="72">
        <v>72189</v>
      </c>
      <c r="BA649" s="72">
        <v>4075066</v>
      </c>
      <c r="BB649" s="72">
        <v>0</v>
      </c>
      <c r="BC649" s="72">
        <v>0</v>
      </c>
      <c r="BD649" s="72">
        <v>0</v>
      </c>
      <c r="BE649" s="72">
        <v>4075066</v>
      </c>
      <c r="BF649" s="72">
        <v>0</v>
      </c>
      <c r="BG649" s="72">
        <v>0</v>
      </c>
      <c r="BH649" s="72">
        <v>0</v>
      </c>
      <c r="BI649" s="72">
        <v>0</v>
      </c>
      <c r="BJ649" s="72">
        <v>4075066</v>
      </c>
      <c r="BM649" s="72">
        <v>0</v>
      </c>
      <c r="BN649" s="72">
        <v>0</v>
      </c>
      <c r="BO649" s="72">
        <v>0</v>
      </c>
      <c r="BP649" s="72">
        <v>0</v>
      </c>
      <c r="BQ649" s="72">
        <v>0</v>
      </c>
      <c r="BR649" s="72">
        <v>0</v>
      </c>
      <c r="BS649" s="72">
        <v>5387636</v>
      </c>
    </row>
    <row r="650" spans="1:71" x14ac:dyDescent="0.2">
      <c r="A650" t="s">
        <v>330</v>
      </c>
      <c r="B650" t="s">
        <v>1044</v>
      </c>
      <c r="C650" t="s">
        <v>90</v>
      </c>
      <c r="D650" s="72">
        <v>2512267</v>
      </c>
      <c r="E650" s="72">
        <v>0</v>
      </c>
      <c r="F650" s="72">
        <v>0</v>
      </c>
      <c r="G650" s="72">
        <v>2597546</v>
      </c>
      <c r="H650" s="72">
        <v>1880981</v>
      </c>
      <c r="I650" s="72">
        <v>0</v>
      </c>
      <c r="J650" s="72">
        <v>302422</v>
      </c>
      <c r="K650" s="72">
        <v>496418</v>
      </c>
      <c r="L650" s="72">
        <v>7789634</v>
      </c>
      <c r="M650" s="72">
        <v>0</v>
      </c>
      <c r="N650" s="72">
        <v>0</v>
      </c>
      <c r="O650" s="72">
        <v>0</v>
      </c>
      <c r="P650" s="72">
        <v>103089</v>
      </c>
      <c r="Q650" s="72">
        <v>9400</v>
      </c>
      <c r="R650" s="72">
        <v>112489</v>
      </c>
      <c r="S650" s="72">
        <v>7902123</v>
      </c>
      <c r="T650" s="72">
        <v>3818000</v>
      </c>
      <c r="U650" s="72">
        <v>1342703</v>
      </c>
      <c r="V650" s="72">
        <v>662374</v>
      </c>
      <c r="W650" s="72">
        <v>486402</v>
      </c>
      <c r="X650" s="72">
        <v>228495</v>
      </c>
      <c r="Y650" s="72">
        <v>0</v>
      </c>
      <c r="Z650" s="72">
        <v>0</v>
      </c>
      <c r="AA650" s="72">
        <v>0</v>
      </c>
      <c r="AB650" s="72">
        <v>0</v>
      </c>
      <c r="AC650" s="72">
        <v>0</v>
      </c>
      <c r="AD650" s="72">
        <v>0</v>
      </c>
      <c r="AE650" s="72">
        <v>0</v>
      </c>
      <c r="AF650" s="72">
        <v>0</v>
      </c>
      <c r="AG650" s="72">
        <v>309248</v>
      </c>
      <c r="AH650" s="72">
        <v>6847222</v>
      </c>
      <c r="AI650" s="72">
        <v>338691</v>
      </c>
      <c r="AJ650" s="72">
        <v>150000</v>
      </c>
      <c r="AK650" s="72">
        <v>0</v>
      </c>
      <c r="AL650" s="72">
        <v>488691</v>
      </c>
      <c r="AM650" s="72">
        <v>7335913</v>
      </c>
      <c r="AN650" s="72">
        <v>566210</v>
      </c>
      <c r="AO650" s="72">
        <v>2098575</v>
      </c>
      <c r="AP650" s="72">
        <v>2664785</v>
      </c>
      <c r="AQ650" s="72">
        <v>300000</v>
      </c>
      <c r="AR650" s="72">
        <v>0</v>
      </c>
      <c r="AS650" s="72">
        <v>0</v>
      </c>
      <c r="AT650" s="72">
        <v>32757</v>
      </c>
      <c r="AU650" s="72">
        <v>0</v>
      </c>
      <c r="AV650" s="72">
        <v>0</v>
      </c>
      <c r="AW650" s="72">
        <v>0</v>
      </c>
      <c r="AX650" s="72">
        <v>0</v>
      </c>
      <c r="AY650" s="72">
        <v>0</v>
      </c>
      <c r="AZ650" s="72">
        <v>32757</v>
      </c>
      <c r="BA650" s="72">
        <v>2332028</v>
      </c>
      <c r="BB650" s="72">
        <v>0</v>
      </c>
      <c r="BC650" s="72">
        <v>0</v>
      </c>
      <c r="BD650" s="72">
        <v>0</v>
      </c>
      <c r="BE650" s="72">
        <v>2332028</v>
      </c>
      <c r="BF650" s="72">
        <v>0</v>
      </c>
      <c r="BG650" s="72">
        <v>0</v>
      </c>
      <c r="BH650" s="72">
        <v>0</v>
      </c>
      <c r="BI650" s="72">
        <v>0</v>
      </c>
      <c r="BJ650" s="72">
        <v>2332028</v>
      </c>
      <c r="BK650" s="72">
        <v>0</v>
      </c>
      <c r="BL650" s="72">
        <v>0</v>
      </c>
      <c r="BM650" s="72">
        <v>0</v>
      </c>
      <c r="BN650" s="72">
        <v>0</v>
      </c>
      <c r="BO650" s="72">
        <v>0</v>
      </c>
      <c r="BP650" s="72">
        <v>0</v>
      </c>
      <c r="BQ650" s="72">
        <v>0</v>
      </c>
      <c r="BR650" s="72">
        <v>0</v>
      </c>
      <c r="BS650" s="72">
        <v>7902123</v>
      </c>
    </row>
    <row r="651" spans="1:71" x14ac:dyDescent="0.2">
      <c r="A651" t="s">
        <v>473</v>
      </c>
      <c r="B651" t="s">
        <v>1177</v>
      </c>
      <c r="C651" t="s">
        <v>81</v>
      </c>
      <c r="D651" s="72">
        <v>7763020</v>
      </c>
      <c r="E651" s="72">
        <v>1097</v>
      </c>
      <c r="F651" s="72">
        <v>0</v>
      </c>
      <c r="G651" s="72">
        <v>4601776</v>
      </c>
      <c r="H651" s="72">
        <v>2086794</v>
      </c>
      <c r="I651" s="72">
        <v>0</v>
      </c>
      <c r="J651" s="72">
        <v>1058152</v>
      </c>
      <c r="K651" s="72">
        <v>159339</v>
      </c>
      <c r="L651" s="72">
        <v>15670178</v>
      </c>
      <c r="M651" s="72">
        <v>0</v>
      </c>
      <c r="N651" s="72">
        <v>0</v>
      </c>
      <c r="O651" s="72">
        <v>0</v>
      </c>
      <c r="P651" s="72">
        <v>92703</v>
      </c>
      <c r="Q651" s="72">
        <v>43283</v>
      </c>
      <c r="R651" s="72">
        <v>135986</v>
      </c>
      <c r="S651" s="72">
        <v>15806164</v>
      </c>
      <c r="T651" s="72">
        <v>8126000</v>
      </c>
      <c r="U651" s="72">
        <v>3340000</v>
      </c>
      <c r="V651" s="72">
        <v>1440000</v>
      </c>
      <c r="W651" s="72">
        <v>706000</v>
      </c>
      <c r="X651" s="72">
        <v>1534000</v>
      </c>
      <c r="Y651" s="72">
        <v>0</v>
      </c>
      <c r="Z651" s="72">
        <v>0</v>
      </c>
      <c r="AA651" s="72">
        <v>0</v>
      </c>
      <c r="AB651" s="72">
        <v>0</v>
      </c>
      <c r="AC651" s="72">
        <v>0</v>
      </c>
      <c r="AD651" s="72">
        <v>0</v>
      </c>
      <c r="AE651" s="72">
        <v>0</v>
      </c>
      <c r="AF651" s="72">
        <v>0</v>
      </c>
      <c r="AG651" s="72">
        <v>184000</v>
      </c>
      <c r="AH651" s="72">
        <v>15330000</v>
      </c>
      <c r="AI651" s="72">
        <v>0</v>
      </c>
      <c r="AJ651" s="72">
        <v>92703</v>
      </c>
      <c r="AK651" s="72">
        <v>0</v>
      </c>
      <c r="AL651" s="72">
        <v>92703</v>
      </c>
      <c r="AM651" s="72">
        <v>15422703</v>
      </c>
      <c r="AN651" s="72">
        <v>383461</v>
      </c>
      <c r="AO651" s="72">
        <v>10069809</v>
      </c>
      <c r="AP651" s="72">
        <v>10453270</v>
      </c>
      <c r="AQ651" s="72">
        <v>500000</v>
      </c>
      <c r="AR651" s="72">
        <v>0</v>
      </c>
      <c r="AS651" s="72">
        <v>0</v>
      </c>
      <c r="AT651" s="72">
        <v>0</v>
      </c>
      <c r="AU651" s="72">
        <v>0</v>
      </c>
      <c r="AV651" s="72">
        <v>0</v>
      </c>
      <c r="AW651" s="72">
        <v>0</v>
      </c>
      <c r="AX651" s="72">
        <v>0</v>
      </c>
      <c r="AY651" s="72">
        <v>0</v>
      </c>
      <c r="AZ651" s="72">
        <v>0</v>
      </c>
      <c r="BA651" s="72">
        <v>9953270</v>
      </c>
      <c r="BB651" s="72">
        <v>0</v>
      </c>
      <c r="BC651" s="72">
        <v>0</v>
      </c>
      <c r="BD651" s="72">
        <v>0</v>
      </c>
      <c r="BE651" s="72">
        <v>9953270</v>
      </c>
      <c r="BF651" s="72">
        <v>0</v>
      </c>
      <c r="BG651" s="72">
        <v>0</v>
      </c>
      <c r="BH651" s="72">
        <v>0</v>
      </c>
      <c r="BI651" s="72">
        <v>0</v>
      </c>
      <c r="BJ651" s="72">
        <v>9953270</v>
      </c>
      <c r="BK651" s="72">
        <v>0</v>
      </c>
      <c r="BL651" s="72">
        <v>0</v>
      </c>
      <c r="BM651" s="72">
        <v>0</v>
      </c>
      <c r="BN651" s="72">
        <v>0</v>
      </c>
      <c r="BO651" s="72">
        <v>0</v>
      </c>
      <c r="BP651" s="72">
        <v>0</v>
      </c>
      <c r="BQ651" s="72">
        <v>0</v>
      </c>
      <c r="BR651" s="72">
        <v>0</v>
      </c>
      <c r="BS651" s="72">
        <v>15806164</v>
      </c>
    </row>
    <row r="652" spans="1:71" x14ac:dyDescent="0.2">
      <c r="A652" t="s">
        <v>705</v>
      </c>
      <c r="B652" t="s">
        <v>1395</v>
      </c>
      <c r="C652" t="s">
        <v>68</v>
      </c>
      <c r="D652" s="72">
        <v>5243275</v>
      </c>
      <c r="E652" s="72">
        <v>304621</v>
      </c>
      <c r="F652" s="72">
        <v>0</v>
      </c>
      <c r="G652" s="72">
        <v>6581519</v>
      </c>
      <c r="H652" s="72">
        <v>2270939</v>
      </c>
      <c r="I652" s="72">
        <v>0</v>
      </c>
      <c r="J652" s="72">
        <v>2038826</v>
      </c>
      <c r="K652" s="72">
        <v>92480</v>
      </c>
      <c r="L652" s="72">
        <v>16531660</v>
      </c>
      <c r="M652" s="72">
        <v>0</v>
      </c>
      <c r="N652" s="72">
        <v>0</v>
      </c>
      <c r="O652" s="72">
        <v>0</v>
      </c>
      <c r="P652" s="72">
        <v>173000</v>
      </c>
      <c r="Q652" s="72">
        <v>29946</v>
      </c>
      <c r="R652" s="72">
        <v>202946</v>
      </c>
      <c r="S652" s="72">
        <v>16734606</v>
      </c>
      <c r="T652" s="72">
        <v>9393499</v>
      </c>
      <c r="U652" s="72">
        <v>3663077</v>
      </c>
      <c r="V652" s="72">
        <v>1310401</v>
      </c>
      <c r="W652" s="72">
        <v>1041388</v>
      </c>
      <c r="X652" s="72">
        <v>785573</v>
      </c>
      <c r="Y652" s="72">
        <v>0</v>
      </c>
      <c r="Z652" s="72">
        <v>0</v>
      </c>
      <c r="AA652" s="72">
        <v>0</v>
      </c>
      <c r="AB652" s="72">
        <v>0</v>
      </c>
      <c r="AC652" s="72">
        <v>0</v>
      </c>
      <c r="AD652" s="72">
        <v>0</v>
      </c>
      <c r="AE652" s="72">
        <v>0</v>
      </c>
      <c r="AF652" s="72">
        <v>0</v>
      </c>
      <c r="AG652" s="72">
        <v>250900</v>
      </c>
      <c r="AH652" s="72">
        <v>16444838</v>
      </c>
      <c r="AI652" s="72">
        <v>862500</v>
      </c>
      <c r="AJ652" s="72">
        <v>50000</v>
      </c>
      <c r="AK652" s="72">
        <v>0</v>
      </c>
      <c r="AL652" s="72">
        <v>912500</v>
      </c>
      <c r="AM652" s="72">
        <v>17357338</v>
      </c>
      <c r="AN652" s="72">
        <v>-622732</v>
      </c>
      <c r="AO652" s="72">
        <v>3952525</v>
      </c>
      <c r="AP652" s="72">
        <v>3329793</v>
      </c>
      <c r="AQ652" s="72">
        <v>631265</v>
      </c>
      <c r="AR652" s="72">
        <v>0</v>
      </c>
      <c r="AS652" s="72">
        <v>0</v>
      </c>
      <c r="AT652" s="72">
        <v>0</v>
      </c>
      <c r="AU652" s="72">
        <v>0</v>
      </c>
      <c r="AV652" s="72">
        <v>0</v>
      </c>
      <c r="AW652" s="72">
        <v>0</v>
      </c>
      <c r="AX652" s="72">
        <v>0</v>
      </c>
      <c r="AY652" s="72">
        <v>0</v>
      </c>
      <c r="AZ652" s="72">
        <v>0</v>
      </c>
      <c r="BA652" s="72">
        <v>2698528</v>
      </c>
      <c r="BB652" s="72">
        <v>0</v>
      </c>
      <c r="BC652" s="72">
        <v>0</v>
      </c>
      <c r="BD652" s="72">
        <v>0</v>
      </c>
      <c r="BE652" s="72">
        <v>2698528</v>
      </c>
      <c r="BF652" s="72">
        <v>0</v>
      </c>
      <c r="BG652" s="72">
        <v>0</v>
      </c>
      <c r="BH652" s="72">
        <v>0</v>
      </c>
      <c r="BI652" s="72">
        <v>0</v>
      </c>
      <c r="BJ652" s="72">
        <v>2698528</v>
      </c>
      <c r="BK652" s="72">
        <v>0</v>
      </c>
      <c r="BL652" s="72">
        <v>0</v>
      </c>
      <c r="BM652" s="72">
        <v>0</v>
      </c>
      <c r="BN652" s="72">
        <v>0</v>
      </c>
      <c r="BO652" s="72">
        <v>0</v>
      </c>
      <c r="BP652" s="72">
        <v>0</v>
      </c>
      <c r="BQ652" s="72">
        <v>0</v>
      </c>
      <c r="BR652" s="72">
        <v>0</v>
      </c>
      <c r="BS652" s="72">
        <v>17357338</v>
      </c>
    </row>
    <row r="653" spans="1:71" x14ac:dyDescent="0.2">
      <c r="A653" t="s">
        <v>698</v>
      </c>
      <c r="B653" t="s">
        <v>1388</v>
      </c>
      <c r="C653" t="s">
        <v>42</v>
      </c>
      <c r="D653" s="72">
        <v>2225092</v>
      </c>
      <c r="E653" s="72">
        <v>1303492</v>
      </c>
      <c r="F653" s="72">
        <v>0</v>
      </c>
      <c r="G653" s="72">
        <v>1892043</v>
      </c>
      <c r="H653" s="72">
        <v>612117</v>
      </c>
      <c r="J653" s="72">
        <v>1075402</v>
      </c>
      <c r="K653" s="72">
        <v>163268</v>
      </c>
      <c r="L653" s="72">
        <v>7271414</v>
      </c>
      <c r="M653" s="72">
        <v>0</v>
      </c>
      <c r="N653" s="72">
        <v>0</v>
      </c>
      <c r="O653" s="72">
        <v>0</v>
      </c>
      <c r="P653" s="72">
        <v>0</v>
      </c>
      <c r="Q653" s="72">
        <v>3800</v>
      </c>
      <c r="R653" s="72">
        <v>3800</v>
      </c>
      <c r="S653" s="72">
        <v>7275214</v>
      </c>
      <c r="T653" s="72">
        <v>3977680</v>
      </c>
      <c r="U653" s="72">
        <v>1267014</v>
      </c>
      <c r="V653" s="72">
        <v>562393</v>
      </c>
      <c r="W653" s="72">
        <v>392764</v>
      </c>
      <c r="X653" s="72">
        <v>428322</v>
      </c>
      <c r="Y653" s="72">
        <v>0</v>
      </c>
      <c r="Z653" s="72">
        <v>0</v>
      </c>
      <c r="AA653" s="72">
        <v>0</v>
      </c>
      <c r="AB653" s="72">
        <v>0</v>
      </c>
      <c r="AC653" s="72">
        <v>0</v>
      </c>
      <c r="AD653" s="72">
        <v>0</v>
      </c>
      <c r="AE653" s="72">
        <v>0</v>
      </c>
      <c r="AF653" s="72">
        <v>0</v>
      </c>
      <c r="AG653" s="72">
        <v>177784</v>
      </c>
      <c r="AH653" s="72">
        <v>6805957</v>
      </c>
      <c r="AI653" s="72">
        <v>300000</v>
      </c>
      <c r="AJ653" s="72">
        <v>0</v>
      </c>
      <c r="AK653" s="72">
        <v>0</v>
      </c>
      <c r="AL653" s="72">
        <v>300000</v>
      </c>
      <c r="AM653" s="72">
        <v>7105957</v>
      </c>
      <c r="AN653" s="72">
        <v>169257</v>
      </c>
      <c r="AO653" s="72">
        <v>10741835</v>
      </c>
      <c r="AP653" s="72">
        <v>10911092</v>
      </c>
      <c r="AQ653" s="72">
        <v>100000</v>
      </c>
      <c r="AR653" s="72">
        <v>0</v>
      </c>
      <c r="AS653" s="72">
        <v>0</v>
      </c>
      <c r="AT653" s="72">
        <v>24120</v>
      </c>
      <c r="AU653" s="72">
        <v>0</v>
      </c>
      <c r="AW653" s="72">
        <v>0</v>
      </c>
      <c r="AX653" s="72">
        <v>0</v>
      </c>
      <c r="AY653" s="72">
        <v>0</v>
      </c>
      <c r="AZ653" s="72">
        <v>24120</v>
      </c>
      <c r="BA653" s="72">
        <v>10786972</v>
      </c>
      <c r="BB653" s="72">
        <v>0</v>
      </c>
      <c r="BC653" s="72">
        <v>0</v>
      </c>
      <c r="BD653" s="72">
        <v>0</v>
      </c>
      <c r="BE653" s="72">
        <v>10786972</v>
      </c>
      <c r="BF653" s="72">
        <v>0</v>
      </c>
      <c r="BG653" s="72">
        <v>0</v>
      </c>
      <c r="BH653" s="72">
        <v>0</v>
      </c>
      <c r="BI653" s="72">
        <v>0</v>
      </c>
      <c r="BJ653" s="72">
        <v>10786972</v>
      </c>
      <c r="BS653" s="72">
        <v>10911092</v>
      </c>
    </row>
    <row r="654" spans="1:71" x14ac:dyDescent="0.2">
      <c r="A654" t="s">
        <v>592</v>
      </c>
      <c r="B654" t="s">
        <v>1289</v>
      </c>
      <c r="C654" t="s">
        <v>46</v>
      </c>
      <c r="D654" s="72">
        <v>2818000</v>
      </c>
      <c r="E654" s="72">
        <v>183000</v>
      </c>
      <c r="F654" s="72">
        <v>0</v>
      </c>
      <c r="G654" s="72">
        <v>1806000</v>
      </c>
      <c r="H654" s="72">
        <v>419000</v>
      </c>
      <c r="I654" s="72">
        <v>0</v>
      </c>
      <c r="J654" s="72">
        <v>647000</v>
      </c>
      <c r="K654" s="72">
        <v>730000</v>
      </c>
      <c r="L654" s="72">
        <v>6603000</v>
      </c>
      <c r="M654" s="72">
        <v>0</v>
      </c>
      <c r="N654" s="72">
        <v>0</v>
      </c>
      <c r="O654" s="72">
        <v>0</v>
      </c>
      <c r="P654" s="72">
        <v>0</v>
      </c>
      <c r="Q654" s="72">
        <v>0</v>
      </c>
      <c r="R654" s="72">
        <v>0</v>
      </c>
      <c r="S654" s="72">
        <v>6603000</v>
      </c>
      <c r="T654" s="72">
        <v>3738000</v>
      </c>
      <c r="U654" s="72">
        <v>1338000</v>
      </c>
      <c r="V654" s="72">
        <v>533000</v>
      </c>
      <c r="W654" s="72">
        <v>277000</v>
      </c>
      <c r="X654" s="72">
        <v>3329000</v>
      </c>
      <c r="Y654" s="72">
        <v>0</v>
      </c>
      <c r="Z654" s="72">
        <v>0</v>
      </c>
      <c r="AA654" s="72">
        <v>0</v>
      </c>
      <c r="AB654" s="72">
        <v>0</v>
      </c>
      <c r="AC654" s="72">
        <v>0</v>
      </c>
      <c r="AD654" s="72">
        <v>0</v>
      </c>
      <c r="AE654" s="72">
        <v>0</v>
      </c>
      <c r="AF654" s="72">
        <v>0</v>
      </c>
      <c r="AG654" s="72">
        <v>132000</v>
      </c>
      <c r="AH654" s="72">
        <v>9347001</v>
      </c>
      <c r="AI654" s="72">
        <v>0</v>
      </c>
      <c r="AJ654" s="72">
        <v>0</v>
      </c>
      <c r="AL654" s="72">
        <v>33333</v>
      </c>
      <c r="AM654" s="72">
        <v>9380334</v>
      </c>
      <c r="AN654" s="72">
        <v>-2777334</v>
      </c>
      <c r="AO654" s="72">
        <v>10824319</v>
      </c>
      <c r="AP654" s="72">
        <v>8046985</v>
      </c>
      <c r="AQ654" s="72">
        <v>200000</v>
      </c>
      <c r="AR654" s="72">
        <v>0</v>
      </c>
      <c r="AS654" s="72">
        <v>0</v>
      </c>
      <c r="AT654" s="72">
        <v>185120</v>
      </c>
      <c r="AU654" s="72">
        <v>0</v>
      </c>
      <c r="AV654" s="72">
        <v>0</v>
      </c>
      <c r="AW654" s="72">
        <v>0</v>
      </c>
      <c r="AX654" s="72">
        <v>0</v>
      </c>
      <c r="AY654" s="72">
        <v>0</v>
      </c>
      <c r="AZ654" s="72">
        <v>185120</v>
      </c>
      <c r="BA654" s="72">
        <v>7661865</v>
      </c>
      <c r="BB654" s="72">
        <v>0</v>
      </c>
      <c r="BC654" s="72">
        <v>0</v>
      </c>
      <c r="BD654" s="72">
        <v>0</v>
      </c>
      <c r="BE654" s="72">
        <v>7661865</v>
      </c>
      <c r="BF654" s="72">
        <v>0</v>
      </c>
      <c r="BG654" s="72">
        <v>0</v>
      </c>
      <c r="BH654" s="72">
        <v>0</v>
      </c>
      <c r="BI654" s="72">
        <v>0</v>
      </c>
      <c r="BJ654" s="72">
        <v>7661865</v>
      </c>
      <c r="BK654" s="72">
        <v>0</v>
      </c>
      <c r="BL654" s="72">
        <v>439</v>
      </c>
      <c r="BM654" s="72">
        <v>0</v>
      </c>
      <c r="BN654" s="72">
        <v>0</v>
      </c>
      <c r="BO654" s="72">
        <v>0</v>
      </c>
      <c r="BP654" s="72">
        <v>0</v>
      </c>
      <c r="BQ654" s="72">
        <v>0</v>
      </c>
      <c r="BR654" s="72">
        <v>0</v>
      </c>
      <c r="BS654" s="72">
        <v>10824319</v>
      </c>
    </row>
    <row r="655" spans="1:71" x14ac:dyDescent="0.2">
      <c r="A655" t="s">
        <v>681</v>
      </c>
      <c r="B655" t="s">
        <v>1371</v>
      </c>
      <c r="C655" t="s">
        <v>99</v>
      </c>
      <c r="D655" s="72">
        <v>8904037</v>
      </c>
      <c r="E655" s="72">
        <v>264212</v>
      </c>
      <c r="F655" s="72">
        <v>0</v>
      </c>
      <c r="G655" s="72">
        <v>1971679</v>
      </c>
      <c r="H655" s="72">
        <v>0</v>
      </c>
      <c r="I655" s="72">
        <v>0</v>
      </c>
      <c r="J655" s="72">
        <v>1230195</v>
      </c>
      <c r="K655" s="72">
        <v>303127</v>
      </c>
      <c r="L655" s="72">
        <v>12673250</v>
      </c>
      <c r="M655" s="72">
        <v>0</v>
      </c>
      <c r="N655" s="72">
        <v>0</v>
      </c>
      <c r="O655" s="72">
        <v>0</v>
      </c>
      <c r="P655" s="72">
        <v>0</v>
      </c>
      <c r="Q655" s="72">
        <v>16103</v>
      </c>
      <c r="R655" s="72">
        <v>16103</v>
      </c>
      <c r="S655" s="72">
        <v>12689353</v>
      </c>
      <c r="T655" s="72">
        <v>6408388</v>
      </c>
      <c r="U655" s="72">
        <v>2451731</v>
      </c>
      <c r="V655" s="72">
        <v>1315766</v>
      </c>
      <c r="W655" s="72">
        <v>453719</v>
      </c>
      <c r="X655" s="72">
        <v>532267</v>
      </c>
      <c r="Y655" s="72">
        <v>0</v>
      </c>
      <c r="Z655" s="72">
        <v>0</v>
      </c>
      <c r="AA655" s="72">
        <v>0</v>
      </c>
      <c r="AB655" s="72">
        <v>0</v>
      </c>
      <c r="AC655" s="72">
        <v>0</v>
      </c>
      <c r="AD655" s="72">
        <v>0</v>
      </c>
      <c r="AE655" s="72">
        <v>0</v>
      </c>
      <c r="AF655" s="72">
        <v>0</v>
      </c>
      <c r="AG655" s="72">
        <v>272997</v>
      </c>
      <c r="AH655" s="72">
        <v>11434868</v>
      </c>
      <c r="AI655" s="72">
        <v>997381</v>
      </c>
      <c r="AJ655" s="72">
        <v>0</v>
      </c>
      <c r="AK655" s="72">
        <v>0</v>
      </c>
      <c r="AL655" s="72">
        <v>997381</v>
      </c>
      <c r="AM655" s="72">
        <v>12432249</v>
      </c>
      <c r="AN655" s="72">
        <v>257104</v>
      </c>
      <c r="AO655" s="72">
        <v>6131378</v>
      </c>
      <c r="AP655" s="72">
        <v>6388482</v>
      </c>
      <c r="AQ655" s="72">
        <v>200000</v>
      </c>
      <c r="AR655" s="72">
        <v>0</v>
      </c>
      <c r="AS655" s="72">
        <v>0</v>
      </c>
      <c r="AT655" s="72">
        <v>0</v>
      </c>
      <c r="AU655" s="72">
        <v>0</v>
      </c>
      <c r="AV655" s="72">
        <v>0</v>
      </c>
      <c r="AW655" s="72">
        <v>0</v>
      </c>
      <c r="AX655" s="72">
        <v>0</v>
      </c>
      <c r="AY655" s="72">
        <v>0</v>
      </c>
      <c r="AZ655" s="72">
        <v>0</v>
      </c>
      <c r="BA655" s="72">
        <v>6188482</v>
      </c>
      <c r="BB655" s="72">
        <v>0</v>
      </c>
      <c r="BC655" s="72">
        <v>0</v>
      </c>
      <c r="BD655" s="72">
        <v>0</v>
      </c>
      <c r="BE655" s="72">
        <v>6188482</v>
      </c>
      <c r="BF655" s="72">
        <v>0</v>
      </c>
      <c r="BG655" s="72">
        <v>0</v>
      </c>
      <c r="BH655" s="72">
        <v>0</v>
      </c>
      <c r="BI655" s="72">
        <v>0</v>
      </c>
      <c r="BJ655" s="72">
        <v>6188482</v>
      </c>
      <c r="BM655" s="72">
        <v>0</v>
      </c>
      <c r="BN655" s="72">
        <v>0</v>
      </c>
      <c r="BO655" s="72">
        <v>0</v>
      </c>
      <c r="BP655" s="72">
        <v>0</v>
      </c>
      <c r="BQ655" s="72">
        <v>0</v>
      </c>
      <c r="BR655" s="72">
        <v>0</v>
      </c>
      <c r="BS655" s="72">
        <v>12689353</v>
      </c>
    </row>
    <row r="656" spans="1:71" x14ac:dyDescent="0.2">
      <c r="A656" t="s">
        <v>234</v>
      </c>
      <c r="B656" t="s">
        <v>952</v>
      </c>
      <c r="C656" t="s">
        <v>80</v>
      </c>
      <c r="D656" s="72">
        <v>189800</v>
      </c>
      <c r="E656" s="72">
        <v>0</v>
      </c>
      <c r="F656" s="72">
        <v>0</v>
      </c>
      <c r="G656" s="72">
        <v>610100</v>
      </c>
      <c r="H656" s="72">
        <v>1000</v>
      </c>
      <c r="I656" s="72">
        <v>0</v>
      </c>
      <c r="J656" s="72">
        <v>30300</v>
      </c>
      <c r="K656" s="72">
        <v>379800</v>
      </c>
      <c r="L656" s="72">
        <v>1211000</v>
      </c>
      <c r="M656" s="72">
        <v>0</v>
      </c>
      <c r="N656" s="72">
        <v>0</v>
      </c>
      <c r="O656" s="72">
        <v>0</v>
      </c>
      <c r="P656" s="72">
        <v>0</v>
      </c>
      <c r="Q656" s="72">
        <v>0</v>
      </c>
      <c r="R656" s="72">
        <v>0</v>
      </c>
      <c r="S656" s="72">
        <v>1211000</v>
      </c>
      <c r="T656" s="72">
        <v>113300</v>
      </c>
      <c r="U656" s="72">
        <v>68600</v>
      </c>
      <c r="V656" s="72">
        <v>1021300</v>
      </c>
      <c r="W656" s="72">
        <v>1000</v>
      </c>
      <c r="X656" s="72">
        <v>0</v>
      </c>
      <c r="Y656" s="72">
        <v>0</v>
      </c>
      <c r="Z656" s="72">
        <v>0</v>
      </c>
      <c r="AA656" s="72">
        <v>0</v>
      </c>
      <c r="AB656" s="72">
        <v>0</v>
      </c>
      <c r="AC656" s="72">
        <v>0</v>
      </c>
      <c r="AD656" s="72">
        <v>0</v>
      </c>
      <c r="AE656" s="72">
        <v>0</v>
      </c>
      <c r="AF656" s="72">
        <v>0</v>
      </c>
      <c r="AG656" s="72">
        <v>23600</v>
      </c>
      <c r="AH656" s="72">
        <v>1227800</v>
      </c>
      <c r="AI656" s="72">
        <v>1000</v>
      </c>
      <c r="AJ656" s="72">
        <v>0</v>
      </c>
      <c r="AK656" s="72">
        <v>0</v>
      </c>
      <c r="AL656" s="72">
        <v>1000</v>
      </c>
      <c r="AM656" s="72">
        <v>1228800</v>
      </c>
      <c r="AN656" s="72">
        <v>-17800</v>
      </c>
      <c r="AO656" s="72">
        <v>2326875</v>
      </c>
      <c r="AP656" s="72">
        <v>2309075</v>
      </c>
      <c r="AQ656" s="72">
        <v>0</v>
      </c>
      <c r="AR656" s="72">
        <v>0</v>
      </c>
      <c r="AS656" s="72">
        <v>0</v>
      </c>
      <c r="AT656" s="72">
        <v>0</v>
      </c>
      <c r="AU656" s="72">
        <v>0</v>
      </c>
      <c r="AV656" s="72">
        <v>0</v>
      </c>
      <c r="AW656" s="72">
        <v>0</v>
      </c>
      <c r="AX656" s="72">
        <v>0</v>
      </c>
      <c r="AY656" s="72">
        <v>0</v>
      </c>
      <c r="AZ656" s="72">
        <v>0</v>
      </c>
      <c r="BA656" s="72">
        <v>2309075</v>
      </c>
      <c r="BB656" s="72">
        <v>0</v>
      </c>
      <c r="BC656" s="72">
        <v>0</v>
      </c>
      <c r="BD656" s="72">
        <v>0</v>
      </c>
      <c r="BE656" s="72">
        <v>2309075</v>
      </c>
      <c r="BF656" s="72">
        <v>0</v>
      </c>
      <c r="BG656" s="72">
        <v>0</v>
      </c>
      <c r="BH656" s="72">
        <v>0</v>
      </c>
      <c r="BI656" s="72">
        <v>0</v>
      </c>
      <c r="BJ656" s="72">
        <v>2309075</v>
      </c>
      <c r="BK656" s="72">
        <v>10</v>
      </c>
      <c r="BL656" s="72">
        <v>100</v>
      </c>
      <c r="BM656" s="72">
        <v>0</v>
      </c>
      <c r="BN656" s="72">
        <v>0</v>
      </c>
      <c r="BO656" s="72">
        <v>0</v>
      </c>
      <c r="BP656" s="72">
        <v>0</v>
      </c>
      <c r="BQ656" s="72">
        <v>0</v>
      </c>
      <c r="BR656" s="72">
        <v>0</v>
      </c>
      <c r="BS656" s="72">
        <v>2326875</v>
      </c>
    </row>
    <row r="657" spans="1:71" x14ac:dyDescent="0.2">
      <c r="A657" t="s">
        <v>247</v>
      </c>
      <c r="B657" t="s">
        <v>965</v>
      </c>
      <c r="C657" t="s">
        <v>96</v>
      </c>
      <c r="D657" s="72">
        <v>999298</v>
      </c>
      <c r="E657" s="72">
        <v>311284</v>
      </c>
      <c r="F657" s="72">
        <v>0</v>
      </c>
      <c r="G657" s="72">
        <v>1343258</v>
      </c>
      <c r="H657" s="72">
        <v>622162</v>
      </c>
      <c r="I657" s="72">
        <v>0</v>
      </c>
      <c r="J657" s="72">
        <v>165371</v>
      </c>
      <c r="K657" s="72">
        <v>62200</v>
      </c>
      <c r="L657" s="72">
        <v>3503573</v>
      </c>
      <c r="M657" s="72">
        <v>0</v>
      </c>
      <c r="N657" s="72">
        <v>0</v>
      </c>
      <c r="O657" s="72">
        <v>0</v>
      </c>
      <c r="P657" s="72">
        <v>35000</v>
      </c>
      <c r="Q657" s="72">
        <v>10164</v>
      </c>
      <c r="R657" s="72">
        <v>45164</v>
      </c>
      <c r="S657" s="72">
        <v>3548737</v>
      </c>
      <c r="T657" s="72">
        <v>2103069</v>
      </c>
      <c r="U657" s="72">
        <v>891530</v>
      </c>
      <c r="V657" s="72">
        <v>383840</v>
      </c>
      <c r="W657" s="72">
        <v>224200</v>
      </c>
      <c r="X657" s="72">
        <v>78200</v>
      </c>
      <c r="Y657" s="72">
        <v>0</v>
      </c>
      <c r="Z657" s="72">
        <v>0</v>
      </c>
      <c r="AA657" s="72">
        <v>0</v>
      </c>
      <c r="AB657" s="72">
        <v>0</v>
      </c>
      <c r="AC657" s="72">
        <v>0</v>
      </c>
      <c r="AD657" s="72">
        <v>18346</v>
      </c>
      <c r="AE657" s="72">
        <v>0</v>
      </c>
      <c r="AF657" s="72">
        <v>8776</v>
      </c>
      <c r="AG657" s="72">
        <v>73330</v>
      </c>
      <c r="AH657" s="72">
        <v>3781291</v>
      </c>
      <c r="AI657" s="72">
        <v>2000</v>
      </c>
      <c r="AJ657" s="72">
        <v>35000</v>
      </c>
      <c r="AK657" s="72">
        <v>0</v>
      </c>
      <c r="AL657" s="72">
        <v>37000</v>
      </c>
      <c r="AM657" s="72">
        <v>3818291</v>
      </c>
      <c r="AN657" s="72">
        <v>-269554</v>
      </c>
      <c r="AO657" s="72">
        <v>862772</v>
      </c>
      <c r="AP657" s="72">
        <v>593218</v>
      </c>
      <c r="AQ657" s="72">
        <v>25000</v>
      </c>
      <c r="AR657" s="72">
        <v>0</v>
      </c>
      <c r="AS657" s="72">
        <v>0</v>
      </c>
      <c r="AT657" s="72">
        <v>0</v>
      </c>
      <c r="AU657" s="72">
        <v>0</v>
      </c>
      <c r="AV657" s="72">
        <v>0</v>
      </c>
      <c r="AW657" s="72">
        <v>0</v>
      </c>
      <c r="AX657" s="72">
        <v>0</v>
      </c>
      <c r="AY657" s="72">
        <v>0</v>
      </c>
      <c r="AZ657" s="72">
        <v>0</v>
      </c>
      <c r="BA657" s="72">
        <v>568218</v>
      </c>
      <c r="BB657" s="72">
        <v>0</v>
      </c>
      <c r="BC657" s="72">
        <v>0</v>
      </c>
      <c r="BD657" s="72">
        <v>0</v>
      </c>
      <c r="BE657" s="72">
        <v>568218</v>
      </c>
      <c r="BF657" s="72">
        <v>0</v>
      </c>
      <c r="BG657" s="72">
        <v>0</v>
      </c>
      <c r="BH657" s="72">
        <v>0</v>
      </c>
      <c r="BI657" s="72">
        <v>0</v>
      </c>
      <c r="BJ657" s="72">
        <v>568218</v>
      </c>
      <c r="BM657" s="72">
        <v>0</v>
      </c>
      <c r="BN657" s="72">
        <v>0</v>
      </c>
      <c r="BO657" s="72">
        <v>0</v>
      </c>
      <c r="BP657" s="72">
        <v>0</v>
      </c>
      <c r="BQ657" s="72">
        <v>0</v>
      </c>
      <c r="BR657" s="72">
        <v>0</v>
      </c>
      <c r="BS657" s="72">
        <v>3818291</v>
      </c>
    </row>
    <row r="658" spans="1:71" x14ac:dyDescent="0.2">
      <c r="A658" t="s">
        <v>687</v>
      </c>
      <c r="B658" t="s">
        <v>1377</v>
      </c>
      <c r="C658" t="s">
        <v>33</v>
      </c>
      <c r="D658" s="72">
        <v>3767400</v>
      </c>
      <c r="E658" s="72">
        <v>400</v>
      </c>
      <c r="F658" s="72">
        <v>0</v>
      </c>
      <c r="G658" s="72">
        <v>3977200</v>
      </c>
      <c r="H658" s="72">
        <v>1615700</v>
      </c>
      <c r="I658" s="72">
        <v>0</v>
      </c>
      <c r="J658" s="72">
        <v>742800</v>
      </c>
      <c r="K658" s="72">
        <v>323290</v>
      </c>
      <c r="L658" s="72">
        <v>10426790</v>
      </c>
      <c r="M658" s="72">
        <v>0</v>
      </c>
      <c r="N658" s="72">
        <v>0</v>
      </c>
      <c r="O658" s="72">
        <v>144484</v>
      </c>
      <c r="P658" s="72">
        <v>0</v>
      </c>
      <c r="Q658" s="72">
        <v>2800</v>
      </c>
      <c r="R658" s="72">
        <v>147284</v>
      </c>
      <c r="S658" s="72">
        <v>10574074</v>
      </c>
      <c r="T658" s="72">
        <v>4515000</v>
      </c>
      <c r="U658" s="72">
        <v>1890000</v>
      </c>
      <c r="V658" s="72">
        <v>2585000</v>
      </c>
      <c r="W658" s="72">
        <v>624000</v>
      </c>
      <c r="X658" s="72">
        <v>400000</v>
      </c>
      <c r="Y658" s="72">
        <v>0</v>
      </c>
      <c r="Z658" s="72">
        <v>0</v>
      </c>
      <c r="AA658" s="72">
        <v>0</v>
      </c>
      <c r="AB658" s="72">
        <v>0</v>
      </c>
      <c r="AC658" s="72">
        <v>0</v>
      </c>
      <c r="AD658" s="72">
        <v>0</v>
      </c>
      <c r="AE658" s="72">
        <v>144484</v>
      </c>
      <c r="AF658" s="72">
        <v>0</v>
      </c>
      <c r="AG658" s="72">
        <v>133000</v>
      </c>
      <c r="AH658" s="72">
        <v>10291484</v>
      </c>
      <c r="AI658" s="72">
        <v>240000</v>
      </c>
      <c r="AJ658" s="72">
        <v>0</v>
      </c>
      <c r="AK658" s="72">
        <v>0</v>
      </c>
      <c r="AL658" s="72">
        <v>240000</v>
      </c>
      <c r="AM658" s="72">
        <v>10531484</v>
      </c>
      <c r="AN658" s="72">
        <v>42590</v>
      </c>
      <c r="AO658" s="72">
        <v>2197222</v>
      </c>
      <c r="AP658" s="72">
        <v>2239812</v>
      </c>
      <c r="AQ658" s="72">
        <v>130000</v>
      </c>
      <c r="AR658" s="72">
        <v>0</v>
      </c>
      <c r="AS658" s="72">
        <v>0</v>
      </c>
      <c r="AT658" s="72">
        <v>0</v>
      </c>
      <c r="AU658" s="72">
        <v>0</v>
      </c>
      <c r="AV658" s="72">
        <v>0</v>
      </c>
      <c r="AW658" s="72">
        <v>0</v>
      </c>
      <c r="AX658" s="72">
        <v>0</v>
      </c>
      <c r="AY658" s="72">
        <v>0</v>
      </c>
      <c r="AZ658" s="72">
        <v>0</v>
      </c>
      <c r="BA658" s="72">
        <v>2109812</v>
      </c>
      <c r="BB658" s="72">
        <v>0</v>
      </c>
      <c r="BC658" s="72">
        <v>0</v>
      </c>
      <c r="BD658" s="72">
        <v>0</v>
      </c>
      <c r="BE658" s="72">
        <v>2109812</v>
      </c>
      <c r="BF658" s="72">
        <v>0</v>
      </c>
      <c r="BG658" s="72">
        <v>0</v>
      </c>
      <c r="BH658" s="72">
        <v>0</v>
      </c>
      <c r="BI658" s="72">
        <v>0</v>
      </c>
      <c r="BJ658" s="72">
        <v>2109812</v>
      </c>
      <c r="BK658" s="72">
        <v>0</v>
      </c>
      <c r="BL658" s="72">
        <v>0</v>
      </c>
      <c r="BM658" s="72">
        <v>0</v>
      </c>
      <c r="BN658" s="72">
        <v>0</v>
      </c>
      <c r="BO658" s="72">
        <v>0</v>
      </c>
      <c r="BP658" s="72">
        <v>0</v>
      </c>
      <c r="BQ658" s="72">
        <v>0</v>
      </c>
      <c r="BR658" s="72">
        <v>0</v>
      </c>
      <c r="BS658" s="72">
        <v>10574074</v>
      </c>
    </row>
    <row r="659" spans="1:71" x14ac:dyDescent="0.2">
      <c r="A659" t="s">
        <v>329</v>
      </c>
      <c r="B659" t="s">
        <v>1043</v>
      </c>
      <c r="C659" t="s">
        <v>90</v>
      </c>
      <c r="D659" s="72">
        <v>8874579</v>
      </c>
      <c r="E659" s="72">
        <v>12165</v>
      </c>
      <c r="F659" s="72">
        <v>0</v>
      </c>
      <c r="G659" s="72">
        <v>10324738</v>
      </c>
      <c r="H659" s="72">
        <v>80454</v>
      </c>
      <c r="I659" s="72">
        <v>0</v>
      </c>
      <c r="J659" s="72">
        <v>600000</v>
      </c>
      <c r="K659" s="72">
        <v>1500000</v>
      </c>
      <c r="L659" s="72">
        <v>21391936</v>
      </c>
      <c r="M659" s="72">
        <v>0</v>
      </c>
      <c r="N659" s="72">
        <v>0</v>
      </c>
      <c r="O659" s="72">
        <v>700000</v>
      </c>
      <c r="P659" s="72">
        <v>200000</v>
      </c>
      <c r="Q659" s="72">
        <v>5000</v>
      </c>
      <c r="R659" s="72">
        <v>905000</v>
      </c>
      <c r="S659" s="72">
        <v>22296936</v>
      </c>
      <c r="T659" s="72">
        <v>11292338</v>
      </c>
      <c r="U659" s="72">
        <v>5218149</v>
      </c>
      <c r="V659" s="72">
        <v>3650000</v>
      </c>
      <c r="W659" s="72">
        <v>850000</v>
      </c>
      <c r="X659" s="72">
        <v>200000</v>
      </c>
      <c r="Y659" s="72">
        <v>0</v>
      </c>
      <c r="Z659" s="72">
        <v>0</v>
      </c>
      <c r="AA659" s="72">
        <v>0</v>
      </c>
      <c r="AB659" s="72">
        <v>0</v>
      </c>
      <c r="AC659" s="72">
        <v>0</v>
      </c>
      <c r="AD659" s="72">
        <v>0</v>
      </c>
      <c r="AE659" s="72">
        <v>0</v>
      </c>
      <c r="AF659" s="72">
        <v>0</v>
      </c>
      <c r="AG659" s="72">
        <v>450000</v>
      </c>
      <c r="AH659" s="72">
        <v>21660487</v>
      </c>
      <c r="AI659" s="72">
        <v>750000</v>
      </c>
      <c r="AJ659" s="72">
        <v>200000</v>
      </c>
      <c r="AK659" s="72">
        <v>0</v>
      </c>
      <c r="AL659" s="72">
        <v>950000</v>
      </c>
      <c r="AM659" s="72">
        <v>22610487</v>
      </c>
      <c r="AN659" s="72">
        <v>-313551</v>
      </c>
      <c r="AO659" s="72">
        <v>7845322</v>
      </c>
      <c r="AP659" s="72">
        <v>7531771</v>
      </c>
      <c r="AQ659" s="72">
        <v>0</v>
      </c>
      <c r="AR659" s="72">
        <v>225000</v>
      </c>
      <c r="AS659" s="72">
        <v>150000</v>
      </c>
      <c r="AT659" s="72">
        <v>0</v>
      </c>
      <c r="AU659" s="72">
        <v>0</v>
      </c>
      <c r="AV659" s="72">
        <v>0</v>
      </c>
      <c r="AW659" s="72">
        <v>0</v>
      </c>
      <c r="AX659" s="72">
        <v>0</v>
      </c>
      <c r="AY659" s="72">
        <v>180000</v>
      </c>
      <c r="AZ659" s="72">
        <v>555000</v>
      </c>
      <c r="BA659" s="72">
        <v>6976771</v>
      </c>
      <c r="BB659" s="72">
        <v>0</v>
      </c>
      <c r="BC659" s="72">
        <v>0</v>
      </c>
      <c r="BD659" s="72">
        <v>0</v>
      </c>
      <c r="BE659" s="72">
        <v>6976771</v>
      </c>
      <c r="BF659" s="72">
        <v>0</v>
      </c>
      <c r="BG659" s="72">
        <v>0</v>
      </c>
      <c r="BH659" s="72">
        <v>0</v>
      </c>
      <c r="BI659" s="72">
        <v>0</v>
      </c>
      <c r="BJ659" s="72">
        <v>6976771</v>
      </c>
      <c r="BK659" s="72">
        <v>180</v>
      </c>
      <c r="BL659" s="72">
        <v>2135</v>
      </c>
      <c r="BM659" s="72">
        <v>0</v>
      </c>
      <c r="BN659" s="72">
        <v>0</v>
      </c>
      <c r="BO659" s="72">
        <v>0</v>
      </c>
      <c r="BP659" s="72">
        <v>0</v>
      </c>
      <c r="BQ659" s="72">
        <v>0</v>
      </c>
      <c r="BR659" s="72">
        <v>0</v>
      </c>
      <c r="BS659" s="72">
        <v>22610487</v>
      </c>
    </row>
    <row r="660" spans="1:71" x14ac:dyDescent="0.2">
      <c r="A660" t="s">
        <v>273</v>
      </c>
      <c r="B660" t="s">
        <v>990</v>
      </c>
      <c r="C660" t="s">
        <v>93</v>
      </c>
      <c r="D660" s="72">
        <v>2193673</v>
      </c>
      <c r="E660" s="72">
        <v>119702</v>
      </c>
      <c r="F660" s="72">
        <v>0</v>
      </c>
      <c r="G660" s="72">
        <v>6021027</v>
      </c>
      <c r="H660" s="72">
        <v>63892</v>
      </c>
      <c r="I660" s="72">
        <v>0</v>
      </c>
      <c r="J660" s="72">
        <v>348197</v>
      </c>
      <c r="K660" s="72">
        <v>1297033</v>
      </c>
      <c r="L660" s="72">
        <v>10043524</v>
      </c>
      <c r="M660" s="72">
        <v>0</v>
      </c>
      <c r="N660" s="72">
        <v>0</v>
      </c>
      <c r="O660" s="72">
        <v>0</v>
      </c>
      <c r="P660" s="72">
        <v>72381</v>
      </c>
      <c r="Q660" s="72">
        <v>21921</v>
      </c>
      <c r="R660" s="72">
        <v>94302</v>
      </c>
      <c r="S660" s="72">
        <v>10137826</v>
      </c>
      <c r="T660" s="72">
        <v>4491440</v>
      </c>
      <c r="U660" s="72">
        <v>2734881</v>
      </c>
      <c r="V660" s="72">
        <v>1673816</v>
      </c>
      <c r="W660" s="72">
        <v>471111</v>
      </c>
      <c r="X660" s="72">
        <v>60287</v>
      </c>
      <c r="Y660" s="72">
        <v>0</v>
      </c>
      <c r="Z660" s="72">
        <v>0</v>
      </c>
      <c r="AA660" s="72">
        <v>0</v>
      </c>
      <c r="AB660" s="72">
        <v>0</v>
      </c>
      <c r="AC660" s="72">
        <v>0</v>
      </c>
      <c r="AD660" s="72">
        <v>28800</v>
      </c>
      <c r="AE660" s="72">
        <v>0</v>
      </c>
      <c r="AF660" s="72">
        <v>13608</v>
      </c>
      <c r="AG660" s="72">
        <v>532217</v>
      </c>
      <c r="AH660" s="72">
        <v>10006161</v>
      </c>
      <c r="AI660" s="72">
        <v>175000</v>
      </c>
      <c r="AJ660" s="72">
        <v>70000</v>
      </c>
      <c r="AK660" s="72">
        <v>0</v>
      </c>
      <c r="AL660" s="72">
        <v>245000</v>
      </c>
      <c r="AM660" s="72">
        <v>10251161</v>
      </c>
      <c r="AN660" s="72">
        <v>-113335</v>
      </c>
      <c r="AO660" s="72">
        <v>3308679</v>
      </c>
      <c r="AP660" s="72">
        <v>3195344</v>
      </c>
      <c r="AQ660" s="72">
        <v>300000</v>
      </c>
      <c r="AR660" s="72">
        <v>0</v>
      </c>
      <c r="AS660" s="72">
        <v>0</v>
      </c>
      <c r="AT660" s="72">
        <v>0</v>
      </c>
      <c r="AU660" s="72">
        <v>0</v>
      </c>
      <c r="AV660" s="72">
        <v>0</v>
      </c>
      <c r="AW660" s="72">
        <v>0</v>
      </c>
      <c r="AX660" s="72">
        <v>0</v>
      </c>
      <c r="AY660" s="72">
        <v>0</v>
      </c>
      <c r="AZ660" s="72">
        <v>0</v>
      </c>
      <c r="BA660" s="72">
        <v>2895344</v>
      </c>
      <c r="BB660" s="72">
        <v>0</v>
      </c>
      <c r="BC660" s="72">
        <v>0</v>
      </c>
      <c r="BD660" s="72">
        <v>0</v>
      </c>
      <c r="BE660" s="72">
        <v>2895344</v>
      </c>
      <c r="BF660" s="72">
        <v>0</v>
      </c>
      <c r="BG660" s="72">
        <v>0</v>
      </c>
      <c r="BH660" s="72">
        <v>0</v>
      </c>
      <c r="BI660" s="72">
        <v>0</v>
      </c>
      <c r="BJ660" s="72">
        <v>2895344</v>
      </c>
      <c r="BM660" s="72">
        <v>0</v>
      </c>
      <c r="BN660" s="72">
        <v>0</v>
      </c>
      <c r="BO660" s="72">
        <v>0</v>
      </c>
      <c r="BP660" s="72">
        <v>0</v>
      </c>
      <c r="BQ660" s="72">
        <v>0</v>
      </c>
      <c r="BR660" s="72">
        <v>0</v>
      </c>
      <c r="BS660" s="72">
        <v>10251161</v>
      </c>
    </row>
    <row r="661" spans="1:71" x14ac:dyDescent="0.2">
      <c r="A661" t="s">
        <v>685</v>
      </c>
      <c r="B661" t="s">
        <v>1375</v>
      </c>
      <c r="C661" t="s">
        <v>80</v>
      </c>
      <c r="D661" s="72">
        <v>3501210</v>
      </c>
      <c r="E661" s="72">
        <v>0</v>
      </c>
      <c r="F661" s="72">
        <v>0</v>
      </c>
      <c r="G661" s="72">
        <v>3770783</v>
      </c>
      <c r="H661" s="72">
        <v>11171</v>
      </c>
      <c r="I661" s="72">
        <v>0</v>
      </c>
      <c r="J661" s="72">
        <v>940340</v>
      </c>
      <c r="K661" s="72">
        <v>338813</v>
      </c>
      <c r="L661" s="72">
        <v>8562317</v>
      </c>
      <c r="M661" s="72">
        <v>0</v>
      </c>
      <c r="N661" s="72">
        <v>0</v>
      </c>
      <c r="O661" s="72">
        <v>0</v>
      </c>
      <c r="P661" s="72">
        <v>25000</v>
      </c>
      <c r="Q661" s="72">
        <v>17091</v>
      </c>
      <c r="R661" s="72">
        <v>42091</v>
      </c>
      <c r="S661" s="72">
        <v>8604408</v>
      </c>
      <c r="T661" s="72">
        <v>4869178</v>
      </c>
      <c r="U661" s="72">
        <v>2205130</v>
      </c>
      <c r="V661" s="72">
        <v>1554104</v>
      </c>
      <c r="W661" s="72">
        <v>330370</v>
      </c>
      <c r="X661" s="72">
        <v>31859</v>
      </c>
      <c r="Y661" s="72">
        <v>0</v>
      </c>
      <c r="Z661" s="72">
        <v>0</v>
      </c>
      <c r="AA661" s="72">
        <v>0</v>
      </c>
      <c r="AB661" s="72">
        <v>0</v>
      </c>
      <c r="AC661" s="72">
        <v>0</v>
      </c>
      <c r="AD661" s="72">
        <v>0</v>
      </c>
      <c r="AE661" s="72">
        <v>0</v>
      </c>
      <c r="AF661" s="72">
        <v>0</v>
      </c>
      <c r="AG661" s="72">
        <v>151616</v>
      </c>
      <c r="AH661" s="72">
        <v>9142257</v>
      </c>
      <c r="AI661" s="72">
        <v>25000</v>
      </c>
      <c r="AJ661" s="72">
        <v>25000</v>
      </c>
      <c r="AK661" s="72">
        <v>0</v>
      </c>
      <c r="AL661" s="72">
        <v>50000</v>
      </c>
      <c r="AM661" s="72">
        <v>9192257</v>
      </c>
      <c r="AN661" s="72">
        <v>-587849</v>
      </c>
      <c r="AO661" s="72">
        <v>1019321</v>
      </c>
      <c r="AP661" s="72">
        <v>431472</v>
      </c>
      <c r="AQ661" s="72">
        <v>160000</v>
      </c>
      <c r="AR661" s="72">
        <v>0</v>
      </c>
      <c r="AS661" s="72">
        <v>0</v>
      </c>
      <c r="AT661" s="72">
        <v>0</v>
      </c>
      <c r="AU661" s="72">
        <v>0</v>
      </c>
      <c r="AV661" s="72">
        <v>0</v>
      </c>
      <c r="AW661" s="72">
        <v>0</v>
      </c>
      <c r="AX661" s="72">
        <v>0</v>
      </c>
      <c r="AY661" s="72">
        <v>0</v>
      </c>
      <c r="AZ661" s="72">
        <v>0</v>
      </c>
      <c r="BA661" s="72">
        <v>271472</v>
      </c>
      <c r="BB661" s="72">
        <v>0</v>
      </c>
      <c r="BC661" s="72">
        <v>0</v>
      </c>
      <c r="BD661" s="72">
        <v>0</v>
      </c>
      <c r="BE661" s="72">
        <v>271472</v>
      </c>
      <c r="BF661" s="72">
        <v>49839</v>
      </c>
      <c r="BG661" s="72">
        <v>0</v>
      </c>
      <c r="BH661" s="72">
        <v>49839</v>
      </c>
      <c r="BI661" s="72">
        <v>0</v>
      </c>
      <c r="BJ661" s="72">
        <v>321311</v>
      </c>
      <c r="BK661" s="72">
        <v>67</v>
      </c>
      <c r="BL661" s="72">
        <v>950</v>
      </c>
      <c r="BM661" s="72">
        <v>0</v>
      </c>
      <c r="BN661" s="72">
        <v>0</v>
      </c>
      <c r="BO661" s="72">
        <v>0</v>
      </c>
      <c r="BP661" s="72">
        <v>0</v>
      </c>
      <c r="BQ661" s="72">
        <v>0</v>
      </c>
      <c r="BR661" s="72">
        <v>0</v>
      </c>
      <c r="BS661" s="72">
        <v>9192257</v>
      </c>
    </row>
    <row r="662" spans="1:71" x14ac:dyDescent="0.2">
      <c r="A662" t="s">
        <v>493</v>
      </c>
      <c r="B662" t="s">
        <v>1359</v>
      </c>
      <c r="C662" t="s">
        <v>77</v>
      </c>
      <c r="D662" s="72">
        <v>7698591</v>
      </c>
      <c r="E662" s="72">
        <v>2408801</v>
      </c>
      <c r="F662" s="72">
        <v>0</v>
      </c>
      <c r="G662" s="72">
        <v>5574228</v>
      </c>
      <c r="H662" s="72">
        <v>30000</v>
      </c>
      <c r="I662" s="72">
        <v>0</v>
      </c>
      <c r="J662" s="72">
        <v>1673108</v>
      </c>
      <c r="K662" s="72">
        <v>4703745</v>
      </c>
      <c r="L662" s="72">
        <v>22088473</v>
      </c>
      <c r="M662" s="72">
        <v>0</v>
      </c>
      <c r="N662" s="72">
        <v>0</v>
      </c>
      <c r="O662" s="72">
        <v>0</v>
      </c>
      <c r="P662" s="72">
        <v>0</v>
      </c>
      <c r="Q662" s="72">
        <v>31602</v>
      </c>
      <c r="R662" s="72">
        <v>31602</v>
      </c>
      <c r="S662" s="72">
        <v>22120075</v>
      </c>
      <c r="T662" s="72">
        <v>9292155</v>
      </c>
      <c r="U662" s="72">
        <v>3512723</v>
      </c>
      <c r="V662" s="72">
        <v>5512098</v>
      </c>
      <c r="W662" s="72">
        <v>560875</v>
      </c>
      <c r="X662" s="72">
        <v>106500</v>
      </c>
      <c r="Y662" s="72">
        <v>0</v>
      </c>
      <c r="Z662" s="72">
        <v>0</v>
      </c>
      <c r="AA662" s="72">
        <v>0</v>
      </c>
      <c r="AB662" s="72">
        <v>0</v>
      </c>
      <c r="AC662" s="72">
        <v>1315500</v>
      </c>
      <c r="AD662" s="72">
        <v>0</v>
      </c>
      <c r="AE662" s="72">
        <v>0</v>
      </c>
      <c r="AF662" s="72">
        <v>0</v>
      </c>
      <c r="AG662" s="72">
        <v>419900</v>
      </c>
      <c r="AH662" s="72">
        <v>20719751</v>
      </c>
      <c r="AI662" s="72">
        <v>620430</v>
      </c>
      <c r="AJ662" s="72">
        <v>0</v>
      </c>
      <c r="AK662" s="72">
        <v>0</v>
      </c>
      <c r="AL662" s="72">
        <v>620430</v>
      </c>
      <c r="AM662" s="72">
        <v>21340181</v>
      </c>
      <c r="AN662" s="72">
        <v>779894</v>
      </c>
      <c r="AO662" s="72">
        <v>1876191</v>
      </c>
      <c r="AP662" s="72">
        <v>2656085</v>
      </c>
      <c r="AQ662" s="72">
        <v>300000</v>
      </c>
      <c r="AR662" s="72">
        <v>0</v>
      </c>
      <c r="AS662" s="72">
        <v>0</v>
      </c>
      <c r="AT662" s="72">
        <v>0</v>
      </c>
      <c r="AU662" s="72">
        <v>0</v>
      </c>
      <c r="AV662" s="72">
        <v>0</v>
      </c>
      <c r="AW662" s="72">
        <v>0</v>
      </c>
      <c r="AX662" s="72">
        <v>0</v>
      </c>
      <c r="AY662" s="72">
        <v>0</v>
      </c>
      <c r="AZ662" s="72">
        <v>0</v>
      </c>
      <c r="BA662" s="72">
        <v>2356085</v>
      </c>
      <c r="BB662" s="72">
        <v>0</v>
      </c>
      <c r="BC662" s="72">
        <v>0</v>
      </c>
      <c r="BD662" s="72">
        <v>0</v>
      </c>
      <c r="BE662" s="72">
        <v>2356085</v>
      </c>
      <c r="BF662" s="72">
        <v>0</v>
      </c>
      <c r="BH662" s="72">
        <v>0</v>
      </c>
      <c r="BI662" s="72">
        <v>0</v>
      </c>
      <c r="BJ662" s="72">
        <v>2356085</v>
      </c>
      <c r="BK662" s="72">
        <v>208</v>
      </c>
      <c r="BL662" s="72">
        <v>2315</v>
      </c>
      <c r="BM662" s="72">
        <v>0</v>
      </c>
      <c r="BN662" s="72">
        <v>0</v>
      </c>
      <c r="BO662" s="72">
        <v>0</v>
      </c>
      <c r="BP662" s="72">
        <v>0</v>
      </c>
      <c r="BQ662" s="72">
        <v>0</v>
      </c>
      <c r="BR662" s="72">
        <v>0</v>
      </c>
      <c r="BS662" s="72">
        <v>22120075</v>
      </c>
    </row>
    <row r="663" spans="1:71" x14ac:dyDescent="0.2">
      <c r="A663" t="s">
        <v>113</v>
      </c>
      <c r="B663" t="e">
        <v>#N/A</v>
      </c>
      <c r="D663" s="72">
        <v>398244352</v>
      </c>
      <c r="E663" s="72">
        <v>22221945</v>
      </c>
      <c r="F663" s="72">
        <v>14884821</v>
      </c>
      <c r="G663" s="72">
        <v>425495955</v>
      </c>
      <c r="H663" s="72">
        <v>7415159</v>
      </c>
      <c r="I663" s="72">
        <v>961498</v>
      </c>
      <c r="J663" s="72">
        <v>61843258</v>
      </c>
      <c r="K663" s="72">
        <v>33061609</v>
      </c>
      <c r="L663" s="72">
        <v>733563538</v>
      </c>
      <c r="M663" s="72">
        <v>2411000</v>
      </c>
      <c r="N663" s="72">
        <v>0</v>
      </c>
      <c r="O663" s="72">
        <v>3000000</v>
      </c>
      <c r="P663" s="72">
        <v>30000000</v>
      </c>
      <c r="Q663" s="72">
        <v>4046000</v>
      </c>
      <c r="R663" s="72">
        <v>31665961</v>
      </c>
      <c r="S663" s="72">
        <v>765229499</v>
      </c>
      <c r="T663" s="72">
        <v>383141102</v>
      </c>
      <c r="U663" s="72">
        <v>155896988</v>
      </c>
      <c r="V663" s="72">
        <v>237681608</v>
      </c>
      <c r="W663" s="72">
        <v>19267061</v>
      </c>
      <c r="X663" s="72">
        <v>5807069</v>
      </c>
      <c r="Y663" s="72">
        <v>1350000</v>
      </c>
      <c r="Z663" s="72">
        <v>523000</v>
      </c>
      <c r="AA663" s="72">
        <v>2511000</v>
      </c>
      <c r="AB663" s="72">
        <v>1333333</v>
      </c>
      <c r="AC663" s="72">
        <v>2976000</v>
      </c>
      <c r="AD663" s="72">
        <v>2183072</v>
      </c>
      <c r="AE663" s="72">
        <v>4455000</v>
      </c>
      <c r="AF663" s="72">
        <v>5435236</v>
      </c>
      <c r="AG663" s="72">
        <v>14417054</v>
      </c>
      <c r="AH663" s="72">
        <v>761332958</v>
      </c>
      <c r="AI663" s="72">
        <v>18085480</v>
      </c>
      <c r="AJ663" s="72">
        <v>30000000</v>
      </c>
      <c r="AK663" s="72">
        <v>4000000</v>
      </c>
      <c r="AL663" s="72">
        <v>33777141</v>
      </c>
      <c r="AM663" s="72">
        <v>795110099</v>
      </c>
      <c r="AN663" s="72">
        <v>18972362</v>
      </c>
      <c r="AO663" s="72">
        <v>120605461</v>
      </c>
      <c r="AP663" s="72">
        <v>90828346</v>
      </c>
      <c r="AQ663" s="72">
        <v>12500000</v>
      </c>
      <c r="AR663" s="72">
        <v>1000000</v>
      </c>
      <c r="AS663" s="72">
        <v>5283009</v>
      </c>
      <c r="AT663" s="72">
        <v>13000000</v>
      </c>
      <c r="AU663" s="72">
        <v>261129</v>
      </c>
      <c r="AV663" s="72">
        <v>1222668</v>
      </c>
      <c r="AW663" s="72">
        <v>5651925</v>
      </c>
      <c r="AX663" s="72">
        <v>7500000</v>
      </c>
      <c r="AY663" s="72">
        <v>563133</v>
      </c>
      <c r="AZ663" s="72">
        <v>13000000</v>
      </c>
      <c r="BA663" s="72">
        <v>87328346</v>
      </c>
      <c r="BB663" s="72">
        <v>872927</v>
      </c>
      <c r="BC663" s="72">
        <v>6910574</v>
      </c>
      <c r="BD663" s="72">
        <v>6910574</v>
      </c>
      <c r="BE663" s="72">
        <v>87328346</v>
      </c>
      <c r="BF663" s="72">
        <v>286420</v>
      </c>
      <c r="BG663" s="72">
        <v>5041006</v>
      </c>
      <c r="BH663" s="72">
        <v>5041006</v>
      </c>
      <c r="BI663" s="72">
        <v>0</v>
      </c>
      <c r="BJ663" s="72">
        <v>87328346</v>
      </c>
      <c r="BK663" s="72">
        <v>2310</v>
      </c>
      <c r="BL663" s="72">
        <v>25009</v>
      </c>
      <c r="BM663" s="72">
        <v>721294</v>
      </c>
      <c r="BN663" s="72">
        <v>100981</v>
      </c>
      <c r="BO663" s="72">
        <v>155485</v>
      </c>
      <c r="BP663" s="72">
        <v>0</v>
      </c>
      <c r="BQ663" s="72">
        <v>0</v>
      </c>
      <c r="BR663" s="72">
        <v>859419</v>
      </c>
      <c r="BS663" s="72">
        <v>795110099</v>
      </c>
    </row>
    <row r="664" spans="1:71" x14ac:dyDescent="0.2">
      <c r="B664" t="e">
        <v>#N/A</v>
      </c>
    </row>
    <row r="665" spans="1:71" x14ac:dyDescent="0.2">
      <c r="B665" t="e">
        <v>#N/A</v>
      </c>
    </row>
    <row r="666" spans="1:71" x14ac:dyDescent="0.2">
      <c r="B666" t="e">
        <v>#N/A</v>
      </c>
    </row>
  </sheetData>
  <sheetProtection password="9C55" sheet="1" objects="1" scenarios="1" selectLockedCells="1" selectUnlockedCells="1"/>
  <autoFilter ref="A1:GF87532">
    <sortState ref="A2:GF87532">
      <sortCondition ref="A1:A87532"/>
    </sortState>
  </autoFilter>
  <printOptions headings="1"/>
  <pageMargins left="0.7" right="0.7" top="0.75" bottom="0.75" header="0.3" footer="0.3"/>
  <pageSetup paperSize="5" pageOrder="overThenDown" orientation="landscape"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9EC3C34CE31D44B98F9120DD2B7AD0" ma:contentTypeVersion="0" ma:contentTypeDescription="Create a new document." ma:contentTypeScope="" ma:versionID="206b271f78c9fa22f96988df025fd4e1">
  <xsd:schema xmlns:xsd="http://www.w3.org/2001/XMLSchema" xmlns:xs="http://www.w3.org/2001/XMLSchema" xmlns:p="http://schemas.microsoft.com/office/2006/metadata/properties" xmlns:ns2="0d1c2134-6485-4ff6-a10e-d5cb6fa9294e" targetNamespace="http://schemas.microsoft.com/office/2006/metadata/properties" ma:root="true" ma:fieldsID="266e76a11f368247affe4bd544f23877" ns2:_="">
    <xsd:import namespace="0d1c2134-6485-4ff6-a10e-d5cb6fa9294e"/>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c2134-6485-4ff6-a10e-d5cb6fa9294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_dlc_DocId xmlns="0d1c2134-6485-4ff6-a10e-d5cb6fa9294e">H77EFJNRH55V-1663-147</_dlc_DocId>
    <_dlc_DocIdUrl xmlns="0d1c2134-6485-4ff6-a10e-d5cb6fa9294e">
      <Url>http://sharepoint/Projects/StraightAFund/_layouts/DocIdRedir.aspx?ID=H77EFJNRH55V-1663-147</Url>
      <Description>H77EFJNRH55V-1663-147</Description>
    </_dlc_DocIdUrl>
  </documentManagement>
</p:properties>
</file>

<file path=customXml/itemProps1.xml><?xml version="1.0" encoding="utf-8"?>
<ds:datastoreItem xmlns:ds="http://schemas.openxmlformats.org/officeDocument/2006/customXml" ds:itemID="{814183E2-ADF7-4E96-85D0-D2ADD380A9D9}">
  <ds:schemaRefs>
    <ds:schemaRef ds:uri="http://schemas.microsoft.com/sharepoint/v3/contenttype/forms"/>
  </ds:schemaRefs>
</ds:datastoreItem>
</file>

<file path=customXml/itemProps2.xml><?xml version="1.0" encoding="utf-8"?>
<ds:datastoreItem xmlns:ds="http://schemas.openxmlformats.org/officeDocument/2006/customXml" ds:itemID="{9531C89D-C3DA-4141-B9BE-3E7DA21A451D}">
  <ds:schemaRefs>
    <ds:schemaRef ds:uri="http://schemas.microsoft.com/office/2006/metadata/longProperties"/>
  </ds:schemaRefs>
</ds:datastoreItem>
</file>

<file path=customXml/itemProps3.xml><?xml version="1.0" encoding="utf-8"?>
<ds:datastoreItem xmlns:ds="http://schemas.openxmlformats.org/officeDocument/2006/customXml" ds:itemID="{6DDE84BC-BD43-41FE-9FD6-30D0711905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1c2134-6485-4ff6-a10e-d5cb6fa92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4752C7A-07D3-4C20-A1CD-835F6F3744F2}">
  <ds:schemaRefs>
    <ds:schemaRef ds:uri="http://schemas.microsoft.com/sharepoint/events"/>
  </ds:schemaRefs>
</ds:datastoreItem>
</file>

<file path=customXml/itemProps5.xml><?xml version="1.0" encoding="utf-8"?>
<ds:datastoreItem xmlns:ds="http://schemas.openxmlformats.org/officeDocument/2006/customXml" ds:itemID="{73BF21EA-D7F2-4ABA-B9A9-E023FA2B815F}">
  <ds:schemaRefs>
    <ds:schemaRef ds:uri="http://schemas.openxmlformats.org/package/2006/metadata/core-properties"/>
    <ds:schemaRef ds:uri="http://purl.org/dc/elements/1.1/"/>
    <ds:schemaRef ds:uri="http://www.w3.org/XML/1998/namespace"/>
    <ds:schemaRef ds:uri="http://purl.org/dc/dcmitype/"/>
    <ds:schemaRef ds:uri="http://schemas.microsoft.com/office/2006/documentManagement/types"/>
    <ds:schemaRef ds:uri="0d1c2134-6485-4ff6-a10e-d5cb6fa9294e"/>
    <ds:schemaRef ds:uri="http://purl.org/dc/term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DIRECTIONS</vt:lpstr>
      <vt:lpstr>Traditional</vt:lpstr>
      <vt:lpstr>Non-Traditional</vt:lpstr>
      <vt:lpstr>ESC</vt:lpstr>
      <vt:lpstr>FYF DATA</vt:lpstr>
      <vt:lpstr>DIRECTIONS!Print_Area</vt:lpstr>
      <vt:lpstr>'Non-Traditional'!Print_Area</vt:lpstr>
      <vt:lpstr>Traditional!Print_Area</vt:lpstr>
    </vt:vector>
  </TitlesOfParts>
  <Company>ODE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Hunter, Sonja</dc:creator>
  <cp:lastModifiedBy>Windows User</cp:lastModifiedBy>
  <cp:lastPrinted>2014-02-14T22:57:23Z</cp:lastPrinted>
  <dcterms:created xsi:type="dcterms:W3CDTF">1998-05-14T17:15:21Z</dcterms:created>
  <dcterms:modified xsi:type="dcterms:W3CDTF">2014-04-08T12:02:43Z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H77EFJNRH55V-387-1987</vt:lpwstr>
  </property>
  <property fmtid="{D5CDD505-2E9C-101B-9397-08002B2CF9AE}" pid="3" name="_dlc_DocIdItemGuid">
    <vt:lpwstr>65140062-60ab-4b81-9e49-ca6aab8c80c1</vt:lpwstr>
  </property>
  <property fmtid="{D5CDD505-2E9C-101B-9397-08002B2CF9AE}" pid="4" name="_dlc_DocIdUrl">
    <vt:lpwstr>http://sharepoint/CSOF/fiscalconsults/_layouts/DocIdRedir.aspx?ID=H77EFJNRH55V-387-1987, H77EFJNRH55V-387-1987</vt:lpwstr>
  </property>
  <property fmtid="{D5CDD505-2E9C-101B-9397-08002B2CF9AE}" pid="5" name="ContentTypeId">
    <vt:lpwstr>0x010100149EC3C34CE31D44B98F9120DD2B7AD0</vt:lpwstr>
  </property>
</Properties>
</file>