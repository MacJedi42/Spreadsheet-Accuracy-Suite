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65" yWindow="5415" windowWidth="14805" windowHeight="8445"/>
  </bookViews>
  <sheets>
    <sheet name="Sheet1" sheetId="1" r:id="rId1"/>
  </sheets>
  <definedNames>
    <definedName name="_xlnm.Print_Area" localSheetId="0">Sheet1!$A$1:$E$442</definedName>
    <definedName name="_xlnm.Print_Titles" localSheetId="0">Sheet1!$1:$3</definedName>
  </definedNames>
  <calcPr calcId="145621"/>
</workbook>
</file>

<file path=xl/calcChain.xml><?xml version="1.0" encoding="utf-8"?>
<calcChain xmlns="http://schemas.openxmlformats.org/spreadsheetml/2006/main">
  <c r="C427" i="1" l="1"/>
  <c r="D407" i="1"/>
  <c r="D192" i="1"/>
  <c r="B145" i="1" l="1"/>
  <c r="B128" i="1"/>
  <c r="B260" i="1" l="1"/>
  <c r="B256" i="1"/>
  <c r="B246" i="1"/>
  <c r="B239" i="1"/>
  <c r="B231" i="1"/>
  <c r="B218" i="1"/>
  <c r="B324" i="1" l="1"/>
  <c r="C324" i="1"/>
  <c r="C275" i="1" l="1"/>
  <c r="C50" i="1" s="1"/>
  <c r="B275" i="1"/>
  <c r="C430" i="1"/>
  <c r="C442" i="1"/>
  <c r="C380" i="1" l="1"/>
  <c r="B380" i="1"/>
  <c r="B21" i="1" s="1"/>
  <c r="B149" i="1"/>
  <c r="D145" i="1"/>
  <c r="E145" i="1" s="1"/>
  <c r="B135" i="1"/>
  <c r="D128" i="1"/>
  <c r="E128" i="1" s="1"/>
  <c r="B120" i="1"/>
  <c r="B107" i="1"/>
  <c r="D107" i="1" s="1"/>
  <c r="E107" i="1" s="1"/>
  <c r="C213" i="1"/>
  <c r="B213" i="1"/>
  <c r="C101" i="1"/>
  <c r="B101" i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6" i="1"/>
  <c r="E146" i="1" s="1"/>
  <c r="D147" i="1"/>
  <c r="E147" i="1" s="1"/>
  <c r="D148" i="1"/>
  <c r="E148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440" i="1"/>
  <c r="E440" i="1" s="1"/>
  <c r="D421" i="1"/>
  <c r="E421" i="1" s="1"/>
  <c r="D420" i="1"/>
  <c r="E420" i="1" s="1"/>
  <c r="D417" i="1"/>
  <c r="D416" i="1"/>
  <c r="E416" i="1" s="1"/>
  <c r="D415" i="1"/>
  <c r="E415" i="1" s="1"/>
  <c r="D412" i="1"/>
  <c r="E412" i="1" s="1"/>
  <c r="D411" i="1"/>
  <c r="E411" i="1" s="1"/>
  <c r="D410" i="1"/>
  <c r="E410" i="1" s="1"/>
  <c r="D409" i="1"/>
  <c r="E409" i="1" s="1"/>
  <c r="D408" i="1"/>
  <c r="E408" i="1" s="1"/>
  <c r="D406" i="1"/>
  <c r="E406" i="1" s="1"/>
  <c r="D405" i="1"/>
  <c r="E405" i="1" s="1"/>
  <c r="D403" i="1"/>
  <c r="E403" i="1" s="1"/>
  <c r="D400" i="1"/>
  <c r="E400" i="1" s="1"/>
  <c r="D399" i="1"/>
  <c r="E399" i="1" s="1"/>
  <c r="D398" i="1"/>
  <c r="E398" i="1" s="1"/>
  <c r="D395" i="1"/>
  <c r="E395" i="1" s="1"/>
  <c r="D394" i="1"/>
  <c r="E394" i="1" s="1"/>
  <c r="C426" i="1"/>
  <c r="C29" i="1" s="1"/>
  <c r="D392" i="1"/>
  <c r="E392" i="1" s="1"/>
  <c r="D391" i="1"/>
  <c r="E391" i="1" s="1"/>
  <c r="B430" i="1"/>
  <c r="B33" i="1" s="1"/>
  <c r="B428" i="1"/>
  <c r="D387" i="1"/>
  <c r="E387" i="1" s="1"/>
  <c r="C428" i="1"/>
  <c r="C31" i="1" s="1"/>
  <c r="B427" i="1"/>
  <c r="B30" i="1" s="1"/>
  <c r="B425" i="1"/>
  <c r="B28" i="1" s="1"/>
  <c r="D366" i="1"/>
  <c r="E366" i="1" s="1"/>
  <c r="D365" i="1"/>
  <c r="E365" i="1" s="1"/>
  <c r="D362" i="1"/>
  <c r="E362" i="1" s="1"/>
  <c r="D361" i="1"/>
  <c r="E361" i="1" s="1"/>
  <c r="D360" i="1"/>
  <c r="E360" i="1" s="1"/>
  <c r="D358" i="1"/>
  <c r="E358" i="1" s="1"/>
  <c r="D357" i="1"/>
  <c r="E357" i="1" s="1"/>
  <c r="D356" i="1"/>
  <c r="E356" i="1" s="1"/>
  <c r="D353" i="1"/>
  <c r="E353" i="1" s="1"/>
  <c r="D351" i="1"/>
  <c r="E351" i="1" s="1"/>
  <c r="D349" i="1"/>
  <c r="E349" i="1" s="1"/>
  <c r="D346" i="1"/>
  <c r="E346" i="1" s="1"/>
  <c r="D345" i="1"/>
  <c r="E345" i="1" s="1"/>
  <c r="D344" i="1"/>
  <c r="E344" i="1" s="1"/>
  <c r="D342" i="1"/>
  <c r="E342" i="1" s="1"/>
  <c r="D341" i="1"/>
  <c r="E341" i="1" s="1"/>
  <c r="D340" i="1"/>
  <c r="E340" i="1" s="1"/>
  <c r="D337" i="1"/>
  <c r="E337" i="1" s="1"/>
  <c r="D335" i="1"/>
  <c r="E335" i="1" s="1"/>
  <c r="D334" i="1"/>
  <c r="E334" i="1" s="1"/>
  <c r="D333" i="1"/>
  <c r="E333" i="1" s="1"/>
  <c r="D331" i="1"/>
  <c r="E331" i="1" s="1"/>
  <c r="B370" i="1"/>
  <c r="B19" i="1" s="1"/>
  <c r="C370" i="1"/>
  <c r="D320" i="1"/>
  <c r="E320" i="1" s="1"/>
  <c r="D311" i="1"/>
  <c r="E311" i="1" s="1"/>
  <c r="D289" i="1"/>
  <c r="E289" i="1" s="1"/>
  <c r="D252" i="1"/>
  <c r="E252" i="1" s="1"/>
  <c r="D242" i="1"/>
  <c r="E242" i="1" s="1"/>
  <c r="D240" i="1"/>
  <c r="E240" i="1" s="1"/>
  <c r="D238" i="1"/>
  <c r="E238" i="1" s="1"/>
  <c r="D229" i="1"/>
  <c r="E229" i="1" s="1"/>
  <c r="D226" i="1"/>
  <c r="D222" i="1"/>
  <c r="E222" i="1" s="1"/>
  <c r="D219" i="1"/>
  <c r="E219" i="1" s="1"/>
  <c r="D211" i="1"/>
  <c r="E211" i="1" s="1"/>
  <c r="D209" i="1"/>
  <c r="E209" i="1" s="1"/>
  <c r="D208" i="1"/>
  <c r="E208" i="1" s="1"/>
  <c r="D204" i="1"/>
  <c r="E204" i="1" s="1"/>
  <c r="D203" i="1"/>
  <c r="E203" i="1" s="1"/>
  <c r="D202" i="1"/>
  <c r="E202" i="1" s="1"/>
  <c r="D201" i="1"/>
  <c r="E201" i="1" s="1"/>
  <c r="D197" i="1"/>
  <c r="E197" i="1" s="1"/>
  <c r="D196" i="1"/>
  <c r="E196" i="1" s="1"/>
  <c r="D195" i="1"/>
  <c r="E195" i="1" s="1"/>
  <c r="D191" i="1"/>
  <c r="E191" i="1" s="1"/>
  <c r="D188" i="1"/>
  <c r="E188" i="1" s="1"/>
  <c r="D187" i="1"/>
  <c r="E187" i="1" s="1"/>
  <c r="D183" i="1"/>
  <c r="E183" i="1" s="1"/>
  <c r="D180" i="1"/>
  <c r="E180" i="1" s="1"/>
  <c r="D179" i="1"/>
  <c r="E179" i="1" s="1"/>
  <c r="D177" i="1"/>
  <c r="E177" i="1" s="1"/>
  <c r="D175" i="1"/>
  <c r="E175" i="1" s="1"/>
  <c r="D174" i="1"/>
  <c r="E174" i="1" s="1"/>
  <c r="D171" i="1"/>
  <c r="E171" i="1" s="1"/>
  <c r="D170" i="1"/>
  <c r="E170" i="1" s="1"/>
  <c r="D169" i="1"/>
  <c r="E169" i="1" s="1"/>
  <c r="D168" i="1"/>
  <c r="E168" i="1" s="1"/>
  <c r="D167" i="1"/>
  <c r="E167" i="1" s="1"/>
  <c r="D162" i="1"/>
  <c r="E162" i="1" s="1"/>
  <c r="D161" i="1"/>
  <c r="E161" i="1" s="1"/>
  <c r="D160" i="1"/>
  <c r="E160" i="1" s="1"/>
  <c r="C40" i="1"/>
  <c r="B40" i="1"/>
  <c r="C39" i="1"/>
  <c r="B39" i="1"/>
  <c r="C38" i="1"/>
  <c r="B31" i="1"/>
  <c r="C9" i="1"/>
  <c r="C164" i="1" l="1"/>
  <c r="D135" i="1"/>
  <c r="E135" i="1" s="1"/>
  <c r="D120" i="1"/>
  <c r="E120" i="1" s="1"/>
  <c r="D224" i="1"/>
  <c r="E224" i="1" s="1"/>
  <c r="D235" i="1"/>
  <c r="E235" i="1" s="1"/>
  <c r="D244" i="1"/>
  <c r="E244" i="1" s="1"/>
  <c r="D272" i="1"/>
  <c r="E272" i="1" s="1"/>
  <c r="D291" i="1"/>
  <c r="E291" i="1" s="1"/>
  <c r="D313" i="1"/>
  <c r="E313" i="1" s="1"/>
  <c r="B164" i="1"/>
  <c r="D271" i="1"/>
  <c r="E271" i="1" s="1"/>
  <c r="D287" i="1"/>
  <c r="E287" i="1" s="1"/>
  <c r="D290" i="1"/>
  <c r="E290" i="1" s="1"/>
  <c r="D307" i="1"/>
  <c r="E307" i="1" s="1"/>
  <c r="D312" i="1"/>
  <c r="E312" i="1" s="1"/>
  <c r="D149" i="1"/>
  <c r="E149" i="1" s="1"/>
  <c r="D261" i="1"/>
  <c r="E261" i="1" s="1"/>
  <c r="D267" i="1"/>
  <c r="E267" i="1" s="1"/>
  <c r="D288" i="1"/>
  <c r="E288" i="1" s="1"/>
  <c r="D308" i="1"/>
  <c r="E308" i="1" s="1"/>
  <c r="D241" i="1"/>
  <c r="E241" i="1" s="1"/>
  <c r="D245" i="1"/>
  <c r="E245" i="1" s="1"/>
  <c r="D254" i="1"/>
  <c r="E254" i="1" s="1"/>
  <c r="D259" i="1"/>
  <c r="E259" i="1" s="1"/>
  <c r="D285" i="1"/>
  <c r="E285" i="1" s="1"/>
  <c r="D302" i="1"/>
  <c r="E302" i="1" s="1"/>
  <c r="D228" i="1"/>
  <c r="E228" i="1" s="1"/>
  <c r="D247" i="1"/>
  <c r="E247" i="1" s="1"/>
  <c r="D257" i="1"/>
  <c r="E257" i="1" s="1"/>
  <c r="D258" i="1"/>
  <c r="E258" i="1" s="1"/>
  <c r="D266" i="1"/>
  <c r="E266" i="1" s="1"/>
  <c r="D282" i="1"/>
  <c r="E282" i="1" s="1"/>
  <c r="D286" i="1"/>
  <c r="E286" i="1" s="1"/>
  <c r="D301" i="1"/>
  <c r="E301" i="1" s="1"/>
  <c r="D306" i="1"/>
  <c r="E306" i="1" s="1"/>
  <c r="C51" i="1"/>
  <c r="D223" i="1"/>
  <c r="E223" i="1" s="1"/>
  <c r="D225" i="1"/>
  <c r="E225" i="1" s="1"/>
  <c r="D236" i="1"/>
  <c r="E236" i="1" s="1"/>
  <c r="D230" i="1"/>
  <c r="E230" i="1" s="1"/>
  <c r="D233" i="1"/>
  <c r="E233" i="1" s="1"/>
  <c r="D250" i="1"/>
  <c r="E250" i="1" s="1"/>
  <c r="D251" i="1"/>
  <c r="E251" i="1" s="1"/>
  <c r="D255" i="1"/>
  <c r="D262" i="1"/>
  <c r="E262" i="1" s="1"/>
  <c r="D265" i="1"/>
  <c r="E265" i="1" s="1"/>
  <c r="D273" i="1"/>
  <c r="E273" i="1" s="1"/>
  <c r="D281" i="1"/>
  <c r="E281" i="1" s="1"/>
  <c r="D294" i="1"/>
  <c r="E294" i="1" s="1"/>
  <c r="D300" i="1"/>
  <c r="E300" i="1" s="1"/>
  <c r="D314" i="1"/>
  <c r="E314" i="1" s="1"/>
  <c r="D315" i="1"/>
  <c r="E315" i="1" s="1"/>
  <c r="D319" i="1"/>
  <c r="E319" i="1" s="1"/>
  <c r="D220" i="1"/>
  <c r="E220" i="1" s="1"/>
  <c r="D232" i="1"/>
  <c r="E232" i="1" s="1"/>
  <c r="D227" i="1"/>
  <c r="D234" i="1"/>
  <c r="E234" i="1" s="1"/>
  <c r="D263" i="1"/>
  <c r="E263" i="1" s="1"/>
  <c r="D264" i="1"/>
  <c r="E264" i="1" s="1"/>
  <c r="D278" i="1"/>
  <c r="E278" i="1" s="1"/>
  <c r="D280" i="1"/>
  <c r="E280" i="1" s="1"/>
  <c r="D295" i="1"/>
  <c r="D299" i="1"/>
  <c r="E299" i="1" s="1"/>
  <c r="D321" i="1"/>
  <c r="E321" i="1" s="1"/>
  <c r="D40" i="1"/>
  <c r="E40" i="1" s="1"/>
  <c r="D31" i="1"/>
  <c r="E31" i="1" s="1"/>
  <c r="B23" i="1"/>
  <c r="D339" i="1"/>
  <c r="E339" i="1" s="1"/>
  <c r="D355" i="1"/>
  <c r="E355" i="1" s="1"/>
  <c r="D364" i="1"/>
  <c r="E364" i="1" s="1"/>
  <c r="D332" i="1"/>
  <c r="E332" i="1" s="1"/>
  <c r="D336" i="1"/>
  <c r="E336" i="1" s="1"/>
  <c r="D343" i="1"/>
  <c r="E343" i="1" s="1"/>
  <c r="D347" i="1"/>
  <c r="E347" i="1" s="1"/>
  <c r="D352" i="1"/>
  <c r="E352" i="1" s="1"/>
  <c r="D359" i="1"/>
  <c r="E359" i="1" s="1"/>
  <c r="D368" i="1"/>
  <c r="E368" i="1" s="1"/>
  <c r="D338" i="1"/>
  <c r="E338" i="1" s="1"/>
  <c r="D348" i="1"/>
  <c r="E348" i="1" s="1"/>
  <c r="D354" i="1"/>
  <c r="E354" i="1" s="1"/>
  <c r="D363" i="1"/>
  <c r="E363" i="1" s="1"/>
  <c r="C42" i="1"/>
  <c r="D39" i="1"/>
  <c r="E39" i="1" s="1"/>
  <c r="D176" i="1"/>
  <c r="E176" i="1" s="1"/>
  <c r="D178" i="1"/>
  <c r="E178" i="1" s="1"/>
  <c r="D184" i="1"/>
  <c r="E184" i="1" s="1"/>
  <c r="D189" i="1"/>
  <c r="E189" i="1" s="1"/>
  <c r="D190" i="1"/>
  <c r="E190" i="1" s="1"/>
  <c r="D200" i="1"/>
  <c r="E200" i="1" s="1"/>
  <c r="B13" i="1"/>
  <c r="D248" i="1"/>
  <c r="E248" i="1" s="1"/>
  <c r="D279" i="1"/>
  <c r="E279" i="1" s="1"/>
  <c r="D298" i="1"/>
  <c r="E298" i="1" s="1"/>
  <c r="D322" i="1"/>
  <c r="E322" i="1" s="1"/>
  <c r="D350" i="1"/>
  <c r="E350" i="1" s="1"/>
  <c r="D246" i="1"/>
  <c r="E246" i="1" s="1"/>
  <c r="D210" i="1"/>
  <c r="E210" i="1" s="1"/>
  <c r="D221" i="1"/>
  <c r="E221" i="1" s="1"/>
  <c r="D231" i="1"/>
  <c r="E231" i="1" s="1"/>
  <c r="D237" i="1"/>
  <c r="E237" i="1" s="1"/>
  <c r="D249" i="1"/>
  <c r="E249" i="1" s="1"/>
  <c r="D253" i="1"/>
  <c r="E253" i="1" s="1"/>
  <c r="D243" i="1"/>
  <c r="E243" i="1" s="1"/>
  <c r="D330" i="1"/>
  <c r="E330" i="1" s="1"/>
  <c r="B51" i="1"/>
  <c r="D378" i="1"/>
  <c r="E378" i="1" s="1"/>
  <c r="C425" i="1"/>
  <c r="D385" i="1"/>
  <c r="E385" i="1" s="1"/>
  <c r="D260" i="1"/>
  <c r="E260" i="1" s="1"/>
  <c r="D367" i="1"/>
  <c r="E367" i="1" s="1"/>
  <c r="D377" i="1"/>
  <c r="E377" i="1" s="1"/>
  <c r="D389" i="1"/>
  <c r="E389" i="1" s="1"/>
  <c r="D419" i="1"/>
  <c r="E419" i="1" s="1"/>
  <c r="D386" i="1"/>
  <c r="E386" i="1" s="1"/>
  <c r="B426" i="1"/>
  <c r="B29" i="1" s="1"/>
  <c r="D29" i="1" s="1"/>
  <c r="E29" i="1" s="1"/>
  <c r="D393" i="1"/>
  <c r="E393" i="1" s="1"/>
  <c r="C429" i="1"/>
  <c r="B429" i="1"/>
  <c r="B32" i="1" s="1"/>
  <c r="D404" i="1"/>
  <c r="E404" i="1" s="1"/>
  <c r="D384" i="1"/>
  <c r="E384" i="1" s="1"/>
  <c r="D388" i="1"/>
  <c r="E388" i="1" s="1"/>
  <c r="D397" i="1"/>
  <c r="E397" i="1" s="1"/>
  <c r="D402" i="1"/>
  <c r="E402" i="1" s="1"/>
  <c r="D414" i="1"/>
  <c r="E414" i="1" s="1"/>
  <c r="D428" i="1"/>
  <c r="E428" i="1" s="1"/>
  <c r="D422" i="1"/>
  <c r="E422" i="1" s="1"/>
  <c r="D438" i="1"/>
  <c r="E438" i="1" s="1"/>
  <c r="D439" i="1"/>
  <c r="E439" i="1" s="1"/>
  <c r="D256" i="1" l="1"/>
  <c r="E256" i="1" s="1"/>
  <c r="D239" i="1"/>
  <c r="E239" i="1" s="1"/>
  <c r="D218" i="1"/>
  <c r="E218" i="1" s="1"/>
  <c r="D324" i="1"/>
  <c r="E324" i="1" s="1"/>
  <c r="D51" i="1"/>
  <c r="E51" i="1" s="1"/>
  <c r="D426" i="1"/>
  <c r="E426" i="1" s="1"/>
  <c r="B11" i="1"/>
  <c r="B35" i="1"/>
  <c r="B50" i="1"/>
  <c r="B53" i="1" s="1"/>
  <c r="D430" i="1"/>
  <c r="E430" i="1" s="1"/>
  <c r="C33" i="1"/>
  <c r="D33" i="1" s="1"/>
  <c r="E33" i="1" s="1"/>
  <c r="D213" i="1"/>
  <c r="E213" i="1" s="1"/>
  <c r="C13" i="1"/>
  <c r="D13" i="1" s="1"/>
  <c r="E13" i="1" s="1"/>
  <c r="D101" i="1"/>
  <c r="E101" i="1" s="1"/>
  <c r="B9" i="1"/>
  <c r="D427" i="1"/>
  <c r="E427" i="1" s="1"/>
  <c r="C30" i="1"/>
  <c r="D30" i="1" s="1"/>
  <c r="E30" i="1" s="1"/>
  <c r="D380" i="1"/>
  <c r="E380" i="1" s="1"/>
  <c r="C21" i="1"/>
  <c r="D21" i="1" s="1"/>
  <c r="E21" i="1" s="1"/>
  <c r="D370" i="1"/>
  <c r="E370" i="1" s="1"/>
  <c r="C19" i="1"/>
  <c r="D429" i="1"/>
  <c r="E429" i="1" s="1"/>
  <c r="C32" i="1"/>
  <c r="D32" i="1" s="1"/>
  <c r="E32" i="1" s="1"/>
  <c r="B432" i="1"/>
  <c r="C432" i="1"/>
  <c r="D425" i="1"/>
  <c r="E425" i="1" s="1"/>
  <c r="C28" i="1"/>
  <c r="D432" i="1" l="1"/>
  <c r="E432" i="1" s="1"/>
  <c r="D28" i="1"/>
  <c r="E28" i="1" s="1"/>
  <c r="C35" i="1"/>
  <c r="D35" i="1" s="1"/>
  <c r="E35" i="1" s="1"/>
  <c r="C23" i="1"/>
  <c r="D23" i="1" s="1"/>
  <c r="E23" i="1" s="1"/>
  <c r="D19" i="1"/>
  <c r="E19" i="1" s="1"/>
  <c r="B15" i="1"/>
  <c r="D9" i="1"/>
  <c r="E9" i="1" s="1"/>
  <c r="D275" i="1"/>
  <c r="E275" i="1" s="1"/>
  <c r="D164" i="1"/>
  <c r="E164" i="1" s="1"/>
  <c r="C11" i="1"/>
  <c r="D50" i="1" l="1"/>
  <c r="E50" i="1" s="1"/>
  <c r="C53" i="1"/>
  <c r="D53" i="1" s="1"/>
  <c r="E53" i="1" s="1"/>
  <c r="C15" i="1"/>
  <c r="D11" i="1"/>
  <c r="E11" i="1" s="1"/>
  <c r="C44" i="1" l="1"/>
  <c r="D15" i="1"/>
  <c r="E15" i="1" s="1"/>
  <c r="D437" i="1" l="1"/>
  <c r="D436" i="1" s="1"/>
  <c r="B442" i="1"/>
  <c r="D442" i="1" s="1"/>
  <c r="E442" i="1" s="1"/>
  <c r="B38" i="1"/>
  <c r="D38" i="1" s="1"/>
  <c r="E38" i="1" s="1"/>
  <c r="E436" i="1" l="1"/>
  <c r="E437" i="1"/>
  <c r="B42" i="1"/>
  <c r="D42" i="1" l="1"/>
  <c r="E42" i="1" s="1"/>
  <c r="B44" i="1"/>
  <c r="D44" i="1" s="1"/>
  <c r="E44" i="1" s="1"/>
</calcChain>
</file>

<file path=xl/sharedStrings.xml><?xml version="1.0" encoding="utf-8"?>
<sst xmlns="http://schemas.openxmlformats.org/spreadsheetml/2006/main" count="472" uniqueCount="241">
  <si>
    <t>Texas Higher Education Enrollments</t>
  </si>
  <si>
    <t>Certified</t>
  </si>
  <si>
    <t>Preliminary</t>
  </si>
  <si>
    <t>Percent</t>
  </si>
  <si>
    <t>Fall 2011</t>
  </si>
  <si>
    <t>Change</t>
  </si>
  <si>
    <t>Public Two- and Four-Year Institutions</t>
  </si>
  <si>
    <t xml:space="preserve">   Universities</t>
  </si>
  <si>
    <t xml:space="preserve">   Community and State Colleges 1/</t>
  </si>
  <si>
    <t xml:space="preserve">   Texas State Technical Colleges 1/</t>
  </si>
  <si>
    <t>________</t>
  </si>
  <si>
    <t xml:space="preserve">   TOTALS</t>
  </si>
  <si>
    <t>Independent Two- and Four-Year Institutions</t>
  </si>
  <si>
    <t xml:space="preserve">   Senior Colleges and Universities</t>
  </si>
  <si>
    <t xml:space="preserve">   Junior Colleges</t>
  </si>
  <si>
    <t>Medical, Dental, and Health-Related Institutions</t>
  </si>
  <si>
    <t xml:space="preserve">   Public Institutions</t>
  </si>
  <si>
    <t xml:space="preserve">      Medical</t>
  </si>
  <si>
    <t xml:space="preserve">      Dental</t>
  </si>
  <si>
    <t xml:space="preserve">      Academic</t>
  </si>
  <si>
    <t xml:space="preserve">      Audiology (AUD)</t>
  </si>
  <si>
    <t xml:space="preserve">      Pharmacy (PharmD) 2/</t>
  </si>
  <si>
    <t xml:space="preserve">      Physical Therapy (DPT)</t>
  </si>
  <si>
    <t xml:space="preserve">      TOTALS</t>
  </si>
  <si>
    <t xml:space="preserve">   Independent Institutions</t>
  </si>
  <si>
    <t xml:space="preserve">      Chiropractic</t>
  </si>
  <si>
    <t>TOTALS -- All Institutions</t>
  </si>
  <si>
    <t>State-Funded Workforce Continuing Education 3/</t>
  </si>
  <si>
    <t xml:space="preserve">   Community and State Colleges</t>
  </si>
  <si>
    <t xml:space="preserve">   Texas State Technical Colleges</t>
  </si>
  <si>
    <t>1/ Enrollments in Credit Courses</t>
  </si>
  <si>
    <t>2/ Texas Tech University Health Sciences Center &amp; Texas A&amp;M University System Health Science Center only</t>
  </si>
  <si>
    <t>3/ Preliminary 1st Quarter Continuing Education Enrollments</t>
  </si>
  <si>
    <t>Texas Public Universities</t>
  </si>
  <si>
    <t xml:space="preserve">Angelo State University                                     </t>
  </si>
  <si>
    <t xml:space="preserve">Lamar University </t>
  </si>
  <si>
    <t xml:space="preserve">Midwestern State University                                 </t>
  </si>
  <si>
    <t xml:space="preserve">Prairie View A&amp;M University                                 </t>
  </si>
  <si>
    <t xml:space="preserve">Sam Houston State University                                </t>
  </si>
  <si>
    <t xml:space="preserve">Stephen F. Austin State University                          </t>
  </si>
  <si>
    <t xml:space="preserve">Sul Ross State University                                   </t>
  </si>
  <si>
    <t xml:space="preserve">  Sul Ross State University Rio Grande College</t>
  </si>
  <si>
    <t xml:space="preserve">Tarleton State University                                   </t>
  </si>
  <si>
    <t>Texas A&amp;M International University</t>
  </si>
  <si>
    <t>Texas A&amp;M University</t>
  </si>
  <si>
    <t xml:space="preserve">  Texas A&amp;M University at Galveston</t>
  </si>
  <si>
    <t>Texas A&amp;M University-Central Texas</t>
  </si>
  <si>
    <t>Texas A&amp;M University-Commerce</t>
  </si>
  <si>
    <t>Texas A&amp;M University-Corpus Christi</t>
  </si>
  <si>
    <t>Texas A&amp;M University-Kingsville</t>
  </si>
  <si>
    <t>Texas A&amp;M University-San Antonio</t>
  </si>
  <si>
    <t>Texas A&amp;M University-Texarkana</t>
  </si>
  <si>
    <t xml:space="preserve">Texas Southern University                                   </t>
  </si>
  <si>
    <t>Texas State University - San Marcos</t>
  </si>
  <si>
    <t xml:space="preserve">Texas Tech University                                       </t>
  </si>
  <si>
    <t xml:space="preserve">Texas Woman's University                                    </t>
  </si>
  <si>
    <t xml:space="preserve">The University of Texas at Arlington                        </t>
  </si>
  <si>
    <t xml:space="preserve">The University of Texas at Austin                           </t>
  </si>
  <si>
    <t>The University of Texas at Brownsville</t>
  </si>
  <si>
    <t xml:space="preserve">The University of Texas at Dallas                           </t>
  </si>
  <si>
    <t xml:space="preserve">The University of Texas at El Paso                          </t>
  </si>
  <si>
    <t xml:space="preserve">The University of Texas-Pan American                        </t>
  </si>
  <si>
    <t>The University of Texas of the Permian Basin</t>
  </si>
  <si>
    <t xml:space="preserve">The University of Texas at San Antonio                      </t>
  </si>
  <si>
    <t xml:space="preserve">The University of Texas at Tyler                            </t>
  </si>
  <si>
    <t xml:space="preserve">University of Houston                                       </t>
  </si>
  <si>
    <t xml:space="preserve">University of Houston-Clear Lake                            </t>
  </si>
  <si>
    <t xml:space="preserve">University of Houston-Downtown                              </t>
  </si>
  <si>
    <t xml:space="preserve">University of Houston-Victoria                              </t>
  </si>
  <si>
    <t xml:space="preserve">University of North Texas                                </t>
  </si>
  <si>
    <t>University of North Texas at Dallas</t>
  </si>
  <si>
    <t>West Texas A&amp;M University</t>
  </si>
  <si>
    <t xml:space="preserve">TOTALS </t>
  </si>
  <si>
    <t>Texas Public Community and State Colleges</t>
  </si>
  <si>
    <t xml:space="preserve">Alamo Community College District                            </t>
  </si>
  <si>
    <t xml:space="preserve">Alvin Community College                                     </t>
  </si>
  <si>
    <t>Amarillo College</t>
  </si>
  <si>
    <t xml:space="preserve">Angelina College                                            </t>
  </si>
  <si>
    <t xml:space="preserve">Austin Community College                                    </t>
  </si>
  <si>
    <t xml:space="preserve">Blinn College                                               </t>
  </si>
  <si>
    <t xml:space="preserve">Brazosport College                                          </t>
  </si>
  <si>
    <t>Central Texas College District</t>
  </si>
  <si>
    <t xml:space="preserve">Cisco College                                        </t>
  </si>
  <si>
    <t xml:space="preserve">Clarendon College                                           </t>
  </si>
  <si>
    <t>Coastal Bend College</t>
  </si>
  <si>
    <t>College of the Mainland Community College District</t>
  </si>
  <si>
    <t>Collin County Community College District</t>
  </si>
  <si>
    <t>Dallas County Community College District</t>
  </si>
  <si>
    <t xml:space="preserve">Del Mar College                                             </t>
  </si>
  <si>
    <t>El Paso Community College District</t>
  </si>
  <si>
    <t xml:space="preserve">Frank Phillips College                                      </t>
  </si>
  <si>
    <t xml:space="preserve">Galveston College                                           </t>
  </si>
  <si>
    <t xml:space="preserve">Grayson County College                                      </t>
  </si>
  <si>
    <t>Hill College</t>
  </si>
  <si>
    <t>Houston Community College System</t>
  </si>
  <si>
    <t>Howard County Junior College District</t>
  </si>
  <si>
    <t xml:space="preserve">Kilgore College                                             </t>
  </si>
  <si>
    <t>Lamar Institute of Technology</t>
  </si>
  <si>
    <t>Lamar State College-Orange</t>
  </si>
  <si>
    <t>Lamar State College-Port Arthur</t>
  </si>
  <si>
    <t>Laredo Community College</t>
  </si>
  <si>
    <t xml:space="preserve">Lee College                                                 </t>
  </si>
  <si>
    <t>Lone Star College System District</t>
  </si>
  <si>
    <t xml:space="preserve">McLennan Community College                                  </t>
  </si>
  <si>
    <t xml:space="preserve">Midland College                                             </t>
  </si>
  <si>
    <t xml:space="preserve">Navarro College                                             </t>
  </si>
  <si>
    <t>North Central Texas Community College District</t>
  </si>
  <si>
    <t xml:space="preserve">Northeast Texas Community College                           </t>
  </si>
  <si>
    <t xml:space="preserve">Odessa College                                              </t>
  </si>
  <si>
    <t xml:space="preserve">Panola College                                              </t>
  </si>
  <si>
    <t xml:space="preserve">Paris Junior College                                        </t>
  </si>
  <si>
    <t>Ranger College</t>
  </si>
  <si>
    <t>San Jacinto College</t>
  </si>
  <si>
    <t xml:space="preserve">South Plains College                                        </t>
  </si>
  <si>
    <t>South Texas College</t>
  </si>
  <si>
    <t xml:space="preserve">Southwest Texas Junior College                              </t>
  </si>
  <si>
    <t xml:space="preserve">Tarrant County College District </t>
  </si>
  <si>
    <t>Temple College</t>
  </si>
  <si>
    <t>Texarkana College</t>
  </si>
  <si>
    <t xml:space="preserve">Texas Southmost College                                     </t>
  </si>
  <si>
    <t xml:space="preserve">Trinity Valley Community College                            </t>
  </si>
  <si>
    <t xml:space="preserve">Tyler Junior College                                        </t>
  </si>
  <si>
    <t>Vernon College</t>
  </si>
  <si>
    <t>Victoria College, The</t>
  </si>
  <si>
    <t xml:space="preserve">Weatherford College                                         </t>
  </si>
  <si>
    <t xml:space="preserve">Western Texas College                                       </t>
  </si>
  <si>
    <t xml:space="preserve">Wharton County Junior College                               </t>
  </si>
  <si>
    <t>TOTALS</t>
  </si>
  <si>
    <t xml:space="preserve">  Northeast Lakeview College</t>
  </si>
  <si>
    <t xml:space="preserve">  Northwest Vista College</t>
  </si>
  <si>
    <t xml:space="preserve">  Palo Alto College</t>
  </si>
  <si>
    <t xml:space="preserve">  San Antonio College</t>
  </si>
  <si>
    <t xml:space="preserve">  St. Philip's College</t>
  </si>
  <si>
    <t xml:space="preserve">  Brookhaven College                                          </t>
  </si>
  <si>
    <t xml:space="preserve">  Cedar Valley College                                        </t>
  </si>
  <si>
    <t xml:space="preserve">  Eastfield College                                           </t>
  </si>
  <si>
    <t xml:space="preserve">  El Centro College                                           </t>
  </si>
  <si>
    <t xml:space="preserve">  Mountain View College                                       </t>
  </si>
  <si>
    <t xml:space="preserve">  North Lake College                                          </t>
  </si>
  <si>
    <t xml:space="preserve">  Richland College                                            </t>
  </si>
  <si>
    <t xml:space="preserve">Howard County Junior College District                       </t>
  </si>
  <si>
    <t xml:space="preserve">  Howard College</t>
  </si>
  <si>
    <t xml:space="preserve">  Southwest Collegiate Institute for the Deaf</t>
  </si>
  <si>
    <t xml:space="preserve">  Cy-Fair College </t>
  </si>
  <si>
    <t xml:space="preserve">  Kingwood College</t>
  </si>
  <si>
    <t xml:space="preserve">  Montgomery College</t>
  </si>
  <si>
    <t xml:space="preserve">  North Harris College</t>
  </si>
  <si>
    <t xml:space="preserve">  Tomball College</t>
  </si>
  <si>
    <t xml:space="preserve">San Jacinto College District                                </t>
  </si>
  <si>
    <t xml:space="preserve">  Central Campus</t>
  </si>
  <si>
    <t xml:space="preserve">  North Campus</t>
  </si>
  <si>
    <t xml:space="preserve">  South Campus</t>
  </si>
  <si>
    <t xml:space="preserve">  Northeast Campus                                            </t>
  </si>
  <si>
    <t xml:space="preserve">  Northwest Campus</t>
  </si>
  <si>
    <t xml:space="preserve">  Southeast Campus</t>
  </si>
  <si>
    <t xml:space="preserve">  Trinity River Campus</t>
  </si>
  <si>
    <t>Texas State Technical Colleges</t>
  </si>
  <si>
    <t xml:space="preserve">  Harlingen Campus </t>
  </si>
  <si>
    <t xml:space="preserve">  Marshall Campus</t>
  </si>
  <si>
    <t xml:space="preserve">  Waco Campus</t>
  </si>
  <si>
    <t xml:space="preserve">  West Texas Campus</t>
  </si>
  <si>
    <r>
      <t xml:space="preserve">State-Funded Workforce Continuing Education </t>
    </r>
    <r>
      <rPr>
        <sz val="10"/>
        <rFont val="Arial"/>
        <family val="2"/>
      </rPr>
      <t>4/</t>
    </r>
  </si>
  <si>
    <t xml:space="preserve">   (Texas Public Community Colleges Only)</t>
  </si>
  <si>
    <t xml:space="preserve">Galveston College </t>
  </si>
  <si>
    <t xml:space="preserve">  Waco Campus </t>
  </si>
  <si>
    <t>4/ Preliminary 1st Quarter Enrollments</t>
  </si>
  <si>
    <t xml:space="preserve">Texas Independent Senior Colleges </t>
  </si>
  <si>
    <t xml:space="preserve">   and Universities</t>
  </si>
  <si>
    <t xml:space="preserve">Abilene Christian University                                </t>
  </si>
  <si>
    <t>Amberton University 5/</t>
  </si>
  <si>
    <t xml:space="preserve">Austin College                                              </t>
  </si>
  <si>
    <t xml:space="preserve">Baylor University                                           </t>
  </si>
  <si>
    <t>College of St. Thomas More</t>
  </si>
  <si>
    <t>Concordia University Texas</t>
  </si>
  <si>
    <t xml:space="preserve">Dallas Baptist University                                   </t>
  </si>
  <si>
    <t xml:space="preserve">East Texas Baptist University                               </t>
  </si>
  <si>
    <t xml:space="preserve">Hardin-Simmons University                                   </t>
  </si>
  <si>
    <t xml:space="preserve">Houston Baptist University                                  </t>
  </si>
  <si>
    <t xml:space="preserve">Howard Payne University                                     </t>
  </si>
  <si>
    <t>Huston-Tillotson University</t>
  </si>
  <si>
    <t xml:space="preserve">Jarvis Christian College    </t>
  </si>
  <si>
    <t xml:space="preserve">LeTourneau University                                       </t>
  </si>
  <si>
    <t>Lubbock Christian University</t>
  </si>
  <si>
    <t>McMurry University</t>
  </si>
  <si>
    <t xml:space="preserve">Our Lady of the Lake University </t>
  </si>
  <si>
    <t>Paul Quinn College</t>
  </si>
  <si>
    <t>Rice University</t>
  </si>
  <si>
    <t>St. Edward's University, Inc.</t>
  </si>
  <si>
    <t>St. Mary's University of San Antonio</t>
  </si>
  <si>
    <t>Schreiner University</t>
  </si>
  <si>
    <t xml:space="preserve">South Texas College of Law </t>
  </si>
  <si>
    <t xml:space="preserve">Southern Methodist University                               </t>
  </si>
  <si>
    <t xml:space="preserve">Southwestern Adventist University </t>
  </si>
  <si>
    <t>Southwestern Assemblies of God University</t>
  </si>
  <si>
    <t xml:space="preserve">Southwestern Christian College  </t>
  </si>
  <si>
    <t xml:space="preserve">Southwestern University                                     </t>
  </si>
  <si>
    <t xml:space="preserve">Texas Christian University                                  </t>
  </si>
  <si>
    <t>Texas College</t>
  </si>
  <si>
    <t>Texas Lutheran University</t>
  </si>
  <si>
    <t>Texas Wesleyan University</t>
  </si>
  <si>
    <t xml:space="preserve">Trinity University                                          </t>
  </si>
  <si>
    <t xml:space="preserve">University of Dallas                                        </t>
  </si>
  <si>
    <t xml:space="preserve">University of Mary Hardin-Baylor                            </t>
  </si>
  <si>
    <t xml:space="preserve">University of St. Thomas                                    </t>
  </si>
  <si>
    <t>University of the Incarnate Word of San Antonio</t>
  </si>
  <si>
    <t>Wayland Baptist University</t>
  </si>
  <si>
    <t xml:space="preserve">Wiley College                                               </t>
  </si>
  <si>
    <t>5/ Amberton University does not receive TEG funds and is not required to submit a CBM001 report;</t>
  </si>
  <si>
    <t xml:space="preserve">   data provided by ICUT.</t>
  </si>
  <si>
    <t>Texas Independent Junior Colleges</t>
  </si>
  <si>
    <t>Jacksonville College</t>
  </si>
  <si>
    <t>Lon Morris College</t>
  </si>
  <si>
    <t>Texas Public Health-Related Institutions</t>
  </si>
  <si>
    <t>Texas Tech University Health Sciences Center</t>
  </si>
  <si>
    <t xml:space="preserve">    Medical</t>
  </si>
  <si>
    <t xml:space="preserve">    Academic</t>
  </si>
  <si>
    <t xml:space="preserve">    Audiology (AUD)</t>
  </si>
  <si>
    <t xml:space="preserve">    Pharmacy (PharmD)</t>
  </si>
  <si>
    <t xml:space="preserve">    Physical Therapy (DPT)</t>
  </si>
  <si>
    <t>The Texas A&amp;M University System Health Science</t>
  </si>
  <si>
    <t xml:space="preserve">  Center</t>
  </si>
  <si>
    <t xml:space="preserve">    Dental</t>
  </si>
  <si>
    <t>The University of Texas Health Science Center</t>
  </si>
  <si>
    <t xml:space="preserve">  at Houston</t>
  </si>
  <si>
    <t xml:space="preserve">  at San Antonio</t>
  </si>
  <si>
    <t>The University of Texas M. D. Anderson Cancer Center</t>
  </si>
  <si>
    <t>The University of Texas Medical Branch at Galveston</t>
  </si>
  <si>
    <t>The University of Texas Southwestern Medical</t>
  </si>
  <si>
    <t xml:space="preserve">  Center at Dallas</t>
  </si>
  <si>
    <t>University of North Texas Health Science Center</t>
  </si>
  <si>
    <t xml:space="preserve">  at Fort Worth</t>
  </si>
  <si>
    <t xml:space="preserve">    Academic </t>
  </si>
  <si>
    <t>Subtotal</t>
  </si>
  <si>
    <t>Texas Independent Health-Related Institutions</t>
  </si>
  <si>
    <t>Baylor College of Medicine</t>
  </si>
  <si>
    <t>Parker University</t>
  </si>
  <si>
    <t>Texas Chiropractic College</t>
  </si>
  <si>
    <t>Fall 2012</t>
  </si>
  <si>
    <t>The University of Texas Health Science Center at Tyler</t>
  </si>
  <si>
    <t xml:space="preserve">  University Park Campus</t>
  </si>
  <si>
    <t xml:space="preserve">  University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</si>
</sst>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##,##0"/>
  </numFmts>
  <fonts count="3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2"/>
      <name val="Arial"/>
      <family val="2"/>
    </font>
    <font>
      <sz val="10"/>
      <color rgb="FF000000"/>
      <name val="ARIAL"/>
    </font>
    <font>
      <sz val="10"/>
      <color rgb="FF00000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u/>
      <sz val="11"/>
      <color rgb="FF0000FF"/>
      <name val="Calibri"/>
      <family val="2"/>
      <scheme val="minor"/>
    </font>
    <font>
      <u/>
      <sz val="11"/>
      <color rgb="FF800080"/>
      <name val="Calibri"/>
      <family val="2"/>
      <scheme val="minor"/>
    </font>
    <font>
      <u/>
      <sz val="10"/>
      <color theme="10"/>
      <name val="Arial"/>
      <family val="2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</borders>
  <cellStyleXfs count="184">
    <xf numFmtId="0" fontId="0" fillId="0" borderId="0"/>
    <xf numFmtId="0" fontId="6" fillId="0" borderId="0"/>
    <xf numFmtId="0" fontId="6" fillId="0" borderId="0"/>
    <xf numFmtId="0" fontId="9" fillId="0" borderId="0"/>
    <xf numFmtId="0" fontId="13" fillId="0" borderId="0" applyNumberFormat="0" applyFill="0" applyBorder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8" fillId="5" borderId="0" applyNumberFormat="0" applyBorder="0" applyAlignment="0" applyProtection="0"/>
    <xf numFmtId="0" fontId="19" fillId="6" borderId="0" applyNumberFormat="0" applyBorder="0" applyAlignment="0" applyProtection="0"/>
    <xf numFmtId="0" fontId="20" fillId="7" borderId="8" applyNumberFormat="0" applyAlignment="0" applyProtection="0"/>
    <xf numFmtId="0" fontId="21" fillId="8" borderId="9" applyNumberFormat="0" applyAlignment="0" applyProtection="0"/>
    <xf numFmtId="0" fontId="22" fillId="8" borderId="8" applyNumberFormat="0" applyAlignment="0" applyProtection="0"/>
    <xf numFmtId="0" fontId="23" fillId="0" borderId="10" applyNumberFormat="0" applyFill="0" applyAlignment="0" applyProtection="0"/>
    <xf numFmtId="0" fontId="24" fillId="9" borderId="11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3" applyNumberFormat="0" applyFill="0" applyAlignment="0" applyProtection="0"/>
    <xf numFmtId="0" fontId="28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28" fillId="34" borderId="0" applyNumberFormat="0" applyBorder="0" applyAlignment="0" applyProtection="0"/>
    <xf numFmtId="0" fontId="29" fillId="0" borderId="0"/>
    <xf numFmtId="9" fontId="6" fillId="0" borderId="0" applyFont="0" applyFill="0" applyBorder="0" applyAlignment="0" applyProtection="0"/>
    <xf numFmtId="0" fontId="6" fillId="0" borderId="0"/>
    <xf numFmtId="0" fontId="5" fillId="0" borderId="0"/>
    <xf numFmtId="0" fontId="5" fillId="10" borderId="12" applyNumberFormat="0" applyFon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" fillId="0" borderId="0"/>
    <xf numFmtId="0" fontId="5" fillId="10" borderId="12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32" fillId="0" borderId="0" applyNumberFormat="0" applyFill="0" applyBorder="0" applyAlignment="0" applyProtection="0"/>
    <xf numFmtId="0" fontId="33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2" applyNumberFormat="0" applyFont="0" applyAlignment="0" applyProtection="0"/>
    <xf numFmtId="0" fontId="4" fillId="0" borderId="0"/>
    <xf numFmtId="0" fontId="4" fillId="10" borderId="12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2" applyNumberFormat="0" applyFont="0" applyAlignment="0" applyProtection="0"/>
    <xf numFmtId="0" fontId="3" fillId="0" borderId="0"/>
    <xf numFmtId="0" fontId="3" fillId="10" borderId="12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0" borderId="0"/>
    <xf numFmtId="0" fontId="2" fillId="10" borderId="12" applyNumberFormat="0" applyFont="0" applyAlignment="0" applyProtection="0"/>
    <xf numFmtId="0" fontId="2" fillId="0" borderId="0"/>
    <xf numFmtId="0" fontId="2" fillId="10" borderId="12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0" borderId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12" applyNumberFormat="0" applyFont="0" applyAlignment="0" applyProtection="0"/>
    <xf numFmtId="0" fontId="1" fillId="0" borderId="0"/>
    <xf numFmtId="0" fontId="1" fillId="10" borderId="12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</cellStyleXfs>
  <cellXfs count="99">
    <xf numFmtId="0" fontId="0" fillId="0" borderId="0" xfId="0"/>
    <xf numFmtId="0" fontId="7" fillId="0" borderId="0" xfId="0" applyFont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/>
    </xf>
    <xf numFmtId="3" fontId="0" fillId="0" borderId="0" xfId="0" applyNumberFormat="1"/>
    <xf numFmtId="37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right"/>
    </xf>
    <xf numFmtId="37" fontId="0" fillId="0" borderId="0" xfId="0" applyNumberFormat="1" applyAlignment="1">
      <alignment horizontal="right"/>
    </xf>
    <xf numFmtId="4" fontId="0" fillId="0" borderId="2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0" fontId="0" fillId="0" borderId="0" xfId="0" applyAlignment="1">
      <alignment horizontal="left"/>
    </xf>
    <xf numFmtId="0" fontId="8" fillId="0" borderId="0" xfId="0" applyFont="1"/>
    <xf numFmtId="0" fontId="6" fillId="0" borderId="0" xfId="0" applyFont="1" applyFill="1"/>
    <xf numFmtId="2" fontId="0" fillId="0" borderId="0" xfId="0" applyNumberFormat="1"/>
    <xf numFmtId="0" fontId="6" fillId="0" borderId="0" xfId="0" applyFont="1"/>
    <xf numFmtId="3" fontId="0" fillId="0" borderId="0" xfId="0" applyNumberFormat="1" applyFill="1" applyBorder="1"/>
    <xf numFmtId="0" fontId="8" fillId="0" borderId="0" xfId="0" applyFont="1" applyAlignment="1"/>
    <xf numFmtId="37" fontId="0" fillId="0" borderId="2" xfId="0" applyNumberFormat="1" applyBorder="1" applyAlignment="1">
      <alignment horizontal="right"/>
    </xf>
    <xf numFmtId="2" fontId="6" fillId="0" borderId="2" xfId="0" applyNumberFormat="1" applyFont="1" applyBorder="1" applyAlignment="1">
      <alignment horizontal="right"/>
    </xf>
    <xf numFmtId="37" fontId="6" fillId="0" borderId="1" xfId="0" applyNumberFormat="1" applyFont="1" applyBorder="1" applyAlignment="1">
      <alignment horizontal="right"/>
    </xf>
    <xf numFmtId="2" fontId="6" fillId="0" borderId="1" xfId="0" applyNumberFormat="1" applyFont="1" applyBorder="1" applyAlignment="1">
      <alignment horizontal="right"/>
    </xf>
    <xf numFmtId="0" fontId="6" fillId="0" borderId="0" xfId="0" applyFont="1" applyFill="1" applyBorder="1"/>
    <xf numFmtId="3" fontId="0" fillId="0" borderId="0" xfId="0" applyNumberFormat="1" applyFill="1"/>
    <xf numFmtId="37" fontId="0" fillId="0" borderId="0" xfId="0" applyNumberFormat="1" applyFill="1"/>
    <xf numFmtId="2" fontId="0" fillId="0" borderId="0" xfId="0" applyNumberFormat="1" applyFill="1"/>
    <xf numFmtId="0" fontId="0" fillId="0" borderId="0" xfId="0" applyFill="1"/>
    <xf numFmtId="37" fontId="0" fillId="0" borderId="0" xfId="0" applyNumberFormat="1" applyFill="1" applyBorder="1"/>
    <xf numFmtId="2" fontId="0" fillId="0" borderId="0" xfId="0" applyNumberFormat="1" applyFill="1" applyBorder="1"/>
    <xf numFmtId="0" fontId="0" fillId="0" borderId="0" xfId="0" applyFill="1" applyBorder="1"/>
    <xf numFmtId="0" fontId="8" fillId="0" borderId="0" xfId="0" applyFont="1" applyFill="1"/>
    <xf numFmtId="0" fontId="0" fillId="0" borderId="1" xfId="0" applyFont="1" applyBorder="1" applyAlignment="1">
      <alignment horizontal="right"/>
    </xf>
    <xf numFmtId="0" fontId="0" fillId="0" borderId="2" xfId="0" applyFill="1" applyBorder="1" applyAlignment="1">
      <alignment horizontal="right"/>
    </xf>
    <xf numFmtId="0" fontId="0" fillId="0" borderId="1" xfId="0" applyFont="1" applyFill="1" applyBorder="1" applyAlignment="1">
      <alignment horizontal="right"/>
    </xf>
    <xf numFmtId="3" fontId="0" fillId="0" borderId="0" xfId="0" applyNumberFormat="1" applyFill="1" applyAlignment="1">
      <alignment horizontal="right"/>
    </xf>
    <xf numFmtId="0" fontId="0" fillId="0" borderId="2" xfId="0" applyFill="1" applyBorder="1"/>
    <xf numFmtId="164" fontId="11" fillId="3" borderId="3" xfId="0" applyNumberFormat="1" applyFont="1" applyFill="1" applyBorder="1" applyAlignment="1">
      <alignment horizontal="right" wrapText="1"/>
    </xf>
    <xf numFmtId="3" fontId="0" fillId="3" borderId="4" xfId="0" applyNumberFormat="1" applyFill="1" applyBorder="1"/>
    <xf numFmtId="164" fontId="12" fillId="3" borderId="4" xfId="0" applyNumberFormat="1" applyFont="1" applyFill="1" applyBorder="1" applyAlignment="1">
      <alignment horizontal="right" wrapText="1"/>
    </xf>
    <xf numFmtId="3" fontId="0" fillId="3" borderId="4" xfId="0" applyNumberFormat="1" applyFill="1" applyBorder="1" applyAlignment="1">
      <alignment horizontal="right"/>
    </xf>
    <xf numFmtId="164" fontId="12" fillId="0" borderId="4" xfId="0" applyNumberFormat="1" applyFont="1" applyFill="1" applyBorder="1" applyAlignment="1">
      <alignment horizontal="right" wrapText="1"/>
    </xf>
    <xf numFmtId="164" fontId="0" fillId="0" borderId="4" xfId="0" applyNumberFormat="1" applyFont="1" applyFill="1" applyBorder="1" applyAlignment="1">
      <alignment horizontal="right" wrapText="1"/>
    </xf>
    <xf numFmtId="3" fontId="29" fillId="0" borderId="0" xfId="44" applyNumberFormat="1" applyFill="1"/>
    <xf numFmtId="2" fontId="0" fillId="0" borderId="0" xfId="0" applyNumberFormat="1" applyFont="1" applyFill="1"/>
    <xf numFmtId="37" fontId="0" fillId="0" borderId="0" xfId="0" applyNumberFormat="1" applyFont="1" applyFill="1"/>
    <xf numFmtId="0" fontId="0" fillId="0" borderId="0" xfId="0" applyFont="1" applyFill="1"/>
    <xf numFmtId="3" fontId="29" fillId="0" borderId="0" xfId="44" applyNumberFormat="1" applyFill="1"/>
    <xf numFmtId="3" fontId="0" fillId="0" borderId="0" xfId="0" applyNumberFormat="1" applyFill="1"/>
    <xf numFmtId="3" fontId="0" fillId="0" borderId="0" xfId="0" applyNumberFormat="1" applyFill="1" applyBorder="1"/>
    <xf numFmtId="3" fontId="0" fillId="0" borderId="0" xfId="0" applyNumberFormat="1" applyFill="1"/>
    <xf numFmtId="3" fontId="0" fillId="0" borderId="0" xfId="0" applyNumberFormat="1" applyFill="1"/>
    <xf numFmtId="3" fontId="0" fillId="0" borderId="0" xfId="0" applyNumberFormat="1" applyFill="1"/>
    <xf numFmtId="3" fontId="0" fillId="0" borderId="0" xfId="0" applyNumberFormat="1" applyFill="1"/>
    <xf numFmtId="3" fontId="0" fillId="0" borderId="0" xfId="0" applyNumberFormat="1" applyFill="1"/>
    <xf numFmtId="3" fontId="0" fillId="0" borderId="0" xfId="0" applyNumberFormat="1" applyFill="1"/>
    <xf numFmtId="3" fontId="0" fillId="0" borderId="0" xfId="0" applyNumberFormat="1" applyFill="1" applyAlignment="1">
      <alignment horizontal="right"/>
    </xf>
    <xf numFmtId="0" fontId="6" fillId="0" borderId="0" xfId="0" applyFont="1" applyFill="1"/>
    <xf numFmtId="37" fontId="0" fillId="0" borderId="0" xfId="0" applyNumberFormat="1" applyFill="1"/>
    <xf numFmtId="2" fontId="0" fillId="0" borderId="0" xfId="0" applyNumberFormat="1" applyFill="1"/>
    <xf numFmtId="0" fontId="0" fillId="0" borderId="0" xfId="0" applyFill="1"/>
    <xf numFmtId="3" fontId="0" fillId="0" borderId="0" xfId="0" applyNumberFormat="1" applyFill="1"/>
    <xf numFmtId="37" fontId="0" fillId="0" borderId="0" xfId="0" applyNumberFormat="1" applyFill="1"/>
    <xf numFmtId="0" fontId="0" fillId="0" borderId="0" xfId="0" applyFill="1"/>
    <xf numFmtId="3" fontId="0" fillId="0" borderId="0" xfId="0" applyNumberFormat="1" applyFill="1"/>
    <xf numFmtId="3" fontId="0" fillId="0" borderId="0" xfId="0" applyNumberFormat="1" applyFill="1" applyAlignment="1">
      <alignment horizontal="right"/>
    </xf>
    <xf numFmtId="37" fontId="0" fillId="0" borderId="0" xfId="0" applyNumberFormat="1" applyFill="1" applyAlignment="1">
      <alignment horizontal="right"/>
    </xf>
    <xf numFmtId="0" fontId="0" fillId="0" borderId="2" xfId="0" applyFill="1" applyBorder="1" applyAlignment="1">
      <alignment horizontal="right"/>
    </xf>
    <xf numFmtId="0" fontId="0" fillId="0" borderId="0" xfId="0" applyFont="1"/>
    <xf numFmtId="3" fontId="29" fillId="0" borderId="0" xfId="44" applyNumberFormat="1" applyFill="1"/>
    <xf numFmtId="3" fontId="29" fillId="0" borderId="0" xfId="44" applyNumberFormat="1" applyFill="1" applyBorder="1"/>
    <xf numFmtId="3" fontId="29" fillId="0" borderId="0" xfId="44" applyNumberFormat="1" applyFill="1"/>
    <xf numFmtId="3" fontId="6" fillId="0" borderId="0" xfId="44" applyNumberFormat="1" applyFont="1" applyFill="1"/>
    <xf numFmtId="3" fontId="29" fillId="0" borderId="0" xfId="44" applyNumberFormat="1" applyFill="1"/>
    <xf numFmtId="3" fontId="29" fillId="0" borderId="0" xfId="44" applyNumberFormat="1" applyFill="1"/>
    <xf numFmtId="3" fontId="29" fillId="0" borderId="0" xfId="44" applyNumberFormat="1" applyFill="1"/>
    <xf numFmtId="164" fontId="12" fillId="3" borderId="14" xfId="0" applyNumberFormat="1" applyFont="1" applyFill="1" applyBorder="1" applyAlignment="1">
      <alignment horizontal="right" wrapText="1"/>
    </xf>
    <xf numFmtId="0" fontId="0" fillId="0" borderId="0" xfId="0" applyFill="1" applyBorder="1" applyAlignment="1">
      <alignment horizontal="right"/>
    </xf>
    <xf numFmtId="3" fontId="29" fillId="0" borderId="0" xfId="44" applyNumberFormat="1" applyFill="1"/>
    <xf numFmtId="3" fontId="29" fillId="0" borderId="4" xfId="44" quotePrefix="1" applyNumberFormat="1" applyFill="1" applyBorder="1"/>
    <xf numFmtId="164" fontId="12" fillId="2" borderId="15" xfId="0" applyNumberFormat="1" applyFont="1" applyFill="1" applyBorder="1" applyAlignment="1">
      <alignment horizontal="right" wrapText="1"/>
    </xf>
    <xf numFmtId="3" fontId="29" fillId="0" borderId="0" xfId="44" applyNumberFormat="1" applyFill="1"/>
    <xf numFmtId="3" fontId="0" fillId="0" borderId="0" xfId="0" applyNumberFormat="1" applyFill="1"/>
    <xf numFmtId="3" fontId="0" fillId="0" borderId="0" xfId="0" applyNumberFormat="1" applyFill="1"/>
    <xf numFmtId="3" fontId="0" fillId="0" borderId="0" xfId="0" applyNumberFormat="1" applyFill="1"/>
    <xf numFmtId="0" fontId="0" fillId="0" borderId="0" xfId="0"/>
    <xf numFmtId="3" fontId="0" fillId="0" borderId="0" xfId="0" applyNumberFormat="1"/>
    <xf numFmtId="2" fontId="0" fillId="0" borderId="0" xfId="0" applyNumberFormat="1"/>
    <xf numFmtId="37" fontId="0" fillId="0" borderId="0" xfId="0" applyNumberFormat="1"/>
    <xf numFmtId="37" fontId="0" fillId="0" borderId="0" xfId="0" applyNumberFormat="1" applyAlignment="1">
      <alignment horizontal="right"/>
    </xf>
    <xf numFmtId="3" fontId="0" fillId="0" borderId="0" xfId="0" applyNumberFormat="1" applyFill="1"/>
    <xf numFmtId="3" fontId="0" fillId="0" borderId="0" xfId="0" applyNumberFormat="1" applyFill="1"/>
    <xf numFmtId="3" fontId="0" fillId="0" borderId="0" xfId="0" applyNumberFormat="1" applyFill="1"/>
    <xf numFmtId="3" fontId="0" fillId="0" borderId="0" xfId="0" applyNumberFormat="1" applyFill="1"/>
    <xf numFmtId="3" fontId="0" fillId="0" borderId="0" xfId="0" applyNumberFormat="1" applyFill="1"/>
    <xf numFmtId="0" fontId="10" fillId="0" borderId="0" xfId="1" applyFont="1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</cellXfs>
  <cellStyles count="184">
    <cellStyle name="20% - Accent1" xfId="21" builtinId="30" customBuiltin="1"/>
    <cellStyle name="20% - Accent1 2" xfId="53"/>
    <cellStyle name="20% - Accent1 2 2" xfId="83"/>
    <cellStyle name="20% - Accent1 2 3" xfId="112"/>
    <cellStyle name="20% - Accent1 2 4" xfId="142"/>
    <cellStyle name="20% - Accent1 2 5" xfId="171"/>
    <cellStyle name="20% - Accent1 3" xfId="67"/>
    <cellStyle name="20% - Accent1 4" xfId="96"/>
    <cellStyle name="20% - Accent1 5" xfId="126"/>
    <cellStyle name="20% - Accent1 6" xfId="155"/>
    <cellStyle name="20% - Accent2" xfId="25" builtinId="34" customBuiltin="1"/>
    <cellStyle name="20% - Accent2 2" xfId="55"/>
    <cellStyle name="20% - Accent2 2 2" xfId="85"/>
    <cellStyle name="20% - Accent2 2 3" xfId="114"/>
    <cellStyle name="20% - Accent2 2 4" xfId="144"/>
    <cellStyle name="20% - Accent2 2 5" xfId="173"/>
    <cellStyle name="20% - Accent2 3" xfId="69"/>
    <cellStyle name="20% - Accent2 4" xfId="98"/>
    <cellStyle name="20% - Accent2 5" xfId="128"/>
    <cellStyle name="20% - Accent2 6" xfId="157"/>
    <cellStyle name="20% - Accent3" xfId="29" builtinId="38" customBuiltin="1"/>
    <cellStyle name="20% - Accent3 2" xfId="57"/>
    <cellStyle name="20% - Accent3 2 2" xfId="87"/>
    <cellStyle name="20% - Accent3 2 3" xfId="116"/>
    <cellStyle name="20% - Accent3 2 4" xfId="146"/>
    <cellStyle name="20% - Accent3 2 5" xfId="175"/>
    <cellStyle name="20% - Accent3 3" xfId="71"/>
    <cellStyle name="20% - Accent3 4" xfId="100"/>
    <cellStyle name="20% - Accent3 5" xfId="130"/>
    <cellStyle name="20% - Accent3 6" xfId="159"/>
    <cellStyle name="20% - Accent4" xfId="33" builtinId="42" customBuiltin="1"/>
    <cellStyle name="20% - Accent4 2" xfId="59"/>
    <cellStyle name="20% - Accent4 2 2" xfId="89"/>
    <cellStyle name="20% - Accent4 2 3" xfId="118"/>
    <cellStyle name="20% - Accent4 2 4" xfId="148"/>
    <cellStyle name="20% - Accent4 2 5" xfId="177"/>
    <cellStyle name="20% - Accent4 3" xfId="73"/>
    <cellStyle name="20% - Accent4 4" xfId="102"/>
    <cellStyle name="20% - Accent4 5" xfId="132"/>
    <cellStyle name="20% - Accent4 6" xfId="161"/>
    <cellStyle name="20% - Accent5" xfId="37" builtinId="46" customBuiltin="1"/>
    <cellStyle name="20% - Accent5 2" xfId="61"/>
    <cellStyle name="20% - Accent5 2 2" xfId="91"/>
    <cellStyle name="20% - Accent5 2 3" xfId="120"/>
    <cellStyle name="20% - Accent5 2 4" xfId="150"/>
    <cellStyle name="20% - Accent5 2 5" xfId="179"/>
    <cellStyle name="20% - Accent5 3" xfId="75"/>
    <cellStyle name="20% - Accent5 4" xfId="104"/>
    <cellStyle name="20% - Accent5 5" xfId="134"/>
    <cellStyle name="20% - Accent5 6" xfId="163"/>
    <cellStyle name="20% - Accent6" xfId="41" builtinId="50" customBuiltin="1"/>
    <cellStyle name="20% - Accent6 2" xfId="63"/>
    <cellStyle name="20% - Accent6 2 2" xfId="93"/>
    <cellStyle name="20% - Accent6 2 3" xfId="122"/>
    <cellStyle name="20% - Accent6 2 4" xfId="152"/>
    <cellStyle name="20% - Accent6 2 5" xfId="181"/>
    <cellStyle name="20% - Accent6 3" xfId="77"/>
    <cellStyle name="20% - Accent6 4" xfId="106"/>
    <cellStyle name="20% - Accent6 5" xfId="136"/>
    <cellStyle name="20% - Accent6 6" xfId="165"/>
    <cellStyle name="40% - Accent1" xfId="22" builtinId="31" customBuiltin="1"/>
    <cellStyle name="40% - Accent1 2" xfId="54"/>
    <cellStyle name="40% - Accent1 2 2" xfId="84"/>
    <cellStyle name="40% - Accent1 2 3" xfId="113"/>
    <cellStyle name="40% - Accent1 2 4" xfId="143"/>
    <cellStyle name="40% - Accent1 2 5" xfId="172"/>
    <cellStyle name="40% - Accent1 3" xfId="68"/>
    <cellStyle name="40% - Accent1 4" xfId="97"/>
    <cellStyle name="40% - Accent1 5" xfId="127"/>
    <cellStyle name="40% - Accent1 6" xfId="156"/>
    <cellStyle name="40% - Accent2" xfId="26" builtinId="35" customBuiltin="1"/>
    <cellStyle name="40% - Accent2 2" xfId="56"/>
    <cellStyle name="40% - Accent2 2 2" xfId="86"/>
    <cellStyle name="40% - Accent2 2 3" xfId="115"/>
    <cellStyle name="40% - Accent2 2 4" xfId="145"/>
    <cellStyle name="40% - Accent2 2 5" xfId="174"/>
    <cellStyle name="40% - Accent2 3" xfId="70"/>
    <cellStyle name="40% - Accent2 4" xfId="99"/>
    <cellStyle name="40% - Accent2 5" xfId="129"/>
    <cellStyle name="40% - Accent2 6" xfId="158"/>
    <cellStyle name="40% - Accent3" xfId="30" builtinId="39" customBuiltin="1"/>
    <cellStyle name="40% - Accent3 2" xfId="58"/>
    <cellStyle name="40% - Accent3 2 2" xfId="88"/>
    <cellStyle name="40% - Accent3 2 3" xfId="117"/>
    <cellStyle name="40% - Accent3 2 4" xfId="147"/>
    <cellStyle name="40% - Accent3 2 5" xfId="176"/>
    <cellStyle name="40% - Accent3 3" xfId="72"/>
    <cellStyle name="40% - Accent3 4" xfId="101"/>
    <cellStyle name="40% - Accent3 5" xfId="131"/>
    <cellStyle name="40% - Accent3 6" xfId="160"/>
    <cellStyle name="40% - Accent4" xfId="34" builtinId="43" customBuiltin="1"/>
    <cellStyle name="40% - Accent4 2" xfId="60"/>
    <cellStyle name="40% - Accent4 2 2" xfId="90"/>
    <cellStyle name="40% - Accent4 2 3" xfId="119"/>
    <cellStyle name="40% - Accent4 2 4" xfId="149"/>
    <cellStyle name="40% - Accent4 2 5" xfId="178"/>
    <cellStyle name="40% - Accent4 3" xfId="74"/>
    <cellStyle name="40% - Accent4 4" xfId="103"/>
    <cellStyle name="40% - Accent4 5" xfId="133"/>
    <cellStyle name="40% - Accent4 6" xfId="162"/>
    <cellStyle name="40% - Accent5" xfId="38" builtinId="47" customBuiltin="1"/>
    <cellStyle name="40% - Accent5 2" xfId="62"/>
    <cellStyle name="40% - Accent5 2 2" xfId="92"/>
    <cellStyle name="40% - Accent5 2 3" xfId="121"/>
    <cellStyle name="40% - Accent5 2 4" xfId="151"/>
    <cellStyle name="40% - Accent5 2 5" xfId="180"/>
    <cellStyle name="40% - Accent5 3" xfId="76"/>
    <cellStyle name="40% - Accent5 4" xfId="105"/>
    <cellStyle name="40% - Accent5 5" xfId="135"/>
    <cellStyle name="40% - Accent5 6" xfId="164"/>
    <cellStyle name="40% - Accent6" xfId="42" builtinId="51" customBuiltin="1"/>
    <cellStyle name="40% - Accent6 2" xfId="64"/>
    <cellStyle name="40% - Accent6 2 2" xfId="94"/>
    <cellStyle name="40% - Accent6 2 3" xfId="123"/>
    <cellStyle name="40% - Accent6 2 4" xfId="153"/>
    <cellStyle name="40% - Accent6 2 5" xfId="182"/>
    <cellStyle name="40% - Accent6 3" xfId="78"/>
    <cellStyle name="40% - Accent6 4" xfId="107"/>
    <cellStyle name="40% - Accent6 5" xfId="137"/>
    <cellStyle name="40% - Accent6 6" xfId="166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 2" xfId="125"/>
    <cellStyle name="Explanatory Text" xfId="18" builtinId="53" customBuiltin="1"/>
    <cellStyle name="Followed Hyperlink" xfId="50" builtinId="9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yperlink" xfId="49" builtinId="8" customBuiltin="1"/>
    <cellStyle name="Hyperlink 2" xfId="65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/>
    <cellStyle name="Normal 2 2" xfId="3"/>
    <cellStyle name="Normal 2 3" xfId="46"/>
    <cellStyle name="Normal 3" xfId="2"/>
    <cellStyle name="Normal 4" xfId="47"/>
    <cellStyle name="Normal 4 2" xfId="79"/>
    <cellStyle name="Normal 4 3" xfId="108"/>
    <cellStyle name="Normal 4 4" xfId="138"/>
    <cellStyle name="Normal 4 5" xfId="167"/>
    <cellStyle name="Normal 5" xfId="51"/>
    <cellStyle name="Normal 5 2" xfId="81"/>
    <cellStyle name="Normal 5 3" xfId="110"/>
    <cellStyle name="Normal 5 4" xfId="140"/>
    <cellStyle name="Normal 5 5" xfId="169"/>
    <cellStyle name="Normal 6" xfId="66"/>
    <cellStyle name="Normal 7" xfId="44"/>
    <cellStyle name="Normal 7 2" xfId="95"/>
    <cellStyle name="Normal 7 3" xfId="124"/>
    <cellStyle name="Normal 7 4" xfId="154"/>
    <cellStyle name="Normal 7 5" xfId="183"/>
    <cellStyle name="Note 2" xfId="48"/>
    <cellStyle name="Note 2 2" xfId="80"/>
    <cellStyle name="Note 2 3" xfId="109"/>
    <cellStyle name="Note 2 4" xfId="139"/>
    <cellStyle name="Note 2 5" xfId="168"/>
    <cellStyle name="Note 3" xfId="52"/>
    <cellStyle name="Note 3 2" xfId="82"/>
    <cellStyle name="Note 3 3" xfId="111"/>
    <cellStyle name="Note 3 4" xfId="141"/>
    <cellStyle name="Note 3 5" xfId="170"/>
    <cellStyle name="Output" xfId="13" builtinId="21" customBuiltin="1"/>
    <cellStyle name="Percent 2" xfId="45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4"/>
  <sheetViews>
    <sheetView tabSelected="1" zoomScaleNormal="100" workbookViewId="0">
      <selection activeCell="H302" sqref="H302"/>
    </sheetView>
  </sheetViews>
  <sheetFormatPr defaultRowHeight="12.75" x14ac:dyDescent="0.2"/>
  <cols>
    <col min="1" max="1" width="49.7109375" customWidth="1"/>
    <col min="2" max="3" width="12.7109375" customWidth="1"/>
    <col min="4" max="5" width="11.7109375" customWidth="1"/>
  </cols>
  <sheetData>
    <row r="1" spans="1:5" ht="14.1" customHeight="1" x14ac:dyDescent="0.2">
      <c r="A1" s="96" t="s">
        <v>0</v>
      </c>
      <c r="B1" s="96"/>
      <c r="C1" s="96"/>
      <c r="D1" s="96"/>
      <c r="E1" s="96"/>
    </row>
    <row r="2" spans="1:5" ht="14.1" customHeight="1" x14ac:dyDescent="0.2">
      <c r="A2" s="1"/>
    </row>
    <row r="3" spans="1:5" ht="14.1" customHeight="1" x14ac:dyDescent="0.2"/>
    <row r="4" spans="1:5" x14ac:dyDescent="0.2">
      <c r="A4" s="3"/>
      <c r="B4" s="4" t="s">
        <v>1</v>
      </c>
      <c r="C4" s="4" t="s">
        <v>2</v>
      </c>
      <c r="D4" s="4"/>
      <c r="E4" s="4" t="s">
        <v>3</v>
      </c>
    </row>
    <row r="5" spans="1:5" x14ac:dyDescent="0.2">
      <c r="A5" s="2"/>
      <c r="B5" s="33" t="s">
        <v>4</v>
      </c>
      <c r="C5" s="33" t="s">
        <v>237</v>
      </c>
      <c r="D5" s="5" t="s">
        <v>5</v>
      </c>
      <c r="E5" s="5" t="s">
        <v>5</v>
      </c>
    </row>
    <row r="7" spans="1:5" x14ac:dyDescent="0.2">
      <c r="A7" t="s">
        <v>6</v>
      </c>
      <c r="B7" s="6"/>
      <c r="C7" s="6"/>
      <c r="D7" s="7"/>
      <c r="E7" s="6"/>
    </row>
    <row r="8" spans="1:5" x14ac:dyDescent="0.2">
      <c r="B8" s="6"/>
      <c r="C8" s="6"/>
      <c r="D8" s="7"/>
      <c r="E8" s="6"/>
    </row>
    <row r="9" spans="1:5" x14ac:dyDescent="0.2">
      <c r="A9" t="s">
        <v>7</v>
      </c>
      <c r="B9" s="6">
        <f>SUM(B101)</f>
        <v>568938</v>
      </c>
      <c r="C9" s="6">
        <f>SUM(C101)</f>
        <v>576880</v>
      </c>
      <c r="D9" s="7">
        <f>SUM(C9-B9)</f>
        <v>7942</v>
      </c>
      <c r="E9" s="8">
        <f>SUM(D9/B9*100)</f>
        <v>1.3959341791196931</v>
      </c>
    </row>
    <row r="10" spans="1:5" x14ac:dyDescent="0.2">
      <c r="B10" s="6"/>
      <c r="C10" s="6"/>
      <c r="D10" s="7"/>
      <c r="E10" s="8"/>
    </row>
    <row r="11" spans="1:5" x14ac:dyDescent="0.2">
      <c r="A11" s="28" t="s">
        <v>8</v>
      </c>
      <c r="B11" s="6">
        <f>SUM(B164)</f>
        <v>740635</v>
      </c>
      <c r="C11" s="6">
        <f>SUM(C164)</f>
        <v>744153</v>
      </c>
      <c r="D11" s="7">
        <f>SUM(C11-B11)</f>
        <v>3518</v>
      </c>
      <c r="E11" s="8">
        <f t="shared" ref="E11:E53" si="0">SUM(D11/B11*100)</f>
        <v>0.47499780593679752</v>
      </c>
    </row>
    <row r="12" spans="1:5" x14ac:dyDescent="0.2">
      <c r="E12" s="8"/>
    </row>
    <row r="13" spans="1:5" x14ac:dyDescent="0.2">
      <c r="A13" t="s">
        <v>9</v>
      </c>
      <c r="B13" s="6">
        <f>SUM(B213)</f>
        <v>12353</v>
      </c>
      <c r="C13" s="6">
        <f>SUM(C213)</f>
        <v>11459</v>
      </c>
      <c r="D13" s="7">
        <f>SUM(C13-B13)</f>
        <v>-894</v>
      </c>
      <c r="E13" s="8">
        <f t="shared" si="0"/>
        <v>-7.2371083947219308</v>
      </c>
    </row>
    <row r="14" spans="1:5" x14ac:dyDescent="0.2">
      <c r="B14" s="9" t="s">
        <v>10</v>
      </c>
      <c r="C14" s="9" t="s">
        <v>10</v>
      </c>
      <c r="D14" s="10" t="s">
        <v>10</v>
      </c>
      <c r="E14" s="8"/>
    </row>
    <row r="15" spans="1:5" x14ac:dyDescent="0.2">
      <c r="A15" t="s">
        <v>11</v>
      </c>
      <c r="B15" s="6">
        <f>SUM(B9,B11,B13)</f>
        <v>1321926</v>
      </c>
      <c r="C15" s="6">
        <f>SUM(C9,C11,C13)</f>
        <v>1332492</v>
      </c>
      <c r="D15" s="7">
        <f>SUM(C15-B15)</f>
        <v>10566</v>
      </c>
      <c r="E15" s="8">
        <f t="shared" si="0"/>
        <v>0.79928831114600973</v>
      </c>
    </row>
    <row r="16" spans="1:5" x14ac:dyDescent="0.2">
      <c r="B16" s="6"/>
      <c r="C16" s="6"/>
      <c r="D16" s="7"/>
      <c r="E16" s="8"/>
    </row>
    <row r="17" spans="1:5" x14ac:dyDescent="0.2">
      <c r="A17" s="28" t="s">
        <v>12</v>
      </c>
      <c r="B17" s="6"/>
      <c r="C17" s="6"/>
      <c r="D17" s="7"/>
      <c r="E17" s="8"/>
    </row>
    <row r="18" spans="1:5" x14ac:dyDescent="0.2">
      <c r="B18" s="6"/>
      <c r="C18" s="6"/>
      <c r="D18" s="7"/>
      <c r="E18" s="8"/>
    </row>
    <row r="19" spans="1:5" x14ac:dyDescent="0.2">
      <c r="A19" t="s">
        <v>13</v>
      </c>
      <c r="B19" s="6">
        <f>SUM(B370)</f>
        <v>122624</v>
      </c>
      <c r="C19" s="6">
        <f>SUM(C370)</f>
        <v>123707</v>
      </c>
      <c r="D19" s="7">
        <f>SUM(C19-B19)</f>
        <v>1083</v>
      </c>
      <c r="E19" s="8">
        <f t="shared" si="0"/>
        <v>0.88318763048016702</v>
      </c>
    </row>
    <row r="20" spans="1:5" x14ac:dyDescent="0.2">
      <c r="B20" s="6"/>
      <c r="C20" s="6"/>
      <c r="D20" s="7"/>
      <c r="E20" s="8"/>
    </row>
    <row r="21" spans="1:5" x14ac:dyDescent="0.2">
      <c r="A21" t="s">
        <v>14</v>
      </c>
      <c r="B21" s="6">
        <f>SUM(B380)</f>
        <v>1066</v>
      </c>
      <c r="C21" s="6">
        <f>SUM(C380)</f>
        <v>559</v>
      </c>
      <c r="D21" s="7">
        <f>SUM(C21-B21)</f>
        <v>-507</v>
      </c>
      <c r="E21" s="8">
        <f t="shared" si="0"/>
        <v>-47.560975609756099</v>
      </c>
    </row>
    <row r="22" spans="1:5" x14ac:dyDescent="0.2">
      <c r="B22" s="9" t="s">
        <v>10</v>
      </c>
      <c r="C22" s="9" t="s">
        <v>10</v>
      </c>
      <c r="D22" s="10" t="s">
        <v>10</v>
      </c>
      <c r="E22" s="8"/>
    </row>
    <row r="23" spans="1:5" x14ac:dyDescent="0.2">
      <c r="A23" t="s">
        <v>11</v>
      </c>
      <c r="B23" s="6">
        <f>SUM(B19,B21)</f>
        <v>123690</v>
      </c>
      <c r="C23" s="6">
        <f>SUM(C19,C21)</f>
        <v>124266</v>
      </c>
      <c r="D23" s="7">
        <f>SUM(C23-B23)</f>
        <v>576</v>
      </c>
      <c r="E23" s="8">
        <f t="shared" si="0"/>
        <v>0.46568032985690028</v>
      </c>
    </row>
    <row r="24" spans="1:5" x14ac:dyDescent="0.2">
      <c r="B24" s="6"/>
      <c r="C24" s="6"/>
      <c r="D24" s="7"/>
      <c r="E24" s="8"/>
    </row>
    <row r="25" spans="1:5" x14ac:dyDescent="0.2">
      <c r="A25" t="s">
        <v>15</v>
      </c>
      <c r="B25" s="6"/>
      <c r="C25" s="6"/>
      <c r="D25" s="7"/>
      <c r="E25" s="8"/>
    </row>
    <row r="26" spans="1:5" x14ac:dyDescent="0.2">
      <c r="B26" s="6"/>
      <c r="C26" s="6"/>
      <c r="D26" s="7"/>
      <c r="E26" s="8"/>
    </row>
    <row r="27" spans="1:5" x14ac:dyDescent="0.2">
      <c r="A27" t="s">
        <v>16</v>
      </c>
      <c r="B27" s="6"/>
      <c r="C27" s="6"/>
      <c r="D27" s="7"/>
      <c r="E27" s="8"/>
    </row>
    <row r="28" spans="1:5" x14ac:dyDescent="0.2">
      <c r="A28" s="28" t="s">
        <v>17</v>
      </c>
      <c r="B28" s="6">
        <f t="shared" ref="B28:C32" si="1">SUM(B425)</f>
        <v>5849</v>
      </c>
      <c r="C28" s="6">
        <f t="shared" si="1"/>
        <v>6068</v>
      </c>
      <c r="D28" s="7">
        <f t="shared" ref="D28:D33" si="2">SUM(C28-B28)</f>
        <v>219</v>
      </c>
      <c r="E28" s="8">
        <f t="shared" si="0"/>
        <v>3.7442297828688664</v>
      </c>
    </row>
    <row r="29" spans="1:5" x14ac:dyDescent="0.2">
      <c r="A29" t="s">
        <v>18</v>
      </c>
      <c r="B29" s="6">
        <f t="shared" si="1"/>
        <v>1141</v>
      </c>
      <c r="C29" s="6">
        <f t="shared" si="1"/>
        <v>1262</v>
      </c>
      <c r="D29" s="7">
        <f t="shared" si="2"/>
        <v>121</v>
      </c>
      <c r="E29" s="8">
        <f t="shared" si="0"/>
        <v>10.60473269062226</v>
      </c>
    </row>
    <row r="30" spans="1:5" x14ac:dyDescent="0.2">
      <c r="A30" s="28" t="s">
        <v>19</v>
      </c>
      <c r="B30" s="6">
        <f t="shared" si="1"/>
        <v>12680</v>
      </c>
      <c r="C30" s="6">
        <f t="shared" si="1"/>
        <v>12947</v>
      </c>
      <c r="D30" s="7">
        <f>SUM(C30-B30)</f>
        <v>267</v>
      </c>
      <c r="E30" s="8">
        <f>SUM(D30/B30*100)</f>
        <v>2.105678233438486</v>
      </c>
    </row>
    <row r="31" spans="1:5" x14ac:dyDescent="0.2">
      <c r="A31" t="s">
        <v>20</v>
      </c>
      <c r="B31" s="6">
        <f t="shared" si="1"/>
        <v>42</v>
      </c>
      <c r="C31" s="6">
        <f t="shared" si="1"/>
        <v>39</v>
      </c>
      <c r="D31" s="7">
        <f>SUM(C31-B31)</f>
        <v>-3</v>
      </c>
      <c r="E31" s="8">
        <f>SUM(D31/B31*100)</f>
        <v>-7.1428571428571423</v>
      </c>
    </row>
    <row r="32" spans="1:5" x14ac:dyDescent="0.2">
      <c r="A32" s="28" t="s">
        <v>21</v>
      </c>
      <c r="B32" s="6">
        <f t="shared" si="1"/>
        <v>925</v>
      </c>
      <c r="C32" s="6">
        <f t="shared" si="1"/>
        <v>943</v>
      </c>
      <c r="D32" s="7">
        <f t="shared" si="2"/>
        <v>18</v>
      </c>
      <c r="E32" s="8">
        <f t="shared" si="0"/>
        <v>1.9459459459459458</v>
      </c>
    </row>
    <row r="33" spans="1:5" x14ac:dyDescent="0.2">
      <c r="A33" t="s">
        <v>22</v>
      </c>
      <c r="B33" s="6">
        <f>SUM(B430)</f>
        <v>675</v>
      </c>
      <c r="C33" s="6">
        <f>SUM(C430)</f>
        <v>911</v>
      </c>
      <c r="D33" s="7">
        <f t="shared" si="2"/>
        <v>236</v>
      </c>
      <c r="E33" s="8">
        <f t="shared" si="0"/>
        <v>34.962962962962962</v>
      </c>
    </row>
    <row r="34" spans="1:5" x14ac:dyDescent="0.2">
      <c r="B34" s="9" t="s">
        <v>10</v>
      </c>
      <c r="C34" s="9" t="s">
        <v>10</v>
      </c>
      <c r="D34" s="10" t="s">
        <v>10</v>
      </c>
      <c r="E34" s="8"/>
    </row>
    <row r="35" spans="1:5" x14ac:dyDescent="0.2">
      <c r="A35" t="s">
        <v>23</v>
      </c>
      <c r="B35" s="6">
        <f>SUM(B28:B34)</f>
        <v>21312</v>
      </c>
      <c r="C35" s="6">
        <f>SUM(C28:C34)</f>
        <v>22170</v>
      </c>
      <c r="D35" s="7">
        <f>SUM(C35-B35)</f>
        <v>858</v>
      </c>
      <c r="E35" s="8">
        <f t="shared" si="0"/>
        <v>4.0259009009009006</v>
      </c>
    </row>
    <row r="36" spans="1:5" x14ac:dyDescent="0.2">
      <c r="B36" s="6"/>
      <c r="C36" s="6"/>
      <c r="D36" s="7"/>
      <c r="E36" s="8"/>
    </row>
    <row r="37" spans="1:5" x14ac:dyDescent="0.2">
      <c r="A37" t="s">
        <v>24</v>
      </c>
      <c r="B37" s="6"/>
      <c r="C37" s="6"/>
      <c r="D37" s="7"/>
      <c r="E37" s="8"/>
    </row>
    <row r="38" spans="1:5" x14ac:dyDescent="0.2">
      <c r="A38" t="s">
        <v>17</v>
      </c>
      <c r="B38" s="6">
        <f>SUM(B437)</f>
        <v>728</v>
      </c>
      <c r="C38" s="6">
        <f>SUM(C437)</f>
        <v>751</v>
      </c>
      <c r="D38" s="7">
        <f>SUM(C38-B38)</f>
        <v>23</v>
      </c>
      <c r="E38" s="8">
        <f t="shared" si="0"/>
        <v>3.1593406593406592</v>
      </c>
    </row>
    <row r="39" spans="1:5" x14ac:dyDescent="0.2">
      <c r="A39" t="s">
        <v>19</v>
      </c>
      <c r="B39" s="6">
        <f>SUM(B438)</f>
        <v>721</v>
      </c>
      <c r="C39" s="6">
        <f>SUM(C438)</f>
        <v>774</v>
      </c>
      <c r="D39" s="7">
        <f>SUM(C39-B39)</f>
        <v>53</v>
      </c>
      <c r="E39" s="8">
        <f t="shared" si="0"/>
        <v>7.3509015256588066</v>
      </c>
    </row>
    <row r="40" spans="1:5" x14ac:dyDescent="0.2">
      <c r="A40" t="s">
        <v>25</v>
      </c>
      <c r="B40" s="6">
        <f>SUM(B439,B440)</f>
        <v>1115</v>
      </c>
      <c r="C40" s="6">
        <f>SUM(C439,C440)</f>
        <v>1128</v>
      </c>
      <c r="D40" s="7">
        <f>SUM(C40-B40)</f>
        <v>13</v>
      </c>
      <c r="E40" s="8">
        <f t="shared" si="0"/>
        <v>1.1659192825112108</v>
      </c>
    </row>
    <row r="41" spans="1:5" x14ac:dyDescent="0.2">
      <c r="B41" s="9" t="s">
        <v>10</v>
      </c>
      <c r="C41" s="9" t="s">
        <v>10</v>
      </c>
      <c r="D41" s="10" t="s">
        <v>10</v>
      </c>
      <c r="E41" s="8"/>
    </row>
    <row r="42" spans="1:5" x14ac:dyDescent="0.2">
      <c r="A42" t="s">
        <v>23</v>
      </c>
      <c r="B42" s="6">
        <f>SUM(B38:B41)</f>
        <v>2564</v>
      </c>
      <c r="C42" s="6">
        <f>SUM(C38:C41)</f>
        <v>2653</v>
      </c>
      <c r="D42" s="7">
        <f>SUM(C42-B42)</f>
        <v>89</v>
      </c>
      <c r="E42" s="8">
        <f t="shared" si="0"/>
        <v>3.4711388455538219</v>
      </c>
    </row>
    <row r="43" spans="1:5" x14ac:dyDescent="0.2">
      <c r="B43" s="6"/>
      <c r="C43" s="6"/>
      <c r="D43" s="7"/>
      <c r="E43" s="8"/>
    </row>
    <row r="44" spans="1:5" x14ac:dyDescent="0.2">
      <c r="A44" t="s">
        <v>26</v>
      </c>
      <c r="B44" s="6">
        <f>SUM(B15,B23,B35,B42)</f>
        <v>1469492</v>
      </c>
      <c r="C44" s="6">
        <f>SUM(C15,C23,C35,C42)</f>
        <v>1481581</v>
      </c>
      <c r="D44" s="7">
        <f>SUM(C44-B44)</f>
        <v>12089</v>
      </c>
      <c r="E44" s="8">
        <f t="shared" si="0"/>
        <v>0.82266524758215753</v>
      </c>
    </row>
    <row r="45" spans="1:5" x14ac:dyDescent="0.2">
      <c r="B45" s="6"/>
      <c r="C45" s="6"/>
      <c r="D45" s="7"/>
      <c r="E45" s="8"/>
    </row>
    <row r="46" spans="1:5" x14ac:dyDescent="0.2">
      <c r="D46" s="7"/>
      <c r="E46" s="8"/>
    </row>
    <row r="47" spans="1:5" x14ac:dyDescent="0.2">
      <c r="B47" s="4" t="s">
        <v>2</v>
      </c>
      <c r="C47" s="4" t="s">
        <v>2</v>
      </c>
      <c r="D47" s="4"/>
      <c r="E47" s="11" t="s">
        <v>3</v>
      </c>
    </row>
    <row r="48" spans="1:5" x14ac:dyDescent="0.2">
      <c r="A48" t="s">
        <v>27</v>
      </c>
      <c r="B48" s="33" t="s">
        <v>4</v>
      </c>
      <c r="C48" s="33" t="s">
        <v>237</v>
      </c>
      <c r="D48" s="5" t="s">
        <v>5</v>
      </c>
      <c r="E48" s="12" t="s">
        <v>5</v>
      </c>
    </row>
    <row r="49" spans="1:5" x14ac:dyDescent="0.2">
      <c r="D49" s="7"/>
      <c r="E49" s="8"/>
    </row>
    <row r="50" spans="1:5" x14ac:dyDescent="0.2">
      <c r="A50" s="28" t="s">
        <v>28</v>
      </c>
      <c r="B50" s="6">
        <f>SUM(B275)</f>
        <v>42977</v>
      </c>
      <c r="C50" s="6">
        <f>SUM(C275)</f>
        <v>35566</v>
      </c>
      <c r="D50" s="7">
        <f>SUM(C50-B50)</f>
        <v>-7411</v>
      </c>
      <c r="E50" s="8">
        <f t="shared" si="0"/>
        <v>-17.244107313214045</v>
      </c>
    </row>
    <row r="51" spans="1:5" x14ac:dyDescent="0.2">
      <c r="A51" t="s">
        <v>29</v>
      </c>
      <c r="B51" s="6">
        <f>SUM(B324)</f>
        <v>208</v>
      </c>
      <c r="C51" s="6">
        <f>SUM(C324)</f>
        <v>1768</v>
      </c>
      <c r="D51" s="7">
        <f>SUM(C51-B51)</f>
        <v>1560</v>
      </c>
      <c r="E51" s="8">
        <f t="shared" si="0"/>
        <v>750</v>
      </c>
    </row>
    <row r="52" spans="1:5" x14ac:dyDescent="0.2">
      <c r="B52" s="9" t="s">
        <v>10</v>
      </c>
      <c r="C52" s="9" t="s">
        <v>10</v>
      </c>
      <c r="D52" s="10" t="s">
        <v>10</v>
      </c>
      <c r="E52" s="8"/>
    </row>
    <row r="53" spans="1:5" x14ac:dyDescent="0.2">
      <c r="A53" t="s">
        <v>11</v>
      </c>
      <c r="B53" s="6">
        <f>SUM(B50:B52)</f>
        <v>43185</v>
      </c>
      <c r="C53" s="6">
        <f>SUM(C50:C52)</f>
        <v>37334</v>
      </c>
      <c r="D53" s="7">
        <f>SUM(C53-B53)</f>
        <v>-5851</v>
      </c>
      <c r="E53" s="8">
        <f t="shared" si="0"/>
        <v>-13.548685886303113</v>
      </c>
    </row>
    <row r="54" spans="1:5" x14ac:dyDescent="0.2">
      <c r="B54" s="6"/>
      <c r="C54" s="6"/>
      <c r="D54" s="7"/>
      <c r="E54" s="8"/>
    </row>
    <row r="56" spans="1:5" x14ac:dyDescent="0.2">
      <c r="A56" s="97" t="s">
        <v>30</v>
      </c>
      <c r="B56" s="97"/>
      <c r="C56" s="97"/>
      <c r="D56" s="97"/>
      <c r="E56" s="97"/>
    </row>
    <row r="57" spans="1:5" x14ac:dyDescent="0.2">
      <c r="A57" s="97" t="s">
        <v>31</v>
      </c>
      <c r="B57" s="97"/>
      <c r="C57" s="97"/>
      <c r="D57" s="97"/>
      <c r="E57" s="97"/>
    </row>
    <row r="58" spans="1:5" x14ac:dyDescent="0.2">
      <c r="A58" s="97" t="s">
        <v>32</v>
      </c>
      <c r="B58" s="97"/>
      <c r="C58" s="97"/>
      <c r="D58" s="97"/>
      <c r="E58" s="97"/>
    </row>
    <row r="59" spans="1:5" x14ac:dyDescent="0.2">
      <c r="B59" s="34" t="s">
        <v>1</v>
      </c>
      <c r="C59" s="68" t="s">
        <v>2</v>
      </c>
      <c r="D59" s="4"/>
      <c r="E59" s="4" t="s">
        <v>3</v>
      </c>
    </row>
    <row r="60" spans="1:5" x14ac:dyDescent="0.2">
      <c r="A60" s="14" t="s">
        <v>33</v>
      </c>
      <c r="B60" s="35" t="s">
        <v>4</v>
      </c>
      <c r="C60" s="35" t="s">
        <v>237</v>
      </c>
      <c r="D60" s="5" t="s">
        <v>5</v>
      </c>
      <c r="E60" s="5" t="s">
        <v>5</v>
      </c>
    </row>
    <row r="61" spans="1:5" x14ac:dyDescent="0.2">
      <c r="B61" s="37"/>
      <c r="C61" s="64"/>
    </row>
    <row r="62" spans="1:5" x14ac:dyDescent="0.2">
      <c r="A62" s="15" t="s">
        <v>34</v>
      </c>
      <c r="B62" s="38">
        <v>7077</v>
      </c>
      <c r="C62" s="48">
        <v>6921</v>
      </c>
      <c r="D62" s="7">
        <f>SUM(C62-B62)</f>
        <v>-156</v>
      </c>
      <c r="E62" s="16">
        <f>SUM(D62/B62*100)</f>
        <v>-2.2043238660449345</v>
      </c>
    </row>
    <row r="63" spans="1:5" x14ac:dyDescent="0.2">
      <c r="A63" s="17" t="s">
        <v>35</v>
      </c>
      <c r="B63" s="38">
        <v>14021</v>
      </c>
      <c r="C63" s="44">
        <v>14469</v>
      </c>
      <c r="D63" s="7">
        <f t="shared" ref="D63:D101" si="3">SUM(C63-B63)</f>
        <v>448</v>
      </c>
      <c r="E63" s="16">
        <f t="shared" ref="E63:E101" si="4">SUM(D63/B63*100)</f>
        <v>3.195207189216176</v>
      </c>
    </row>
    <row r="64" spans="1:5" x14ac:dyDescent="0.2">
      <c r="A64" s="17" t="s">
        <v>36</v>
      </c>
      <c r="B64" s="38">
        <v>5811</v>
      </c>
      <c r="C64" s="44">
        <v>5913</v>
      </c>
      <c r="D64" s="7">
        <f t="shared" si="3"/>
        <v>102</v>
      </c>
      <c r="E64" s="16">
        <f t="shared" si="4"/>
        <v>1.7552916881775942</v>
      </c>
    </row>
    <row r="65" spans="1:5" x14ac:dyDescent="0.2">
      <c r="A65" s="17" t="s">
        <v>37</v>
      </c>
      <c r="B65" s="38">
        <v>8425</v>
      </c>
      <c r="C65" s="44">
        <v>8485</v>
      </c>
      <c r="D65" s="7">
        <f t="shared" si="3"/>
        <v>60</v>
      </c>
      <c r="E65" s="16">
        <f t="shared" si="4"/>
        <v>0.71216617210682487</v>
      </c>
    </row>
    <row r="66" spans="1:5" x14ac:dyDescent="0.2">
      <c r="A66" s="15" t="s">
        <v>38</v>
      </c>
      <c r="B66" s="38">
        <v>17527</v>
      </c>
      <c r="C66" s="44">
        <v>18396</v>
      </c>
      <c r="D66" s="7">
        <f t="shared" si="3"/>
        <v>869</v>
      </c>
      <c r="E66" s="16">
        <f t="shared" si="4"/>
        <v>4.9580647001768705</v>
      </c>
    </row>
    <row r="67" spans="1:5" x14ac:dyDescent="0.2">
      <c r="A67" s="17" t="s">
        <v>39</v>
      </c>
      <c r="B67" s="38">
        <v>12702</v>
      </c>
      <c r="C67" s="44">
        <v>12999</v>
      </c>
      <c r="D67" s="7">
        <f t="shared" si="3"/>
        <v>297</v>
      </c>
      <c r="E67" s="16">
        <f t="shared" si="4"/>
        <v>2.3382144544166272</v>
      </c>
    </row>
    <row r="68" spans="1:5" x14ac:dyDescent="0.2">
      <c r="A68" s="17" t="s">
        <v>40</v>
      </c>
      <c r="B68" s="38">
        <v>1985</v>
      </c>
      <c r="C68" s="44">
        <v>1834</v>
      </c>
      <c r="D68" s="7">
        <f t="shared" si="3"/>
        <v>-151</v>
      </c>
      <c r="E68" s="16">
        <f t="shared" si="4"/>
        <v>-7.6070528967254418</v>
      </c>
    </row>
    <row r="69" spans="1:5" x14ac:dyDescent="0.2">
      <c r="A69" s="17" t="s">
        <v>41</v>
      </c>
      <c r="B69" s="38">
        <v>971</v>
      </c>
      <c r="C69" s="44">
        <v>947</v>
      </c>
      <c r="D69" s="7">
        <f t="shared" si="3"/>
        <v>-24</v>
      </c>
      <c r="E69" s="16">
        <f t="shared" si="4"/>
        <v>-2.4716786817713698</v>
      </c>
    </row>
    <row r="70" spans="1:5" x14ac:dyDescent="0.2">
      <c r="A70" s="17" t="s">
        <v>42</v>
      </c>
      <c r="B70" s="38">
        <v>9893</v>
      </c>
      <c r="C70" s="44">
        <v>10271</v>
      </c>
      <c r="D70" s="7">
        <f t="shared" si="3"/>
        <v>378</v>
      </c>
      <c r="E70" s="16">
        <f t="shared" si="4"/>
        <v>3.8208834529465281</v>
      </c>
    </row>
    <row r="71" spans="1:5" x14ac:dyDescent="0.2">
      <c r="A71" s="17" t="s">
        <v>43</v>
      </c>
      <c r="B71" s="38">
        <v>7037</v>
      </c>
      <c r="C71" s="44">
        <v>7331</v>
      </c>
      <c r="D71" s="7">
        <f t="shared" si="3"/>
        <v>294</v>
      </c>
      <c r="E71" s="16">
        <f t="shared" si="4"/>
        <v>4.1779167258775045</v>
      </c>
    </row>
    <row r="72" spans="1:5" x14ac:dyDescent="0.2">
      <c r="A72" s="17" t="s">
        <v>44</v>
      </c>
      <c r="B72" s="82">
        <v>49861</v>
      </c>
      <c r="C72" s="44">
        <v>50353</v>
      </c>
      <c r="D72" s="7">
        <f t="shared" si="3"/>
        <v>492</v>
      </c>
      <c r="E72" s="16">
        <f t="shared" si="4"/>
        <v>0.98674314594572909</v>
      </c>
    </row>
    <row r="73" spans="1:5" x14ac:dyDescent="0.2">
      <c r="A73" s="17" t="s">
        <v>45</v>
      </c>
      <c r="B73" s="82">
        <v>2035</v>
      </c>
      <c r="C73" s="44">
        <v>2025</v>
      </c>
      <c r="D73" s="7">
        <f t="shared" si="3"/>
        <v>-10</v>
      </c>
      <c r="E73" s="16">
        <f t="shared" si="4"/>
        <v>-0.49140049140049141</v>
      </c>
    </row>
    <row r="74" spans="1:5" x14ac:dyDescent="0.2">
      <c r="A74" s="17" t="s">
        <v>46</v>
      </c>
      <c r="B74" s="82">
        <v>2096</v>
      </c>
      <c r="C74" s="44">
        <v>2259</v>
      </c>
      <c r="D74" s="7">
        <f t="shared" si="3"/>
        <v>163</v>
      </c>
      <c r="E74" s="16">
        <f t="shared" si="4"/>
        <v>7.7767175572519083</v>
      </c>
    </row>
    <row r="75" spans="1:5" x14ac:dyDescent="0.2">
      <c r="A75" s="17" t="s">
        <v>47</v>
      </c>
      <c r="B75" s="82">
        <v>10726</v>
      </c>
      <c r="C75" s="44">
        <v>12052</v>
      </c>
      <c r="D75" s="7">
        <f t="shared" si="3"/>
        <v>1326</v>
      </c>
      <c r="E75" s="16">
        <f t="shared" si="4"/>
        <v>12.362483684504941</v>
      </c>
    </row>
    <row r="76" spans="1:5" x14ac:dyDescent="0.2">
      <c r="A76" s="17" t="s">
        <v>48</v>
      </c>
      <c r="B76" s="82">
        <v>10162</v>
      </c>
      <c r="C76" s="44">
        <v>10538</v>
      </c>
      <c r="D76" s="7">
        <f t="shared" si="3"/>
        <v>376</v>
      </c>
      <c r="E76" s="16">
        <f t="shared" si="4"/>
        <v>3.7000590434953748</v>
      </c>
    </row>
    <row r="77" spans="1:5" x14ac:dyDescent="0.2">
      <c r="A77" s="15" t="s">
        <v>49</v>
      </c>
      <c r="B77" s="82">
        <v>6731</v>
      </c>
      <c r="C77" s="44">
        <v>7231</v>
      </c>
      <c r="D77" s="7">
        <f t="shared" si="3"/>
        <v>500</v>
      </c>
      <c r="E77" s="16">
        <f t="shared" si="4"/>
        <v>7.4283167434259401</v>
      </c>
    </row>
    <row r="78" spans="1:5" x14ac:dyDescent="0.2">
      <c r="A78" s="15" t="s">
        <v>50</v>
      </c>
      <c r="B78" s="82">
        <v>3554</v>
      </c>
      <c r="C78" s="44">
        <v>4133</v>
      </c>
      <c r="D78" s="7">
        <f t="shared" si="3"/>
        <v>579</v>
      </c>
      <c r="E78" s="16">
        <f t="shared" si="4"/>
        <v>16.291502532357907</v>
      </c>
    </row>
    <row r="79" spans="1:5" x14ac:dyDescent="0.2">
      <c r="A79" s="17" t="s">
        <v>51</v>
      </c>
      <c r="B79" s="82">
        <v>1907</v>
      </c>
      <c r="C79" s="44">
        <v>1966</v>
      </c>
      <c r="D79" s="7">
        <f t="shared" si="3"/>
        <v>59</v>
      </c>
      <c r="E79" s="16">
        <f t="shared" si="4"/>
        <v>3.0938647089669638</v>
      </c>
    </row>
    <row r="80" spans="1:5" x14ac:dyDescent="0.2">
      <c r="A80" s="17" t="s">
        <v>52</v>
      </c>
      <c r="B80" s="82">
        <v>9730</v>
      </c>
      <c r="C80" s="44">
        <v>9967</v>
      </c>
      <c r="D80" s="7">
        <f t="shared" si="3"/>
        <v>237</v>
      </c>
      <c r="E80" s="16">
        <f t="shared" si="4"/>
        <v>2.4357656731757453</v>
      </c>
    </row>
    <row r="81" spans="1:5" x14ac:dyDescent="0.2">
      <c r="A81" s="17" t="s">
        <v>53</v>
      </c>
      <c r="B81" s="82">
        <v>34087</v>
      </c>
      <c r="C81" s="44">
        <v>34229</v>
      </c>
      <c r="D81" s="7">
        <f t="shared" si="3"/>
        <v>142</v>
      </c>
      <c r="E81" s="16">
        <f t="shared" si="4"/>
        <v>0.41658110129961573</v>
      </c>
    </row>
    <row r="82" spans="1:5" x14ac:dyDescent="0.2">
      <c r="A82" s="17" t="s">
        <v>54</v>
      </c>
      <c r="B82" s="82">
        <v>32149</v>
      </c>
      <c r="C82" s="44">
        <v>32611</v>
      </c>
      <c r="D82" s="7">
        <f t="shared" si="3"/>
        <v>462</v>
      </c>
      <c r="E82" s="16">
        <f t="shared" si="4"/>
        <v>1.4370586954493141</v>
      </c>
    </row>
    <row r="83" spans="1:5" x14ac:dyDescent="0.2">
      <c r="A83" s="17" t="s">
        <v>55</v>
      </c>
      <c r="B83" s="82">
        <v>14503</v>
      </c>
      <c r="C83" s="44">
        <v>14909</v>
      </c>
      <c r="D83" s="7">
        <f t="shared" si="3"/>
        <v>406</v>
      </c>
      <c r="E83" s="16">
        <f t="shared" si="4"/>
        <v>2.799420809487692</v>
      </c>
    </row>
    <row r="84" spans="1:5" x14ac:dyDescent="0.2">
      <c r="A84" s="17" t="s">
        <v>56</v>
      </c>
      <c r="B84" s="82">
        <v>33439</v>
      </c>
      <c r="C84" s="44">
        <v>33267</v>
      </c>
      <c r="D84" s="7">
        <f t="shared" si="3"/>
        <v>-172</v>
      </c>
      <c r="E84" s="16">
        <f t="shared" si="4"/>
        <v>-0.51436944884715452</v>
      </c>
    </row>
    <row r="85" spans="1:5" x14ac:dyDescent="0.2">
      <c r="A85" s="17" t="s">
        <v>57</v>
      </c>
      <c r="B85" s="82">
        <v>51112</v>
      </c>
      <c r="C85" s="44">
        <v>52213</v>
      </c>
      <c r="D85" s="7">
        <f t="shared" si="3"/>
        <v>1101</v>
      </c>
      <c r="E85" s="16">
        <f t="shared" si="4"/>
        <v>2.1540929722961342</v>
      </c>
    </row>
    <row r="86" spans="1:5" s="61" customFormat="1" x14ac:dyDescent="0.2">
      <c r="A86" s="58" t="s">
        <v>58</v>
      </c>
      <c r="B86" s="82">
        <v>8625</v>
      </c>
      <c r="C86" s="82">
        <v>7477</v>
      </c>
      <c r="D86" s="59">
        <f t="shared" si="3"/>
        <v>-1148</v>
      </c>
      <c r="E86" s="60">
        <f t="shared" si="4"/>
        <v>-13.310144927536232</v>
      </c>
    </row>
    <row r="87" spans="1:5" x14ac:dyDescent="0.2">
      <c r="A87" s="17" t="s">
        <v>59</v>
      </c>
      <c r="B87" s="82">
        <v>18864</v>
      </c>
      <c r="C87" s="44">
        <v>19626</v>
      </c>
      <c r="D87" s="7">
        <f t="shared" si="3"/>
        <v>762</v>
      </c>
      <c r="E87" s="16">
        <f t="shared" si="4"/>
        <v>4.0394402035623411</v>
      </c>
    </row>
    <row r="88" spans="1:5" x14ac:dyDescent="0.2">
      <c r="A88" s="17" t="s">
        <v>60</v>
      </c>
      <c r="B88" s="82">
        <v>22582</v>
      </c>
      <c r="C88" s="44">
        <v>22749</v>
      </c>
      <c r="D88" s="7">
        <f t="shared" si="3"/>
        <v>167</v>
      </c>
      <c r="E88" s="16">
        <f t="shared" si="4"/>
        <v>0.73952705694801169</v>
      </c>
    </row>
    <row r="89" spans="1:5" x14ac:dyDescent="0.2">
      <c r="A89" s="17" t="s">
        <v>61</v>
      </c>
      <c r="B89" s="82">
        <v>19034</v>
      </c>
      <c r="C89" s="44">
        <v>19263</v>
      </c>
      <c r="D89" s="7">
        <f t="shared" si="3"/>
        <v>229</v>
      </c>
      <c r="E89" s="16">
        <f t="shared" si="4"/>
        <v>1.2031102238100242</v>
      </c>
    </row>
    <row r="90" spans="1:5" x14ac:dyDescent="0.2">
      <c r="A90" s="17" t="s">
        <v>62</v>
      </c>
      <c r="B90" s="82">
        <v>3831</v>
      </c>
      <c r="C90" s="44">
        <v>4074</v>
      </c>
      <c r="D90" s="7">
        <f t="shared" si="3"/>
        <v>243</v>
      </c>
      <c r="E90" s="16">
        <f t="shared" si="4"/>
        <v>6.3429913860610814</v>
      </c>
    </row>
    <row r="91" spans="1:5" x14ac:dyDescent="0.2">
      <c r="A91" s="17" t="s">
        <v>63</v>
      </c>
      <c r="B91" s="82">
        <v>30968</v>
      </c>
      <c r="C91" s="44">
        <v>30607</v>
      </c>
      <c r="D91" s="7">
        <f t="shared" si="3"/>
        <v>-361</v>
      </c>
      <c r="E91" s="16">
        <f t="shared" si="4"/>
        <v>-1.1657194523378971</v>
      </c>
    </row>
    <row r="92" spans="1:5" x14ac:dyDescent="0.2">
      <c r="A92" s="17" t="s">
        <v>64</v>
      </c>
      <c r="B92" s="82">
        <v>6628</v>
      </c>
      <c r="C92" s="44">
        <v>6858</v>
      </c>
      <c r="D92" s="7">
        <f t="shared" si="3"/>
        <v>230</v>
      </c>
      <c r="E92" s="16">
        <f t="shared" si="4"/>
        <v>3.4701267350633676</v>
      </c>
    </row>
    <row r="93" spans="1:5" x14ac:dyDescent="0.2">
      <c r="A93" s="17" t="s">
        <v>65</v>
      </c>
      <c r="B93" s="82">
        <v>39820</v>
      </c>
      <c r="C93" s="44">
        <v>38758</v>
      </c>
      <c r="D93" s="7">
        <f t="shared" si="3"/>
        <v>-1062</v>
      </c>
      <c r="E93" s="16">
        <f t="shared" si="4"/>
        <v>-2.6670015067805126</v>
      </c>
    </row>
    <row r="94" spans="1:5" x14ac:dyDescent="0.2">
      <c r="A94" s="17" t="s">
        <v>66</v>
      </c>
      <c r="B94" s="82">
        <v>8185</v>
      </c>
      <c r="C94" s="44">
        <v>8301</v>
      </c>
      <c r="D94" s="7">
        <f t="shared" si="3"/>
        <v>116</v>
      </c>
      <c r="E94" s="16">
        <f t="shared" si="4"/>
        <v>1.4172266340867441</v>
      </c>
    </row>
    <row r="95" spans="1:5" x14ac:dyDescent="0.2">
      <c r="A95" s="17" t="s">
        <v>67</v>
      </c>
      <c r="B95" s="82">
        <v>12918</v>
      </c>
      <c r="C95" s="44">
        <v>13568</v>
      </c>
      <c r="D95" s="7">
        <f t="shared" si="3"/>
        <v>650</v>
      </c>
      <c r="E95" s="16">
        <f t="shared" si="4"/>
        <v>5.0317386592351756</v>
      </c>
    </row>
    <row r="96" spans="1:5" x14ac:dyDescent="0.2">
      <c r="A96" s="17" t="s">
        <v>68</v>
      </c>
      <c r="B96" s="82">
        <v>4330</v>
      </c>
      <c r="C96" s="44">
        <v>4383</v>
      </c>
      <c r="D96" s="7">
        <f t="shared" si="3"/>
        <v>53</v>
      </c>
      <c r="E96" s="16">
        <f t="shared" si="4"/>
        <v>1.2240184757505772</v>
      </c>
    </row>
    <row r="97" spans="1:5" x14ac:dyDescent="0.2">
      <c r="A97" s="17" t="s">
        <v>69</v>
      </c>
      <c r="B97" s="82">
        <v>35694</v>
      </c>
      <c r="C97" s="44">
        <v>35836</v>
      </c>
      <c r="D97" s="7">
        <f t="shared" si="3"/>
        <v>142</v>
      </c>
      <c r="E97" s="16">
        <f t="shared" si="4"/>
        <v>0.39782596514820417</v>
      </c>
    </row>
    <row r="98" spans="1:5" x14ac:dyDescent="0.2">
      <c r="A98" s="17" t="s">
        <v>70</v>
      </c>
      <c r="B98" s="82">
        <v>2032</v>
      </c>
      <c r="C98" s="44">
        <v>2106</v>
      </c>
      <c r="D98" s="7">
        <f t="shared" si="3"/>
        <v>74</v>
      </c>
      <c r="E98" s="16">
        <f t="shared" si="4"/>
        <v>3.6417322834645667</v>
      </c>
    </row>
    <row r="99" spans="1:5" x14ac:dyDescent="0.2">
      <c r="A99" s="17" t="s">
        <v>71</v>
      </c>
      <c r="B99" s="82">
        <v>7886</v>
      </c>
      <c r="C99" s="44">
        <v>7955</v>
      </c>
      <c r="D99" s="7">
        <f t="shared" si="3"/>
        <v>69</v>
      </c>
      <c r="E99" s="16">
        <f t="shared" si="4"/>
        <v>0.8749682982500635</v>
      </c>
    </row>
    <row r="100" spans="1:5" x14ac:dyDescent="0.2">
      <c r="A100" s="17"/>
      <c r="B100" s="36" t="s">
        <v>10</v>
      </c>
      <c r="C100" s="66" t="s">
        <v>10</v>
      </c>
      <c r="D100" s="10" t="s">
        <v>10</v>
      </c>
      <c r="E100" s="16"/>
    </row>
    <row r="101" spans="1:5" x14ac:dyDescent="0.2">
      <c r="A101" s="17" t="s">
        <v>72</v>
      </c>
      <c r="B101" s="25">
        <f>SUM(B62:B100)</f>
        <v>568938</v>
      </c>
      <c r="C101" s="65">
        <f>SUM(C62:C100)</f>
        <v>576880</v>
      </c>
      <c r="D101" s="7">
        <f t="shared" si="3"/>
        <v>7942</v>
      </c>
      <c r="E101" s="16">
        <f t="shared" si="4"/>
        <v>1.3959341791196931</v>
      </c>
    </row>
    <row r="102" spans="1:5" x14ac:dyDescent="0.2">
      <c r="A102" s="17"/>
      <c r="B102" s="6"/>
      <c r="C102" s="65"/>
      <c r="D102" s="7"/>
      <c r="E102" s="16"/>
    </row>
    <row r="103" spans="1:5" x14ac:dyDescent="0.2">
      <c r="A103" s="17"/>
      <c r="B103" s="6"/>
      <c r="C103" s="65"/>
      <c r="D103" s="7"/>
      <c r="E103" s="16"/>
    </row>
    <row r="104" spans="1:5" x14ac:dyDescent="0.2">
      <c r="A104" s="17"/>
      <c r="B104" s="34" t="s">
        <v>1</v>
      </c>
      <c r="C104" s="68" t="s">
        <v>2</v>
      </c>
      <c r="D104" s="4"/>
      <c r="E104" s="4" t="s">
        <v>3</v>
      </c>
    </row>
    <row r="105" spans="1:5" x14ac:dyDescent="0.2">
      <c r="A105" s="14" t="s">
        <v>73</v>
      </c>
      <c r="B105" s="35" t="s">
        <v>4</v>
      </c>
      <c r="C105" s="35" t="s">
        <v>237</v>
      </c>
      <c r="D105" s="5" t="s">
        <v>5</v>
      </c>
      <c r="E105" s="5" t="s">
        <v>5</v>
      </c>
    </row>
    <row r="106" spans="1:5" x14ac:dyDescent="0.2">
      <c r="A106" s="14"/>
      <c r="B106" s="28"/>
      <c r="C106" s="64"/>
      <c r="E106" s="16"/>
    </row>
    <row r="107" spans="1:5" x14ac:dyDescent="0.2">
      <c r="A107" s="17" t="s">
        <v>74</v>
      </c>
      <c r="B107" s="39">
        <f>SUM(B167:B171)</f>
        <v>62517</v>
      </c>
      <c r="C107" s="48">
        <v>59640</v>
      </c>
      <c r="D107" s="7">
        <f>SUM(C107-B107)</f>
        <v>-2877</v>
      </c>
      <c r="E107" s="16">
        <f>SUM(D107/B107*100)</f>
        <v>-4.6019482700705412</v>
      </c>
    </row>
    <row r="108" spans="1:5" x14ac:dyDescent="0.2">
      <c r="A108" s="15" t="s">
        <v>75</v>
      </c>
      <c r="B108" s="40">
        <v>5193</v>
      </c>
      <c r="C108" s="48">
        <v>5195</v>
      </c>
      <c r="D108" s="7">
        <f t="shared" ref="D108:D175" si="5">SUM(C108-B108)</f>
        <v>2</v>
      </c>
      <c r="E108" s="16">
        <f t="shared" ref="E108:E156" si="6">SUM(D108/B108*100)</f>
        <v>3.8513383400731752E-2</v>
      </c>
    </row>
    <row r="109" spans="1:5" x14ac:dyDescent="0.2">
      <c r="A109" s="17" t="s">
        <v>76</v>
      </c>
      <c r="B109" s="40">
        <v>11329</v>
      </c>
      <c r="C109" s="48">
        <v>11414</v>
      </c>
      <c r="D109" s="7">
        <f t="shared" si="5"/>
        <v>85</v>
      </c>
      <c r="E109" s="16">
        <f t="shared" si="6"/>
        <v>0.75028687439315034</v>
      </c>
    </row>
    <row r="110" spans="1:5" x14ac:dyDescent="0.2">
      <c r="A110" s="15" t="s">
        <v>77</v>
      </c>
      <c r="B110" s="40">
        <v>5836</v>
      </c>
      <c r="C110" s="48">
        <v>5478</v>
      </c>
      <c r="D110" s="7">
        <f t="shared" si="5"/>
        <v>-358</v>
      </c>
      <c r="E110" s="16">
        <f t="shared" si="6"/>
        <v>-6.1343385880740229</v>
      </c>
    </row>
    <row r="111" spans="1:5" x14ac:dyDescent="0.2">
      <c r="A111" s="17" t="s">
        <v>78</v>
      </c>
      <c r="B111" s="40">
        <v>42004</v>
      </c>
      <c r="C111" s="48">
        <v>40152</v>
      </c>
      <c r="D111" s="7">
        <f t="shared" si="5"/>
        <v>-1852</v>
      </c>
      <c r="E111" s="16">
        <f t="shared" si="6"/>
        <v>-4.4091038948671555</v>
      </c>
    </row>
    <row r="112" spans="1:5" s="28" customFormat="1" x14ac:dyDescent="0.2">
      <c r="A112" s="15" t="s">
        <v>79</v>
      </c>
      <c r="B112" s="40">
        <v>18080</v>
      </c>
      <c r="C112" s="48">
        <v>17495</v>
      </c>
      <c r="D112" s="26">
        <f t="shared" si="5"/>
        <v>-585</v>
      </c>
      <c r="E112" s="27">
        <f t="shared" si="6"/>
        <v>-3.235619469026549</v>
      </c>
    </row>
    <row r="113" spans="1:5" s="28" customFormat="1" x14ac:dyDescent="0.2">
      <c r="A113" s="15" t="s">
        <v>80</v>
      </c>
      <c r="B113" s="40">
        <v>4194</v>
      </c>
      <c r="C113" s="48">
        <v>4095</v>
      </c>
      <c r="D113" s="26">
        <f t="shared" si="5"/>
        <v>-99</v>
      </c>
      <c r="E113" s="27">
        <f t="shared" si="6"/>
        <v>-2.3605150214592276</v>
      </c>
    </row>
    <row r="114" spans="1:5" x14ac:dyDescent="0.2">
      <c r="A114" s="17" t="s">
        <v>81</v>
      </c>
      <c r="B114" s="40">
        <v>10737</v>
      </c>
      <c r="C114" s="48">
        <v>13548</v>
      </c>
      <c r="D114" s="7">
        <f t="shared" si="5"/>
        <v>2811</v>
      </c>
      <c r="E114" s="16">
        <f t="shared" si="6"/>
        <v>26.18049734562727</v>
      </c>
    </row>
    <row r="115" spans="1:5" x14ac:dyDescent="0.2">
      <c r="A115" s="15" t="s">
        <v>82</v>
      </c>
      <c r="B115" s="40">
        <v>4363</v>
      </c>
      <c r="C115" s="48">
        <v>3838</v>
      </c>
      <c r="D115" s="7">
        <f t="shared" si="5"/>
        <v>-525</v>
      </c>
      <c r="E115" s="16">
        <f t="shared" si="6"/>
        <v>-12.033004813201925</v>
      </c>
    </row>
    <row r="116" spans="1:5" x14ac:dyDescent="0.2">
      <c r="A116" s="17" t="s">
        <v>83</v>
      </c>
      <c r="B116" s="40">
        <v>1343</v>
      </c>
      <c r="C116" s="48">
        <v>1257</v>
      </c>
      <c r="D116" s="7">
        <f t="shared" si="5"/>
        <v>-86</v>
      </c>
      <c r="E116" s="16">
        <f t="shared" si="6"/>
        <v>-6.4035740878629923</v>
      </c>
    </row>
    <row r="117" spans="1:5" x14ac:dyDescent="0.2">
      <c r="A117" s="17" t="s">
        <v>84</v>
      </c>
      <c r="B117" s="40">
        <v>3900</v>
      </c>
      <c r="C117" s="48">
        <v>3885</v>
      </c>
      <c r="D117" s="7">
        <f t="shared" si="5"/>
        <v>-15</v>
      </c>
      <c r="E117" s="16">
        <f t="shared" si="6"/>
        <v>-0.38461538461538464</v>
      </c>
    </row>
    <row r="118" spans="1:5" x14ac:dyDescent="0.2">
      <c r="A118" s="15" t="s">
        <v>85</v>
      </c>
      <c r="B118" s="40">
        <v>4168</v>
      </c>
      <c r="C118" s="48">
        <v>4007</v>
      </c>
      <c r="D118" s="7">
        <f t="shared" si="5"/>
        <v>-161</v>
      </c>
      <c r="E118" s="16">
        <f t="shared" si="6"/>
        <v>-3.8627639155470246</v>
      </c>
    </row>
    <row r="119" spans="1:5" x14ac:dyDescent="0.2">
      <c r="A119" s="17" t="s">
        <v>86</v>
      </c>
      <c r="B119" s="40">
        <v>27179</v>
      </c>
      <c r="C119" s="48">
        <v>27205</v>
      </c>
      <c r="D119" s="7">
        <f t="shared" si="5"/>
        <v>26</v>
      </c>
      <c r="E119" s="16">
        <f t="shared" si="6"/>
        <v>9.5662092056367054E-2</v>
      </c>
    </row>
    <row r="120" spans="1:5" x14ac:dyDescent="0.2">
      <c r="A120" s="17" t="s">
        <v>87</v>
      </c>
      <c r="B120" s="39">
        <f>SUM(B174:B180)</f>
        <v>78549</v>
      </c>
      <c r="C120" s="48">
        <v>78415</v>
      </c>
      <c r="D120" s="7">
        <f t="shared" si="5"/>
        <v>-134</v>
      </c>
      <c r="E120" s="16">
        <f t="shared" si="6"/>
        <v>-0.17059415142140574</v>
      </c>
    </row>
    <row r="121" spans="1:5" s="47" customFormat="1" x14ac:dyDescent="0.2">
      <c r="A121" s="47" t="s">
        <v>88</v>
      </c>
      <c r="B121" s="43">
        <v>12022</v>
      </c>
      <c r="C121" s="65">
        <v>11022</v>
      </c>
      <c r="D121" s="46">
        <f t="shared" si="5"/>
        <v>-1000</v>
      </c>
      <c r="E121" s="45">
        <f t="shared" si="6"/>
        <v>-8.3180835135584754</v>
      </c>
    </row>
    <row r="122" spans="1:5" x14ac:dyDescent="0.2">
      <c r="A122" s="15" t="s">
        <v>89</v>
      </c>
      <c r="B122" s="40">
        <v>28146</v>
      </c>
      <c r="C122" s="48">
        <v>29980</v>
      </c>
      <c r="D122" s="7">
        <f t="shared" si="5"/>
        <v>1834</v>
      </c>
      <c r="E122" s="16">
        <f t="shared" si="6"/>
        <v>6.5160235912740712</v>
      </c>
    </row>
    <row r="123" spans="1:5" x14ac:dyDescent="0.2">
      <c r="A123" s="17" t="s">
        <v>90</v>
      </c>
      <c r="B123" s="40">
        <v>1031</v>
      </c>
      <c r="C123" s="48">
        <v>1182</v>
      </c>
      <c r="D123" s="7">
        <f t="shared" si="5"/>
        <v>151</v>
      </c>
      <c r="E123" s="16">
        <f t="shared" si="6"/>
        <v>14.645974781765275</v>
      </c>
    </row>
    <row r="124" spans="1:5" x14ac:dyDescent="0.2">
      <c r="A124" s="17" t="s">
        <v>91</v>
      </c>
      <c r="B124" s="40">
        <v>2214</v>
      </c>
      <c r="C124" s="48">
        <v>2194</v>
      </c>
      <c r="D124" s="7">
        <f t="shared" si="5"/>
        <v>-20</v>
      </c>
      <c r="E124" s="16">
        <f t="shared" si="6"/>
        <v>-0.90334236675700086</v>
      </c>
    </row>
    <row r="125" spans="1:5" x14ac:dyDescent="0.2">
      <c r="A125" s="17" t="s">
        <v>92</v>
      </c>
      <c r="B125" s="40">
        <v>5166</v>
      </c>
      <c r="C125" s="48">
        <v>4909</v>
      </c>
      <c r="D125" s="7">
        <f t="shared" si="5"/>
        <v>-257</v>
      </c>
      <c r="E125" s="16">
        <f t="shared" si="6"/>
        <v>-4.9748354626403408</v>
      </c>
    </row>
    <row r="126" spans="1:5" x14ac:dyDescent="0.2">
      <c r="A126" s="17" t="s">
        <v>93</v>
      </c>
      <c r="B126" s="40">
        <v>4307</v>
      </c>
      <c r="C126" s="48">
        <v>4389</v>
      </c>
      <c r="D126" s="7">
        <f t="shared" si="5"/>
        <v>82</v>
      </c>
      <c r="E126" s="16">
        <f t="shared" si="6"/>
        <v>1.9038774088692825</v>
      </c>
    </row>
    <row r="127" spans="1:5" x14ac:dyDescent="0.2">
      <c r="A127" s="17" t="s">
        <v>94</v>
      </c>
      <c r="B127" s="40">
        <v>51413</v>
      </c>
      <c r="C127" s="48">
        <v>47784</v>
      </c>
      <c r="D127" s="7">
        <f t="shared" si="5"/>
        <v>-3629</v>
      </c>
      <c r="E127" s="16">
        <f t="shared" si="6"/>
        <v>-7.0585260537218213</v>
      </c>
    </row>
    <row r="128" spans="1:5" x14ac:dyDescent="0.2">
      <c r="A128" s="15" t="s">
        <v>95</v>
      </c>
      <c r="B128" s="39">
        <f>SUM(B183:B184)</f>
        <v>4666</v>
      </c>
      <c r="C128" s="48">
        <v>4555</v>
      </c>
      <c r="D128" s="7">
        <f t="shared" si="5"/>
        <v>-111</v>
      </c>
      <c r="E128" s="16">
        <f t="shared" si="6"/>
        <v>-2.3789112730390056</v>
      </c>
    </row>
    <row r="129" spans="1:5" x14ac:dyDescent="0.2">
      <c r="A129" s="17" t="s">
        <v>96</v>
      </c>
      <c r="B129" s="40">
        <v>6355</v>
      </c>
      <c r="C129" s="48">
        <v>6237</v>
      </c>
      <c r="D129" s="7">
        <f t="shared" si="5"/>
        <v>-118</v>
      </c>
      <c r="E129" s="16">
        <f t="shared" si="6"/>
        <v>-1.856805664830842</v>
      </c>
    </row>
    <row r="130" spans="1:5" s="28" customFormat="1" x14ac:dyDescent="0.2">
      <c r="A130" s="15" t="s">
        <v>97</v>
      </c>
      <c r="B130" s="40">
        <v>3025</v>
      </c>
      <c r="C130" s="48">
        <v>2914</v>
      </c>
      <c r="D130" s="26">
        <f t="shared" si="5"/>
        <v>-111</v>
      </c>
      <c r="E130" s="27">
        <f t="shared" si="6"/>
        <v>-3.6694214876033056</v>
      </c>
    </row>
    <row r="131" spans="1:5" s="28" customFormat="1" x14ac:dyDescent="0.2">
      <c r="A131" s="15" t="s">
        <v>98</v>
      </c>
      <c r="B131" s="40">
        <v>2760</v>
      </c>
      <c r="C131" s="48">
        <v>2643</v>
      </c>
      <c r="D131" s="26">
        <f t="shared" si="5"/>
        <v>-117</v>
      </c>
      <c r="E131" s="27">
        <f t="shared" si="6"/>
        <v>-4.2391304347826084</v>
      </c>
    </row>
    <row r="132" spans="1:5" x14ac:dyDescent="0.2">
      <c r="A132" s="17" t="s">
        <v>99</v>
      </c>
      <c r="B132" s="40">
        <v>2169</v>
      </c>
      <c r="C132" s="48">
        <v>2712</v>
      </c>
      <c r="D132" s="7">
        <f t="shared" si="5"/>
        <v>543</v>
      </c>
      <c r="E132" s="16">
        <f t="shared" si="6"/>
        <v>25.034578146611342</v>
      </c>
    </row>
    <row r="133" spans="1:5" x14ac:dyDescent="0.2">
      <c r="A133" s="15" t="s">
        <v>100</v>
      </c>
      <c r="B133" s="40">
        <v>10046</v>
      </c>
      <c r="C133" s="48">
        <v>9170</v>
      </c>
      <c r="D133" s="7">
        <f t="shared" si="5"/>
        <v>-876</v>
      </c>
      <c r="E133" s="16">
        <f t="shared" si="6"/>
        <v>-8.7198885128409316</v>
      </c>
    </row>
    <row r="134" spans="1:5" s="28" customFormat="1" x14ac:dyDescent="0.2">
      <c r="A134" s="15" t="s">
        <v>101</v>
      </c>
      <c r="B134" s="40">
        <v>6416</v>
      </c>
      <c r="C134" s="48">
        <v>6216</v>
      </c>
      <c r="D134" s="26">
        <f t="shared" si="5"/>
        <v>-200</v>
      </c>
      <c r="E134" s="27">
        <f t="shared" si="6"/>
        <v>-3.117206982543641</v>
      </c>
    </row>
    <row r="135" spans="1:5" x14ac:dyDescent="0.2">
      <c r="A135" s="17" t="s">
        <v>102</v>
      </c>
      <c r="B135" s="39">
        <f>SUM(B187:B191)</f>
        <v>68254</v>
      </c>
      <c r="C135" s="48">
        <v>78023</v>
      </c>
      <c r="D135" s="7">
        <f>SUM(C135-B135)</f>
        <v>9769</v>
      </c>
      <c r="E135" s="16">
        <f t="shared" si="6"/>
        <v>14.312714273156152</v>
      </c>
    </row>
    <row r="136" spans="1:5" x14ac:dyDescent="0.2">
      <c r="A136" s="17" t="s">
        <v>103</v>
      </c>
      <c r="B136" s="40">
        <v>10180</v>
      </c>
      <c r="C136" s="48">
        <v>9310</v>
      </c>
      <c r="D136" s="7">
        <f t="shared" si="5"/>
        <v>-870</v>
      </c>
      <c r="E136" s="16">
        <f t="shared" si="6"/>
        <v>-8.5461689587426317</v>
      </c>
    </row>
    <row r="137" spans="1:5" x14ac:dyDescent="0.2">
      <c r="A137" s="17" t="s">
        <v>104</v>
      </c>
      <c r="B137" s="40">
        <v>6061</v>
      </c>
      <c r="C137" s="48">
        <v>5554</v>
      </c>
      <c r="D137" s="7">
        <f t="shared" si="5"/>
        <v>-507</v>
      </c>
      <c r="E137" s="16">
        <f t="shared" si="6"/>
        <v>-8.3649562778419408</v>
      </c>
    </row>
    <row r="138" spans="1:5" x14ac:dyDescent="0.2">
      <c r="A138" s="17" t="s">
        <v>105</v>
      </c>
      <c r="B138" s="40">
        <v>10383</v>
      </c>
      <c r="C138" s="48">
        <v>10150</v>
      </c>
      <c r="D138" s="7">
        <f t="shared" si="5"/>
        <v>-233</v>
      </c>
      <c r="E138" s="16">
        <f t="shared" si="6"/>
        <v>-2.2440527785803721</v>
      </c>
    </row>
    <row r="139" spans="1:5" x14ac:dyDescent="0.2">
      <c r="A139" s="17" t="s">
        <v>106</v>
      </c>
      <c r="B139" s="40">
        <v>9831</v>
      </c>
      <c r="C139" s="48">
        <v>10175</v>
      </c>
      <c r="D139" s="7">
        <f t="shared" si="5"/>
        <v>344</v>
      </c>
      <c r="E139" s="16">
        <f t="shared" si="6"/>
        <v>3.4991353880581832</v>
      </c>
    </row>
    <row r="140" spans="1:5" x14ac:dyDescent="0.2">
      <c r="A140" s="17" t="s">
        <v>107</v>
      </c>
      <c r="B140" s="40">
        <v>3324</v>
      </c>
      <c r="C140" s="48">
        <v>3357</v>
      </c>
      <c r="D140" s="7">
        <f t="shared" si="5"/>
        <v>33</v>
      </c>
      <c r="E140" s="16">
        <f t="shared" si="6"/>
        <v>0.99277978339350181</v>
      </c>
    </row>
    <row r="141" spans="1:5" x14ac:dyDescent="0.2">
      <c r="A141" s="15" t="s">
        <v>108</v>
      </c>
      <c r="B141" s="40">
        <v>5112</v>
      </c>
      <c r="C141" s="48">
        <v>5036</v>
      </c>
      <c r="D141" s="7">
        <f t="shared" si="5"/>
        <v>-76</v>
      </c>
      <c r="E141" s="16">
        <f t="shared" si="6"/>
        <v>-1.4866979655712049</v>
      </c>
    </row>
    <row r="142" spans="1:5" x14ac:dyDescent="0.2">
      <c r="A142" s="17" t="s">
        <v>109</v>
      </c>
      <c r="B142" s="40">
        <v>2561</v>
      </c>
      <c r="C142" s="48">
        <v>2633</v>
      </c>
      <c r="D142" s="7">
        <f t="shared" si="5"/>
        <v>72</v>
      </c>
      <c r="E142" s="16">
        <f t="shared" si="6"/>
        <v>2.8114017961733699</v>
      </c>
    </row>
    <row r="143" spans="1:5" x14ac:dyDescent="0.2">
      <c r="A143" s="17" t="s">
        <v>110</v>
      </c>
      <c r="B143" s="40">
        <v>5936</v>
      </c>
      <c r="C143" s="48">
        <v>5514</v>
      </c>
      <c r="D143" s="7">
        <f t="shared" si="5"/>
        <v>-422</v>
      </c>
      <c r="E143" s="16">
        <f t="shared" si="6"/>
        <v>-7.1091644204851754</v>
      </c>
    </row>
    <row r="144" spans="1:5" x14ac:dyDescent="0.2">
      <c r="A144" s="17" t="s">
        <v>111</v>
      </c>
      <c r="B144" s="40">
        <v>1736</v>
      </c>
      <c r="C144" s="48">
        <v>1907</v>
      </c>
      <c r="D144" s="7">
        <f t="shared" si="5"/>
        <v>171</v>
      </c>
      <c r="E144" s="16">
        <f t="shared" si="6"/>
        <v>9.8502304147465445</v>
      </c>
    </row>
    <row r="145" spans="1:5" x14ac:dyDescent="0.2">
      <c r="A145" s="17" t="s">
        <v>112</v>
      </c>
      <c r="B145" s="39">
        <f>SUM(B195:B198)</f>
        <v>33382</v>
      </c>
      <c r="C145" s="48">
        <v>33106</v>
      </c>
      <c r="D145" s="7">
        <f t="shared" si="5"/>
        <v>-276</v>
      </c>
      <c r="E145" s="16">
        <f t="shared" si="6"/>
        <v>-0.82679288239170812</v>
      </c>
    </row>
    <row r="146" spans="1:5" x14ac:dyDescent="0.2">
      <c r="A146" s="15" t="s">
        <v>113</v>
      </c>
      <c r="B146" s="40">
        <v>10505</v>
      </c>
      <c r="C146" s="48">
        <v>9697</v>
      </c>
      <c r="D146" s="7">
        <f t="shared" si="5"/>
        <v>-808</v>
      </c>
      <c r="E146" s="16">
        <f t="shared" si="6"/>
        <v>-7.6915754402665399</v>
      </c>
    </row>
    <row r="147" spans="1:5" x14ac:dyDescent="0.2">
      <c r="A147" s="17" t="s">
        <v>114</v>
      </c>
      <c r="B147" s="40">
        <v>29513</v>
      </c>
      <c r="C147" s="48">
        <v>30825</v>
      </c>
      <c r="D147" s="7">
        <f t="shared" si="5"/>
        <v>1312</v>
      </c>
      <c r="E147" s="16">
        <f t="shared" si="6"/>
        <v>4.4454985938400027</v>
      </c>
    </row>
    <row r="148" spans="1:5" s="28" customFormat="1" x14ac:dyDescent="0.2">
      <c r="A148" s="15" t="s">
        <v>115</v>
      </c>
      <c r="B148" s="40">
        <v>5664</v>
      </c>
      <c r="C148" s="48">
        <v>5935</v>
      </c>
      <c r="D148" s="26">
        <f t="shared" si="5"/>
        <v>271</v>
      </c>
      <c r="E148" s="27">
        <f t="shared" si="6"/>
        <v>4.7846045197740112</v>
      </c>
    </row>
    <row r="149" spans="1:5" x14ac:dyDescent="0.2">
      <c r="A149" s="17" t="s">
        <v>116</v>
      </c>
      <c r="B149" s="39">
        <f>SUM(B200:B204)</f>
        <v>56806</v>
      </c>
      <c r="C149" s="48">
        <v>65955</v>
      </c>
      <c r="D149" s="7">
        <f t="shared" si="5"/>
        <v>9149</v>
      </c>
      <c r="E149" s="16">
        <f t="shared" si="6"/>
        <v>16.105693060592191</v>
      </c>
    </row>
    <row r="150" spans="1:5" x14ac:dyDescent="0.2">
      <c r="A150" s="17" t="s">
        <v>117</v>
      </c>
      <c r="B150" s="40">
        <v>5692</v>
      </c>
      <c r="C150" s="48">
        <v>5492</v>
      </c>
      <c r="D150" s="7">
        <f t="shared" si="5"/>
        <v>-200</v>
      </c>
      <c r="E150" s="16">
        <f t="shared" si="6"/>
        <v>-3.5137034434293746</v>
      </c>
    </row>
    <row r="151" spans="1:5" s="28" customFormat="1" x14ac:dyDescent="0.2">
      <c r="A151" s="15" t="s">
        <v>118</v>
      </c>
      <c r="B151" s="40">
        <v>4484</v>
      </c>
      <c r="C151" s="48">
        <v>4045</v>
      </c>
      <c r="D151" s="26">
        <f t="shared" si="5"/>
        <v>-439</v>
      </c>
      <c r="E151" s="27">
        <f t="shared" si="6"/>
        <v>-9.79036574487065</v>
      </c>
    </row>
    <row r="152" spans="1:5" s="61" customFormat="1" x14ac:dyDescent="0.2">
      <c r="A152" s="58" t="s">
        <v>119</v>
      </c>
      <c r="B152" s="42">
        <v>10503</v>
      </c>
      <c r="C152" s="48">
        <v>6130</v>
      </c>
      <c r="D152" s="59">
        <f t="shared" si="5"/>
        <v>-4373</v>
      </c>
      <c r="E152" s="60">
        <f t="shared" si="6"/>
        <v>-41.635723126725701</v>
      </c>
    </row>
    <row r="153" spans="1:5" x14ac:dyDescent="0.2">
      <c r="A153" s="17" t="s">
        <v>120</v>
      </c>
      <c r="B153" s="40">
        <v>7482</v>
      </c>
      <c r="C153" s="48">
        <v>7170</v>
      </c>
      <c r="D153" s="7">
        <f t="shared" si="5"/>
        <v>-312</v>
      </c>
      <c r="E153" s="16">
        <f t="shared" si="6"/>
        <v>-4.1700080192461906</v>
      </c>
    </row>
    <row r="154" spans="1:5" x14ac:dyDescent="0.2">
      <c r="A154" s="15" t="s">
        <v>121</v>
      </c>
      <c r="B154" s="40">
        <v>11540</v>
      </c>
      <c r="C154" s="48">
        <v>9819</v>
      </c>
      <c r="D154" s="7">
        <f t="shared" si="5"/>
        <v>-1721</v>
      </c>
      <c r="E154" s="16">
        <f t="shared" si="6"/>
        <v>-14.913344887348353</v>
      </c>
    </row>
    <row r="155" spans="1:5" x14ac:dyDescent="0.2">
      <c r="A155" s="17" t="s">
        <v>122</v>
      </c>
      <c r="B155" s="77">
        <v>3247</v>
      </c>
      <c r="C155" s="48">
        <v>3137</v>
      </c>
      <c r="D155" s="7">
        <f t="shared" si="5"/>
        <v>-110</v>
      </c>
      <c r="E155" s="16">
        <f t="shared" si="6"/>
        <v>-3.3877425315676009</v>
      </c>
    </row>
    <row r="156" spans="1:5" x14ac:dyDescent="0.2">
      <c r="A156" s="17" t="s">
        <v>123</v>
      </c>
      <c r="B156" s="81">
        <v>4514</v>
      </c>
      <c r="C156" s="48">
        <v>4420</v>
      </c>
      <c r="D156" s="7">
        <f t="shared" si="5"/>
        <v>-94</v>
      </c>
      <c r="E156" s="16">
        <f t="shared" si="6"/>
        <v>-2.0824102791315906</v>
      </c>
    </row>
    <row r="157" spans="1:5" x14ac:dyDescent="0.2">
      <c r="A157" s="17"/>
      <c r="B157" s="78" t="s">
        <v>1</v>
      </c>
      <c r="C157" s="68" t="s">
        <v>2</v>
      </c>
      <c r="D157" s="4"/>
      <c r="E157" s="4" t="s">
        <v>3</v>
      </c>
    </row>
    <row r="158" spans="1:5" x14ac:dyDescent="0.2">
      <c r="A158" s="14"/>
      <c r="B158" s="35" t="s">
        <v>4</v>
      </c>
      <c r="C158" s="35" t="s">
        <v>237</v>
      </c>
      <c r="D158" s="5" t="s">
        <v>5</v>
      </c>
      <c r="E158" s="5" t="s">
        <v>5</v>
      </c>
    </row>
    <row r="159" spans="1:5" x14ac:dyDescent="0.2">
      <c r="A159" s="14"/>
      <c r="B159" s="28"/>
      <c r="C159" s="64"/>
      <c r="E159" s="16"/>
    </row>
    <row r="160" spans="1:5" x14ac:dyDescent="0.2">
      <c r="A160" s="17" t="s">
        <v>124</v>
      </c>
      <c r="B160" s="40">
        <v>5513</v>
      </c>
      <c r="C160" s="65">
        <v>5632</v>
      </c>
      <c r="D160" s="7">
        <f t="shared" si="5"/>
        <v>119</v>
      </c>
      <c r="E160" s="16">
        <f>SUM(D160/B160*100)</f>
        <v>2.158534373299474</v>
      </c>
    </row>
    <row r="161" spans="1:5" x14ac:dyDescent="0.2">
      <c r="A161" s="17" t="s">
        <v>125</v>
      </c>
      <c r="B161" s="40">
        <v>2286</v>
      </c>
      <c r="C161" s="65">
        <v>2192</v>
      </c>
      <c r="D161" s="7">
        <f t="shared" si="5"/>
        <v>-94</v>
      </c>
      <c r="E161" s="16">
        <f t="shared" ref="E161:E213" si="7">SUM(D161/B161*100)</f>
        <v>-4.1119860017497807</v>
      </c>
    </row>
    <row r="162" spans="1:5" x14ac:dyDescent="0.2">
      <c r="A162" s="17" t="s">
        <v>126</v>
      </c>
      <c r="B162" s="40">
        <v>6998</v>
      </c>
      <c r="C162" s="65">
        <v>7408</v>
      </c>
      <c r="D162" s="7">
        <f t="shared" si="5"/>
        <v>410</v>
      </c>
      <c r="E162" s="16">
        <f t="shared" si="7"/>
        <v>5.8588168048013722</v>
      </c>
    </row>
    <row r="163" spans="1:5" x14ac:dyDescent="0.2">
      <c r="A163" s="17"/>
      <c r="B163" s="41" t="s">
        <v>10</v>
      </c>
      <c r="C163" s="66" t="s">
        <v>10</v>
      </c>
      <c r="D163" s="10" t="s">
        <v>10</v>
      </c>
      <c r="E163" s="16"/>
    </row>
    <row r="164" spans="1:5" x14ac:dyDescent="0.2">
      <c r="A164" s="17" t="s">
        <v>127</v>
      </c>
      <c r="B164" s="39">
        <f>SUM(B107:B163)</f>
        <v>740635</v>
      </c>
      <c r="C164" s="65">
        <f>SUM(C107:C163)</f>
        <v>744153</v>
      </c>
      <c r="D164" s="7">
        <f t="shared" si="5"/>
        <v>3518</v>
      </c>
      <c r="E164" s="16">
        <f t="shared" si="7"/>
        <v>0.47499780593679752</v>
      </c>
    </row>
    <row r="165" spans="1:5" x14ac:dyDescent="0.2">
      <c r="A165" s="17"/>
      <c r="B165" s="39"/>
      <c r="C165" s="65"/>
      <c r="D165" s="7"/>
      <c r="E165" s="16"/>
    </row>
    <row r="166" spans="1:5" x14ac:dyDescent="0.2">
      <c r="A166" s="17" t="s">
        <v>74</v>
      </c>
      <c r="B166" s="39"/>
      <c r="C166" s="65"/>
      <c r="D166" s="7"/>
      <c r="E166" s="16"/>
    </row>
    <row r="167" spans="1:5" x14ac:dyDescent="0.2">
      <c r="A167" s="17" t="s">
        <v>128</v>
      </c>
      <c r="B167" s="40">
        <v>1010</v>
      </c>
      <c r="C167" s="49">
        <v>935</v>
      </c>
      <c r="D167" s="7">
        <f t="shared" si="5"/>
        <v>-75</v>
      </c>
      <c r="E167" s="16">
        <f t="shared" si="7"/>
        <v>-7.4257425742574252</v>
      </c>
    </row>
    <row r="168" spans="1:5" x14ac:dyDescent="0.2">
      <c r="A168" s="17" t="s">
        <v>129</v>
      </c>
      <c r="B168" s="40">
        <v>16067</v>
      </c>
      <c r="C168" s="49">
        <v>16141</v>
      </c>
      <c r="D168" s="7">
        <f t="shared" si="5"/>
        <v>74</v>
      </c>
      <c r="E168" s="16">
        <f t="shared" si="7"/>
        <v>0.46057135744071703</v>
      </c>
    </row>
    <row r="169" spans="1:5" x14ac:dyDescent="0.2">
      <c r="A169" s="17" t="s">
        <v>130</v>
      </c>
      <c r="B169" s="40">
        <v>9163</v>
      </c>
      <c r="C169" s="49">
        <v>8771</v>
      </c>
      <c r="D169" s="7">
        <f t="shared" si="5"/>
        <v>-392</v>
      </c>
      <c r="E169" s="16">
        <f t="shared" si="7"/>
        <v>-4.2780748663101598</v>
      </c>
    </row>
    <row r="170" spans="1:5" x14ac:dyDescent="0.2">
      <c r="A170" s="17" t="s">
        <v>131</v>
      </c>
      <c r="B170" s="40">
        <v>25567</v>
      </c>
      <c r="C170" s="49">
        <v>23282</v>
      </c>
      <c r="D170" s="7">
        <f t="shared" si="5"/>
        <v>-2285</v>
      </c>
      <c r="E170" s="16">
        <f t="shared" si="7"/>
        <v>-8.9373019908475761</v>
      </c>
    </row>
    <row r="171" spans="1:5" x14ac:dyDescent="0.2">
      <c r="A171" s="17" t="s">
        <v>132</v>
      </c>
      <c r="B171" s="40">
        <v>10710</v>
      </c>
      <c r="C171" s="49">
        <v>10511</v>
      </c>
      <c r="D171" s="7">
        <f t="shared" si="5"/>
        <v>-199</v>
      </c>
      <c r="E171" s="16">
        <f t="shared" si="7"/>
        <v>-1.858076563958917</v>
      </c>
    </row>
    <row r="172" spans="1:5" x14ac:dyDescent="0.2">
      <c r="A172" s="17"/>
      <c r="B172" s="39"/>
      <c r="C172" s="49"/>
      <c r="D172" s="7"/>
      <c r="E172" s="16"/>
    </row>
    <row r="173" spans="1:5" x14ac:dyDescent="0.2">
      <c r="A173" s="17" t="s">
        <v>87</v>
      </c>
      <c r="B173" s="39"/>
      <c r="C173" s="49"/>
      <c r="D173" s="7"/>
      <c r="E173" s="16"/>
    </row>
    <row r="174" spans="1:5" x14ac:dyDescent="0.2">
      <c r="A174" s="17" t="s">
        <v>133</v>
      </c>
      <c r="B174" s="40">
        <v>11181</v>
      </c>
      <c r="C174" s="49">
        <v>11144</v>
      </c>
      <c r="D174" s="7">
        <f t="shared" si="5"/>
        <v>-37</v>
      </c>
      <c r="E174" s="16">
        <f t="shared" si="7"/>
        <v>-0.33091852249351578</v>
      </c>
    </row>
    <row r="175" spans="1:5" x14ac:dyDescent="0.2">
      <c r="A175" s="15" t="s">
        <v>134</v>
      </c>
      <c r="B175" s="40">
        <v>6331</v>
      </c>
      <c r="C175" s="49">
        <v>6240</v>
      </c>
      <c r="D175" s="7">
        <f t="shared" si="5"/>
        <v>-91</v>
      </c>
      <c r="E175" s="16">
        <f t="shared" si="7"/>
        <v>-1.4373716632443532</v>
      </c>
    </row>
    <row r="176" spans="1:5" x14ac:dyDescent="0.2">
      <c r="A176" s="17" t="s">
        <v>135</v>
      </c>
      <c r="B176" s="40">
        <v>12681</v>
      </c>
      <c r="C176" s="49">
        <v>13034</v>
      </c>
      <c r="D176" s="7">
        <f t="shared" ref="D176:D241" si="8">SUM(C176-B176)</f>
        <v>353</v>
      </c>
      <c r="E176" s="16">
        <f t="shared" si="7"/>
        <v>2.7836921378440187</v>
      </c>
    </row>
    <row r="177" spans="1:5" x14ac:dyDescent="0.2">
      <c r="A177" s="17" t="s">
        <v>136</v>
      </c>
      <c r="B177" s="40">
        <v>11236</v>
      </c>
      <c r="C177" s="49">
        <v>10916</v>
      </c>
      <c r="D177" s="7">
        <f t="shared" si="8"/>
        <v>-320</v>
      </c>
      <c r="E177" s="16">
        <f t="shared" si="7"/>
        <v>-2.8479886080455681</v>
      </c>
    </row>
    <row r="178" spans="1:5" x14ac:dyDescent="0.2">
      <c r="A178" s="17" t="s">
        <v>137</v>
      </c>
      <c r="B178" s="40">
        <v>8365</v>
      </c>
      <c r="C178" s="49">
        <v>8749</v>
      </c>
      <c r="D178" s="7">
        <f t="shared" si="8"/>
        <v>384</v>
      </c>
      <c r="E178" s="16">
        <f t="shared" si="7"/>
        <v>4.5905558876270174</v>
      </c>
    </row>
    <row r="179" spans="1:5" x14ac:dyDescent="0.2">
      <c r="A179" s="15" t="s">
        <v>138</v>
      </c>
      <c r="B179" s="40">
        <v>10983</v>
      </c>
      <c r="C179" s="49">
        <v>10634</v>
      </c>
      <c r="D179" s="7">
        <f t="shared" si="8"/>
        <v>-349</v>
      </c>
      <c r="E179" s="16">
        <f t="shared" si="7"/>
        <v>-3.1776381680779382</v>
      </c>
    </row>
    <row r="180" spans="1:5" x14ac:dyDescent="0.2">
      <c r="A180" s="15" t="s">
        <v>139</v>
      </c>
      <c r="B180" s="40">
        <v>17772</v>
      </c>
      <c r="C180" s="49">
        <v>17698</v>
      </c>
      <c r="D180" s="7">
        <f t="shared" si="8"/>
        <v>-74</v>
      </c>
      <c r="E180" s="16">
        <f t="shared" si="7"/>
        <v>-0.41638532523069993</v>
      </c>
    </row>
    <row r="181" spans="1:5" x14ac:dyDescent="0.2">
      <c r="A181" s="17"/>
      <c r="B181" s="39"/>
      <c r="C181" s="49"/>
      <c r="D181" s="7"/>
      <c r="E181" s="16"/>
    </row>
    <row r="182" spans="1:5" x14ac:dyDescent="0.2">
      <c r="A182" s="17" t="s">
        <v>140</v>
      </c>
      <c r="B182" s="39"/>
      <c r="C182" s="49"/>
      <c r="D182" s="7"/>
      <c r="E182" s="16"/>
    </row>
    <row r="183" spans="1:5" x14ac:dyDescent="0.2">
      <c r="A183" s="17" t="s">
        <v>141</v>
      </c>
      <c r="B183" s="40">
        <v>4488</v>
      </c>
      <c r="C183" s="49">
        <v>4400</v>
      </c>
      <c r="D183" s="7">
        <f t="shared" si="8"/>
        <v>-88</v>
      </c>
      <c r="E183" s="16">
        <f t="shared" si="7"/>
        <v>-1.9607843137254901</v>
      </c>
    </row>
    <row r="184" spans="1:5" x14ac:dyDescent="0.2">
      <c r="A184" s="15" t="s">
        <v>142</v>
      </c>
      <c r="B184" s="40">
        <v>178</v>
      </c>
      <c r="C184" s="49">
        <v>155</v>
      </c>
      <c r="D184" s="7">
        <f t="shared" si="8"/>
        <v>-23</v>
      </c>
      <c r="E184" s="16">
        <f t="shared" si="7"/>
        <v>-12.921348314606742</v>
      </c>
    </row>
    <row r="185" spans="1:5" x14ac:dyDescent="0.2">
      <c r="A185" s="17"/>
      <c r="B185" s="39"/>
      <c r="C185" s="49"/>
      <c r="D185" s="7"/>
      <c r="E185" s="16"/>
    </row>
    <row r="186" spans="1:5" x14ac:dyDescent="0.2">
      <c r="A186" s="17" t="s">
        <v>102</v>
      </c>
      <c r="B186" s="39"/>
      <c r="C186" s="49"/>
      <c r="D186" s="7"/>
      <c r="E186" s="16"/>
    </row>
    <row r="187" spans="1:5" x14ac:dyDescent="0.2">
      <c r="A187" s="17" t="s">
        <v>143</v>
      </c>
      <c r="B187" s="40">
        <v>18072</v>
      </c>
      <c r="C187" s="49">
        <v>18954</v>
      </c>
      <c r="D187" s="7">
        <f t="shared" si="8"/>
        <v>882</v>
      </c>
      <c r="E187" s="16">
        <f t="shared" si="7"/>
        <v>4.8804780876494025</v>
      </c>
    </row>
    <row r="188" spans="1:5" x14ac:dyDescent="0.2">
      <c r="A188" s="17" t="s">
        <v>144</v>
      </c>
      <c r="B188" s="40">
        <v>10469</v>
      </c>
      <c r="C188" s="49">
        <v>11983</v>
      </c>
      <c r="D188" s="7">
        <f t="shared" si="8"/>
        <v>1514</v>
      </c>
      <c r="E188" s="16">
        <f t="shared" si="7"/>
        <v>14.4617441971535</v>
      </c>
    </row>
    <row r="189" spans="1:5" x14ac:dyDescent="0.2">
      <c r="A189" s="17" t="s">
        <v>145</v>
      </c>
      <c r="B189" s="40">
        <v>11830</v>
      </c>
      <c r="C189" s="49">
        <v>13298</v>
      </c>
      <c r="D189" s="7">
        <f t="shared" si="8"/>
        <v>1468</v>
      </c>
      <c r="E189" s="16">
        <f t="shared" si="7"/>
        <v>12.409129332206255</v>
      </c>
    </row>
    <row r="190" spans="1:5" x14ac:dyDescent="0.2">
      <c r="A190" s="17" t="s">
        <v>146</v>
      </c>
      <c r="B190" s="40">
        <v>16549</v>
      </c>
      <c r="C190" s="49">
        <v>18750</v>
      </c>
      <c r="D190" s="7">
        <f t="shared" si="8"/>
        <v>2201</v>
      </c>
      <c r="E190" s="16">
        <f t="shared" si="7"/>
        <v>13.299897274759804</v>
      </c>
    </row>
    <row r="191" spans="1:5" x14ac:dyDescent="0.2">
      <c r="A191" s="17" t="s">
        <v>147</v>
      </c>
      <c r="B191" s="40">
        <v>11334</v>
      </c>
      <c r="C191" s="49">
        <v>9467</v>
      </c>
      <c r="D191" s="7">
        <f t="shared" si="8"/>
        <v>-1867</v>
      </c>
      <c r="E191" s="16">
        <f t="shared" si="7"/>
        <v>-16.472560437621318</v>
      </c>
    </row>
    <row r="192" spans="1:5" x14ac:dyDescent="0.2">
      <c r="A192" s="69" t="s">
        <v>240</v>
      </c>
      <c r="B192" s="39">
        <v>0</v>
      </c>
      <c r="C192" s="49">
        <v>5571</v>
      </c>
      <c r="D192" s="7">
        <f t="shared" si="8"/>
        <v>5571</v>
      </c>
      <c r="E192" s="16">
        <v>100</v>
      </c>
    </row>
    <row r="193" spans="1:5" s="86" customFormat="1" x14ac:dyDescent="0.2">
      <c r="A193" s="17"/>
      <c r="B193" s="39"/>
      <c r="C193" s="95"/>
      <c r="D193" s="89"/>
      <c r="E193" s="88"/>
    </row>
    <row r="194" spans="1:5" x14ac:dyDescent="0.2">
      <c r="A194" s="17" t="s">
        <v>148</v>
      </c>
      <c r="B194" s="39"/>
      <c r="C194" s="49"/>
      <c r="D194" s="7"/>
      <c r="E194" s="16"/>
    </row>
    <row r="195" spans="1:5" x14ac:dyDescent="0.2">
      <c r="A195" s="17" t="s">
        <v>149</v>
      </c>
      <c r="B195" s="40">
        <v>15238</v>
      </c>
      <c r="C195" s="49">
        <v>14754</v>
      </c>
      <c r="D195" s="7">
        <f t="shared" si="8"/>
        <v>-484</v>
      </c>
      <c r="E195" s="16">
        <f t="shared" si="7"/>
        <v>-3.1762698516865728</v>
      </c>
    </row>
    <row r="196" spans="1:5" x14ac:dyDescent="0.2">
      <c r="A196" s="17" t="s">
        <v>150</v>
      </c>
      <c r="B196" s="40">
        <v>7015</v>
      </c>
      <c r="C196" s="83">
        <v>7365</v>
      </c>
      <c r="D196" s="7">
        <f t="shared" si="8"/>
        <v>350</v>
      </c>
      <c r="E196" s="16">
        <f t="shared" si="7"/>
        <v>4.9893086243763367</v>
      </c>
    </row>
    <row r="197" spans="1:5" x14ac:dyDescent="0.2">
      <c r="A197" s="17" t="s">
        <v>151</v>
      </c>
      <c r="B197" s="40">
        <v>11129</v>
      </c>
      <c r="C197" s="84">
        <v>10987</v>
      </c>
      <c r="D197" s="7">
        <f t="shared" si="8"/>
        <v>-142</v>
      </c>
      <c r="E197" s="16">
        <f t="shared" si="7"/>
        <v>-1.2759457273789199</v>
      </c>
    </row>
    <row r="198" spans="1:5" x14ac:dyDescent="0.2">
      <c r="A198" s="17"/>
      <c r="B198" s="39"/>
      <c r="C198" s="49"/>
      <c r="D198" s="7"/>
      <c r="E198" s="16"/>
    </row>
    <row r="199" spans="1:5" x14ac:dyDescent="0.2">
      <c r="A199" s="17" t="s">
        <v>116</v>
      </c>
      <c r="B199" s="39"/>
      <c r="C199" s="49"/>
      <c r="D199" s="7"/>
      <c r="E199" s="16"/>
    </row>
    <row r="200" spans="1:5" x14ac:dyDescent="0.2">
      <c r="A200" s="17" t="s">
        <v>152</v>
      </c>
      <c r="B200" s="40">
        <v>14756</v>
      </c>
      <c r="C200" s="85">
        <v>16957</v>
      </c>
      <c r="D200" s="7">
        <f t="shared" si="8"/>
        <v>2201</v>
      </c>
      <c r="E200" s="16">
        <f t="shared" si="7"/>
        <v>14.915966386554622</v>
      </c>
    </row>
    <row r="201" spans="1:5" x14ac:dyDescent="0.2">
      <c r="A201" s="17" t="s">
        <v>153</v>
      </c>
      <c r="B201" s="40">
        <v>11758</v>
      </c>
      <c r="C201" s="85">
        <v>13615</v>
      </c>
      <c r="D201" s="7">
        <f t="shared" si="8"/>
        <v>1857</v>
      </c>
      <c r="E201" s="16">
        <f t="shared" si="7"/>
        <v>15.793502296308896</v>
      </c>
    </row>
    <row r="202" spans="1:5" x14ac:dyDescent="0.2">
      <c r="A202" s="17" t="s">
        <v>151</v>
      </c>
      <c r="B202" s="40">
        <v>10813</v>
      </c>
      <c r="C202" s="85">
        <v>12576</v>
      </c>
      <c r="D202" s="7">
        <f t="shared" si="8"/>
        <v>1763</v>
      </c>
      <c r="E202" s="16">
        <f t="shared" si="7"/>
        <v>16.304448349209284</v>
      </c>
    </row>
    <row r="203" spans="1:5" x14ac:dyDescent="0.2">
      <c r="A203" s="17" t="s">
        <v>154</v>
      </c>
      <c r="B203" s="40">
        <v>13761</v>
      </c>
      <c r="C203" s="85">
        <v>14397</v>
      </c>
      <c r="D203" s="7">
        <f t="shared" si="8"/>
        <v>636</v>
      </c>
      <c r="E203" s="16">
        <f t="shared" si="7"/>
        <v>4.6217571397427513</v>
      </c>
    </row>
    <row r="204" spans="1:5" x14ac:dyDescent="0.2">
      <c r="A204" s="17" t="s">
        <v>155</v>
      </c>
      <c r="B204" s="40">
        <v>5718</v>
      </c>
      <c r="C204" s="85">
        <v>8410</v>
      </c>
      <c r="D204" s="7">
        <f t="shared" si="8"/>
        <v>2692</v>
      </c>
      <c r="E204" s="16">
        <f t="shared" si="7"/>
        <v>47.079398391045821</v>
      </c>
    </row>
    <row r="205" spans="1:5" x14ac:dyDescent="0.2">
      <c r="A205" s="17"/>
      <c r="B205" s="39"/>
      <c r="C205" s="49"/>
      <c r="D205" s="7"/>
      <c r="E205" s="16"/>
    </row>
    <row r="206" spans="1:5" x14ac:dyDescent="0.2">
      <c r="A206" s="14" t="s">
        <v>156</v>
      </c>
      <c r="B206" s="39"/>
      <c r="C206" s="49"/>
      <c r="D206" s="7"/>
      <c r="E206" s="16"/>
    </row>
    <row r="207" spans="1:5" x14ac:dyDescent="0.2">
      <c r="A207" s="14"/>
      <c r="B207" s="39"/>
      <c r="C207" s="49"/>
      <c r="D207" s="7"/>
      <c r="E207" s="16"/>
    </row>
    <row r="208" spans="1:5" x14ac:dyDescent="0.2">
      <c r="A208" s="17" t="s">
        <v>157</v>
      </c>
      <c r="B208" s="40">
        <v>5807</v>
      </c>
      <c r="C208" s="91">
        <v>5386</v>
      </c>
      <c r="D208" s="7">
        <f t="shared" si="8"/>
        <v>-421</v>
      </c>
      <c r="E208" s="16">
        <f t="shared" si="7"/>
        <v>-7.2498708455312562</v>
      </c>
    </row>
    <row r="209" spans="1:5" x14ac:dyDescent="0.2">
      <c r="A209" s="17" t="s">
        <v>158</v>
      </c>
      <c r="B209" s="40">
        <v>820</v>
      </c>
      <c r="C209" s="91">
        <v>707</v>
      </c>
      <c r="D209" s="7">
        <f t="shared" si="8"/>
        <v>-113</v>
      </c>
      <c r="E209" s="16">
        <f t="shared" si="7"/>
        <v>-13.780487804878049</v>
      </c>
    </row>
    <row r="210" spans="1:5" x14ac:dyDescent="0.2">
      <c r="A210" s="17" t="s">
        <v>159</v>
      </c>
      <c r="B210" s="40">
        <v>4731</v>
      </c>
      <c r="C210" s="91">
        <v>4343</v>
      </c>
      <c r="D210" s="7">
        <f t="shared" si="8"/>
        <v>-388</v>
      </c>
      <c r="E210" s="16">
        <f t="shared" si="7"/>
        <v>-8.2012259564574084</v>
      </c>
    </row>
    <row r="211" spans="1:5" x14ac:dyDescent="0.2">
      <c r="A211" s="17" t="s">
        <v>160</v>
      </c>
      <c r="B211" s="40">
        <v>995</v>
      </c>
      <c r="C211" s="91">
        <v>1023</v>
      </c>
      <c r="D211" s="7">
        <f t="shared" si="8"/>
        <v>28</v>
      </c>
      <c r="E211" s="16">
        <f t="shared" si="7"/>
        <v>2.8140703517587942</v>
      </c>
    </row>
    <row r="212" spans="1:5" x14ac:dyDescent="0.2">
      <c r="A212" s="17"/>
      <c r="B212" s="9" t="s">
        <v>10</v>
      </c>
      <c r="C212" s="90" t="s">
        <v>10</v>
      </c>
      <c r="D212" s="10" t="s">
        <v>10</v>
      </c>
      <c r="E212" s="16"/>
    </row>
    <row r="213" spans="1:5" x14ac:dyDescent="0.2">
      <c r="A213" s="17" t="s">
        <v>127</v>
      </c>
      <c r="B213" s="6">
        <f>SUM(B208:B212)</f>
        <v>12353</v>
      </c>
      <c r="C213" s="6">
        <f>SUM(C208:C212)</f>
        <v>11459</v>
      </c>
      <c r="D213" s="7">
        <f t="shared" si="8"/>
        <v>-894</v>
      </c>
      <c r="E213" s="16">
        <f t="shared" si="7"/>
        <v>-7.2371083947219308</v>
      </c>
    </row>
    <row r="214" spans="1:5" x14ac:dyDescent="0.2">
      <c r="A214" s="17"/>
      <c r="B214" s="6"/>
      <c r="C214" s="6"/>
      <c r="D214" s="7"/>
      <c r="E214" s="16"/>
    </row>
    <row r="215" spans="1:5" x14ac:dyDescent="0.2">
      <c r="A215" s="19" t="s">
        <v>161</v>
      </c>
      <c r="B215" s="34" t="s">
        <v>2</v>
      </c>
      <c r="C215" s="68" t="s">
        <v>2</v>
      </c>
      <c r="D215" s="20"/>
      <c r="E215" s="21" t="s">
        <v>3</v>
      </c>
    </row>
    <row r="216" spans="1:5" x14ac:dyDescent="0.2">
      <c r="A216" s="17" t="s">
        <v>162</v>
      </c>
      <c r="B216" s="35" t="s">
        <v>4</v>
      </c>
      <c r="C216" s="35" t="s">
        <v>237</v>
      </c>
      <c r="D216" s="22" t="s">
        <v>5</v>
      </c>
      <c r="E216" s="23" t="s">
        <v>5</v>
      </c>
    </row>
    <row r="217" spans="1:5" x14ac:dyDescent="0.2">
      <c r="A217" s="17"/>
      <c r="B217" s="28"/>
      <c r="C217" s="64"/>
      <c r="D217" s="7"/>
      <c r="E217" s="16"/>
    </row>
    <row r="218" spans="1:5" x14ac:dyDescent="0.2">
      <c r="A218" s="17" t="s">
        <v>74</v>
      </c>
      <c r="B218" s="25">
        <f>SUM(B278:B282)</f>
        <v>4501</v>
      </c>
      <c r="C218" s="65">
        <v>884</v>
      </c>
      <c r="D218" s="7">
        <f t="shared" si="8"/>
        <v>-3617</v>
      </c>
      <c r="E218" s="16">
        <f>SUM(D218/B218*100)</f>
        <v>-80.359920017773817</v>
      </c>
    </row>
    <row r="219" spans="1:5" x14ac:dyDescent="0.2">
      <c r="A219" s="17" t="s">
        <v>75</v>
      </c>
      <c r="B219" s="25">
        <v>158</v>
      </c>
      <c r="C219" s="51">
        <v>161</v>
      </c>
      <c r="D219" s="7">
        <f t="shared" si="8"/>
        <v>3</v>
      </c>
      <c r="E219" s="16">
        <f t="shared" ref="E219:E267" si="9">SUM(D219/B219*100)</f>
        <v>1.89873417721519</v>
      </c>
    </row>
    <row r="220" spans="1:5" x14ac:dyDescent="0.2">
      <c r="A220" s="17" t="s">
        <v>76</v>
      </c>
      <c r="B220" s="25">
        <v>1497</v>
      </c>
      <c r="C220" s="51">
        <v>1194</v>
      </c>
      <c r="D220" s="7">
        <f t="shared" si="8"/>
        <v>-303</v>
      </c>
      <c r="E220" s="16">
        <f t="shared" si="9"/>
        <v>-20.240480961923847</v>
      </c>
    </row>
    <row r="221" spans="1:5" x14ac:dyDescent="0.2">
      <c r="A221" s="15" t="s">
        <v>77</v>
      </c>
      <c r="B221" s="25">
        <v>309</v>
      </c>
      <c r="C221" s="51">
        <v>181</v>
      </c>
      <c r="D221" s="7">
        <f t="shared" si="8"/>
        <v>-128</v>
      </c>
      <c r="E221" s="16">
        <f t="shared" si="9"/>
        <v>-41.42394822006473</v>
      </c>
    </row>
    <row r="222" spans="1:5" x14ac:dyDescent="0.2">
      <c r="A222" s="17" t="s">
        <v>78</v>
      </c>
      <c r="B222" s="25">
        <v>1238</v>
      </c>
      <c r="C222" s="51">
        <v>1000</v>
      </c>
      <c r="D222" s="7">
        <f t="shared" si="8"/>
        <v>-238</v>
      </c>
      <c r="E222" s="16">
        <f t="shared" si="9"/>
        <v>-19.224555735056541</v>
      </c>
    </row>
    <row r="223" spans="1:5" s="28" customFormat="1" x14ac:dyDescent="0.2">
      <c r="A223" s="15" t="s">
        <v>79</v>
      </c>
      <c r="B223" s="25">
        <v>413</v>
      </c>
      <c r="C223" s="51">
        <v>90</v>
      </c>
      <c r="D223" s="26">
        <f t="shared" si="8"/>
        <v>-323</v>
      </c>
      <c r="E223" s="27">
        <f t="shared" si="9"/>
        <v>-78.208232445520579</v>
      </c>
    </row>
    <row r="224" spans="1:5" s="28" customFormat="1" x14ac:dyDescent="0.2">
      <c r="A224" s="15" t="s">
        <v>80</v>
      </c>
      <c r="B224" s="25">
        <v>344</v>
      </c>
      <c r="C224" s="51">
        <v>85</v>
      </c>
      <c r="D224" s="26">
        <f t="shared" si="8"/>
        <v>-259</v>
      </c>
      <c r="E224" s="27">
        <f t="shared" si="9"/>
        <v>-75.29069767441861</v>
      </c>
    </row>
    <row r="225" spans="1:5" x14ac:dyDescent="0.2">
      <c r="A225" s="17" t="s">
        <v>81</v>
      </c>
      <c r="B225" s="25">
        <v>421</v>
      </c>
      <c r="C225" s="51">
        <v>226</v>
      </c>
      <c r="D225" s="7">
        <f t="shared" si="8"/>
        <v>-195</v>
      </c>
      <c r="E225" s="16">
        <f t="shared" si="9"/>
        <v>-46.318289786223275</v>
      </c>
    </row>
    <row r="226" spans="1:5" x14ac:dyDescent="0.2">
      <c r="A226" s="24" t="s">
        <v>82</v>
      </c>
      <c r="B226" s="25">
        <v>0</v>
      </c>
      <c r="C226" s="51">
        <v>0</v>
      </c>
      <c r="D226" s="7">
        <f t="shared" si="8"/>
        <v>0</v>
      </c>
      <c r="E226" s="16">
        <v>0</v>
      </c>
    </row>
    <row r="227" spans="1:5" x14ac:dyDescent="0.2">
      <c r="A227" s="17" t="s">
        <v>83</v>
      </c>
      <c r="B227" s="25">
        <v>28</v>
      </c>
      <c r="C227" s="51">
        <v>0</v>
      </c>
      <c r="D227" s="7">
        <f t="shared" si="8"/>
        <v>-28</v>
      </c>
      <c r="E227" s="16">
        <v>100</v>
      </c>
    </row>
    <row r="228" spans="1:5" x14ac:dyDescent="0.2">
      <c r="A228" s="17" t="s">
        <v>84</v>
      </c>
      <c r="B228" s="25">
        <v>323</v>
      </c>
      <c r="C228" s="51">
        <v>298</v>
      </c>
      <c r="D228" s="7">
        <f t="shared" si="8"/>
        <v>-25</v>
      </c>
      <c r="E228" s="16">
        <f t="shared" si="9"/>
        <v>-7.7399380804953566</v>
      </c>
    </row>
    <row r="229" spans="1:5" x14ac:dyDescent="0.2">
      <c r="A229" s="17" t="s">
        <v>85</v>
      </c>
      <c r="B229" s="25">
        <v>482</v>
      </c>
      <c r="C229" s="51">
        <v>389</v>
      </c>
      <c r="D229" s="7">
        <f t="shared" si="8"/>
        <v>-93</v>
      </c>
      <c r="E229" s="16">
        <f t="shared" si="9"/>
        <v>-19.294605809128633</v>
      </c>
    </row>
    <row r="230" spans="1:5" x14ac:dyDescent="0.2">
      <c r="A230" s="17" t="s">
        <v>86</v>
      </c>
      <c r="B230" s="25">
        <v>2352</v>
      </c>
      <c r="C230" s="51">
        <v>2570</v>
      </c>
      <c r="D230" s="7">
        <f t="shared" si="8"/>
        <v>218</v>
      </c>
      <c r="E230" s="16">
        <f t="shared" si="9"/>
        <v>9.2687074829931984</v>
      </c>
    </row>
    <row r="231" spans="1:5" x14ac:dyDescent="0.2">
      <c r="A231" s="17" t="s">
        <v>87</v>
      </c>
      <c r="B231" s="25">
        <f>SUM(B285:B291)</f>
        <v>7923</v>
      </c>
      <c r="C231" s="51">
        <v>6681</v>
      </c>
      <c r="D231" s="7">
        <f t="shared" si="8"/>
        <v>-1242</v>
      </c>
      <c r="E231" s="16">
        <f t="shared" si="9"/>
        <v>-15.675880348352896</v>
      </c>
    </row>
    <row r="232" spans="1:5" s="28" customFormat="1" x14ac:dyDescent="0.2">
      <c r="A232" s="15" t="s">
        <v>88</v>
      </c>
      <c r="B232" s="25">
        <v>1137</v>
      </c>
      <c r="C232" s="51">
        <v>1718</v>
      </c>
      <c r="D232" s="26">
        <f t="shared" si="8"/>
        <v>581</v>
      </c>
      <c r="E232" s="27">
        <f t="shared" si="9"/>
        <v>51.099384344766932</v>
      </c>
    </row>
    <row r="233" spans="1:5" x14ac:dyDescent="0.2">
      <c r="A233" s="15" t="s">
        <v>89</v>
      </c>
      <c r="B233" s="25">
        <v>2325</v>
      </c>
      <c r="C233" s="51">
        <v>2349</v>
      </c>
      <c r="D233" s="7">
        <f t="shared" si="8"/>
        <v>24</v>
      </c>
      <c r="E233" s="16">
        <f t="shared" si="9"/>
        <v>1.032258064516129</v>
      </c>
    </row>
    <row r="234" spans="1:5" x14ac:dyDescent="0.2">
      <c r="A234" s="17" t="s">
        <v>90</v>
      </c>
      <c r="B234" s="25">
        <v>123</v>
      </c>
      <c r="C234" s="51">
        <v>151</v>
      </c>
      <c r="D234" s="7">
        <f t="shared" si="8"/>
        <v>28</v>
      </c>
      <c r="E234" s="16">
        <f t="shared" si="9"/>
        <v>22.76422764227642</v>
      </c>
    </row>
    <row r="235" spans="1:5" x14ac:dyDescent="0.2">
      <c r="A235" s="17" t="s">
        <v>163</v>
      </c>
      <c r="B235" s="25">
        <v>20</v>
      </c>
      <c r="C235" s="51">
        <v>74</v>
      </c>
      <c r="D235" s="7">
        <f t="shared" si="8"/>
        <v>54</v>
      </c>
      <c r="E235" s="16">
        <f t="shared" si="9"/>
        <v>270</v>
      </c>
    </row>
    <row r="236" spans="1:5" x14ac:dyDescent="0.2">
      <c r="A236" s="17" t="s">
        <v>92</v>
      </c>
      <c r="B236" s="25">
        <v>408</v>
      </c>
      <c r="C236" s="51">
        <v>130</v>
      </c>
      <c r="D236" s="7">
        <f t="shared" si="8"/>
        <v>-278</v>
      </c>
      <c r="E236" s="16">
        <f t="shared" si="9"/>
        <v>-68.137254901960787</v>
      </c>
    </row>
    <row r="237" spans="1:5" x14ac:dyDescent="0.2">
      <c r="A237" s="17" t="s">
        <v>93</v>
      </c>
      <c r="B237" s="25">
        <v>62</v>
      </c>
      <c r="C237" s="51">
        <v>10</v>
      </c>
      <c r="D237" s="7">
        <f t="shared" si="8"/>
        <v>-52</v>
      </c>
      <c r="E237" s="16">
        <f t="shared" si="9"/>
        <v>-83.870967741935488</v>
      </c>
    </row>
    <row r="238" spans="1:5" x14ac:dyDescent="0.2">
      <c r="A238" s="17" t="s">
        <v>94</v>
      </c>
      <c r="B238" s="25">
        <v>1659</v>
      </c>
      <c r="C238" s="51">
        <v>2749</v>
      </c>
      <c r="D238" s="7">
        <f t="shared" si="8"/>
        <v>1090</v>
      </c>
      <c r="E238" s="16">
        <f t="shared" si="9"/>
        <v>65.702230259192291</v>
      </c>
    </row>
    <row r="239" spans="1:5" x14ac:dyDescent="0.2">
      <c r="A239" s="15" t="s">
        <v>95</v>
      </c>
      <c r="B239" s="25">
        <f>SUM(B294:B295)</f>
        <v>307</v>
      </c>
      <c r="C239" s="51">
        <v>129</v>
      </c>
      <c r="D239" s="7">
        <f t="shared" si="8"/>
        <v>-178</v>
      </c>
      <c r="E239" s="16">
        <f t="shared" si="9"/>
        <v>-57.980456026058633</v>
      </c>
    </row>
    <row r="240" spans="1:5" x14ac:dyDescent="0.2">
      <c r="A240" s="17" t="s">
        <v>96</v>
      </c>
      <c r="B240" s="25">
        <v>736</v>
      </c>
      <c r="C240" s="51">
        <v>471</v>
      </c>
      <c r="D240" s="7">
        <f t="shared" si="8"/>
        <v>-265</v>
      </c>
      <c r="E240" s="16">
        <f t="shared" si="9"/>
        <v>-36.005434782608695</v>
      </c>
    </row>
    <row r="241" spans="1:5" s="31" customFormat="1" x14ac:dyDescent="0.2">
      <c r="A241" s="24" t="s">
        <v>97</v>
      </c>
      <c r="B241" s="18">
        <v>505</v>
      </c>
      <c r="C241" s="51">
        <v>495</v>
      </c>
      <c r="D241" s="29">
        <f t="shared" si="8"/>
        <v>-10</v>
      </c>
      <c r="E241" s="30">
        <f t="shared" si="9"/>
        <v>-1.9801980198019802</v>
      </c>
    </row>
    <row r="242" spans="1:5" s="31" customFormat="1" x14ac:dyDescent="0.2">
      <c r="A242" s="24" t="s">
        <v>98</v>
      </c>
      <c r="B242" s="18">
        <v>155</v>
      </c>
      <c r="C242" s="51">
        <v>14</v>
      </c>
      <c r="D242" s="29">
        <f t="shared" ref="D242:D308" si="10">SUM(C242-B242)</f>
        <v>-141</v>
      </c>
      <c r="E242" s="30">
        <f t="shared" si="9"/>
        <v>-90.967741935483872</v>
      </c>
    </row>
    <row r="243" spans="1:5" x14ac:dyDescent="0.2">
      <c r="A243" s="17" t="s">
        <v>99</v>
      </c>
      <c r="B243" s="25">
        <v>161</v>
      </c>
      <c r="C243" s="51">
        <v>83</v>
      </c>
      <c r="D243" s="7">
        <f t="shared" si="10"/>
        <v>-78</v>
      </c>
      <c r="E243" s="16">
        <f t="shared" si="9"/>
        <v>-48.447204968944099</v>
      </c>
    </row>
    <row r="244" spans="1:5" x14ac:dyDescent="0.2">
      <c r="A244" s="15" t="s">
        <v>100</v>
      </c>
      <c r="B244" s="25">
        <v>280</v>
      </c>
      <c r="C244" s="51">
        <v>274</v>
      </c>
      <c r="D244" s="7">
        <f t="shared" si="10"/>
        <v>-6</v>
      </c>
      <c r="E244" s="16">
        <f t="shared" si="9"/>
        <v>-2.1428571428571428</v>
      </c>
    </row>
    <row r="245" spans="1:5" s="28" customFormat="1" x14ac:dyDescent="0.2">
      <c r="A245" s="15" t="s">
        <v>101</v>
      </c>
      <c r="B245" s="25">
        <v>218</v>
      </c>
      <c r="C245" s="51">
        <v>480</v>
      </c>
      <c r="D245" s="26">
        <f t="shared" si="10"/>
        <v>262</v>
      </c>
      <c r="E245" s="27">
        <f t="shared" si="9"/>
        <v>120.1834862385321</v>
      </c>
    </row>
    <row r="246" spans="1:5" x14ac:dyDescent="0.2">
      <c r="A246" s="17" t="s">
        <v>102</v>
      </c>
      <c r="B246" s="25">
        <f>SUM(B298:B302)</f>
        <v>1294</v>
      </c>
      <c r="C246" s="51">
        <v>98</v>
      </c>
      <c r="D246" s="7">
        <f>SUM(C246-B246)</f>
        <v>-1196</v>
      </c>
      <c r="E246" s="16">
        <f t="shared" si="9"/>
        <v>-92.426584234930459</v>
      </c>
    </row>
    <row r="247" spans="1:5" x14ac:dyDescent="0.2">
      <c r="A247" s="17" t="s">
        <v>103</v>
      </c>
      <c r="B247" s="25">
        <v>208</v>
      </c>
      <c r="C247" s="51">
        <v>497</v>
      </c>
      <c r="D247" s="7">
        <f t="shared" si="10"/>
        <v>289</v>
      </c>
      <c r="E247" s="16">
        <f t="shared" si="9"/>
        <v>138.94230769230768</v>
      </c>
    </row>
    <row r="248" spans="1:5" x14ac:dyDescent="0.2">
      <c r="A248" s="17" t="s">
        <v>104</v>
      </c>
      <c r="B248" s="25">
        <v>669</v>
      </c>
      <c r="C248" s="51">
        <v>499</v>
      </c>
      <c r="D248" s="7">
        <f t="shared" si="10"/>
        <v>-170</v>
      </c>
      <c r="E248" s="16">
        <f t="shared" si="9"/>
        <v>-25.411061285500747</v>
      </c>
    </row>
    <row r="249" spans="1:5" x14ac:dyDescent="0.2">
      <c r="A249" s="17" t="s">
        <v>105</v>
      </c>
      <c r="B249" s="25">
        <v>1344</v>
      </c>
      <c r="C249" s="51">
        <v>88</v>
      </c>
      <c r="D249" s="7">
        <f t="shared" si="10"/>
        <v>-1256</v>
      </c>
      <c r="E249" s="16">
        <f t="shared" si="9"/>
        <v>-93.452380952380949</v>
      </c>
    </row>
    <row r="250" spans="1:5" x14ac:dyDescent="0.2">
      <c r="A250" s="17" t="s">
        <v>106</v>
      </c>
      <c r="B250" s="25">
        <v>403</v>
      </c>
      <c r="C250" s="51">
        <v>355</v>
      </c>
      <c r="D250" s="7">
        <f t="shared" si="10"/>
        <v>-48</v>
      </c>
      <c r="E250" s="16">
        <f t="shared" si="9"/>
        <v>-11.910669975186105</v>
      </c>
    </row>
    <row r="251" spans="1:5" x14ac:dyDescent="0.2">
      <c r="A251" s="17" t="s">
        <v>107</v>
      </c>
      <c r="B251" s="25">
        <v>42</v>
      </c>
      <c r="C251" s="51">
        <v>13</v>
      </c>
      <c r="D251" s="7">
        <f t="shared" si="10"/>
        <v>-29</v>
      </c>
      <c r="E251" s="16">
        <f t="shared" si="9"/>
        <v>-69.047619047619051</v>
      </c>
    </row>
    <row r="252" spans="1:5" x14ac:dyDescent="0.2">
      <c r="A252" s="15" t="s">
        <v>108</v>
      </c>
      <c r="B252" s="25">
        <v>640</v>
      </c>
      <c r="C252" s="51">
        <v>332</v>
      </c>
      <c r="D252" s="7">
        <f t="shared" si="10"/>
        <v>-308</v>
      </c>
      <c r="E252" s="16">
        <f t="shared" si="9"/>
        <v>-48.125</v>
      </c>
    </row>
    <row r="253" spans="1:5" x14ac:dyDescent="0.2">
      <c r="A253" s="17" t="s">
        <v>109</v>
      </c>
      <c r="B253" s="25">
        <v>37</v>
      </c>
      <c r="C253" s="51">
        <v>40</v>
      </c>
      <c r="D253" s="7">
        <f t="shared" si="10"/>
        <v>3</v>
      </c>
      <c r="E253" s="16">
        <f t="shared" si="9"/>
        <v>8.1081081081081088</v>
      </c>
    </row>
    <row r="254" spans="1:5" x14ac:dyDescent="0.2">
      <c r="A254" s="17" t="s">
        <v>110</v>
      </c>
      <c r="B254" s="25">
        <v>352</v>
      </c>
      <c r="C254" s="51">
        <v>144</v>
      </c>
      <c r="D254" s="7">
        <f t="shared" si="10"/>
        <v>-208</v>
      </c>
      <c r="E254" s="16">
        <f t="shared" si="9"/>
        <v>-59.090909090909093</v>
      </c>
    </row>
    <row r="255" spans="1:5" x14ac:dyDescent="0.2">
      <c r="A255" s="17" t="s">
        <v>111</v>
      </c>
      <c r="B255" s="25">
        <v>10</v>
      </c>
      <c r="C255" s="51">
        <v>5</v>
      </c>
      <c r="D255" s="7">
        <f t="shared" si="10"/>
        <v>-5</v>
      </c>
      <c r="E255" s="16">
        <v>100</v>
      </c>
    </row>
    <row r="256" spans="1:5" x14ac:dyDescent="0.2">
      <c r="A256" s="17" t="s">
        <v>112</v>
      </c>
      <c r="B256" s="25">
        <f>SUM(B306:B308)</f>
        <v>1007</v>
      </c>
      <c r="C256" s="51">
        <v>1537</v>
      </c>
      <c r="D256" s="7">
        <f t="shared" si="10"/>
        <v>530</v>
      </c>
      <c r="E256" s="16">
        <f t="shared" si="9"/>
        <v>52.631578947368418</v>
      </c>
    </row>
    <row r="257" spans="1:5" x14ac:dyDescent="0.2">
      <c r="A257" s="17" t="s">
        <v>113</v>
      </c>
      <c r="B257" s="25">
        <v>453</v>
      </c>
      <c r="C257" s="51">
        <v>80</v>
      </c>
      <c r="D257" s="7">
        <f t="shared" si="10"/>
        <v>-373</v>
      </c>
      <c r="E257" s="16">
        <f t="shared" si="9"/>
        <v>-82.33995584988962</v>
      </c>
    </row>
    <row r="258" spans="1:5" x14ac:dyDescent="0.2">
      <c r="A258" s="17" t="s">
        <v>114</v>
      </c>
      <c r="B258" s="25">
        <v>416</v>
      </c>
      <c r="C258" s="51">
        <v>1183</v>
      </c>
      <c r="D258" s="7">
        <f t="shared" si="10"/>
        <v>767</v>
      </c>
      <c r="E258" s="16">
        <f t="shared" si="9"/>
        <v>184.375</v>
      </c>
    </row>
    <row r="259" spans="1:5" s="31" customFormat="1" x14ac:dyDescent="0.2">
      <c r="A259" s="24" t="s">
        <v>115</v>
      </c>
      <c r="B259" s="18">
        <v>26</v>
      </c>
      <c r="C259" s="50">
        <v>70</v>
      </c>
      <c r="D259" s="29">
        <f t="shared" si="10"/>
        <v>44</v>
      </c>
      <c r="E259" s="30">
        <f t="shared" si="9"/>
        <v>169.23076923076923</v>
      </c>
    </row>
    <row r="260" spans="1:5" x14ac:dyDescent="0.2">
      <c r="A260" s="17" t="s">
        <v>116</v>
      </c>
      <c r="B260" s="25">
        <f>SUM(B311:B315)</f>
        <v>5245</v>
      </c>
      <c r="C260" s="51">
        <v>6110</v>
      </c>
      <c r="D260" s="7">
        <f t="shared" si="10"/>
        <v>865</v>
      </c>
      <c r="E260" s="16">
        <f t="shared" si="9"/>
        <v>16.491897044804578</v>
      </c>
    </row>
    <row r="261" spans="1:5" x14ac:dyDescent="0.2">
      <c r="A261" s="17" t="s">
        <v>117</v>
      </c>
      <c r="B261" s="25">
        <v>135</v>
      </c>
      <c r="C261" s="51">
        <v>87</v>
      </c>
      <c r="D261" s="7">
        <f t="shared" si="10"/>
        <v>-48</v>
      </c>
      <c r="E261" s="16">
        <f t="shared" si="9"/>
        <v>-35.555555555555557</v>
      </c>
    </row>
    <row r="262" spans="1:5" s="28" customFormat="1" x14ac:dyDescent="0.2">
      <c r="A262" s="15" t="s">
        <v>118</v>
      </c>
      <c r="B262" s="25">
        <v>533</v>
      </c>
      <c r="C262" s="51">
        <v>224</v>
      </c>
      <c r="D262" s="26">
        <f t="shared" si="10"/>
        <v>-309</v>
      </c>
      <c r="E262" s="27">
        <f t="shared" si="9"/>
        <v>-57.973733583489683</v>
      </c>
    </row>
    <row r="263" spans="1:5" s="61" customFormat="1" x14ac:dyDescent="0.2">
      <c r="A263" s="47" t="s">
        <v>119</v>
      </c>
      <c r="B263" s="62">
        <v>93</v>
      </c>
      <c r="C263" s="62">
        <v>166</v>
      </c>
      <c r="D263" s="59">
        <f t="shared" si="10"/>
        <v>73</v>
      </c>
      <c r="E263" s="60">
        <f t="shared" si="9"/>
        <v>78.494623655913969</v>
      </c>
    </row>
    <row r="264" spans="1:5" x14ac:dyDescent="0.2">
      <c r="A264" s="17" t="s">
        <v>120</v>
      </c>
      <c r="B264" s="25">
        <v>90</v>
      </c>
      <c r="C264" s="51">
        <v>14</v>
      </c>
      <c r="D264" s="7">
        <f t="shared" si="10"/>
        <v>-76</v>
      </c>
      <c r="E264" s="16">
        <f t="shared" si="9"/>
        <v>-84.444444444444443</v>
      </c>
    </row>
    <row r="265" spans="1:5" x14ac:dyDescent="0.2">
      <c r="A265" s="15" t="s">
        <v>121</v>
      </c>
      <c r="B265" s="25">
        <v>554</v>
      </c>
      <c r="C265" s="51">
        <v>354</v>
      </c>
      <c r="D265" s="7">
        <f t="shared" si="10"/>
        <v>-200</v>
      </c>
      <c r="E265" s="16">
        <f t="shared" si="9"/>
        <v>-36.101083032490976</v>
      </c>
    </row>
    <row r="266" spans="1:5" x14ac:dyDescent="0.2">
      <c r="A266" s="17" t="s">
        <v>122</v>
      </c>
      <c r="B266" s="25">
        <v>516</v>
      </c>
      <c r="C266" s="51">
        <v>185</v>
      </c>
      <c r="D266" s="7">
        <f t="shared" si="10"/>
        <v>-331</v>
      </c>
      <c r="E266" s="16">
        <f t="shared" si="9"/>
        <v>-64.147286821705436</v>
      </c>
    </row>
    <row r="267" spans="1:5" x14ac:dyDescent="0.2">
      <c r="A267" s="17" t="s">
        <v>123</v>
      </c>
      <c r="B267" s="25">
        <v>247</v>
      </c>
      <c r="C267" s="51">
        <v>271</v>
      </c>
      <c r="D267" s="7">
        <f t="shared" si="10"/>
        <v>24</v>
      </c>
      <c r="E267" s="16">
        <f t="shared" si="9"/>
        <v>9.7165991902834001</v>
      </c>
    </row>
    <row r="268" spans="1:5" x14ac:dyDescent="0.2">
      <c r="A268" s="19"/>
      <c r="B268" s="34" t="s">
        <v>2</v>
      </c>
      <c r="C268" s="68" t="s">
        <v>2</v>
      </c>
      <c r="D268" s="20"/>
      <c r="E268" s="21" t="s">
        <v>3</v>
      </c>
    </row>
    <row r="269" spans="1:5" x14ac:dyDescent="0.2">
      <c r="A269" s="17"/>
      <c r="B269" s="35" t="s">
        <v>4</v>
      </c>
      <c r="C269" s="35" t="s">
        <v>237</v>
      </c>
      <c r="D269" s="22" t="s">
        <v>5</v>
      </c>
      <c r="E269" s="23" t="s">
        <v>5</v>
      </c>
    </row>
    <row r="270" spans="1:5" x14ac:dyDescent="0.2">
      <c r="A270" s="17"/>
      <c r="B270" s="28"/>
      <c r="C270" s="64"/>
      <c r="D270" s="7"/>
      <c r="E270" s="16"/>
    </row>
    <row r="271" spans="1:5" x14ac:dyDescent="0.2">
      <c r="A271" s="17" t="s">
        <v>124</v>
      </c>
      <c r="B271" s="25">
        <v>411</v>
      </c>
      <c r="C271" s="65">
        <v>178</v>
      </c>
      <c r="D271" s="7">
        <f t="shared" si="10"/>
        <v>-233</v>
      </c>
      <c r="E271" s="16">
        <f>SUM(D271/B271*100)</f>
        <v>-56.690997566909971</v>
      </c>
    </row>
    <row r="272" spans="1:5" x14ac:dyDescent="0.2">
      <c r="A272" s="17" t="s">
        <v>125</v>
      </c>
      <c r="B272" s="25">
        <v>107</v>
      </c>
      <c r="C272" s="65">
        <v>0</v>
      </c>
      <c r="D272" s="7">
        <f t="shared" si="10"/>
        <v>-107</v>
      </c>
      <c r="E272" s="16">
        <f t="shared" ref="E272:E324" si="11">SUM(D272/B272*100)</f>
        <v>-100</v>
      </c>
    </row>
    <row r="273" spans="1:5" x14ac:dyDescent="0.2">
      <c r="A273" s="17" t="s">
        <v>126</v>
      </c>
      <c r="B273" s="25">
        <v>60</v>
      </c>
      <c r="C273" s="65">
        <v>150</v>
      </c>
      <c r="D273" s="7">
        <f t="shared" si="10"/>
        <v>90</v>
      </c>
      <c r="E273" s="16">
        <f t="shared" si="11"/>
        <v>150</v>
      </c>
    </row>
    <row r="274" spans="1:5" x14ac:dyDescent="0.2">
      <c r="A274" s="17"/>
      <c r="B274" s="36" t="s">
        <v>10</v>
      </c>
      <c r="C274" s="66" t="s">
        <v>10</v>
      </c>
      <c r="D274" s="10" t="s">
        <v>10</v>
      </c>
      <c r="E274" s="16"/>
    </row>
    <row r="275" spans="1:5" x14ac:dyDescent="0.2">
      <c r="A275" s="17" t="s">
        <v>127</v>
      </c>
      <c r="B275" s="25">
        <f>SUM(B218:B274)</f>
        <v>42977</v>
      </c>
      <c r="C275" s="65">
        <f>SUM(C218:C274)</f>
        <v>35566</v>
      </c>
      <c r="D275" s="7">
        <f t="shared" si="10"/>
        <v>-7411</v>
      </c>
      <c r="E275" s="16">
        <f t="shared" si="11"/>
        <v>-17.244107313214045</v>
      </c>
    </row>
    <row r="276" spans="1:5" x14ac:dyDescent="0.2">
      <c r="A276" s="17"/>
      <c r="B276" s="6"/>
      <c r="C276" s="65"/>
      <c r="D276" s="7"/>
      <c r="E276" s="16"/>
    </row>
    <row r="277" spans="1:5" x14ac:dyDescent="0.2">
      <c r="A277" s="17" t="s">
        <v>74</v>
      </c>
      <c r="B277" s="6"/>
      <c r="C277" s="65"/>
      <c r="D277" s="7"/>
      <c r="E277" s="16"/>
    </row>
    <row r="278" spans="1:5" x14ac:dyDescent="0.2">
      <c r="A278" s="17" t="s">
        <v>128</v>
      </c>
      <c r="B278" s="6">
        <v>647</v>
      </c>
      <c r="C278" s="65">
        <v>39</v>
      </c>
      <c r="D278" s="7">
        <f t="shared" si="10"/>
        <v>-608</v>
      </c>
      <c r="E278" s="16">
        <f t="shared" si="11"/>
        <v>-93.972179289026272</v>
      </c>
    </row>
    <row r="279" spans="1:5" x14ac:dyDescent="0.2">
      <c r="A279" s="17" t="s">
        <v>129</v>
      </c>
      <c r="B279" s="6">
        <v>106</v>
      </c>
      <c r="C279" s="65">
        <v>96</v>
      </c>
      <c r="D279" s="7">
        <f t="shared" si="10"/>
        <v>-10</v>
      </c>
      <c r="E279" s="16">
        <f t="shared" si="11"/>
        <v>-9.433962264150944</v>
      </c>
    </row>
    <row r="280" spans="1:5" x14ac:dyDescent="0.2">
      <c r="A280" s="17" t="s">
        <v>130</v>
      </c>
      <c r="B280" s="6">
        <v>956</v>
      </c>
      <c r="C280" s="52">
        <v>253</v>
      </c>
      <c r="D280" s="7">
        <f t="shared" si="10"/>
        <v>-703</v>
      </c>
      <c r="E280" s="16">
        <f t="shared" si="11"/>
        <v>-73.535564853556494</v>
      </c>
    </row>
    <row r="281" spans="1:5" x14ac:dyDescent="0.2">
      <c r="A281" s="17" t="s">
        <v>131</v>
      </c>
      <c r="B281" s="6">
        <v>1637</v>
      </c>
      <c r="C281" s="52">
        <v>340</v>
      </c>
      <c r="D281" s="7">
        <f t="shared" si="10"/>
        <v>-1297</v>
      </c>
      <c r="E281" s="16">
        <f t="shared" si="11"/>
        <v>-79.230299328039095</v>
      </c>
    </row>
    <row r="282" spans="1:5" x14ac:dyDescent="0.2">
      <c r="A282" s="17" t="s">
        <v>132</v>
      </c>
      <c r="B282" s="6">
        <v>1155</v>
      </c>
      <c r="C282" s="52">
        <v>156</v>
      </c>
      <c r="D282" s="7">
        <f t="shared" si="10"/>
        <v>-999</v>
      </c>
      <c r="E282" s="16">
        <f t="shared" si="11"/>
        <v>-86.493506493506487</v>
      </c>
    </row>
    <row r="283" spans="1:5" x14ac:dyDescent="0.2">
      <c r="A283" s="17"/>
      <c r="B283" s="6"/>
      <c r="C283" s="52"/>
      <c r="D283" s="7"/>
      <c r="E283" s="16"/>
    </row>
    <row r="284" spans="1:5" x14ac:dyDescent="0.2">
      <c r="A284" s="17" t="s">
        <v>87</v>
      </c>
      <c r="B284" s="6"/>
      <c r="C284" s="52"/>
      <c r="D284" s="7"/>
      <c r="E284" s="16"/>
    </row>
    <row r="285" spans="1:5" x14ac:dyDescent="0.2">
      <c r="A285" s="17" t="s">
        <v>133</v>
      </c>
      <c r="B285" s="6">
        <v>862</v>
      </c>
      <c r="C285" s="52">
        <v>837</v>
      </c>
      <c r="D285" s="7">
        <f t="shared" si="10"/>
        <v>-25</v>
      </c>
      <c r="E285" s="16">
        <f t="shared" si="11"/>
        <v>-2.9002320185614847</v>
      </c>
    </row>
    <row r="286" spans="1:5" x14ac:dyDescent="0.2">
      <c r="A286" s="17" t="s">
        <v>134</v>
      </c>
      <c r="B286" s="6">
        <v>72</v>
      </c>
      <c r="C286" s="52">
        <v>155</v>
      </c>
      <c r="D286" s="7">
        <f t="shared" si="10"/>
        <v>83</v>
      </c>
      <c r="E286" s="16">
        <f t="shared" si="11"/>
        <v>115.27777777777777</v>
      </c>
    </row>
    <row r="287" spans="1:5" x14ac:dyDescent="0.2">
      <c r="A287" s="17" t="s">
        <v>135</v>
      </c>
      <c r="B287" s="6">
        <v>840</v>
      </c>
      <c r="C287" s="52">
        <v>672</v>
      </c>
      <c r="D287" s="7">
        <f t="shared" si="10"/>
        <v>-168</v>
      </c>
      <c r="E287" s="16">
        <f t="shared" si="11"/>
        <v>-20</v>
      </c>
    </row>
    <row r="288" spans="1:5" x14ac:dyDescent="0.2">
      <c r="A288" s="17" t="s">
        <v>136</v>
      </c>
      <c r="B288" s="6">
        <v>2799</v>
      </c>
      <c r="C288" s="52">
        <v>2239</v>
      </c>
      <c r="D288" s="7">
        <f t="shared" si="10"/>
        <v>-560</v>
      </c>
      <c r="E288" s="16">
        <f t="shared" si="11"/>
        <v>-20.007145409074671</v>
      </c>
    </row>
    <row r="289" spans="1:5" x14ac:dyDescent="0.2">
      <c r="A289" s="17" t="s">
        <v>137</v>
      </c>
      <c r="B289" s="6">
        <v>342</v>
      </c>
      <c r="C289" s="52">
        <v>219</v>
      </c>
      <c r="D289" s="7">
        <f t="shared" si="10"/>
        <v>-123</v>
      </c>
      <c r="E289" s="16">
        <f t="shared" si="11"/>
        <v>-35.964912280701753</v>
      </c>
    </row>
    <row r="290" spans="1:5" x14ac:dyDescent="0.2">
      <c r="A290" s="17" t="s">
        <v>138</v>
      </c>
      <c r="B290" s="6">
        <v>1316</v>
      </c>
      <c r="C290" s="52">
        <v>1156</v>
      </c>
      <c r="D290" s="7">
        <f t="shared" si="10"/>
        <v>-160</v>
      </c>
      <c r="E290" s="16">
        <f t="shared" si="11"/>
        <v>-12.158054711246201</v>
      </c>
    </row>
    <row r="291" spans="1:5" x14ac:dyDescent="0.2">
      <c r="A291" s="17" t="s">
        <v>139</v>
      </c>
      <c r="B291" s="6">
        <v>1692</v>
      </c>
      <c r="C291" s="52">
        <v>1403</v>
      </c>
      <c r="D291" s="7">
        <f t="shared" si="10"/>
        <v>-289</v>
      </c>
      <c r="E291" s="16">
        <f t="shared" si="11"/>
        <v>-17.080378250591018</v>
      </c>
    </row>
    <row r="292" spans="1:5" x14ac:dyDescent="0.2">
      <c r="A292" s="17"/>
      <c r="B292" s="6"/>
      <c r="C292" s="52"/>
      <c r="D292" s="7"/>
      <c r="E292" s="16"/>
    </row>
    <row r="293" spans="1:5" x14ac:dyDescent="0.2">
      <c r="A293" s="17" t="s">
        <v>140</v>
      </c>
      <c r="B293" s="6"/>
      <c r="C293" s="52"/>
      <c r="D293" s="7"/>
      <c r="E293" s="16"/>
    </row>
    <row r="294" spans="1:5" x14ac:dyDescent="0.2">
      <c r="A294" s="17" t="s">
        <v>141</v>
      </c>
      <c r="B294" s="6">
        <v>307</v>
      </c>
      <c r="C294" s="52">
        <v>129</v>
      </c>
      <c r="D294" s="7">
        <f t="shared" si="10"/>
        <v>-178</v>
      </c>
      <c r="E294" s="16">
        <f t="shared" si="11"/>
        <v>-57.980456026058633</v>
      </c>
    </row>
    <row r="295" spans="1:5" x14ac:dyDescent="0.2">
      <c r="A295" s="15" t="s">
        <v>142</v>
      </c>
      <c r="B295" s="6">
        <v>0</v>
      </c>
      <c r="C295" s="52">
        <v>0</v>
      </c>
      <c r="D295" s="7">
        <f t="shared" si="10"/>
        <v>0</v>
      </c>
      <c r="E295" s="16">
        <v>0</v>
      </c>
    </row>
    <row r="296" spans="1:5" x14ac:dyDescent="0.2">
      <c r="A296" s="17"/>
      <c r="B296" s="6"/>
      <c r="C296" s="52"/>
      <c r="D296" s="7"/>
      <c r="E296" s="16"/>
    </row>
    <row r="297" spans="1:5" x14ac:dyDescent="0.2">
      <c r="A297" s="17" t="s">
        <v>102</v>
      </c>
      <c r="B297" s="6"/>
      <c r="C297" s="52"/>
      <c r="D297" s="7"/>
      <c r="E297" s="16"/>
    </row>
    <row r="298" spans="1:5" x14ac:dyDescent="0.2">
      <c r="A298" s="17" t="s">
        <v>143</v>
      </c>
      <c r="B298" s="6">
        <v>245</v>
      </c>
      <c r="C298" s="52">
        <v>15</v>
      </c>
      <c r="D298" s="7">
        <f t="shared" si="10"/>
        <v>-230</v>
      </c>
      <c r="E298" s="16">
        <f t="shared" si="11"/>
        <v>-93.877551020408163</v>
      </c>
    </row>
    <row r="299" spans="1:5" x14ac:dyDescent="0.2">
      <c r="A299" s="17" t="s">
        <v>144</v>
      </c>
      <c r="B299" s="6">
        <v>167</v>
      </c>
      <c r="C299" s="52">
        <v>21</v>
      </c>
      <c r="D299" s="7">
        <f t="shared" si="10"/>
        <v>-146</v>
      </c>
      <c r="E299" s="16">
        <f t="shared" si="11"/>
        <v>-87.425149700598809</v>
      </c>
    </row>
    <row r="300" spans="1:5" x14ac:dyDescent="0.2">
      <c r="A300" s="17" t="s">
        <v>145</v>
      </c>
      <c r="B300" s="6">
        <v>350</v>
      </c>
      <c r="C300" s="52">
        <v>13</v>
      </c>
      <c r="D300" s="7">
        <f t="shared" si="10"/>
        <v>-337</v>
      </c>
      <c r="E300" s="16">
        <f t="shared" si="11"/>
        <v>-96.285714285714292</v>
      </c>
    </row>
    <row r="301" spans="1:5" x14ac:dyDescent="0.2">
      <c r="A301" s="17" t="s">
        <v>146</v>
      </c>
      <c r="B301" s="6">
        <v>354</v>
      </c>
      <c r="C301" s="52">
        <v>21</v>
      </c>
      <c r="D301" s="7">
        <f t="shared" si="10"/>
        <v>-333</v>
      </c>
      <c r="E301" s="16">
        <f t="shared" si="11"/>
        <v>-94.067796610169495</v>
      </c>
    </row>
    <row r="302" spans="1:5" x14ac:dyDescent="0.2">
      <c r="A302" s="17" t="s">
        <v>147</v>
      </c>
      <c r="B302" s="6">
        <v>178</v>
      </c>
      <c r="C302" s="52">
        <v>28</v>
      </c>
      <c r="D302" s="7">
        <f t="shared" si="10"/>
        <v>-150</v>
      </c>
      <c r="E302" s="16">
        <f t="shared" si="11"/>
        <v>-84.269662921348313</v>
      </c>
    </row>
    <row r="303" spans="1:5" s="86" customFormat="1" x14ac:dyDescent="0.2">
      <c r="A303" s="69" t="s">
        <v>239</v>
      </c>
      <c r="B303" s="87">
        <v>0</v>
      </c>
      <c r="C303" s="95">
        <v>0</v>
      </c>
      <c r="D303" s="89">
        <v>0</v>
      </c>
      <c r="E303" s="88">
        <v>0</v>
      </c>
    </row>
    <row r="304" spans="1:5" x14ac:dyDescent="0.2">
      <c r="A304" s="17"/>
      <c r="B304" s="6"/>
      <c r="C304" s="52"/>
      <c r="D304" s="7"/>
      <c r="E304" s="16"/>
    </row>
    <row r="305" spans="1:5" x14ac:dyDescent="0.2">
      <c r="A305" s="17" t="s">
        <v>148</v>
      </c>
      <c r="B305" s="6"/>
      <c r="C305" s="52"/>
      <c r="D305" s="7"/>
      <c r="E305" s="16"/>
    </row>
    <row r="306" spans="1:5" x14ac:dyDescent="0.2">
      <c r="A306" s="17" t="s">
        <v>149</v>
      </c>
      <c r="B306" s="6">
        <v>652</v>
      </c>
      <c r="C306" s="91">
        <v>889</v>
      </c>
      <c r="D306" s="7">
        <f t="shared" si="10"/>
        <v>237</v>
      </c>
      <c r="E306" s="16">
        <f t="shared" si="11"/>
        <v>36.349693251533743</v>
      </c>
    </row>
    <row r="307" spans="1:5" x14ac:dyDescent="0.2">
      <c r="A307" s="17" t="s">
        <v>150</v>
      </c>
      <c r="B307" s="6">
        <v>178</v>
      </c>
      <c r="C307" s="91">
        <v>282</v>
      </c>
      <c r="D307" s="7">
        <f t="shared" si="10"/>
        <v>104</v>
      </c>
      <c r="E307" s="16">
        <f t="shared" si="11"/>
        <v>58.426966292134829</v>
      </c>
    </row>
    <row r="308" spans="1:5" x14ac:dyDescent="0.2">
      <c r="A308" s="17" t="s">
        <v>151</v>
      </c>
      <c r="B308" s="6">
        <v>177</v>
      </c>
      <c r="C308" s="91">
        <v>366</v>
      </c>
      <c r="D308" s="7">
        <f t="shared" si="10"/>
        <v>189</v>
      </c>
      <c r="E308" s="16">
        <f t="shared" si="11"/>
        <v>106.77966101694916</v>
      </c>
    </row>
    <row r="309" spans="1:5" x14ac:dyDescent="0.2">
      <c r="A309" s="17"/>
      <c r="B309" s="6"/>
      <c r="C309" s="52"/>
      <c r="D309" s="7"/>
      <c r="E309" s="16"/>
    </row>
    <row r="310" spans="1:5" x14ac:dyDescent="0.2">
      <c r="A310" s="17" t="s">
        <v>116</v>
      </c>
      <c r="B310" s="6"/>
      <c r="C310" s="52"/>
      <c r="D310" s="7"/>
      <c r="E310" s="16"/>
    </row>
    <row r="311" spans="1:5" x14ac:dyDescent="0.2">
      <c r="A311" s="17" t="s">
        <v>152</v>
      </c>
      <c r="B311" s="6">
        <v>1461</v>
      </c>
      <c r="C311" s="91">
        <v>1429</v>
      </c>
      <c r="D311" s="7">
        <f t="shared" ref="D311:D370" si="12">SUM(C311-B311)</f>
        <v>-32</v>
      </c>
      <c r="E311" s="16">
        <f t="shared" si="11"/>
        <v>-2.1902806297056809</v>
      </c>
    </row>
    <row r="312" spans="1:5" x14ac:dyDescent="0.2">
      <c r="A312" s="17" t="s">
        <v>153</v>
      </c>
      <c r="B312" s="6">
        <v>1480</v>
      </c>
      <c r="C312" s="91">
        <v>2057</v>
      </c>
      <c r="D312" s="7">
        <f t="shared" si="12"/>
        <v>577</v>
      </c>
      <c r="E312" s="16">
        <f t="shared" si="11"/>
        <v>38.986486486486491</v>
      </c>
    </row>
    <row r="313" spans="1:5" x14ac:dyDescent="0.2">
      <c r="A313" s="17" t="s">
        <v>151</v>
      </c>
      <c r="B313" s="6">
        <v>1130</v>
      </c>
      <c r="C313" s="91">
        <v>1189</v>
      </c>
      <c r="D313" s="7">
        <f t="shared" si="12"/>
        <v>59</v>
      </c>
      <c r="E313" s="16">
        <f t="shared" si="11"/>
        <v>5.221238938053097</v>
      </c>
    </row>
    <row r="314" spans="1:5" x14ac:dyDescent="0.2">
      <c r="A314" s="17" t="s">
        <v>154</v>
      </c>
      <c r="B314" s="6">
        <v>624</v>
      </c>
      <c r="C314" s="91">
        <v>761</v>
      </c>
      <c r="D314" s="7">
        <f t="shared" si="12"/>
        <v>137</v>
      </c>
      <c r="E314" s="16">
        <f t="shared" si="11"/>
        <v>21.955128205128204</v>
      </c>
    </row>
    <row r="315" spans="1:5" x14ac:dyDescent="0.2">
      <c r="A315" s="17" t="s">
        <v>155</v>
      </c>
      <c r="B315" s="6">
        <v>550</v>
      </c>
      <c r="C315" s="91">
        <v>674</v>
      </c>
      <c r="D315" s="7">
        <f t="shared" si="12"/>
        <v>124</v>
      </c>
      <c r="E315" s="16">
        <f t="shared" si="11"/>
        <v>22.545454545454547</v>
      </c>
    </row>
    <row r="316" spans="1:5" x14ac:dyDescent="0.2">
      <c r="A316" s="14"/>
      <c r="B316" s="6"/>
      <c r="C316" s="52"/>
      <c r="D316" s="7"/>
      <c r="E316" s="16"/>
    </row>
    <row r="317" spans="1:5" x14ac:dyDescent="0.2">
      <c r="A317" s="14" t="s">
        <v>156</v>
      </c>
      <c r="B317" s="6"/>
      <c r="C317" s="52"/>
      <c r="D317" s="7"/>
      <c r="E317" s="16"/>
    </row>
    <row r="318" spans="1:5" x14ac:dyDescent="0.2">
      <c r="A318" s="14"/>
      <c r="B318" s="6"/>
      <c r="C318" s="52"/>
      <c r="D318" s="7"/>
      <c r="E318" s="16"/>
    </row>
    <row r="319" spans="1:5" x14ac:dyDescent="0.2">
      <c r="A319" s="17" t="s">
        <v>157</v>
      </c>
      <c r="B319" s="6">
        <v>128</v>
      </c>
      <c r="C319" s="91">
        <v>1679</v>
      </c>
      <c r="D319" s="7">
        <f t="shared" si="12"/>
        <v>1551</v>
      </c>
      <c r="E319" s="16">
        <f t="shared" si="11"/>
        <v>1211.71875</v>
      </c>
    </row>
    <row r="320" spans="1:5" x14ac:dyDescent="0.2">
      <c r="A320" s="17" t="s">
        <v>158</v>
      </c>
      <c r="B320" s="6">
        <v>11</v>
      </c>
      <c r="C320" s="91">
        <v>24</v>
      </c>
      <c r="D320" s="7">
        <f t="shared" si="12"/>
        <v>13</v>
      </c>
      <c r="E320" s="16">
        <f t="shared" si="11"/>
        <v>118.18181818181819</v>
      </c>
    </row>
    <row r="321" spans="1:5" x14ac:dyDescent="0.2">
      <c r="A321" s="17" t="s">
        <v>164</v>
      </c>
      <c r="B321" s="6">
        <v>52</v>
      </c>
      <c r="C321" s="91">
        <v>0</v>
      </c>
      <c r="D321" s="7">
        <f t="shared" si="12"/>
        <v>-52</v>
      </c>
      <c r="E321" s="16">
        <f t="shared" si="11"/>
        <v>-100</v>
      </c>
    </row>
    <row r="322" spans="1:5" x14ac:dyDescent="0.2">
      <c r="A322" s="17" t="s">
        <v>160</v>
      </c>
      <c r="B322" s="6">
        <v>17</v>
      </c>
      <c r="C322" s="91">
        <v>65</v>
      </c>
      <c r="D322" s="7">
        <f t="shared" si="12"/>
        <v>48</v>
      </c>
      <c r="E322" s="16">
        <f t="shared" si="11"/>
        <v>282.35294117647061</v>
      </c>
    </row>
    <row r="323" spans="1:5" x14ac:dyDescent="0.2">
      <c r="A323" s="17"/>
      <c r="B323" s="9" t="s">
        <v>10</v>
      </c>
      <c r="C323" s="90" t="s">
        <v>10</v>
      </c>
      <c r="D323" s="10" t="s">
        <v>10</v>
      </c>
      <c r="E323" s="16"/>
    </row>
    <row r="324" spans="1:5" x14ac:dyDescent="0.2">
      <c r="A324" s="17" t="s">
        <v>127</v>
      </c>
      <c r="B324" s="6">
        <f>SUM(B319:B323)</f>
        <v>208</v>
      </c>
      <c r="C324" s="65">
        <f>SUM(C319:C323)</f>
        <v>1768</v>
      </c>
      <c r="D324" s="7">
        <f t="shared" si="12"/>
        <v>1560</v>
      </c>
      <c r="E324" s="16">
        <f t="shared" si="11"/>
        <v>750</v>
      </c>
    </row>
    <row r="325" spans="1:5" x14ac:dyDescent="0.2">
      <c r="A325" s="17"/>
      <c r="D325" s="7"/>
      <c r="E325" s="16"/>
    </row>
    <row r="326" spans="1:5" x14ac:dyDescent="0.2">
      <c r="A326" s="17" t="s">
        <v>165</v>
      </c>
      <c r="D326" s="7"/>
      <c r="E326" s="16"/>
    </row>
    <row r="327" spans="1:5" x14ac:dyDescent="0.2">
      <c r="A327" s="32" t="s">
        <v>166</v>
      </c>
      <c r="B327" s="68" t="s">
        <v>1</v>
      </c>
      <c r="C327" s="68" t="s">
        <v>2</v>
      </c>
      <c r="D327" s="4"/>
      <c r="E327" s="4" t="s">
        <v>3</v>
      </c>
    </row>
    <row r="328" spans="1:5" x14ac:dyDescent="0.2">
      <c r="A328" s="32" t="s">
        <v>167</v>
      </c>
      <c r="B328" s="35" t="s">
        <v>4</v>
      </c>
      <c r="C328" s="35" t="s">
        <v>237</v>
      </c>
      <c r="D328" s="5" t="s">
        <v>5</v>
      </c>
      <c r="E328" s="5" t="s">
        <v>5</v>
      </c>
    </row>
    <row r="329" spans="1:5" x14ac:dyDescent="0.2">
      <c r="B329" s="64"/>
      <c r="C329" s="64"/>
      <c r="D329" s="7"/>
      <c r="E329" s="16"/>
    </row>
    <row r="330" spans="1:5" x14ac:dyDescent="0.2">
      <c r="A330" s="17" t="s">
        <v>168</v>
      </c>
      <c r="B330" s="76">
        <v>4558</v>
      </c>
      <c r="C330" s="53">
        <v>4371</v>
      </c>
      <c r="D330" s="7">
        <f t="shared" si="12"/>
        <v>-187</v>
      </c>
      <c r="E330" s="16">
        <f>SUM(D330/B330*100)</f>
        <v>-4.1026766125493639</v>
      </c>
    </row>
    <row r="331" spans="1:5" x14ac:dyDescent="0.2">
      <c r="A331" s="17" t="s">
        <v>169</v>
      </c>
      <c r="B331" s="80">
        <v>1452</v>
      </c>
      <c r="C331" s="53">
        <v>1381</v>
      </c>
      <c r="D331" s="7">
        <f t="shared" si="12"/>
        <v>-71</v>
      </c>
      <c r="E331" s="16">
        <f t="shared" ref="E331:E370" si="13">SUM(D331/B331*100)</f>
        <v>-4.889807162534435</v>
      </c>
    </row>
    <row r="332" spans="1:5" s="64" customFormat="1" x14ac:dyDescent="0.2">
      <c r="A332" s="58" t="s">
        <v>170</v>
      </c>
      <c r="B332" s="76">
        <v>1353</v>
      </c>
      <c r="C332" s="65">
        <v>1260</v>
      </c>
      <c r="D332" s="63">
        <f t="shared" si="12"/>
        <v>-93</v>
      </c>
      <c r="E332" s="60">
        <f t="shared" si="13"/>
        <v>-6.8736141906873618</v>
      </c>
    </row>
    <row r="333" spans="1:5" x14ac:dyDescent="0.2">
      <c r="A333" s="17" t="s">
        <v>171</v>
      </c>
      <c r="B333" s="76">
        <v>15029</v>
      </c>
      <c r="C333" s="53">
        <v>15364</v>
      </c>
      <c r="D333" s="7">
        <f t="shared" si="12"/>
        <v>335</v>
      </c>
      <c r="E333" s="16">
        <f t="shared" si="13"/>
        <v>2.2290238871515071</v>
      </c>
    </row>
    <row r="334" spans="1:5" x14ac:dyDescent="0.2">
      <c r="A334" s="17" t="s">
        <v>172</v>
      </c>
      <c r="B334" s="76">
        <v>8</v>
      </c>
      <c r="C334" s="53">
        <v>20</v>
      </c>
      <c r="D334" s="7">
        <f>SUM(C334-B334)</f>
        <v>12</v>
      </c>
      <c r="E334" s="16">
        <f t="shared" si="13"/>
        <v>150</v>
      </c>
    </row>
    <row r="335" spans="1:5" x14ac:dyDescent="0.2">
      <c r="A335" s="15" t="s">
        <v>173</v>
      </c>
      <c r="B335" s="76">
        <v>2711</v>
      </c>
      <c r="C335" s="53">
        <v>2584</v>
      </c>
      <c r="D335" s="7">
        <f t="shared" si="12"/>
        <v>-127</v>
      </c>
      <c r="E335" s="16">
        <f t="shared" si="13"/>
        <v>-4.6846182220582806</v>
      </c>
    </row>
    <row r="336" spans="1:5" x14ac:dyDescent="0.2">
      <c r="A336" s="17" t="s">
        <v>174</v>
      </c>
      <c r="B336" s="76">
        <v>5545</v>
      </c>
      <c r="C336" s="53">
        <v>5622</v>
      </c>
      <c r="D336" s="7">
        <f t="shared" si="12"/>
        <v>77</v>
      </c>
      <c r="E336" s="16">
        <f t="shared" si="13"/>
        <v>1.3886384129846707</v>
      </c>
    </row>
    <row r="337" spans="1:5" x14ac:dyDescent="0.2">
      <c r="A337" s="17" t="s">
        <v>175</v>
      </c>
      <c r="B337" s="76">
        <v>1299</v>
      </c>
      <c r="C337" s="53">
        <v>1290</v>
      </c>
      <c r="D337" s="7">
        <f t="shared" si="12"/>
        <v>-9</v>
      </c>
      <c r="E337" s="16">
        <f t="shared" si="13"/>
        <v>-0.69284064665127021</v>
      </c>
    </row>
    <row r="338" spans="1:5" x14ac:dyDescent="0.2">
      <c r="A338" s="17" t="s">
        <v>176</v>
      </c>
      <c r="B338" s="76">
        <v>2358</v>
      </c>
      <c r="C338" s="53">
        <v>2301</v>
      </c>
      <c r="D338" s="7">
        <f t="shared" si="12"/>
        <v>-57</v>
      </c>
      <c r="E338" s="16">
        <f t="shared" si="13"/>
        <v>-2.4173027989821882</v>
      </c>
    </row>
    <row r="339" spans="1:5" x14ac:dyDescent="0.2">
      <c r="A339" s="17" t="s">
        <v>177</v>
      </c>
      <c r="B339" s="76">
        <v>2432</v>
      </c>
      <c r="C339" s="53">
        <v>2589</v>
      </c>
      <c r="D339" s="7">
        <f t="shared" si="12"/>
        <v>157</v>
      </c>
      <c r="E339" s="16">
        <f t="shared" si="13"/>
        <v>6.4555921052631584</v>
      </c>
    </row>
    <row r="340" spans="1:5" x14ac:dyDescent="0.2">
      <c r="A340" s="17" t="s">
        <v>178</v>
      </c>
      <c r="B340" s="76">
        <v>1199</v>
      </c>
      <c r="C340" s="53">
        <v>1130</v>
      </c>
      <c r="D340" s="7">
        <f t="shared" si="12"/>
        <v>-69</v>
      </c>
      <c r="E340" s="16">
        <f t="shared" si="13"/>
        <v>-5.7547956630525432</v>
      </c>
    </row>
    <row r="341" spans="1:5" x14ac:dyDescent="0.2">
      <c r="A341" s="15" t="s">
        <v>179</v>
      </c>
      <c r="B341" s="76">
        <v>904</v>
      </c>
      <c r="C341" s="53">
        <v>918</v>
      </c>
      <c r="D341" s="7">
        <f t="shared" si="12"/>
        <v>14</v>
      </c>
      <c r="E341" s="16">
        <f t="shared" si="13"/>
        <v>1.5486725663716814</v>
      </c>
    </row>
    <row r="342" spans="1:5" s="64" customFormat="1" x14ac:dyDescent="0.2">
      <c r="A342" s="58" t="s">
        <v>180</v>
      </c>
      <c r="B342" s="79">
        <v>461</v>
      </c>
      <c r="C342" s="65">
        <v>603</v>
      </c>
      <c r="D342" s="63">
        <f t="shared" si="12"/>
        <v>142</v>
      </c>
      <c r="E342" s="60">
        <f t="shared" si="13"/>
        <v>30.802603036876359</v>
      </c>
    </row>
    <row r="343" spans="1:5" x14ac:dyDescent="0.2">
      <c r="A343" s="17" t="s">
        <v>181</v>
      </c>
      <c r="B343" s="76">
        <v>2950</v>
      </c>
      <c r="C343" s="53">
        <v>2843</v>
      </c>
      <c r="D343" s="7">
        <f t="shared" si="12"/>
        <v>-107</v>
      </c>
      <c r="E343" s="16">
        <f t="shared" si="13"/>
        <v>-3.6271186440677963</v>
      </c>
    </row>
    <row r="344" spans="1:5" x14ac:dyDescent="0.2">
      <c r="A344" s="17" t="s">
        <v>182</v>
      </c>
      <c r="B344" s="76">
        <v>2038</v>
      </c>
      <c r="C344" s="53">
        <v>2135</v>
      </c>
      <c r="D344" s="7">
        <f t="shared" si="12"/>
        <v>97</v>
      </c>
      <c r="E344" s="16">
        <f t="shared" si="13"/>
        <v>4.7595682041216874</v>
      </c>
    </row>
    <row r="345" spans="1:5" s="64" customFormat="1" x14ac:dyDescent="0.2">
      <c r="A345" s="58" t="s">
        <v>183</v>
      </c>
      <c r="B345" s="76">
        <v>1469</v>
      </c>
      <c r="C345" s="92">
        <v>1368</v>
      </c>
      <c r="D345" s="63">
        <f t="shared" si="12"/>
        <v>-101</v>
      </c>
      <c r="E345" s="60">
        <f t="shared" si="13"/>
        <v>-6.8754254594962569</v>
      </c>
    </row>
    <row r="346" spans="1:5" s="64" customFormat="1" x14ac:dyDescent="0.2">
      <c r="A346" s="58" t="s">
        <v>184</v>
      </c>
      <c r="B346" s="76">
        <v>2570</v>
      </c>
      <c r="C346" s="65">
        <v>2766</v>
      </c>
      <c r="D346" s="63">
        <f t="shared" si="12"/>
        <v>196</v>
      </c>
      <c r="E346" s="60">
        <f t="shared" si="13"/>
        <v>7.626459143968872</v>
      </c>
    </row>
    <row r="347" spans="1:5" s="64" customFormat="1" x14ac:dyDescent="0.2">
      <c r="A347" s="58" t="s">
        <v>185</v>
      </c>
      <c r="B347" s="76">
        <v>201</v>
      </c>
      <c r="C347" s="65">
        <v>193</v>
      </c>
      <c r="D347" s="63">
        <f t="shared" si="12"/>
        <v>-8</v>
      </c>
      <c r="E347" s="60">
        <f t="shared" si="13"/>
        <v>-3.9800995024875623</v>
      </c>
    </row>
    <row r="348" spans="1:5" s="64" customFormat="1" x14ac:dyDescent="0.2">
      <c r="A348" s="58" t="s">
        <v>186</v>
      </c>
      <c r="B348" s="76">
        <v>6224</v>
      </c>
      <c r="C348" s="65">
        <v>6402</v>
      </c>
      <c r="D348" s="63">
        <f t="shared" si="12"/>
        <v>178</v>
      </c>
      <c r="E348" s="60">
        <f t="shared" si="13"/>
        <v>2.8598971722365039</v>
      </c>
    </row>
    <row r="349" spans="1:5" s="64" customFormat="1" x14ac:dyDescent="0.2">
      <c r="A349" s="58" t="s">
        <v>187</v>
      </c>
      <c r="B349" s="76">
        <v>5320</v>
      </c>
      <c r="C349" s="93">
        <v>5095</v>
      </c>
      <c r="D349" s="63">
        <f t="shared" si="12"/>
        <v>-225</v>
      </c>
      <c r="E349" s="60">
        <f t="shared" si="13"/>
        <v>-4.2293233082706765</v>
      </c>
    </row>
    <row r="350" spans="1:5" s="64" customFormat="1" x14ac:dyDescent="0.2">
      <c r="A350" s="58" t="s">
        <v>188</v>
      </c>
      <c r="B350" s="76">
        <v>4156</v>
      </c>
      <c r="C350" s="94">
        <v>3988</v>
      </c>
      <c r="D350" s="63">
        <f t="shared" si="12"/>
        <v>-168</v>
      </c>
      <c r="E350" s="60">
        <f t="shared" si="13"/>
        <v>-4.0423484119345519</v>
      </c>
    </row>
    <row r="351" spans="1:5" s="64" customFormat="1" x14ac:dyDescent="0.2">
      <c r="A351" s="58" t="s">
        <v>189</v>
      </c>
      <c r="B351" s="76">
        <v>1078</v>
      </c>
      <c r="C351" s="65">
        <v>1126</v>
      </c>
      <c r="D351" s="63">
        <f t="shared" si="12"/>
        <v>48</v>
      </c>
      <c r="E351" s="60">
        <f t="shared" si="13"/>
        <v>4.4526901669758807</v>
      </c>
    </row>
    <row r="352" spans="1:5" s="64" customFormat="1" x14ac:dyDescent="0.2">
      <c r="A352" s="58" t="s">
        <v>190</v>
      </c>
      <c r="B352" s="76">
        <v>1265</v>
      </c>
      <c r="C352" s="65">
        <v>1230</v>
      </c>
      <c r="D352" s="63">
        <f t="shared" si="12"/>
        <v>-35</v>
      </c>
      <c r="E352" s="60">
        <f t="shared" si="13"/>
        <v>-2.766798418972332</v>
      </c>
    </row>
    <row r="353" spans="1:5" s="64" customFormat="1" x14ac:dyDescent="0.2">
      <c r="A353" s="58" t="s">
        <v>191</v>
      </c>
      <c r="B353" s="76">
        <v>10982</v>
      </c>
      <c r="C353" s="65">
        <v>10893</v>
      </c>
      <c r="D353" s="63">
        <f t="shared" si="12"/>
        <v>-89</v>
      </c>
      <c r="E353" s="60">
        <f t="shared" si="13"/>
        <v>-0.81041704607539622</v>
      </c>
    </row>
    <row r="354" spans="1:5" s="64" customFormat="1" x14ac:dyDescent="0.2">
      <c r="A354" s="58" t="s">
        <v>192</v>
      </c>
      <c r="B354" s="76">
        <v>851</v>
      </c>
      <c r="C354" s="65">
        <v>807</v>
      </c>
      <c r="D354" s="63">
        <f t="shared" si="12"/>
        <v>-44</v>
      </c>
      <c r="E354" s="60">
        <f t="shared" si="13"/>
        <v>-5.1703877790834314</v>
      </c>
    </row>
    <row r="355" spans="1:5" s="64" customFormat="1" x14ac:dyDescent="0.2">
      <c r="A355" s="58" t="s">
        <v>193</v>
      </c>
      <c r="B355" s="76">
        <v>2023</v>
      </c>
      <c r="C355" s="65">
        <v>2030</v>
      </c>
      <c r="D355" s="63">
        <f t="shared" si="12"/>
        <v>7</v>
      </c>
      <c r="E355" s="60">
        <f t="shared" si="13"/>
        <v>0.34602076124567477</v>
      </c>
    </row>
    <row r="356" spans="1:5" s="64" customFormat="1" x14ac:dyDescent="0.2">
      <c r="A356" s="58" t="s">
        <v>194</v>
      </c>
      <c r="B356" s="76">
        <v>216</v>
      </c>
      <c r="C356" s="65">
        <v>204</v>
      </c>
      <c r="D356" s="63">
        <f t="shared" si="12"/>
        <v>-12</v>
      </c>
      <c r="E356" s="60">
        <f t="shared" si="13"/>
        <v>-5.5555555555555554</v>
      </c>
    </row>
    <row r="357" spans="1:5" s="64" customFormat="1" x14ac:dyDescent="0.2">
      <c r="A357" s="58" t="s">
        <v>195</v>
      </c>
      <c r="B357" s="76">
        <v>1342</v>
      </c>
      <c r="C357" s="65">
        <v>1394</v>
      </c>
      <c r="D357" s="63">
        <f t="shared" si="12"/>
        <v>52</v>
      </c>
      <c r="E357" s="60">
        <f t="shared" si="13"/>
        <v>3.8748137108792844</v>
      </c>
    </row>
    <row r="358" spans="1:5" x14ac:dyDescent="0.2">
      <c r="A358" s="17" t="s">
        <v>196</v>
      </c>
      <c r="B358" s="76">
        <v>9462</v>
      </c>
      <c r="C358" s="53">
        <v>9725</v>
      </c>
      <c r="D358" s="7">
        <f t="shared" si="12"/>
        <v>263</v>
      </c>
      <c r="E358" s="16">
        <f t="shared" si="13"/>
        <v>2.7795392094694567</v>
      </c>
    </row>
    <row r="359" spans="1:5" x14ac:dyDescent="0.2">
      <c r="A359" s="17" t="s">
        <v>197</v>
      </c>
      <c r="B359" s="76">
        <v>883</v>
      </c>
      <c r="C359" s="53">
        <v>822</v>
      </c>
      <c r="D359" s="7">
        <f t="shared" si="12"/>
        <v>-61</v>
      </c>
      <c r="E359" s="16">
        <f t="shared" si="13"/>
        <v>-6.9082672706681763</v>
      </c>
    </row>
    <row r="360" spans="1:5" x14ac:dyDescent="0.2">
      <c r="A360" s="17" t="s">
        <v>198</v>
      </c>
      <c r="B360" s="76">
        <v>1413</v>
      </c>
      <c r="C360" s="53">
        <v>1317</v>
      </c>
      <c r="D360" s="7">
        <f t="shared" si="12"/>
        <v>-96</v>
      </c>
      <c r="E360" s="16">
        <f t="shared" si="13"/>
        <v>-6.7940552016985141</v>
      </c>
    </row>
    <row r="361" spans="1:5" x14ac:dyDescent="0.2">
      <c r="A361" s="17" t="s">
        <v>199</v>
      </c>
      <c r="B361" s="76">
        <v>3180</v>
      </c>
      <c r="C361" s="53">
        <v>3204</v>
      </c>
      <c r="D361" s="7">
        <f t="shared" si="12"/>
        <v>24</v>
      </c>
      <c r="E361" s="16">
        <f t="shared" si="13"/>
        <v>0.75471698113207553</v>
      </c>
    </row>
    <row r="362" spans="1:5" x14ac:dyDescent="0.2">
      <c r="A362" s="17" t="s">
        <v>200</v>
      </c>
      <c r="B362" s="76">
        <v>2532</v>
      </c>
      <c r="C362" s="53">
        <v>2525</v>
      </c>
      <c r="D362" s="7">
        <f t="shared" si="12"/>
        <v>-7</v>
      </c>
      <c r="E362" s="16">
        <f t="shared" si="13"/>
        <v>-0.2764612954186414</v>
      </c>
    </row>
    <row r="363" spans="1:5" x14ac:dyDescent="0.2">
      <c r="A363" s="17" t="s">
        <v>201</v>
      </c>
      <c r="B363" s="76">
        <v>2725</v>
      </c>
      <c r="C363" s="53">
        <v>2571</v>
      </c>
      <c r="D363" s="7">
        <f t="shared" si="12"/>
        <v>-154</v>
      </c>
      <c r="E363" s="16">
        <f t="shared" si="13"/>
        <v>-5.6513761467889907</v>
      </c>
    </row>
    <row r="364" spans="1:5" x14ac:dyDescent="0.2">
      <c r="A364" s="17" t="s">
        <v>202</v>
      </c>
      <c r="B364" s="76">
        <v>3134</v>
      </c>
      <c r="C364" s="53">
        <v>3287</v>
      </c>
      <c r="D364" s="7">
        <f t="shared" si="12"/>
        <v>153</v>
      </c>
      <c r="E364" s="16">
        <f t="shared" si="13"/>
        <v>4.8819400127632413</v>
      </c>
    </row>
    <row r="365" spans="1:5" x14ac:dyDescent="0.2">
      <c r="A365" s="17" t="s">
        <v>203</v>
      </c>
      <c r="B365" s="76">
        <v>3654</v>
      </c>
      <c r="C365" s="53">
        <v>3626</v>
      </c>
      <c r="D365" s="7">
        <f t="shared" si="12"/>
        <v>-28</v>
      </c>
      <c r="E365" s="16">
        <f t="shared" si="13"/>
        <v>-0.76628352490421447</v>
      </c>
    </row>
    <row r="366" spans="1:5" x14ac:dyDescent="0.2">
      <c r="A366" s="17" t="s">
        <v>204</v>
      </c>
      <c r="B366" s="76">
        <v>7753</v>
      </c>
      <c r="C366" s="53">
        <v>8442</v>
      </c>
      <c r="D366" s="7">
        <f t="shared" si="12"/>
        <v>689</v>
      </c>
      <c r="E366" s="16">
        <f t="shared" si="13"/>
        <v>8.886882497097897</v>
      </c>
    </row>
    <row r="367" spans="1:5" x14ac:dyDescent="0.2">
      <c r="A367" s="17" t="s">
        <v>205</v>
      </c>
      <c r="B367" s="76">
        <v>4538</v>
      </c>
      <c r="C367" s="53">
        <v>4880</v>
      </c>
      <c r="D367" s="7">
        <f t="shared" si="12"/>
        <v>342</v>
      </c>
      <c r="E367" s="16">
        <f t="shared" si="13"/>
        <v>7.5363596297928606</v>
      </c>
    </row>
    <row r="368" spans="1:5" x14ac:dyDescent="0.2">
      <c r="A368" s="17" t="s">
        <v>206</v>
      </c>
      <c r="B368" s="76">
        <v>1356</v>
      </c>
      <c r="C368" s="53">
        <v>1401</v>
      </c>
      <c r="D368" s="7">
        <f t="shared" si="12"/>
        <v>45</v>
      </c>
      <c r="E368" s="16">
        <f t="shared" si="13"/>
        <v>3.3185840707964607</v>
      </c>
    </row>
    <row r="369" spans="1:5" x14ac:dyDescent="0.2">
      <c r="A369" s="17"/>
      <c r="B369" s="66" t="s">
        <v>10</v>
      </c>
      <c r="C369" s="66" t="s">
        <v>10</v>
      </c>
      <c r="D369" s="67" t="s">
        <v>10</v>
      </c>
      <c r="E369" s="16"/>
    </row>
    <row r="370" spans="1:5" x14ac:dyDescent="0.2">
      <c r="A370" s="17" t="s">
        <v>127</v>
      </c>
      <c r="B370" s="65">
        <f>SUM(B330:B369)</f>
        <v>122624</v>
      </c>
      <c r="C370" s="65">
        <f>SUM(C330:C369)</f>
        <v>123707</v>
      </c>
      <c r="D370" s="63">
        <f t="shared" si="12"/>
        <v>1083</v>
      </c>
      <c r="E370" s="16">
        <f t="shared" si="13"/>
        <v>0.88318763048016702</v>
      </c>
    </row>
    <row r="371" spans="1:5" x14ac:dyDescent="0.2">
      <c r="A371" s="17"/>
      <c r="B371" s="6"/>
    </row>
    <row r="372" spans="1:5" x14ac:dyDescent="0.2">
      <c r="A372" s="98" t="s">
        <v>207</v>
      </c>
      <c r="B372" s="98"/>
      <c r="C372" s="98"/>
      <c r="D372" s="98"/>
      <c r="E372" s="98"/>
    </row>
    <row r="373" spans="1:5" x14ac:dyDescent="0.2">
      <c r="A373" s="98" t="s">
        <v>208</v>
      </c>
      <c r="B373" s="98"/>
      <c r="C373" s="98"/>
      <c r="D373" s="98"/>
    </row>
    <row r="374" spans="1:5" x14ac:dyDescent="0.2">
      <c r="A374" s="13"/>
      <c r="B374" s="13"/>
      <c r="C374" s="13"/>
      <c r="D374" s="13"/>
    </row>
    <row r="375" spans="1:5" x14ac:dyDescent="0.2">
      <c r="A375" s="14" t="s">
        <v>209</v>
      </c>
    </row>
    <row r="377" spans="1:5" x14ac:dyDescent="0.2">
      <c r="A377" t="s">
        <v>210</v>
      </c>
      <c r="B377" s="54">
        <v>457</v>
      </c>
      <c r="C377" s="55">
        <v>559</v>
      </c>
      <c r="D377" s="7">
        <f t="shared" ref="D377:D442" si="14">SUM(C377-B377)</f>
        <v>102</v>
      </c>
      <c r="E377" s="16">
        <f>SUM(D377/B377*100)</f>
        <v>22.319474835886215</v>
      </c>
    </row>
    <row r="378" spans="1:5" x14ac:dyDescent="0.2">
      <c r="A378" t="s">
        <v>211</v>
      </c>
      <c r="B378" s="54">
        <v>609</v>
      </c>
      <c r="C378" s="55">
        <v>0</v>
      </c>
      <c r="D378" s="7">
        <f t="shared" si="14"/>
        <v>-609</v>
      </c>
      <c r="E378" s="16">
        <f t="shared" ref="E378:E380" si="15">SUM(D378/B378*100)</f>
        <v>-100</v>
      </c>
    </row>
    <row r="379" spans="1:5" x14ac:dyDescent="0.2">
      <c r="B379" s="9" t="s">
        <v>10</v>
      </c>
      <c r="C379" s="9" t="s">
        <v>10</v>
      </c>
      <c r="D379" s="10" t="s">
        <v>10</v>
      </c>
      <c r="E379" s="16"/>
    </row>
    <row r="380" spans="1:5" x14ac:dyDescent="0.2">
      <c r="A380" t="s">
        <v>127</v>
      </c>
      <c r="B380" s="6">
        <f>SUM(B377:B379)</f>
        <v>1066</v>
      </c>
      <c r="C380" s="6">
        <f>SUM(C377:C379)</f>
        <v>559</v>
      </c>
      <c r="D380" s="7">
        <f t="shared" si="14"/>
        <v>-507</v>
      </c>
      <c r="E380" s="16">
        <f t="shared" si="15"/>
        <v>-47.560975609756099</v>
      </c>
    </row>
    <row r="381" spans="1:5" x14ac:dyDescent="0.2">
      <c r="B381" s="68" t="s">
        <v>1</v>
      </c>
      <c r="C381" s="68" t="s">
        <v>2</v>
      </c>
      <c r="D381" s="4"/>
      <c r="E381" s="4" t="s">
        <v>3</v>
      </c>
    </row>
    <row r="382" spans="1:5" x14ac:dyDescent="0.2">
      <c r="A382" s="14" t="s">
        <v>212</v>
      </c>
      <c r="B382" s="35" t="s">
        <v>4</v>
      </c>
      <c r="C382" s="35" t="s">
        <v>237</v>
      </c>
      <c r="D382" s="5" t="s">
        <v>5</v>
      </c>
      <c r="E382" s="5" t="s">
        <v>5</v>
      </c>
    </row>
    <row r="383" spans="1:5" ht="9.9499999999999993" customHeight="1" x14ac:dyDescent="0.2">
      <c r="A383" s="14"/>
      <c r="B383" s="65"/>
      <c r="C383" s="65"/>
      <c r="D383" s="7"/>
    </row>
    <row r="384" spans="1:5" x14ac:dyDescent="0.2">
      <c r="A384" s="17" t="s">
        <v>213</v>
      </c>
      <c r="B384" s="75">
        <v>3947</v>
      </c>
      <c r="C384" s="56">
        <v>4391</v>
      </c>
      <c r="D384" s="7">
        <f t="shared" si="14"/>
        <v>444</v>
      </c>
      <c r="E384" s="16">
        <f>SUM(D384/B384*100)</f>
        <v>11.249049911325057</v>
      </c>
    </row>
    <row r="385" spans="1:5" ht="12.75" customHeight="1" x14ac:dyDescent="0.2">
      <c r="A385" s="17" t="s">
        <v>214</v>
      </c>
      <c r="B385" s="72">
        <v>749</v>
      </c>
      <c r="C385" s="56">
        <v>835</v>
      </c>
      <c r="D385" s="7">
        <f t="shared" si="14"/>
        <v>86</v>
      </c>
      <c r="E385" s="16">
        <f t="shared" ref="E385:E442" si="16">SUM(D385/B385*100)</f>
        <v>11.481975967957277</v>
      </c>
    </row>
    <row r="386" spans="1:5" x14ac:dyDescent="0.2">
      <c r="A386" s="17" t="s">
        <v>215</v>
      </c>
      <c r="B386" s="72">
        <v>2313</v>
      </c>
      <c r="C386" s="56">
        <v>2604</v>
      </c>
      <c r="D386" s="7">
        <f t="shared" si="14"/>
        <v>291</v>
      </c>
      <c r="E386" s="16">
        <f t="shared" si="16"/>
        <v>12.581063553826199</v>
      </c>
    </row>
    <row r="387" spans="1:5" x14ac:dyDescent="0.2">
      <c r="A387" s="17" t="s">
        <v>216</v>
      </c>
      <c r="B387" s="72">
        <v>42</v>
      </c>
      <c r="C387" s="56">
        <v>39</v>
      </c>
      <c r="D387" s="7">
        <f>SUM(C387-B387)</f>
        <v>-3</v>
      </c>
      <c r="E387" s="16">
        <f>SUM(D387/B387*100)</f>
        <v>-7.1428571428571423</v>
      </c>
    </row>
    <row r="388" spans="1:5" x14ac:dyDescent="0.2">
      <c r="A388" s="17" t="s">
        <v>217</v>
      </c>
      <c r="B388" s="72">
        <v>580</v>
      </c>
      <c r="C388" s="56">
        <v>600</v>
      </c>
      <c r="D388" s="7">
        <f t="shared" si="14"/>
        <v>20</v>
      </c>
      <c r="E388" s="16">
        <f t="shared" si="16"/>
        <v>3.4482758620689653</v>
      </c>
    </row>
    <row r="389" spans="1:5" x14ac:dyDescent="0.2">
      <c r="A389" s="17" t="s">
        <v>218</v>
      </c>
      <c r="B389" s="72">
        <v>263</v>
      </c>
      <c r="C389" s="56">
        <v>313</v>
      </c>
      <c r="D389" s="7">
        <f t="shared" si="14"/>
        <v>50</v>
      </c>
      <c r="E389" s="16">
        <f t="shared" si="16"/>
        <v>19.011406844106464</v>
      </c>
    </row>
    <row r="390" spans="1:5" s="28" customFormat="1" x14ac:dyDescent="0.2">
      <c r="A390" s="15" t="s">
        <v>219</v>
      </c>
      <c r="B390" s="72"/>
      <c r="C390" s="56"/>
      <c r="D390" s="26"/>
      <c r="E390" s="27"/>
    </row>
    <row r="391" spans="1:5" s="28" customFormat="1" x14ac:dyDescent="0.2">
      <c r="A391" s="15" t="s">
        <v>220</v>
      </c>
      <c r="B391" s="72">
        <v>2122</v>
      </c>
      <c r="C391" s="56">
        <v>2144</v>
      </c>
      <c r="D391" s="26">
        <f t="shared" si="14"/>
        <v>22</v>
      </c>
      <c r="E391" s="27">
        <f t="shared" si="16"/>
        <v>1.0367577756833177</v>
      </c>
    </row>
    <row r="392" spans="1:5" s="28" customFormat="1" x14ac:dyDescent="0.2">
      <c r="A392" s="15" t="s">
        <v>214</v>
      </c>
      <c r="B392" s="72">
        <v>635</v>
      </c>
      <c r="C392" s="56">
        <v>630</v>
      </c>
      <c r="D392" s="26">
        <f t="shared" si="14"/>
        <v>-5</v>
      </c>
      <c r="E392" s="27">
        <f t="shared" si="16"/>
        <v>-0.78740157480314954</v>
      </c>
    </row>
    <row r="393" spans="1:5" x14ac:dyDescent="0.2">
      <c r="A393" s="17" t="s">
        <v>221</v>
      </c>
      <c r="B393" s="72">
        <v>407</v>
      </c>
      <c r="C393" s="56">
        <v>493</v>
      </c>
      <c r="D393" s="7">
        <f t="shared" si="14"/>
        <v>86</v>
      </c>
      <c r="E393" s="16">
        <f t="shared" si="16"/>
        <v>21.13022113022113</v>
      </c>
    </row>
    <row r="394" spans="1:5" s="28" customFormat="1" x14ac:dyDescent="0.2">
      <c r="A394" s="15" t="s">
        <v>215</v>
      </c>
      <c r="B394" s="72">
        <v>735</v>
      </c>
      <c r="C394" s="56">
        <v>678</v>
      </c>
      <c r="D394" s="26">
        <f t="shared" si="14"/>
        <v>-57</v>
      </c>
      <c r="E394" s="27">
        <f t="shared" si="16"/>
        <v>-7.7551020408163263</v>
      </c>
    </row>
    <row r="395" spans="1:5" s="28" customFormat="1" x14ac:dyDescent="0.2">
      <c r="A395" s="15" t="s">
        <v>217</v>
      </c>
      <c r="B395" s="72">
        <v>345</v>
      </c>
      <c r="C395" s="56">
        <v>343</v>
      </c>
      <c r="D395" s="26">
        <f t="shared" si="14"/>
        <v>-2</v>
      </c>
      <c r="E395" s="27">
        <f t="shared" si="16"/>
        <v>-0.57971014492753625</v>
      </c>
    </row>
    <row r="396" spans="1:5" x14ac:dyDescent="0.2">
      <c r="A396" s="17" t="s">
        <v>222</v>
      </c>
      <c r="B396" s="72"/>
      <c r="C396" s="56"/>
      <c r="D396" s="7"/>
      <c r="E396" s="16"/>
    </row>
    <row r="397" spans="1:5" x14ac:dyDescent="0.2">
      <c r="A397" s="17" t="s">
        <v>223</v>
      </c>
      <c r="B397" s="72">
        <v>4600</v>
      </c>
      <c r="C397" s="56">
        <v>4563</v>
      </c>
      <c r="D397" s="7">
        <f t="shared" si="14"/>
        <v>-37</v>
      </c>
      <c r="E397" s="16">
        <f t="shared" si="16"/>
        <v>-0.80434782608695654</v>
      </c>
    </row>
    <row r="398" spans="1:5" x14ac:dyDescent="0.2">
      <c r="A398" s="17" t="s">
        <v>214</v>
      </c>
      <c r="B398" s="72">
        <v>942</v>
      </c>
      <c r="C398" s="56">
        <v>965</v>
      </c>
      <c r="D398" s="7">
        <f t="shared" si="14"/>
        <v>23</v>
      </c>
      <c r="E398" s="16">
        <f t="shared" si="16"/>
        <v>2.4416135881104037</v>
      </c>
    </row>
    <row r="399" spans="1:5" x14ac:dyDescent="0.2">
      <c r="A399" s="17" t="s">
        <v>221</v>
      </c>
      <c r="B399" s="72">
        <v>336</v>
      </c>
      <c r="C399" s="56">
        <v>359</v>
      </c>
      <c r="D399" s="7">
        <f t="shared" si="14"/>
        <v>23</v>
      </c>
      <c r="E399" s="16">
        <f t="shared" si="16"/>
        <v>6.8452380952380958</v>
      </c>
    </row>
    <row r="400" spans="1:5" x14ac:dyDescent="0.2">
      <c r="A400" s="17" t="s">
        <v>215</v>
      </c>
      <c r="B400" s="72">
        <v>3322</v>
      </c>
      <c r="C400" s="56">
        <v>3239</v>
      </c>
      <c r="D400" s="7">
        <f t="shared" si="14"/>
        <v>-83</v>
      </c>
      <c r="E400" s="16">
        <f t="shared" si="16"/>
        <v>-2.4984948826008426</v>
      </c>
    </row>
    <row r="401" spans="1:5" x14ac:dyDescent="0.2">
      <c r="A401" s="17" t="s">
        <v>222</v>
      </c>
      <c r="B401" s="72"/>
      <c r="C401" s="56"/>
      <c r="D401" s="7"/>
      <c r="E401" s="16"/>
    </row>
    <row r="402" spans="1:5" x14ac:dyDescent="0.2">
      <c r="A402" s="17" t="s">
        <v>224</v>
      </c>
      <c r="B402" s="72">
        <v>3294</v>
      </c>
      <c r="C402" s="56">
        <v>3262</v>
      </c>
      <c r="D402" s="7">
        <f>SUM(C402-B402)</f>
        <v>-32</v>
      </c>
      <c r="E402" s="16">
        <f t="shared" si="16"/>
        <v>-0.97146326654523385</v>
      </c>
    </row>
    <row r="403" spans="1:5" x14ac:dyDescent="0.2">
      <c r="A403" s="17" t="s">
        <v>214</v>
      </c>
      <c r="B403" s="72">
        <v>884</v>
      </c>
      <c r="C403" s="56">
        <v>888</v>
      </c>
      <c r="D403" s="7">
        <f>SUM(C403-B403)</f>
        <v>4</v>
      </c>
      <c r="E403" s="16">
        <f t="shared" si="16"/>
        <v>0.45248868778280549</v>
      </c>
    </row>
    <row r="404" spans="1:5" x14ac:dyDescent="0.2">
      <c r="A404" s="17" t="s">
        <v>221</v>
      </c>
      <c r="B404" s="72">
        <v>398</v>
      </c>
      <c r="C404" s="56">
        <v>410</v>
      </c>
      <c r="D404" s="7">
        <f t="shared" si="14"/>
        <v>12</v>
      </c>
      <c r="E404" s="16">
        <f t="shared" si="16"/>
        <v>3.0150753768844218</v>
      </c>
    </row>
    <row r="405" spans="1:5" x14ac:dyDescent="0.2">
      <c r="A405" s="17" t="s">
        <v>215</v>
      </c>
      <c r="B405" s="72">
        <v>1897</v>
      </c>
      <c r="C405" s="56">
        <v>1846</v>
      </c>
      <c r="D405" s="7">
        <f t="shared" si="14"/>
        <v>-51</v>
      </c>
      <c r="E405" s="16">
        <f t="shared" si="16"/>
        <v>-2.6884554559831311</v>
      </c>
    </row>
    <row r="406" spans="1:5" x14ac:dyDescent="0.2">
      <c r="A406" s="17" t="s">
        <v>218</v>
      </c>
      <c r="B406" s="72">
        <v>115</v>
      </c>
      <c r="C406" s="56">
        <v>118</v>
      </c>
      <c r="D406" s="7">
        <f t="shared" si="14"/>
        <v>3</v>
      </c>
      <c r="E406" s="16">
        <f t="shared" si="16"/>
        <v>2.6086956521739131</v>
      </c>
    </row>
    <row r="407" spans="1:5" x14ac:dyDescent="0.2">
      <c r="A407" s="69" t="s">
        <v>238</v>
      </c>
      <c r="B407" s="71">
        <v>0</v>
      </c>
      <c r="C407" s="65">
        <v>6</v>
      </c>
      <c r="D407" s="7">
        <f t="shared" si="14"/>
        <v>6</v>
      </c>
      <c r="E407" s="16">
        <v>100</v>
      </c>
    </row>
    <row r="408" spans="1:5" x14ac:dyDescent="0.2">
      <c r="A408" s="17" t="s">
        <v>225</v>
      </c>
      <c r="B408" s="74">
        <v>316</v>
      </c>
      <c r="C408" s="56">
        <v>297</v>
      </c>
      <c r="D408" s="7">
        <f t="shared" si="14"/>
        <v>-19</v>
      </c>
      <c r="E408" s="16">
        <f t="shared" si="16"/>
        <v>-6.0126582278481013</v>
      </c>
    </row>
    <row r="409" spans="1:5" x14ac:dyDescent="0.2">
      <c r="A409" s="17" t="s">
        <v>226</v>
      </c>
      <c r="B409" s="74">
        <v>2824</v>
      </c>
      <c r="C409" s="56">
        <v>3074</v>
      </c>
      <c r="D409" s="7">
        <f t="shared" si="14"/>
        <v>250</v>
      </c>
      <c r="E409" s="16">
        <f t="shared" si="16"/>
        <v>8.8526912181303103</v>
      </c>
    </row>
    <row r="410" spans="1:5" x14ac:dyDescent="0.2">
      <c r="A410" s="17" t="s">
        <v>214</v>
      </c>
      <c r="B410" s="74">
        <v>907</v>
      </c>
      <c r="C410" s="56">
        <v>928</v>
      </c>
      <c r="D410" s="7">
        <f t="shared" si="14"/>
        <v>21</v>
      </c>
      <c r="E410" s="16">
        <f t="shared" si="16"/>
        <v>2.3153252480705624</v>
      </c>
    </row>
    <row r="411" spans="1:5" x14ac:dyDescent="0.2">
      <c r="A411" s="17" t="s">
        <v>215</v>
      </c>
      <c r="B411" s="74">
        <v>1691</v>
      </c>
      <c r="C411" s="56">
        <v>1888</v>
      </c>
      <c r="D411" s="7">
        <f t="shared" si="14"/>
        <v>197</v>
      </c>
      <c r="E411" s="16">
        <f t="shared" si="16"/>
        <v>11.649911295091661</v>
      </c>
    </row>
    <row r="412" spans="1:5" x14ac:dyDescent="0.2">
      <c r="A412" s="17" t="s">
        <v>218</v>
      </c>
      <c r="B412" s="74">
        <v>226</v>
      </c>
      <c r="C412" s="56">
        <v>258</v>
      </c>
      <c r="D412" s="7">
        <f t="shared" si="14"/>
        <v>32</v>
      </c>
      <c r="E412" s="16">
        <f t="shared" si="16"/>
        <v>14.159292035398231</v>
      </c>
    </row>
    <row r="413" spans="1:5" x14ac:dyDescent="0.2">
      <c r="A413" s="17" t="s">
        <v>227</v>
      </c>
      <c r="B413" s="74"/>
      <c r="C413" s="56"/>
      <c r="D413" s="7"/>
      <c r="E413" s="16"/>
    </row>
    <row r="414" spans="1:5" x14ac:dyDescent="0.2">
      <c r="A414" s="17" t="s">
        <v>228</v>
      </c>
      <c r="B414" s="74">
        <v>2456</v>
      </c>
      <c r="C414" s="56">
        <v>2483</v>
      </c>
      <c r="D414" s="7">
        <f t="shared" si="14"/>
        <v>27</v>
      </c>
      <c r="E414" s="16">
        <f t="shared" si="16"/>
        <v>1.0993485342019544</v>
      </c>
    </row>
    <row r="415" spans="1:5" x14ac:dyDescent="0.2">
      <c r="A415" s="17" t="s">
        <v>214</v>
      </c>
      <c r="B415" s="74">
        <v>932</v>
      </c>
      <c r="C415" s="56">
        <v>964</v>
      </c>
      <c r="D415" s="7">
        <f t="shared" si="14"/>
        <v>32</v>
      </c>
      <c r="E415" s="16">
        <f t="shared" si="16"/>
        <v>3.4334763948497855</v>
      </c>
    </row>
    <row r="416" spans="1:5" x14ac:dyDescent="0.2">
      <c r="A416" s="17" t="s">
        <v>215</v>
      </c>
      <c r="B416" s="74">
        <v>1524</v>
      </c>
      <c r="C416" s="56">
        <v>1409</v>
      </c>
      <c r="D416" s="7">
        <f t="shared" si="14"/>
        <v>-115</v>
      </c>
      <c r="E416" s="16">
        <f t="shared" si="16"/>
        <v>-7.5459317585301831</v>
      </c>
    </row>
    <row r="417" spans="1:5" x14ac:dyDescent="0.2">
      <c r="A417" s="17" t="s">
        <v>218</v>
      </c>
      <c r="B417" s="74">
        <v>0</v>
      </c>
      <c r="C417" s="56">
        <v>110</v>
      </c>
      <c r="D417" s="7">
        <f t="shared" si="14"/>
        <v>110</v>
      </c>
      <c r="E417" s="16">
        <v>100</v>
      </c>
    </row>
    <row r="418" spans="1:5" x14ac:dyDescent="0.2">
      <c r="A418" s="17" t="s">
        <v>229</v>
      </c>
      <c r="B418" s="74"/>
      <c r="C418" s="56"/>
      <c r="D418" s="7"/>
      <c r="E418" s="16"/>
    </row>
    <row r="419" spans="1:5" x14ac:dyDescent="0.2">
      <c r="A419" s="17" t="s">
        <v>230</v>
      </c>
      <c r="B419" s="74">
        <v>1753</v>
      </c>
      <c r="C419" s="56">
        <v>1950</v>
      </c>
      <c r="D419" s="7">
        <f t="shared" si="14"/>
        <v>197</v>
      </c>
      <c r="E419" s="16">
        <f t="shared" si="16"/>
        <v>11.237877923559612</v>
      </c>
    </row>
    <row r="420" spans="1:5" x14ac:dyDescent="0.2">
      <c r="A420" s="17" t="s">
        <v>214</v>
      </c>
      <c r="B420" s="73">
        <v>800</v>
      </c>
      <c r="C420" s="56">
        <v>858</v>
      </c>
      <c r="D420" s="7">
        <f t="shared" si="14"/>
        <v>58</v>
      </c>
      <c r="E420" s="16">
        <f t="shared" si="16"/>
        <v>7.2499999999999991</v>
      </c>
    </row>
    <row r="421" spans="1:5" x14ac:dyDescent="0.2">
      <c r="A421" s="17" t="s">
        <v>231</v>
      </c>
      <c r="B421" s="74">
        <v>882</v>
      </c>
      <c r="C421" s="56">
        <v>980</v>
      </c>
      <c r="D421" s="7">
        <f t="shared" si="14"/>
        <v>98</v>
      </c>
      <c r="E421" s="16">
        <f t="shared" si="16"/>
        <v>11.111111111111111</v>
      </c>
    </row>
    <row r="422" spans="1:5" x14ac:dyDescent="0.2">
      <c r="A422" s="17" t="s">
        <v>218</v>
      </c>
      <c r="B422" s="74">
        <v>71</v>
      </c>
      <c r="C422" s="56">
        <v>112</v>
      </c>
      <c r="D422" s="7">
        <f t="shared" si="14"/>
        <v>41</v>
      </c>
      <c r="E422" s="16">
        <f t="shared" si="16"/>
        <v>57.74647887323944</v>
      </c>
    </row>
    <row r="423" spans="1:5" ht="12.75" customHeight="1" x14ac:dyDescent="0.2">
      <c r="A423" s="17"/>
      <c r="B423" s="70"/>
      <c r="C423" s="56"/>
      <c r="D423" s="7"/>
      <c r="E423" s="16"/>
    </row>
    <row r="424" spans="1:5" x14ac:dyDescent="0.2">
      <c r="A424" s="17" t="s">
        <v>232</v>
      </c>
      <c r="B424" s="70"/>
      <c r="C424" s="56"/>
      <c r="D424" s="7"/>
      <c r="E424" s="16"/>
    </row>
    <row r="425" spans="1:5" x14ac:dyDescent="0.2">
      <c r="A425" s="17" t="s">
        <v>214</v>
      </c>
      <c r="B425" s="65">
        <f>SUM(B385,B392,B398,B403,B410,B415,B420)</f>
        <v>5849</v>
      </c>
      <c r="C425" s="56">
        <f>SUM(C385,C392,C398,C403,C410,C415,C420)</f>
        <v>6068</v>
      </c>
      <c r="D425" s="7">
        <f t="shared" si="14"/>
        <v>219</v>
      </c>
      <c r="E425" s="16">
        <f t="shared" si="16"/>
        <v>3.7442297828688664</v>
      </c>
    </row>
    <row r="426" spans="1:5" x14ac:dyDescent="0.2">
      <c r="A426" s="17" t="s">
        <v>221</v>
      </c>
      <c r="B426" s="65">
        <f>SUM(B393,B399,B404)</f>
        <v>1141</v>
      </c>
      <c r="C426" s="56">
        <f>SUM(C393,C399,C404)</f>
        <v>1262</v>
      </c>
      <c r="D426" s="7">
        <f t="shared" si="14"/>
        <v>121</v>
      </c>
      <c r="E426" s="16">
        <f t="shared" si="16"/>
        <v>10.60473269062226</v>
      </c>
    </row>
    <row r="427" spans="1:5" x14ac:dyDescent="0.2">
      <c r="A427" s="17" t="s">
        <v>231</v>
      </c>
      <c r="B427" s="65">
        <f>SUM(B386,B394,B400,B405,B408,B411,B416,B421)</f>
        <v>12680</v>
      </c>
      <c r="C427" s="56">
        <f>SUM(C386,C394,C400,C405,C407,C408,C411,C416,C421)</f>
        <v>12947</v>
      </c>
      <c r="D427" s="7">
        <f>SUM(C427-B427)</f>
        <v>267</v>
      </c>
      <c r="E427" s="16">
        <f>SUM(D427/B427*100)</f>
        <v>2.105678233438486</v>
      </c>
    </row>
    <row r="428" spans="1:5" x14ac:dyDescent="0.2">
      <c r="A428" s="17" t="s">
        <v>216</v>
      </c>
      <c r="B428" s="65">
        <f>SUM(B387)</f>
        <v>42</v>
      </c>
      <c r="C428" s="56">
        <f>SUM(C387)</f>
        <v>39</v>
      </c>
      <c r="D428" s="7">
        <f>SUM(C428-B428)</f>
        <v>-3</v>
      </c>
      <c r="E428" s="16">
        <f>SUM(D428/B428*100)</f>
        <v>-7.1428571428571423</v>
      </c>
    </row>
    <row r="429" spans="1:5" x14ac:dyDescent="0.2">
      <c r="A429" s="17" t="s">
        <v>217</v>
      </c>
      <c r="B429" s="65">
        <f>SUM(B388,B395)</f>
        <v>925</v>
      </c>
      <c r="C429" s="56">
        <f>SUM(C388,C395)</f>
        <v>943</v>
      </c>
      <c r="D429" s="7">
        <f t="shared" si="14"/>
        <v>18</v>
      </c>
      <c r="E429" s="16">
        <f t="shared" si="16"/>
        <v>1.9459459459459458</v>
      </c>
    </row>
    <row r="430" spans="1:5" x14ac:dyDescent="0.2">
      <c r="A430" s="17" t="s">
        <v>218</v>
      </c>
      <c r="B430" s="65">
        <f>SUM(B389,B406,B412,B417,B422)</f>
        <v>675</v>
      </c>
      <c r="C430" s="56">
        <f>SUM(C389,C406,C412,C417,C422)</f>
        <v>911</v>
      </c>
      <c r="D430" s="7">
        <f>SUM(C430-B430)</f>
        <v>236</v>
      </c>
      <c r="E430" s="16">
        <f t="shared" si="16"/>
        <v>34.962962962962962</v>
      </c>
    </row>
    <row r="431" spans="1:5" ht="9.9499999999999993" customHeight="1" x14ac:dyDescent="0.2">
      <c r="A431" s="17"/>
      <c r="B431" s="66" t="s">
        <v>10</v>
      </c>
      <c r="C431" s="57" t="s">
        <v>10</v>
      </c>
      <c r="D431" s="10" t="s">
        <v>10</v>
      </c>
      <c r="E431" s="16"/>
    </row>
    <row r="432" spans="1:5" x14ac:dyDescent="0.2">
      <c r="A432" s="17" t="s">
        <v>127</v>
      </c>
      <c r="B432" s="65">
        <f>SUM(B425:B430)</f>
        <v>21312</v>
      </c>
      <c r="C432" s="56">
        <f>SUM(C425:C430)</f>
        <v>22170</v>
      </c>
      <c r="D432" s="7">
        <f t="shared" si="14"/>
        <v>858</v>
      </c>
      <c r="E432" s="16">
        <f t="shared" si="16"/>
        <v>4.0259009009009006</v>
      </c>
    </row>
    <row r="433" spans="1:5" ht="12.75" customHeight="1" x14ac:dyDescent="0.2">
      <c r="A433" s="17"/>
      <c r="B433" s="65"/>
      <c r="C433" s="6"/>
      <c r="D433" s="7"/>
      <c r="E433" s="16"/>
    </row>
    <row r="434" spans="1:5" ht="12.75" customHeight="1" x14ac:dyDescent="0.2">
      <c r="A434" s="14" t="s">
        <v>233</v>
      </c>
      <c r="B434" s="65"/>
      <c r="C434" s="6"/>
      <c r="D434" s="7"/>
      <c r="E434" s="16"/>
    </row>
    <row r="435" spans="1:5" ht="9.9499999999999993" customHeight="1" x14ac:dyDescent="0.2">
      <c r="A435" s="14"/>
      <c r="B435" s="65"/>
      <c r="C435" s="6"/>
      <c r="D435" s="7"/>
      <c r="E435" s="16"/>
    </row>
    <row r="436" spans="1:5" x14ac:dyDescent="0.2">
      <c r="A436" s="17" t="s">
        <v>234</v>
      </c>
      <c r="B436" s="75">
        <v>1449</v>
      </c>
      <c r="C436" s="95">
        <v>1525</v>
      </c>
      <c r="D436" s="7">
        <f>SUM(D437:D438)</f>
        <v>76</v>
      </c>
      <c r="E436" s="16">
        <f t="shared" si="16"/>
        <v>5.2449965493443749</v>
      </c>
    </row>
    <row r="437" spans="1:5" x14ac:dyDescent="0.2">
      <c r="A437" s="17" t="s">
        <v>214</v>
      </c>
      <c r="B437" s="75">
        <v>728</v>
      </c>
      <c r="C437" s="65">
        <v>751</v>
      </c>
      <c r="D437" s="7">
        <f t="shared" si="14"/>
        <v>23</v>
      </c>
      <c r="E437" s="16">
        <f t="shared" si="16"/>
        <v>3.1593406593406592</v>
      </c>
    </row>
    <row r="438" spans="1:5" x14ac:dyDescent="0.2">
      <c r="A438" s="17" t="s">
        <v>215</v>
      </c>
      <c r="B438" s="75">
        <v>721</v>
      </c>
      <c r="C438" s="65">
        <v>774</v>
      </c>
      <c r="D438" s="7">
        <f t="shared" si="14"/>
        <v>53</v>
      </c>
      <c r="E438" s="16">
        <f t="shared" si="16"/>
        <v>7.3509015256588066</v>
      </c>
    </row>
    <row r="439" spans="1:5" x14ac:dyDescent="0.2">
      <c r="A439" s="17" t="s">
        <v>235</v>
      </c>
      <c r="B439" s="75">
        <v>838</v>
      </c>
      <c r="C439" s="65">
        <v>882</v>
      </c>
      <c r="D439" s="7">
        <f t="shared" si="14"/>
        <v>44</v>
      </c>
      <c r="E439" s="16">
        <f t="shared" si="16"/>
        <v>5.2505966587112169</v>
      </c>
    </row>
    <row r="440" spans="1:5" x14ac:dyDescent="0.2">
      <c r="A440" s="17" t="s">
        <v>236</v>
      </c>
      <c r="B440" s="75">
        <v>277</v>
      </c>
      <c r="C440" s="65">
        <v>246</v>
      </c>
      <c r="D440" s="7">
        <f t="shared" si="14"/>
        <v>-31</v>
      </c>
      <c r="E440" s="16">
        <f t="shared" si="16"/>
        <v>-11.191335740072201</v>
      </c>
    </row>
    <row r="441" spans="1:5" ht="9.9499999999999993" customHeight="1" x14ac:dyDescent="0.2">
      <c r="A441" s="17"/>
      <c r="B441" s="66" t="s">
        <v>10</v>
      </c>
      <c r="C441" s="66" t="s">
        <v>10</v>
      </c>
      <c r="D441" s="10" t="s">
        <v>10</v>
      </c>
      <c r="E441" s="16"/>
    </row>
    <row r="442" spans="1:5" x14ac:dyDescent="0.2">
      <c r="A442" s="17" t="s">
        <v>127</v>
      </c>
      <c r="B442" s="65">
        <f>SUM(B436,B439,B440)</f>
        <v>2564</v>
      </c>
      <c r="C442" s="65">
        <f>SUM(C436,C439,C440)</f>
        <v>2653</v>
      </c>
      <c r="D442" s="7">
        <f t="shared" si="14"/>
        <v>89</v>
      </c>
      <c r="E442" s="16">
        <f t="shared" si="16"/>
        <v>3.4711388455538219</v>
      </c>
    </row>
    <row r="443" spans="1:5" x14ac:dyDescent="0.2">
      <c r="A443" s="17"/>
      <c r="B443" s="65"/>
      <c r="C443" s="6"/>
      <c r="D443" s="7"/>
      <c r="E443" s="16"/>
    </row>
    <row r="444" spans="1:5" x14ac:dyDescent="0.2">
      <c r="B444" s="6"/>
      <c r="C444" s="6"/>
      <c r="D444" s="6"/>
      <c r="E444" s="6"/>
    </row>
  </sheetData>
  <mergeCells count="6">
    <mergeCell ref="A1:E1"/>
    <mergeCell ref="A56:E56"/>
    <mergeCell ref="A57:E57"/>
    <mergeCell ref="A58:E58"/>
    <mergeCell ref="A373:D373"/>
    <mergeCell ref="A372:E372"/>
  </mergeCells>
  <printOptions horizontalCentered="1"/>
  <pageMargins left="0.75" right="0.75" top="0.75" bottom="0.5" header="0.5" footer="0.25"/>
  <pageSetup scale="88" pageOrder="overThenDown" orientation="portrait" r:id="rId1"/>
  <headerFooter alignWithMargins="0">
    <oddFooter>&amp;L&amp;9Texas Higher Education Coordinating Board  10/19/11&amp;R&amp;9Page &amp;P</oddFooter>
  </headerFooter>
  <rowBreaks count="7" manualBreakCount="7">
    <brk id="58" max="16383" man="1"/>
    <brk id="103" max="16383" man="1"/>
    <brk id="156" max="5" man="1"/>
    <brk id="214" max="16383" man="1"/>
    <brk id="267" max="5" man="1"/>
    <brk id="326" max="16383" man="1"/>
    <brk id="38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THECB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Texas Higher Education Enrollments</dc:title>
  <dc:subject>Comparison of Enrollments</dc:subject>
  <dc:creator>Planning and Accountability</dc:creator>
  <cp:keywords>enrollment, comparison, headcount</cp:keywords>
  <cp:lastModifiedBy>Mooney, Crystal</cp:lastModifiedBy>
  <cp:lastPrinted>2011-10-07T21:33:41Z</cp:lastPrinted>
  <dcterms:created xsi:type="dcterms:W3CDTF">2011-10-02T15:37:48Z</dcterms:created>
  <dcterms:modified xsi:type="dcterms:W3CDTF">2012-10-31T18:40:45Z</dcterms:modified>
</cp:coreProperties>
</file>